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C956BA55-FFE8-43E7-A8FA-E85F834A291D}" xr6:coauthVersionLast="45" xr6:coauthVersionMax="46" xr10:uidLastSave="{00000000-0000-0000-0000-000000000000}"/>
  <bookViews>
    <workbookView xWindow="-98" yWindow="-98" windowWidth="20715" windowHeight="13276" xr2:uid="{4B0E50F9-8FDA-4FAF-B2BA-C91A91AB3C5C}"/>
  </bookViews>
  <sheets>
    <sheet name="Timing" sheetId="2" r:id="rId1"/>
    <sheet name="Age-distribution" sheetId="3" r:id="rId2"/>
    <sheet name="Vaccination_old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2" l="1"/>
  <c r="J13" i="2"/>
  <c r="K13" i="2"/>
  <c r="J4" i="2"/>
  <c r="K5" i="2"/>
  <c r="J5" i="2" s="1"/>
  <c r="M5" i="2" l="1"/>
  <c r="K6" i="2"/>
  <c r="P8" i="3"/>
  <c r="P9" i="3"/>
  <c r="P10" i="3"/>
  <c r="P11" i="3"/>
  <c r="P12" i="3"/>
  <c r="P7" i="3"/>
  <c r="L11" i="3"/>
  <c r="L12" i="3"/>
  <c r="D24" i="3"/>
  <c r="D23" i="3"/>
  <c r="D22" i="3"/>
  <c r="M12" i="3" s="1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K7" i="2" l="1"/>
  <c r="J6" i="2"/>
  <c r="M6" i="2" s="1"/>
  <c r="M10" i="3"/>
  <c r="N10" i="3" s="1"/>
  <c r="L8" i="3"/>
  <c r="L10" i="3"/>
  <c r="L7" i="3"/>
  <c r="M7" i="3"/>
  <c r="N7" i="3" s="1"/>
  <c r="M8" i="3"/>
  <c r="N8" i="3" s="1"/>
  <c r="D25" i="3"/>
  <c r="I14" i="3"/>
  <c r="J14" i="3"/>
  <c r="K8" i="2" l="1"/>
  <c r="J7" i="2"/>
  <c r="M7" i="2" s="1"/>
  <c r="I15" i="3"/>
  <c r="T11" i="3" s="1"/>
  <c r="U10" i="3"/>
  <c r="K9" i="2" l="1"/>
  <c r="J8" i="2"/>
  <c r="M8" i="2"/>
  <c r="T12" i="3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  <c r="K10" i="2" l="1"/>
  <c r="J9" i="2"/>
  <c r="M9" i="2" s="1"/>
  <c r="J10" i="2" l="1"/>
  <c r="M10" i="2" s="1"/>
</calcChain>
</file>

<file path=xl/sharedStrings.xml><?xml version="1.0" encoding="utf-8"?>
<sst xmlns="http://schemas.openxmlformats.org/spreadsheetml/2006/main" count="71" uniqueCount="58">
  <si>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</si>
  <si>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</si>
  <si>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</si>
  <si>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</si>
  <si>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</si>
  <si>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</si>
  <si>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</si>
  <si>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</si>
  <si>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</si>
  <si>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</si>
  <si>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</si>
  <si>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</si>
  <si>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</si>
  <si>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</si>
  <si>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</si>
  <si>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</si>
  <si>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</si>
  <si>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</si>
  <si>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</si>
  <si>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</si>
  <si>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</si>
  <si>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</si>
  <si>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</si>
  <si>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</si>
  <si>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</si>
  <si>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</si>
  <si>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</si>
  <si>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</si>
  <si>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</si>
  <si>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</si>
  <si>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</si>
  <si>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</si>
  <si>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</si>
  <si>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</si>
  <si>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</si>
  <si>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</si>
  <si>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</si>
  <si>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</si>
  <si>
    <t>StDev</t>
  </si>
  <si>
    <t>Hospitalization Risk</t>
  </si>
  <si>
    <t>Mean</t>
  </si>
  <si>
    <t>Mortality Risk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</si>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</sst>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5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15" fontId="0" fillId="0" borderId="0" xfId="0" applyNumberFormat="1"/>
    <xf numFmtId="175" fontId="0" fillId="0" borderId="0" xfId="0" applyNumberFormat="1"/>
    <xf numFmtId="0" fontId="0" fillId="0" borderId="0" xfId="0" applyNumberFormat="1"/>
    <xf numFmtId="175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pubmed.ncbi.nlm.nih.gov/33830226/" TargetMode="External"/><Relationship Id="rId2" Type="http://schemas.openxmlformats.org/officeDocument/2006/relationships/hyperlink" Target="https://www.cdc.gov/coronavirus/2019-ncov/covid-data/investigations-discovery/hospitalization-death-by-age.html" TargetMode="External"/><Relationship Id="rId1" Type="http://schemas.openxmlformats.org/officeDocument/2006/relationships/hyperlink" Target="https://www.statista.com/statistics/241488/population-of-the-us-by-sex-and-age/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O280"/>
  <sheetViews>
    <sheetView tabSelected="1" workbookViewId="0">
      <selection activeCell="H6" sqref="H6"/>
    </sheetView>
  </sheetViews>
  <sheetFormatPr defaultRowHeight="14.25" x14ac:dyDescent="0.45"/>
  <cols>
    <col min="1" max="1" width="17.59765625" bestFit="1" customWidth="1"/>
    <col min="6" max="6" width="11" bestFit="1" customWidth="1"/>
    <col min="7" max="7" width="10.19921875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15" x14ac:dyDescent="0.45">
      <c r="C1" t="s">
        <v>0</v>
      </c>
      <c r="D1" t="s">
        <v>3</v>
      </c>
      <c r="F1" t="s">
        <v>52</v>
      </c>
    </row>
    <row r="2" spans="1:15" x14ac:dyDescent="0.4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42">
        <v>43891</v>
      </c>
      <c r="J2" s="45" t="s">
        <v>54</v>
      </c>
      <c r="K2" s="45"/>
      <c r="L2" s="45"/>
      <c r="M2" s="45"/>
      <c r="N2" s="45"/>
    </row>
    <row r="3" spans="1:15" x14ac:dyDescent="0.4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42">
        <v>43898</v>
      </c>
      <c r="M3" t="s">
        <v>53</v>
      </c>
    </row>
    <row r="4" spans="1:15" x14ac:dyDescent="0.4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42">
        <v>43905</v>
      </c>
      <c r="J4" s="44">
        <f>VLOOKUP(K4,F2:G128,2,FALSE)</f>
        <v>44199</v>
      </c>
      <c r="K4" s="43">
        <v>45</v>
      </c>
      <c r="L4">
        <v>3.6000000000000001E-5</v>
      </c>
    </row>
    <row r="5" spans="1:15" x14ac:dyDescent="0.4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42">
        <v>43912</v>
      </c>
      <c r="J5" s="44">
        <f>VLOOKUP(K5,F3:G129,2,FALSE)</f>
        <v>44227</v>
      </c>
      <c r="K5">
        <f>K4+4</f>
        <v>49</v>
      </c>
      <c r="L5">
        <v>1.0718E-2</v>
      </c>
      <c r="M5" t="str">
        <f>"["&amp;K5&amp;", "&amp;L5*100&amp;"]," &amp; "  # "&amp;TEXT(J5,"[$-en-US]d-mmm-yy;@")</f>
        <v>[49, 1.0718],  # 31-Jan-21</v>
      </c>
    </row>
    <row r="6" spans="1:15" x14ac:dyDescent="0.4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42">
        <v>43919</v>
      </c>
      <c r="J6" s="44">
        <f>VLOOKUP(K6,F4:G130,2,FALSE)</f>
        <v>44255</v>
      </c>
      <c r="K6">
        <f t="shared" ref="K6:K10" si="2">K5+4</f>
        <v>53</v>
      </c>
      <c r="L6">
        <v>6.9001000000000007E-2</v>
      </c>
      <c r="M6" t="str">
        <f t="shared" ref="M6:M10" si="3">"["&amp;K6&amp;", "&amp;L6*100&amp;"]," &amp; "  # "&amp;TEXT(J6,"[$-en-US]d-mmm-yy;@")</f>
        <v>[53, 6.9001],  # 28-Feb-21</v>
      </c>
    </row>
    <row r="7" spans="1:15" x14ac:dyDescent="0.4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42">
        <v>43926</v>
      </c>
      <c r="J7" s="44">
        <f>VLOOKUP(K7,F5:G131,2,FALSE)</f>
        <v>44283</v>
      </c>
      <c r="K7">
        <f t="shared" si="2"/>
        <v>57</v>
      </c>
      <c r="L7">
        <v>0.14792</v>
      </c>
      <c r="M7" t="str">
        <f t="shared" si="3"/>
        <v>[57, 14.792],  # 28-Mar-21</v>
      </c>
    </row>
    <row r="8" spans="1:15" x14ac:dyDescent="0.4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42">
        <v>43933</v>
      </c>
      <c r="J8" s="44">
        <f>VLOOKUP(K8,F6:G132,2,FALSE)</f>
        <v>44311</v>
      </c>
      <c r="K8">
        <f t="shared" si="2"/>
        <v>61</v>
      </c>
      <c r="L8">
        <v>0.27776099999999998</v>
      </c>
      <c r="M8" t="str">
        <f t="shared" si="3"/>
        <v>[61, 27.7761],  # 25-Apr-21</v>
      </c>
    </row>
    <row r="9" spans="1:15" x14ac:dyDescent="0.4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42">
        <v>43940</v>
      </c>
      <c r="J9" s="44">
        <f>VLOOKUP(K9,F7:G133,2,FALSE)</f>
        <v>44339</v>
      </c>
      <c r="K9">
        <f t="shared" si="2"/>
        <v>65</v>
      </c>
      <c r="L9">
        <v>0.38950400000000002</v>
      </c>
      <c r="M9" t="str">
        <f t="shared" si="3"/>
        <v>[65, 38.9504],  # 23-May-21</v>
      </c>
    </row>
    <row r="10" spans="1:15" x14ac:dyDescent="0.4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42">
        <v>43947</v>
      </c>
      <c r="J10" s="44">
        <f>VLOOKUP(K10,F8:G134,2,FALSE)</f>
        <v>44367</v>
      </c>
      <c r="K10">
        <f t="shared" si="2"/>
        <v>69</v>
      </c>
      <c r="L10">
        <v>0.452347</v>
      </c>
      <c r="M10" t="str">
        <f t="shared" si="3"/>
        <v>[69, 45.2347],  # 20-Jun-21</v>
      </c>
    </row>
    <row r="11" spans="1:15" x14ac:dyDescent="0.4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42">
        <v>43954</v>
      </c>
    </row>
    <row r="12" spans="1:15" x14ac:dyDescent="0.4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42">
        <v>43961</v>
      </c>
      <c r="L12" t="s">
        <v>40</v>
      </c>
      <c r="M12" t="s">
        <v>56</v>
      </c>
      <c r="N12" t="s">
        <v>57</v>
      </c>
    </row>
    <row r="13" spans="1:15" x14ac:dyDescent="0.4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42">
        <v>43968</v>
      </c>
      <c r="I13" t="s">
        <v>55</v>
      </c>
      <c r="J13" s="44">
        <f>VLOOKUP(K13,F10:G136,2,FALSE)</f>
        <v>44374</v>
      </c>
      <c r="K13">
        <f>F71</f>
        <v>70</v>
      </c>
      <c r="L13" s="18">
        <v>0.46429999999999999</v>
      </c>
      <c r="M13" s="18">
        <v>0.3231</v>
      </c>
      <c r="N13" s="18">
        <v>0.65569999999999995</v>
      </c>
      <c r="O13" t="str">
        <f>"["&amp;K13&amp;", "&amp;L13*100&amp;", "&amp;M13*100&amp;", "&amp;N13*100&amp;"]," &amp; "  # "&amp;TEXT(J13,"[$-en-US]d-mmm-yy;@")</f>
        <v>[70, 46.43, 32.31, 65.57],  # 27-Jun-21</v>
      </c>
    </row>
    <row r="14" spans="1:15" x14ac:dyDescent="0.4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42">
        <v>43975</v>
      </c>
    </row>
    <row r="15" spans="1:15" x14ac:dyDescent="0.4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42">
        <v>43982</v>
      </c>
    </row>
    <row r="16" spans="1:15" x14ac:dyDescent="0.4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42">
        <v>43989</v>
      </c>
    </row>
    <row r="17" spans="1:7" x14ac:dyDescent="0.4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42">
        <v>43996</v>
      </c>
    </row>
    <row r="18" spans="1:7" x14ac:dyDescent="0.4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42">
        <v>44003</v>
      </c>
    </row>
    <row r="19" spans="1:7" x14ac:dyDescent="0.4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42">
        <v>44010</v>
      </c>
    </row>
    <row r="20" spans="1:7" x14ac:dyDescent="0.4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42">
        <v>44017</v>
      </c>
    </row>
    <row r="21" spans="1:7" x14ac:dyDescent="0.4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42">
        <v>44024</v>
      </c>
    </row>
    <row r="22" spans="1:7" x14ac:dyDescent="0.4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42">
        <v>44031</v>
      </c>
    </row>
    <row r="23" spans="1:7" x14ac:dyDescent="0.4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42">
        <v>44038</v>
      </c>
    </row>
    <row r="24" spans="1:7" x14ac:dyDescent="0.4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42">
        <v>44045</v>
      </c>
    </row>
    <row r="25" spans="1:7" x14ac:dyDescent="0.4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42">
        <v>44052</v>
      </c>
    </row>
    <row r="26" spans="1:7" x14ac:dyDescent="0.4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42">
        <v>44059</v>
      </c>
    </row>
    <row r="27" spans="1:7" x14ac:dyDescent="0.4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42">
        <v>44066</v>
      </c>
    </row>
    <row r="28" spans="1:7" x14ac:dyDescent="0.4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42">
        <v>44073</v>
      </c>
    </row>
    <row r="29" spans="1:7" x14ac:dyDescent="0.4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42">
        <v>44080</v>
      </c>
    </row>
    <row r="30" spans="1:7" x14ac:dyDescent="0.45">
      <c r="F30">
        <v>29</v>
      </c>
      <c r="G30" s="42">
        <v>44087</v>
      </c>
    </row>
    <row r="31" spans="1:7" x14ac:dyDescent="0.45">
      <c r="F31">
        <v>30</v>
      </c>
      <c r="G31" s="42">
        <v>44094</v>
      </c>
    </row>
    <row r="32" spans="1:7" x14ac:dyDescent="0.45">
      <c r="F32">
        <v>31</v>
      </c>
      <c r="G32" s="42">
        <v>44101</v>
      </c>
    </row>
    <row r="33" spans="6:7" x14ac:dyDescent="0.45">
      <c r="F33">
        <v>32</v>
      </c>
      <c r="G33" s="42">
        <v>44108</v>
      </c>
    </row>
    <row r="34" spans="6:7" x14ac:dyDescent="0.45">
      <c r="F34">
        <v>33</v>
      </c>
      <c r="G34" s="42">
        <v>44115</v>
      </c>
    </row>
    <row r="35" spans="6:7" x14ac:dyDescent="0.45">
      <c r="F35">
        <v>34</v>
      </c>
      <c r="G35" s="42">
        <v>44122</v>
      </c>
    </row>
    <row r="36" spans="6:7" x14ac:dyDescent="0.45">
      <c r="F36">
        <v>35</v>
      </c>
      <c r="G36" s="42">
        <v>44129</v>
      </c>
    </row>
    <row r="37" spans="6:7" x14ac:dyDescent="0.45">
      <c r="F37">
        <v>36</v>
      </c>
      <c r="G37" s="42">
        <v>44136</v>
      </c>
    </row>
    <row r="38" spans="6:7" x14ac:dyDescent="0.45">
      <c r="F38">
        <v>37</v>
      </c>
      <c r="G38" s="42">
        <v>44143</v>
      </c>
    </row>
    <row r="39" spans="6:7" x14ac:dyDescent="0.45">
      <c r="F39">
        <v>38</v>
      </c>
      <c r="G39" s="42">
        <v>44150</v>
      </c>
    </row>
    <row r="40" spans="6:7" x14ac:dyDescent="0.45">
      <c r="F40">
        <v>39</v>
      </c>
      <c r="G40" s="42">
        <v>44157</v>
      </c>
    </row>
    <row r="41" spans="6:7" x14ac:dyDescent="0.45">
      <c r="F41">
        <v>40</v>
      </c>
      <c r="G41" s="42">
        <v>44164</v>
      </c>
    </row>
    <row r="42" spans="6:7" x14ac:dyDescent="0.45">
      <c r="F42">
        <v>41</v>
      </c>
      <c r="G42" s="42">
        <v>44171</v>
      </c>
    </row>
    <row r="43" spans="6:7" x14ac:dyDescent="0.45">
      <c r="F43">
        <v>42</v>
      </c>
      <c r="G43" s="42">
        <v>44178</v>
      </c>
    </row>
    <row r="44" spans="6:7" x14ac:dyDescent="0.45">
      <c r="F44">
        <v>43</v>
      </c>
      <c r="G44" s="42">
        <v>44185</v>
      </c>
    </row>
    <row r="45" spans="6:7" x14ac:dyDescent="0.45">
      <c r="F45">
        <v>44</v>
      </c>
      <c r="G45" s="42">
        <v>44192</v>
      </c>
    </row>
    <row r="46" spans="6:7" x14ac:dyDescent="0.45">
      <c r="F46">
        <v>45</v>
      </c>
      <c r="G46" s="42">
        <v>44199</v>
      </c>
    </row>
    <row r="47" spans="6:7" x14ac:dyDescent="0.45">
      <c r="F47">
        <v>46</v>
      </c>
      <c r="G47" s="42">
        <v>44206</v>
      </c>
    </row>
    <row r="48" spans="6:7" x14ac:dyDescent="0.45">
      <c r="F48">
        <v>47</v>
      </c>
      <c r="G48" s="42">
        <v>44213</v>
      </c>
    </row>
    <row r="49" spans="6:7" x14ac:dyDescent="0.45">
      <c r="F49">
        <v>48</v>
      </c>
      <c r="G49" s="42">
        <v>44220</v>
      </c>
    </row>
    <row r="50" spans="6:7" x14ac:dyDescent="0.45">
      <c r="F50">
        <v>49</v>
      </c>
      <c r="G50" s="42">
        <v>44227</v>
      </c>
    </row>
    <row r="51" spans="6:7" x14ac:dyDescent="0.45">
      <c r="F51">
        <v>50</v>
      </c>
      <c r="G51" s="42">
        <v>44234</v>
      </c>
    </row>
    <row r="52" spans="6:7" x14ac:dyDescent="0.45">
      <c r="F52">
        <v>51</v>
      </c>
      <c r="G52" s="42">
        <v>44241</v>
      </c>
    </row>
    <row r="53" spans="6:7" x14ac:dyDescent="0.45">
      <c r="F53">
        <v>52</v>
      </c>
      <c r="G53" s="42">
        <v>44248</v>
      </c>
    </row>
    <row r="54" spans="6:7" x14ac:dyDescent="0.45">
      <c r="F54">
        <v>53</v>
      </c>
      <c r="G54" s="42">
        <v>44255</v>
      </c>
    </row>
    <row r="55" spans="6:7" x14ac:dyDescent="0.45">
      <c r="F55">
        <v>54</v>
      </c>
      <c r="G55" s="42">
        <v>44262</v>
      </c>
    </row>
    <row r="56" spans="6:7" x14ac:dyDescent="0.45">
      <c r="F56">
        <v>55</v>
      </c>
      <c r="G56" s="42">
        <v>44269</v>
      </c>
    </row>
    <row r="57" spans="6:7" x14ac:dyDescent="0.45">
      <c r="F57">
        <v>56</v>
      </c>
      <c r="G57" s="42">
        <v>44276</v>
      </c>
    </row>
    <row r="58" spans="6:7" x14ac:dyDescent="0.45">
      <c r="F58">
        <v>57</v>
      </c>
      <c r="G58" s="42">
        <v>44283</v>
      </c>
    </row>
    <row r="59" spans="6:7" x14ac:dyDescent="0.45">
      <c r="F59">
        <v>58</v>
      </c>
      <c r="G59" s="42">
        <v>44290</v>
      </c>
    </row>
    <row r="60" spans="6:7" x14ac:dyDescent="0.45">
      <c r="F60">
        <v>59</v>
      </c>
      <c r="G60" s="42">
        <v>44297</v>
      </c>
    </row>
    <row r="61" spans="6:7" x14ac:dyDescent="0.45">
      <c r="F61">
        <v>60</v>
      </c>
      <c r="G61" s="42">
        <v>44304</v>
      </c>
    </row>
    <row r="62" spans="6:7" x14ac:dyDescent="0.45">
      <c r="F62">
        <v>61</v>
      </c>
      <c r="G62" s="42">
        <v>44311</v>
      </c>
    </row>
    <row r="63" spans="6:7" x14ac:dyDescent="0.45">
      <c r="F63">
        <v>62</v>
      </c>
      <c r="G63" s="42">
        <v>44318</v>
      </c>
    </row>
    <row r="64" spans="6:7" x14ac:dyDescent="0.45">
      <c r="F64">
        <v>63</v>
      </c>
      <c r="G64" s="42">
        <v>44325</v>
      </c>
    </row>
    <row r="65" spans="6:7" x14ac:dyDescent="0.45">
      <c r="F65">
        <v>64</v>
      </c>
      <c r="G65" s="42">
        <v>44332</v>
      </c>
    </row>
    <row r="66" spans="6:7" x14ac:dyDescent="0.45">
      <c r="F66">
        <v>65</v>
      </c>
      <c r="G66" s="42">
        <v>44339</v>
      </c>
    </row>
    <row r="67" spans="6:7" x14ac:dyDescent="0.45">
      <c r="F67">
        <v>66</v>
      </c>
      <c r="G67" s="42">
        <v>44346</v>
      </c>
    </row>
    <row r="68" spans="6:7" x14ac:dyDescent="0.45">
      <c r="F68">
        <v>67</v>
      </c>
      <c r="G68" s="42">
        <v>44353</v>
      </c>
    </row>
    <row r="69" spans="6:7" x14ac:dyDescent="0.45">
      <c r="F69">
        <v>68</v>
      </c>
      <c r="G69" s="42">
        <v>44360</v>
      </c>
    </row>
    <row r="70" spans="6:7" x14ac:dyDescent="0.45">
      <c r="F70">
        <v>69</v>
      </c>
      <c r="G70" s="42">
        <v>44367</v>
      </c>
    </row>
    <row r="71" spans="6:7" x14ac:dyDescent="0.45">
      <c r="F71">
        <v>70</v>
      </c>
      <c r="G71" s="42">
        <v>44374</v>
      </c>
    </row>
    <row r="72" spans="6:7" x14ac:dyDescent="0.45">
      <c r="F72">
        <v>71</v>
      </c>
      <c r="G72" s="42">
        <v>44381</v>
      </c>
    </row>
    <row r="73" spans="6:7" x14ac:dyDescent="0.45">
      <c r="F73">
        <v>72</v>
      </c>
      <c r="G73" s="42">
        <v>44388</v>
      </c>
    </row>
    <row r="74" spans="6:7" x14ac:dyDescent="0.45">
      <c r="F74">
        <v>73</v>
      </c>
      <c r="G74" s="42">
        <v>44395</v>
      </c>
    </row>
    <row r="75" spans="6:7" x14ac:dyDescent="0.45">
      <c r="F75">
        <v>74</v>
      </c>
      <c r="G75" s="42">
        <v>44402</v>
      </c>
    </row>
    <row r="76" spans="6:7" x14ac:dyDescent="0.45">
      <c r="F76">
        <v>75</v>
      </c>
      <c r="G76" s="42">
        <v>44409</v>
      </c>
    </row>
    <row r="77" spans="6:7" x14ac:dyDescent="0.45">
      <c r="F77">
        <v>76</v>
      </c>
      <c r="G77" s="42">
        <v>44416</v>
      </c>
    </row>
    <row r="78" spans="6:7" x14ac:dyDescent="0.45">
      <c r="F78">
        <v>77</v>
      </c>
      <c r="G78" s="42">
        <v>44423</v>
      </c>
    </row>
    <row r="79" spans="6:7" x14ac:dyDescent="0.45">
      <c r="F79">
        <v>78</v>
      </c>
      <c r="G79" s="42">
        <v>44430</v>
      </c>
    </row>
    <row r="80" spans="6:7" x14ac:dyDescent="0.45">
      <c r="F80">
        <v>79</v>
      </c>
      <c r="G80" s="42">
        <v>44437</v>
      </c>
    </row>
    <row r="81" spans="6:7" x14ac:dyDescent="0.45">
      <c r="F81">
        <v>80</v>
      </c>
      <c r="G81" s="42">
        <v>44444</v>
      </c>
    </row>
    <row r="82" spans="6:7" x14ac:dyDescent="0.45">
      <c r="F82">
        <v>81</v>
      </c>
      <c r="G82" s="42">
        <v>44451</v>
      </c>
    </row>
    <row r="83" spans="6:7" x14ac:dyDescent="0.45">
      <c r="F83">
        <v>82</v>
      </c>
      <c r="G83" s="42">
        <v>44458</v>
      </c>
    </row>
    <row r="84" spans="6:7" x14ac:dyDescent="0.45">
      <c r="F84">
        <v>83</v>
      </c>
      <c r="G84" s="42">
        <v>44465</v>
      </c>
    </row>
    <row r="85" spans="6:7" x14ac:dyDescent="0.45">
      <c r="F85">
        <v>84</v>
      </c>
      <c r="G85" s="42">
        <v>44472</v>
      </c>
    </row>
    <row r="86" spans="6:7" x14ac:dyDescent="0.45">
      <c r="F86">
        <v>85</v>
      </c>
      <c r="G86" s="42">
        <v>44479</v>
      </c>
    </row>
    <row r="87" spans="6:7" x14ac:dyDescent="0.45">
      <c r="F87">
        <v>86</v>
      </c>
      <c r="G87" s="42">
        <v>44486</v>
      </c>
    </row>
    <row r="88" spans="6:7" x14ac:dyDescent="0.45">
      <c r="F88">
        <v>87</v>
      </c>
      <c r="G88" s="42">
        <v>44493</v>
      </c>
    </row>
    <row r="89" spans="6:7" x14ac:dyDescent="0.45">
      <c r="F89">
        <v>88</v>
      </c>
      <c r="G89" s="42">
        <v>44500</v>
      </c>
    </row>
    <row r="90" spans="6:7" x14ac:dyDescent="0.45">
      <c r="F90">
        <v>89</v>
      </c>
      <c r="G90" s="42">
        <v>44507</v>
      </c>
    </row>
    <row r="91" spans="6:7" x14ac:dyDescent="0.45">
      <c r="F91">
        <v>90</v>
      </c>
      <c r="G91" s="42">
        <v>44514</v>
      </c>
    </row>
    <row r="92" spans="6:7" x14ac:dyDescent="0.45">
      <c r="F92">
        <v>91</v>
      </c>
      <c r="G92" s="42">
        <v>44521</v>
      </c>
    </row>
    <row r="93" spans="6:7" x14ac:dyDescent="0.45">
      <c r="F93">
        <v>92</v>
      </c>
      <c r="G93" s="42">
        <v>44528</v>
      </c>
    </row>
    <row r="94" spans="6:7" x14ac:dyDescent="0.45">
      <c r="F94">
        <v>93</v>
      </c>
      <c r="G94" s="42">
        <v>44535</v>
      </c>
    </row>
    <row r="95" spans="6:7" x14ac:dyDescent="0.45">
      <c r="F95">
        <v>94</v>
      </c>
      <c r="G95" s="42">
        <v>44542</v>
      </c>
    </row>
    <row r="96" spans="6:7" x14ac:dyDescent="0.45">
      <c r="F96">
        <v>95</v>
      </c>
      <c r="G96" s="42">
        <v>44549</v>
      </c>
    </row>
    <row r="97" spans="6:7" x14ac:dyDescent="0.45">
      <c r="F97">
        <v>96</v>
      </c>
      <c r="G97" s="42">
        <v>44556</v>
      </c>
    </row>
    <row r="98" spans="6:7" x14ac:dyDescent="0.45">
      <c r="F98">
        <v>97</v>
      </c>
      <c r="G98" s="42">
        <v>44563</v>
      </c>
    </row>
    <row r="99" spans="6:7" x14ac:dyDescent="0.45">
      <c r="F99">
        <v>98</v>
      </c>
      <c r="G99" s="42">
        <v>44570</v>
      </c>
    </row>
    <row r="100" spans="6:7" x14ac:dyDescent="0.45">
      <c r="F100">
        <v>99</v>
      </c>
      <c r="G100" s="42">
        <v>44577</v>
      </c>
    </row>
    <row r="101" spans="6:7" x14ac:dyDescent="0.45">
      <c r="F101">
        <v>100</v>
      </c>
      <c r="G101" s="42">
        <v>44584</v>
      </c>
    </row>
    <row r="102" spans="6:7" x14ac:dyDescent="0.45">
      <c r="F102">
        <v>101</v>
      </c>
      <c r="G102" s="42">
        <v>44591</v>
      </c>
    </row>
    <row r="103" spans="6:7" x14ac:dyDescent="0.45">
      <c r="F103">
        <v>102</v>
      </c>
      <c r="G103" s="42">
        <v>44598</v>
      </c>
    </row>
    <row r="104" spans="6:7" x14ac:dyDescent="0.45">
      <c r="F104">
        <v>103</v>
      </c>
      <c r="G104" s="42">
        <v>44605</v>
      </c>
    </row>
    <row r="105" spans="6:7" x14ac:dyDescent="0.45">
      <c r="F105">
        <v>104</v>
      </c>
      <c r="G105" s="42">
        <v>44612</v>
      </c>
    </row>
    <row r="106" spans="6:7" x14ac:dyDescent="0.45">
      <c r="F106">
        <v>105</v>
      </c>
      <c r="G106" s="42">
        <v>44619</v>
      </c>
    </row>
    <row r="107" spans="6:7" x14ac:dyDescent="0.45">
      <c r="F107">
        <v>106</v>
      </c>
      <c r="G107" s="42">
        <v>44626</v>
      </c>
    </row>
    <row r="108" spans="6:7" x14ac:dyDescent="0.45">
      <c r="F108">
        <v>107</v>
      </c>
      <c r="G108" s="42">
        <v>44633</v>
      </c>
    </row>
    <row r="109" spans="6:7" x14ac:dyDescent="0.45">
      <c r="F109">
        <v>108</v>
      </c>
      <c r="G109" s="42">
        <v>44640</v>
      </c>
    </row>
    <row r="110" spans="6:7" x14ac:dyDescent="0.45">
      <c r="F110">
        <v>109</v>
      </c>
      <c r="G110" s="42">
        <v>44647</v>
      </c>
    </row>
    <row r="111" spans="6:7" x14ac:dyDescent="0.45">
      <c r="F111">
        <v>110</v>
      </c>
      <c r="G111" s="42">
        <v>44654</v>
      </c>
    </row>
    <row r="112" spans="6:7" x14ac:dyDescent="0.45">
      <c r="F112">
        <v>111</v>
      </c>
      <c r="G112" s="42">
        <v>44661</v>
      </c>
    </row>
    <row r="113" spans="6:7" x14ac:dyDescent="0.45">
      <c r="F113">
        <v>112</v>
      </c>
      <c r="G113" s="42">
        <v>44668</v>
      </c>
    </row>
    <row r="114" spans="6:7" x14ac:dyDescent="0.45">
      <c r="F114">
        <v>113</v>
      </c>
      <c r="G114" s="42">
        <v>44675</v>
      </c>
    </row>
    <row r="115" spans="6:7" x14ac:dyDescent="0.45">
      <c r="F115">
        <v>114</v>
      </c>
      <c r="G115" s="42">
        <v>44682</v>
      </c>
    </row>
    <row r="116" spans="6:7" x14ac:dyDescent="0.45">
      <c r="F116">
        <v>115</v>
      </c>
      <c r="G116" s="42">
        <v>44689</v>
      </c>
    </row>
    <row r="117" spans="6:7" x14ac:dyDescent="0.45">
      <c r="F117">
        <v>116</v>
      </c>
      <c r="G117" s="42">
        <v>44696</v>
      </c>
    </row>
    <row r="118" spans="6:7" x14ac:dyDescent="0.45">
      <c r="F118">
        <v>117</v>
      </c>
      <c r="G118" s="42">
        <v>44703</v>
      </c>
    </row>
    <row r="119" spans="6:7" x14ac:dyDescent="0.45">
      <c r="F119">
        <v>118</v>
      </c>
      <c r="G119" s="42">
        <v>44710</v>
      </c>
    </row>
    <row r="120" spans="6:7" x14ac:dyDescent="0.45">
      <c r="F120">
        <v>119</v>
      </c>
      <c r="G120" s="42">
        <v>44717</v>
      </c>
    </row>
    <row r="121" spans="6:7" x14ac:dyDescent="0.45">
      <c r="F121">
        <v>120</v>
      </c>
      <c r="G121" s="42">
        <v>44724</v>
      </c>
    </row>
    <row r="122" spans="6:7" x14ac:dyDescent="0.45">
      <c r="F122">
        <v>121</v>
      </c>
      <c r="G122" s="42">
        <v>44731</v>
      </c>
    </row>
    <row r="123" spans="6:7" x14ac:dyDescent="0.45">
      <c r="F123">
        <v>122</v>
      </c>
      <c r="G123" s="42">
        <v>44738</v>
      </c>
    </row>
    <row r="124" spans="6:7" x14ac:dyDescent="0.45">
      <c r="F124">
        <v>123</v>
      </c>
      <c r="G124" s="42">
        <v>44745</v>
      </c>
    </row>
    <row r="125" spans="6:7" x14ac:dyDescent="0.45">
      <c r="F125">
        <v>124</v>
      </c>
      <c r="G125" s="42">
        <v>44752</v>
      </c>
    </row>
    <row r="126" spans="6:7" x14ac:dyDescent="0.45">
      <c r="F126">
        <v>125</v>
      </c>
      <c r="G126" s="42">
        <v>44759</v>
      </c>
    </row>
    <row r="127" spans="6:7" x14ac:dyDescent="0.45">
      <c r="F127">
        <v>126</v>
      </c>
      <c r="G127" s="42">
        <v>44766</v>
      </c>
    </row>
    <row r="128" spans="6:7" x14ac:dyDescent="0.45">
      <c r="F128">
        <v>127</v>
      </c>
      <c r="G128" s="42">
        <v>44773</v>
      </c>
    </row>
    <row r="129" spans="7:7" x14ac:dyDescent="0.45">
      <c r="G129" s="1"/>
    </row>
    <row r="130" spans="7:7" x14ac:dyDescent="0.45">
      <c r="G130" s="1"/>
    </row>
    <row r="131" spans="7:7" x14ac:dyDescent="0.45">
      <c r="G131" s="1"/>
    </row>
    <row r="132" spans="7:7" x14ac:dyDescent="0.45">
      <c r="G132" s="1"/>
    </row>
    <row r="133" spans="7:7" x14ac:dyDescent="0.45">
      <c r="G133" s="1"/>
    </row>
    <row r="134" spans="7:7" x14ac:dyDescent="0.45">
      <c r="G134" s="1"/>
    </row>
    <row r="135" spans="7:7" x14ac:dyDescent="0.45">
      <c r="G135" s="1"/>
    </row>
    <row r="136" spans="7:7" x14ac:dyDescent="0.45">
      <c r="G136" s="1"/>
    </row>
    <row r="137" spans="7:7" x14ac:dyDescent="0.45">
      <c r="G137" s="1"/>
    </row>
    <row r="138" spans="7:7" x14ac:dyDescent="0.45">
      <c r="G138" s="1"/>
    </row>
    <row r="139" spans="7:7" x14ac:dyDescent="0.45">
      <c r="G139" s="1"/>
    </row>
    <row r="140" spans="7:7" x14ac:dyDescent="0.45">
      <c r="G140" s="1"/>
    </row>
    <row r="141" spans="7:7" x14ac:dyDescent="0.45">
      <c r="G141" s="1"/>
    </row>
    <row r="142" spans="7:7" x14ac:dyDescent="0.45">
      <c r="G142" s="1"/>
    </row>
    <row r="143" spans="7:7" x14ac:dyDescent="0.45">
      <c r="G143" s="1"/>
    </row>
    <row r="144" spans="7:7" x14ac:dyDescent="0.45">
      <c r="G144" s="1"/>
    </row>
    <row r="145" spans="7:7" x14ac:dyDescent="0.45">
      <c r="G145" s="1"/>
    </row>
    <row r="146" spans="7:7" x14ac:dyDescent="0.45">
      <c r="G146" s="1"/>
    </row>
    <row r="147" spans="7:7" x14ac:dyDescent="0.45">
      <c r="G147" s="1"/>
    </row>
    <row r="148" spans="7:7" x14ac:dyDescent="0.45">
      <c r="G148" s="1"/>
    </row>
    <row r="149" spans="7:7" x14ac:dyDescent="0.45">
      <c r="G149" s="1"/>
    </row>
    <row r="150" spans="7:7" x14ac:dyDescent="0.45">
      <c r="G150" s="1"/>
    </row>
    <row r="151" spans="7:7" x14ac:dyDescent="0.45">
      <c r="G151" s="1"/>
    </row>
    <row r="152" spans="7:7" x14ac:dyDescent="0.45">
      <c r="G152" s="1"/>
    </row>
    <row r="153" spans="7:7" x14ac:dyDescent="0.45">
      <c r="G153" s="1"/>
    </row>
    <row r="154" spans="7:7" x14ac:dyDescent="0.45">
      <c r="G154" s="1"/>
    </row>
    <row r="155" spans="7:7" x14ac:dyDescent="0.45">
      <c r="G155" s="1"/>
    </row>
    <row r="156" spans="7:7" x14ac:dyDescent="0.45">
      <c r="G156" s="1"/>
    </row>
    <row r="157" spans="7:7" x14ac:dyDescent="0.45">
      <c r="G157" s="1"/>
    </row>
    <row r="158" spans="7:7" x14ac:dyDescent="0.45">
      <c r="G158" s="1"/>
    </row>
    <row r="159" spans="7:7" x14ac:dyDescent="0.45">
      <c r="G159" s="1"/>
    </row>
    <row r="160" spans="7:7" x14ac:dyDescent="0.45">
      <c r="G160" s="1"/>
    </row>
    <row r="161" spans="7:7" x14ac:dyDescent="0.45">
      <c r="G161" s="1"/>
    </row>
    <row r="162" spans="7:7" x14ac:dyDescent="0.45">
      <c r="G162" s="1"/>
    </row>
    <row r="163" spans="7:7" x14ac:dyDescent="0.45">
      <c r="G163" s="1"/>
    </row>
    <row r="164" spans="7:7" x14ac:dyDescent="0.45">
      <c r="G164" s="1"/>
    </row>
    <row r="165" spans="7:7" x14ac:dyDescent="0.45">
      <c r="G165" s="1"/>
    </row>
    <row r="166" spans="7:7" x14ac:dyDescent="0.45">
      <c r="G166" s="1"/>
    </row>
    <row r="167" spans="7:7" x14ac:dyDescent="0.45">
      <c r="G167" s="1"/>
    </row>
    <row r="168" spans="7:7" x14ac:dyDescent="0.45">
      <c r="G168" s="1"/>
    </row>
    <row r="169" spans="7:7" x14ac:dyDescent="0.45">
      <c r="G169" s="1"/>
    </row>
    <row r="170" spans="7:7" x14ac:dyDescent="0.45">
      <c r="G170" s="1"/>
    </row>
    <row r="171" spans="7:7" x14ac:dyDescent="0.45">
      <c r="G171" s="1"/>
    </row>
    <row r="172" spans="7:7" x14ac:dyDescent="0.45">
      <c r="G172" s="1"/>
    </row>
    <row r="173" spans="7:7" x14ac:dyDescent="0.45">
      <c r="G173" s="1"/>
    </row>
    <row r="174" spans="7:7" x14ac:dyDescent="0.45">
      <c r="G174" s="1"/>
    </row>
    <row r="175" spans="7:7" x14ac:dyDescent="0.45">
      <c r="G175" s="1"/>
    </row>
    <row r="176" spans="7:7" x14ac:dyDescent="0.45">
      <c r="G176" s="1"/>
    </row>
    <row r="177" spans="7:7" x14ac:dyDescent="0.45">
      <c r="G177" s="1"/>
    </row>
    <row r="178" spans="7:7" x14ac:dyDescent="0.45">
      <c r="G178" s="1"/>
    </row>
    <row r="179" spans="7:7" x14ac:dyDescent="0.45">
      <c r="G179" s="1"/>
    </row>
    <row r="180" spans="7:7" x14ac:dyDescent="0.45">
      <c r="G180" s="1"/>
    </row>
    <row r="181" spans="7:7" x14ac:dyDescent="0.45">
      <c r="G181" s="1"/>
    </row>
    <row r="182" spans="7:7" x14ac:dyDescent="0.45">
      <c r="G182" s="1"/>
    </row>
    <row r="183" spans="7:7" x14ac:dyDescent="0.45">
      <c r="G183" s="1"/>
    </row>
    <row r="184" spans="7:7" x14ac:dyDescent="0.45">
      <c r="G184" s="1"/>
    </row>
    <row r="185" spans="7:7" x14ac:dyDescent="0.45">
      <c r="G185" s="1"/>
    </row>
    <row r="186" spans="7:7" x14ac:dyDescent="0.45">
      <c r="G186" s="1"/>
    </row>
    <row r="187" spans="7:7" x14ac:dyDescent="0.45">
      <c r="G187" s="1"/>
    </row>
    <row r="188" spans="7:7" x14ac:dyDescent="0.45">
      <c r="G188" s="1"/>
    </row>
    <row r="189" spans="7:7" x14ac:dyDescent="0.45">
      <c r="G189" s="1"/>
    </row>
    <row r="190" spans="7:7" x14ac:dyDescent="0.45">
      <c r="G190" s="1"/>
    </row>
    <row r="191" spans="7:7" x14ac:dyDescent="0.45">
      <c r="G191" s="1"/>
    </row>
    <row r="192" spans="7:7" x14ac:dyDescent="0.45">
      <c r="G192" s="1"/>
    </row>
    <row r="193" spans="7:7" x14ac:dyDescent="0.45">
      <c r="G193" s="1"/>
    </row>
    <row r="194" spans="7:7" x14ac:dyDescent="0.45">
      <c r="G194" s="1"/>
    </row>
    <row r="195" spans="7:7" x14ac:dyDescent="0.45">
      <c r="G195" s="1"/>
    </row>
    <row r="196" spans="7:7" x14ac:dyDescent="0.45">
      <c r="G196" s="1"/>
    </row>
    <row r="197" spans="7:7" x14ac:dyDescent="0.45">
      <c r="G197" s="1"/>
    </row>
    <row r="198" spans="7:7" x14ac:dyDescent="0.45">
      <c r="G198" s="1"/>
    </row>
    <row r="199" spans="7:7" x14ac:dyDescent="0.45">
      <c r="G199" s="1"/>
    </row>
    <row r="200" spans="7:7" x14ac:dyDescent="0.45">
      <c r="G200" s="1"/>
    </row>
    <row r="201" spans="7:7" x14ac:dyDescent="0.45">
      <c r="G201" s="1"/>
    </row>
    <row r="202" spans="7:7" x14ac:dyDescent="0.45">
      <c r="G202" s="1"/>
    </row>
    <row r="203" spans="7:7" x14ac:dyDescent="0.45">
      <c r="G203" s="1"/>
    </row>
    <row r="204" spans="7:7" x14ac:dyDescent="0.45">
      <c r="G204" s="1"/>
    </row>
    <row r="205" spans="7:7" x14ac:dyDescent="0.45">
      <c r="G205" s="1"/>
    </row>
    <row r="206" spans="7:7" x14ac:dyDescent="0.45">
      <c r="G206" s="1"/>
    </row>
    <row r="207" spans="7:7" x14ac:dyDescent="0.45">
      <c r="G207" s="1"/>
    </row>
    <row r="208" spans="7:7" x14ac:dyDescent="0.45">
      <c r="G208" s="1"/>
    </row>
    <row r="209" spans="7:7" x14ac:dyDescent="0.45">
      <c r="G209" s="1"/>
    </row>
    <row r="210" spans="7:7" x14ac:dyDescent="0.45">
      <c r="G210" s="1"/>
    </row>
    <row r="211" spans="7:7" x14ac:dyDescent="0.45">
      <c r="G211" s="1"/>
    </row>
    <row r="212" spans="7:7" x14ac:dyDescent="0.45">
      <c r="G212" s="1"/>
    </row>
    <row r="213" spans="7:7" x14ac:dyDescent="0.45">
      <c r="G213" s="1"/>
    </row>
    <row r="214" spans="7:7" x14ac:dyDescent="0.45">
      <c r="G214" s="1"/>
    </row>
    <row r="215" spans="7:7" x14ac:dyDescent="0.45">
      <c r="G215" s="1"/>
    </row>
    <row r="216" spans="7:7" x14ac:dyDescent="0.45">
      <c r="G216" s="1"/>
    </row>
    <row r="217" spans="7:7" x14ac:dyDescent="0.45">
      <c r="G217" s="1"/>
    </row>
    <row r="218" spans="7:7" x14ac:dyDescent="0.45">
      <c r="G218" s="1"/>
    </row>
    <row r="219" spans="7:7" x14ac:dyDescent="0.45">
      <c r="G219" s="1"/>
    </row>
    <row r="220" spans="7:7" x14ac:dyDescent="0.45">
      <c r="G220" s="1"/>
    </row>
    <row r="221" spans="7:7" x14ac:dyDescent="0.45">
      <c r="G221" s="1"/>
    </row>
    <row r="222" spans="7:7" x14ac:dyDescent="0.45">
      <c r="G222" s="1"/>
    </row>
    <row r="223" spans="7:7" x14ac:dyDescent="0.45">
      <c r="G223" s="1"/>
    </row>
    <row r="224" spans="7:7" x14ac:dyDescent="0.45">
      <c r="G224" s="1"/>
    </row>
    <row r="225" spans="7:7" x14ac:dyDescent="0.45">
      <c r="G225" s="1"/>
    </row>
    <row r="226" spans="7:7" x14ac:dyDescent="0.45">
      <c r="G226" s="1"/>
    </row>
    <row r="227" spans="7:7" x14ac:dyDescent="0.45">
      <c r="G227" s="1"/>
    </row>
    <row r="228" spans="7:7" x14ac:dyDescent="0.45">
      <c r="G228" s="1"/>
    </row>
    <row r="229" spans="7:7" x14ac:dyDescent="0.45">
      <c r="G229" s="1"/>
    </row>
    <row r="230" spans="7:7" x14ac:dyDescent="0.45">
      <c r="G230" s="1"/>
    </row>
    <row r="231" spans="7:7" x14ac:dyDescent="0.45">
      <c r="G231" s="1"/>
    </row>
    <row r="232" spans="7:7" x14ac:dyDescent="0.45">
      <c r="G232" s="1"/>
    </row>
    <row r="233" spans="7:7" x14ac:dyDescent="0.45">
      <c r="G233" s="1"/>
    </row>
    <row r="234" spans="7:7" x14ac:dyDescent="0.45">
      <c r="G234" s="1"/>
    </row>
    <row r="235" spans="7:7" x14ac:dyDescent="0.45">
      <c r="G235" s="1"/>
    </row>
    <row r="236" spans="7:7" x14ac:dyDescent="0.45">
      <c r="G236" s="1"/>
    </row>
    <row r="237" spans="7:7" x14ac:dyDescent="0.45">
      <c r="G237" s="1"/>
    </row>
    <row r="238" spans="7:7" x14ac:dyDescent="0.45">
      <c r="G238" s="1"/>
    </row>
    <row r="239" spans="7:7" x14ac:dyDescent="0.45">
      <c r="G239" s="1"/>
    </row>
    <row r="240" spans="7:7" x14ac:dyDescent="0.45">
      <c r="G240" s="1"/>
    </row>
    <row r="241" spans="7:7" x14ac:dyDescent="0.45">
      <c r="G241" s="1"/>
    </row>
    <row r="242" spans="7:7" x14ac:dyDescent="0.45">
      <c r="G242" s="1"/>
    </row>
    <row r="243" spans="7:7" x14ac:dyDescent="0.45">
      <c r="G243" s="1"/>
    </row>
    <row r="244" spans="7:7" x14ac:dyDescent="0.45">
      <c r="G244" s="1"/>
    </row>
    <row r="245" spans="7:7" x14ac:dyDescent="0.45">
      <c r="G245" s="1"/>
    </row>
    <row r="246" spans="7:7" x14ac:dyDescent="0.45">
      <c r="G246" s="1"/>
    </row>
    <row r="247" spans="7:7" x14ac:dyDescent="0.45">
      <c r="G247" s="1"/>
    </row>
    <row r="248" spans="7:7" x14ac:dyDescent="0.45">
      <c r="G248" s="1"/>
    </row>
    <row r="249" spans="7:7" x14ac:dyDescent="0.45">
      <c r="G249" s="1"/>
    </row>
    <row r="250" spans="7:7" x14ac:dyDescent="0.45">
      <c r="G250" s="1"/>
    </row>
    <row r="251" spans="7:7" x14ac:dyDescent="0.45">
      <c r="G251" s="1"/>
    </row>
    <row r="252" spans="7:7" x14ac:dyDescent="0.45">
      <c r="G252" s="1"/>
    </row>
    <row r="253" spans="7:7" x14ac:dyDescent="0.45">
      <c r="G253" s="1"/>
    </row>
    <row r="254" spans="7:7" x14ac:dyDescent="0.45">
      <c r="G254" s="1"/>
    </row>
    <row r="255" spans="7:7" x14ac:dyDescent="0.45">
      <c r="G255" s="1"/>
    </row>
    <row r="256" spans="7:7" x14ac:dyDescent="0.45">
      <c r="G256" s="1"/>
    </row>
    <row r="257" spans="7:7" x14ac:dyDescent="0.45">
      <c r="G257" s="1"/>
    </row>
    <row r="258" spans="7:7" x14ac:dyDescent="0.45">
      <c r="G258" s="1"/>
    </row>
    <row r="259" spans="7:7" x14ac:dyDescent="0.45">
      <c r="G259" s="1"/>
    </row>
    <row r="260" spans="7:7" x14ac:dyDescent="0.45">
      <c r="G260" s="1"/>
    </row>
    <row r="261" spans="7:7" x14ac:dyDescent="0.45">
      <c r="G261" s="1"/>
    </row>
    <row r="262" spans="7:7" x14ac:dyDescent="0.45">
      <c r="G262" s="1"/>
    </row>
    <row r="263" spans="7:7" x14ac:dyDescent="0.45">
      <c r="G263" s="1"/>
    </row>
    <row r="264" spans="7:7" x14ac:dyDescent="0.45">
      <c r="G264" s="1"/>
    </row>
    <row r="265" spans="7:7" x14ac:dyDescent="0.45">
      <c r="G265" s="1"/>
    </row>
    <row r="266" spans="7:7" x14ac:dyDescent="0.45">
      <c r="G266" s="1"/>
    </row>
    <row r="267" spans="7:7" x14ac:dyDescent="0.45">
      <c r="G267" s="1"/>
    </row>
    <row r="268" spans="7:7" x14ac:dyDescent="0.45">
      <c r="G268" s="1"/>
    </row>
    <row r="269" spans="7:7" x14ac:dyDescent="0.45">
      <c r="G269" s="1"/>
    </row>
    <row r="270" spans="7:7" x14ac:dyDescent="0.45">
      <c r="G270" s="1"/>
    </row>
    <row r="271" spans="7:7" x14ac:dyDescent="0.45">
      <c r="G271" s="1"/>
    </row>
    <row r="272" spans="7:7" x14ac:dyDescent="0.45">
      <c r="G272" s="1"/>
    </row>
    <row r="273" spans="7:7" x14ac:dyDescent="0.45">
      <c r="G273" s="1"/>
    </row>
    <row r="274" spans="7:7" x14ac:dyDescent="0.45">
      <c r="G274" s="1"/>
    </row>
    <row r="275" spans="7:7" x14ac:dyDescent="0.45">
      <c r="G275" s="1"/>
    </row>
    <row r="276" spans="7:7" x14ac:dyDescent="0.45">
      <c r="G276" s="1"/>
    </row>
    <row r="277" spans="7:7" x14ac:dyDescent="0.45">
      <c r="G277" s="1"/>
    </row>
    <row r="278" spans="7:7" x14ac:dyDescent="0.45">
      <c r="G278" s="1"/>
    </row>
    <row r="279" spans="7:7" x14ac:dyDescent="0.45">
      <c r="G279" s="1"/>
    </row>
    <row r="280" spans="7:7" x14ac:dyDescent="0.45">
      <c r="G280" s="1"/>
    </row>
  </sheetData>
  <mergeCells count="1">
    <mergeCell ref="J2:N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7"/>
  <sheetViews>
    <sheetView showGridLines="0" topLeftCell="E1" workbookViewId="0">
      <selection activeCell="I27" sqref="I27"/>
    </sheetView>
  </sheetViews>
  <sheetFormatPr defaultRowHeight="14.25" x14ac:dyDescent="0.45"/>
  <cols>
    <col min="1" max="1" width="28.265625" customWidth="1"/>
  </cols>
  <sheetData>
    <row r="1" spans="1:22" x14ac:dyDescent="0.45">
      <c r="A1" s="21" t="s">
        <v>26</v>
      </c>
    </row>
    <row r="2" spans="1:22" x14ac:dyDescent="0.45">
      <c r="A2" s="11" t="s">
        <v>4</v>
      </c>
      <c r="B2" s="10"/>
      <c r="C2" s="10"/>
      <c r="D2" s="10"/>
      <c r="E2" s="10"/>
    </row>
    <row r="3" spans="1:22" x14ac:dyDescent="0.45">
      <c r="A3" s="12" t="s">
        <v>5</v>
      </c>
      <c r="B3" s="10"/>
      <c r="C3" s="10"/>
      <c r="D3" s="10"/>
      <c r="E3" s="10"/>
    </row>
    <row r="4" spans="1:22" x14ac:dyDescent="0.45">
      <c r="A4" s="12"/>
      <c r="B4" s="10"/>
      <c r="C4" s="10"/>
      <c r="D4" s="10"/>
      <c r="E4" s="10"/>
    </row>
    <row r="5" spans="1:22" x14ac:dyDescent="0.45">
      <c r="A5" s="12"/>
      <c r="B5" s="10"/>
      <c r="C5" s="10"/>
      <c r="D5" s="10"/>
      <c r="E5" s="10"/>
      <c r="M5" s="40" t="s">
        <v>39</v>
      </c>
      <c r="N5" s="40"/>
      <c r="O5" s="40" t="s">
        <v>41</v>
      </c>
      <c r="P5" s="40"/>
      <c r="T5" s="39" t="s">
        <v>27</v>
      </c>
      <c r="U5" s="39"/>
    </row>
    <row r="6" spans="1:22" x14ac:dyDescent="0.45">
      <c r="A6" s="10"/>
      <c r="B6" s="27" t="s">
        <v>6</v>
      </c>
      <c r="C6" s="27" t="s">
        <v>7</v>
      </c>
      <c r="D6" s="27" t="s">
        <v>1</v>
      </c>
      <c r="E6" s="27" t="s">
        <v>36</v>
      </c>
      <c r="I6" s="13" t="s">
        <v>6</v>
      </c>
      <c r="J6" s="13" t="s">
        <v>7</v>
      </c>
      <c r="K6" s="13" t="s">
        <v>33</v>
      </c>
      <c r="L6" s="27" t="s">
        <v>37</v>
      </c>
      <c r="M6" s="27" t="s">
        <v>40</v>
      </c>
      <c r="N6" s="27" t="s">
        <v>38</v>
      </c>
      <c r="O6" s="27" t="s">
        <v>40</v>
      </c>
      <c r="P6" s="27" t="s">
        <v>38</v>
      </c>
      <c r="Q6" s="27" t="s">
        <v>42</v>
      </c>
      <c r="R6" s="27" t="s">
        <v>43</v>
      </c>
      <c r="S6" s="27"/>
      <c r="T6" s="13" t="s">
        <v>6</v>
      </c>
      <c r="U6" s="13" t="s">
        <v>7</v>
      </c>
    </row>
    <row r="7" spans="1:22" x14ac:dyDescent="0.4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2</v>
      </c>
      <c r="G7" t="s">
        <v>29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2</v>
      </c>
      <c r="N7" s="29">
        <f>M7*0.25</f>
        <v>0.5</v>
      </c>
      <c r="O7" s="29">
        <v>0</v>
      </c>
      <c r="P7" s="32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4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2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4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10.16264177146825</v>
      </c>
      <c r="N9" s="29">
        <f t="shared" si="4"/>
        <v>2.5406604428670625</v>
      </c>
      <c r="O9" s="29">
        <v>2.6</v>
      </c>
      <c r="P9" s="32">
        <f t="shared" ref="P9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4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31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25</v>
      </c>
      <c r="N10" s="29">
        <f t="shared" si="4"/>
        <v>6.25</v>
      </c>
      <c r="O10" s="29">
        <v>7.9</v>
      </c>
      <c r="P10" s="32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4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6</v>
      </c>
      <c r="G11" t="s">
        <v>34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40.000000000000007</v>
      </c>
      <c r="N11" s="29">
        <f t="shared" si="4"/>
        <v>10.000000000000002</v>
      </c>
      <c r="O11" s="29">
        <v>14.1</v>
      </c>
      <c r="P11" s="32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4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73.7821080602303</v>
      </c>
      <c r="N12" s="29">
        <f t="shared" si="4"/>
        <v>18.445527015057575</v>
      </c>
      <c r="O12" s="29">
        <v>20.9</v>
      </c>
      <c r="P12" s="32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4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4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10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4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15</v>
      </c>
      <c r="I15" s="14">
        <f>SUM(I14:J14)</f>
        <v>328.22999999999996</v>
      </c>
    </row>
    <row r="16" spans="1:22" x14ac:dyDescent="0.4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15</v>
      </c>
    </row>
    <row r="17" spans="1:11" x14ac:dyDescent="0.4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25</v>
      </c>
    </row>
    <row r="18" spans="1:11" x14ac:dyDescent="0.4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25</v>
      </c>
      <c r="G18" s="35" t="s">
        <v>44</v>
      </c>
      <c r="H18" s="35"/>
      <c r="I18" s="36" t="s">
        <v>33</v>
      </c>
      <c r="J18" s="35" t="s">
        <v>51</v>
      </c>
      <c r="K18" s="35"/>
    </row>
    <row r="19" spans="1:11" x14ac:dyDescent="0.4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25</v>
      </c>
      <c r="G19" t="s">
        <v>45</v>
      </c>
      <c r="I19" s="33">
        <v>0</v>
      </c>
      <c r="J19">
        <v>0</v>
      </c>
    </row>
    <row r="20" spans="1:11" x14ac:dyDescent="0.4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40</v>
      </c>
      <c r="G20" s="16" t="s">
        <v>50</v>
      </c>
      <c r="I20" s="34">
        <v>0.1668</v>
      </c>
    </row>
    <row r="21" spans="1:11" x14ac:dyDescent="0.4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40</v>
      </c>
      <c r="G21" t="s">
        <v>46</v>
      </c>
      <c r="I21" s="34">
        <v>0.29149999999999998</v>
      </c>
    </row>
    <row r="22" spans="1:11" x14ac:dyDescent="0.4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65</v>
      </c>
      <c r="G22" t="s">
        <v>47</v>
      </c>
      <c r="I22" s="34">
        <v>0.34250000000000003</v>
      </c>
    </row>
    <row r="23" spans="1:11" x14ac:dyDescent="0.4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65</v>
      </c>
      <c r="G23" t="s">
        <v>48</v>
      </c>
      <c r="I23" s="34">
        <v>0.39789999999999998</v>
      </c>
    </row>
    <row r="24" spans="1:11" x14ac:dyDescent="0.4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95</v>
      </c>
      <c r="G24" t="s">
        <v>49</v>
      </c>
      <c r="I24" s="34">
        <v>0.4834</v>
      </c>
    </row>
    <row r="25" spans="1:11" x14ac:dyDescent="0.45">
      <c r="A25" s="12" t="s">
        <v>28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  <c r="G25" t="s">
        <v>31</v>
      </c>
      <c r="I25" s="34">
        <v>0.58740000000000003</v>
      </c>
    </row>
    <row r="26" spans="1:11" x14ac:dyDescent="0.45">
      <c r="B26" s="14"/>
      <c r="G26" t="s">
        <v>34</v>
      </c>
      <c r="I26" s="34">
        <v>0.74080000000000001</v>
      </c>
    </row>
    <row r="27" spans="1:11" x14ac:dyDescent="0.45">
      <c r="G27" t="s">
        <v>35</v>
      </c>
      <c r="I27" s="34">
        <v>0.71760000000000002</v>
      </c>
    </row>
  </sheetData>
  <mergeCells count="3">
    <mergeCell ref="T5:U5"/>
    <mergeCell ref="M5:N5"/>
    <mergeCell ref="O5:P5"/>
  </mergeCells>
  <hyperlinks>
    <hyperlink ref="A1" r:id="rId1" xr:uid="{855BCD17-8042-40C3-A9EB-B2AB6A11CFDB}"/>
    <hyperlink ref="M5:N5" r:id="rId2" display="Hospitalization Risk" xr:uid="{D6599DB8-36A3-46CF-9978-AC2DDE80B08E}"/>
    <hyperlink ref="O5:P5" r:id="rId3" display="Mortality Risk" xr:uid="{7B929978-46DB-4145-9144-AA25905C14B2}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4.25" x14ac:dyDescent="0.45"/>
  <cols>
    <col min="1" max="1" width="9.73046875" bestFit="1" customWidth="1"/>
    <col min="8" max="8" width="20.06640625" bestFit="1" customWidth="1"/>
  </cols>
  <sheetData>
    <row r="1" spans="1:8" x14ac:dyDescent="0.45">
      <c r="A1" s="1">
        <v>44197</v>
      </c>
    </row>
    <row r="2" spans="1:8" x14ac:dyDescent="0.45">
      <c r="A2" s="1">
        <v>44204</v>
      </c>
      <c r="B2">
        <v>1</v>
      </c>
      <c r="E2" t="s">
        <v>1</v>
      </c>
      <c r="F2" s="9">
        <v>0.52</v>
      </c>
      <c r="H2" s="41"/>
    </row>
    <row r="3" spans="1:8" x14ac:dyDescent="0.45">
      <c r="A3" s="1">
        <v>44211</v>
      </c>
      <c r="B3">
        <v>2</v>
      </c>
      <c r="E3" t="s">
        <v>0</v>
      </c>
      <c r="F3">
        <v>0.5</v>
      </c>
    </row>
    <row r="4" spans="1:8" x14ac:dyDescent="0.4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45">
      <c r="A5" s="37">
        <v>44225</v>
      </c>
      <c r="B5" s="38">
        <v>4</v>
      </c>
    </row>
    <row r="6" spans="1:8" x14ac:dyDescent="0.45">
      <c r="A6" s="1">
        <v>44232</v>
      </c>
      <c r="B6">
        <v>5</v>
      </c>
    </row>
    <row r="7" spans="1:8" x14ac:dyDescent="0.45">
      <c r="A7" s="1">
        <v>44239</v>
      </c>
      <c r="B7">
        <v>6</v>
      </c>
    </row>
    <row r="8" spans="1:8" x14ac:dyDescent="0.45">
      <c r="A8" s="1">
        <v>44246</v>
      </c>
      <c r="B8">
        <v>7</v>
      </c>
    </row>
    <row r="9" spans="1:8" x14ac:dyDescent="0.45">
      <c r="A9" s="37">
        <v>44253</v>
      </c>
      <c r="B9" s="38">
        <v>8</v>
      </c>
    </row>
    <row r="10" spans="1:8" x14ac:dyDescent="0.45">
      <c r="A10" s="1">
        <v>44260</v>
      </c>
      <c r="B10">
        <v>9</v>
      </c>
    </row>
    <row r="11" spans="1:8" x14ac:dyDescent="0.45">
      <c r="A11" s="1">
        <v>44267</v>
      </c>
      <c r="B11">
        <v>10</v>
      </c>
    </row>
    <row r="12" spans="1:8" x14ac:dyDescent="0.45">
      <c r="A12" s="1">
        <v>44274</v>
      </c>
      <c r="B12">
        <v>11</v>
      </c>
    </row>
    <row r="13" spans="1:8" x14ac:dyDescent="0.45">
      <c r="A13" s="37">
        <v>44281</v>
      </c>
      <c r="B13" s="38">
        <v>12</v>
      </c>
    </row>
    <row r="14" spans="1:8" x14ac:dyDescent="0.45">
      <c r="A14" s="1">
        <v>44288</v>
      </c>
      <c r="B14">
        <v>13</v>
      </c>
    </row>
    <row r="15" spans="1:8" x14ac:dyDescent="0.45">
      <c r="A15" s="1">
        <v>44295</v>
      </c>
      <c r="B15">
        <v>14</v>
      </c>
    </row>
    <row r="16" spans="1:8" x14ac:dyDescent="0.45">
      <c r="A16" s="1">
        <v>44302</v>
      </c>
      <c r="B16">
        <v>15</v>
      </c>
    </row>
    <row r="17" spans="1:2" x14ac:dyDescent="0.45">
      <c r="A17" s="37">
        <v>44309</v>
      </c>
      <c r="B17" s="38">
        <v>16</v>
      </c>
    </row>
    <row r="18" spans="1:2" x14ac:dyDescent="0.45">
      <c r="A18" s="1">
        <v>44316</v>
      </c>
      <c r="B18">
        <v>17</v>
      </c>
    </row>
    <row r="19" spans="1:2" x14ac:dyDescent="0.45">
      <c r="A19" s="1">
        <v>44323</v>
      </c>
      <c r="B19">
        <v>18</v>
      </c>
    </row>
    <row r="20" spans="1:2" x14ac:dyDescent="0.45">
      <c r="A20" s="1">
        <v>44330</v>
      </c>
      <c r="B20">
        <v>19</v>
      </c>
    </row>
    <row r="21" spans="1:2" x14ac:dyDescent="0.45">
      <c r="A21" s="37">
        <v>44337</v>
      </c>
      <c r="B21" s="38">
        <v>20</v>
      </c>
    </row>
    <row r="22" spans="1:2" x14ac:dyDescent="0.45">
      <c r="A22" s="1">
        <v>44344</v>
      </c>
      <c r="B22">
        <v>21</v>
      </c>
    </row>
    <row r="23" spans="1:2" x14ac:dyDescent="0.45">
      <c r="A23" s="1">
        <v>44351</v>
      </c>
      <c r="B23">
        <v>22</v>
      </c>
    </row>
    <row r="24" spans="1:2" x14ac:dyDescent="0.45">
      <c r="A24" s="1">
        <v>44358</v>
      </c>
      <c r="B24">
        <v>23</v>
      </c>
    </row>
    <row r="25" spans="1:2" x14ac:dyDescent="0.45">
      <c r="A25" s="37">
        <v>44365</v>
      </c>
      <c r="B25" s="38">
        <v>24</v>
      </c>
    </row>
    <row r="26" spans="1:2" x14ac:dyDescent="0.45">
      <c r="A26" s="1">
        <v>44372</v>
      </c>
      <c r="B26">
        <v>25</v>
      </c>
    </row>
    <row r="27" spans="1:2" x14ac:dyDescent="0.45">
      <c r="A27" s="1">
        <v>44379</v>
      </c>
      <c r="B27">
        <v>26</v>
      </c>
    </row>
    <row r="28" spans="1:2" x14ac:dyDescent="0.45">
      <c r="A28" s="1">
        <v>44386</v>
      </c>
      <c r="B28">
        <v>27</v>
      </c>
    </row>
    <row r="29" spans="1:2" x14ac:dyDescent="0.45">
      <c r="A29" s="1">
        <v>44393</v>
      </c>
      <c r="B29">
        <v>28</v>
      </c>
    </row>
    <row r="30" spans="1:2" x14ac:dyDescent="0.4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Timing</vt:lpstr>
      <vt:lpstr>Age-distribution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2021-07-06T17:24:13Z</dcterms:modified>
</cp:coreProperties>
</file>