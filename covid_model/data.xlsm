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Documents\PyCharm\PredictingCOVID19Surge\covid_model\"/>
    </mc:Choice>
  </mc:AlternateContent>
  <xr:revisionPtr revIDLastSave="0" documentId="13_ncr:1_{6751DEE7-2816-4821-80BE-0E7169E02A3E}" xr6:coauthVersionLast="46" xr6:coauthVersionMax="46" xr10:uidLastSave="{00000000-0000-0000-0000-000000000000}"/>
  <bookViews>
    <workbookView xWindow="-25695" yWindow="2040" windowWidth="14760" windowHeight="11985" activeTab="2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3" l="1"/>
  <c r="H7" i="3"/>
  <c r="H8" i="3"/>
  <c r="H9" i="3"/>
  <c r="H10" i="3"/>
  <c r="H11" i="3"/>
  <c r="H12" i="3"/>
  <c r="G12" i="3"/>
  <c r="G11" i="3"/>
  <c r="G10" i="3"/>
  <c r="G9" i="3"/>
  <c r="G8" i="3"/>
  <c r="G7" i="3"/>
  <c r="C25" i="3"/>
  <c r="B25" i="3"/>
  <c r="E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I9" i="3" l="1"/>
  <c r="B26" i="3"/>
  <c r="G13" i="3"/>
  <c r="H13" i="3"/>
  <c r="G14" i="3" s="1"/>
  <c r="I8" i="3" s="1"/>
  <c r="I7" i="3" l="1"/>
  <c r="I12" i="3"/>
  <c r="I10" i="3"/>
  <c r="I11" i="3"/>
  <c r="L11" i="3"/>
  <c r="K7" i="3"/>
  <c r="K8" i="3"/>
  <c r="K9" i="3"/>
  <c r="K10" i="3"/>
  <c r="K11" i="3"/>
  <c r="L12" i="3"/>
  <c r="L10" i="3"/>
  <c r="L9" i="3"/>
  <c r="L8" i="3"/>
  <c r="K12" i="3"/>
  <c r="L7" i="3"/>
</calcChain>
</file>

<file path=xl/sharedStrings.xml><?xml version="1.0" encoding="utf-8"?>
<sst xmlns="http://schemas.openxmlformats.org/spreadsheetml/2006/main" count="41" uniqueCount="36">
  <si>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</si>
  <si>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</si>
  <si>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</si>
  <si>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</si>
  <si>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</si>
  <si>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</si>
  <si>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</si>
  <si>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</si>
  <si>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</si>
  <si>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</si>
  <si>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</si>
  <si>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</si>
  <si>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</si>
  <si>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</si>
  <si>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</si>
  <si>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</si>
  <si>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</si>
  <si>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</si>
  <si>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</si>
  <si>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</si>
  <si>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</si>
  <si>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</si>
  <si>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</si>
  <si>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</si>
  <si>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</si>
  <si>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</si>
  <si>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</si>
  <si>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</si>
  <si>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</si>
  <si>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</si>
  <si>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</si>
  <si>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</si>
  <si>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</si>
  <si>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65-79</t>
  </si>
  <si>
    <t>80+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</si>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</sst>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2" fillId="0" borderId="0" xfId="1" applyNumberFormat="1" applyFont="1" applyFill="1" applyBorder="1" applyAlignment="1" applyProtection="1">
      <alignment horizontal="right" vertical="center"/>
    </xf>
    <xf numFmtId="3" fontId="2" fillId="0" borderId="0" xfId="1" applyNumberFormat="1" applyFont="1" applyFill="1" applyBorder="1" applyAlignment="1" applyProtection="1">
      <alignment horizontal="righ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0" fontId="0" fillId="0" borderId="0" xfId="0" applyAlignment="1">
      <alignment horizont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6" fontId="2" fillId="0" borderId="1" xfId="1" applyNumberFormat="1" applyFont="1" applyFill="1" applyBorder="1" applyAlignment="1" applyProtection="1">
      <alignment horizontal="righ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0" xfId="0" applyNumberFormat="1"/>
    <xf numFmtId="167" fontId="0" fillId="0" borderId="1" xfId="0" applyNumberFormat="1" applyBorder="1"/>
  </cellXfs>
  <cellStyles count="7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L26"/>
  <sheetViews>
    <sheetView showGridLines="0" tabSelected="1" workbookViewId="0">
      <selection activeCell="I7" sqref="I7:I12"/>
    </sheetView>
  </sheetViews>
  <sheetFormatPr defaultRowHeight="15" x14ac:dyDescent="0.25"/>
  <cols>
    <col min="1" max="1" width="28.28515625" customWidth="1"/>
  </cols>
  <sheetData>
    <row r="1" spans="1:12" x14ac:dyDescent="0.25">
      <c r="A1" t="s">
        <v>26</v>
      </c>
    </row>
    <row r="2" spans="1:12" x14ac:dyDescent="0.25">
      <c r="A2" s="11" t="s">
        <v>4</v>
      </c>
      <c r="B2" s="10"/>
      <c r="C2" s="10"/>
    </row>
    <row r="3" spans="1:12" x14ac:dyDescent="0.25">
      <c r="A3" s="12" t="s">
        <v>5</v>
      </c>
      <c r="B3" s="10"/>
      <c r="C3" s="10"/>
    </row>
    <row r="4" spans="1:12" x14ac:dyDescent="0.25">
      <c r="A4" s="12"/>
      <c r="B4" s="10"/>
      <c r="C4" s="10"/>
    </row>
    <row r="5" spans="1:12" x14ac:dyDescent="0.25">
      <c r="A5" s="12"/>
      <c r="B5" s="10"/>
      <c r="C5" s="10"/>
      <c r="K5" s="16" t="s">
        <v>27</v>
      </c>
      <c r="L5" s="16"/>
    </row>
    <row r="6" spans="1:12" x14ac:dyDescent="0.25">
      <c r="A6" s="10"/>
      <c r="B6" s="15" t="s">
        <v>6</v>
      </c>
      <c r="C6" s="15" t="s">
        <v>7</v>
      </c>
      <c r="G6" s="15" t="s">
        <v>6</v>
      </c>
      <c r="H6" s="15" t="s">
        <v>7</v>
      </c>
      <c r="I6" s="15" t="s">
        <v>35</v>
      </c>
      <c r="J6" s="15"/>
      <c r="K6" s="15" t="s">
        <v>6</v>
      </c>
      <c r="L6" s="15" t="s">
        <v>7</v>
      </c>
    </row>
    <row r="7" spans="1:12" x14ac:dyDescent="0.25">
      <c r="A7" s="12" t="s">
        <v>8</v>
      </c>
      <c r="B7" s="13">
        <v>10.01</v>
      </c>
      <c r="C7" s="13">
        <v>9.57</v>
      </c>
      <c r="E7" t="s">
        <v>29</v>
      </c>
      <c r="G7" s="17">
        <f>B7</f>
        <v>10.01</v>
      </c>
      <c r="H7" s="17">
        <f>C7</f>
        <v>9.57</v>
      </c>
      <c r="I7" s="23">
        <f>SUM(G7:H7)/$G$14</f>
        <v>5.9653291898973275E-2</v>
      </c>
      <c r="J7" s="22"/>
      <c r="K7" s="22">
        <f>G7/$G$14</f>
        <v>3.0496907656216675E-2</v>
      </c>
      <c r="L7" s="22">
        <f>H7/$G$14</f>
        <v>2.9156384242756603E-2</v>
      </c>
    </row>
    <row r="8" spans="1:12" x14ac:dyDescent="0.25">
      <c r="A8" s="12" t="s">
        <v>9</v>
      </c>
      <c r="B8" s="13">
        <v>10.32</v>
      </c>
      <c r="C8" s="13">
        <v>9.8699999999999992</v>
      </c>
      <c r="E8" s="20" t="s">
        <v>32</v>
      </c>
      <c r="G8" s="17">
        <f>SUM(B8:B10)</f>
        <v>31.689999999999998</v>
      </c>
      <c r="H8" s="17">
        <f>SUM(C8:C10)</f>
        <v>30.36</v>
      </c>
      <c r="I8" s="23">
        <f t="shared" ref="I8:I12" si="0">SUM(G8:H8)/$G$14</f>
        <v>0.18904426773908539</v>
      </c>
      <c r="J8" s="22"/>
      <c r="K8" s="22">
        <f t="shared" ref="K8:K12" si="1">G8/$G$14</f>
        <v>9.6548152210340299E-2</v>
      </c>
      <c r="L8" s="22">
        <f t="shared" ref="L8:L12" si="2">H8/$G$14</f>
        <v>9.2496115528745079E-2</v>
      </c>
    </row>
    <row r="9" spans="1:12" x14ac:dyDescent="0.25">
      <c r="A9" s="12" t="s">
        <v>10</v>
      </c>
      <c r="B9" s="13">
        <v>10.62</v>
      </c>
      <c r="C9" s="13">
        <v>10.18</v>
      </c>
      <c r="E9" t="s">
        <v>30</v>
      </c>
      <c r="G9" s="17">
        <f>SUM(B11:B16)</f>
        <v>65.290000000000006</v>
      </c>
      <c r="H9" s="17">
        <f>SUM(C11:C16)</f>
        <v>64.319999999999993</v>
      </c>
      <c r="I9" s="23">
        <f t="shared" si="0"/>
        <v>0.39487554458763674</v>
      </c>
      <c r="J9" s="22"/>
      <c r="K9" s="22">
        <f t="shared" si="1"/>
        <v>0.19891539469274594</v>
      </c>
      <c r="L9" s="22">
        <f t="shared" si="2"/>
        <v>0.19596014989489074</v>
      </c>
    </row>
    <row r="10" spans="1:12" x14ac:dyDescent="0.25">
      <c r="A10" s="12" t="s">
        <v>11</v>
      </c>
      <c r="B10" s="13">
        <v>10.75</v>
      </c>
      <c r="C10" s="13">
        <v>10.31</v>
      </c>
      <c r="E10" t="s">
        <v>31</v>
      </c>
      <c r="G10" s="17">
        <f>SUM(B17:B19)</f>
        <v>30.59</v>
      </c>
      <c r="H10" s="17">
        <f>SUM(C17:C19)</f>
        <v>32.33</v>
      </c>
      <c r="I10" s="23">
        <f t="shared" si="0"/>
        <v>0.19169484812479054</v>
      </c>
      <c r="J10" s="22"/>
      <c r="K10" s="22">
        <f t="shared" si="1"/>
        <v>9.3196843676690122E-2</v>
      </c>
      <c r="L10" s="22">
        <f t="shared" si="2"/>
        <v>9.8498004448100404E-2</v>
      </c>
    </row>
    <row r="11" spans="1:12" x14ac:dyDescent="0.25">
      <c r="A11" s="12" t="s">
        <v>12</v>
      </c>
      <c r="B11" s="13">
        <v>11.06</v>
      </c>
      <c r="C11" s="13">
        <v>10.57</v>
      </c>
      <c r="E11" t="s">
        <v>33</v>
      </c>
      <c r="G11" s="17">
        <f>SUM(B20:B22)</f>
        <v>19.02</v>
      </c>
      <c r="H11" s="17">
        <f>SUM(C20:C22)</f>
        <v>22.119999999999997</v>
      </c>
      <c r="I11" s="23">
        <f t="shared" si="0"/>
        <v>0.12533893915851688</v>
      </c>
      <c r="J11" s="22"/>
      <c r="K11" s="22">
        <f t="shared" si="1"/>
        <v>5.7947171190933185E-2</v>
      </c>
      <c r="L11" s="22">
        <f t="shared" si="2"/>
        <v>6.7391767967583699E-2</v>
      </c>
    </row>
    <row r="12" spans="1:12" x14ac:dyDescent="0.25">
      <c r="A12" s="12" t="s">
        <v>13</v>
      </c>
      <c r="B12" s="14">
        <v>12</v>
      </c>
      <c r="C12" s="13">
        <v>11.5</v>
      </c>
      <c r="E12" s="4" t="s">
        <v>34</v>
      </c>
      <c r="F12" s="4"/>
      <c r="G12" s="21">
        <f>SUM(B23:B24)</f>
        <v>5.0600000000000005</v>
      </c>
      <c r="H12" s="21">
        <f>SUM(C23:C24)</f>
        <v>7.870000000000001</v>
      </c>
      <c r="I12" s="24">
        <f t="shared" si="0"/>
        <v>3.939310849099717E-2</v>
      </c>
      <c r="J12" s="22"/>
      <c r="K12" s="22">
        <f t="shared" si="1"/>
        <v>1.5416019254790848E-2</v>
      </c>
      <c r="L12" s="22">
        <f t="shared" si="2"/>
        <v>2.3977089236206322E-2</v>
      </c>
    </row>
    <row r="13" spans="1:12" x14ac:dyDescent="0.25">
      <c r="A13" s="12" t="s">
        <v>14</v>
      </c>
      <c r="B13" s="13">
        <v>11.35</v>
      </c>
      <c r="C13" s="13">
        <v>11.08</v>
      </c>
      <c r="G13" s="17">
        <f>SUM(G7:G12)</f>
        <v>161.66000000000003</v>
      </c>
      <c r="H13" s="17">
        <f>SUM(H7:H12)</f>
        <v>166.57</v>
      </c>
      <c r="I13" s="17">
        <f>SUM(I7:I12)</f>
        <v>1</v>
      </c>
      <c r="J13" s="17"/>
    </row>
    <row r="14" spans="1:12" x14ac:dyDescent="0.25">
      <c r="A14" s="12" t="s">
        <v>15</v>
      </c>
      <c r="B14" s="13">
        <v>10.88</v>
      </c>
      <c r="C14" s="13">
        <v>10.85</v>
      </c>
      <c r="G14" s="17">
        <f>SUM(G13:H13)</f>
        <v>328.23</v>
      </c>
    </row>
    <row r="15" spans="1:12" x14ac:dyDescent="0.25">
      <c r="A15" s="12" t="s">
        <v>16</v>
      </c>
      <c r="B15" s="13">
        <v>9.91</v>
      </c>
      <c r="C15" s="13">
        <v>10.01</v>
      </c>
    </row>
    <row r="16" spans="1:12" x14ac:dyDescent="0.25">
      <c r="A16" s="12" t="s">
        <v>17</v>
      </c>
      <c r="B16" s="13">
        <v>10.09</v>
      </c>
      <c r="C16" s="13">
        <v>10.31</v>
      </c>
    </row>
    <row r="17" spans="1:3" x14ac:dyDescent="0.25">
      <c r="A17" s="12" t="s">
        <v>18</v>
      </c>
      <c r="B17" s="13">
        <v>10.09</v>
      </c>
      <c r="C17" s="13">
        <v>10.39</v>
      </c>
    </row>
    <row r="18" spans="1:3" x14ac:dyDescent="0.25">
      <c r="A18" s="12" t="s">
        <v>19</v>
      </c>
      <c r="B18" s="13">
        <v>10.64</v>
      </c>
      <c r="C18" s="13">
        <v>11.23</v>
      </c>
    </row>
    <row r="19" spans="1:3" x14ac:dyDescent="0.25">
      <c r="A19" s="12" t="s">
        <v>20</v>
      </c>
      <c r="B19" s="13">
        <v>9.86</v>
      </c>
      <c r="C19" s="13">
        <v>10.71</v>
      </c>
    </row>
    <row r="20" spans="1:3" x14ac:dyDescent="0.25">
      <c r="A20" s="12" t="s">
        <v>21</v>
      </c>
      <c r="B20" s="13">
        <v>8.1999999999999993</v>
      </c>
      <c r="C20" s="13">
        <v>9.26</v>
      </c>
    </row>
    <row r="21" spans="1:3" x14ac:dyDescent="0.25">
      <c r="A21" s="12" t="s">
        <v>22</v>
      </c>
      <c r="B21" s="13">
        <v>6.5</v>
      </c>
      <c r="C21" s="13">
        <v>7.53</v>
      </c>
    </row>
    <row r="22" spans="1:3" x14ac:dyDescent="0.25">
      <c r="A22" s="12" t="s">
        <v>23</v>
      </c>
      <c r="B22" s="13">
        <v>4.32</v>
      </c>
      <c r="C22" s="13">
        <v>5.33</v>
      </c>
    </row>
    <row r="23" spans="1:3" x14ac:dyDescent="0.25">
      <c r="A23" s="12" t="s">
        <v>24</v>
      </c>
      <c r="B23" s="13">
        <v>2.68</v>
      </c>
      <c r="C23" s="13">
        <v>3.64</v>
      </c>
    </row>
    <row r="24" spans="1:3" x14ac:dyDescent="0.25">
      <c r="A24" s="18" t="s">
        <v>25</v>
      </c>
      <c r="B24" s="19">
        <v>2.38</v>
      </c>
      <c r="C24" s="19">
        <v>4.2300000000000004</v>
      </c>
    </row>
    <row r="25" spans="1:3" x14ac:dyDescent="0.25">
      <c r="A25" s="12" t="s">
        <v>28</v>
      </c>
      <c r="B25" s="17">
        <f>SUM(B7:B24)</f>
        <v>161.65999999999997</v>
      </c>
      <c r="C25" s="17">
        <f>SUM(C7:C24)</f>
        <v>166.57</v>
      </c>
    </row>
    <row r="26" spans="1:3" x14ac:dyDescent="0.25">
      <c r="B26" s="17">
        <f>SUM(B25:C25)</f>
        <v>328.22999999999996</v>
      </c>
    </row>
  </sheetData>
  <mergeCells count="1">
    <mergeCell ref="K5:L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2021-06-08T19:58:02Z</dcterms:modified>
</cp:coreProperties>
</file>