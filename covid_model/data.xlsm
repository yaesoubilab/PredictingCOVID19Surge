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817644CB-3B7E-4AAD-BA61-B3BF598D322C}" xr6:coauthVersionLast="45" xr6:coauthVersionMax="47" xr10:uidLastSave="{00000000-0000-0000-0000-000000000000}"/>
  <bookViews>
    <workbookView xWindow="-120" yWindow="-120" windowWidth="29040" windowHeight="15840" activeTab="3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1" i="5" l="1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Z21" i="5" l="1"/>
  <c r="AA21" i="5"/>
  <c r="AF21" i="5"/>
  <c r="X21" i="5"/>
  <c r="AB21" i="5"/>
  <c r="AD21" i="5"/>
  <c r="Y21" i="5"/>
  <c r="P8" i="2"/>
  <c r="P9" i="2"/>
  <c r="P10" i="2"/>
  <c r="P11" i="2"/>
  <c r="P12" i="2"/>
  <c r="P13" i="2"/>
  <c r="J12" i="2"/>
  <c r="J11" i="2"/>
  <c r="J10" i="2"/>
  <c r="J9" i="2"/>
  <c r="J8" i="2"/>
  <c r="J7" i="2"/>
  <c r="J6" i="2"/>
  <c r="L12" i="2"/>
  <c r="L11" i="2"/>
  <c r="L10" i="2"/>
  <c r="L9" i="2"/>
  <c r="L8" i="2"/>
  <c r="L7" i="2"/>
  <c r="L6" i="2"/>
  <c r="K12" i="2"/>
  <c r="K6" i="2"/>
  <c r="K7" i="2"/>
  <c r="K8" i="2"/>
  <c r="K9" i="2"/>
  <c r="K10" i="2"/>
  <c r="K11" i="2"/>
  <c r="L5" i="2"/>
  <c r="K4" i="2"/>
  <c r="L4" i="2"/>
  <c r="N14" i="6" l="1"/>
  <c r="M13" i="6"/>
  <c r="O12" i="6"/>
  <c r="O11" i="6"/>
  <c r="O10" i="6"/>
  <c r="O9" i="6"/>
  <c r="O8" i="6"/>
  <c r="O7" i="6"/>
  <c r="O6" i="6"/>
  <c r="O5" i="6"/>
  <c r="N12" i="6"/>
  <c r="N11" i="6"/>
  <c r="N10" i="6"/>
  <c r="N9" i="6"/>
  <c r="N8" i="6"/>
  <c r="N7" i="6"/>
  <c r="N6" i="6"/>
  <c r="N5" i="6"/>
  <c r="M12" i="6"/>
  <c r="M11" i="6"/>
  <c r="M10" i="6"/>
  <c r="M9" i="6"/>
  <c r="M8" i="6"/>
  <c r="M7" i="6"/>
  <c r="M6" i="6"/>
  <c r="M5" i="6"/>
  <c r="L12" i="6"/>
  <c r="L11" i="6"/>
  <c r="L10" i="6"/>
  <c r="L9" i="6"/>
  <c r="L8" i="6"/>
  <c r="L7" i="6"/>
  <c r="L6" i="6"/>
  <c r="L5" i="6"/>
  <c r="K12" i="6"/>
  <c r="K11" i="6"/>
  <c r="K10" i="6"/>
  <c r="K9" i="6"/>
  <c r="K8" i="6"/>
  <c r="K7" i="6"/>
  <c r="K6" i="6"/>
  <c r="K5" i="6"/>
  <c r="N8" i="3"/>
  <c r="G3" i="6"/>
  <c r="F9" i="6" s="1"/>
  <c r="R3" i="5"/>
  <c r="Q3" i="5"/>
  <c r="Q5" i="6" l="1"/>
  <c r="F8" i="6"/>
  <c r="F7" i="6"/>
  <c r="Q7" i="6"/>
  <c r="Q12" i="6"/>
  <c r="Q11" i="6"/>
  <c r="Q10" i="6"/>
  <c r="Q9" i="6"/>
  <c r="Q8" i="6"/>
  <c r="Q6" i="6"/>
  <c r="O13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P3" i="5" l="1"/>
  <c r="O3" i="5"/>
  <c r="S3" i="5" s="1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9" i="2"/>
  <c r="K20" i="2"/>
  <c r="J4" i="2"/>
  <c r="O4" i="5" l="1"/>
  <c r="S4" i="5" s="1"/>
  <c r="A5" i="5"/>
  <c r="K21" i="2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J21" i="2"/>
  <c r="S31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A6" i="5" l="1"/>
  <c r="O5" i="5"/>
  <c r="S5" i="5" s="1"/>
  <c r="K22" i="2"/>
  <c r="P32" i="2"/>
  <c r="M32" i="2"/>
  <c r="Q32" i="2"/>
  <c r="R32" i="2"/>
  <c r="S32" i="2"/>
  <c r="T32" i="2"/>
  <c r="N32" i="2"/>
  <c r="O32" i="2"/>
  <c r="T31" i="2"/>
  <c r="N31" i="2"/>
  <c r="O31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1" i="2"/>
  <c r="Q31" i="2"/>
  <c r="R31" i="2"/>
  <c r="J5" i="2"/>
  <c r="P7" i="2" s="1"/>
  <c r="M31" i="2"/>
  <c r="J15" i="2"/>
  <c r="P14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A7" i="5" l="1"/>
  <c r="O6" i="5"/>
  <c r="S6" i="5" s="1"/>
  <c r="K23" i="2"/>
  <c r="J22" i="2"/>
  <c r="P33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A8" i="5" l="1"/>
  <c r="O7" i="5"/>
  <c r="S7" i="5" s="1"/>
  <c r="O33" i="2"/>
  <c r="N33" i="2"/>
  <c r="T33" i="2"/>
  <c r="M33" i="2"/>
  <c r="R33" i="2"/>
  <c r="S33" i="2"/>
  <c r="Q33" i="2"/>
  <c r="N34" i="2"/>
  <c r="M34" i="2"/>
  <c r="O34" i="2"/>
  <c r="P34" i="2"/>
  <c r="K24" i="2"/>
  <c r="J23" i="2"/>
  <c r="R34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A9" i="5" l="1"/>
  <c r="O8" i="5"/>
  <c r="S8" i="5" s="1"/>
  <c r="T34" i="2"/>
  <c r="Q34" i="2"/>
  <c r="S34" i="2"/>
  <c r="K25" i="2"/>
  <c r="J24" i="2"/>
  <c r="Q35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A10" i="5" l="1"/>
  <c r="O9" i="5"/>
  <c r="S9" i="5" s="1"/>
  <c r="P35" i="2"/>
  <c r="O35" i="2"/>
  <c r="M35" i="2"/>
  <c r="N35" i="2"/>
  <c r="T35" i="2"/>
  <c r="S35" i="2"/>
  <c r="R35" i="2"/>
  <c r="O36" i="2"/>
  <c r="P36" i="2"/>
  <c r="M36" i="2"/>
  <c r="N36" i="2"/>
  <c r="Q36" i="2"/>
  <c r="S36" i="2"/>
  <c r="J25" i="2"/>
  <c r="T36" i="2" s="1"/>
  <c r="K26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A11" i="5" l="1"/>
  <c r="O10" i="5"/>
  <c r="S10" i="5" s="1"/>
  <c r="R36" i="2"/>
  <c r="S37" i="2"/>
  <c r="O37" i="2"/>
  <c r="J26" i="2"/>
  <c r="N37" i="2" s="1"/>
  <c r="K27" i="2"/>
  <c r="Z29" i="4" a="1"/>
  <c r="N29" i="4"/>
  <c r="A12" i="5" l="1"/>
  <c r="O11" i="5"/>
  <c r="S11" i="5" s="1"/>
  <c r="T37" i="2"/>
  <c r="M37" i="2"/>
  <c r="R37" i="2"/>
  <c r="Q37" i="2"/>
  <c r="J27" i="2"/>
  <c r="N38" i="2" s="1"/>
  <c r="R38" i="2"/>
  <c r="S38" i="2"/>
  <c r="T38" i="2"/>
  <c r="M38" i="2"/>
  <c r="P38" i="2"/>
  <c r="P37" i="2"/>
  <c r="AA29" i="4"/>
  <c r="AC29" i="4"/>
  <c r="AE29" i="4"/>
  <c r="AF29" i="4"/>
  <c r="AD29" i="4"/>
  <c r="AG29" i="4"/>
  <c r="Z29" i="4"/>
  <c r="AB29" i="4"/>
  <c r="A13" i="5" l="1"/>
  <c r="O12" i="5"/>
  <c r="S12" i="5" s="1"/>
  <c r="Q38" i="2"/>
  <c r="O38" i="2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A14" i="5" l="1"/>
  <c r="O13" i="5"/>
  <c r="S13" i="5" s="1"/>
  <c r="Y48" i="4"/>
  <c r="Y44" i="4"/>
  <c r="Y43" i="4"/>
  <c r="Y50" i="4"/>
  <c r="Y46" i="4"/>
  <c r="Y47" i="4"/>
  <c r="Y49" i="4"/>
  <c r="Y45" i="4"/>
  <c r="A15" i="5" l="1"/>
  <c r="O14" i="5"/>
  <c r="S14" i="5" s="1"/>
  <c r="A16" i="5" l="1"/>
  <c r="O15" i="5"/>
  <c r="S15" i="5" s="1"/>
  <c r="A17" i="5" l="1"/>
  <c r="O16" i="5"/>
  <c r="S16" i="5" s="1"/>
  <c r="A18" i="5" l="1"/>
  <c r="O17" i="5"/>
  <c r="S17" i="5" s="1"/>
  <c r="A19" i="5" l="1"/>
  <c r="O19" i="5" s="1"/>
  <c r="S19" i="5" s="1"/>
  <c r="O18" i="5"/>
  <c r="S18" i="5" s="1"/>
</calcChain>
</file>

<file path=xl/sharedStrings.xml><?xml version="1.0" encoding="utf-8"?>
<sst xmlns="http://schemas.openxmlformats.org/spreadsheetml/2006/main" count="157" uniqueCount="105">
  <si>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</si>
  <si>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</si>
  <si>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</si>
  <si>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</si>
  <si>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</si>
  <si>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</si>
  <si>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</si>
  <si>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</si>
  <si>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</si>
  <si>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</si>
  <si>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</si>
  <si>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</si>
  <si>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</si>
  <si>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</si>
  <si>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</si>
  <si>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</si>
  <si>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</si>
  <si>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</si>
  <si>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</si>
  <si>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</si>
  <si>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</si>
  <si>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</si>
  <si>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</si>
  <si>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</si>
  <si>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</si>
  <si>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</si>
  <si>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</si>
  <si>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</si>
  <si>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</si>
  <si>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</si>
  <si>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</si>
  <si>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</si>
  <si>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</si>
  <si>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</si>
  <si>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</si>
  <si>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</si>
  <si>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</si>
  <si>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</si>
  <si>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</si>
  <si>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</si>
  <si>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</si>
  <si>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</si>
  <si>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</si>
  <si>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</si>
  <si>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</si>
  <si>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</si>
  <si>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</si>
  <si>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</si>
  <si>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</si>
  <si>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</si>
  <si>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</si>
  <si>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</si>
  <si>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</si>
  <si>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</si>
  <si>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</si>
  <si>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</si>
  <si>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</si>
  <si>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</si>
  <si>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</si>
  <si>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</si>
  <si>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</si>
  <si>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</si>
  <si>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</si>
  <si>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</si>
  <si>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</si>
  <si>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</si>
  <si>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</si>
  <si>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</si>
  <si>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</si>
  <si>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</si>
  <si>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</si>
  <si>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</si>
  <si>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</si>
  <si>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</si>
  <si>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</si>
  <si>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</si>
  <si>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</si>
  <si>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</si>
  <si>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</si>
  <si>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</si>
  <si>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</si>
  <si>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</si>
  <si>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</si>
  <si>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</si>
  <si>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</si>
  <si>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</si>
  <si>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</si>
  <si>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</si>
  <si>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</si>
  <si>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</si>
  <si>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</si>
  <si>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</si>
  <si>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</si>
  <si>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</si>
  <si>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</si>
  <si>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</si>
  <si>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</si>
  <si>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</si>
  <si>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</si>
  <si>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</si>
  <si>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</si>
  <si>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</si>
  <si>
    <t>Bias</t>
  </si>
  <si>
    <t>ave</t>
  </si>
  <si>
    <t>corr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</si>
</sst>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9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10</xdr:row>
      <xdr:rowOff>90486</xdr:rowOff>
    </xdr:from>
    <xdr:to>
      <xdr:col>18</xdr:col>
      <xdr:colOff>228600</xdr:colOff>
      <xdr:row>29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opLeftCell="F1" workbookViewId="0">
      <selection activeCell="T31" sqref="T31:T38"/>
    </sheetView>
  </sheetViews>
  <sheetFormatPr defaultRowHeight="15" x14ac:dyDescent="0.25"/>
  <cols>
    <col min="1" max="1" width="17.5703125" bestFit="1" customWidth="1"/>
    <col min="6" max="6" width="11" style="43" bestFit="1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8" x14ac:dyDescent="0.25">
      <c r="C1" t="s">
        <v>0</v>
      </c>
      <c r="D1" t="s">
        <v>2</v>
      </c>
      <c r="F1" s="43" t="s">
        <v>37</v>
      </c>
    </row>
    <row r="2" spans="1:18" x14ac:dyDescent="0.2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75" t="s">
        <v>39</v>
      </c>
      <c r="J2" s="75"/>
      <c r="K2" s="75"/>
      <c r="L2" s="75"/>
      <c r="M2" s="75"/>
      <c r="N2" s="76"/>
      <c r="O2" s="76"/>
    </row>
    <row r="3" spans="1:18" x14ac:dyDescent="0.2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8" x14ac:dyDescent="0.2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K19</f>
        <v>45</v>
      </c>
      <c r="L4" s="28">
        <f>L19</f>
        <v>0</v>
      </c>
      <c r="N4" s="5"/>
      <c r="O4" s="5"/>
    </row>
    <row r="5" spans="1:18" x14ac:dyDescent="0.2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2" si="2">VLOOKUP(K5,$F$2:$G$128,2,FALSE)</f>
        <v>44227</v>
      </c>
      <c r="K5" s="30">
        <f t="shared" ref="K5:L5" si="3">K20</f>
        <v>49</v>
      </c>
      <c r="L5" s="30">
        <f t="shared" si="3"/>
        <v>1.0699999999999999E-2</v>
      </c>
      <c r="N5" s="5"/>
      <c r="O5" s="5"/>
    </row>
    <row r="6" spans="1:18" x14ac:dyDescent="0.2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4">K21</f>
        <v>53</v>
      </c>
      <c r="L6" s="30">
        <f t="shared" si="4"/>
        <v>6.9000000000000006E-2</v>
      </c>
      <c r="N6" s="5"/>
      <c r="O6" s="5"/>
    </row>
    <row r="7" spans="1:18" x14ac:dyDescent="0.2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5">K22</f>
        <v>57</v>
      </c>
      <c r="L7" s="30">
        <f t="shared" si="5"/>
        <v>0.1497</v>
      </c>
      <c r="N7" s="5"/>
      <c r="O7" s="5"/>
      <c r="P7" t="str">
        <f>"["&amp;K5&amp;", "&amp;L5*100&amp;"]," &amp; "  # "&amp;TEXT(J5,"[$-en-US]d-mmm-yy;@")</f>
        <v>[49, 1.07],  # 31-Jan-21</v>
      </c>
    </row>
    <row r="8" spans="1:18" x14ac:dyDescent="0.2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6">K23</f>
        <v>61</v>
      </c>
      <c r="L8" s="30">
        <f t="shared" si="6"/>
        <v>0.27779999999999999</v>
      </c>
      <c r="N8" s="5"/>
      <c r="O8" s="5"/>
      <c r="P8" t="str">
        <f t="shared" ref="P8:P13" si="7">"["&amp;K6&amp;", "&amp;L6*100&amp;"]," &amp; "  # "&amp;TEXT(J6,"[$-en-US]d-mmm-yy;@")</f>
        <v>[53, 6.9],  # 28-Feb-21</v>
      </c>
    </row>
    <row r="9" spans="1:18" x14ac:dyDescent="0.2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8">K24</f>
        <v>65</v>
      </c>
      <c r="L9" s="30">
        <f t="shared" si="8"/>
        <v>0.38950000000000001</v>
      </c>
      <c r="N9" s="5"/>
      <c r="O9" s="5"/>
      <c r="P9" t="str">
        <f t="shared" si="7"/>
        <v>[57, 14.97],  # 28-Mar-21</v>
      </c>
    </row>
    <row r="10" spans="1:18" x14ac:dyDescent="0.2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9">K25</f>
        <v>69</v>
      </c>
      <c r="L10" s="43">
        <f t="shared" si="9"/>
        <v>0.45229999999999998</v>
      </c>
      <c r="N10" s="5"/>
      <c r="O10" s="5"/>
      <c r="P10" t="str">
        <f t="shared" si="7"/>
        <v>[61, 27.78],  # 25-Apr-21</v>
      </c>
    </row>
    <row r="11" spans="1:18" x14ac:dyDescent="0.2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2" si="10">K26</f>
        <v>73</v>
      </c>
      <c r="L11" s="43">
        <f t="shared" si="10"/>
        <v>0.48949999999999999</v>
      </c>
      <c r="N11" s="5"/>
      <c r="O11" s="5"/>
      <c r="P11" t="str">
        <f t="shared" si="7"/>
        <v>[65, 38.95],  # 23-May-21</v>
      </c>
    </row>
    <row r="12" spans="1:18" x14ac:dyDescent="0.2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I12" s="3"/>
      <c r="J12" s="38">
        <f t="shared" si="2"/>
        <v>44423</v>
      </c>
      <c r="K12" s="33">
        <f t="shared" si="10"/>
        <v>77</v>
      </c>
      <c r="L12" s="33">
        <f t="shared" si="10"/>
        <v>0.51039999999999996</v>
      </c>
      <c r="N12" s="5"/>
      <c r="O12" s="5"/>
      <c r="P12" t="str">
        <f t="shared" si="7"/>
        <v>[69, 45.23],  # 20-Jun-21</v>
      </c>
    </row>
    <row r="13" spans="1:18" x14ac:dyDescent="0.2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P13" t="str">
        <f t="shared" si="7"/>
        <v>[73, 48.95],  # 18-Jul-21</v>
      </c>
    </row>
    <row r="14" spans="1:18" x14ac:dyDescent="0.2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J14" s="29" t="s">
        <v>43</v>
      </c>
      <c r="K14" s="29" t="s">
        <v>37</v>
      </c>
      <c r="L14" s="29" t="s">
        <v>34</v>
      </c>
      <c r="M14" s="29" t="s">
        <v>41</v>
      </c>
      <c r="N14" s="29" t="s">
        <v>42</v>
      </c>
      <c r="P14" s="5" t="str">
        <f>"["&amp;K15&amp;", "&amp;L15*100&amp;", "&amp;M15*100&amp;", "&amp;N15*100&amp;"]," &amp; "  # "&amp;TEXT(J15,"[$-en-US]d-mmm-yy;@")</f>
        <v>[77, 51.14, 35.74, 70.13],  # 15-Aug-21</v>
      </c>
    </row>
    <row r="15" spans="1:18" x14ac:dyDescent="0.2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  <c r="I15" s="3" t="s">
        <v>40</v>
      </c>
      <c r="J15" s="32">
        <f>VLOOKUP(K15,F10:G136,2,FALSE)</f>
        <v>44423</v>
      </c>
      <c r="K15" s="33">
        <v>77</v>
      </c>
      <c r="L15" s="34">
        <v>0.51139999999999997</v>
      </c>
      <c r="M15" s="34">
        <v>0.3574</v>
      </c>
      <c r="N15" s="34">
        <v>0.70130000000000003</v>
      </c>
      <c r="Q15" s="5"/>
      <c r="R15" s="5"/>
    </row>
    <row r="16" spans="1:18" x14ac:dyDescent="0.2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</row>
    <row r="17" spans="1:20" x14ac:dyDescent="0.2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</row>
    <row r="18" spans="1:20" x14ac:dyDescent="0.2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  <c r="J18" s="31" t="s">
        <v>43</v>
      </c>
      <c r="K18" s="31" t="s">
        <v>37</v>
      </c>
      <c r="L18" s="31" t="s">
        <v>44</v>
      </c>
      <c r="M18" s="31" t="s">
        <v>26</v>
      </c>
      <c r="N18" s="35" t="s">
        <v>47</v>
      </c>
      <c r="O18" s="31" t="s">
        <v>48</v>
      </c>
      <c r="P18" s="35" t="s">
        <v>49</v>
      </c>
      <c r="Q18" s="31" t="s">
        <v>50</v>
      </c>
      <c r="R18" s="31" t="s">
        <v>27</v>
      </c>
      <c r="S18" s="31" t="s">
        <v>45</v>
      </c>
      <c r="T18" s="31" t="s">
        <v>30</v>
      </c>
    </row>
    <row r="19" spans="1:20" x14ac:dyDescent="0.2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F19" s="43">
        <v>18</v>
      </c>
      <c r="G19" s="36">
        <v>44010</v>
      </c>
      <c r="J19" s="36">
        <f>VLOOKUP(K19,$F$2:$G$128,2,FALSE)</f>
        <v>44199</v>
      </c>
      <c r="K19" s="37">
        <v>45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1E-4</v>
      </c>
      <c r="R19" s="28">
        <v>1E-4</v>
      </c>
      <c r="S19" s="28">
        <v>0</v>
      </c>
      <c r="T19" s="28">
        <v>0</v>
      </c>
    </row>
    <row r="20" spans="1:20" x14ac:dyDescent="0.2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F20" s="43">
        <v>19</v>
      </c>
      <c r="G20" s="36">
        <v>44017</v>
      </c>
      <c r="J20" s="36">
        <f t="shared" ref="J20:J23" si="11">VLOOKUP(K20,$F$2:$G$128,2,FALSE)</f>
        <v>44227</v>
      </c>
      <c r="K20" s="30">
        <f>K19+4</f>
        <v>49</v>
      </c>
      <c r="L20" s="28">
        <v>1.0699999999999999E-2</v>
      </c>
      <c r="M20" s="28">
        <v>0</v>
      </c>
      <c r="N20" s="28">
        <v>0</v>
      </c>
      <c r="O20" s="28">
        <v>1E-4</v>
      </c>
      <c r="P20" s="28">
        <v>0.01</v>
      </c>
      <c r="Q20" s="28">
        <v>1.7600000000000001E-2</v>
      </c>
      <c r="R20" s="28">
        <v>1.6500000000000001E-2</v>
      </c>
      <c r="S20" s="28">
        <v>8.2000000000000007E-3</v>
      </c>
      <c r="T20" s="28">
        <v>7.6E-3</v>
      </c>
    </row>
    <row r="21" spans="1:20" x14ac:dyDescent="0.2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F21" s="43">
        <v>20</v>
      </c>
      <c r="G21" s="36">
        <v>44024</v>
      </c>
      <c r="J21" s="36">
        <f t="shared" si="11"/>
        <v>44255</v>
      </c>
      <c r="K21" s="30">
        <f t="shared" ref="K21:K27" si="12">K20+4</f>
        <v>53</v>
      </c>
      <c r="L21" s="28">
        <v>6.9000000000000006E-2</v>
      </c>
      <c r="M21" s="28">
        <v>0</v>
      </c>
      <c r="N21" s="28">
        <v>0</v>
      </c>
      <c r="O21" s="28">
        <v>8.0000000000000004E-4</v>
      </c>
      <c r="P21" s="28">
        <v>4.1700000000000001E-2</v>
      </c>
      <c r="Q21" s="28">
        <v>6.6199999999999995E-2</v>
      </c>
      <c r="R21" s="28">
        <v>7.4200000000000002E-2</v>
      </c>
      <c r="S21" s="28">
        <v>0.14499999999999999</v>
      </c>
      <c r="T21" s="28">
        <v>0.23400000000000001</v>
      </c>
    </row>
    <row r="22" spans="1:20" x14ac:dyDescent="0.2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F22" s="43">
        <v>21</v>
      </c>
      <c r="G22" s="36">
        <v>44031</v>
      </c>
      <c r="J22" s="36">
        <f t="shared" si="11"/>
        <v>44283</v>
      </c>
      <c r="K22" s="30">
        <f t="shared" si="12"/>
        <v>57</v>
      </c>
      <c r="L22" s="28">
        <v>0.1497</v>
      </c>
      <c r="M22" s="28">
        <v>0</v>
      </c>
      <c r="N22" s="28">
        <v>1E-4</v>
      </c>
      <c r="O22" s="28">
        <v>2.3E-3</v>
      </c>
      <c r="P22" s="28">
        <v>7.3599999999999999E-2</v>
      </c>
      <c r="Q22" s="28">
        <v>0.1149</v>
      </c>
      <c r="R22" s="28">
        <v>0.15479999999999999</v>
      </c>
      <c r="S22" s="28">
        <v>0.42799999999999999</v>
      </c>
      <c r="T22" s="28">
        <v>0.51080000000000003</v>
      </c>
    </row>
    <row r="23" spans="1:20" x14ac:dyDescent="0.25">
      <c r="A23" s="1">
        <v>44531</v>
      </c>
      <c r="B23">
        <v>22</v>
      </c>
      <c r="C23">
        <f t="shared" si="0"/>
        <v>1.75</v>
      </c>
      <c r="D23" s="6">
        <f t="shared" si="1"/>
        <v>91</v>
      </c>
      <c r="F23" s="43">
        <v>22</v>
      </c>
      <c r="G23" s="36">
        <v>44038</v>
      </c>
      <c r="J23" s="36">
        <f t="shared" si="11"/>
        <v>44311</v>
      </c>
      <c r="K23" s="30">
        <f t="shared" si="12"/>
        <v>61</v>
      </c>
      <c r="L23" s="28">
        <v>0.27779999999999999</v>
      </c>
      <c r="M23" s="28">
        <v>0</v>
      </c>
      <c r="N23" s="28">
        <v>1E-4</v>
      </c>
      <c r="O23" s="28">
        <v>1.34E-2</v>
      </c>
      <c r="P23" s="28">
        <v>0.16850000000000001</v>
      </c>
      <c r="Q23" s="28">
        <v>0.24310000000000001</v>
      </c>
      <c r="R23" s="28">
        <v>0.38450000000000001</v>
      </c>
      <c r="S23" s="28">
        <v>0.66669999999999996</v>
      </c>
      <c r="T23" s="28">
        <v>0.66620000000000001</v>
      </c>
    </row>
    <row r="24" spans="1:20" x14ac:dyDescent="0.2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F24" s="43">
        <v>23</v>
      </c>
      <c r="G24" s="36">
        <v>44045</v>
      </c>
      <c r="J24" s="36">
        <f t="shared" ref="J24:J27" si="13">VLOOKUP(K24,$F$2:$G$128,2,FALSE)</f>
        <v>44339</v>
      </c>
      <c r="K24" s="30">
        <f t="shared" si="12"/>
        <v>65</v>
      </c>
      <c r="L24" s="28">
        <v>0.38950000000000001</v>
      </c>
      <c r="M24" s="28">
        <v>0</v>
      </c>
      <c r="N24" s="28">
        <v>1E-4</v>
      </c>
      <c r="O24" s="28">
        <v>6.9500000000000006E-2</v>
      </c>
      <c r="P24" s="28">
        <v>0.31319999999999998</v>
      </c>
      <c r="Q24" s="28">
        <v>0.39650000000000002</v>
      </c>
      <c r="R24" s="28">
        <v>0.55469999999999997</v>
      </c>
      <c r="S24" s="28">
        <v>0.74639999999999995</v>
      </c>
      <c r="T24" s="28">
        <v>0.72140000000000004</v>
      </c>
    </row>
    <row r="25" spans="1:20" x14ac:dyDescent="0.2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F25" s="43">
        <v>24</v>
      </c>
      <c r="G25" s="36">
        <v>44052</v>
      </c>
      <c r="J25" s="36">
        <f t="shared" si="13"/>
        <v>44367</v>
      </c>
      <c r="K25" s="43">
        <f t="shared" si="12"/>
        <v>69</v>
      </c>
      <c r="L25" s="28">
        <v>0.45229999999999998</v>
      </c>
      <c r="M25" s="28">
        <v>0</v>
      </c>
      <c r="N25" s="28">
        <v>2.7000000000000001E-3</v>
      </c>
      <c r="O25" s="28">
        <v>0.21010000000000001</v>
      </c>
      <c r="P25" s="28">
        <v>0.39489999999999997</v>
      </c>
      <c r="Q25" s="28">
        <v>0.47339999999999999</v>
      </c>
      <c r="R25" s="28">
        <v>0.62309999999999999</v>
      </c>
      <c r="S25" s="28">
        <v>0.78480000000000005</v>
      </c>
      <c r="T25" s="28">
        <v>0.75029999999999997</v>
      </c>
    </row>
    <row r="26" spans="1:20" x14ac:dyDescent="0.2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F26" s="43">
        <v>25</v>
      </c>
      <c r="G26" s="36">
        <v>44059</v>
      </c>
      <c r="J26" s="36">
        <f t="shared" si="13"/>
        <v>44395</v>
      </c>
      <c r="K26" s="43">
        <f t="shared" si="12"/>
        <v>73</v>
      </c>
      <c r="L26" s="28">
        <v>0.48949999999999999</v>
      </c>
      <c r="M26" s="28">
        <v>0</v>
      </c>
      <c r="N26" s="28">
        <v>4.1999999999999997E-3</v>
      </c>
      <c r="O26" s="28">
        <v>0.2979</v>
      </c>
      <c r="P26" s="28">
        <v>0.44340000000000002</v>
      </c>
      <c r="Q26" s="28">
        <v>0.51670000000000005</v>
      </c>
      <c r="R26" s="28">
        <v>0.66139999999999999</v>
      </c>
      <c r="S26" s="28">
        <v>0.81040000000000001</v>
      </c>
      <c r="T26" s="28">
        <v>0.77200000000000002</v>
      </c>
    </row>
    <row r="27" spans="1:20" x14ac:dyDescent="0.2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F27" s="43">
        <v>26</v>
      </c>
      <c r="G27" s="36">
        <v>44066</v>
      </c>
      <c r="J27" s="38">
        <f t="shared" si="13"/>
        <v>44423</v>
      </c>
      <c r="K27" s="33">
        <f t="shared" si="12"/>
        <v>77</v>
      </c>
      <c r="L27" s="34">
        <v>0.51039999999999996</v>
      </c>
      <c r="M27" s="34">
        <v>0</v>
      </c>
      <c r="N27" s="34">
        <v>4.1999999999999997E-3</v>
      </c>
      <c r="O27" s="34">
        <v>0.34889999999999999</v>
      </c>
      <c r="P27" s="34">
        <v>0.47170000000000001</v>
      </c>
      <c r="Q27" s="34">
        <v>0.54090000000000005</v>
      </c>
      <c r="R27" s="34">
        <v>0.68279999999999996</v>
      </c>
      <c r="S27" s="34">
        <v>0.82469999999999999</v>
      </c>
      <c r="T27" s="34">
        <v>0.78269999999999995</v>
      </c>
    </row>
    <row r="28" spans="1:20" x14ac:dyDescent="0.2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F28" s="43">
        <v>27</v>
      </c>
      <c r="G28" s="36">
        <v>44073</v>
      </c>
    </row>
    <row r="29" spans="1:20" x14ac:dyDescent="0.2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F29" s="43">
        <v>28</v>
      </c>
      <c r="G29" s="36">
        <v>44080</v>
      </c>
      <c r="M29" s="31" t="s">
        <v>38</v>
      </c>
      <c r="N29" s="44"/>
      <c r="O29" s="44"/>
    </row>
    <row r="30" spans="1:20" x14ac:dyDescent="0.25">
      <c r="F30" s="43">
        <v>29</v>
      </c>
      <c r="G30" s="36">
        <v>44087</v>
      </c>
    </row>
    <row r="31" spans="1:20" x14ac:dyDescent="0.25">
      <c r="F31" s="43">
        <v>30</v>
      </c>
      <c r="G31" s="36">
        <v>44094</v>
      </c>
      <c r="M31" t="str">
        <f t="shared" ref="M31:T31" si="14">"["&amp;$K20&amp;", "&amp;M20*100&amp;"]," &amp; "  # "&amp;TEXT($J20,"[$-en-US]d-mmm-yy;@")</f>
        <v>[49, 0],  # 31-Jan-21</v>
      </c>
      <c r="N31" t="str">
        <f t="shared" si="14"/>
        <v>[49, 0],  # 31-Jan-21</v>
      </c>
      <c r="O31" t="str">
        <f t="shared" si="14"/>
        <v>[49, 0.01],  # 31-Jan-21</v>
      </c>
      <c r="P31" t="str">
        <f t="shared" si="14"/>
        <v>[49, 1],  # 31-Jan-21</v>
      </c>
      <c r="Q31" t="str">
        <f t="shared" si="14"/>
        <v>[49, 1.76],  # 31-Jan-21</v>
      </c>
      <c r="R31" t="str">
        <f t="shared" si="14"/>
        <v>[49, 1.65],  # 31-Jan-21</v>
      </c>
      <c r="S31" t="str">
        <f t="shared" si="14"/>
        <v>[49, 0.82],  # 31-Jan-21</v>
      </c>
      <c r="T31" t="str">
        <f t="shared" si="14"/>
        <v>[49, 0.76],  # 31-Jan-21</v>
      </c>
    </row>
    <row r="32" spans="1:20" x14ac:dyDescent="0.25">
      <c r="F32" s="43">
        <v>31</v>
      </c>
      <c r="G32" s="36">
        <v>44101</v>
      </c>
      <c r="M32" t="str">
        <f t="shared" ref="M32:T37" si="15">"["&amp;$K21&amp;", "&amp;M21*100&amp;"]," &amp; "  # "&amp;TEXT($J21,"[$-en-US]d-mmm-yy;@")</f>
        <v>[53, 0],  # 28-Feb-21</v>
      </c>
      <c r="N32" t="str">
        <f t="shared" si="15"/>
        <v>[53, 0],  # 28-Feb-21</v>
      </c>
      <c r="O32" t="str">
        <f t="shared" si="15"/>
        <v>[53, 0.08],  # 28-Feb-21</v>
      </c>
      <c r="P32" t="str">
        <f t="shared" si="15"/>
        <v>[53, 4.17],  # 28-Feb-21</v>
      </c>
      <c r="Q32" t="str">
        <f t="shared" si="15"/>
        <v>[53, 6.62],  # 28-Feb-21</v>
      </c>
      <c r="R32" t="str">
        <f t="shared" si="15"/>
        <v>[53, 7.42],  # 28-Feb-21</v>
      </c>
      <c r="S32" t="str">
        <f t="shared" si="15"/>
        <v>[53, 14.5],  # 28-Feb-21</v>
      </c>
      <c r="T32" t="str">
        <f t="shared" si="15"/>
        <v>[53, 23.4],  # 28-Feb-21</v>
      </c>
    </row>
    <row r="33" spans="6:20" x14ac:dyDescent="0.25">
      <c r="F33" s="43">
        <v>32</v>
      </c>
      <c r="G33" s="36">
        <v>44108</v>
      </c>
      <c r="M33" t="str">
        <f t="shared" si="15"/>
        <v>[57, 0],  # 28-Mar-21</v>
      </c>
      <c r="N33" t="str">
        <f t="shared" si="15"/>
        <v>[57, 0.01],  # 28-Mar-21</v>
      </c>
      <c r="O33" t="str">
        <f t="shared" si="15"/>
        <v>[57, 0.23],  # 28-Mar-21</v>
      </c>
      <c r="P33" t="str">
        <f t="shared" si="15"/>
        <v>[57, 7.36],  # 28-Mar-21</v>
      </c>
      <c r="Q33" t="str">
        <f t="shared" si="15"/>
        <v>[57, 11.49],  # 28-Mar-21</v>
      </c>
      <c r="R33" t="str">
        <f t="shared" si="15"/>
        <v>[57, 15.48],  # 28-Mar-21</v>
      </c>
      <c r="S33" t="str">
        <f t="shared" si="15"/>
        <v>[57, 42.8],  # 28-Mar-21</v>
      </c>
      <c r="T33" t="str">
        <f t="shared" si="15"/>
        <v>[57, 51.08],  # 28-Mar-21</v>
      </c>
    </row>
    <row r="34" spans="6:20" x14ac:dyDescent="0.25">
      <c r="F34" s="43">
        <v>33</v>
      </c>
      <c r="G34" s="36">
        <v>44115</v>
      </c>
      <c r="M34" t="str">
        <f t="shared" si="15"/>
        <v>[61, 0],  # 25-Apr-21</v>
      </c>
      <c r="N34" t="str">
        <f t="shared" si="15"/>
        <v>[61, 0.01],  # 25-Apr-21</v>
      </c>
      <c r="O34" t="str">
        <f t="shared" si="15"/>
        <v>[61, 1.34],  # 25-Apr-21</v>
      </c>
      <c r="P34" t="str">
        <f t="shared" si="15"/>
        <v>[61, 16.85],  # 25-Apr-21</v>
      </c>
      <c r="Q34" t="str">
        <f t="shared" si="15"/>
        <v>[61, 24.31],  # 25-Apr-21</v>
      </c>
      <c r="R34" t="str">
        <f t="shared" si="15"/>
        <v>[61, 38.45],  # 25-Apr-21</v>
      </c>
      <c r="S34" t="str">
        <f t="shared" si="15"/>
        <v>[61, 66.67],  # 25-Apr-21</v>
      </c>
      <c r="T34" t="str">
        <f t="shared" si="15"/>
        <v>[61, 66.62],  # 25-Apr-21</v>
      </c>
    </row>
    <row r="35" spans="6:20" x14ac:dyDescent="0.25">
      <c r="F35" s="43">
        <v>34</v>
      </c>
      <c r="G35" s="36">
        <v>44122</v>
      </c>
      <c r="M35" t="str">
        <f t="shared" si="15"/>
        <v>[65, 0],  # 23-May-21</v>
      </c>
      <c r="N35" t="str">
        <f t="shared" si="15"/>
        <v>[65, 0.01],  # 23-May-21</v>
      </c>
      <c r="O35" t="str">
        <f t="shared" si="15"/>
        <v>[65, 6.95],  # 23-May-21</v>
      </c>
      <c r="P35" t="str">
        <f t="shared" si="15"/>
        <v>[65, 31.32],  # 23-May-21</v>
      </c>
      <c r="Q35" t="str">
        <f t="shared" si="15"/>
        <v>[65, 39.65],  # 23-May-21</v>
      </c>
      <c r="R35" t="str">
        <f t="shared" si="15"/>
        <v>[65, 55.47],  # 23-May-21</v>
      </c>
      <c r="S35" t="str">
        <f t="shared" si="15"/>
        <v>[65, 74.64],  # 23-May-21</v>
      </c>
      <c r="T35" t="str">
        <f t="shared" si="15"/>
        <v>[65, 72.14],  # 23-May-21</v>
      </c>
    </row>
    <row r="36" spans="6:20" x14ac:dyDescent="0.25">
      <c r="F36" s="43">
        <v>35</v>
      </c>
      <c r="G36" s="36">
        <v>44129</v>
      </c>
      <c r="M36" t="str">
        <f t="shared" si="15"/>
        <v>[69, 0],  # 20-Jun-21</v>
      </c>
      <c r="N36" t="str">
        <f t="shared" si="15"/>
        <v>[69, 0.27],  # 20-Jun-21</v>
      </c>
      <c r="O36" t="str">
        <f t="shared" si="15"/>
        <v>[69, 21.01],  # 20-Jun-21</v>
      </c>
      <c r="P36" t="str">
        <f t="shared" si="15"/>
        <v>[69, 39.49],  # 20-Jun-21</v>
      </c>
      <c r="Q36" t="str">
        <f t="shared" si="15"/>
        <v>[69, 47.34],  # 20-Jun-21</v>
      </c>
      <c r="R36" t="str">
        <f t="shared" si="15"/>
        <v>[69, 62.31],  # 20-Jun-21</v>
      </c>
      <c r="S36" t="str">
        <f t="shared" si="15"/>
        <v>[69, 78.48],  # 20-Jun-21</v>
      </c>
      <c r="T36" t="str">
        <f t="shared" si="15"/>
        <v>[69, 75.03],  # 20-Jun-21</v>
      </c>
    </row>
    <row r="37" spans="6:20" x14ac:dyDescent="0.25">
      <c r="F37" s="43">
        <v>36</v>
      </c>
      <c r="G37" s="36">
        <v>44136</v>
      </c>
      <c r="M37" t="str">
        <f t="shared" si="15"/>
        <v>[73, 0],  # 18-Jul-21</v>
      </c>
      <c r="N37" t="str">
        <f t="shared" si="15"/>
        <v>[73, 0.42],  # 18-Jul-21</v>
      </c>
      <c r="O37" t="str">
        <f t="shared" si="15"/>
        <v>[73, 29.79],  # 18-Jul-21</v>
      </c>
      <c r="P37" t="str">
        <f t="shared" si="15"/>
        <v>[73, 44.34],  # 18-Jul-21</v>
      </c>
      <c r="Q37" t="str">
        <f t="shared" si="15"/>
        <v>[73, 51.67],  # 18-Jul-21</v>
      </c>
      <c r="R37" t="str">
        <f t="shared" si="15"/>
        <v>[73, 66.14],  # 18-Jul-21</v>
      </c>
      <c r="S37" t="str">
        <f t="shared" si="15"/>
        <v>[73, 81.04],  # 18-Jul-21</v>
      </c>
      <c r="T37" t="str">
        <f t="shared" si="15"/>
        <v>[73, 77.2],  # 18-Jul-21</v>
      </c>
    </row>
    <row r="38" spans="6:20" x14ac:dyDescent="0.25">
      <c r="F38" s="43">
        <v>37</v>
      </c>
      <c r="G38" s="36">
        <v>44143</v>
      </c>
      <c r="M38" t="str">
        <f>"["&amp;$K27&amp;", "&amp;M27*100&amp;"]," &amp; "  # "&amp;TEXT($J27,"[$-en-US]d-mmm-yy;@")</f>
        <v>[77, 0],  # 15-Aug-21</v>
      </c>
      <c r="N38" t="str">
        <f t="shared" ref="N38:T38" si="16">"["&amp;$K27&amp;", "&amp;N27*100&amp;"]," &amp; "  # "&amp;TEXT($J27,"[$-en-US]d-mmm-yy;@")</f>
        <v>[77, 0.42],  # 15-Aug-21</v>
      </c>
      <c r="O38" t="str">
        <f t="shared" si="16"/>
        <v>[77, 34.89],  # 15-Aug-21</v>
      </c>
      <c r="P38" t="str">
        <f t="shared" si="16"/>
        <v>[77, 47.17],  # 15-Aug-21</v>
      </c>
      <c r="Q38" t="str">
        <f t="shared" si="16"/>
        <v>[77, 54.09],  # 15-Aug-21</v>
      </c>
      <c r="R38" t="str">
        <f t="shared" si="16"/>
        <v>[77, 68.28],  # 15-Aug-21</v>
      </c>
      <c r="S38" t="str">
        <f t="shared" si="16"/>
        <v>[77, 82.47],  # 15-Aug-21</v>
      </c>
      <c r="T38" t="str">
        <f t="shared" si="16"/>
        <v>[77, 78.27],  # 15-Aug-21</v>
      </c>
    </row>
    <row r="39" spans="6:20" x14ac:dyDescent="0.25">
      <c r="F39" s="43">
        <v>38</v>
      </c>
      <c r="G39" s="36">
        <v>44150</v>
      </c>
    </row>
    <row r="40" spans="6:20" x14ac:dyDescent="0.25">
      <c r="F40" s="43">
        <v>39</v>
      </c>
      <c r="G40" s="36">
        <v>44157</v>
      </c>
    </row>
    <row r="41" spans="6:20" x14ac:dyDescent="0.25">
      <c r="F41" s="43">
        <v>40</v>
      </c>
      <c r="G41" s="36">
        <v>44164</v>
      </c>
    </row>
    <row r="42" spans="6:20" x14ac:dyDescent="0.25">
      <c r="F42" s="43">
        <v>41</v>
      </c>
      <c r="G42" s="36">
        <v>44171</v>
      </c>
    </row>
    <row r="43" spans="6:20" x14ac:dyDescent="0.25">
      <c r="F43" s="43">
        <v>42</v>
      </c>
      <c r="G43" s="36">
        <v>44178</v>
      </c>
    </row>
    <row r="44" spans="6:20" x14ac:dyDescent="0.25">
      <c r="F44" s="43">
        <v>43</v>
      </c>
      <c r="G44" s="36">
        <v>44185</v>
      </c>
    </row>
    <row r="45" spans="6:20" x14ac:dyDescent="0.25">
      <c r="F45" s="43">
        <v>44</v>
      </c>
      <c r="G45" s="36">
        <v>44192</v>
      </c>
    </row>
    <row r="46" spans="6:20" x14ac:dyDescent="0.25">
      <c r="F46" s="43">
        <v>45</v>
      </c>
      <c r="G46" s="36">
        <v>44199</v>
      </c>
    </row>
    <row r="47" spans="6:20" x14ac:dyDescent="0.25">
      <c r="F47" s="43">
        <v>46</v>
      </c>
      <c r="G47" s="36">
        <v>44206</v>
      </c>
    </row>
    <row r="48" spans="6:20" x14ac:dyDescent="0.25">
      <c r="F48" s="43">
        <v>47</v>
      </c>
      <c r="G48" s="36">
        <v>44213</v>
      </c>
    </row>
    <row r="49" spans="6:7" x14ac:dyDescent="0.25">
      <c r="F49" s="43">
        <v>48</v>
      </c>
      <c r="G49" s="36">
        <v>44220</v>
      </c>
    </row>
    <row r="50" spans="6:7" x14ac:dyDescent="0.25">
      <c r="F50" s="43">
        <v>49</v>
      </c>
      <c r="G50" s="36">
        <v>44227</v>
      </c>
    </row>
    <row r="51" spans="6:7" x14ac:dyDescent="0.25">
      <c r="F51" s="43">
        <v>50</v>
      </c>
      <c r="G51" s="36">
        <v>44234</v>
      </c>
    </row>
    <row r="52" spans="6:7" x14ac:dyDescent="0.25">
      <c r="F52" s="43">
        <v>51</v>
      </c>
      <c r="G52" s="36">
        <v>44241</v>
      </c>
    </row>
    <row r="53" spans="6:7" x14ac:dyDescent="0.25">
      <c r="F53" s="43">
        <v>52</v>
      </c>
      <c r="G53" s="36">
        <v>44248</v>
      </c>
    </row>
    <row r="54" spans="6:7" x14ac:dyDescent="0.25">
      <c r="F54" s="43">
        <v>53</v>
      </c>
      <c r="G54" s="36">
        <v>44255</v>
      </c>
    </row>
    <row r="55" spans="6:7" x14ac:dyDescent="0.25">
      <c r="F55" s="43">
        <v>54</v>
      </c>
      <c r="G55" s="36">
        <v>44262</v>
      </c>
    </row>
    <row r="56" spans="6:7" x14ac:dyDescent="0.25">
      <c r="F56" s="43">
        <v>55</v>
      </c>
      <c r="G56" s="36">
        <v>44269</v>
      </c>
    </row>
    <row r="57" spans="6:7" x14ac:dyDescent="0.25">
      <c r="F57" s="43">
        <v>56</v>
      </c>
      <c r="G57" s="36">
        <v>44276</v>
      </c>
    </row>
    <row r="58" spans="6:7" x14ac:dyDescent="0.25">
      <c r="F58" s="43">
        <v>57</v>
      </c>
      <c r="G58" s="36">
        <v>44283</v>
      </c>
    </row>
    <row r="59" spans="6:7" x14ac:dyDescent="0.25">
      <c r="F59" s="43">
        <v>58</v>
      </c>
      <c r="G59" s="36">
        <v>44290</v>
      </c>
    </row>
    <row r="60" spans="6:7" x14ac:dyDescent="0.25">
      <c r="F60" s="43">
        <v>59</v>
      </c>
      <c r="G60" s="36">
        <v>44297</v>
      </c>
    </row>
    <row r="61" spans="6:7" x14ac:dyDescent="0.25">
      <c r="F61" s="43">
        <v>60</v>
      </c>
      <c r="G61" s="36">
        <v>44304</v>
      </c>
    </row>
    <row r="62" spans="6:7" x14ac:dyDescent="0.25">
      <c r="F62" s="43">
        <v>61</v>
      </c>
      <c r="G62" s="36">
        <v>44311</v>
      </c>
    </row>
    <row r="63" spans="6:7" x14ac:dyDescent="0.25">
      <c r="F63" s="43">
        <v>62</v>
      </c>
      <c r="G63" s="36">
        <v>44318</v>
      </c>
    </row>
    <row r="64" spans="6:7" x14ac:dyDescent="0.25">
      <c r="F64" s="43">
        <v>63</v>
      </c>
      <c r="G64" s="36">
        <v>44325</v>
      </c>
    </row>
    <row r="65" spans="6:7" x14ac:dyDescent="0.25">
      <c r="F65" s="43">
        <v>64</v>
      </c>
      <c r="G65" s="36">
        <v>44332</v>
      </c>
    </row>
    <row r="66" spans="6:7" x14ac:dyDescent="0.25">
      <c r="F66" s="43">
        <v>65</v>
      </c>
      <c r="G66" s="36">
        <v>44339</v>
      </c>
    </row>
    <row r="67" spans="6:7" x14ac:dyDescent="0.25">
      <c r="F67" s="43">
        <v>66</v>
      </c>
      <c r="G67" s="36">
        <v>44346</v>
      </c>
    </row>
    <row r="68" spans="6:7" x14ac:dyDescent="0.25">
      <c r="F68" s="43">
        <v>67</v>
      </c>
      <c r="G68" s="36">
        <v>44353</v>
      </c>
    </row>
    <row r="69" spans="6:7" x14ac:dyDescent="0.25">
      <c r="F69" s="43">
        <v>68</v>
      </c>
      <c r="G69" s="36">
        <v>44360</v>
      </c>
    </row>
    <row r="70" spans="6:7" x14ac:dyDescent="0.25">
      <c r="F70" s="43">
        <v>69</v>
      </c>
      <c r="G70" s="36">
        <v>44367</v>
      </c>
    </row>
    <row r="71" spans="6:7" x14ac:dyDescent="0.25">
      <c r="F71" s="43">
        <v>70</v>
      </c>
      <c r="G71" s="36">
        <v>44374</v>
      </c>
    </row>
    <row r="72" spans="6:7" x14ac:dyDescent="0.25">
      <c r="F72" s="43">
        <v>71</v>
      </c>
      <c r="G72" s="36">
        <v>44381</v>
      </c>
    </row>
    <row r="73" spans="6:7" x14ac:dyDescent="0.25">
      <c r="F73" s="43">
        <v>72</v>
      </c>
      <c r="G73" s="36">
        <v>44388</v>
      </c>
    </row>
    <row r="74" spans="6:7" x14ac:dyDescent="0.25">
      <c r="F74" s="43">
        <v>73</v>
      </c>
      <c r="G74" s="36">
        <v>44395</v>
      </c>
    </row>
    <row r="75" spans="6:7" x14ac:dyDescent="0.25">
      <c r="F75" s="43">
        <v>74</v>
      </c>
      <c r="G75" s="36">
        <v>44402</v>
      </c>
    </row>
    <row r="76" spans="6:7" x14ac:dyDescent="0.25">
      <c r="F76" s="43">
        <v>75</v>
      </c>
      <c r="G76" s="36">
        <v>44409</v>
      </c>
    </row>
    <row r="77" spans="6:7" x14ac:dyDescent="0.25">
      <c r="F77" s="43">
        <v>76</v>
      </c>
      <c r="G77" s="36">
        <v>44416</v>
      </c>
    </row>
    <row r="78" spans="6:7" x14ac:dyDescent="0.25">
      <c r="F78" s="43">
        <v>77</v>
      </c>
      <c r="G78" s="36">
        <v>44423</v>
      </c>
    </row>
    <row r="79" spans="6:7" x14ac:dyDescent="0.25">
      <c r="F79" s="43">
        <v>78</v>
      </c>
      <c r="G79" s="36">
        <v>44430</v>
      </c>
    </row>
    <row r="80" spans="6:7" x14ac:dyDescent="0.25">
      <c r="F80" s="43">
        <v>79</v>
      </c>
      <c r="G80" s="36">
        <v>44437</v>
      </c>
    </row>
    <row r="81" spans="6:7" x14ac:dyDescent="0.25">
      <c r="F81" s="43">
        <v>80</v>
      </c>
      <c r="G81" s="36">
        <v>44444</v>
      </c>
    </row>
    <row r="82" spans="6:7" x14ac:dyDescent="0.25">
      <c r="F82" s="43">
        <v>81</v>
      </c>
      <c r="G82" s="36">
        <v>44451</v>
      </c>
    </row>
    <row r="83" spans="6:7" x14ac:dyDescent="0.25">
      <c r="F83" s="43">
        <v>82</v>
      </c>
      <c r="G83" s="36">
        <v>44458</v>
      </c>
    </row>
    <row r="84" spans="6:7" x14ac:dyDescent="0.25">
      <c r="F84" s="43">
        <v>83</v>
      </c>
      <c r="G84" s="36">
        <v>44465</v>
      </c>
    </row>
    <row r="85" spans="6:7" x14ac:dyDescent="0.25">
      <c r="F85" s="43">
        <v>84</v>
      </c>
      <c r="G85" s="36">
        <v>44472</v>
      </c>
    </row>
    <row r="86" spans="6:7" x14ac:dyDescent="0.25">
      <c r="F86" s="43">
        <v>85</v>
      </c>
      <c r="G86" s="36">
        <v>44479</v>
      </c>
    </row>
    <row r="87" spans="6:7" x14ac:dyDescent="0.25">
      <c r="F87" s="43">
        <v>86</v>
      </c>
      <c r="G87" s="36">
        <v>44486</v>
      </c>
    </row>
    <row r="88" spans="6:7" x14ac:dyDescent="0.25">
      <c r="F88" s="43">
        <v>87</v>
      </c>
      <c r="G88" s="36">
        <v>44493</v>
      </c>
    </row>
    <row r="89" spans="6:7" x14ac:dyDescent="0.25">
      <c r="F89" s="43">
        <v>88</v>
      </c>
      <c r="G89" s="36">
        <v>44500</v>
      </c>
    </row>
    <row r="90" spans="6:7" x14ac:dyDescent="0.25">
      <c r="F90" s="43">
        <v>89</v>
      </c>
      <c r="G90" s="36">
        <v>44507</v>
      </c>
    </row>
    <row r="91" spans="6:7" x14ac:dyDescent="0.25">
      <c r="F91" s="43">
        <v>90</v>
      </c>
      <c r="G91" s="36">
        <v>44514</v>
      </c>
    </row>
    <row r="92" spans="6:7" x14ac:dyDescent="0.25">
      <c r="F92" s="43">
        <v>91</v>
      </c>
      <c r="G92" s="36">
        <v>44521</v>
      </c>
    </row>
    <row r="93" spans="6:7" x14ac:dyDescent="0.25">
      <c r="F93" s="43">
        <v>92</v>
      </c>
      <c r="G93" s="36">
        <v>44528</v>
      </c>
    </row>
    <row r="94" spans="6:7" x14ac:dyDescent="0.25">
      <c r="F94" s="43">
        <v>93</v>
      </c>
      <c r="G94" s="36">
        <v>44535</v>
      </c>
    </row>
    <row r="95" spans="6:7" x14ac:dyDescent="0.25">
      <c r="F95" s="43">
        <v>94</v>
      </c>
      <c r="G95" s="36">
        <v>44542</v>
      </c>
    </row>
    <row r="96" spans="6:7" x14ac:dyDescent="0.25">
      <c r="F96" s="43">
        <v>95</v>
      </c>
      <c r="G96" s="36">
        <v>44549</v>
      </c>
    </row>
    <row r="97" spans="6:7" x14ac:dyDescent="0.25">
      <c r="F97" s="43">
        <v>96</v>
      </c>
      <c r="G97" s="36">
        <v>44556</v>
      </c>
    </row>
    <row r="98" spans="6:7" x14ac:dyDescent="0.25">
      <c r="F98" s="43">
        <v>97</v>
      </c>
      <c r="G98" s="36">
        <v>44563</v>
      </c>
    </row>
    <row r="99" spans="6:7" x14ac:dyDescent="0.25">
      <c r="F99" s="43">
        <v>98</v>
      </c>
      <c r="G99" s="36">
        <v>44570</v>
      </c>
    </row>
    <row r="100" spans="6:7" x14ac:dyDescent="0.25">
      <c r="F100" s="43">
        <v>99</v>
      </c>
      <c r="G100" s="36">
        <v>44577</v>
      </c>
    </row>
    <row r="101" spans="6:7" x14ac:dyDescent="0.25">
      <c r="F101" s="43">
        <v>100</v>
      </c>
      <c r="G101" s="36">
        <v>44584</v>
      </c>
    </row>
    <row r="102" spans="6:7" x14ac:dyDescent="0.25">
      <c r="F102" s="43">
        <v>101</v>
      </c>
      <c r="G102" s="36">
        <v>44591</v>
      </c>
    </row>
    <row r="103" spans="6:7" x14ac:dyDescent="0.25">
      <c r="F103" s="43">
        <v>102</v>
      </c>
      <c r="G103" s="36">
        <v>44598</v>
      </c>
    </row>
    <row r="104" spans="6:7" x14ac:dyDescent="0.25">
      <c r="F104" s="43">
        <v>103</v>
      </c>
      <c r="G104" s="36">
        <v>44605</v>
      </c>
    </row>
    <row r="105" spans="6:7" x14ac:dyDescent="0.25">
      <c r="F105" s="43">
        <v>104</v>
      </c>
      <c r="G105" s="36">
        <v>44612</v>
      </c>
    </row>
    <row r="106" spans="6:7" x14ac:dyDescent="0.25">
      <c r="F106" s="43">
        <v>105</v>
      </c>
      <c r="G106" s="36">
        <v>44619</v>
      </c>
    </row>
    <row r="107" spans="6:7" x14ac:dyDescent="0.25">
      <c r="F107" s="43">
        <v>106</v>
      </c>
      <c r="G107" s="36">
        <v>44626</v>
      </c>
    </row>
    <row r="108" spans="6:7" x14ac:dyDescent="0.25">
      <c r="F108" s="43">
        <v>107</v>
      </c>
      <c r="G108" s="36">
        <v>44633</v>
      </c>
    </row>
    <row r="109" spans="6:7" x14ac:dyDescent="0.25">
      <c r="F109" s="43">
        <v>108</v>
      </c>
      <c r="G109" s="36">
        <v>44640</v>
      </c>
    </row>
    <row r="110" spans="6:7" x14ac:dyDescent="0.25">
      <c r="F110" s="43">
        <v>109</v>
      </c>
      <c r="G110" s="36">
        <v>44647</v>
      </c>
    </row>
    <row r="111" spans="6:7" x14ac:dyDescent="0.25">
      <c r="F111" s="43">
        <v>110</v>
      </c>
      <c r="G111" s="36">
        <v>44654</v>
      </c>
    </row>
    <row r="112" spans="6:7" x14ac:dyDescent="0.25">
      <c r="F112" s="43">
        <v>111</v>
      </c>
      <c r="G112" s="36">
        <v>44661</v>
      </c>
    </row>
    <row r="113" spans="6:7" x14ac:dyDescent="0.25">
      <c r="F113" s="43">
        <v>112</v>
      </c>
      <c r="G113" s="36">
        <v>44668</v>
      </c>
    </row>
    <row r="114" spans="6:7" x14ac:dyDescent="0.25">
      <c r="F114" s="43">
        <v>113</v>
      </c>
      <c r="G114" s="36">
        <v>44675</v>
      </c>
    </row>
    <row r="115" spans="6:7" x14ac:dyDescent="0.25">
      <c r="F115" s="43">
        <v>114</v>
      </c>
      <c r="G115" s="36">
        <v>44682</v>
      </c>
    </row>
    <row r="116" spans="6:7" x14ac:dyDescent="0.25">
      <c r="F116" s="43">
        <v>115</v>
      </c>
      <c r="G116" s="36">
        <v>44689</v>
      </c>
    </row>
    <row r="117" spans="6:7" x14ac:dyDescent="0.25">
      <c r="F117" s="43">
        <v>116</v>
      </c>
      <c r="G117" s="36">
        <v>44696</v>
      </c>
    </row>
    <row r="118" spans="6:7" x14ac:dyDescent="0.25">
      <c r="F118" s="43">
        <v>117</v>
      </c>
      <c r="G118" s="36">
        <v>44703</v>
      </c>
    </row>
    <row r="119" spans="6:7" x14ac:dyDescent="0.25">
      <c r="F119" s="43">
        <v>118</v>
      </c>
      <c r="G119" s="36">
        <v>44710</v>
      </c>
    </row>
    <row r="120" spans="6:7" x14ac:dyDescent="0.25">
      <c r="F120" s="43">
        <v>119</v>
      </c>
      <c r="G120" s="36">
        <v>44717</v>
      </c>
    </row>
    <row r="121" spans="6:7" x14ac:dyDescent="0.25">
      <c r="F121" s="43">
        <v>120</v>
      </c>
      <c r="G121" s="36">
        <v>44724</v>
      </c>
    </row>
    <row r="122" spans="6:7" x14ac:dyDescent="0.25">
      <c r="F122" s="43">
        <v>121</v>
      </c>
      <c r="G122" s="36">
        <v>44731</v>
      </c>
    </row>
    <row r="123" spans="6:7" x14ac:dyDescent="0.25">
      <c r="F123" s="43">
        <v>122</v>
      </c>
      <c r="G123" s="36">
        <v>44738</v>
      </c>
    </row>
    <row r="124" spans="6:7" x14ac:dyDescent="0.25">
      <c r="F124" s="43">
        <v>123</v>
      </c>
      <c r="G124" s="36">
        <v>44745</v>
      </c>
    </row>
    <row r="125" spans="6:7" x14ac:dyDescent="0.25">
      <c r="F125" s="43">
        <v>124</v>
      </c>
      <c r="G125" s="36">
        <v>44752</v>
      </c>
    </row>
    <row r="126" spans="6:7" x14ac:dyDescent="0.25">
      <c r="F126" s="43">
        <v>125</v>
      </c>
      <c r="G126" s="36">
        <v>44759</v>
      </c>
    </row>
    <row r="127" spans="6:7" x14ac:dyDescent="0.25">
      <c r="F127" s="43">
        <v>126</v>
      </c>
      <c r="G127" s="36">
        <v>44766</v>
      </c>
    </row>
    <row r="128" spans="6:7" x14ac:dyDescent="0.25">
      <c r="F128" s="43">
        <v>127</v>
      </c>
      <c r="G128" s="36">
        <v>44773</v>
      </c>
    </row>
    <row r="129" spans="7:7" x14ac:dyDescent="0.25">
      <c r="G129" s="58"/>
    </row>
    <row r="130" spans="7:7" x14ac:dyDescent="0.25">
      <c r="G130" s="58"/>
    </row>
    <row r="131" spans="7:7" x14ac:dyDescent="0.25">
      <c r="G131" s="58"/>
    </row>
    <row r="132" spans="7:7" x14ac:dyDescent="0.25">
      <c r="G132" s="58"/>
    </row>
    <row r="133" spans="7:7" x14ac:dyDescent="0.25">
      <c r="G133" s="58"/>
    </row>
    <row r="134" spans="7:7" x14ac:dyDescent="0.25">
      <c r="G134" s="58"/>
    </row>
    <row r="135" spans="7:7" x14ac:dyDescent="0.25">
      <c r="G135" s="58"/>
    </row>
    <row r="136" spans="7:7" x14ac:dyDescent="0.25">
      <c r="G136" s="58"/>
    </row>
    <row r="137" spans="7:7" x14ac:dyDescent="0.25">
      <c r="G137" s="58"/>
    </row>
    <row r="138" spans="7:7" x14ac:dyDescent="0.25">
      <c r="G138" s="58"/>
    </row>
    <row r="139" spans="7:7" x14ac:dyDescent="0.25">
      <c r="G139" s="58"/>
    </row>
    <row r="140" spans="7:7" x14ac:dyDescent="0.25">
      <c r="G140" s="58"/>
    </row>
    <row r="141" spans="7:7" x14ac:dyDescent="0.25">
      <c r="G141" s="58"/>
    </row>
    <row r="142" spans="7:7" x14ac:dyDescent="0.25">
      <c r="G142" s="58"/>
    </row>
    <row r="143" spans="7:7" x14ac:dyDescent="0.25">
      <c r="G143" s="58"/>
    </row>
    <row r="144" spans="7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F4" sqref="F4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98</v>
      </c>
    </row>
    <row r="2" spans="1:17" ht="15.75" thickBot="1" x14ac:dyDescent="0.3">
      <c r="A2" s="60" t="s">
        <v>99</v>
      </c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100</v>
      </c>
      <c r="G3" s="63">
        <f>Vaccination!F77</f>
        <v>76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610.79999999999995</v>
      </c>
      <c r="C4" s="65">
        <v>238.1</v>
      </c>
      <c r="D4" s="65">
        <v>943.7</v>
      </c>
      <c r="F4" s="59" t="str">
        <f>"[["&amp;$G$3&amp;", "&amp;B4&amp;", "&amp;C4&amp;", "&amp;D4&amp;"]]," &amp; "  # "&amp;A4</f>
        <v>[[76, 610.8, 238.1, 943.7]],  # Overall</v>
      </c>
    </row>
    <row r="5" spans="1:17" x14ac:dyDescent="0.25">
      <c r="A5" s="66" t="s">
        <v>26</v>
      </c>
      <c r="B5" s="65">
        <v>66.599999999999994</v>
      </c>
      <c r="C5" s="65">
        <v>31.5</v>
      </c>
      <c r="D5" s="65">
        <v>121.3</v>
      </c>
      <c r="F5" s="59" t="str">
        <f t="shared" ref="F5:F12" si="0">"[["&amp;$G$3&amp;", "&amp;B5&amp;", "&amp;C5&amp;", "&amp;D5&amp;"]]," &amp; "  # "&amp;A5</f>
        <v>[[76, 66.6, 31.5, 121.3]],  # 0-4</v>
      </c>
      <c r="K5" s="5" t="str">
        <f>A5</f>
        <v>0-4</v>
      </c>
      <c r="L5" s="43">
        <f>B5</f>
        <v>66.599999999999994</v>
      </c>
      <c r="M5" s="43">
        <f>'Risks by age'!L7</f>
        <v>19.579999999999998</v>
      </c>
      <c r="N5" s="53">
        <f>L5*M5*10</f>
        <v>13040.279999999999</v>
      </c>
      <c r="O5" s="51">
        <f>N5/$N$13</f>
        <v>6.3484592760378721E-3</v>
      </c>
      <c r="Q5" s="59" t="str">
        <f>"[["&amp;$G$3&amp;", "&amp;TEXT(O5*100,"#0.0")&amp;"]]," &amp; "   # "&amp;K5</f>
        <v>[[76, 0.6]],   # 0-4</v>
      </c>
    </row>
    <row r="6" spans="1:17" x14ac:dyDescent="0.25">
      <c r="A6" s="67" t="s">
        <v>47</v>
      </c>
      <c r="B6" s="65">
        <v>21.2</v>
      </c>
      <c r="C6" s="65">
        <v>12.1</v>
      </c>
      <c r="D6" s="65">
        <v>29.3</v>
      </c>
      <c r="F6" s="59" t="str">
        <f t="shared" si="0"/>
        <v>[[76, 21.2, 12.1, 29.3]],  # 5-12</v>
      </c>
      <c r="K6" s="5" t="str">
        <f t="shared" ref="K6:K12" si="1">A6</f>
        <v>5-12</v>
      </c>
      <c r="L6" s="43">
        <f t="shared" ref="L6:L12" si="2">B6</f>
        <v>21.2</v>
      </c>
      <c r="M6" s="43">
        <f>'Risks by age'!L8</f>
        <v>32.67</v>
      </c>
      <c r="N6" s="53">
        <f t="shared" ref="N6:N12" si="3">L6*M6*10</f>
        <v>6926.0400000000009</v>
      </c>
      <c r="O6" s="51">
        <f t="shared" ref="O6:O12" si="4">N6/$N$13</f>
        <v>3.371835795259715E-3</v>
      </c>
      <c r="Q6" s="59" t="str">
        <f t="shared" ref="Q6:Q12" si="5">"[["&amp;$G$3&amp;", "&amp;TEXT(O6*100,"#0.0")&amp;"]]," &amp; "   # "&amp;K6</f>
        <v>[[76, 0.3]],   # 5-12</v>
      </c>
    </row>
    <row r="7" spans="1:17" x14ac:dyDescent="0.25">
      <c r="A7" s="67" t="s">
        <v>101</v>
      </c>
      <c r="B7" s="65">
        <v>58.4</v>
      </c>
      <c r="C7" s="65">
        <v>28.3</v>
      </c>
      <c r="D7" s="65">
        <v>101.2</v>
      </c>
      <c r="F7" s="59" t="str">
        <f t="shared" si="0"/>
        <v>[[76, 58.4, 28.3, 101.2]],  # 12-17</v>
      </c>
      <c r="K7" s="5" t="str">
        <f t="shared" si="1"/>
        <v>12-17</v>
      </c>
      <c r="L7" s="43">
        <f t="shared" si="2"/>
        <v>58.4</v>
      </c>
      <c r="M7" s="43">
        <f>'Risks by age'!L9</f>
        <v>20.956</v>
      </c>
      <c r="N7" s="53">
        <f t="shared" si="3"/>
        <v>12238.304</v>
      </c>
      <c r="O7" s="51">
        <f t="shared" si="4"/>
        <v>5.958029624499735E-3</v>
      </c>
      <c r="Q7" s="59" t="str">
        <f t="shared" si="5"/>
        <v>[[76, 0.6]],   # 12-17</v>
      </c>
    </row>
    <row r="8" spans="1:17" x14ac:dyDescent="0.25">
      <c r="A8" s="66" t="s">
        <v>49</v>
      </c>
      <c r="B8" s="65">
        <v>229.7</v>
      </c>
      <c r="C8" s="65">
        <v>65.2</v>
      </c>
      <c r="D8" s="65">
        <v>388.7</v>
      </c>
      <c r="F8" s="59" t="str">
        <f t="shared" si="0"/>
        <v>[[76, 229.7, 65.2, 388.7]],  # 18-29</v>
      </c>
      <c r="K8" s="5" t="str">
        <f t="shared" si="1"/>
        <v>18-29</v>
      </c>
      <c r="L8" s="43">
        <f t="shared" si="2"/>
        <v>229.7</v>
      </c>
      <c r="M8" s="43">
        <f>'Risks by age'!L10</f>
        <v>53.554000000000002</v>
      </c>
      <c r="N8" s="53">
        <f t="shared" si="3"/>
        <v>123013.53799999999</v>
      </c>
      <c r="O8" s="51">
        <f t="shared" si="4"/>
        <v>5.9887244475911351E-2</v>
      </c>
      <c r="Q8" s="59" t="str">
        <f t="shared" si="5"/>
        <v>[[76, 6.0]],   # 18-29</v>
      </c>
    </row>
    <row r="9" spans="1:17" x14ac:dyDescent="0.25">
      <c r="A9" s="66" t="s">
        <v>50</v>
      </c>
      <c r="B9" s="65">
        <v>451.7</v>
      </c>
      <c r="C9" s="65">
        <v>135.6</v>
      </c>
      <c r="D9" s="65">
        <v>688.3</v>
      </c>
      <c r="F9" s="59" t="str">
        <f t="shared" si="0"/>
        <v>[[76, 451.7, 135.6, 688.3]],  # 30-49</v>
      </c>
      <c r="K9" s="5" t="str">
        <f t="shared" si="1"/>
        <v>30-49</v>
      </c>
      <c r="L9" s="43">
        <f t="shared" si="2"/>
        <v>451.7</v>
      </c>
      <c r="M9" s="43">
        <f>'Risks by age'!L11</f>
        <v>84.48</v>
      </c>
      <c r="N9" s="53">
        <f t="shared" si="3"/>
        <v>381596.16000000003</v>
      </c>
      <c r="O9" s="51">
        <f t="shared" si="4"/>
        <v>0.18577420742901476</v>
      </c>
      <c r="Q9" s="59" t="str">
        <f t="shared" si="5"/>
        <v>[[76, 18.6]],   # 30-49</v>
      </c>
    </row>
    <row r="10" spans="1:17" x14ac:dyDescent="0.25">
      <c r="A10" s="66" t="s">
        <v>27</v>
      </c>
      <c r="B10" s="65">
        <v>874.1</v>
      </c>
      <c r="C10" s="65">
        <v>349</v>
      </c>
      <c r="D10" s="65">
        <v>1191.2</v>
      </c>
      <c r="F10" s="59" t="str">
        <f t="shared" si="0"/>
        <v>[[76, 874.1, 349, 1191.2]],  # 50-64</v>
      </c>
      <c r="K10" s="5" t="str">
        <f t="shared" si="1"/>
        <v>50-64</v>
      </c>
      <c r="L10" s="43">
        <f t="shared" si="2"/>
        <v>874.1</v>
      </c>
      <c r="M10" s="43">
        <f>'Risks by age'!L12</f>
        <v>62.92</v>
      </c>
      <c r="N10" s="53">
        <f t="shared" si="3"/>
        <v>549983.72</v>
      </c>
      <c r="O10" s="51">
        <f t="shared" si="4"/>
        <v>0.26775109498444943</v>
      </c>
      <c r="Q10" s="59" t="str">
        <f t="shared" si="5"/>
        <v>[[76, 26.8]],   # 50-64</v>
      </c>
    </row>
    <row r="11" spans="1:17" x14ac:dyDescent="0.25">
      <c r="A11" s="66" t="s">
        <v>29</v>
      </c>
      <c r="B11" s="65">
        <v>1305.7</v>
      </c>
      <c r="C11" s="65">
        <v>504.9</v>
      </c>
      <c r="D11" s="65">
        <v>1938.8</v>
      </c>
      <c r="F11" s="59" t="str">
        <f t="shared" si="0"/>
        <v>[[76, 1305.7, 504.9, 1938.8]],  # 65-74</v>
      </c>
      <c r="K11" s="5" t="str">
        <f t="shared" si="1"/>
        <v>65-74</v>
      </c>
      <c r="L11" s="43">
        <f t="shared" si="2"/>
        <v>1305.7</v>
      </c>
      <c r="M11" s="43">
        <f>'Risks by age'!L13</f>
        <v>31.49</v>
      </c>
      <c r="N11" s="53">
        <f t="shared" si="3"/>
        <v>411164.93000000005</v>
      </c>
      <c r="O11" s="51">
        <f t="shared" si="4"/>
        <v>0.20016930724186621</v>
      </c>
      <c r="Q11" s="59" t="str">
        <f t="shared" si="5"/>
        <v>[[76, 20.0]],   # 65-74</v>
      </c>
    </row>
    <row r="12" spans="1:17" x14ac:dyDescent="0.25">
      <c r="A12" s="66" t="s">
        <v>30</v>
      </c>
      <c r="B12" s="65">
        <v>2462.9</v>
      </c>
      <c r="C12" s="65">
        <v>1179.8</v>
      </c>
      <c r="D12" s="65">
        <v>3660.8</v>
      </c>
      <c r="F12" s="59" t="str">
        <f t="shared" si="0"/>
        <v>[[76, 2462.9, 1179.8, 3660.8]],  # 75+</v>
      </c>
      <c r="K12" s="3" t="str">
        <f t="shared" si="1"/>
        <v>75+</v>
      </c>
      <c r="L12" s="33">
        <f t="shared" si="2"/>
        <v>2462.9</v>
      </c>
      <c r="M12" s="33">
        <f>'Risks by age'!L14</f>
        <v>22.58</v>
      </c>
      <c r="N12" s="54">
        <f t="shared" si="3"/>
        <v>556122.81999999995</v>
      </c>
      <c r="O12" s="56">
        <f t="shared" si="4"/>
        <v>0.27073982117296103</v>
      </c>
      <c r="Q12" s="59" t="str">
        <f t="shared" si="5"/>
        <v>[[76, 27.1]],   # 75+</v>
      </c>
    </row>
    <row r="13" spans="1:17" x14ac:dyDescent="0.25">
      <c r="K13"/>
      <c r="L13"/>
      <c r="M13">
        <f>SUM(M5:M12)</f>
        <v>328.23</v>
      </c>
      <c r="N13" s="53">
        <f>SUM(N5:N12)</f>
        <v>2054085.7919999999</v>
      </c>
      <c r="O13" s="51">
        <f>SUM(O5:O12)</f>
        <v>1</v>
      </c>
    </row>
    <row r="14" spans="1:17" x14ac:dyDescent="0.25">
      <c r="K14"/>
      <c r="L14" t="s">
        <v>56</v>
      </c>
      <c r="M14"/>
      <c r="N14" s="55">
        <f>N13/(M13*10)</f>
        <v>625.80684032538147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H4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77" t="s">
        <v>33</v>
      </c>
      <c r="N5" s="77"/>
      <c r="O5" s="78" t="s">
        <v>53</v>
      </c>
      <c r="P5" s="78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tabSelected="1" topLeftCell="B1" workbookViewId="0">
      <selection activeCell="V23" sqref="V23"/>
    </sheetView>
  </sheetViews>
  <sheetFormatPr defaultRowHeight="15" x14ac:dyDescent="0.25"/>
  <sheetData>
    <row r="1" spans="1:32" x14ac:dyDescent="0.25">
      <c r="W1" t="s">
        <v>102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>D2</f>
        <v>Region 1</v>
      </c>
      <c r="X2" t="str">
        <f>E2</f>
        <v>Region 2</v>
      </c>
      <c r="Y2" t="str">
        <f>F2</f>
        <v>Region 3</v>
      </c>
      <c r="Z2" t="str">
        <f>G2</f>
        <v>Region 4</v>
      </c>
      <c r="AA2" t="str">
        <f>H2</f>
        <v>Region 5</v>
      </c>
      <c r="AB2" t="str">
        <f>I2</f>
        <v>Region 6</v>
      </c>
      <c r="AC2" t="str">
        <f>J2</f>
        <v>Region 7</v>
      </c>
      <c r="AD2" t="str">
        <f>K2</f>
        <v>Region 8</v>
      </c>
      <c r="AE2" t="str">
        <f>L2</f>
        <v>Region 9</v>
      </c>
      <c r="AF2" t="str">
        <f>M2</f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A3+78-2</f>
        <v>78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  <c r="V3" s="17"/>
      <c r="W3" s="17">
        <f>(D3-$C3)</f>
        <v>0</v>
      </c>
      <c r="X3" s="17">
        <f t="shared" ref="X3:AF3" si="0">(E3-$C3)</f>
        <v>-1E-3</v>
      </c>
      <c r="Y3" s="17">
        <f t="shared" si="0"/>
        <v>0</v>
      </c>
      <c r="Z3" s="17">
        <f t="shared" si="0"/>
        <v>0</v>
      </c>
      <c r="AA3" s="17">
        <f t="shared" si="0"/>
        <v>0</v>
      </c>
      <c r="AB3" s="17">
        <f t="shared" si="0"/>
        <v>2E-3</v>
      </c>
      <c r="AC3" s="17">
        <f t="shared" si="0"/>
        <v>-1E-3</v>
      </c>
      <c r="AD3" s="17">
        <f t="shared" si="0"/>
        <v>0</v>
      </c>
      <c r="AE3" s="17">
        <f t="shared" si="0"/>
        <v>1E-3</v>
      </c>
      <c r="AF3" s="17">
        <f t="shared" si="0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1">A4+78-2</f>
        <v>80</v>
      </c>
      <c r="P4" s="15">
        <f t="shared" ref="P4:P19" si="2">C4</f>
        <v>6.0000000000000001E-3</v>
      </c>
      <c r="Q4" s="17">
        <f t="shared" ref="Q4:Q19" si="3">MIN(C4:M4)</f>
        <v>3.0000000000000001E-3</v>
      </c>
      <c r="R4" s="17">
        <f t="shared" ref="R4:R19" si="4">MAX(C4:M4)</f>
        <v>1.2E-2</v>
      </c>
      <c r="S4" t="str">
        <f t="shared" ref="S4:S19" si="5">"["&amp;O4&amp;", "&amp;P4*100&amp;", "&amp;Q4*100&amp;", "&amp;R4*100&amp;"],"</f>
        <v>[80, 0.6, 0.3, 1.2],</v>
      </c>
      <c r="W4" s="17">
        <f t="shared" ref="W4:W19" si="6">(D4-$C4)</f>
        <v>-3.0000000000000001E-3</v>
      </c>
      <c r="X4" s="17">
        <f t="shared" ref="X4:X19" si="7">(E4-$C4)</f>
        <v>-1E-3</v>
      </c>
      <c r="Y4" s="17">
        <f t="shared" ref="Y4:Y19" si="8">(F4-$C4)</f>
        <v>1E-3</v>
      </c>
      <c r="Z4" s="17">
        <f t="shared" ref="Z4:Z19" si="9">(G4-$C4)</f>
        <v>-1E-3</v>
      </c>
      <c r="AA4" s="17">
        <f t="shared" ref="AA4:AA19" si="10">(H4-$C4)</f>
        <v>-2E-3</v>
      </c>
      <c r="AB4" s="17">
        <f t="shared" ref="AB4:AB19" si="11">(I4-$C4)</f>
        <v>2E-3</v>
      </c>
      <c r="AC4" s="17">
        <f t="shared" ref="AC4:AC19" si="12">(J4-$C4)</f>
        <v>-3.0000000000000001E-3</v>
      </c>
      <c r="AD4" s="17">
        <f t="shared" ref="AD4:AD19" si="13">(K4-$C4)</f>
        <v>4.0000000000000001E-3</v>
      </c>
      <c r="AE4" s="17">
        <f t="shared" ref="AE4:AE19" si="14">(L4-$C4)</f>
        <v>6.0000000000000001E-3</v>
      </c>
      <c r="AF4" s="17">
        <f t="shared" ref="AF4:AF19" si="15">(M4-$C4)</f>
        <v>-1E-3</v>
      </c>
    </row>
    <row r="5" spans="1:32" x14ac:dyDescent="0.25">
      <c r="A5" s="43">
        <f t="shared" ref="A5:A19" si="16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1"/>
        <v>82</v>
      </c>
      <c r="P5" s="15">
        <f t="shared" si="2"/>
        <v>1.4E-2</v>
      </c>
      <c r="Q5" s="17">
        <f t="shared" si="3"/>
        <v>8.0000000000000002E-3</v>
      </c>
      <c r="R5" s="17">
        <f t="shared" si="4"/>
        <v>2.4E-2</v>
      </c>
      <c r="S5" t="str">
        <f t="shared" si="5"/>
        <v>[82, 1.4, 0.8, 2.4],</v>
      </c>
      <c r="W5" s="17">
        <f t="shared" si="6"/>
        <v>-1.0000000000000009E-3</v>
      </c>
      <c r="X5" s="17">
        <f t="shared" si="7"/>
        <v>2E-3</v>
      </c>
      <c r="Y5" s="17">
        <f t="shared" si="8"/>
        <v>-6.0000000000000001E-3</v>
      </c>
      <c r="Z5" s="17">
        <f t="shared" si="9"/>
        <v>-3.0000000000000009E-3</v>
      </c>
      <c r="AA5" s="17">
        <f t="shared" si="10"/>
        <v>-3.0000000000000009E-3</v>
      </c>
      <c r="AB5" s="17">
        <f t="shared" si="11"/>
        <v>6.0000000000000001E-3</v>
      </c>
      <c r="AC5" s="17">
        <f t="shared" si="12"/>
        <v>9.9999999999999915E-4</v>
      </c>
      <c r="AD5" s="17">
        <f t="shared" si="13"/>
        <v>7.000000000000001E-3</v>
      </c>
      <c r="AE5" s="17">
        <f t="shared" si="14"/>
        <v>0.01</v>
      </c>
      <c r="AF5" s="17">
        <f t="shared" si="15"/>
        <v>-3.0000000000000009E-3</v>
      </c>
    </row>
    <row r="6" spans="1:32" x14ac:dyDescent="0.25">
      <c r="A6" s="43">
        <f t="shared" si="16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1"/>
        <v>84</v>
      </c>
      <c r="P6" s="15">
        <f t="shared" si="2"/>
        <v>2.4E-2</v>
      </c>
      <c r="Q6" s="17">
        <f t="shared" si="3"/>
        <v>1.2E-2</v>
      </c>
      <c r="R6" s="17">
        <f t="shared" si="4"/>
        <v>7.4999999999999997E-2</v>
      </c>
      <c r="S6" t="str">
        <f t="shared" si="5"/>
        <v>[84, 2.4, 1.2, 7.5],</v>
      </c>
      <c r="W6" s="17">
        <f t="shared" si="6"/>
        <v>1.9999999999999983E-3</v>
      </c>
      <c r="X6" s="17">
        <f t="shared" si="7"/>
        <v>5.9999999999999984E-3</v>
      </c>
      <c r="Y6" s="17">
        <f t="shared" si="8"/>
        <v>-1.2E-2</v>
      </c>
      <c r="Z6" s="17">
        <f t="shared" si="9"/>
        <v>-8.0000000000000002E-3</v>
      </c>
      <c r="AA6" s="17">
        <f t="shared" si="10"/>
        <v>-8.0000000000000002E-3</v>
      </c>
      <c r="AB6" s="17">
        <f t="shared" si="11"/>
        <v>5.000000000000001E-3</v>
      </c>
      <c r="AC6" s="17">
        <f t="shared" si="12"/>
        <v>2.9999999999999992E-3</v>
      </c>
      <c r="AD6" s="17">
        <f t="shared" si="13"/>
        <v>5.0999999999999997E-2</v>
      </c>
      <c r="AE6" s="17">
        <f t="shared" si="14"/>
        <v>1.4999999999999999E-2</v>
      </c>
      <c r="AF6" s="17">
        <f t="shared" si="15"/>
        <v>-5.000000000000001E-3</v>
      </c>
    </row>
    <row r="7" spans="1:32" x14ac:dyDescent="0.25">
      <c r="A7" s="43">
        <f t="shared" si="16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1"/>
        <v>86</v>
      </c>
      <c r="P7" s="15">
        <f t="shared" si="2"/>
        <v>3.7999999999999999E-2</v>
      </c>
      <c r="Q7" s="17">
        <f t="shared" si="3"/>
        <v>2.1000000000000001E-2</v>
      </c>
      <c r="R7" s="17">
        <f t="shared" si="4"/>
        <v>0.13900000000000001</v>
      </c>
      <c r="S7" t="str">
        <f t="shared" si="5"/>
        <v>[86, 3.8, 2.1, 13.9],</v>
      </c>
      <c r="W7" s="17">
        <f t="shared" si="6"/>
        <v>3.0000000000000027E-3</v>
      </c>
      <c r="X7" s="17">
        <f t="shared" si="7"/>
        <v>-3.9999999999999966E-3</v>
      </c>
      <c r="Y7" s="17">
        <f t="shared" si="8"/>
        <v>-1.6999999999999998E-2</v>
      </c>
      <c r="Z7" s="17">
        <f t="shared" si="9"/>
        <v>-1.4999999999999999E-2</v>
      </c>
      <c r="AA7" s="17">
        <f t="shared" si="10"/>
        <v>-8.9999999999999976E-3</v>
      </c>
      <c r="AB7" s="17">
        <f t="shared" si="11"/>
        <v>2.0999999999999998E-2</v>
      </c>
      <c r="AC7" s="17">
        <f t="shared" si="12"/>
        <v>0.10100000000000001</v>
      </c>
      <c r="AD7" s="17">
        <f t="shared" si="13"/>
        <v>0.04</v>
      </c>
      <c r="AE7" s="17">
        <f t="shared" si="14"/>
        <v>2.0000000000000018E-3</v>
      </c>
      <c r="AF7" s="17">
        <f t="shared" si="15"/>
        <v>-1.2E-2</v>
      </c>
    </row>
    <row r="8" spans="1:32" x14ac:dyDescent="0.25">
      <c r="A8" s="43">
        <f t="shared" si="16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1"/>
        <v>88</v>
      </c>
      <c r="P8" s="15">
        <f t="shared" si="2"/>
        <v>7.0000000000000007E-2</v>
      </c>
      <c r="Q8" s="17">
        <f t="shared" si="3"/>
        <v>2.3E-2</v>
      </c>
      <c r="R8" s="17">
        <f t="shared" si="4"/>
        <v>0.23599999999999999</v>
      </c>
      <c r="S8" t="str">
        <f t="shared" si="5"/>
        <v>[88, 7, 2.3, 23.6],</v>
      </c>
      <c r="W8" s="17">
        <f t="shared" si="6"/>
        <v>-1.100000000000001E-2</v>
      </c>
      <c r="X8" s="17">
        <f t="shared" si="7"/>
        <v>-5.0000000000000044E-3</v>
      </c>
      <c r="Y8" s="17">
        <f t="shared" si="8"/>
        <v>-4.7000000000000007E-2</v>
      </c>
      <c r="Z8" s="17">
        <f t="shared" si="9"/>
        <v>-3.2000000000000008E-2</v>
      </c>
      <c r="AA8" s="17">
        <f t="shared" si="10"/>
        <v>-2.2000000000000006E-2</v>
      </c>
      <c r="AB8" s="17">
        <f t="shared" si="11"/>
        <v>7.9999999999999932E-3</v>
      </c>
      <c r="AC8" s="17">
        <f t="shared" si="12"/>
        <v>0.16599999999999998</v>
      </c>
      <c r="AD8" s="17">
        <f t="shared" si="13"/>
        <v>0.151</v>
      </c>
      <c r="AE8" s="17">
        <f t="shared" si="14"/>
        <v>4.0999999999999995E-2</v>
      </c>
      <c r="AF8" s="17">
        <f t="shared" si="15"/>
        <v>-2.8000000000000004E-2</v>
      </c>
    </row>
    <row r="9" spans="1:32" x14ac:dyDescent="0.25">
      <c r="A9" s="43">
        <f t="shared" si="16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1"/>
        <v>90</v>
      </c>
      <c r="P9" s="15">
        <f t="shared" si="2"/>
        <v>0.14099999999999999</v>
      </c>
      <c r="Q9" s="17">
        <f t="shared" si="3"/>
        <v>5.0999999999999997E-2</v>
      </c>
      <c r="R9" s="17">
        <f t="shared" si="4"/>
        <v>0.44700000000000001</v>
      </c>
      <c r="S9" t="str">
        <f t="shared" si="5"/>
        <v>[90, 14.1, 5.1, 44.7],</v>
      </c>
      <c r="W9" s="17">
        <f t="shared" si="6"/>
        <v>-6.699999999999999E-2</v>
      </c>
      <c r="X9" s="17">
        <f t="shared" si="7"/>
        <v>-1.4999999999999986E-2</v>
      </c>
      <c r="Y9" s="17">
        <f t="shared" si="8"/>
        <v>-0.09</v>
      </c>
      <c r="Z9" s="17">
        <f t="shared" si="9"/>
        <v>-8.0999999999999989E-2</v>
      </c>
      <c r="AA9" s="17">
        <f t="shared" si="10"/>
        <v>-4.7999999999999987E-2</v>
      </c>
      <c r="AB9" s="17">
        <f t="shared" si="11"/>
        <v>5.1000000000000018E-2</v>
      </c>
      <c r="AC9" s="17">
        <f t="shared" si="12"/>
        <v>0.30600000000000005</v>
      </c>
      <c r="AD9" s="17">
        <f t="shared" si="13"/>
        <v>0.17800000000000002</v>
      </c>
      <c r="AE9" s="17">
        <f t="shared" si="14"/>
        <v>6.7000000000000004E-2</v>
      </c>
      <c r="AF9" s="17">
        <f t="shared" si="15"/>
        <v>-5.099999999999999E-2</v>
      </c>
    </row>
    <row r="10" spans="1:32" x14ac:dyDescent="0.25">
      <c r="A10" s="43">
        <f t="shared" si="16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1"/>
        <v>92</v>
      </c>
      <c r="P10" s="15">
        <f t="shared" si="2"/>
        <v>0.26100000000000001</v>
      </c>
      <c r="Q10" s="17">
        <f t="shared" si="3"/>
        <v>4.9000000000000002E-2</v>
      </c>
      <c r="R10" s="17">
        <f t="shared" si="4"/>
        <v>0.70599999999999996</v>
      </c>
      <c r="S10" t="str">
        <f t="shared" si="5"/>
        <v>[92, 26.1, 4.9, 70.6],</v>
      </c>
      <c r="W10" s="17">
        <f t="shared" si="6"/>
        <v>-0.21200000000000002</v>
      </c>
      <c r="X10" s="17">
        <f t="shared" si="7"/>
        <v>8.0000000000000071E-3</v>
      </c>
      <c r="Y10" s="17">
        <f t="shared" si="8"/>
        <v>-0.17500000000000002</v>
      </c>
      <c r="Z10" s="17">
        <f t="shared" si="9"/>
        <v>-9.1999999999999998E-2</v>
      </c>
      <c r="AA10" s="17">
        <f t="shared" si="10"/>
        <v>-7.6000000000000012E-2</v>
      </c>
      <c r="AB10" s="17">
        <f t="shared" si="11"/>
        <v>4.8999999999999988E-2</v>
      </c>
      <c r="AC10" s="17">
        <f t="shared" si="12"/>
        <v>0.44499999999999995</v>
      </c>
      <c r="AD10" s="17">
        <f t="shared" si="13"/>
        <v>0.27200000000000002</v>
      </c>
      <c r="AE10" s="17">
        <f t="shared" si="14"/>
        <v>1.100000000000001E-2</v>
      </c>
      <c r="AF10" s="17">
        <f t="shared" si="15"/>
        <v>-0.14300000000000002</v>
      </c>
    </row>
    <row r="11" spans="1:32" x14ac:dyDescent="0.25">
      <c r="A11" s="43">
        <f t="shared" si="16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1"/>
        <v>94</v>
      </c>
      <c r="P11" s="15">
        <f t="shared" si="2"/>
        <v>0.372</v>
      </c>
      <c r="Q11" s="17">
        <f t="shared" si="3"/>
        <v>0.16300000000000001</v>
      </c>
      <c r="R11" s="17">
        <f t="shared" si="4"/>
        <v>0.77700000000000002</v>
      </c>
      <c r="S11" t="str">
        <f t="shared" si="5"/>
        <v>[94, 37.2, 16.3, 77.7],</v>
      </c>
      <c r="W11" s="17">
        <f t="shared" si="6"/>
        <v>-0.11299999999999999</v>
      </c>
      <c r="X11" s="17">
        <f t="shared" si="7"/>
        <v>-4.0000000000000036E-3</v>
      </c>
      <c r="Y11" s="17">
        <f t="shared" si="8"/>
        <v>-0.20899999999999999</v>
      </c>
      <c r="Z11" s="17">
        <f t="shared" si="9"/>
        <v>-0.12</v>
      </c>
      <c r="AA11" s="17">
        <f t="shared" si="10"/>
        <v>-7.400000000000001E-2</v>
      </c>
      <c r="AB11" s="17">
        <f t="shared" si="11"/>
        <v>2.200000000000002E-2</v>
      </c>
      <c r="AC11" s="17">
        <f t="shared" si="12"/>
        <v>0.40500000000000003</v>
      </c>
      <c r="AD11" s="17">
        <f t="shared" si="13"/>
        <v>0.27600000000000002</v>
      </c>
      <c r="AE11" s="17">
        <f t="shared" si="14"/>
        <v>4.8999999999999988E-2</v>
      </c>
      <c r="AF11" s="17">
        <f t="shared" si="15"/>
        <v>-0.2</v>
      </c>
    </row>
    <row r="12" spans="1:32" x14ac:dyDescent="0.25">
      <c r="A12" s="43">
        <f t="shared" si="16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1"/>
        <v>96</v>
      </c>
      <c r="P12" s="15">
        <f t="shared" si="2"/>
        <v>0.53600000000000003</v>
      </c>
      <c r="Q12" s="17">
        <f t="shared" si="3"/>
        <v>0.28100000000000003</v>
      </c>
      <c r="R12" s="17">
        <f t="shared" si="4"/>
        <v>0.878</v>
      </c>
      <c r="S12" t="str">
        <f t="shared" si="5"/>
        <v>[96, 53.6, 28.1, 87.8],</v>
      </c>
      <c r="W12" s="17">
        <f t="shared" si="6"/>
        <v>-0.22400000000000003</v>
      </c>
      <c r="X12" s="17">
        <f t="shared" si="7"/>
        <v>4.0000000000000036E-3</v>
      </c>
      <c r="Y12" s="17">
        <f t="shared" si="8"/>
        <v>-0.255</v>
      </c>
      <c r="Z12" s="17">
        <f t="shared" si="9"/>
        <v>-0.11200000000000004</v>
      </c>
      <c r="AA12" s="17">
        <f t="shared" si="10"/>
        <v>-5.7000000000000051E-2</v>
      </c>
      <c r="AB12" s="17">
        <f t="shared" si="11"/>
        <v>1.4000000000000012E-2</v>
      </c>
      <c r="AC12" s="17">
        <f t="shared" si="12"/>
        <v>0.34199999999999997</v>
      </c>
      <c r="AD12" s="17">
        <f t="shared" si="13"/>
        <v>0.249</v>
      </c>
      <c r="AE12" s="17">
        <f t="shared" si="14"/>
        <v>4.2999999999999927E-2</v>
      </c>
      <c r="AF12" s="17">
        <f t="shared" si="15"/>
        <v>-0.22100000000000003</v>
      </c>
    </row>
    <row r="13" spans="1:32" x14ac:dyDescent="0.25">
      <c r="A13" s="43">
        <f t="shared" si="16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1"/>
        <v>98</v>
      </c>
      <c r="P13" s="15">
        <f t="shared" si="2"/>
        <v>0.69399999999999995</v>
      </c>
      <c r="Q13" s="17">
        <f t="shared" si="3"/>
        <v>0.51900000000000002</v>
      </c>
      <c r="R13" s="17">
        <f t="shared" si="4"/>
        <v>0.93</v>
      </c>
      <c r="S13" t="str">
        <f t="shared" si="5"/>
        <v>[98, 69.4, 51.9, 93],</v>
      </c>
      <c r="W13" s="17">
        <f t="shared" si="6"/>
        <v>-0.17499999999999993</v>
      </c>
      <c r="X13" s="17">
        <f t="shared" si="7"/>
        <v>4.0000000000000036E-3</v>
      </c>
      <c r="Y13" s="17">
        <f t="shared" si="8"/>
        <v>-0.1319999999999999</v>
      </c>
      <c r="Z13" s="17">
        <f t="shared" si="9"/>
        <v>-6.7999999999999949E-2</v>
      </c>
      <c r="AA13" s="17">
        <f t="shared" si="10"/>
        <v>-4.1999999999999926E-2</v>
      </c>
      <c r="AB13" s="17">
        <f t="shared" si="11"/>
        <v>1.0000000000000009E-2</v>
      </c>
      <c r="AC13" s="17">
        <f t="shared" si="12"/>
        <v>0.2360000000000001</v>
      </c>
      <c r="AD13" s="17">
        <f t="shared" si="13"/>
        <v>0.16900000000000004</v>
      </c>
      <c r="AE13" s="17">
        <f t="shared" si="14"/>
        <v>1.3000000000000012E-2</v>
      </c>
      <c r="AF13" s="17">
        <f t="shared" si="15"/>
        <v>-0.14999999999999991</v>
      </c>
    </row>
    <row r="14" spans="1:32" x14ac:dyDescent="0.25">
      <c r="A14" s="43">
        <f t="shared" si="16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1"/>
        <v>100</v>
      </c>
      <c r="P14" s="15">
        <f t="shared" si="2"/>
        <v>0.82199999999999995</v>
      </c>
      <c r="Q14" s="17">
        <f t="shared" si="3"/>
        <v>0.70899999999999996</v>
      </c>
      <c r="R14" s="17">
        <f t="shared" si="4"/>
        <v>0.95899999999999996</v>
      </c>
      <c r="S14" t="str">
        <f t="shared" si="5"/>
        <v>[100, 82.2, 70.9, 95.9],</v>
      </c>
      <c r="W14" s="17">
        <f t="shared" si="6"/>
        <v>-8.6999999999999966E-2</v>
      </c>
      <c r="X14" s="17">
        <f t="shared" si="7"/>
        <v>-9.9999999999998979E-3</v>
      </c>
      <c r="Y14" s="17">
        <f t="shared" si="8"/>
        <v>-0.10799999999999998</v>
      </c>
      <c r="Z14" s="17">
        <f t="shared" si="9"/>
        <v>-3.7999999999999923E-2</v>
      </c>
      <c r="AA14" s="17">
        <f t="shared" si="10"/>
        <v>2.7000000000000024E-2</v>
      </c>
      <c r="AB14" s="17">
        <f t="shared" si="11"/>
        <v>-3.0000000000000027E-3</v>
      </c>
      <c r="AC14" s="17">
        <f t="shared" si="12"/>
        <v>0.13700000000000001</v>
      </c>
      <c r="AD14" s="17">
        <f t="shared" si="13"/>
        <v>4.8000000000000043E-2</v>
      </c>
      <c r="AE14" s="17">
        <f t="shared" si="14"/>
        <v>2.200000000000002E-2</v>
      </c>
      <c r="AF14" s="17">
        <f t="shared" si="15"/>
        <v>-0.11299999999999999</v>
      </c>
    </row>
    <row r="15" spans="1:32" x14ac:dyDescent="0.25">
      <c r="A15" s="43">
        <f t="shared" si="16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1"/>
        <v>102</v>
      </c>
      <c r="P15" s="15">
        <f t="shared" si="2"/>
        <v>0.876</v>
      </c>
      <c r="Q15" s="17">
        <f t="shared" si="3"/>
        <v>0.82599999999999996</v>
      </c>
      <c r="R15" s="17">
        <f t="shared" si="4"/>
        <v>0.95899999999999996</v>
      </c>
      <c r="S15" t="str">
        <f t="shared" si="5"/>
        <v>[102, 87.6, 82.6, 95.9],</v>
      </c>
      <c r="W15" s="17">
        <f t="shared" si="6"/>
        <v>4.1000000000000036E-2</v>
      </c>
      <c r="X15" s="17">
        <f t="shared" si="7"/>
        <v>-2.4000000000000021E-2</v>
      </c>
      <c r="Y15" s="17">
        <f t="shared" si="8"/>
        <v>-3.8000000000000034E-2</v>
      </c>
      <c r="Z15" s="17">
        <f t="shared" si="9"/>
        <v>-1.3000000000000012E-2</v>
      </c>
      <c r="AA15" s="17">
        <f t="shared" si="10"/>
        <v>1.8000000000000016E-2</v>
      </c>
      <c r="AB15" s="17">
        <f t="shared" si="11"/>
        <v>-2.7000000000000024E-2</v>
      </c>
      <c r="AC15" s="17">
        <f t="shared" si="12"/>
        <v>8.2999999999999963E-2</v>
      </c>
      <c r="AD15" s="17">
        <f t="shared" si="13"/>
        <v>5.600000000000005E-2</v>
      </c>
      <c r="AE15" s="17">
        <f t="shared" si="14"/>
        <v>1.9000000000000017E-2</v>
      </c>
      <c r="AF15" s="17">
        <f t="shared" si="15"/>
        <v>-5.0000000000000044E-2</v>
      </c>
    </row>
    <row r="16" spans="1:32" x14ac:dyDescent="0.25">
      <c r="A16" s="43">
        <f t="shared" si="16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1"/>
        <v>104</v>
      </c>
      <c r="P16" s="15">
        <f t="shared" si="2"/>
        <v>0.94399999999999995</v>
      </c>
      <c r="Q16" s="17">
        <f t="shared" si="3"/>
        <v>0.93100000000000005</v>
      </c>
      <c r="R16" s="17">
        <f t="shared" si="4"/>
        <v>0.97</v>
      </c>
      <c r="S16" t="str">
        <f t="shared" si="5"/>
        <v>[104, 94.4, 93.1, 97],</v>
      </c>
      <c r="W16" s="17">
        <f t="shared" si="6"/>
        <v>1.100000000000001E-2</v>
      </c>
      <c r="X16" s="17">
        <f t="shared" si="7"/>
        <v>1.100000000000001E-2</v>
      </c>
      <c r="Y16" s="17">
        <f t="shared" si="8"/>
        <v>-1.0999999999999899E-2</v>
      </c>
      <c r="Z16" s="17">
        <f t="shared" si="9"/>
        <v>-6.0000000000000053E-3</v>
      </c>
      <c r="AA16" s="17">
        <f t="shared" si="10"/>
        <v>3.0000000000000027E-3</v>
      </c>
      <c r="AB16" s="17">
        <f t="shared" si="11"/>
        <v>-5.0000000000000044E-3</v>
      </c>
      <c r="AC16" s="17">
        <f t="shared" si="12"/>
        <v>2.6000000000000023E-2</v>
      </c>
      <c r="AD16" s="17">
        <f t="shared" si="13"/>
        <v>1.100000000000001E-2</v>
      </c>
      <c r="AE16" s="17">
        <f t="shared" si="14"/>
        <v>3.0000000000000027E-3</v>
      </c>
      <c r="AF16" s="17">
        <f t="shared" si="15"/>
        <v>-1.2999999999999901E-2</v>
      </c>
    </row>
    <row r="17" spans="1:32" x14ac:dyDescent="0.25">
      <c r="A17" s="43">
        <f t="shared" si="16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1"/>
        <v>106</v>
      </c>
      <c r="P17" s="15">
        <f t="shared" si="2"/>
        <v>0.96799999999999997</v>
      </c>
      <c r="Q17" s="17">
        <f t="shared" si="3"/>
        <v>0.93799999999999994</v>
      </c>
      <c r="R17" s="17">
        <f t="shared" si="4"/>
        <v>0.99</v>
      </c>
      <c r="S17" t="str">
        <f t="shared" si="5"/>
        <v>[106, 96.8, 93.8, 99],</v>
      </c>
      <c r="W17" s="17">
        <f t="shared" si="6"/>
        <v>-3.0000000000000027E-2</v>
      </c>
      <c r="X17" s="17">
        <f t="shared" si="7"/>
        <v>9.000000000000008E-3</v>
      </c>
      <c r="Y17" s="17">
        <f t="shared" si="8"/>
        <v>1.0000000000000009E-2</v>
      </c>
      <c r="Z17" s="17">
        <f t="shared" si="9"/>
        <v>-4.0000000000000036E-3</v>
      </c>
      <c r="AA17" s="17">
        <f t="shared" si="10"/>
        <v>4.0000000000000036E-3</v>
      </c>
      <c r="AB17" s="17">
        <f t="shared" si="11"/>
        <v>-2.0000000000000018E-3</v>
      </c>
      <c r="AC17" s="17">
        <f t="shared" si="12"/>
        <v>2.200000000000002E-2</v>
      </c>
      <c r="AD17" s="17">
        <f t="shared" si="13"/>
        <v>1.5000000000000013E-2</v>
      </c>
      <c r="AE17" s="17">
        <f t="shared" si="14"/>
        <v>-4.0000000000000036E-3</v>
      </c>
      <c r="AF17" s="17">
        <f t="shared" si="15"/>
        <v>-5.0000000000000044E-3</v>
      </c>
    </row>
    <row r="18" spans="1:32" x14ac:dyDescent="0.25">
      <c r="A18" s="43">
        <f t="shared" si="16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1"/>
        <v>108</v>
      </c>
      <c r="P18" s="15">
        <f t="shared" si="2"/>
        <v>0.97899999999999998</v>
      </c>
      <c r="Q18" s="17">
        <f t="shared" si="3"/>
        <v>0.96399999999999997</v>
      </c>
      <c r="R18" s="17">
        <f t="shared" si="4"/>
        <v>0.996</v>
      </c>
      <c r="S18" t="str">
        <f t="shared" si="5"/>
        <v>[108, 97.9, 96.4, 99.6],</v>
      </c>
      <c r="W18" s="17">
        <f t="shared" si="6"/>
        <v>-1.5000000000000013E-2</v>
      </c>
      <c r="X18" s="17">
        <f t="shared" si="7"/>
        <v>0</v>
      </c>
      <c r="Y18" s="17">
        <f t="shared" si="8"/>
        <v>-7.0000000000000062E-3</v>
      </c>
      <c r="Z18" s="17">
        <f t="shared" si="9"/>
        <v>-4.0000000000000036E-3</v>
      </c>
      <c r="AA18" s="17">
        <f t="shared" si="10"/>
        <v>3.0000000000000027E-3</v>
      </c>
      <c r="AB18" s="17">
        <f t="shared" si="11"/>
        <v>2.0000000000000018E-3</v>
      </c>
      <c r="AC18" s="17">
        <f t="shared" si="12"/>
        <v>1.7000000000000015E-2</v>
      </c>
      <c r="AD18" s="17">
        <f t="shared" si="13"/>
        <v>1.4000000000000012E-2</v>
      </c>
      <c r="AE18" s="17">
        <f t="shared" si="14"/>
        <v>3.0000000000000027E-3</v>
      </c>
      <c r="AF18" s="17">
        <f t="shared" si="15"/>
        <v>-9.000000000000008E-3</v>
      </c>
    </row>
    <row r="19" spans="1:32" x14ac:dyDescent="0.25">
      <c r="A19" s="43">
        <f t="shared" si="16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1"/>
        <v>110</v>
      </c>
      <c r="P19" s="15">
        <f t="shared" si="2"/>
        <v>0.98799999999999999</v>
      </c>
      <c r="Q19" s="17">
        <f t="shared" si="3"/>
        <v>0.97699999999999998</v>
      </c>
      <c r="R19" s="17">
        <f t="shared" si="4"/>
        <v>0.998</v>
      </c>
      <c r="S19" t="str">
        <f t="shared" si="5"/>
        <v>[110, 98.8, 97.7, 99.8],</v>
      </c>
      <c r="W19" s="17">
        <f t="shared" si="6"/>
        <v>-1.100000000000001E-2</v>
      </c>
      <c r="X19" s="17">
        <f t="shared" si="7"/>
        <v>-1.0000000000000009E-3</v>
      </c>
      <c r="Y19" s="17">
        <f t="shared" si="8"/>
        <v>-4.0000000000000036E-3</v>
      </c>
      <c r="Z19" s="17">
        <f t="shared" si="9"/>
        <v>-3.0000000000000027E-3</v>
      </c>
      <c r="AA19" s="17">
        <f t="shared" si="10"/>
        <v>1.0000000000000009E-3</v>
      </c>
      <c r="AB19" s="17">
        <f t="shared" si="11"/>
        <v>1.0000000000000009E-3</v>
      </c>
      <c r="AC19" s="17">
        <f t="shared" si="12"/>
        <v>1.0000000000000009E-2</v>
      </c>
      <c r="AD19" s="17">
        <f t="shared" si="13"/>
        <v>8.0000000000000071E-3</v>
      </c>
      <c r="AE19" s="17">
        <f t="shared" si="14"/>
        <v>1.0000000000000009E-3</v>
      </c>
      <c r="AF19" s="17">
        <f t="shared" si="15"/>
        <v>-5.0000000000000044E-3</v>
      </c>
    </row>
    <row r="21" spans="1:32" x14ac:dyDescent="0.25">
      <c r="U21" t="s">
        <v>103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7">AVERAGE(Y3:Y19)</f>
        <v>-6.4705882352941155E-2</v>
      </c>
      <c r="Z21" s="17">
        <f t="shared" si="17"/>
        <v>-3.5294117647058823E-2</v>
      </c>
      <c r="AA21" s="17">
        <f t="shared" si="17"/>
        <v>-1.6764705882352935E-2</v>
      </c>
      <c r="AB21" s="17">
        <f t="shared" si="17"/>
        <v>9.1764705882352946E-3</v>
      </c>
      <c r="AC21" s="17">
        <f t="shared" si="17"/>
        <v>0.13505882352941179</v>
      </c>
      <c r="AD21" s="17">
        <f t="shared" si="17"/>
        <v>9.1117647058823567E-2</v>
      </c>
      <c r="AE21" s="17">
        <f t="shared" si="17"/>
        <v>1.7764705882352939E-2</v>
      </c>
      <c r="AF21" s="17">
        <f t="shared" si="17"/>
        <v>-5.9411764705882338E-2</v>
      </c>
    </row>
    <row r="22" spans="1:32" x14ac:dyDescent="0.25">
      <c r="U22" t="s">
        <v>104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Vaccination</vt:lpstr>
      <vt:lpstr>Hospitalization rate</vt:lpstr>
      <vt:lpstr>Risks by age</vt:lpstr>
      <vt:lpstr>Novel variant</vt:lpstr>
      <vt:lpstr>Contact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2021-09-02T00:46:44Z</dcterms:modified>
</cp:coreProperties>
</file>