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61767538-2AD6-4CF2-BC8D-A336D4811EB7}" xr6:coauthVersionLast="46" xr6:coauthVersionMax="46" xr10:uidLastSave="{00000000-0000-0000-0000-000000000000}"/>
  <bookViews>
    <workbookView xWindow="-22695" yWindow="945" windowWidth="21075" windowHeight="13770" activeTab="1" xr2:uid="{4B0E50F9-8FDA-4FAF-B2BA-C91A91AB3C5C}"/>
  </bookViews>
  <sheets>
    <sheet name="Vaccination" sheetId="2" r:id="rId1"/>
    <sheet name="Contact rates" sheetId="4" r:id="rId2"/>
    <sheet name="Risks by age" sheetId="3" r:id="rId3"/>
    <sheet name="Vaccination_old" sheetId="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9" i="4" l="1"/>
  <c r="Q30" i="4"/>
  <c r="Q31" i="4"/>
  <c r="Q32" i="4"/>
  <c r="Q33" i="4"/>
  <c r="Q28" i="4"/>
  <c r="O33" i="4"/>
  <c r="N33" i="4"/>
  <c r="M33" i="4"/>
  <c r="L33" i="4"/>
  <c r="K33" i="4"/>
  <c r="J33" i="4"/>
  <c r="O32" i="4"/>
  <c r="N32" i="4"/>
  <c r="M32" i="4"/>
  <c r="L32" i="4"/>
  <c r="K32" i="4"/>
  <c r="J32" i="4"/>
  <c r="O31" i="4"/>
  <c r="N31" i="4"/>
  <c r="M31" i="4"/>
  <c r="L31" i="4"/>
  <c r="K31" i="4"/>
  <c r="J31" i="4"/>
  <c r="O30" i="4"/>
  <c r="N30" i="4"/>
  <c r="M30" i="4"/>
  <c r="L30" i="4"/>
  <c r="K30" i="4"/>
  <c r="J30" i="4"/>
  <c r="O29" i="4"/>
  <c r="N29" i="4"/>
  <c r="M29" i="4"/>
  <c r="L29" i="4"/>
  <c r="K29" i="4"/>
  <c r="J29" i="4"/>
  <c r="O28" i="4"/>
  <c r="N28" i="4"/>
  <c r="M28" i="4"/>
  <c r="L28" i="4"/>
  <c r="K28" i="4"/>
  <c r="J28" i="4"/>
  <c r="I28" i="4" a="1"/>
  <c r="I33" i="4" s="1"/>
  <c r="P13" i="2"/>
  <c r="K22" i="4"/>
  <c r="L22" i="4"/>
  <c r="M22" i="4"/>
  <c r="N22" i="4"/>
  <c r="O22" i="4"/>
  <c r="K23" i="4"/>
  <c r="L23" i="4"/>
  <c r="M23" i="4"/>
  <c r="N23" i="4"/>
  <c r="O23" i="4"/>
  <c r="K24" i="4"/>
  <c r="L24" i="4"/>
  <c r="M24" i="4"/>
  <c r="N24" i="4"/>
  <c r="O24" i="4"/>
  <c r="K25" i="4"/>
  <c r="L25" i="4"/>
  <c r="M25" i="4"/>
  <c r="N25" i="4"/>
  <c r="O25" i="4"/>
  <c r="J25" i="4"/>
  <c r="J24" i="4"/>
  <c r="J23" i="4"/>
  <c r="J22" i="4"/>
  <c r="K21" i="4"/>
  <c r="L21" i="4"/>
  <c r="M21" i="4"/>
  <c r="N21" i="4"/>
  <c r="O21" i="4"/>
  <c r="J21" i="4"/>
  <c r="K20" i="4"/>
  <c r="L20" i="4"/>
  <c r="M20" i="4"/>
  <c r="N20" i="4"/>
  <c r="O20" i="4"/>
  <c r="J20" i="4"/>
  <c r="I20" i="4" a="1"/>
  <c r="I24" i="4" s="1"/>
  <c r="B21" i="4"/>
  <c r="C21" i="4"/>
  <c r="D21" i="4"/>
  <c r="E21" i="4"/>
  <c r="F21" i="4"/>
  <c r="G21" i="4"/>
  <c r="B22" i="4"/>
  <c r="C22" i="4"/>
  <c r="D22" i="4"/>
  <c r="E22" i="4"/>
  <c r="F22" i="4"/>
  <c r="G22" i="4"/>
  <c r="B23" i="4"/>
  <c r="C23" i="4"/>
  <c r="D23" i="4"/>
  <c r="E23" i="4"/>
  <c r="F23" i="4"/>
  <c r="G23" i="4"/>
  <c r="B24" i="4"/>
  <c r="C24" i="4"/>
  <c r="D24" i="4"/>
  <c r="E24" i="4"/>
  <c r="F24" i="4"/>
  <c r="G24" i="4"/>
  <c r="B25" i="4"/>
  <c r="C25" i="4"/>
  <c r="D25" i="4"/>
  <c r="E25" i="4"/>
  <c r="F25" i="4"/>
  <c r="G25" i="4"/>
  <c r="B26" i="4"/>
  <c r="C26" i="4"/>
  <c r="D26" i="4"/>
  <c r="E26" i="4"/>
  <c r="F26" i="4"/>
  <c r="G26" i="4"/>
  <c r="B27" i="4"/>
  <c r="C27" i="4"/>
  <c r="D27" i="4"/>
  <c r="E27" i="4"/>
  <c r="F27" i="4"/>
  <c r="G27" i="4"/>
  <c r="B28" i="4"/>
  <c r="C28" i="4"/>
  <c r="D28" i="4"/>
  <c r="E28" i="4"/>
  <c r="F28" i="4"/>
  <c r="G28" i="4"/>
  <c r="B29" i="4"/>
  <c r="C29" i="4"/>
  <c r="D29" i="4"/>
  <c r="E29" i="4"/>
  <c r="F29" i="4"/>
  <c r="G29" i="4"/>
  <c r="B30" i="4"/>
  <c r="C30" i="4"/>
  <c r="D30" i="4"/>
  <c r="E30" i="4"/>
  <c r="F30" i="4"/>
  <c r="G30" i="4"/>
  <c r="B31" i="4"/>
  <c r="C31" i="4"/>
  <c r="D31" i="4"/>
  <c r="E31" i="4"/>
  <c r="F31" i="4"/>
  <c r="G31" i="4"/>
  <c r="B32" i="4"/>
  <c r="C32" i="4"/>
  <c r="D32" i="4"/>
  <c r="E32" i="4"/>
  <c r="F32" i="4"/>
  <c r="G32" i="4"/>
  <c r="B33" i="4"/>
  <c r="C33" i="4"/>
  <c r="D33" i="4"/>
  <c r="E33" i="4"/>
  <c r="F33" i="4"/>
  <c r="G33" i="4"/>
  <c r="B34" i="4"/>
  <c r="C34" i="4"/>
  <c r="D34" i="4"/>
  <c r="E34" i="4"/>
  <c r="F34" i="4"/>
  <c r="G34" i="4"/>
  <c r="B35" i="4"/>
  <c r="C35" i="4"/>
  <c r="D35" i="4"/>
  <c r="E35" i="4"/>
  <c r="F35" i="4"/>
  <c r="G35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20" i="4"/>
  <c r="G20" i="4"/>
  <c r="F20" i="4"/>
  <c r="E20" i="4"/>
  <c r="D20" i="4"/>
  <c r="C20" i="4"/>
  <c r="B20" i="4"/>
  <c r="B1" i="4" a="1"/>
  <c r="C1" i="4" s="1"/>
  <c r="B1" i="4"/>
  <c r="E1" i="4"/>
  <c r="F1" i="4"/>
  <c r="G1" i="4"/>
  <c r="K1" i="4"/>
  <c r="M1" i="4"/>
  <c r="N1" i="4"/>
  <c r="O1" i="4"/>
  <c r="P1" i="4"/>
  <c r="M12" i="3"/>
  <c r="N27" i="2"/>
  <c r="O27" i="2"/>
  <c r="P27" i="2"/>
  <c r="Q27" i="2"/>
  <c r="R27" i="2"/>
  <c r="N28" i="2"/>
  <c r="O28" i="2"/>
  <c r="P28" i="2"/>
  <c r="Q28" i="2"/>
  <c r="R28" i="2"/>
  <c r="N29" i="2"/>
  <c r="O29" i="2"/>
  <c r="P29" i="2"/>
  <c r="Q29" i="2"/>
  <c r="R29" i="2"/>
  <c r="N30" i="2"/>
  <c r="O30" i="2"/>
  <c r="P30" i="2"/>
  <c r="Q30" i="2"/>
  <c r="R30" i="2"/>
  <c r="N31" i="2"/>
  <c r="O31" i="2"/>
  <c r="P31" i="2"/>
  <c r="Q31" i="2"/>
  <c r="R31" i="2"/>
  <c r="N32" i="2"/>
  <c r="O32" i="2"/>
  <c r="P32" i="2"/>
  <c r="Q32" i="2"/>
  <c r="R32" i="2"/>
  <c r="M28" i="2"/>
  <c r="M29" i="2"/>
  <c r="M30" i="2"/>
  <c r="M31" i="2"/>
  <c r="M32" i="2"/>
  <c r="M27" i="2"/>
  <c r="M5" i="2"/>
  <c r="J23" i="2"/>
  <c r="J22" i="2"/>
  <c r="J21" i="2"/>
  <c r="J20" i="2"/>
  <c r="J19" i="2"/>
  <c r="J18" i="2"/>
  <c r="J17" i="2"/>
  <c r="K18" i="2"/>
  <c r="K19" i="2" s="1"/>
  <c r="K20" i="2" s="1"/>
  <c r="K21" i="2" s="1"/>
  <c r="K22" i="2" s="1"/>
  <c r="K23" i="2" s="1"/>
  <c r="J10" i="2"/>
  <c r="J9" i="2"/>
  <c r="J8" i="2"/>
  <c r="J7" i="2"/>
  <c r="J6" i="2"/>
  <c r="J5" i="2"/>
  <c r="J4" i="2"/>
  <c r="I32" i="4" l="1"/>
  <c r="I29" i="4"/>
  <c r="I28" i="4"/>
  <c r="I30" i="4"/>
  <c r="I31" i="4"/>
  <c r="I22" i="4"/>
  <c r="I23" i="4"/>
  <c r="I20" i="4"/>
  <c r="I21" i="4"/>
  <c r="I25" i="4"/>
  <c r="L1" i="4"/>
  <c r="J1" i="4"/>
  <c r="I1" i="4"/>
  <c r="H1" i="4"/>
  <c r="Q1" i="4"/>
  <c r="D1" i="4"/>
  <c r="J13" i="2"/>
  <c r="K13" i="2"/>
  <c r="K5" i="2"/>
  <c r="K6" i="2" l="1"/>
  <c r="P8" i="3"/>
  <c r="P9" i="3"/>
  <c r="P10" i="3"/>
  <c r="P11" i="3"/>
  <c r="P12" i="3"/>
  <c r="P7" i="3"/>
  <c r="L11" i="3"/>
  <c r="L12" i="3"/>
  <c r="D24" i="3"/>
  <c r="D23" i="3"/>
  <c r="D22" i="3"/>
  <c r="N12" i="3" s="1"/>
  <c r="D21" i="3"/>
  <c r="M11" i="3" s="1"/>
  <c r="N11" i="3" s="1"/>
  <c r="D20" i="3"/>
  <c r="D19" i="3"/>
  <c r="D18" i="3"/>
  <c r="D17" i="3"/>
  <c r="D16" i="3"/>
  <c r="D15" i="3"/>
  <c r="D14" i="3"/>
  <c r="D13" i="3"/>
  <c r="D12" i="3"/>
  <c r="D11" i="3"/>
  <c r="M9" i="3" s="1"/>
  <c r="N9" i="3" s="1"/>
  <c r="D10" i="3"/>
  <c r="D9" i="3"/>
  <c r="D8" i="3"/>
  <c r="D7" i="3"/>
  <c r="J7" i="3"/>
  <c r="J8" i="3"/>
  <c r="J9" i="3"/>
  <c r="J10" i="3"/>
  <c r="J11" i="3"/>
  <c r="J12" i="3"/>
  <c r="I12" i="3"/>
  <c r="I11" i="3"/>
  <c r="I10" i="3"/>
  <c r="I9" i="3"/>
  <c r="L9" i="3" s="1"/>
  <c r="I8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K7" i="2" l="1"/>
  <c r="M6" i="2"/>
  <c r="M10" i="3"/>
  <c r="N10" i="3" s="1"/>
  <c r="L8" i="3"/>
  <c r="L10" i="3"/>
  <c r="L7" i="3"/>
  <c r="M7" i="3"/>
  <c r="N7" i="3" s="1"/>
  <c r="M8" i="3"/>
  <c r="N8" i="3" s="1"/>
  <c r="D25" i="3"/>
  <c r="I14" i="3"/>
  <c r="J14" i="3"/>
  <c r="K8" i="2" l="1"/>
  <c r="M7" i="2"/>
  <c r="I15" i="3"/>
  <c r="T11" i="3" s="1"/>
  <c r="U10" i="3"/>
  <c r="K9" i="2" l="1"/>
  <c r="M8" i="2"/>
  <c r="T12" i="3"/>
  <c r="T10" i="3"/>
  <c r="T9" i="3"/>
  <c r="T8" i="3"/>
  <c r="T7" i="3"/>
  <c r="U12" i="3"/>
  <c r="K12" i="3"/>
  <c r="V12" i="3" s="1"/>
  <c r="K10" i="3"/>
  <c r="V10" i="3" s="1"/>
  <c r="K7" i="3"/>
  <c r="K14" i="3" s="1"/>
  <c r="K9" i="3"/>
  <c r="V9" i="3" s="1"/>
  <c r="U11" i="3"/>
  <c r="U7" i="3"/>
  <c r="K8" i="3"/>
  <c r="V8" i="3" s="1"/>
  <c r="U8" i="3"/>
  <c r="K11" i="3"/>
  <c r="V11" i="3" s="1"/>
  <c r="U9" i="3"/>
  <c r="V7" i="3"/>
  <c r="K10" i="2" l="1"/>
  <c r="M9" i="2"/>
  <c r="M10" i="2" l="1"/>
</calcChain>
</file>

<file path=xl/sharedStrings.xml><?xml version="1.0" encoding="utf-8"?>
<sst xmlns="http://schemas.openxmlformats.org/spreadsheetml/2006/main" count="103" uniqueCount="60">
  <si>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</si>
  <si>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</si>
  <si>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</si>
  <si>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</si>
  <si>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</si>
  <si>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</si>
  <si>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</si>
  <si>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</si>
  <si>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</si>
  <si>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</si>
  <si>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</si>
  <si>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</si>
  <si>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</si>
  <si>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</si>
  <si>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</si>
  <si>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</si>
  <si>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</si>
  <si>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</si>
  <si>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</si>
  <si>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</si>
  <si>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</si>
  <si>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</si>
  <si>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</si>
  <si>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</si>
  <si>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</si>
  <si>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</si>
  <si>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Percentage</t>
  </si>
  <si>
    <t>sum</t>
  </si>
  <si>
    <t>0-4</t>
  </si>
  <si>
    <t>20-49</t>
  </si>
  <si>
    <t>50-64</t>
  </si>
  <si>
    <t>5-19</t>
  </si>
  <si>
    <t>%</t>
  </si>
  <si>
    <t>65-74</t>
  </si>
  <si>
    <t>75+</t>
  </si>
  <si>
    <t>pop</t>
  </si>
  <si>
    <t>StDev</t>
  </si>
  <si>
    <t>Hospitalization Risk</t>
  </si>
  <si>
    <t>Mean</t>
  </si>
  <si>
    <t>Mortality Risk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</si>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</sst>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60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0" fontId="3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15" fontId="0" fillId="0" borderId="0" xfId="0" applyNumberFormat="1"/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7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R280"/>
  <sheetViews>
    <sheetView showGridLines="0" workbookViewId="0">
      <selection activeCell="P14" sqref="P14"/>
    </sheetView>
  </sheetViews>
  <sheetFormatPr defaultRowHeight="15" x14ac:dyDescent="0.25"/>
  <cols>
    <col min="1" max="1" width="17.5703125" bestFit="1" customWidth="1"/>
    <col min="6" max="6" width="11" bestFit="1" customWidth="1"/>
    <col min="7" max="7" width="10.140625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8" x14ac:dyDescent="0.25">
      <c r="C1" t="s">
        <v>0</v>
      </c>
      <c r="D1" t="s">
        <v>3</v>
      </c>
      <c r="F1" t="s">
        <v>50</v>
      </c>
    </row>
    <row r="2" spans="1:18" x14ac:dyDescent="0.2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41">
        <v>43891</v>
      </c>
      <c r="I2" s="54" t="s">
        <v>52</v>
      </c>
      <c r="J2" s="54"/>
      <c r="K2" s="54"/>
      <c r="L2" s="54"/>
      <c r="M2" s="54"/>
      <c r="N2" s="54"/>
      <c r="O2" s="54"/>
    </row>
    <row r="3" spans="1:18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41">
        <v>43898</v>
      </c>
      <c r="I3" s="42"/>
      <c r="J3" s="42" t="s">
        <v>56</v>
      </c>
      <c r="K3" s="42" t="s">
        <v>50</v>
      </c>
      <c r="L3" s="42" t="s">
        <v>59</v>
      </c>
      <c r="M3" s="42" t="s">
        <v>51</v>
      </c>
      <c r="N3" s="42"/>
      <c r="O3" s="42"/>
    </row>
    <row r="4" spans="1:18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41">
        <v>43905</v>
      </c>
      <c r="J4" s="47">
        <f>VLOOKUP(K4,$F$2:$G$128,2,FALSE)</f>
        <v>44199</v>
      </c>
      <c r="K4" s="48">
        <v>45</v>
      </c>
      <c r="L4" s="39">
        <v>3.6000000000000001E-5</v>
      </c>
    </row>
    <row r="5" spans="1:18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41">
        <v>43912</v>
      </c>
      <c r="J5" s="47">
        <f t="shared" ref="J5:J10" si="2">VLOOKUP(K5,$F$2:$G$128,2,FALSE)</f>
        <v>44227</v>
      </c>
      <c r="K5" s="39">
        <f>K4+4</f>
        <v>49</v>
      </c>
      <c r="L5" s="39">
        <v>1.0718E-2</v>
      </c>
      <c r="M5" t="str">
        <f>"["&amp;K5&amp;", "&amp;L5*100&amp;"]," &amp; "  # "&amp;TEXT(J5,"[$-en-US]d-mmm-yy;@")</f>
        <v>[49, 1.0718],  # 31-Jan-21</v>
      </c>
    </row>
    <row r="6" spans="1:18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41">
        <v>43919</v>
      </c>
      <c r="J6" s="47">
        <f t="shared" si="2"/>
        <v>44255</v>
      </c>
      <c r="K6" s="39">
        <f t="shared" ref="K6:K10" si="3">K5+4</f>
        <v>53</v>
      </c>
      <c r="L6" s="39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18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41">
        <v>43926</v>
      </c>
      <c r="J7" s="47">
        <f t="shared" si="2"/>
        <v>44283</v>
      </c>
      <c r="K7" s="39">
        <f t="shared" si="3"/>
        <v>57</v>
      </c>
      <c r="L7" s="39">
        <v>0.14792</v>
      </c>
      <c r="M7" t="str">
        <f t="shared" si="4"/>
        <v>[57, 14.792],  # 28-Mar-21</v>
      </c>
    </row>
    <row r="8" spans="1:18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41">
        <v>43933</v>
      </c>
      <c r="J8" s="47">
        <f t="shared" si="2"/>
        <v>44311</v>
      </c>
      <c r="K8" s="39">
        <f t="shared" si="3"/>
        <v>61</v>
      </c>
      <c r="L8" s="39">
        <v>0.27776099999999998</v>
      </c>
      <c r="M8" t="str">
        <f t="shared" si="4"/>
        <v>[61, 27.7761],  # 25-Apr-21</v>
      </c>
    </row>
    <row r="9" spans="1:18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41">
        <v>43940</v>
      </c>
      <c r="J9" s="47">
        <f t="shared" si="2"/>
        <v>44339</v>
      </c>
      <c r="K9" s="39">
        <f t="shared" si="3"/>
        <v>65</v>
      </c>
      <c r="L9" s="39">
        <v>0.38950400000000002</v>
      </c>
      <c r="M9" t="str">
        <f t="shared" si="4"/>
        <v>[65, 38.9504],  # 23-May-21</v>
      </c>
    </row>
    <row r="10" spans="1:18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41">
        <v>43947</v>
      </c>
      <c r="I10" s="4"/>
      <c r="J10" s="49">
        <f t="shared" si="2"/>
        <v>44367</v>
      </c>
      <c r="K10" s="44">
        <f t="shared" si="3"/>
        <v>69</v>
      </c>
      <c r="L10" s="44">
        <v>0.452347</v>
      </c>
      <c r="M10" s="4" t="str">
        <f t="shared" si="4"/>
        <v>[69, 45.2347],  # 20-Jun-21</v>
      </c>
      <c r="N10" s="4"/>
      <c r="O10" s="4"/>
    </row>
    <row r="11" spans="1:18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41">
        <v>43954</v>
      </c>
    </row>
    <row r="12" spans="1:18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41">
        <v>43961</v>
      </c>
      <c r="J12" s="36" t="s">
        <v>56</v>
      </c>
      <c r="K12" s="36" t="s">
        <v>50</v>
      </c>
      <c r="L12" s="36" t="s">
        <v>38</v>
      </c>
      <c r="M12" s="36" t="s">
        <v>54</v>
      </c>
      <c r="N12" s="36" t="s">
        <v>55</v>
      </c>
    </row>
    <row r="13" spans="1:18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41">
        <v>43968</v>
      </c>
      <c r="I13" s="4" t="s">
        <v>53</v>
      </c>
      <c r="J13" s="43">
        <f>VLOOKUP(K13,F10:G136,2,FALSE)</f>
        <v>44374</v>
      </c>
      <c r="K13" s="44">
        <f>F71</f>
        <v>70</v>
      </c>
      <c r="L13" s="45">
        <v>0.46429999999999999</v>
      </c>
      <c r="M13" s="45">
        <v>0.3231</v>
      </c>
      <c r="N13" s="45">
        <v>0.65569999999999995</v>
      </c>
      <c r="P13" s="4" t="str">
        <f>"["&amp;K13&amp;", "&amp;L13*100&amp;", "&amp;M13*100&amp;", "&amp;N13*100&amp;"]," &amp; "  # "&amp;TEXT(J13,"[$-en-US]d-mmm-yy;@")</f>
        <v>[70, 46.43, 32.31, 65.57],  # 27-Jun-21</v>
      </c>
      <c r="Q13" s="4"/>
    </row>
    <row r="14" spans="1:18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41">
        <v>43975</v>
      </c>
    </row>
    <row r="15" spans="1:18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41">
        <v>43982</v>
      </c>
    </row>
    <row r="16" spans="1:18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41">
        <v>43989</v>
      </c>
      <c r="J16" s="42" t="s">
        <v>56</v>
      </c>
      <c r="K16" s="42" t="s">
        <v>50</v>
      </c>
      <c r="L16" s="42" t="s">
        <v>57</v>
      </c>
      <c r="M16" s="42" t="s">
        <v>28</v>
      </c>
      <c r="N16" s="46" t="s">
        <v>31</v>
      </c>
      <c r="O16" s="42" t="s">
        <v>29</v>
      </c>
      <c r="P16" s="42" t="s">
        <v>30</v>
      </c>
      <c r="Q16" s="42" t="s">
        <v>58</v>
      </c>
      <c r="R16" s="42" t="s">
        <v>34</v>
      </c>
    </row>
    <row r="17" spans="1:18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41">
        <v>43996</v>
      </c>
      <c r="J17" s="47">
        <f>VLOOKUP(K17,$F$2:$G$128,2,FALSE)</f>
        <v>44199</v>
      </c>
      <c r="K17" s="48">
        <v>45</v>
      </c>
      <c r="L17" s="39">
        <v>3.6000000000000001E-5</v>
      </c>
      <c r="M17" s="39">
        <v>0</v>
      </c>
      <c r="N17" s="39">
        <v>0</v>
      </c>
      <c r="O17" s="39">
        <v>4.5000000000000003E-5</v>
      </c>
      <c r="P17" s="39">
        <v>6.0999999999999999E-5</v>
      </c>
      <c r="Q17" s="39">
        <v>3.3000000000000003E-5</v>
      </c>
      <c r="R17" s="39">
        <v>2.1999999999999999E-5</v>
      </c>
    </row>
    <row r="18" spans="1:18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41">
        <v>44003</v>
      </c>
      <c r="J18" s="47">
        <f t="shared" ref="J18:J23" si="5">VLOOKUP(K18,$F$2:$G$128,2,FALSE)</f>
        <v>44227</v>
      </c>
      <c r="K18" s="39">
        <f>K17+4</f>
        <v>49</v>
      </c>
      <c r="L18" s="39">
        <v>1.0718E-2</v>
      </c>
      <c r="M18" s="39">
        <v>0</v>
      </c>
      <c r="N18" s="39">
        <v>7.2999999999999999E-5</v>
      </c>
      <c r="O18" s="39">
        <v>1.4729000000000001E-2</v>
      </c>
      <c r="P18" s="39">
        <v>1.6514000000000001E-2</v>
      </c>
      <c r="Q18" s="39">
        <v>8.2400000000000008E-3</v>
      </c>
      <c r="R18" s="39">
        <v>7.6010000000000001E-3</v>
      </c>
    </row>
    <row r="19" spans="1:18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41">
        <v>44010</v>
      </c>
      <c r="J19" s="47">
        <f t="shared" si="5"/>
        <v>44255</v>
      </c>
      <c r="K19" s="39">
        <f t="shared" ref="K19:K23" si="6">K18+4</f>
        <v>53</v>
      </c>
      <c r="L19" s="39">
        <v>6.9001000000000007E-2</v>
      </c>
      <c r="M19" s="39">
        <v>0</v>
      </c>
      <c r="N19" s="39">
        <v>8.1999999999999998E-4</v>
      </c>
      <c r="O19" s="39">
        <v>5.6848999999999997E-2</v>
      </c>
      <c r="P19" s="39">
        <v>7.4223999999999998E-2</v>
      </c>
      <c r="Q19" s="39">
        <v>0.14502499999999999</v>
      </c>
      <c r="R19" s="39">
        <v>0.23400099999999999</v>
      </c>
    </row>
    <row r="20" spans="1:18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41">
        <v>44017</v>
      </c>
      <c r="J20" s="47">
        <f t="shared" si="5"/>
        <v>44283</v>
      </c>
      <c r="K20" s="39">
        <f t="shared" si="6"/>
        <v>57</v>
      </c>
      <c r="L20" s="39">
        <v>0.14792</v>
      </c>
      <c r="M20" s="39">
        <v>0</v>
      </c>
      <c r="N20" s="39">
        <v>2.3319999999999999E-3</v>
      </c>
      <c r="O20" s="39">
        <v>9.9143999999999996E-2</v>
      </c>
      <c r="P20" s="39">
        <v>0.154783</v>
      </c>
      <c r="Q20" s="39">
        <v>0.42801499999999998</v>
      </c>
      <c r="R20" s="39">
        <v>0.51082000000000005</v>
      </c>
    </row>
    <row r="21" spans="1:18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41">
        <v>44024</v>
      </c>
      <c r="J21" s="47">
        <f t="shared" si="5"/>
        <v>44311</v>
      </c>
      <c r="K21" s="39">
        <f t="shared" si="6"/>
        <v>61</v>
      </c>
      <c r="L21" s="39">
        <v>0.27776099999999998</v>
      </c>
      <c r="M21" s="39">
        <v>0</v>
      </c>
      <c r="N21" s="39">
        <v>1.3419E-2</v>
      </c>
      <c r="O21" s="39">
        <v>0.21463199999999999</v>
      </c>
      <c r="P21" s="39">
        <v>0.38446799999999998</v>
      </c>
      <c r="Q21" s="39">
        <v>0.66668799999999995</v>
      </c>
      <c r="R21" s="39">
        <v>0.66616699999999995</v>
      </c>
    </row>
    <row r="22" spans="1:18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41">
        <v>44031</v>
      </c>
      <c r="J22" s="47">
        <f t="shared" si="5"/>
        <v>44339</v>
      </c>
      <c r="K22" s="39">
        <f t="shared" si="6"/>
        <v>65</v>
      </c>
      <c r="L22" s="39">
        <v>0.38950400000000002</v>
      </c>
      <c r="M22" s="39">
        <v>0</v>
      </c>
      <c r="N22" s="39">
        <v>6.9528999999999994E-2</v>
      </c>
      <c r="O22" s="39">
        <v>0.36473</v>
      </c>
      <c r="P22" s="39">
        <v>0.55466400000000005</v>
      </c>
      <c r="Q22" s="39">
        <v>0.74635300000000004</v>
      </c>
      <c r="R22" s="39">
        <v>0.72139500000000001</v>
      </c>
    </row>
    <row r="23" spans="1:18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41">
        <v>44038</v>
      </c>
      <c r="J23" s="49">
        <f t="shared" si="5"/>
        <v>44367</v>
      </c>
      <c r="K23" s="44">
        <f t="shared" si="6"/>
        <v>69</v>
      </c>
      <c r="L23" s="44">
        <v>0.452347</v>
      </c>
      <c r="M23" s="44">
        <v>0</v>
      </c>
      <c r="N23" s="44">
        <v>0.21007000000000001</v>
      </c>
      <c r="O23" s="44">
        <v>0.443438</v>
      </c>
      <c r="P23" s="44">
        <v>0.62314199999999997</v>
      </c>
      <c r="Q23" s="44">
        <v>0.78477399999999997</v>
      </c>
      <c r="R23" s="44">
        <v>0.75026099999999996</v>
      </c>
    </row>
    <row r="24" spans="1:18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41">
        <v>44045</v>
      </c>
    </row>
    <row r="25" spans="1:18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41">
        <v>44052</v>
      </c>
      <c r="M25" s="42" t="s">
        <v>51</v>
      </c>
    </row>
    <row r="26" spans="1:18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41">
        <v>44059</v>
      </c>
    </row>
    <row r="27" spans="1:18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41">
        <v>44066</v>
      </c>
      <c r="M27" t="str">
        <f>"["&amp;$K18&amp;", "&amp;M18*100&amp;"]," &amp; "  # "&amp;TEXT($J18,"[$-en-US]d-mmm-yy;@")</f>
        <v>[49, 0],  # 31-Jan-21</v>
      </c>
      <c r="N27" t="str">
        <f t="shared" ref="N27:R27" si="7">"["&amp;$K18&amp;", "&amp;N18*100&amp;"]," &amp; "  # "&amp;TEXT($J18,"[$-en-US]d-mmm-yy;@")</f>
        <v>[49, 0.0073],  # 31-Jan-21</v>
      </c>
      <c r="O27" t="str">
        <f t="shared" si="7"/>
        <v>[49, 1.4729],  # 31-Jan-21</v>
      </c>
      <c r="P27" t="str">
        <f t="shared" si="7"/>
        <v>[49, 1.6514],  # 31-Jan-21</v>
      </c>
      <c r="Q27" t="str">
        <f t="shared" si="7"/>
        <v>[49, 0.824],  # 31-Jan-21</v>
      </c>
      <c r="R27" t="str">
        <f t="shared" si="7"/>
        <v>[49, 0.7601],  # 31-Jan-21</v>
      </c>
    </row>
    <row r="28" spans="1:18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41">
        <v>44073</v>
      </c>
      <c r="M28" t="str">
        <f t="shared" ref="M28:R32" si="8">"["&amp;$K19&amp;", "&amp;M19*100&amp;"]," &amp; "  # "&amp;TEXT($J19,"[$-en-US]d-mmm-yy;@")</f>
        <v>[53, 0],  # 28-Feb-21</v>
      </c>
      <c r="N28" t="str">
        <f t="shared" si="8"/>
        <v>[53, 0.082],  # 28-Feb-21</v>
      </c>
      <c r="O28" t="str">
        <f t="shared" si="8"/>
        <v>[53, 5.6849],  # 28-Feb-21</v>
      </c>
      <c r="P28" t="str">
        <f t="shared" si="8"/>
        <v>[53, 7.4224],  # 28-Feb-21</v>
      </c>
      <c r="Q28" t="str">
        <f t="shared" si="8"/>
        <v>[53, 14.5025],  # 28-Feb-21</v>
      </c>
      <c r="R28" t="str">
        <f t="shared" si="8"/>
        <v>[53, 23.4001],  # 28-Feb-21</v>
      </c>
    </row>
    <row r="29" spans="1:18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41">
        <v>44080</v>
      </c>
      <c r="M29" t="str">
        <f t="shared" si="8"/>
        <v>[57, 0],  # 28-Mar-21</v>
      </c>
      <c r="N29" t="str">
        <f t="shared" si="8"/>
        <v>[57, 0.2332],  # 28-Mar-21</v>
      </c>
      <c r="O29" t="str">
        <f t="shared" si="8"/>
        <v>[57, 9.9144],  # 28-Mar-21</v>
      </c>
      <c r="P29" t="str">
        <f t="shared" si="8"/>
        <v>[57, 15.4783],  # 28-Mar-21</v>
      </c>
      <c r="Q29" t="str">
        <f t="shared" si="8"/>
        <v>[57, 42.8015],  # 28-Mar-21</v>
      </c>
      <c r="R29" t="str">
        <f t="shared" si="8"/>
        <v>[57, 51.082],  # 28-Mar-21</v>
      </c>
    </row>
    <row r="30" spans="1:18" x14ac:dyDescent="0.25">
      <c r="F30">
        <v>29</v>
      </c>
      <c r="G30" s="41">
        <v>44087</v>
      </c>
      <c r="M30" t="str">
        <f t="shared" si="8"/>
        <v>[61, 0],  # 25-Apr-21</v>
      </c>
      <c r="N30" t="str">
        <f t="shared" si="8"/>
        <v>[61, 1.3419],  # 25-Apr-21</v>
      </c>
      <c r="O30" t="str">
        <f t="shared" si="8"/>
        <v>[61, 21.4632],  # 25-Apr-21</v>
      </c>
      <c r="P30" t="str">
        <f t="shared" si="8"/>
        <v>[61, 38.4468],  # 25-Apr-21</v>
      </c>
      <c r="Q30" t="str">
        <f t="shared" si="8"/>
        <v>[61, 66.6688],  # 25-Apr-21</v>
      </c>
      <c r="R30" t="str">
        <f t="shared" si="8"/>
        <v>[61, 66.6167],  # 25-Apr-21</v>
      </c>
    </row>
    <row r="31" spans="1:18" x14ac:dyDescent="0.25">
      <c r="F31">
        <v>30</v>
      </c>
      <c r="G31" s="41">
        <v>44094</v>
      </c>
      <c r="M31" t="str">
        <f t="shared" si="8"/>
        <v>[65, 0],  # 23-May-21</v>
      </c>
      <c r="N31" t="str">
        <f t="shared" si="8"/>
        <v>[65, 6.9529],  # 23-May-21</v>
      </c>
      <c r="O31" t="str">
        <f t="shared" si="8"/>
        <v>[65, 36.473],  # 23-May-21</v>
      </c>
      <c r="P31" t="str">
        <f t="shared" si="8"/>
        <v>[65, 55.4664],  # 23-May-21</v>
      </c>
      <c r="Q31" t="str">
        <f t="shared" si="8"/>
        <v>[65, 74.6353],  # 23-May-21</v>
      </c>
      <c r="R31" t="str">
        <f t="shared" si="8"/>
        <v>[65, 72.1395],  # 23-May-21</v>
      </c>
    </row>
    <row r="32" spans="1:18" x14ac:dyDescent="0.25">
      <c r="F32">
        <v>31</v>
      </c>
      <c r="G32" s="41">
        <v>44101</v>
      </c>
      <c r="M32" t="str">
        <f t="shared" si="8"/>
        <v>[69, 0],  # 20-Jun-21</v>
      </c>
      <c r="N32" t="str">
        <f t="shared" si="8"/>
        <v>[69, 21.007],  # 20-Jun-21</v>
      </c>
      <c r="O32" t="str">
        <f t="shared" si="8"/>
        <v>[69, 44.3438],  # 20-Jun-21</v>
      </c>
      <c r="P32" t="str">
        <f t="shared" si="8"/>
        <v>[69, 62.3142],  # 20-Jun-21</v>
      </c>
      <c r="Q32" t="str">
        <f t="shared" si="8"/>
        <v>[69, 78.4774],  # 20-Jun-21</v>
      </c>
      <c r="R32" t="str">
        <f t="shared" si="8"/>
        <v>[69, 75.0261],  # 20-Jun-21</v>
      </c>
    </row>
    <row r="33" spans="6:7" x14ac:dyDescent="0.25">
      <c r="F33">
        <v>32</v>
      </c>
      <c r="G33" s="41">
        <v>44108</v>
      </c>
    </row>
    <row r="34" spans="6:7" x14ac:dyDescent="0.25">
      <c r="F34">
        <v>33</v>
      </c>
      <c r="G34" s="41">
        <v>44115</v>
      </c>
    </row>
    <row r="35" spans="6:7" x14ac:dyDescent="0.25">
      <c r="F35">
        <v>34</v>
      </c>
      <c r="G35" s="41">
        <v>44122</v>
      </c>
    </row>
    <row r="36" spans="6:7" x14ac:dyDescent="0.25">
      <c r="F36">
        <v>35</v>
      </c>
      <c r="G36" s="41">
        <v>44129</v>
      </c>
    </row>
    <row r="37" spans="6:7" x14ac:dyDescent="0.25">
      <c r="F37">
        <v>36</v>
      </c>
      <c r="G37" s="41">
        <v>44136</v>
      </c>
    </row>
    <row r="38" spans="6:7" x14ac:dyDescent="0.25">
      <c r="F38">
        <v>37</v>
      </c>
      <c r="G38" s="41">
        <v>44143</v>
      </c>
    </row>
    <row r="39" spans="6:7" x14ac:dyDescent="0.25">
      <c r="F39">
        <v>38</v>
      </c>
      <c r="G39" s="41">
        <v>44150</v>
      </c>
    </row>
    <row r="40" spans="6:7" x14ac:dyDescent="0.25">
      <c r="F40">
        <v>39</v>
      </c>
      <c r="G40" s="41">
        <v>44157</v>
      </c>
    </row>
    <row r="41" spans="6:7" x14ac:dyDescent="0.25">
      <c r="F41">
        <v>40</v>
      </c>
      <c r="G41" s="41">
        <v>44164</v>
      </c>
    </row>
    <row r="42" spans="6:7" x14ac:dyDescent="0.25">
      <c r="F42">
        <v>41</v>
      </c>
      <c r="G42" s="41">
        <v>44171</v>
      </c>
    </row>
    <row r="43" spans="6:7" x14ac:dyDescent="0.25">
      <c r="F43">
        <v>42</v>
      </c>
      <c r="G43" s="41">
        <v>44178</v>
      </c>
    </row>
    <row r="44" spans="6:7" x14ac:dyDescent="0.25">
      <c r="F44">
        <v>43</v>
      </c>
      <c r="G44" s="41">
        <v>44185</v>
      </c>
    </row>
    <row r="45" spans="6:7" x14ac:dyDescent="0.25">
      <c r="F45">
        <v>44</v>
      </c>
      <c r="G45" s="41">
        <v>44192</v>
      </c>
    </row>
    <row r="46" spans="6:7" x14ac:dyDescent="0.25">
      <c r="F46">
        <v>45</v>
      </c>
      <c r="G46" s="41">
        <v>44199</v>
      </c>
    </row>
    <row r="47" spans="6:7" x14ac:dyDescent="0.25">
      <c r="F47">
        <v>46</v>
      </c>
      <c r="G47" s="41">
        <v>44206</v>
      </c>
    </row>
    <row r="48" spans="6:7" x14ac:dyDescent="0.25">
      <c r="F48">
        <v>47</v>
      </c>
      <c r="G48" s="41">
        <v>44213</v>
      </c>
    </row>
    <row r="49" spans="6:7" x14ac:dyDescent="0.25">
      <c r="F49">
        <v>48</v>
      </c>
      <c r="G49" s="41">
        <v>44220</v>
      </c>
    </row>
    <row r="50" spans="6:7" x14ac:dyDescent="0.25">
      <c r="F50">
        <v>49</v>
      </c>
      <c r="G50" s="41">
        <v>44227</v>
      </c>
    </row>
    <row r="51" spans="6:7" x14ac:dyDescent="0.25">
      <c r="F51">
        <v>50</v>
      </c>
      <c r="G51" s="41">
        <v>44234</v>
      </c>
    </row>
    <row r="52" spans="6:7" x14ac:dyDescent="0.25">
      <c r="F52">
        <v>51</v>
      </c>
      <c r="G52" s="41">
        <v>44241</v>
      </c>
    </row>
    <row r="53" spans="6:7" x14ac:dyDescent="0.25">
      <c r="F53">
        <v>52</v>
      </c>
      <c r="G53" s="41">
        <v>44248</v>
      </c>
    </row>
    <row r="54" spans="6:7" x14ac:dyDescent="0.25">
      <c r="F54">
        <v>53</v>
      </c>
      <c r="G54" s="41">
        <v>44255</v>
      </c>
    </row>
    <row r="55" spans="6:7" x14ac:dyDescent="0.25">
      <c r="F55">
        <v>54</v>
      </c>
      <c r="G55" s="41">
        <v>44262</v>
      </c>
    </row>
    <row r="56" spans="6:7" x14ac:dyDescent="0.25">
      <c r="F56">
        <v>55</v>
      </c>
      <c r="G56" s="41">
        <v>44269</v>
      </c>
    </row>
    <row r="57" spans="6:7" x14ac:dyDescent="0.25">
      <c r="F57">
        <v>56</v>
      </c>
      <c r="G57" s="41">
        <v>44276</v>
      </c>
    </row>
    <row r="58" spans="6:7" x14ac:dyDescent="0.25">
      <c r="F58">
        <v>57</v>
      </c>
      <c r="G58" s="41">
        <v>44283</v>
      </c>
    </row>
    <row r="59" spans="6:7" x14ac:dyDescent="0.25">
      <c r="F59">
        <v>58</v>
      </c>
      <c r="G59" s="41">
        <v>44290</v>
      </c>
    </row>
    <row r="60" spans="6:7" x14ac:dyDescent="0.25">
      <c r="F60">
        <v>59</v>
      </c>
      <c r="G60" s="41">
        <v>44297</v>
      </c>
    </row>
    <row r="61" spans="6:7" x14ac:dyDescent="0.25">
      <c r="F61">
        <v>60</v>
      </c>
      <c r="G61" s="41">
        <v>44304</v>
      </c>
    </row>
    <row r="62" spans="6:7" x14ac:dyDescent="0.25">
      <c r="F62">
        <v>61</v>
      </c>
      <c r="G62" s="41">
        <v>44311</v>
      </c>
    </row>
    <row r="63" spans="6:7" x14ac:dyDescent="0.25">
      <c r="F63">
        <v>62</v>
      </c>
      <c r="G63" s="41">
        <v>44318</v>
      </c>
    </row>
    <row r="64" spans="6:7" x14ac:dyDescent="0.25">
      <c r="F64">
        <v>63</v>
      </c>
      <c r="G64" s="41">
        <v>44325</v>
      </c>
    </row>
    <row r="65" spans="6:7" x14ac:dyDescent="0.25">
      <c r="F65">
        <v>64</v>
      </c>
      <c r="G65" s="41">
        <v>44332</v>
      </c>
    </row>
    <row r="66" spans="6:7" x14ac:dyDescent="0.25">
      <c r="F66">
        <v>65</v>
      </c>
      <c r="G66" s="41">
        <v>44339</v>
      </c>
    </row>
    <row r="67" spans="6:7" x14ac:dyDescent="0.25">
      <c r="F67">
        <v>66</v>
      </c>
      <c r="G67" s="41">
        <v>44346</v>
      </c>
    </row>
    <row r="68" spans="6:7" x14ac:dyDescent="0.25">
      <c r="F68">
        <v>67</v>
      </c>
      <c r="G68" s="41">
        <v>44353</v>
      </c>
    </row>
    <row r="69" spans="6:7" x14ac:dyDescent="0.25">
      <c r="F69">
        <v>68</v>
      </c>
      <c r="G69" s="41">
        <v>44360</v>
      </c>
    </row>
    <row r="70" spans="6:7" x14ac:dyDescent="0.25">
      <c r="F70">
        <v>69</v>
      </c>
      <c r="G70" s="41">
        <v>44367</v>
      </c>
    </row>
    <row r="71" spans="6:7" x14ac:dyDescent="0.25">
      <c r="F71">
        <v>70</v>
      </c>
      <c r="G71" s="41">
        <v>44374</v>
      </c>
    </row>
    <row r="72" spans="6:7" x14ac:dyDescent="0.25">
      <c r="F72">
        <v>71</v>
      </c>
      <c r="G72" s="41">
        <v>44381</v>
      </c>
    </row>
    <row r="73" spans="6:7" x14ac:dyDescent="0.25">
      <c r="F73">
        <v>72</v>
      </c>
      <c r="G73" s="41">
        <v>44388</v>
      </c>
    </row>
    <row r="74" spans="6:7" x14ac:dyDescent="0.25">
      <c r="F74">
        <v>73</v>
      </c>
      <c r="G74" s="41">
        <v>44395</v>
      </c>
    </row>
    <row r="75" spans="6:7" x14ac:dyDescent="0.25">
      <c r="F75">
        <v>74</v>
      </c>
      <c r="G75" s="41">
        <v>44402</v>
      </c>
    </row>
    <row r="76" spans="6:7" x14ac:dyDescent="0.25">
      <c r="F76">
        <v>75</v>
      </c>
      <c r="G76" s="41">
        <v>44409</v>
      </c>
    </row>
    <row r="77" spans="6:7" x14ac:dyDescent="0.25">
      <c r="F77">
        <v>76</v>
      </c>
      <c r="G77" s="41">
        <v>44416</v>
      </c>
    </row>
    <row r="78" spans="6:7" x14ac:dyDescent="0.25">
      <c r="F78">
        <v>77</v>
      </c>
      <c r="G78" s="41">
        <v>44423</v>
      </c>
    </row>
    <row r="79" spans="6:7" x14ac:dyDescent="0.25">
      <c r="F79">
        <v>78</v>
      </c>
      <c r="G79" s="41">
        <v>44430</v>
      </c>
    </row>
    <row r="80" spans="6:7" x14ac:dyDescent="0.25">
      <c r="F80">
        <v>79</v>
      </c>
      <c r="G80" s="41">
        <v>44437</v>
      </c>
    </row>
    <row r="81" spans="6:7" x14ac:dyDescent="0.25">
      <c r="F81">
        <v>80</v>
      </c>
      <c r="G81" s="41">
        <v>44444</v>
      </c>
    </row>
    <row r="82" spans="6:7" x14ac:dyDescent="0.25">
      <c r="F82">
        <v>81</v>
      </c>
      <c r="G82" s="41">
        <v>44451</v>
      </c>
    </row>
    <row r="83" spans="6:7" x14ac:dyDescent="0.25">
      <c r="F83">
        <v>82</v>
      </c>
      <c r="G83" s="41">
        <v>44458</v>
      </c>
    </row>
    <row r="84" spans="6:7" x14ac:dyDescent="0.25">
      <c r="F84">
        <v>83</v>
      </c>
      <c r="G84" s="41">
        <v>44465</v>
      </c>
    </row>
    <row r="85" spans="6:7" x14ac:dyDescent="0.25">
      <c r="F85">
        <v>84</v>
      </c>
      <c r="G85" s="41">
        <v>44472</v>
      </c>
    </row>
    <row r="86" spans="6:7" x14ac:dyDescent="0.25">
      <c r="F86">
        <v>85</v>
      </c>
      <c r="G86" s="41">
        <v>44479</v>
      </c>
    </row>
    <row r="87" spans="6:7" x14ac:dyDescent="0.25">
      <c r="F87">
        <v>86</v>
      </c>
      <c r="G87" s="41">
        <v>44486</v>
      </c>
    </row>
    <row r="88" spans="6:7" x14ac:dyDescent="0.25">
      <c r="F88">
        <v>87</v>
      </c>
      <c r="G88" s="41">
        <v>44493</v>
      </c>
    </row>
    <row r="89" spans="6:7" x14ac:dyDescent="0.25">
      <c r="F89">
        <v>88</v>
      </c>
      <c r="G89" s="41">
        <v>44500</v>
      </c>
    </row>
    <row r="90" spans="6:7" x14ac:dyDescent="0.25">
      <c r="F90">
        <v>89</v>
      </c>
      <c r="G90" s="41">
        <v>44507</v>
      </c>
    </row>
    <row r="91" spans="6:7" x14ac:dyDescent="0.25">
      <c r="F91">
        <v>90</v>
      </c>
      <c r="G91" s="41">
        <v>44514</v>
      </c>
    </row>
    <row r="92" spans="6:7" x14ac:dyDescent="0.25">
      <c r="F92">
        <v>91</v>
      </c>
      <c r="G92" s="41">
        <v>44521</v>
      </c>
    </row>
    <row r="93" spans="6:7" x14ac:dyDescent="0.25">
      <c r="F93">
        <v>92</v>
      </c>
      <c r="G93" s="41">
        <v>44528</v>
      </c>
    </row>
    <row r="94" spans="6:7" x14ac:dyDescent="0.25">
      <c r="F94">
        <v>93</v>
      </c>
      <c r="G94" s="41">
        <v>44535</v>
      </c>
    </row>
    <row r="95" spans="6:7" x14ac:dyDescent="0.25">
      <c r="F95">
        <v>94</v>
      </c>
      <c r="G95" s="41">
        <v>44542</v>
      </c>
    </row>
    <row r="96" spans="6:7" x14ac:dyDescent="0.25">
      <c r="F96">
        <v>95</v>
      </c>
      <c r="G96" s="41">
        <v>44549</v>
      </c>
    </row>
    <row r="97" spans="6:7" x14ac:dyDescent="0.25">
      <c r="F97">
        <v>96</v>
      </c>
      <c r="G97" s="41">
        <v>44556</v>
      </c>
    </row>
    <row r="98" spans="6:7" x14ac:dyDescent="0.25">
      <c r="F98">
        <v>97</v>
      </c>
      <c r="G98" s="41">
        <v>44563</v>
      </c>
    </row>
    <row r="99" spans="6:7" x14ac:dyDescent="0.25">
      <c r="F99">
        <v>98</v>
      </c>
      <c r="G99" s="41">
        <v>44570</v>
      </c>
    </row>
    <row r="100" spans="6:7" x14ac:dyDescent="0.25">
      <c r="F100">
        <v>99</v>
      </c>
      <c r="G100" s="41">
        <v>44577</v>
      </c>
    </row>
    <row r="101" spans="6:7" x14ac:dyDescent="0.25">
      <c r="F101">
        <v>100</v>
      </c>
      <c r="G101" s="41">
        <v>44584</v>
      </c>
    </row>
    <row r="102" spans="6:7" x14ac:dyDescent="0.25">
      <c r="F102">
        <v>101</v>
      </c>
      <c r="G102" s="41">
        <v>44591</v>
      </c>
    </row>
    <row r="103" spans="6:7" x14ac:dyDescent="0.25">
      <c r="F103">
        <v>102</v>
      </c>
      <c r="G103" s="41">
        <v>44598</v>
      </c>
    </row>
    <row r="104" spans="6:7" x14ac:dyDescent="0.25">
      <c r="F104">
        <v>103</v>
      </c>
      <c r="G104" s="41">
        <v>44605</v>
      </c>
    </row>
    <row r="105" spans="6:7" x14ac:dyDescent="0.25">
      <c r="F105">
        <v>104</v>
      </c>
      <c r="G105" s="41">
        <v>44612</v>
      </c>
    </row>
    <row r="106" spans="6:7" x14ac:dyDescent="0.25">
      <c r="F106">
        <v>105</v>
      </c>
      <c r="G106" s="41">
        <v>44619</v>
      </c>
    </row>
    <row r="107" spans="6:7" x14ac:dyDescent="0.25">
      <c r="F107">
        <v>106</v>
      </c>
      <c r="G107" s="41">
        <v>44626</v>
      </c>
    </row>
    <row r="108" spans="6:7" x14ac:dyDescent="0.25">
      <c r="F108">
        <v>107</v>
      </c>
      <c r="G108" s="41">
        <v>44633</v>
      </c>
    </row>
    <row r="109" spans="6:7" x14ac:dyDescent="0.25">
      <c r="F109">
        <v>108</v>
      </c>
      <c r="G109" s="41">
        <v>44640</v>
      </c>
    </row>
    <row r="110" spans="6:7" x14ac:dyDescent="0.25">
      <c r="F110">
        <v>109</v>
      </c>
      <c r="G110" s="41">
        <v>44647</v>
      </c>
    </row>
    <row r="111" spans="6:7" x14ac:dyDescent="0.25">
      <c r="F111">
        <v>110</v>
      </c>
      <c r="G111" s="41">
        <v>44654</v>
      </c>
    </row>
    <row r="112" spans="6:7" x14ac:dyDescent="0.25">
      <c r="F112">
        <v>111</v>
      </c>
      <c r="G112" s="41">
        <v>44661</v>
      </c>
    </row>
    <row r="113" spans="6:7" x14ac:dyDescent="0.25">
      <c r="F113">
        <v>112</v>
      </c>
      <c r="G113" s="41">
        <v>44668</v>
      </c>
    </row>
    <row r="114" spans="6:7" x14ac:dyDescent="0.25">
      <c r="F114">
        <v>113</v>
      </c>
      <c r="G114" s="41">
        <v>44675</v>
      </c>
    </row>
    <row r="115" spans="6:7" x14ac:dyDescent="0.25">
      <c r="F115">
        <v>114</v>
      </c>
      <c r="G115" s="41">
        <v>44682</v>
      </c>
    </row>
    <row r="116" spans="6:7" x14ac:dyDescent="0.25">
      <c r="F116">
        <v>115</v>
      </c>
      <c r="G116" s="41">
        <v>44689</v>
      </c>
    </row>
    <row r="117" spans="6:7" x14ac:dyDescent="0.25">
      <c r="F117">
        <v>116</v>
      </c>
      <c r="G117" s="41">
        <v>44696</v>
      </c>
    </row>
    <row r="118" spans="6:7" x14ac:dyDescent="0.25">
      <c r="F118">
        <v>117</v>
      </c>
      <c r="G118" s="41">
        <v>44703</v>
      </c>
    </row>
    <row r="119" spans="6:7" x14ac:dyDescent="0.25">
      <c r="F119">
        <v>118</v>
      </c>
      <c r="G119" s="41">
        <v>44710</v>
      </c>
    </row>
    <row r="120" spans="6:7" x14ac:dyDescent="0.25">
      <c r="F120">
        <v>119</v>
      </c>
      <c r="G120" s="41">
        <v>44717</v>
      </c>
    </row>
    <row r="121" spans="6:7" x14ac:dyDescent="0.25">
      <c r="F121">
        <v>120</v>
      </c>
      <c r="G121" s="41">
        <v>44724</v>
      </c>
    </row>
    <row r="122" spans="6:7" x14ac:dyDescent="0.25">
      <c r="F122">
        <v>121</v>
      </c>
      <c r="G122" s="41">
        <v>44731</v>
      </c>
    </row>
    <row r="123" spans="6:7" x14ac:dyDescent="0.25">
      <c r="F123">
        <v>122</v>
      </c>
      <c r="G123" s="41">
        <v>44738</v>
      </c>
    </row>
    <row r="124" spans="6:7" x14ac:dyDescent="0.25">
      <c r="F124">
        <v>123</v>
      </c>
      <c r="G124" s="41">
        <v>44745</v>
      </c>
    </row>
    <row r="125" spans="6:7" x14ac:dyDescent="0.25">
      <c r="F125">
        <v>124</v>
      </c>
      <c r="G125" s="41">
        <v>44752</v>
      </c>
    </row>
    <row r="126" spans="6:7" x14ac:dyDescent="0.25">
      <c r="F126">
        <v>125</v>
      </c>
      <c r="G126" s="41">
        <v>44759</v>
      </c>
    </row>
    <row r="127" spans="6:7" x14ac:dyDescent="0.25">
      <c r="F127">
        <v>126</v>
      </c>
      <c r="G127" s="41">
        <v>44766</v>
      </c>
    </row>
    <row r="128" spans="6:7" x14ac:dyDescent="0.25">
      <c r="F128">
        <v>127</v>
      </c>
      <c r="G128" s="41">
        <v>44773</v>
      </c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Q38"/>
  <sheetViews>
    <sheetView tabSelected="1" workbookViewId="0">
      <selection activeCell="Q28" sqref="Q28:Q33"/>
    </sheetView>
  </sheetViews>
  <sheetFormatPr defaultRowHeight="15" x14ac:dyDescent="0.25"/>
  <sheetData>
    <row r="1" spans="1:17" x14ac:dyDescent="0.25">
      <c r="B1" s="50">
        <f t="array" ref="B1:Q1">TRANSPOSE(A2:A17)</f>
        <v>0</v>
      </c>
      <c r="C1" s="50">
        <v>5</v>
      </c>
      <c r="D1" s="50">
        <v>10</v>
      </c>
      <c r="E1" s="50">
        <v>15</v>
      </c>
      <c r="F1" s="50">
        <v>20</v>
      </c>
      <c r="G1" s="50">
        <v>25</v>
      </c>
      <c r="H1" s="50">
        <v>30</v>
      </c>
      <c r="I1" s="50">
        <v>35</v>
      </c>
      <c r="J1" s="50">
        <v>40</v>
      </c>
      <c r="K1" s="50">
        <v>45</v>
      </c>
      <c r="L1" s="50">
        <v>50</v>
      </c>
      <c r="M1" s="50">
        <v>55</v>
      </c>
      <c r="N1" s="50">
        <v>60</v>
      </c>
      <c r="O1" s="50">
        <v>65</v>
      </c>
      <c r="P1" s="50">
        <v>70</v>
      </c>
      <c r="Q1" s="50">
        <v>75</v>
      </c>
    </row>
    <row r="2" spans="1:17" x14ac:dyDescent="0.25">
      <c r="A2" s="50">
        <v>0</v>
      </c>
      <c r="B2">
        <v>2.5982374741684553</v>
      </c>
      <c r="C2">
        <v>1.101285645467494</v>
      </c>
      <c r="D2">
        <v>0.49939612299931058</v>
      </c>
      <c r="E2">
        <v>0.31599772370239854</v>
      </c>
      <c r="F2">
        <v>0.41196059412125974</v>
      </c>
      <c r="G2">
        <v>0.71545713408318201</v>
      </c>
      <c r="H2">
        <v>1.0573647276053499</v>
      </c>
      <c r="I2">
        <v>0.98881444683381248</v>
      </c>
      <c r="J2">
        <v>0.49748836496232701</v>
      </c>
      <c r="K2">
        <v>0.32239062293932269</v>
      </c>
      <c r="L2">
        <v>0.33697768641556303</v>
      </c>
      <c r="M2">
        <v>0.26598011913372704</v>
      </c>
      <c r="N2">
        <v>0.17359888521258601</v>
      </c>
      <c r="O2">
        <v>0.13595719697754646</v>
      </c>
      <c r="P2">
        <v>7.3886411711680602E-2</v>
      </c>
      <c r="Q2">
        <v>3.8852605705164758E-2</v>
      </c>
    </row>
    <row r="3" spans="1:17" x14ac:dyDescent="0.25">
      <c r="A3" s="50">
        <v>5</v>
      </c>
      <c r="B3">
        <v>0.98968591713678045</v>
      </c>
      <c r="C3">
        <v>5.3863717715846908</v>
      </c>
      <c r="D3">
        <v>1.224100873008408</v>
      </c>
      <c r="E3">
        <v>0.34704385481604405</v>
      </c>
      <c r="F3">
        <v>0.193902008335224</v>
      </c>
      <c r="G3">
        <v>0.50927480739450115</v>
      </c>
      <c r="H3">
        <v>0.89274374731692641</v>
      </c>
      <c r="I3">
        <v>1.0689421984336933</v>
      </c>
      <c r="J3">
        <v>0.84619731786005503</v>
      </c>
      <c r="K3">
        <v>0.3477790084065524</v>
      </c>
      <c r="L3">
        <v>0.24165247808763327</v>
      </c>
      <c r="M3">
        <v>0.19751081659124042</v>
      </c>
      <c r="N3">
        <v>0.1705058952567535</v>
      </c>
      <c r="O3">
        <v>0.12127970412684899</v>
      </c>
      <c r="P3">
        <v>5.1215016648265416E-2</v>
      </c>
      <c r="Q3">
        <v>3.9004324877162114E-2</v>
      </c>
    </row>
    <row r="4" spans="1:17" x14ac:dyDescent="0.25">
      <c r="A4" s="50">
        <v>10</v>
      </c>
      <c r="B4">
        <v>0.30484184027079697</v>
      </c>
      <c r="C4">
        <v>1.8889343028701668</v>
      </c>
      <c r="D4">
        <v>8.2845235554310328</v>
      </c>
      <c r="E4">
        <v>0.97348079926534992</v>
      </c>
      <c r="F4">
        <v>0.34735590702864277</v>
      </c>
      <c r="G4">
        <v>0.30111088278273257</v>
      </c>
      <c r="H4">
        <v>0.53783126647792212</v>
      </c>
      <c r="I4">
        <v>0.86983579288730406</v>
      </c>
      <c r="J4">
        <v>1.0479140787686365</v>
      </c>
      <c r="K4">
        <v>0.56486553729450173</v>
      </c>
      <c r="L4">
        <v>0.31945779582206857</v>
      </c>
      <c r="M4">
        <v>0.16629003724286986</v>
      </c>
      <c r="N4">
        <v>0.10455231864874745</v>
      </c>
      <c r="O4">
        <v>9.8895413915812386E-2</v>
      </c>
      <c r="P4">
        <v>6.3185971103642186E-2</v>
      </c>
      <c r="Q4">
        <v>5.2481414246589399E-2</v>
      </c>
    </row>
    <row r="5" spans="1:17" x14ac:dyDescent="0.25">
      <c r="A5" s="50">
        <v>15</v>
      </c>
      <c r="B5">
        <v>0.17368370800722893</v>
      </c>
      <c r="C5">
        <v>0.43236876851592021</v>
      </c>
      <c r="D5">
        <v>3.0675595942716147</v>
      </c>
      <c r="E5">
        <v>11.106139022431361</v>
      </c>
      <c r="F5">
        <v>1.5998367432149103</v>
      </c>
      <c r="G5">
        <v>0.78397085372970032</v>
      </c>
      <c r="H5">
        <v>0.63682106729933252</v>
      </c>
      <c r="I5">
        <v>0.8921857799389914</v>
      </c>
      <c r="J5">
        <v>1.1253403033476335</v>
      </c>
      <c r="K5">
        <v>1.0091368809868577</v>
      </c>
      <c r="L5">
        <v>0.53379366607377365</v>
      </c>
      <c r="M5">
        <v>0.23686994518240226</v>
      </c>
      <c r="N5">
        <v>9.5069789717901018E-2</v>
      </c>
      <c r="O5">
        <v>6.7863564586996397E-2</v>
      </c>
      <c r="P5">
        <v>3.3226412934265225E-2</v>
      </c>
      <c r="Q5">
        <v>2.1370742997294131E-2</v>
      </c>
    </row>
    <row r="6" spans="1:17" x14ac:dyDescent="0.25">
      <c r="A6" s="50">
        <v>20</v>
      </c>
      <c r="B6">
        <v>0.26261874886807546</v>
      </c>
      <c r="C6">
        <v>0.21438955484016919</v>
      </c>
      <c r="D6">
        <v>0.32992929201661503</v>
      </c>
      <c r="E6">
        <v>2.6459959556065624</v>
      </c>
      <c r="F6">
        <v>4.25732083352207</v>
      </c>
      <c r="G6">
        <v>1.7426124163604593</v>
      </c>
      <c r="H6">
        <v>1.1460068192625932</v>
      </c>
      <c r="I6">
        <v>1.0406542247580171</v>
      </c>
      <c r="J6">
        <v>0.91509425203877681</v>
      </c>
      <c r="K6">
        <v>1.0791877568231667</v>
      </c>
      <c r="L6">
        <v>0.73802249730034153</v>
      </c>
      <c r="M6">
        <v>0.41289339391945401</v>
      </c>
      <c r="N6">
        <v>0.12123907531237882</v>
      </c>
      <c r="O6">
        <v>5.2890611952903011E-2</v>
      </c>
      <c r="P6">
        <v>4.9829869351455697E-2</v>
      </c>
      <c r="Q6">
        <v>4.0058660895276335E-2</v>
      </c>
    </row>
    <row r="7" spans="1:17" x14ac:dyDescent="0.25">
      <c r="A7" s="50">
        <v>25</v>
      </c>
      <c r="B7">
        <v>0.5796761613669188</v>
      </c>
      <c r="C7">
        <v>0.34355959581350998</v>
      </c>
      <c r="D7">
        <v>0.20994596004107249</v>
      </c>
      <c r="E7">
        <v>0.88234913532713799</v>
      </c>
      <c r="F7">
        <v>2.0243306051254151</v>
      </c>
      <c r="G7">
        <v>3.4146563950177367</v>
      </c>
      <c r="H7">
        <v>1.7292057466095705</v>
      </c>
      <c r="I7">
        <v>1.3332410354915039</v>
      </c>
      <c r="J7">
        <v>1.1286033883291697</v>
      </c>
      <c r="K7">
        <v>0.95261305233275984</v>
      </c>
      <c r="L7">
        <v>0.90571345080693533</v>
      </c>
      <c r="M7">
        <v>0.49814585508100628</v>
      </c>
      <c r="N7">
        <v>0.16227352386924557</v>
      </c>
      <c r="O7">
        <v>5.5466341210742259E-2</v>
      </c>
      <c r="P7">
        <v>2.6940026141539845E-2</v>
      </c>
      <c r="Q7">
        <v>1.8638502364238002E-2</v>
      </c>
    </row>
    <row r="8" spans="1:17" x14ac:dyDescent="0.25">
      <c r="A8" s="50">
        <v>30</v>
      </c>
      <c r="B8">
        <v>0.68599351056015734</v>
      </c>
      <c r="C8">
        <v>0.92571539803981084</v>
      </c>
      <c r="D8">
        <v>0.70581001490221329</v>
      </c>
      <c r="E8">
        <v>0.51123155226334294</v>
      </c>
      <c r="F8">
        <v>0.99334905454446654</v>
      </c>
      <c r="G8">
        <v>1.6514641132012491</v>
      </c>
      <c r="H8">
        <v>2.7244371507897065</v>
      </c>
      <c r="I8">
        <v>1.6970227009771084</v>
      </c>
      <c r="J8">
        <v>1.3163096951103375</v>
      </c>
      <c r="K8">
        <v>1.0261762557210381</v>
      </c>
      <c r="L8">
        <v>0.79895285748248857</v>
      </c>
      <c r="M8">
        <v>0.54288296432001426</v>
      </c>
      <c r="N8">
        <v>0.21514564709522271</v>
      </c>
      <c r="O8">
        <v>8.8142884430336674E-2</v>
      </c>
      <c r="P8">
        <v>4.0122106120504576E-2</v>
      </c>
      <c r="Q8">
        <v>3.7412749501787933E-2</v>
      </c>
    </row>
    <row r="9" spans="1:17" x14ac:dyDescent="0.25">
      <c r="A9" s="50">
        <v>35</v>
      </c>
      <c r="B9">
        <v>0.67323443351386014</v>
      </c>
      <c r="C9">
        <v>1.0872630071093401</v>
      </c>
      <c r="D9">
        <v>0.90790096194492587</v>
      </c>
      <c r="E9">
        <v>0.76210666230507496</v>
      </c>
      <c r="F9">
        <v>0.71204793152944346</v>
      </c>
      <c r="G9">
        <v>1.2807535082843318</v>
      </c>
      <c r="H9">
        <v>1.5726701438192805</v>
      </c>
      <c r="I9">
        <v>2.7807988620554123</v>
      </c>
      <c r="J9">
        <v>1.8311200945335855</v>
      </c>
      <c r="K9">
        <v>1.1870052804855455</v>
      </c>
      <c r="L9">
        <v>0.86264897198855328</v>
      </c>
      <c r="M9">
        <v>0.46881581500588271</v>
      </c>
      <c r="N9">
        <v>0.25378738063078921</v>
      </c>
      <c r="O9">
        <v>0.14722062671643307</v>
      </c>
      <c r="P9">
        <v>7.4795614847647934E-2</v>
      </c>
      <c r="Q9">
        <v>2.9848571851523984E-2</v>
      </c>
    </row>
    <row r="10" spans="1:17" x14ac:dyDescent="0.25">
      <c r="A10" s="50">
        <v>40</v>
      </c>
      <c r="B10">
        <v>0.34423137757176059</v>
      </c>
      <c r="C10">
        <v>0.74311478566867872</v>
      </c>
      <c r="D10">
        <v>1.012537878334802</v>
      </c>
      <c r="E10">
        <v>1.1725051476796395</v>
      </c>
      <c r="F10">
        <v>0.86790141858917291</v>
      </c>
      <c r="G10">
        <v>1.128281537555873</v>
      </c>
      <c r="H10">
        <v>1.4459969323896429</v>
      </c>
      <c r="I10">
        <v>1.6622981097896445</v>
      </c>
      <c r="J10">
        <v>2.5230691371584291</v>
      </c>
      <c r="K10">
        <v>1.4656056665417023</v>
      </c>
      <c r="L10">
        <v>1.0419253996830022</v>
      </c>
      <c r="M10">
        <v>0.39318350626021425</v>
      </c>
      <c r="N10">
        <v>0.21372728053722026</v>
      </c>
      <c r="O10">
        <v>0.11747991349856385</v>
      </c>
      <c r="P10">
        <v>7.4063089353822928E-2</v>
      </c>
      <c r="Q10">
        <v>3.2295541397963437E-2</v>
      </c>
    </row>
    <row r="11" spans="1:17" x14ac:dyDescent="0.25">
      <c r="A11" s="50">
        <v>45</v>
      </c>
      <c r="B11">
        <v>0.36963614143423118</v>
      </c>
      <c r="C11">
        <v>0.56161899285768091</v>
      </c>
      <c r="D11">
        <v>0.75213593055189154</v>
      </c>
      <c r="E11">
        <v>1.6565163208071874</v>
      </c>
      <c r="F11">
        <v>0.89487194235337342</v>
      </c>
      <c r="G11">
        <v>0.95448986099554345</v>
      </c>
      <c r="H11">
        <v>1.1485889324487228</v>
      </c>
      <c r="I11">
        <v>1.3251737065330997</v>
      </c>
      <c r="J11">
        <v>1.4214369669498708</v>
      </c>
      <c r="K11">
        <v>2.0319863690521411</v>
      </c>
      <c r="L11">
        <v>1.0792846012664778</v>
      </c>
      <c r="M11">
        <v>0.49794201022616685</v>
      </c>
      <c r="N11">
        <v>0.18369551014635666</v>
      </c>
      <c r="O11">
        <v>9.2166880591997957E-2</v>
      </c>
      <c r="P11">
        <v>7.4005241713576406E-2</v>
      </c>
      <c r="Q11">
        <v>6.6026545248062604E-2</v>
      </c>
    </row>
    <row r="12" spans="1:17" x14ac:dyDescent="0.25">
      <c r="A12" s="50">
        <v>50</v>
      </c>
      <c r="B12">
        <v>0.30729947527186541</v>
      </c>
      <c r="C12">
        <v>0.67682104887843075</v>
      </c>
      <c r="D12">
        <v>1.0439912029518128</v>
      </c>
      <c r="E12">
        <v>1.4295756457494224</v>
      </c>
      <c r="F12">
        <v>1.0214101188739362</v>
      </c>
      <c r="G12">
        <v>1.2965461749807066</v>
      </c>
      <c r="H12">
        <v>1.1615372074757366</v>
      </c>
      <c r="I12">
        <v>1.1540614703937297</v>
      </c>
      <c r="J12">
        <v>1.5224214321820742</v>
      </c>
      <c r="K12">
        <v>1.6974693312356346</v>
      </c>
      <c r="L12">
        <v>1.930456569338729</v>
      </c>
      <c r="M12">
        <v>0.89129656478576647</v>
      </c>
      <c r="N12">
        <v>0.31082730052749702</v>
      </c>
      <c r="O12">
        <v>0.1276517818180824</v>
      </c>
      <c r="P12">
        <v>7.9973457962190436E-2</v>
      </c>
      <c r="Q12">
        <v>6.7437216968763661E-2</v>
      </c>
    </row>
    <row r="13" spans="1:17" x14ac:dyDescent="0.25">
      <c r="A13" s="50">
        <v>55</v>
      </c>
      <c r="B13">
        <v>0.53657207617265235</v>
      </c>
      <c r="C13">
        <v>0.73650249441073112</v>
      </c>
      <c r="D13">
        <v>0.75174402925759187</v>
      </c>
      <c r="E13">
        <v>0.99697797588168158</v>
      </c>
      <c r="F13">
        <v>0.77548631375374533</v>
      </c>
      <c r="G13">
        <v>1.2240961768258789</v>
      </c>
      <c r="H13">
        <v>1.2252576459852877</v>
      </c>
      <c r="I13">
        <v>0.97718383924278951</v>
      </c>
      <c r="J13">
        <v>1.0880832902741648</v>
      </c>
      <c r="K13">
        <v>0.95610371751402889</v>
      </c>
      <c r="L13">
        <v>1.2159031055064464</v>
      </c>
      <c r="M13">
        <v>1.598582116159504</v>
      </c>
      <c r="N13">
        <v>0.54692554015937334</v>
      </c>
      <c r="O13">
        <v>0.21565869525517417</v>
      </c>
      <c r="P13">
        <v>9.5427446389232382E-2</v>
      </c>
      <c r="Q13">
        <v>6.4090515680486682E-2</v>
      </c>
    </row>
    <row r="14" spans="1:17" x14ac:dyDescent="0.25">
      <c r="A14" s="50">
        <v>60</v>
      </c>
      <c r="B14">
        <v>0.44758729799839281</v>
      </c>
      <c r="C14">
        <v>0.43503653737719938</v>
      </c>
      <c r="D14">
        <v>0.33982587954167226</v>
      </c>
      <c r="E14">
        <v>0.50958482361519186</v>
      </c>
      <c r="F14">
        <v>0.42467062806054712</v>
      </c>
      <c r="G14">
        <v>0.62360215394037899</v>
      </c>
      <c r="H14">
        <v>0.71732652295539467</v>
      </c>
      <c r="I14">
        <v>0.77759798470271513</v>
      </c>
      <c r="J14">
        <v>0.6344817860505656</v>
      </c>
      <c r="K14">
        <v>0.54938380750908822</v>
      </c>
      <c r="L14">
        <v>0.5517559980136334</v>
      </c>
      <c r="M14">
        <v>0.71684400244340396</v>
      </c>
      <c r="N14">
        <v>1.0690145481396567</v>
      </c>
      <c r="O14">
        <v>0.37754013276201459</v>
      </c>
      <c r="P14">
        <v>0.18820090898865771</v>
      </c>
      <c r="Q14">
        <v>7.5497801033386602E-2</v>
      </c>
    </row>
    <row r="15" spans="1:17" x14ac:dyDescent="0.25">
      <c r="A15" s="50">
        <v>65</v>
      </c>
      <c r="B15">
        <v>0.2743320813416375</v>
      </c>
      <c r="C15">
        <v>0.43211173521089213</v>
      </c>
      <c r="D15">
        <v>0.36024528808748452</v>
      </c>
      <c r="E15">
        <v>0.23797888447597487</v>
      </c>
      <c r="F15">
        <v>0.2772038259111021</v>
      </c>
      <c r="G15">
        <v>0.35327331390592875</v>
      </c>
      <c r="H15">
        <v>0.49805061291937913</v>
      </c>
      <c r="I15">
        <v>0.52694419426684513</v>
      </c>
      <c r="J15">
        <v>0.54168578417551227</v>
      </c>
      <c r="K15">
        <v>0.32436596417533581</v>
      </c>
      <c r="L15">
        <v>0.35440742353264065</v>
      </c>
      <c r="M15">
        <v>0.4393893177367667</v>
      </c>
      <c r="N15">
        <v>0.48198881515179909</v>
      </c>
      <c r="O15">
        <v>0.90006620620046451</v>
      </c>
      <c r="P15">
        <v>0.23184841533995815</v>
      </c>
      <c r="Q15">
        <v>9.1894147292005984E-2</v>
      </c>
    </row>
    <row r="16" spans="1:17" x14ac:dyDescent="0.25">
      <c r="A16" s="50">
        <v>70</v>
      </c>
      <c r="B16">
        <v>0.10738770601888072</v>
      </c>
      <c r="C16">
        <v>0.32459364982676564</v>
      </c>
      <c r="D16">
        <v>0.32026577927074618</v>
      </c>
      <c r="E16">
        <v>0.34506743355705138</v>
      </c>
      <c r="F16">
        <v>0.15106958037333673</v>
      </c>
      <c r="G16">
        <v>0.2333906682419308</v>
      </c>
      <c r="H16">
        <v>0.23008800648016881</v>
      </c>
      <c r="I16">
        <v>0.39368278625701869</v>
      </c>
      <c r="J16">
        <v>0.54884176473740687</v>
      </c>
      <c r="K16">
        <v>0.40759785675989452</v>
      </c>
      <c r="L16">
        <v>0.32574398258164372</v>
      </c>
      <c r="M16">
        <v>0.27552945420736918</v>
      </c>
      <c r="N16">
        <v>0.48061938694269768</v>
      </c>
      <c r="O16">
        <v>0.471457943863278</v>
      </c>
      <c r="P16">
        <v>0.68392390414674975</v>
      </c>
      <c r="Q16">
        <v>0.21666875485008319</v>
      </c>
    </row>
    <row r="17" spans="1:17" x14ac:dyDescent="0.25">
      <c r="A17" s="50">
        <v>75</v>
      </c>
      <c r="B17">
        <v>0.21014644256939213</v>
      </c>
      <c r="C17">
        <v>0.28207435776475254</v>
      </c>
      <c r="D17">
        <v>0.41978293225289576</v>
      </c>
      <c r="E17">
        <v>0.33616104340770769</v>
      </c>
      <c r="F17">
        <v>0.13828164992397171</v>
      </c>
      <c r="G17">
        <v>0.15386022341524425</v>
      </c>
      <c r="H17">
        <v>0.23403017339610255</v>
      </c>
      <c r="I17">
        <v>0.29442898617024893</v>
      </c>
      <c r="J17">
        <v>0.34452794834551898</v>
      </c>
      <c r="K17">
        <v>0.43088888431870853</v>
      </c>
      <c r="L17">
        <v>0.38385271478602939</v>
      </c>
      <c r="M17">
        <v>0.2215158427943455</v>
      </c>
      <c r="N17">
        <v>0.16616949898967259</v>
      </c>
      <c r="O17">
        <v>0.23868152468552972</v>
      </c>
      <c r="P17">
        <v>0.25044490670410791</v>
      </c>
      <c r="Q17">
        <v>0.39625768830755831</v>
      </c>
    </row>
    <row r="19" spans="1:17" x14ac:dyDescent="0.25">
      <c r="B19" s="42" t="s">
        <v>28</v>
      </c>
      <c r="C19" s="46" t="s">
        <v>31</v>
      </c>
      <c r="D19" s="42" t="s">
        <v>29</v>
      </c>
      <c r="E19" s="42" t="s">
        <v>30</v>
      </c>
      <c r="F19" s="42" t="s">
        <v>58</v>
      </c>
      <c r="G19" s="42" t="s">
        <v>34</v>
      </c>
      <c r="J19" s="42" t="s">
        <v>28</v>
      </c>
      <c r="K19" s="46" t="s">
        <v>31</v>
      </c>
      <c r="L19" s="42" t="s">
        <v>29</v>
      </c>
      <c r="M19" s="42" t="s">
        <v>30</v>
      </c>
      <c r="N19" s="42" t="s">
        <v>58</v>
      </c>
      <c r="O19" s="42" t="s">
        <v>34</v>
      </c>
    </row>
    <row r="20" spans="1:17" x14ac:dyDescent="0.25">
      <c r="A20" s="57">
        <f>A2</f>
        <v>0</v>
      </c>
      <c r="B20" s="50">
        <f>B2</f>
        <v>2.5982374741684553</v>
      </c>
      <c r="C20" s="50">
        <f>SUM(C2:E2)</f>
        <v>1.9166794921692032</v>
      </c>
      <c r="D20" s="50">
        <f>SUM(F2:K2)</f>
        <v>3.9934758905452541</v>
      </c>
      <c r="E20" s="50">
        <f>SUM(L2:N2)</f>
        <v>0.77655669076187617</v>
      </c>
      <c r="F20" s="50">
        <f>SUM(O2:P2)</f>
        <v>0.20984360868922708</v>
      </c>
      <c r="G20" s="50">
        <f>Q2</f>
        <v>3.8852605705164758E-2</v>
      </c>
      <c r="I20" s="57" t="str">
        <f t="array" ref="I20:I25">TRANSPOSE(J19:O19)</f>
        <v>0-4</v>
      </c>
      <c r="J20" s="59">
        <f>B20</f>
        <v>2.5982374741684553</v>
      </c>
      <c r="K20" s="59">
        <f t="shared" ref="K20:O20" si="0">C20</f>
        <v>1.9166794921692032</v>
      </c>
      <c r="L20" s="59">
        <f t="shared" si="0"/>
        <v>3.9934758905452541</v>
      </c>
      <c r="M20" s="59">
        <f t="shared" si="0"/>
        <v>0.77655669076187617</v>
      </c>
      <c r="N20" s="59">
        <f t="shared" si="0"/>
        <v>0.20984360868922708</v>
      </c>
      <c r="O20" s="59">
        <f t="shared" si="0"/>
        <v>3.8852605705164758E-2</v>
      </c>
    </row>
    <row r="21" spans="1:17" x14ac:dyDescent="0.25">
      <c r="A21" s="57">
        <f t="shared" ref="A21:B38" si="1">A3</f>
        <v>5</v>
      </c>
      <c r="B21" s="50">
        <f t="shared" si="1"/>
        <v>0.98968591713678045</v>
      </c>
      <c r="C21" s="50">
        <f t="shared" ref="C21:C35" si="2">SUM(C3:E3)</f>
        <v>6.9575164994091425</v>
      </c>
      <c r="D21" s="50">
        <f t="shared" ref="D21:D35" si="3">SUM(F3:K3)</f>
        <v>3.8588390877469521</v>
      </c>
      <c r="E21" s="50">
        <f t="shared" ref="E21:E35" si="4">SUM(L3:N3)</f>
        <v>0.60966918993562724</v>
      </c>
      <c r="F21" s="50">
        <f t="shared" ref="F21:F35" si="5">SUM(O3:P3)</f>
        <v>0.17249472077511441</v>
      </c>
      <c r="G21" s="50">
        <f t="shared" ref="G21:G35" si="6">Q3</f>
        <v>3.9004324877162114E-2</v>
      </c>
      <c r="I21" s="57" t="str">
        <v>5-19</v>
      </c>
      <c r="J21" s="59">
        <f>AVERAGE(B21:B23)</f>
        <v>0.48940382180493547</v>
      </c>
      <c r="K21" s="59">
        <f t="shared" ref="K21:O21" si="7">AVERAGE(C21:C23)</f>
        <v>10.903507514064863</v>
      </c>
      <c r="L21" s="59">
        <f t="shared" si="7"/>
        <v>4.5250147271680392</v>
      </c>
      <c r="M21" s="59">
        <f t="shared" si="7"/>
        <v>0.68856758087446346</v>
      </c>
      <c r="N21" s="59">
        <f t="shared" si="7"/>
        <v>0.14522202777194351</v>
      </c>
      <c r="O21" s="59">
        <f t="shared" si="7"/>
        <v>3.7618827373681885E-2</v>
      </c>
    </row>
    <row r="22" spans="1:17" x14ac:dyDescent="0.25">
      <c r="A22" s="57">
        <f t="shared" si="1"/>
        <v>10</v>
      </c>
      <c r="B22" s="50">
        <f t="shared" si="1"/>
        <v>0.30484184027079697</v>
      </c>
      <c r="C22" s="50">
        <f t="shared" si="2"/>
        <v>11.146938657566549</v>
      </c>
      <c r="D22" s="50">
        <f t="shared" si="3"/>
        <v>3.6689134652397399</v>
      </c>
      <c r="E22" s="50">
        <f t="shared" si="4"/>
        <v>0.59030015171368588</v>
      </c>
      <c r="F22" s="50">
        <f t="shared" si="5"/>
        <v>0.16208138501945457</v>
      </c>
      <c r="G22" s="50">
        <f t="shared" si="6"/>
        <v>5.2481414246589399E-2</v>
      </c>
      <c r="I22" s="57" t="str">
        <v>20-49</v>
      </c>
      <c r="J22" s="59">
        <f>AVERAGE(B24:B29)</f>
        <v>0.48589839555250064</v>
      </c>
      <c r="K22" s="59">
        <f t="shared" ref="K22:O22" si="8">AVERAGE(C24:C29)</f>
        <v>2.5707710243516093</v>
      </c>
      <c r="L22" s="59">
        <f t="shared" si="8"/>
        <v>9.4010636495133255</v>
      </c>
      <c r="M22" s="59">
        <f t="shared" si="8"/>
        <v>1.5650466234886251</v>
      </c>
      <c r="N22" s="59">
        <f t="shared" si="8"/>
        <v>0.1488538676549207</v>
      </c>
      <c r="O22" s="59">
        <f t="shared" si="8"/>
        <v>3.7380095209808721E-2</v>
      </c>
    </row>
    <row r="23" spans="1:17" x14ac:dyDescent="0.25">
      <c r="A23" s="57">
        <f t="shared" si="1"/>
        <v>15</v>
      </c>
      <c r="B23" s="50">
        <f t="shared" si="1"/>
        <v>0.17368370800722893</v>
      </c>
      <c r="C23" s="50">
        <f t="shared" si="2"/>
        <v>14.606067385218896</v>
      </c>
      <c r="D23" s="50">
        <f t="shared" si="3"/>
        <v>6.0472916285174261</v>
      </c>
      <c r="E23" s="50">
        <f t="shared" si="4"/>
        <v>0.86573340097407692</v>
      </c>
      <c r="F23" s="50">
        <f t="shared" si="5"/>
        <v>0.10108997752126161</v>
      </c>
      <c r="G23" s="50">
        <f t="shared" si="6"/>
        <v>2.1370742997294131E-2</v>
      </c>
      <c r="I23" s="57" t="str">
        <v>50-64</v>
      </c>
      <c r="J23" s="59">
        <f>AVERAGE(B30:B32)</f>
        <v>0.43048628314763687</v>
      </c>
      <c r="K23" s="59">
        <f t="shared" ref="K23:O23" si="9">AVERAGE(C30:C32)</f>
        <v>2.3066865458879113</v>
      </c>
      <c r="L23" s="59">
        <f t="shared" si="9"/>
        <v>5.9422398673188006</v>
      </c>
      <c r="M23" s="59">
        <f t="shared" si="9"/>
        <v>2.943868581691337</v>
      </c>
      <c r="N23" s="59">
        <f t="shared" si="9"/>
        <v>0.36148414105845061</v>
      </c>
      <c r="O23" s="59">
        <f t="shared" si="9"/>
        <v>6.9008511227545644E-2</v>
      </c>
    </row>
    <row r="24" spans="1:17" x14ac:dyDescent="0.25">
      <c r="A24" s="57">
        <f t="shared" si="1"/>
        <v>20</v>
      </c>
      <c r="B24" s="50">
        <f t="shared" si="1"/>
        <v>0.26261874886807546</v>
      </c>
      <c r="C24" s="50">
        <f t="shared" si="2"/>
        <v>3.1903148024633468</v>
      </c>
      <c r="D24" s="50">
        <f t="shared" si="3"/>
        <v>10.180876302765084</v>
      </c>
      <c r="E24" s="50">
        <f t="shared" si="4"/>
        <v>1.2721549665321745</v>
      </c>
      <c r="F24" s="50">
        <f t="shared" si="5"/>
        <v>0.10272048130435871</v>
      </c>
      <c r="G24" s="50">
        <f t="shared" si="6"/>
        <v>4.0058660895276335E-2</v>
      </c>
      <c r="I24" s="57" t="str">
        <v>65-75</v>
      </c>
      <c r="J24" s="59">
        <f>AVERAGE(B33:B34)</f>
        <v>0.1908598936802591</v>
      </c>
      <c r="K24" s="59">
        <f t="shared" ref="K24:O24" si="10">AVERAGE(C33:C34)</f>
        <v>1.0101313852144573</v>
      </c>
      <c r="L24" s="59">
        <f t="shared" si="10"/>
        <v>2.2430971791019299</v>
      </c>
      <c r="M24" s="59">
        <f t="shared" si="10"/>
        <v>1.1788391900764585</v>
      </c>
      <c r="N24" s="59">
        <f t="shared" si="10"/>
        <v>1.1436482347752253</v>
      </c>
      <c r="O24" s="59">
        <f t="shared" si="10"/>
        <v>0.15428145107104457</v>
      </c>
    </row>
    <row r="25" spans="1:17" x14ac:dyDescent="0.25">
      <c r="A25" s="57">
        <f t="shared" si="1"/>
        <v>25</v>
      </c>
      <c r="B25" s="50">
        <f t="shared" si="1"/>
        <v>0.5796761613669188</v>
      </c>
      <c r="C25" s="50">
        <f t="shared" si="2"/>
        <v>1.4358546911817205</v>
      </c>
      <c r="D25" s="50">
        <f t="shared" si="3"/>
        <v>10.582650222906157</v>
      </c>
      <c r="E25" s="50">
        <f t="shared" si="4"/>
        <v>1.5661328297571873</v>
      </c>
      <c r="F25" s="50">
        <f t="shared" si="5"/>
        <v>8.2406367352282101E-2</v>
      </c>
      <c r="G25" s="50">
        <f t="shared" si="6"/>
        <v>1.8638502364238002E-2</v>
      </c>
      <c r="I25" s="57" t="str">
        <v>75+</v>
      </c>
      <c r="J25" s="59">
        <f>B35</f>
        <v>0.21014644256939213</v>
      </c>
      <c r="K25" s="59">
        <f t="shared" ref="K25:O25" si="11">C35</f>
        <v>1.0380183334253559</v>
      </c>
      <c r="L25" s="59">
        <f t="shared" si="11"/>
        <v>1.5960178655697947</v>
      </c>
      <c r="M25" s="59">
        <f t="shared" si="11"/>
        <v>0.77153805657004748</v>
      </c>
      <c r="N25" s="59">
        <f t="shared" si="11"/>
        <v>0.48912643138963763</v>
      </c>
      <c r="O25" s="59">
        <f t="shared" si="11"/>
        <v>0.39625768830755831</v>
      </c>
    </row>
    <row r="26" spans="1:17" x14ac:dyDescent="0.25">
      <c r="A26" s="57">
        <f t="shared" si="1"/>
        <v>30</v>
      </c>
      <c r="B26" s="50">
        <f t="shared" si="1"/>
        <v>0.68599351056015734</v>
      </c>
      <c r="C26" s="50">
        <f t="shared" si="2"/>
        <v>2.1427569652053671</v>
      </c>
      <c r="D26" s="50">
        <f t="shared" si="3"/>
        <v>9.4087589703439072</v>
      </c>
      <c r="E26" s="50">
        <f t="shared" si="4"/>
        <v>1.5569814688977255</v>
      </c>
      <c r="F26" s="50">
        <f t="shared" si="5"/>
        <v>0.12826499055084126</v>
      </c>
      <c r="G26" s="50">
        <f t="shared" si="6"/>
        <v>3.7412749501787933E-2</v>
      </c>
    </row>
    <row r="27" spans="1:17" x14ac:dyDescent="0.25">
      <c r="A27" s="57">
        <f t="shared" si="1"/>
        <v>35</v>
      </c>
      <c r="B27" s="50">
        <f t="shared" si="1"/>
        <v>0.67323443351386014</v>
      </c>
      <c r="C27" s="50">
        <f t="shared" si="2"/>
        <v>2.7572706313593409</v>
      </c>
      <c r="D27" s="50">
        <f t="shared" si="3"/>
        <v>9.3643958207075979</v>
      </c>
      <c r="E27" s="50">
        <f t="shared" si="4"/>
        <v>1.5852521676252254</v>
      </c>
      <c r="F27" s="50">
        <f t="shared" si="5"/>
        <v>0.22201624156408101</v>
      </c>
      <c r="G27" s="50">
        <f t="shared" si="6"/>
        <v>2.9848571851523984E-2</v>
      </c>
      <c r="J27" s="42" t="s">
        <v>28</v>
      </c>
      <c r="K27" s="46" t="s">
        <v>31</v>
      </c>
      <c r="L27" s="42" t="s">
        <v>29</v>
      </c>
      <c r="M27" s="42" t="s">
        <v>30</v>
      </c>
      <c r="N27" s="42" t="s">
        <v>58</v>
      </c>
      <c r="O27" s="42" t="s">
        <v>34</v>
      </c>
    </row>
    <row r="28" spans="1:17" x14ac:dyDescent="0.25">
      <c r="A28" s="57">
        <f t="shared" si="1"/>
        <v>40</v>
      </c>
      <c r="B28" s="50">
        <f t="shared" si="1"/>
        <v>0.34423137757176059</v>
      </c>
      <c r="C28" s="50">
        <f t="shared" si="2"/>
        <v>2.9281578116831204</v>
      </c>
      <c r="D28" s="50">
        <f t="shared" si="3"/>
        <v>9.0931528020244645</v>
      </c>
      <c r="E28" s="50">
        <f t="shared" si="4"/>
        <v>1.6488361864804368</v>
      </c>
      <c r="F28" s="50">
        <f t="shared" si="5"/>
        <v>0.19154300285238679</v>
      </c>
      <c r="G28" s="50">
        <f t="shared" si="6"/>
        <v>3.2295541397963437E-2</v>
      </c>
      <c r="I28" s="57" t="str">
        <f t="array" ref="I28:I33">TRANSPOSE(J27:O27)</f>
        <v>0-4</v>
      </c>
      <c r="J28" s="59">
        <f>ROUND(J20,3)</f>
        <v>2.5979999999999999</v>
      </c>
      <c r="K28" s="59">
        <f t="shared" ref="K28:O28" si="12">ROUND(K20,3)</f>
        <v>1.917</v>
      </c>
      <c r="L28" s="59">
        <f t="shared" si="12"/>
        <v>3.9929999999999999</v>
      </c>
      <c r="M28" s="59">
        <f t="shared" si="12"/>
        <v>0.77700000000000002</v>
      </c>
      <c r="N28" s="59">
        <f t="shared" si="12"/>
        <v>0.21</v>
      </c>
      <c r="O28" s="59">
        <f t="shared" si="12"/>
        <v>3.9E-2</v>
      </c>
      <c r="Q28" s="58" t="str">
        <f>"["&amp;J28&amp;", "&amp;K28&amp;", "&amp;L28&amp;", "&amp;N28&amp;", "&amp;O28&amp;", "&amp;M28&amp;"],"</f>
        <v>[2.598, 1.917, 3.993, 0.21, 0.039, 0.777],</v>
      </c>
    </row>
    <row r="29" spans="1:17" x14ac:dyDescent="0.25">
      <c r="A29" s="57">
        <f t="shared" si="1"/>
        <v>45</v>
      </c>
      <c r="B29" s="50">
        <f t="shared" si="1"/>
        <v>0.36963614143423118</v>
      </c>
      <c r="C29" s="50">
        <f t="shared" si="2"/>
        <v>2.97027124421676</v>
      </c>
      <c r="D29" s="50">
        <f t="shared" si="3"/>
        <v>7.7765477783327519</v>
      </c>
      <c r="E29" s="50">
        <f t="shared" si="4"/>
        <v>1.7609221216390014</v>
      </c>
      <c r="F29" s="50">
        <f t="shared" si="5"/>
        <v>0.16617212230557438</v>
      </c>
      <c r="G29" s="50">
        <f t="shared" si="6"/>
        <v>6.6026545248062604E-2</v>
      </c>
      <c r="I29" s="57" t="str">
        <v>5-19</v>
      </c>
      <c r="J29" s="59">
        <f t="shared" ref="J29:O29" si="13">ROUND(J21,3)</f>
        <v>0.48899999999999999</v>
      </c>
      <c r="K29" s="59">
        <f t="shared" si="13"/>
        <v>10.904</v>
      </c>
      <c r="L29" s="59">
        <f t="shared" si="13"/>
        <v>4.5250000000000004</v>
      </c>
      <c r="M29" s="59">
        <f t="shared" si="13"/>
        <v>0.68899999999999995</v>
      </c>
      <c r="N29" s="59">
        <f t="shared" si="13"/>
        <v>0.14499999999999999</v>
      </c>
      <c r="O29" s="59">
        <f t="shared" si="13"/>
        <v>3.7999999999999999E-2</v>
      </c>
      <c r="Q29" s="58" t="str">
        <f t="shared" ref="Q29:Q33" si="14">"["&amp;J29&amp;", "&amp;K29&amp;", "&amp;L29&amp;", "&amp;N29&amp;", "&amp;O29&amp;", "&amp;M29&amp;"],"</f>
        <v>[0.489, 10.904, 4.525, 0.145, 0.038, 0.689],</v>
      </c>
    </row>
    <row r="30" spans="1:17" x14ac:dyDescent="0.25">
      <c r="A30" s="57">
        <f t="shared" si="1"/>
        <v>50</v>
      </c>
      <c r="B30" s="50">
        <f t="shared" si="1"/>
        <v>0.30729947527186541</v>
      </c>
      <c r="C30" s="50">
        <f t="shared" si="2"/>
        <v>3.150387897579666</v>
      </c>
      <c r="D30" s="50">
        <f t="shared" si="3"/>
        <v>7.8534457351418183</v>
      </c>
      <c r="E30" s="50">
        <f t="shared" si="4"/>
        <v>3.1325804346519925</v>
      </c>
      <c r="F30" s="50">
        <f t="shared" si="5"/>
        <v>0.20762523978027284</v>
      </c>
      <c r="G30" s="50">
        <f t="shared" si="6"/>
        <v>6.7437216968763661E-2</v>
      </c>
      <c r="I30" s="57" t="str">
        <v>20-49</v>
      </c>
      <c r="J30" s="59">
        <f t="shared" ref="J30:O30" si="15">ROUND(J22,3)</f>
        <v>0.48599999999999999</v>
      </c>
      <c r="K30" s="59">
        <f t="shared" si="15"/>
        <v>2.5710000000000002</v>
      </c>
      <c r="L30" s="59">
        <f t="shared" si="15"/>
        <v>9.4009999999999998</v>
      </c>
      <c r="M30" s="59">
        <f t="shared" si="15"/>
        <v>1.5649999999999999</v>
      </c>
      <c r="N30" s="59">
        <f t="shared" si="15"/>
        <v>0.14899999999999999</v>
      </c>
      <c r="O30" s="59">
        <f t="shared" si="15"/>
        <v>3.6999999999999998E-2</v>
      </c>
      <c r="Q30" s="58" t="str">
        <f t="shared" si="14"/>
        <v>[0.486, 2.571, 9.401, 0.149, 0.037, 1.565],</v>
      </c>
    </row>
    <row r="31" spans="1:17" x14ac:dyDescent="0.25">
      <c r="A31" s="57">
        <f t="shared" si="1"/>
        <v>55</v>
      </c>
      <c r="B31" s="50">
        <f t="shared" si="1"/>
        <v>0.53657207617265235</v>
      </c>
      <c r="C31" s="50">
        <f t="shared" si="2"/>
        <v>2.4852244995500046</v>
      </c>
      <c r="D31" s="50">
        <f t="shared" si="3"/>
        <v>6.246210983595895</v>
      </c>
      <c r="E31" s="50">
        <f t="shared" si="4"/>
        <v>3.3614107618253239</v>
      </c>
      <c r="F31" s="50">
        <f t="shared" si="5"/>
        <v>0.31108614164440657</v>
      </c>
      <c r="G31" s="50">
        <f t="shared" si="6"/>
        <v>6.4090515680486682E-2</v>
      </c>
      <c r="I31" s="57" t="str">
        <v>50-64</v>
      </c>
      <c r="J31" s="59">
        <f t="shared" ref="J31:O31" si="16">ROUND(J23,3)</f>
        <v>0.43</v>
      </c>
      <c r="K31" s="59">
        <f t="shared" si="16"/>
        <v>2.3069999999999999</v>
      </c>
      <c r="L31" s="59">
        <f t="shared" si="16"/>
        <v>5.9420000000000002</v>
      </c>
      <c r="M31" s="59">
        <f t="shared" si="16"/>
        <v>2.944</v>
      </c>
      <c r="N31" s="59">
        <f t="shared" si="16"/>
        <v>0.36099999999999999</v>
      </c>
      <c r="O31" s="59">
        <f t="shared" si="16"/>
        <v>6.9000000000000006E-2</v>
      </c>
      <c r="Q31" s="58" t="str">
        <f t="shared" si="14"/>
        <v>[0.43, 2.307, 5.942, 0.361, 0.069, 2.944],</v>
      </c>
    </row>
    <row r="32" spans="1:17" x14ac:dyDescent="0.25">
      <c r="A32" s="57">
        <f t="shared" si="1"/>
        <v>60</v>
      </c>
      <c r="B32" s="50">
        <f t="shared" si="1"/>
        <v>0.44758729799839281</v>
      </c>
      <c r="C32" s="50">
        <f t="shared" si="2"/>
        <v>1.2844472405340635</v>
      </c>
      <c r="D32" s="50">
        <f t="shared" si="3"/>
        <v>3.7270628832186898</v>
      </c>
      <c r="E32" s="50">
        <f t="shared" si="4"/>
        <v>2.3376145485966937</v>
      </c>
      <c r="F32" s="50">
        <f t="shared" si="5"/>
        <v>0.5657410417506723</v>
      </c>
      <c r="G32" s="50">
        <f t="shared" si="6"/>
        <v>7.5497801033386602E-2</v>
      </c>
      <c r="I32" s="57" t="str">
        <v>65-75</v>
      </c>
      <c r="J32" s="59">
        <f t="shared" ref="J32:O32" si="17">ROUND(J24,3)</f>
        <v>0.191</v>
      </c>
      <c r="K32" s="59">
        <f t="shared" si="17"/>
        <v>1.01</v>
      </c>
      <c r="L32" s="59">
        <f t="shared" si="17"/>
        <v>2.2429999999999999</v>
      </c>
      <c r="M32" s="59">
        <f t="shared" si="17"/>
        <v>1.179</v>
      </c>
      <c r="N32" s="59">
        <f t="shared" si="17"/>
        <v>1.1439999999999999</v>
      </c>
      <c r="O32" s="59">
        <f t="shared" si="17"/>
        <v>0.154</v>
      </c>
      <c r="Q32" s="58" t="str">
        <f t="shared" si="14"/>
        <v>[0.191, 1.01, 2.243, 1.144, 0.154, 1.179],</v>
      </c>
    </row>
    <row r="33" spans="1:17" x14ac:dyDescent="0.25">
      <c r="A33" s="57">
        <f t="shared" si="1"/>
        <v>65</v>
      </c>
      <c r="B33" s="50">
        <f t="shared" si="1"/>
        <v>0.2743320813416375</v>
      </c>
      <c r="C33" s="50">
        <f t="shared" si="2"/>
        <v>1.0303359077743515</v>
      </c>
      <c r="D33" s="50">
        <f t="shared" si="3"/>
        <v>2.5215236953541029</v>
      </c>
      <c r="E33" s="50">
        <f t="shared" si="4"/>
        <v>1.2757855564212064</v>
      </c>
      <c r="F33" s="50">
        <f t="shared" si="5"/>
        <v>1.1319146215404228</v>
      </c>
      <c r="G33" s="50">
        <f t="shared" si="6"/>
        <v>9.1894147292005984E-2</v>
      </c>
      <c r="I33" s="57" t="str">
        <v>75+</v>
      </c>
      <c r="J33" s="59">
        <f t="shared" ref="J33:O33" si="18">ROUND(J25,3)</f>
        <v>0.21</v>
      </c>
      <c r="K33" s="59">
        <f t="shared" si="18"/>
        <v>1.038</v>
      </c>
      <c r="L33" s="59">
        <f t="shared" si="18"/>
        <v>1.5960000000000001</v>
      </c>
      <c r="M33" s="59">
        <f t="shared" si="18"/>
        <v>0.77200000000000002</v>
      </c>
      <c r="N33" s="59">
        <f t="shared" si="18"/>
        <v>0.48899999999999999</v>
      </c>
      <c r="O33" s="59">
        <f t="shared" si="18"/>
        <v>0.39600000000000002</v>
      </c>
      <c r="Q33" s="58" t="str">
        <f t="shared" si="14"/>
        <v>[0.21, 1.038, 1.596, 0.489, 0.396, 0.772],</v>
      </c>
    </row>
    <row r="34" spans="1:17" x14ac:dyDescent="0.25">
      <c r="A34" s="57">
        <f t="shared" si="1"/>
        <v>70</v>
      </c>
      <c r="B34" s="50">
        <f t="shared" si="1"/>
        <v>0.10738770601888072</v>
      </c>
      <c r="C34" s="50">
        <f t="shared" si="2"/>
        <v>0.9899268626545632</v>
      </c>
      <c r="D34" s="50">
        <f t="shared" si="3"/>
        <v>1.9646706628497566</v>
      </c>
      <c r="E34" s="50">
        <f t="shared" si="4"/>
        <v>1.0818928237317107</v>
      </c>
      <c r="F34" s="50">
        <f t="shared" si="5"/>
        <v>1.1553818480100277</v>
      </c>
      <c r="G34" s="50">
        <f t="shared" si="6"/>
        <v>0.21666875485008319</v>
      </c>
    </row>
    <row r="35" spans="1:17" x14ac:dyDescent="0.25">
      <c r="A35" s="57">
        <f t="shared" si="1"/>
        <v>75</v>
      </c>
      <c r="B35" s="50">
        <f t="shared" si="1"/>
        <v>0.21014644256939213</v>
      </c>
      <c r="C35" s="50">
        <f t="shared" si="2"/>
        <v>1.0380183334253559</v>
      </c>
      <c r="D35" s="50">
        <f t="shared" si="3"/>
        <v>1.5960178655697947</v>
      </c>
      <c r="E35" s="50">
        <f t="shared" si="4"/>
        <v>0.77153805657004748</v>
      </c>
      <c r="F35" s="50">
        <f t="shared" si="5"/>
        <v>0.48912643138963763</v>
      </c>
      <c r="G35" s="50">
        <f t="shared" si="6"/>
        <v>0.39625768830755831</v>
      </c>
    </row>
    <row r="36" spans="1:17" x14ac:dyDescent="0.25">
      <c r="A36" s="57"/>
    </row>
    <row r="37" spans="1:17" x14ac:dyDescent="0.25">
      <c r="A37" s="57"/>
    </row>
    <row r="38" spans="1:17" x14ac:dyDescent="0.25">
      <c r="A38" s="57"/>
    </row>
  </sheetData>
  <conditionalFormatting sqref="B2:Q1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0:G3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0:O25 Q28:Q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8:O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V27"/>
  <sheetViews>
    <sheetView showGridLines="0" workbookViewId="0">
      <selection activeCell="M14" sqref="M14"/>
    </sheetView>
  </sheetViews>
  <sheetFormatPr defaultRowHeight="15" x14ac:dyDescent="0.25"/>
  <cols>
    <col min="1" max="1" width="28.28515625" customWidth="1"/>
    <col min="5" max="5" width="15.28515625" customWidth="1"/>
  </cols>
  <sheetData>
    <row r="1" spans="1:22" x14ac:dyDescent="0.25">
      <c r="A1" s="21"/>
    </row>
    <row r="2" spans="1:22" x14ac:dyDescent="0.25">
      <c r="A2" s="11" t="s">
        <v>4</v>
      </c>
      <c r="B2" s="10"/>
      <c r="C2" s="10"/>
      <c r="D2" s="10"/>
      <c r="E2" s="10"/>
    </row>
    <row r="3" spans="1:22" x14ac:dyDescent="0.25">
      <c r="A3" s="12" t="s">
        <v>5</v>
      </c>
      <c r="B3" s="10"/>
      <c r="C3" s="10"/>
      <c r="D3" s="10"/>
      <c r="E3" s="10"/>
    </row>
    <row r="4" spans="1:22" x14ac:dyDescent="0.25">
      <c r="A4" s="12"/>
      <c r="B4" s="10"/>
      <c r="C4" s="10"/>
      <c r="D4" s="10"/>
      <c r="E4" s="10"/>
    </row>
    <row r="5" spans="1:22" x14ac:dyDescent="0.25">
      <c r="A5" s="12"/>
      <c r="B5" s="10"/>
      <c r="C5" s="10"/>
      <c r="D5" s="10"/>
      <c r="E5" s="10"/>
      <c r="M5" s="56" t="s">
        <v>37</v>
      </c>
      <c r="N5" s="56"/>
      <c r="O5" s="56" t="s">
        <v>39</v>
      </c>
      <c r="P5" s="56"/>
      <c r="T5" s="55" t="s">
        <v>26</v>
      </c>
      <c r="U5" s="55"/>
    </row>
    <row r="6" spans="1:22" ht="30" x14ac:dyDescent="0.25">
      <c r="A6" s="10"/>
      <c r="B6" s="51" t="s">
        <v>6</v>
      </c>
      <c r="C6" s="51" t="s">
        <v>7</v>
      </c>
      <c r="D6" s="52" t="s">
        <v>1</v>
      </c>
      <c r="E6" s="53" t="s">
        <v>37</v>
      </c>
      <c r="I6" s="13" t="s">
        <v>6</v>
      </c>
      <c r="J6" s="13" t="s">
        <v>7</v>
      </c>
      <c r="K6" s="13" t="s">
        <v>32</v>
      </c>
      <c r="L6" s="27" t="s">
        <v>35</v>
      </c>
      <c r="M6" s="27" t="s">
        <v>38</v>
      </c>
      <c r="N6" s="27" t="s">
        <v>36</v>
      </c>
      <c r="O6" s="27" t="s">
        <v>38</v>
      </c>
      <c r="P6" s="27" t="s">
        <v>36</v>
      </c>
      <c r="Q6" s="27" t="s">
        <v>40</v>
      </c>
      <c r="R6" s="27" t="s">
        <v>41</v>
      </c>
      <c r="S6" s="27"/>
      <c r="T6" s="13" t="s">
        <v>6</v>
      </c>
      <c r="U6" s="13" t="s">
        <v>7</v>
      </c>
    </row>
    <row r="7" spans="1:22" x14ac:dyDescent="0.25">
      <c r="A7" s="12" t="s">
        <v>8</v>
      </c>
      <c r="B7" s="25">
        <v>10.01</v>
      </c>
      <c r="C7" s="25">
        <v>9.57</v>
      </c>
      <c r="D7" s="25">
        <f>SUM(B7:C7)</f>
        <v>19.579999999999998</v>
      </c>
      <c r="E7" s="23">
        <v>1</v>
      </c>
      <c r="G7" t="s">
        <v>28</v>
      </c>
      <c r="I7" s="14">
        <f>B7</f>
        <v>10.01</v>
      </c>
      <c r="J7" s="14">
        <f>C7</f>
        <v>9.57</v>
      </c>
      <c r="K7" s="22">
        <f t="shared" ref="K7:K12" si="0">SUM(I7:J7)/$I$15</f>
        <v>5.9653291898973282E-2</v>
      </c>
      <c r="L7" s="29">
        <f>I7+J7</f>
        <v>19.579999999999998</v>
      </c>
      <c r="M7" s="30">
        <f>SUMPRODUCT(D7,E7)/L7</f>
        <v>1</v>
      </c>
      <c r="N7" s="29">
        <f>M7*0.25</f>
        <v>0.25</v>
      </c>
      <c r="O7" s="29">
        <v>0</v>
      </c>
      <c r="P7" s="32">
        <f>0.25*O7</f>
        <v>0</v>
      </c>
      <c r="Q7" s="29"/>
      <c r="R7" s="29"/>
      <c r="S7" s="29"/>
      <c r="T7" s="18">
        <f t="shared" ref="T7:U12" si="1">I7/$I$15</f>
        <v>3.0496907656216682E-2</v>
      </c>
      <c r="U7" s="18">
        <f t="shared" si="1"/>
        <v>2.9156384242756607E-2</v>
      </c>
      <c r="V7" s="20">
        <f>K7</f>
        <v>5.9653291898973282E-2</v>
      </c>
    </row>
    <row r="8" spans="1:22" x14ac:dyDescent="0.25">
      <c r="A8" s="12" t="s">
        <v>9</v>
      </c>
      <c r="B8" s="25">
        <v>10.32</v>
      </c>
      <c r="C8" s="25">
        <v>9.8699999999999992</v>
      </c>
      <c r="D8" s="25">
        <f t="shared" ref="D8:D24" si="2">SUM(B8:C8)</f>
        <v>20.189999999999998</v>
      </c>
      <c r="E8" s="23">
        <v>1</v>
      </c>
      <c r="G8" s="16" t="s">
        <v>31</v>
      </c>
      <c r="I8" s="14">
        <f>SUM(B8:B10)</f>
        <v>31.689999999999998</v>
      </c>
      <c r="J8" s="14">
        <f>SUM(C8:C10)</f>
        <v>30.36</v>
      </c>
      <c r="K8" s="22">
        <f t="shared" si="0"/>
        <v>0.18904426773908542</v>
      </c>
      <c r="L8" s="29">
        <f t="shared" ref="L8:L12" si="3">I8+J8</f>
        <v>62.05</v>
      </c>
      <c r="M8" s="30">
        <f>SUMPRODUCT(D8:D10,E8:E10)/L8</f>
        <v>1</v>
      </c>
      <c r="N8" s="29">
        <f t="shared" ref="N8:N12" si="4">M8*0.25</f>
        <v>0.25</v>
      </c>
      <c r="O8" s="29">
        <v>0.2</v>
      </c>
      <c r="P8" s="32">
        <f>0.25*O8</f>
        <v>0.05</v>
      </c>
      <c r="Q8" s="29"/>
      <c r="R8" s="29"/>
      <c r="S8" s="29"/>
      <c r="T8" s="18">
        <f t="shared" si="1"/>
        <v>9.6548152210340313E-2</v>
      </c>
      <c r="U8" s="18">
        <f t="shared" si="1"/>
        <v>9.2496115528745093E-2</v>
      </c>
      <c r="V8" s="20">
        <f t="shared" ref="V8:V10" si="5">K8</f>
        <v>0.18904426773908542</v>
      </c>
    </row>
    <row r="9" spans="1:22" x14ac:dyDescent="0.25">
      <c r="A9" s="12" t="s">
        <v>10</v>
      </c>
      <c r="B9" s="25">
        <v>10.62</v>
      </c>
      <c r="C9" s="25">
        <v>10.18</v>
      </c>
      <c r="D9" s="25">
        <f t="shared" si="2"/>
        <v>20.799999999999997</v>
      </c>
      <c r="E9" s="23">
        <v>1</v>
      </c>
      <c r="G9" t="s">
        <v>29</v>
      </c>
      <c r="I9" s="14">
        <f>SUM(B11:B16)</f>
        <v>65.290000000000006</v>
      </c>
      <c r="J9" s="14">
        <f>SUM(C11:C16)</f>
        <v>64.319999999999993</v>
      </c>
      <c r="K9" s="22">
        <f t="shared" si="0"/>
        <v>0.3948755445876368</v>
      </c>
      <c r="L9" s="29">
        <f t="shared" si="3"/>
        <v>129.61000000000001</v>
      </c>
      <c r="M9" s="30">
        <f>SUMPRODUCT(D11:D16,E11:E16)/L9</f>
        <v>1.6518015585217192</v>
      </c>
      <c r="N9" s="29">
        <f t="shared" si="4"/>
        <v>0.41295038963042979</v>
      </c>
      <c r="O9" s="29">
        <v>2.6</v>
      </c>
      <c r="P9" s="32">
        <f t="shared" ref="P9:P12" si="6">0.25*O9</f>
        <v>0.65</v>
      </c>
      <c r="Q9" s="29"/>
      <c r="R9" s="29"/>
      <c r="S9" s="29"/>
      <c r="T9" s="18">
        <f t="shared" si="1"/>
        <v>0.19891539469274599</v>
      </c>
      <c r="U9" s="18">
        <f t="shared" si="1"/>
        <v>0.19596014989489077</v>
      </c>
      <c r="V9" s="20">
        <f t="shared" si="5"/>
        <v>0.3948755445876368</v>
      </c>
    </row>
    <row r="10" spans="1:22" x14ac:dyDescent="0.25">
      <c r="A10" s="12" t="s">
        <v>11</v>
      </c>
      <c r="B10" s="25">
        <v>10.75</v>
      </c>
      <c r="C10" s="25">
        <v>10.31</v>
      </c>
      <c r="D10" s="25">
        <f t="shared" si="2"/>
        <v>21.060000000000002</v>
      </c>
      <c r="E10" s="23">
        <v>1</v>
      </c>
      <c r="G10" t="s">
        <v>30</v>
      </c>
      <c r="I10" s="14">
        <f>SUM(B17:B19)</f>
        <v>30.59</v>
      </c>
      <c r="J10" s="14">
        <f>SUM(C17:C19)</f>
        <v>32.33</v>
      </c>
      <c r="K10" s="22">
        <f t="shared" si="0"/>
        <v>0.19169484812479057</v>
      </c>
      <c r="L10" s="29">
        <f t="shared" si="3"/>
        <v>62.92</v>
      </c>
      <c r="M10" s="30">
        <f>SUMPRODUCT(D17:D19,E17:E19)/L10</f>
        <v>4</v>
      </c>
      <c r="N10" s="29">
        <f t="shared" si="4"/>
        <v>1</v>
      </c>
      <c r="O10" s="29">
        <v>7.9</v>
      </c>
      <c r="P10" s="32">
        <f t="shared" si="6"/>
        <v>1.9750000000000001</v>
      </c>
      <c r="Q10" s="29"/>
      <c r="R10" s="29"/>
      <c r="S10" s="29"/>
      <c r="T10" s="18">
        <f t="shared" si="1"/>
        <v>9.3196843676690136E-2</v>
      </c>
      <c r="U10" s="18">
        <f t="shared" si="1"/>
        <v>9.8498004448100418E-2</v>
      </c>
      <c r="V10" s="20">
        <f t="shared" si="5"/>
        <v>0.19169484812479057</v>
      </c>
    </row>
    <row r="11" spans="1:22" x14ac:dyDescent="0.25">
      <c r="A11" s="12" t="s">
        <v>12</v>
      </c>
      <c r="B11" s="25">
        <v>11.06</v>
      </c>
      <c r="C11" s="25">
        <v>10.57</v>
      </c>
      <c r="D11" s="25">
        <f t="shared" si="2"/>
        <v>21.630000000000003</v>
      </c>
      <c r="E11" s="23">
        <v>1</v>
      </c>
      <c r="G11" t="s">
        <v>33</v>
      </c>
      <c r="I11" s="14">
        <f>SUM(B20:B21)</f>
        <v>14.7</v>
      </c>
      <c r="J11" s="14">
        <f>SUM(C20:C21)</f>
        <v>16.79</v>
      </c>
      <c r="K11" s="22">
        <f t="shared" si="0"/>
        <v>9.5938823386040289E-2</v>
      </c>
      <c r="L11" s="29">
        <f t="shared" si="3"/>
        <v>31.49</v>
      </c>
      <c r="M11" s="30">
        <f>SUMPRODUCT(D20:D21,E20:E21)/L11</f>
        <v>6</v>
      </c>
      <c r="N11" s="29">
        <f t="shared" si="4"/>
        <v>1.5</v>
      </c>
      <c r="O11" s="29">
        <v>14.1</v>
      </c>
      <c r="P11" s="32">
        <f t="shared" si="6"/>
        <v>3.5249999999999999</v>
      </c>
      <c r="Q11" s="29"/>
      <c r="R11" s="29"/>
      <c r="S11" s="29"/>
      <c r="T11" s="18">
        <f t="shared" si="1"/>
        <v>4.4785668586052464E-2</v>
      </c>
      <c r="U11" s="18">
        <f t="shared" si="1"/>
        <v>5.1153154799987818E-2</v>
      </c>
      <c r="V11" s="20">
        <f t="shared" ref="V11" si="7">K11</f>
        <v>9.5938823386040289E-2</v>
      </c>
    </row>
    <row r="12" spans="1:22" x14ac:dyDescent="0.25">
      <c r="A12" s="12" t="s">
        <v>13</v>
      </c>
      <c r="B12" s="23">
        <v>12</v>
      </c>
      <c r="C12" s="25">
        <v>11.5</v>
      </c>
      <c r="D12" s="25">
        <f t="shared" si="2"/>
        <v>23.5</v>
      </c>
      <c r="E12" s="23">
        <v>1</v>
      </c>
      <c r="G12" t="s">
        <v>34</v>
      </c>
      <c r="I12" s="14">
        <f>SUM(B22:B24)</f>
        <v>9.379999999999999</v>
      </c>
      <c r="J12" s="14">
        <f>SUM(C22:C24)</f>
        <v>13.200000000000001</v>
      </c>
      <c r="K12" s="22">
        <f t="shared" si="0"/>
        <v>6.8793224263473784E-2</v>
      </c>
      <c r="L12" s="29">
        <f t="shared" si="3"/>
        <v>22.58</v>
      </c>
      <c r="M12" s="30">
        <f>SUMPRODUCT(D22:D24,E22:E24)/L12</f>
        <v>10.75642161204606</v>
      </c>
      <c r="N12" s="29">
        <f t="shared" si="4"/>
        <v>2.6891054030115149</v>
      </c>
      <c r="O12" s="29">
        <v>20.9</v>
      </c>
      <c r="P12" s="32">
        <f t="shared" si="6"/>
        <v>5.2249999999999996</v>
      </c>
      <c r="Q12" s="29"/>
      <c r="R12" s="29"/>
      <c r="S12" s="29"/>
      <c r="T12" s="18">
        <f t="shared" si="1"/>
        <v>2.8577521859671572E-2</v>
      </c>
      <c r="U12" s="18">
        <f t="shared" si="1"/>
        <v>4.021570240380222E-2</v>
      </c>
      <c r="V12" s="20">
        <f>K12</f>
        <v>6.8793224263473784E-2</v>
      </c>
    </row>
    <row r="13" spans="1:22" x14ac:dyDescent="0.25">
      <c r="A13" s="12" t="s">
        <v>14</v>
      </c>
      <c r="B13" s="25">
        <v>11.35</v>
      </c>
      <c r="C13" s="25">
        <v>11.08</v>
      </c>
      <c r="D13" s="25">
        <f t="shared" si="2"/>
        <v>22.43</v>
      </c>
      <c r="E13" s="23">
        <v>2</v>
      </c>
      <c r="G13" s="4"/>
      <c r="H13" s="4"/>
      <c r="I13" s="17"/>
      <c r="J13" s="17"/>
      <c r="K13" s="19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20"/>
    </row>
    <row r="14" spans="1:22" x14ac:dyDescent="0.25">
      <c r="A14" s="12" t="s">
        <v>15</v>
      </c>
      <c r="B14" s="25">
        <v>10.88</v>
      </c>
      <c r="C14" s="25">
        <v>10.85</v>
      </c>
      <c r="D14" s="25">
        <f t="shared" si="2"/>
        <v>21.73</v>
      </c>
      <c r="E14" s="23">
        <v>2</v>
      </c>
      <c r="I14" s="14">
        <f>SUM(I7:I13)</f>
        <v>161.66</v>
      </c>
      <c r="J14" s="14">
        <f>SUM(J7:J13)</f>
        <v>166.56999999999996</v>
      </c>
      <c r="K14" s="31">
        <f>SUM(K7:K13)</f>
        <v>1</v>
      </c>
      <c r="L14" s="14"/>
      <c r="M14" s="14"/>
      <c r="N14" s="14"/>
      <c r="O14" s="14"/>
      <c r="P14" s="14"/>
      <c r="Q14" s="14"/>
      <c r="R14" s="14"/>
      <c r="S14" s="14"/>
    </row>
    <row r="15" spans="1:22" x14ac:dyDescent="0.25">
      <c r="A15" s="12" t="s">
        <v>16</v>
      </c>
      <c r="B15" s="25">
        <v>9.91</v>
      </c>
      <c r="C15" s="25">
        <v>10.01</v>
      </c>
      <c r="D15" s="25">
        <f t="shared" si="2"/>
        <v>19.920000000000002</v>
      </c>
      <c r="E15" s="23">
        <v>2</v>
      </c>
      <c r="I15" s="14">
        <f>SUM(I14:J14)</f>
        <v>328.22999999999996</v>
      </c>
    </row>
    <row r="16" spans="1:22" x14ac:dyDescent="0.25">
      <c r="A16" s="12" t="s">
        <v>17</v>
      </c>
      <c r="B16" s="25">
        <v>10.09</v>
      </c>
      <c r="C16" s="25">
        <v>10.31</v>
      </c>
      <c r="D16" s="25">
        <f t="shared" si="2"/>
        <v>20.399999999999999</v>
      </c>
      <c r="E16" s="23">
        <v>2</v>
      </c>
    </row>
    <row r="17" spans="1:11" x14ac:dyDescent="0.25">
      <c r="A17" s="12" t="s">
        <v>18</v>
      </c>
      <c r="B17" s="25">
        <v>10.09</v>
      </c>
      <c r="C17" s="25">
        <v>10.39</v>
      </c>
      <c r="D17" s="25">
        <f t="shared" si="2"/>
        <v>20.48</v>
      </c>
      <c r="E17" s="23">
        <v>4</v>
      </c>
    </row>
    <row r="18" spans="1:11" x14ac:dyDescent="0.25">
      <c r="A18" s="12" t="s">
        <v>19</v>
      </c>
      <c r="B18" s="25">
        <v>10.64</v>
      </c>
      <c r="C18" s="25">
        <v>11.23</v>
      </c>
      <c r="D18" s="25">
        <f t="shared" si="2"/>
        <v>21.87</v>
      </c>
      <c r="E18" s="23">
        <v>4</v>
      </c>
      <c r="G18" s="35" t="s">
        <v>42</v>
      </c>
      <c r="H18" s="35"/>
      <c r="I18" s="36" t="s">
        <v>32</v>
      </c>
      <c r="J18" s="35" t="s">
        <v>49</v>
      </c>
      <c r="K18" s="35"/>
    </row>
    <row r="19" spans="1:11" x14ac:dyDescent="0.25">
      <c r="A19" s="12" t="s">
        <v>20</v>
      </c>
      <c r="B19" s="25">
        <v>9.86</v>
      </c>
      <c r="C19" s="25">
        <v>10.71</v>
      </c>
      <c r="D19" s="25">
        <f t="shared" si="2"/>
        <v>20.57</v>
      </c>
      <c r="E19" s="23">
        <v>4</v>
      </c>
      <c r="G19" t="s">
        <v>43</v>
      </c>
      <c r="I19" s="33">
        <v>0</v>
      </c>
      <c r="J19">
        <v>0</v>
      </c>
    </row>
    <row r="20" spans="1:11" x14ac:dyDescent="0.25">
      <c r="A20" s="12" t="s">
        <v>21</v>
      </c>
      <c r="B20" s="25">
        <v>8.1999999999999993</v>
      </c>
      <c r="C20" s="25">
        <v>9.26</v>
      </c>
      <c r="D20" s="25">
        <f t="shared" si="2"/>
        <v>17.46</v>
      </c>
      <c r="E20" s="23">
        <v>6</v>
      </c>
      <c r="G20" s="16" t="s">
        <v>48</v>
      </c>
      <c r="I20" s="34">
        <v>0.1668</v>
      </c>
    </row>
    <row r="21" spans="1:11" x14ac:dyDescent="0.25">
      <c r="A21" s="12" t="s">
        <v>22</v>
      </c>
      <c r="B21" s="25">
        <v>6.5</v>
      </c>
      <c r="C21" s="25">
        <v>7.53</v>
      </c>
      <c r="D21" s="25">
        <f t="shared" si="2"/>
        <v>14.030000000000001</v>
      </c>
      <c r="E21" s="23">
        <v>6</v>
      </c>
      <c r="G21" t="s">
        <v>44</v>
      </c>
      <c r="I21" s="34">
        <v>0.29149999999999998</v>
      </c>
    </row>
    <row r="22" spans="1:11" x14ac:dyDescent="0.25">
      <c r="A22" s="12" t="s">
        <v>23</v>
      </c>
      <c r="B22" s="25">
        <v>4.32</v>
      </c>
      <c r="C22" s="25">
        <v>5.33</v>
      </c>
      <c r="D22" s="25">
        <f t="shared" si="2"/>
        <v>9.65</v>
      </c>
      <c r="E22" s="23">
        <v>9</v>
      </c>
      <c r="G22" t="s">
        <v>45</v>
      </c>
      <c r="I22" s="34">
        <v>0.34250000000000003</v>
      </c>
    </row>
    <row r="23" spans="1:11" x14ac:dyDescent="0.25">
      <c r="A23" s="12" t="s">
        <v>24</v>
      </c>
      <c r="B23" s="25">
        <v>2.68</v>
      </c>
      <c r="C23" s="25">
        <v>3.64</v>
      </c>
      <c r="D23" s="25">
        <f t="shared" si="2"/>
        <v>6.32</v>
      </c>
      <c r="E23" s="23">
        <v>9</v>
      </c>
      <c r="G23" t="s">
        <v>46</v>
      </c>
      <c r="I23" s="34">
        <v>0.39789999999999998</v>
      </c>
    </row>
    <row r="24" spans="1:11" x14ac:dyDescent="0.25">
      <c r="A24" s="15" t="s">
        <v>25</v>
      </c>
      <c r="B24" s="26">
        <v>2.38</v>
      </c>
      <c r="C24" s="26">
        <v>4.2300000000000004</v>
      </c>
      <c r="D24" s="26">
        <f t="shared" si="2"/>
        <v>6.61</v>
      </c>
      <c r="E24" s="24">
        <v>15</v>
      </c>
      <c r="G24" t="s">
        <v>47</v>
      </c>
      <c r="I24" s="34">
        <v>0.4834</v>
      </c>
    </row>
    <row r="25" spans="1:11" x14ac:dyDescent="0.25">
      <c r="A25" s="12" t="s">
        <v>27</v>
      </c>
      <c r="B25" s="28">
        <f>SUM(B7:B24)</f>
        <v>161.65999999999997</v>
      </c>
      <c r="C25" s="28">
        <f>SUM(C7:C24)</f>
        <v>166.57</v>
      </c>
      <c r="D25" s="28">
        <f>SUM(D7:D24)</f>
        <v>328.22999999999996</v>
      </c>
      <c r="E25" s="14"/>
      <c r="G25" t="s">
        <v>30</v>
      </c>
      <c r="I25" s="34">
        <v>0.58740000000000003</v>
      </c>
    </row>
    <row r="26" spans="1:11" x14ac:dyDescent="0.25">
      <c r="B26" s="14"/>
      <c r="G26" t="s">
        <v>33</v>
      </c>
      <c r="I26" s="34">
        <v>0.74080000000000001</v>
      </c>
    </row>
    <row r="27" spans="1:11" x14ac:dyDescent="0.25">
      <c r="G27" t="s">
        <v>34</v>
      </c>
      <c r="I27" s="34">
        <v>0.71760000000000002</v>
      </c>
    </row>
  </sheetData>
  <mergeCells count="3">
    <mergeCell ref="T5:U5"/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8" max="8" width="20" bestFit="1" customWidth="1"/>
  </cols>
  <sheetData>
    <row r="1" spans="1:8" x14ac:dyDescent="0.25">
      <c r="A1" s="1">
        <v>44197</v>
      </c>
    </row>
    <row r="2" spans="1:8" x14ac:dyDescent="0.25">
      <c r="A2" s="1">
        <v>44204</v>
      </c>
      <c r="B2">
        <v>1</v>
      </c>
      <c r="E2" t="s">
        <v>1</v>
      </c>
      <c r="F2" s="9">
        <v>0.52</v>
      </c>
      <c r="H2" s="40"/>
    </row>
    <row r="3" spans="1:8" x14ac:dyDescent="0.25">
      <c r="A3" s="1">
        <v>44211</v>
      </c>
      <c r="B3">
        <v>2</v>
      </c>
      <c r="E3" t="s">
        <v>0</v>
      </c>
      <c r="F3">
        <v>0.5</v>
      </c>
    </row>
    <row r="4" spans="1:8" x14ac:dyDescent="0.2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25">
      <c r="A5" s="37">
        <v>44225</v>
      </c>
      <c r="B5" s="38">
        <v>4</v>
      </c>
    </row>
    <row r="6" spans="1:8" x14ac:dyDescent="0.25">
      <c r="A6" s="1">
        <v>44232</v>
      </c>
      <c r="B6">
        <v>5</v>
      </c>
    </row>
    <row r="7" spans="1:8" x14ac:dyDescent="0.25">
      <c r="A7" s="1">
        <v>44239</v>
      </c>
      <c r="B7">
        <v>6</v>
      </c>
    </row>
    <row r="8" spans="1:8" x14ac:dyDescent="0.25">
      <c r="A8" s="1">
        <v>44246</v>
      </c>
      <c r="B8">
        <v>7</v>
      </c>
    </row>
    <row r="9" spans="1:8" x14ac:dyDescent="0.25">
      <c r="A9" s="37">
        <v>44253</v>
      </c>
      <c r="B9" s="38">
        <v>8</v>
      </c>
    </row>
    <row r="10" spans="1:8" x14ac:dyDescent="0.25">
      <c r="A10" s="1">
        <v>44260</v>
      </c>
      <c r="B10">
        <v>9</v>
      </c>
    </row>
    <row r="11" spans="1:8" x14ac:dyDescent="0.25">
      <c r="A11" s="1">
        <v>44267</v>
      </c>
      <c r="B11">
        <v>10</v>
      </c>
    </row>
    <row r="12" spans="1:8" x14ac:dyDescent="0.25">
      <c r="A12" s="1">
        <v>44274</v>
      </c>
      <c r="B12">
        <v>11</v>
      </c>
    </row>
    <row r="13" spans="1:8" x14ac:dyDescent="0.25">
      <c r="A13" s="37">
        <v>44281</v>
      </c>
      <c r="B13" s="38">
        <v>12</v>
      </c>
    </row>
    <row r="14" spans="1:8" x14ac:dyDescent="0.25">
      <c r="A14" s="1">
        <v>44288</v>
      </c>
      <c r="B14">
        <v>13</v>
      </c>
    </row>
    <row r="15" spans="1:8" x14ac:dyDescent="0.25">
      <c r="A15" s="1">
        <v>44295</v>
      </c>
      <c r="B15">
        <v>14</v>
      </c>
    </row>
    <row r="16" spans="1:8" x14ac:dyDescent="0.25">
      <c r="A16" s="1">
        <v>44302</v>
      </c>
      <c r="B16">
        <v>15</v>
      </c>
    </row>
    <row r="17" spans="1:2" x14ac:dyDescent="0.25">
      <c r="A17" s="37">
        <v>44309</v>
      </c>
      <c r="B17" s="38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37">
        <v>44337</v>
      </c>
      <c r="B21" s="38">
        <v>20</v>
      </c>
    </row>
    <row r="22" spans="1:2" x14ac:dyDescent="0.25">
      <c r="A22" s="1">
        <v>44344</v>
      </c>
      <c r="B22">
        <v>21</v>
      </c>
    </row>
    <row r="23" spans="1:2" x14ac:dyDescent="0.25">
      <c r="A23" s="1">
        <v>44351</v>
      </c>
      <c r="B23">
        <v>22</v>
      </c>
    </row>
    <row r="24" spans="1:2" x14ac:dyDescent="0.25">
      <c r="A24" s="1">
        <v>44358</v>
      </c>
      <c r="B24">
        <v>23</v>
      </c>
    </row>
    <row r="25" spans="1:2" x14ac:dyDescent="0.25">
      <c r="A25" s="37">
        <v>44365</v>
      </c>
      <c r="B25" s="38">
        <v>24</v>
      </c>
    </row>
    <row r="26" spans="1:2" x14ac:dyDescent="0.25">
      <c r="A26" s="1">
        <v>44372</v>
      </c>
      <c r="B26">
        <v>25</v>
      </c>
    </row>
    <row r="27" spans="1:2" x14ac:dyDescent="0.25">
      <c r="A27" s="1">
        <v>44379</v>
      </c>
      <c r="B27">
        <v>26</v>
      </c>
    </row>
    <row r="28" spans="1:2" x14ac:dyDescent="0.25">
      <c r="A28" s="1">
        <v>44386</v>
      </c>
      <c r="B28">
        <v>27</v>
      </c>
    </row>
    <row r="29" spans="1:2" x14ac:dyDescent="0.25">
      <c r="A29" s="1">
        <v>44393</v>
      </c>
      <c r="B29">
        <v>28</v>
      </c>
    </row>
    <row r="30" spans="1:2" x14ac:dyDescent="0.2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Vaccination</vt:lpstr>
      <vt:lpstr>Contact rates</vt:lpstr>
      <vt:lpstr>Risks by age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2021-07-16T19:26:02Z</dcterms:modified>
</cp:coreProperties>
</file>