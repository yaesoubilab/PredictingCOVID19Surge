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9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y87\PycharmProjects\PredictingCOVID19Surge\covid_model\"/>
    </mc:Choice>
  </mc:AlternateContent>
  <xr:revisionPtr revIDLastSave="0" documentId="13_ncr:1_{A6F48A9B-BF23-412F-B580-1C660B54A5A6}" xr6:coauthVersionLast="46" xr6:coauthVersionMax="46" xr10:uidLastSave="{00000000-0000-0000-0000-000000000000}"/>
  <bookViews>
    <workbookView xWindow="-13530" yWindow="2100" windowWidth="10995" windowHeight="12465" xr2:uid="{4B0E50F9-8FDA-4FAF-B2BA-C91A91AB3C5C}"/>
  </bookViews>
  <sheets>
    <sheet name="Vaccination" sheetId="1" r:id="rId1"/>
    <sheet name="Timing" sheetId="2" r:id="rId2"/>
    <sheet name="Age-distribution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8" i="3" l="1"/>
  <c r="P9" i="3"/>
  <c r="P10" i="3"/>
  <c r="P11" i="3"/>
  <c r="P12" i="3"/>
  <c r="P7" i="3"/>
  <c r="L11" i="3"/>
  <c r="L12" i="3"/>
  <c r="D24" i="3"/>
  <c r="D23" i="3"/>
  <c r="D22" i="3"/>
  <c r="M12" i="3" s="1"/>
  <c r="N12" i="3" s="1"/>
  <c r="D21" i="3"/>
  <c r="M11" i="3" s="1"/>
  <c r="N11" i="3" s="1"/>
  <c r="D20" i="3"/>
  <c r="D19" i="3"/>
  <c r="D18" i="3"/>
  <c r="D17" i="3"/>
  <c r="D16" i="3"/>
  <c r="D15" i="3"/>
  <c r="D14" i="3"/>
  <c r="D13" i="3"/>
  <c r="D12" i="3"/>
  <c r="D11" i="3"/>
  <c r="M9" i="3" s="1"/>
  <c r="N9" i="3" s="1"/>
  <c r="D10" i="3"/>
  <c r="D9" i="3"/>
  <c r="D8" i="3"/>
  <c r="D7" i="3"/>
  <c r="J7" i="3"/>
  <c r="J8" i="3"/>
  <c r="J9" i="3"/>
  <c r="J10" i="3"/>
  <c r="J11" i="3"/>
  <c r="J12" i="3"/>
  <c r="I12" i="3"/>
  <c r="I11" i="3"/>
  <c r="I10" i="3"/>
  <c r="I9" i="3"/>
  <c r="L9" i="3" s="1"/>
  <c r="I8" i="3"/>
  <c r="I7" i="3"/>
  <c r="C25" i="3"/>
  <c r="B25" i="3"/>
  <c r="F4" i="1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2" i="2"/>
  <c r="C29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" i="2"/>
  <c r="M10" i="3" l="1"/>
  <c r="N10" i="3" s="1"/>
  <c r="L8" i="3"/>
  <c r="L10" i="3"/>
  <c r="L7" i="3"/>
  <c r="M7" i="3"/>
  <c r="N7" i="3" s="1"/>
  <c r="M8" i="3"/>
  <c r="N8" i="3" s="1"/>
  <c r="D25" i="3"/>
  <c r="I14" i="3"/>
  <c r="J14" i="3"/>
  <c r="I15" i="3" l="1"/>
  <c r="T11" i="3" s="1"/>
  <c r="U10" i="3"/>
  <c r="T12" i="3" l="1"/>
  <c r="T10" i="3"/>
  <c r="T9" i="3"/>
  <c r="T8" i="3"/>
  <c r="T7" i="3"/>
  <c r="U12" i="3"/>
  <c r="K12" i="3"/>
  <c r="V12" i="3" s="1"/>
  <c r="K10" i="3"/>
  <c r="V10" i="3" s="1"/>
  <c r="K7" i="3"/>
  <c r="K14" i="3" s="1"/>
  <c r="K9" i="3"/>
  <c r="V9" i="3" s="1"/>
  <c r="U11" i="3"/>
  <c r="U7" i="3"/>
  <c r="K8" i="3"/>
  <c r="V8" i="3" s="1"/>
  <c r="U8" i="3"/>
  <c r="K11" i="3"/>
  <c r="V11" i="3" s="1"/>
  <c r="U9" i="3"/>
  <c r="V7" i="3"/>
</calcChain>
</file>

<file path=xl/sharedStrings.xml><?xml version="1.0" encoding="utf-8"?>
<sst xmlns="http://schemas.openxmlformats.org/spreadsheetml/2006/main" count="64" uniqueCount="52">
  <si>
    <t>Year</t>
  </si>
  <si>
    <t>Pop</t>
  </si>
  <si>
    <t>rate</t>
  </si>
  <si>
    <t>Weeks</t>
  </si>
  <si>
    <t>Population of the United States by sex and age 2019</t>
  </si>
  <si>
    <t>Resident population of the United States by sex and age as of July 1, 2019 (in millions)</t>
  </si>
  <si>
    <t>Male</t>
  </si>
  <si>
    <t>Female</t>
  </si>
  <si>
    <t>Under 5</t>
  </si>
  <si>
    <t>5 to 9</t>
  </si>
  <si>
    <t>10 to 14</t>
  </si>
  <si>
    <t>15 to 19</t>
  </si>
  <si>
    <t>20 to 24</t>
  </si>
  <si>
    <t>25 to 29</t>
  </si>
  <si>
    <t>30 to 34</t>
  </si>
  <si>
    <t>35 to 39</t>
  </si>
  <si>
    <t>40 to 44</t>
  </si>
  <si>
    <t>45 to 49</t>
  </si>
  <si>
    <t>50 to 54</t>
  </si>
  <si>
    <t>55 to 59</t>
  </si>
  <si>
    <t>60 to 64</t>
  </si>
  <si>
    <t>65 to 69</t>
  </si>
  <si>
    <t>70 to 74</t>
  </si>
  <si>
    <t>75 to 79</t>
  </si>
  <si>
    <t>80 to 84</t>
  </si>
  <si>
    <t>85 and over</t>
  </si>
  <si>
    <t>https://www.statista.com/statistics/241488/population-of-the-us-by-sex-and-age/</t>
  </si>
  <si>
    <t>Percentage</t>
  </si>
  <si>
    <t>sum</t>
  </si>
  <si>
    <t>0-4</t>
  </si>
  <si>
    <t>20-49</t>
  </si>
  <si>
    <t>50-64</t>
  </si>
  <si>
    <t>5-19</t>
  </si>
  <si>
    <t>%</t>
  </si>
  <si>
    <t>65-74</t>
  </si>
  <si>
    <t>75+</t>
  </si>
  <si>
    <t>Risk</t>
  </si>
  <si>
    <t>pop</t>
  </si>
  <si>
    <t>StDev</t>
  </si>
  <si>
    <t>Hospitalization Risk</t>
  </si>
  <si>
    <t>Mean</t>
  </si>
  <si>
    <t>Mortality Risk</t>
  </si>
  <si>
    <t>N</t>
  </si>
  <si>
    <t>n</t>
  </si>
  <si>
    <t>Vaccination</t>
  </si>
  <si>
    <t>&lt;12</t>
  </si>
  <si>
    <t>16-17</t>
  </si>
  <si>
    <t>18-24</t>
  </si>
  <si>
    <t>25-39</t>
  </si>
  <si>
    <t>40-49</t>
  </si>
  <si>
    <t>12-15</t>
  </si>
  <si>
    <t>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</si>
</sst>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0.0"/>
    <numFmt numFmtId="166" formatCode="#,##0.##"/>
    <numFmt numFmtId="167" formatCode="0.000"/>
    <numFmt numFmtId="168" formatCode="0.0%"/>
    <numFmt numFmtId="169" formatCode="#,##0.0000"/>
  </numFmts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8">
    <xf numFmtId="0" fontId="0" fillId="0" borderId="0"/>
    <xf numFmtId="0" fontId="2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41">
    <xf numFmtId="0" fontId="0" fillId="0" borderId="0" xfId="0"/>
    <xf numFmtId="14" fontId="0" fillId="0" borderId="0" xfId="0" applyNumberFormat="1"/>
    <xf numFmtId="164" fontId="0" fillId="0" borderId="0" xfId="0" applyNumberFormat="1"/>
    <xf numFmtId="164" fontId="0" fillId="0" borderId="1" xfId="0" applyNumberFormat="1" applyBorder="1"/>
    <xf numFmtId="0" fontId="0" fillId="0" borderId="1" xfId="0" applyBorder="1"/>
    <xf numFmtId="164" fontId="0" fillId="0" borderId="0" xfId="0" applyNumberFormat="1" applyBorder="1"/>
    <xf numFmtId="0" fontId="0" fillId="0" borderId="0" xfId="0" applyBorder="1"/>
    <xf numFmtId="165" fontId="0" fillId="0" borderId="0" xfId="0" applyNumberFormat="1"/>
    <xf numFmtId="165" fontId="0" fillId="0" borderId="1" xfId="0" applyNumberFormat="1" applyBorder="1"/>
    <xf numFmtId="9" fontId="0" fillId="0" borderId="0" xfId="0" applyNumberFormat="1"/>
    <xf numFmtId="0" fontId="2" fillId="0" borderId="0" xfId="1"/>
    <xf numFmtId="0" fontId="3" fillId="0" borderId="0" xfId="1" applyNumberFormat="1" applyFont="1" applyFill="1" applyBorder="1" applyAlignment="1" applyProtection="1">
      <alignment horizontal="left" vertical="center"/>
    </xf>
    <xf numFmtId="0" fontId="2" fillId="0" borderId="0" xfId="1" applyNumberFormat="1" applyFont="1" applyFill="1" applyBorder="1" applyAlignment="1" applyProtection="1">
      <alignment horizontal="left" vertical="center"/>
    </xf>
    <xf numFmtId="0" fontId="3" fillId="0" borderId="1" xfId="1" applyNumberFormat="1" applyFont="1" applyFill="1" applyBorder="1" applyAlignment="1" applyProtection="1">
      <alignment horizontal="right" vertical="center"/>
    </xf>
    <xf numFmtId="166" fontId="0" fillId="0" borderId="0" xfId="0" applyNumberFormat="1"/>
    <xf numFmtId="0" fontId="2" fillId="0" borderId="1" xfId="1" applyNumberFormat="1" applyFont="1" applyFill="1" applyBorder="1" applyAlignment="1" applyProtection="1">
      <alignment horizontal="left" vertical="center"/>
    </xf>
    <xf numFmtId="16" fontId="0" fillId="0" borderId="0" xfId="0" quotePrefix="1" applyNumberFormat="1"/>
    <xf numFmtId="166" fontId="0" fillId="0" borderId="1" xfId="0" applyNumberFormat="1" applyBorder="1"/>
    <xf numFmtId="10" fontId="0" fillId="0" borderId="0" xfId="0" applyNumberFormat="1"/>
    <xf numFmtId="167" fontId="0" fillId="0" borderId="1" xfId="0" applyNumberFormat="1" applyBorder="1"/>
    <xf numFmtId="168" fontId="0" fillId="0" borderId="0" xfId="0" applyNumberFormat="1"/>
    <xf numFmtId="0" fontId="4" fillId="0" borderId="0" xfId="7"/>
    <xf numFmtId="167" fontId="0" fillId="2" borderId="0" xfId="0" applyNumberFormat="1" applyFill="1"/>
    <xf numFmtId="3" fontId="2" fillId="0" borderId="0" xfId="1" applyNumberFormat="1" applyFont="1" applyFill="1" applyBorder="1" applyAlignment="1" applyProtection="1">
      <alignment horizontal="center" vertical="center"/>
    </xf>
    <xf numFmtId="3" fontId="2" fillId="0" borderId="1" xfId="1" applyNumberFormat="1" applyFont="1" applyFill="1" applyBorder="1" applyAlignment="1" applyProtection="1">
      <alignment horizontal="center" vertical="center"/>
    </xf>
    <xf numFmtId="166" fontId="2" fillId="0" borderId="0" xfId="1" applyNumberFormat="1" applyFont="1" applyFill="1" applyBorder="1" applyAlignment="1" applyProtection="1">
      <alignment horizontal="center" vertical="center"/>
    </xf>
    <xf numFmtId="166" fontId="2" fillId="0" borderId="1" xfId="1" applyNumberFormat="1" applyFont="1" applyFill="1" applyBorder="1" applyAlignment="1" applyProtection="1">
      <alignment horizontal="center" vertical="center"/>
    </xf>
    <xf numFmtId="0" fontId="3" fillId="0" borderId="1" xfId="1" applyNumberFormat="1" applyFont="1" applyFill="1" applyBorder="1" applyAlignment="1" applyProtection="1">
      <alignment horizontal="center" vertical="center"/>
    </xf>
    <xf numFmtId="166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2" borderId="0" xfId="0" applyNumberFormat="1" applyFill="1" applyAlignment="1">
      <alignment horizontal="center"/>
    </xf>
    <xf numFmtId="169" fontId="0" fillId="0" borderId="0" xfId="0" applyNumberFormat="1"/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4" fillId="0" borderId="0" xfId="7" applyAlignment="1">
      <alignment horizontal="center"/>
    </xf>
    <xf numFmtId="9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0" fontId="5" fillId="0" borderId="1" xfId="0" applyFont="1" applyBorder="1"/>
    <xf numFmtId="0" fontId="5" fillId="0" borderId="1" xfId="0" applyFont="1" applyBorder="1" applyAlignment="1">
      <alignment horizontal="center"/>
    </xf>
    <xf numFmtId="14" fontId="0" fillId="2" borderId="0" xfId="0" applyNumberFormat="1" applyFill="1"/>
    <xf numFmtId="0" fontId="0" fillId="2" borderId="0" xfId="0" applyFill="1"/>
  </cellXfs>
  <cellStyles count="8">
    <cellStyle name="Comma [0] 2" xfId="6" xr:uid="{6B5881C9-9ACE-4BDF-9BB2-8272691A0155}"/>
    <cellStyle name="Comma 2" xfId="5" xr:uid="{BF4829FB-E8E4-413E-9608-4FFD6FC96CB1}"/>
    <cellStyle name="Currency [0] 2" xfId="4" xr:uid="{588817CB-B311-4A00-94B3-5EC5C5BDF693}"/>
    <cellStyle name="Currency 2" xfId="3" xr:uid="{3F47A754-FB25-43AD-A6E6-F6429815720E}"/>
    <cellStyle name="Hyperlink" xfId="7" builtinId="8"/>
    <cellStyle name="Normal" xfId="0" builtinId="0"/>
    <cellStyle name="Normal 2" xfId="1" xr:uid="{276E414D-F8B8-4B43-888C-ED5AE2DC3225}"/>
    <cellStyle name="Percent 2" xfId="2" xr:uid="{F64CDE67-7CF9-4260-BDE1-BFFAB22A266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ubmed.ncbi.nlm.nih.gov/33830226/" TargetMode="External"/><Relationship Id="rId2" Type="http://schemas.openxmlformats.org/officeDocument/2006/relationships/hyperlink" Target="https://www.cdc.gov/coronavirus/2019-ncov/covid-data/investigations-discovery/hospitalization-death-by-age.html" TargetMode="External"/><Relationship Id="rId1" Type="http://schemas.openxmlformats.org/officeDocument/2006/relationships/hyperlink" Target="https://www.statista.com/statistics/241488/population-of-the-us-by-sex-and-age/" TargetMode="External"/><Relationship Id="rId4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EBB13-7124-4A24-9A1F-BE76A3437B2E}">
  <dimension ref="A1:F30"/>
  <sheetViews>
    <sheetView tabSelected="1" topLeftCell="A7" workbookViewId="0">
      <selection activeCell="C22" sqref="C22"/>
    </sheetView>
  </sheetViews>
  <sheetFormatPr defaultRowHeight="15" x14ac:dyDescent="0.25"/>
  <cols>
    <col min="1" max="1" width="9.7109375" bestFit="1" customWidth="1"/>
  </cols>
  <sheetData>
    <row r="1" spans="1:6" x14ac:dyDescent="0.25">
      <c r="A1" s="1">
        <v>44197</v>
      </c>
    </row>
    <row r="2" spans="1:6" x14ac:dyDescent="0.25">
      <c r="A2" s="1">
        <v>44204</v>
      </c>
      <c r="B2">
        <v>1</v>
      </c>
      <c r="E2" t="s">
        <v>1</v>
      </c>
      <c r="F2" s="9">
        <v>0.52</v>
      </c>
    </row>
    <row r="3" spans="1:6" x14ac:dyDescent="0.25">
      <c r="A3" s="1">
        <v>44211</v>
      </c>
      <c r="B3">
        <v>2</v>
      </c>
      <c r="E3" t="s">
        <v>0</v>
      </c>
      <c r="F3">
        <v>0.5</v>
      </c>
    </row>
    <row r="4" spans="1:6" x14ac:dyDescent="0.25">
      <c r="A4" s="1">
        <v>44218</v>
      </c>
      <c r="B4">
        <v>3</v>
      </c>
      <c r="E4" t="s">
        <v>2</v>
      </c>
      <c r="F4">
        <f>-LN(1-F2)/F3</f>
        <v>1.4679383501604009</v>
      </c>
    </row>
    <row r="5" spans="1:6" x14ac:dyDescent="0.25">
      <c r="A5" s="39">
        <v>44225</v>
      </c>
      <c r="B5" s="40">
        <v>4</v>
      </c>
    </row>
    <row r="6" spans="1:6" x14ac:dyDescent="0.25">
      <c r="A6" s="1">
        <v>44232</v>
      </c>
      <c r="B6">
        <v>5</v>
      </c>
    </row>
    <row r="7" spans="1:6" x14ac:dyDescent="0.25">
      <c r="A7" s="1">
        <v>44239</v>
      </c>
      <c r="B7">
        <v>6</v>
      </c>
    </row>
    <row r="8" spans="1:6" x14ac:dyDescent="0.25">
      <c r="A8" s="1">
        <v>44246</v>
      </c>
      <c r="B8">
        <v>7</v>
      </c>
    </row>
    <row r="9" spans="1:6" x14ac:dyDescent="0.25">
      <c r="A9" s="39">
        <v>44253</v>
      </c>
      <c r="B9" s="40">
        <v>8</v>
      </c>
    </row>
    <row r="10" spans="1:6" x14ac:dyDescent="0.25">
      <c r="A10" s="1">
        <v>44260</v>
      </c>
      <c r="B10">
        <v>9</v>
      </c>
    </row>
    <row r="11" spans="1:6" x14ac:dyDescent="0.25">
      <c r="A11" s="1">
        <v>44267</v>
      </c>
      <c r="B11">
        <v>10</v>
      </c>
    </row>
    <row r="12" spans="1:6" x14ac:dyDescent="0.25">
      <c r="A12" s="1">
        <v>44274</v>
      </c>
      <c r="B12">
        <v>11</v>
      </c>
    </row>
    <row r="13" spans="1:6" x14ac:dyDescent="0.25">
      <c r="A13" s="39">
        <v>44281</v>
      </c>
      <c r="B13" s="40">
        <v>12</v>
      </c>
    </row>
    <row r="14" spans="1:6" x14ac:dyDescent="0.25">
      <c r="A14" s="1">
        <v>44288</v>
      </c>
      <c r="B14">
        <v>13</v>
      </c>
    </row>
    <row r="15" spans="1:6" x14ac:dyDescent="0.25">
      <c r="A15" s="1">
        <v>44295</v>
      </c>
      <c r="B15">
        <v>14</v>
      </c>
    </row>
    <row r="16" spans="1:6" x14ac:dyDescent="0.25">
      <c r="A16" s="1">
        <v>44302</v>
      </c>
      <c r="B16">
        <v>15</v>
      </c>
    </row>
    <row r="17" spans="1:2" x14ac:dyDescent="0.25">
      <c r="A17" s="39">
        <v>44309</v>
      </c>
      <c r="B17" s="40">
        <v>16</v>
      </c>
    </row>
    <row r="18" spans="1:2" x14ac:dyDescent="0.25">
      <c r="A18" s="1">
        <v>44316</v>
      </c>
      <c r="B18">
        <v>17</v>
      </c>
    </row>
    <row r="19" spans="1:2" x14ac:dyDescent="0.25">
      <c r="A19" s="1">
        <v>44323</v>
      </c>
      <c r="B19">
        <v>18</v>
      </c>
    </row>
    <row r="20" spans="1:2" x14ac:dyDescent="0.25">
      <c r="A20" s="1">
        <v>44330</v>
      </c>
      <c r="B20">
        <v>19</v>
      </c>
    </row>
    <row r="21" spans="1:2" x14ac:dyDescent="0.25">
      <c r="A21" s="39">
        <v>44337</v>
      </c>
      <c r="B21" s="40">
        <v>20</v>
      </c>
    </row>
    <row r="22" spans="1:2" x14ac:dyDescent="0.25">
      <c r="A22" s="1">
        <v>44344</v>
      </c>
      <c r="B22">
        <v>21</v>
      </c>
    </row>
    <row r="23" spans="1:2" x14ac:dyDescent="0.25">
      <c r="A23" s="1">
        <v>44351</v>
      </c>
      <c r="B23">
        <v>22</v>
      </c>
    </row>
    <row r="24" spans="1:2" x14ac:dyDescent="0.25">
      <c r="A24" s="1">
        <v>44358</v>
      </c>
      <c r="B24">
        <v>23</v>
      </c>
    </row>
    <row r="25" spans="1:2" x14ac:dyDescent="0.25">
      <c r="A25" s="39">
        <v>44365</v>
      </c>
      <c r="B25" s="40">
        <v>24</v>
      </c>
    </row>
    <row r="26" spans="1:2" x14ac:dyDescent="0.25">
      <c r="A26" s="1">
        <v>44372</v>
      </c>
      <c r="B26">
        <v>25</v>
      </c>
    </row>
    <row r="27" spans="1:2" x14ac:dyDescent="0.25">
      <c r="A27" s="1">
        <v>44379</v>
      </c>
      <c r="B27">
        <v>26</v>
      </c>
    </row>
    <row r="28" spans="1:2" x14ac:dyDescent="0.25">
      <c r="A28" s="1">
        <v>44386</v>
      </c>
      <c r="B28">
        <v>27</v>
      </c>
    </row>
    <row r="29" spans="1:2" x14ac:dyDescent="0.25">
      <c r="A29" s="1">
        <v>44393</v>
      </c>
      <c r="B29">
        <v>28</v>
      </c>
    </row>
    <row r="30" spans="1:2" x14ac:dyDescent="0.25">
      <c r="A30" s="1">
        <v>44400</v>
      </c>
      <c r="B30">
        <v>29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66250-A646-4EDC-A1EB-7E5605B1B8BA}">
  <dimension ref="A1:D29"/>
  <sheetViews>
    <sheetView topLeftCell="A7" workbookViewId="0">
      <selection activeCell="F29" sqref="F29"/>
    </sheetView>
  </sheetViews>
  <sheetFormatPr defaultRowHeight="15" x14ac:dyDescent="0.25"/>
  <cols>
    <col min="1" max="1" width="17.5703125" bestFit="1" customWidth="1"/>
    <col min="7" max="7" width="11" bestFit="1" customWidth="1"/>
  </cols>
  <sheetData>
    <row r="1" spans="1:4" x14ac:dyDescent="0.25">
      <c r="C1" t="s">
        <v>0</v>
      </c>
      <c r="D1" t="s">
        <v>3</v>
      </c>
    </row>
    <row r="2" spans="1:4" x14ac:dyDescent="0.25">
      <c r="A2" s="2">
        <v>43891</v>
      </c>
      <c r="B2">
        <v>1</v>
      </c>
      <c r="C2">
        <f>(B2-1)/12</f>
        <v>0</v>
      </c>
      <c r="D2" s="7">
        <f>C2*52</f>
        <v>0</v>
      </c>
    </row>
    <row r="3" spans="1:4" x14ac:dyDescent="0.25">
      <c r="A3" s="2">
        <v>43922</v>
      </c>
      <c r="B3">
        <v>2</v>
      </c>
      <c r="C3">
        <f t="shared" ref="C3:C29" si="0">(B3-1)/12</f>
        <v>8.3333333333333329E-2</v>
      </c>
      <c r="D3" s="7">
        <f t="shared" ref="D3:D29" si="1">C3*52</f>
        <v>4.333333333333333</v>
      </c>
    </row>
    <row r="4" spans="1:4" x14ac:dyDescent="0.25">
      <c r="A4" s="2">
        <v>43952</v>
      </c>
      <c r="B4">
        <v>3</v>
      </c>
      <c r="C4">
        <f t="shared" si="0"/>
        <v>0.16666666666666666</v>
      </c>
      <c r="D4" s="7">
        <f t="shared" si="1"/>
        <v>8.6666666666666661</v>
      </c>
    </row>
    <row r="5" spans="1:4" x14ac:dyDescent="0.25">
      <c r="A5" s="2">
        <v>43983</v>
      </c>
      <c r="B5">
        <v>4</v>
      </c>
      <c r="C5">
        <f t="shared" si="0"/>
        <v>0.25</v>
      </c>
      <c r="D5" s="7">
        <f t="shared" si="1"/>
        <v>13</v>
      </c>
    </row>
    <row r="6" spans="1:4" x14ac:dyDescent="0.25">
      <c r="A6" s="2">
        <v>44013</v>
      </c>
      <c r="B6">
        <v>5</v>
      </c>
      <c r="C6">
        <f t="shared" si="0"/>
        <v>0.33333333333333331</v>
      </c>
      <c r="D6" s="7">
        <f t="shared" si="1"/>
        <v>17.333333333333332</v>
      </c>
    </row>
    <row r="7" spans="1:4" x14ac:dyDescent="0.25">
      <c r="A7" s="2">
        <v>44044</v>
      </c>
      <c r="B7">
        <v>6</v>
      </c>
      <c r="C7">
        <f t="shared" si="0"/>
        <v>0.41666666666666669</v>
      </c>
      <c r="D7" s="7">
        <f t="shared" si="1"/>
        <v>21.666666666666668</v>
      </c>
    </row>
    <row r="8" spans="1:4" x14ac:dyDescent="0.25">
      <c r="A8" s="2">
        <v>44075</v>
      </c>
      <c r="B8">
        <v>7</v>
      </c>
      <c r="C8">
        <f t="shared" si="0"/>
        <v>0.5</v>
      </c>
      <c r="D8" s="7">
        <f t="shared" si="1"/>
        <v>26</v>
      </c>
    </row>
    <row r="9" spans="1:4" x14ac:dyDescent="0.25">
      <c r="A9" s="2">
        <v>44105</v>
      </c>
      <c r="B9">
        <v>8</v>
      </c>
      <c r="C9">
        <f t="shared" si="0"/>
        <v>0.58333333333333337</v>
      </c>
      <c r="D9" s="7">
        <f t="shared" si="1"/>
        <v>30.333333333333336</v>
      </c>
    </row>
    <row r="10" spans="1:4" x14ac:dyDescent="0.25">
      <c r="A10" s="2">
        <v>44136</v>
      </c>
      <c r="B10">
        <v>9</v>
      </c>
      <c r="C10">
        <f t="shared" si="0"/>
        <v>0.66666666666666663</v>
      </c>
      <c r="D10" s="7">
        <f t="shared" si="1"/>
        <v>34.666666666666664</v>
      </c>
    </row>
    <row r="11" spans="1:4" x14ac:dyDescent="0.25">
      <c r="A11" s="2">
        <v>44166</v>
      </c>
      <c r="B11">
        <v>10</v>
      </c>
      <c r="C11">
        <f t="shared" si="0"/>
        <v>0.75</v>
      </c>
      <c r="D11" s="7">
        <f t="shared" si="1"/>
        <v>39</v>
      </c>
    </row>
    <row r="12" spans="1:4" x14ac:dyDescent="0.25">
      <c r="A12" s="2">
        <v>44197</v>
      </c>
      <c r="B12">
        <v>11</v>
      </c>
      <c r="C12">
        <f t="shared" si="0"/>
        <v>0.83333333333333337</v>
      </c>
      <c r="D12" s="7">
        <f t="shared" si="1"/>
        <v>43.333333333333336</v>
      </c>
    </row>
    <row r="13" spans="1:4" x14ac:dyDescent="0.25">
      <c r="A13" s="2">
        <v>44228</v>
      </c>
      <c r="B13">
        <v>12</v>
      </c>
      <c r="C13">
        <f t="shared" si="0"/>
        <v>0.91666666666666663</v>
      </c>
      <c r="D13" s="7">
        <f t="shared" si="1"/>
        <v>47.666666666666664</v>
      </c>
    </row>
    <row r="14" spans="1:4" x14ac:dyDescent="0.25">
      <c r="A14" s="2">
        <v>44256</v>
      </c>
      <c r="B14">
        <v>13</v>
      </c>
      <c r="C14">
        <f t="shared" si="0"/>
        <v>1</v>
      </c>
      <c r="D14" s="7">
        <f t="shared" si="1"/>
        <v>52</v>
      </c>
    </row>
    <row r="15" spans="1:4" x14ac:dyDescent="0.25">
      <c r="A15" s="2">
        <v>44287</v>
      </c>
      <c r="B15">
        <v>14</v>
      </c>
      <c r="C15">
        <f t="shared" si="0"/>
        <v>1.0833333333333333</v>
      </c>
      <c r="D15" s="7">
        <f t="shared" si="1"/>
        <v>56.333333333333329</v>
      </c>
    </row>
    <row r="16" spans="1:4" x14ac:dyDescent="0.25">
      <c r="A16" s="2">
        <v>44317</v>
      </c>
      <c r="B16">
        <v>15</v>
      </c>
      <c r="C16">
        <f t="shared" si="0"/>
        <v>1.1666666666666667</v>
      </c>
      <c r="D16" s="7">
        <f t="shared" si="1"/>
        <v>60.666666666666671</v>
      </c>
    </row>
    <row r="17" spans="1:4" x14ac:dyDescent="0.25">
      <c r="A17" s="2">
        <v>44348</v>
      </c>
      <c r="B17">
        <v>16</v>
      </c>
      <c r="C17">
        <f t="shared" si="0"/>
        <v>1.25</v>
      </c>
      <c r="D17" s="7">
        <f t="shared" si="1"/>
        <v>65</v>
      </c>
    </row>
    <row r="18" spans="1:4" x14ac:dyDescent="0.25">
      <c r="A18" s="2">
        <v>44378</v>
      </c>
      <c r="B18">
        <v>17</v>
      </c>
      <c r="C18">
        <f t="shared" si="0"/>
        <v>1.3333333333333333</v>
      </c>
      <c r="D18" s="7">
        <f t="shared" si="1"/>
        <v>69.333333333333329</v>
      </c>
    </row>
    <row r="19" spans="1:4" x14ac:dyDescent="0.25">
      <c r="A19" s="3">
        <v>44409</v>
      </c>
      <c r="B19" s="4">
        <v>18</v>
      </c>
      <c r="C19" s="4">
        <f t="shared" si="0"/>
        <v>1.4166666666666667</v>
      </c>
      <c r="D19" s="8">
        <f t="shared" si="1"/>
        <v>73.666666666666671</v>
      </c>
    </row>
    <row r="20" spans="1:4" x14ac:dyDescent="0.25">
      <c r="A20" s="2">
        <v>44440</v>
      </c>
      <c r="B20">
        <v>19</v>
      </c>
      <c r="C20">
        <f t="shared" si="0"/>
        <v>1.5</v>
      </c>
      <c r="D20" s="7">
        <f t="shared" si="1"/>
        <v>78</v>
      </c>
    </row>
    <row r="21" spans="1:4" x14ac:dyDescent="0.25">
      <c r="A21" s="5">
        <v>44470</v>
      </c>
      <c r="B21" s="6">
        <v>20</v>
      </c>
      <c r="C21" s="6">
        <f t="shared" si="0"/>
        <v>1.5833333333333333</v>
      </c>
      <c r="D21" s="7">
        <f t="shared" si="1"/>
        <v>82.333333333333329</v>
      </c>
    </row>
    <row r="22" spans="1:4" x14ac:dyDescent="0.25">
      <c r="A22" s="2">
        <v>44501</v>
      </c>
      <c r="B22">
        <v>21</v>
      </c>
      <c r="C22">
        <f t="shared" si="0"/>
        <v>1.6666666666666667</v>
      </c>
      <c r="D22" s="7">
        <f t="shared" si="1"/>
        <v>86.666666666666671</v>
      </c>
    </row>
    <row r="23" spans="1:4" x14ac:dyDescent="0.25">
      <c r="A23" s="2">
        <v>44531</v>
      </c>
      <c r="B23">
        <v>22</v>
      </c>
      <c r="C23">
        <f t="shared" si="0"/>
        <v>1.75</v>
      </c>
      <c r="D23" s="7">
        <f t="shared" si="1"/>
        <v>91</v>
      </c>
    </row>
    <row r="24" spans="1:4" x14ac:dyDescent="0.25">
      <c r="A24" s="2">
        <v>44562</v>
      </c>
      <c r="B24">
        <v>23</v>
      </c>
      <c r="C24">
        <f t="shared" si="0"/>
        <v>1.8333333333333333</v>
      </c>
      <c r="D24" s="7">
        <f t="shared" si="1"/>
        <v>95.333333333333329</v>
      </c>
    </row>
    <row r="25" spans="1:4" x14ac:dyDescent="0.25">
      <c r="A25" s="2">
        <v>44593</v>
      </c>
      <c r="B25">
        <v>24</v>
      </c>
      <c r="C25">
        <f t="shared" si="0"/>
        <v>1.9166666666666667</v>
      </c>
      <c r="D25" s="7">
        <f t="shared" si="1"/>
        <v>99.666666666666671</v>
      </c>
    </row>
    <row r="26" spans="1:4" x14ac:dyDescent="0.25">
      <c r="A26" s="2">
        <v>44621</v>
      </c>
      <c r="B26">
        <v>25</v>
      </c>
      <c r="C26">
        <f t="shared" si="0"/>
        <v>2</v>
      </c>
      <c r="D26" s="7">
        <f t="shared" si="1"/>
        <v>104</v>
      </c>
    </row>
    <row r="27" spans="1:4" x14ac:dyDescent="0.25">
      <c r="A27" s="2">
        <v>44652</v>
      </c>
      <c r="B27">
        <v>26</v>
      </c>
      <c r="C27">
        <f t="shared" si="0"/>
        <v>2.0833333333333335</v>
      </c>
      <c r="D27" s="7">
        <f t="shared" si="1"/>
        <v>108.33333333333334</v>
      </c>
    </row>
    <row r="28" spans="1:4" x14ac:dyDescent="0.25">
      <c r="A28" s="2">
        <v>44682</v>
      </c>
      <c r="B28">
        <v>27</v>
      </c>
      <c r="C28">
        <f t="shared" si="0"/>
        <v>2.1666666666666665</v>
      </c>
      <c r="D28" s="7">
        <f t="shared" si="1"/>
        <v>112.66666666666666</v>
      </c>
    </row>
    <row r="29" spans="1:4" x14ac:dyDescent="0.25">
      <c r="A29" s="2">
        <v>44713</v>
      </c>
      <c r="B29">
        <v>28</v>
      </c>
      <c r="C29">
        <f t="shared" si="0"/>
        <v>2.25</v>
      </c>
      <c r="D29" s="7">
        <f t="shared" si="1"/>
        <v>117</v>
      </c>
    </row>
  </sheetData>
  <phoneticPr fontId="1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1339F-C828-49B2-BE16-FB5C751192D4}">
  <dimension ref="A1:V27"/>
  <sheetViews>
    <sheetView showGridLines="0" topLeftCell="E1" workbookViewId="0">
      <selection activeCell="I27" sqref="I27"/>
    </sheetView>
  </sheetViews>
  <sheetFormatPr defaultRowHeight="15" x14ac:dyDescent="0.25"/>
  <cols>
    <col min="1" max="1" width="28.28515625" customWidth="1"/>
  </cols>
  <sheetData>
    <row r="1" spans="1:22" x14ac:dyDescent="0.25">
      <c r="A1" s="21" t="s">
        <v>26</v>
      </c>
    </row>
    <row r="2" spans="1:22" x14ac:dyDescent="0.25">
      <c r="A2" s="11" t="s">
        <v>4</v>
      </c>
      <c r="B2" s="10"/>
      <c r="C2" s="10"/>
      <c r="D2" s="10"/>
      <c r="E2" s="10"/>
    </row>
    <row r="3" spans="1:22" x14ac:dyDescent="0.25">
      <c r="A3" s="12" t="s">
        <v>5</v>
      </c>
      <c r="B3" s="10"/>
      <c r="C3" s="10"/>
      <c r="D3" s="10"/>
      <c r="E3" s="10"/>
    </row>
    <row r="4" spans="1:22" x14ac:dyDescent="0.25">
      <c r="A4" s="12"/>
      <c r="B4" s="10"/>
      <c r="C4" s="10"/>
      <c r="D4" s="10"/>
      <c r="E4" s="10"/>
    </row>
    <row r="5" spans="1:22" x14ac:dyDescent="0.25">
      <c r="A5" s="12"/>
      <c r="B5" s="10"/>
      <c r="C5" s="10"/>
      <c r="D5" s="10"/>
      <c r="E5" s="10"/>
      <c r="M5" s="34" t="s">
        <v>39</v>
      </c>
      <c r="N5" s="34"/>
      <c r="O5" s="34" t="s">
        <v>41</v>
      </c>
      <c r="P5" s="34"/>
      <c r="T5" s="33" t="s">
        <v>27</v>
      </c>
      <c r="U5" s="33"/>
    </row>
    <row r="6" spans="1:22" x14ac:dyDescent="0.25">
      <c r="A6" s="10"/>
      <c r="B6" s="27" t="s">
        <v>6</v>
      </c>
      <c r="C6" s="27" t="s">
        <v>7</v>
      </c>
      <c r="D6" s="27" t="s">
        <v>1</v>
      </c>
      <c r="E6" s="27" t="s">
        <v>36</v>
      </c>
      <c r="I6" s="13" t="s">
        <v>6</v>
      </c>
      <c r="J6" s="13" t="s">
        <v>7</v>
      </c>
      <c r="K6" s="13" t="s">
        <v>33</v>
      </c>
      <c r="L6" s="27" t="s">
        <v>37</v>
      </c>
      <c r="M6" s="27" t="s">
        <v>40</v>
      </c>
      <c r="N6" s="27" t="s">
        <v>38</v>
      </c>
      <c r="O6" s="27" t="s">
        <v>40</v>
      </c>
      <c r="P6" s="27" t="s">
        <v>38</v>
      </c>
      <c r="Q6" s="27" t="s">
        <v>42</v>
      </c>
      <c r="R6" s="27" t="s">
        <v>43</v>
      </c>
      <c r="S6" s="27"/>
      <c r="T6" s="13" t="s">
        <v>6</v>
      </c>
      <c r="U6" s="13" t="s">
        <v>7</v>
      </c>
    </row>
    <row r="7" spans="1:22" x14ac:dyDescent="0.25">
      <c r="A7" s="12" t="s">
        <v>8</v>
      </c>
      <c r="B7" s="25">
        <v>10.01</v>
      </c>
      <c r="C7" s="25">
        <v>9.57</v>
      </c>
      <c r="D7" s="25">
        <f>SUM(B7:C7)</f>
        <v>19.579999999999998</v>
      </c>
      <c r="E7" s="23">
        <v>2</v>
      </c>
      <c r="G7" t="s">
        <v>29</v>
      </c>
      <c r="I7" s="14">
        <f>B7</f>
        <v>10.01</v>
      </c>
      <c r="J7" s="14">
        <f>C7</f>
        <v>9.57</v>
      </c>
      <c r="K7" s="22">
        <f t="shared" ref="K7:K12" si="0">SUM(I7:J7)/$I$15</f>
        <v>5.9653291898973282E-2</v>
      </c>
      <c r="L7" s="29">
        <f>I7+J7</f>
        <v>19.579999999999998</v>
      </c>
      <c r="M7" s="30">
        <f>SUMPRODUCT(D7,E7)/L7</f>
        <v>2</v>
      </c>
      <c r="N7" s="29">
        <f>M7*0.25</f>
        <v>0.5</v>
      </c>
      <c r="O7" s="29">
        <v>0</v>
      </c>
      <c r="P7" s="32">
        <f>0.25*O7</f>
        <v>0</v>
      </c>
      <c r="Q7" s="29"/>
      <c r="R7" s="29"/>
      <c r="S7" s="29"/>
      <c r="T7" s="18">
        <f t="shared" ref="T7:U12" si="1">I7/$I$15</f>
        <v>3.0496907656216682E-2</v>
      </c>
      <c r="U7" s="18">
        <f t="shared" si="1"/>
        <v>2.9156384242756607E-2</v>
      </c>
      <c r="V7" s="20">
        <f>K7</f>
        <v>5.9653291898973282E-2</v>
      </c>
    </row>
    <row r="8" spans="1:22" x14ac:dyDescent="0.25">
      <c r="A8" s="12" t="s">
        <v>9</v>
      </c>
      <c r="B8" s="25">
        <v>10.32</v>
      </c>
      <c r="C8" s="25">
        <v>9.8699999999999992</v>
      </c>
      <c r="D8" s="25">
        <f t="shared" ref="D8:D24" si="2">SUM(B8:C8)</f>
        <v>20.189999999999998</v>
      </c>
      <c r="E8" s="23">
        <v>1</v>
      </c>
      <c r="G8" s="16" t="s">
        <v>32</v>
      </c>
      <c r="I8" s="14">
        <f>SUM(B8:B10)</f>
        <v>31.689999999999998</v>
      </c>
      <c r="J8" s="14">
        <f>SUM(C8:C10)</f>
        <v>30.36</v>
      </c>
      <c r="K8" s="22">
        <f t="shared" si="0"/>
        <v>0.18904426773908542</v>
      </c>
      <c r="L8" s="29">
        <f t="shared" ref="L8:L12" si="3">I8+J8</f>
        <v>62.05</v>
      </c>
      <c r="M8" s="30">
        <f>SUMPRODUCT(D8:D10,E8:E10)/L8</f>
        <v>1</v>
      </c>
      <c r="N8" s="29">
        <f t="shared" ref="N8:N12" si="4">M8*0.25</f>
        <v>0.25</v>
      </c>
      <c r="O8" s="29">
        <v>0.2</v>
      </c>
      <c r="P8" s="32">
        <f>0.25*O8</f>
        <v>0.05</v>
      </c>
      <c r="Q8" s="29"/>
      <c r="R8" s="29"/>
      <c r="S8" s="29"/>
      <c r="T8" s="18">
        <f t="shared" si="1"/>
        <v>9.6548152210340313E-2</v>
      </c>
      <c r="U8" s="18">
        <f t="shared" si="1"/>
        <v>9.2496115528745093E-2</v>
      </c>
      <c r="V8" s="20">
        <f t="shared" ref="V8:V10" si="5">K8</f>
        <v>0.18904426773908542</v>
      </c>
    </row>
    <row r="9" spans="1:22" x14ac:dyDescent="0.25">
      <c r="A9" s="12" t="s">
        <v>10</v>
      </c>
      <c r="B9" s="25">
        <v>10.62</v>
      </c>
      <c r="C9" s="25">
        <v>10.18</v>
      </c>
      <c r="D9" s="25">
        <f t="shared" si="2"/>
        <v>20.799999999999997</v>
      </c>
      <c r="E9" s="23">
        <v>1</v>
      </c>
      <c r="G9" t="s">
        <v>30</v>
      </c>
      <c r="I9" s="14">
        <f>SUM(B11:B16)</f>
        <v>65.290000000000006</v>
      </c>
      <c r="J9" s="14">
        <f>SUM(C11:C16)</f>
        <v>64.319999999999993</v>
      </c>
      <c r="K9" s="22">
        <f t="shared" si="0"/>
        <v>0.3948755445876368</v>
      </c>
      <c r="L9" s="29">
        <f t="shared" si="3"/>
        <v>129.61000000000001</v>
      </c>
      <c r="M9" s="30">
        <f>SUMPRODUCT(D11:D16,E11:E16)/L9</f>
        <v>10.16264177146825</v>
      </c>
      <c r="N9" s="29">
        <f t="shared" si="4"/>
        <v>2.5406604428670625</v>
      </c>
      <c r="O9" s="29">
        <v>2.6</v>
      </c>
      <c r="P9" s="32">
        <f t="shared" ref="P9:P12" si="6">0.25*O9</f>
        <v>0.65</v>
      </c>
      <c r="Q9" s="29"/>
      <c r="R9" s="29"/>
      <c r="S9" s="29"/>
      <c r="T9" s="18">
        <f t="shared" si="1"/>
        <v>0.19891539469274599</v>
      </c>
      <c r="U9" s="18">
        <f t="shared" si="1"/>
        <v>0.19596014989489077</v>
      </c>
      <c r="V9" s="20">
        <f t="shared" si="5"/>
        <v>0.3948755445876368</v>
      </c>
    </row>
    <row r="10" spans="1:22" x14ac:dyDescent="0.25">
      <c r="A10" s="12" t="s">
        <v>11</v>
      </c>
      <c r="B10" s="25">
        <v>10.75</v>
      </c>
      <c r="C10" s="25">
        <v>10.31</v>
      </c>
      <c r="D10" s="25">
        <f t="shared" si="2"/>
        <v>21.060000000000002</v>
      </c>
      <c r="E10" s="23">
        <v>1</v>
      </c>
      <c r="G10" t="s">
        <v>31</v>
      </c>
      <c r="I10" s="14">
        <f>SUM(B17:B19)</f>
        <v>30.59</v>
      </c>
      <c r="J10" s="14">
        <f>SUM(C17:C19)</f>
        <v>32.33</v>
      </c>
      <c r="K10" s="22">
        <f t="shared" si="0"/>
        <v>0.19169484812479057</v>
      </c>
      <c r="L10" s="29">
        <f t="shared" si="3"/>
        <v>62.92</v>
      </c>
      <c r="M10" s="30">
        <f>SUMPRODUCT(D17:D19,E17:E19)/L10</f>
        <v>25</v>
      </c>
      <c r="N10" s="29">
        <f t="shared" si="4"/>
        <v>6.25</v>
      </c>
      <c r="O10" s="29">
        <v>7.9</v>
      </c>
      <c r="P10" s="32">
        <f t="shared" si="6"/>
        <v>1.9750000000000001</v>
      </c>
      <c r="Q10" s="29"/>
      <c r="R10" s="29"/>
      <c r="S10" s="29"/>
      <c r="T10" s="18">
        <f t="shared" si="1"/>
        <v>9.3196843676690136E-2</v>
      </c>
      <c r="U10" s="18">
        <f t="shared" si="1"/>
        <v>9.8498004448100418E-2</v>
      </c>
      <c r="V10" s="20">
        <f t="shared" si="5"/>
        <v>0.19169484812479057</v>
      </c>
    </row>
    <row r="11" spans="1:22" x14ac:dyDescent="0.25">
      <c r="A11" s="12" t="s">
        <v>12</v>
      </c>
      <c r="B11" s="25">
        <v>11.06</v>
      </c>
      <c r="C11" s="25">
        <v>10.57</v>
      </c>
      <c r="D11" s="25">
        <f t="shared" si="2"/>
        <v>21.630000000000003</v>
      </c>
      <c r="E11" s="23">
        <v>6</v>
      </c>
      <c r="G11" t="s">
        <v>34</v>
      </c>
      <c r="I11" s="14">
        <f>SUM(B20:B21)</f>
        <v>14.7</v>
      </c>
      <c r="J11" s="14">
        <f>SUM(C20:C21)</f>
        <v>16.79</v>
      </c>
      <c r="K11" s="22">
        <f t="shared" si="0"/>
        <v>9.5938823386040289E-2</v>
      </c>
      <c r="L11" s="29">
        <f t="shared" si="3"/>
        <v>31.49</v>
      </c>
      <c r="M11" s="30">
        <f>SUMPRODUCT(D20:D21,E20:E21)/L11</f>
        <v>40.000000000000007</v>
      </c>
      <c r="N11" s="29">
        <f t="shared" si="4"/>
        <v>10.000000000000002</v>
      </c>
      <c r="O11" s="29">
        <v>14.1</v>
      </c>
      <c r="P11" s="32">
        <f t="shared" si="6"/>
        <v>3.5249999999999999</v>
      </c>
      <c r="Q11" s="29"/>
      <c r="R11" s="29"/>
      <c r="S11" s="29"/>
      <c r="T11" s="18">
        <f t="shared" si="1"/>
        <v>4.4785668586052464E-2</v>
      </c>
      <c r="U11" s="18">
        <f t="shared" si="1"/>
        <v>5.1153154799987818E-2</v>
      </c>
      <c r="V11" s="20">
        <f t="shared" ref="V11" si="7">K11</f>
        <v>9.5938823386040289E-2</v>
      </c>
    </row>
    <row r="12" spans="1:22" x14ac:dyDescent="0.25">
      <c r="A12" s="12" t="s">
        <v>13</v>
      </c>
      <c r="B12" s="23">
        <v>12</v>
      </c>
      <c r="C12" s="25">
        <v>11.5</v>
      </c>
      <c r="D12" s="25">
        <f t="shared" si="2"/>
        <v>23.5</v>
      </c>
      <c r="E12" s="23">
        <v>6</v>
      </c>
      <c r="G12" t="s">
        <v>35</v>
      </c>
      <c r="I12" s="14">
        <f>SUM(B22:B24)</f>
        <v>9.379999999999999</v>
      </c>
      <c r="J12" s="14">
        <f>SUM(C22:C24)</f>
        <v>13.200000000000001</v>
      </c>
      <c r="K12" s="22">
        <f t="shared" si="0"/>
        <v>6.8793224263473784E-2</v>
      </c>
      <c r="L12" s="29">
        <f t="shared" si="3"/>
        <v>22.58</v>
      </c>
      <c r="M12" s="30">
        <f>SUMPRODUCT(D22:D24,E22:E24)/L12</f>
        <v>73.7821080602303</v>
      </c>
      <c r="N12" s="29">
        <f t="shared" si="4"/>
        <v>18.445527015057575</v>
      </c>
      <c r="O12" s="29">
        <v>20.9</v>
      </c>
      <c r="P12" s="32">
        <f t="shared" si="6"/>
        <v>5.2249999999999996</v>
      </c>
      <c r="Q12" s="29"/>
      <c r="R12" s="29"/>
      <c r="S12" s="29"/>
      <c r="T12" s="18">
        <f t="shared" si="1"/>
        <v>2.8577521859671572E-2</v>
      </c>
      <c r="U12" s="18">
        <f t="shared" si="1"/>
        <v>4.021570240380222E-2</v>
      </c>
      <c r="V12" s="20">
        <f>K12</f>
        <v>6.8793224263473784E-2</v>
      </c>
    </row>
    <row r="13" spans="1:22" x14ac:dyDescent="0.25">
      <c r="A13" s="12" t="s">
        <v>14</v>
      </c>
      <c r="B13" s="25">
        <v>11.35</v>
      </c>
      <c r="C13" s="25">
        <v>11.08</v>
      </c>
      <c r="D13" s="25">
        <f t="shared" si="2"/>
        <v>22.43</v>
      </c>
      <c r="E13" s="23">
        <v>10</v>
      </c>
      <c r="G13" s="4"/>
      <c r="H13" s="4"/>
      <c r="I13" s="17"/>
      <c r="J13" s="17"/>
      <c r="K13" s="19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20"/>
    </row>
    <row r="14" spans="1:22" x14ac:dyDescent="0.25">
      <c r="A14" s="12" t="s">
        <v>15</v>
      </c>
      <c r="B14" s="25">
        <v>10.88</v>
      </c>
      <c r="C14" s="25">
        <v>10.85</v>
      </c>
      <c r="D14" s="25">
        <f t="shared" si="2"/>
        <v>21.73</v>
      </c>
      <c r="E14" s="23">
        <v>10</v>
      </c>
      <c r="I14" s="14">
        <f>SUM(I7:I13)</f>
        <v>161.66</v>
      </c>
      <c r="J14" s="14">
        <f>SUM(J7:J13)</f>
        <v>166.56999999999996</v>
      </c>
      <c r="K14" s="31">
        <f>SUM(K7:K13)</f>
        <v>1</v>
      </c>
      <c r="L14" s="14"/>
      <c r="M14" s="14"/>
      <c r="N14" s="14"/>
      <c r="O14" s="14"/>
      <c r="P14" s="14"/>
      <c r="Q14" s="14"/>
      <c r="R14" s="14"/>
      <c r="S14" s="14"/>
    </row>
    <row r="15" spans="1:22" x14ac:dyDescent="0.25">
      <c r="A15" s="12" t="s">
        <v>16</v>
      </c>
      <c r="B15" s="25">
        <v>9.91</v>
      </c>
      <c r="C15" s="25">
        <v>10.01</v>
      </c>
      <c r="D15" s="25">
        <f t="shared" si="2"/>
        <v>19.920000000000002</v>
      </c>
      <c r="E15" s="23">
        <v>15</v>
      </c>
      <c r="I15" s="14">
        <f>SUM(I14:J14)</f>
        <v>328.22999999999996</v>
      </c>
    </row>
    <row r="16" spans="1:22" x14ac:dyDescent="0.25">
      <c r="A16" s="12" t="s">
        <v>17</v>
      </c>
      <c r="B16" s="25">
        <v>10.09</v>
      </c>
      <c r="C16" s="25">
        <v>10.31</v>
      </c>
      <c r="D16" s="25">
        <f t="shared" si="2"/>
        <v>20.399999999999999</v>
      </c>
      <c r="E16" s="23">
        <v>15</v>
      </c>
    </row>
    <row r="17" spans="1:11" x14ac:dyDescent="0.25">
      <c r="A17" s="12" t="s">
        <v>18</v>
      </c>
      <c r="B17" s="25">
        <v>10.09</v>
      </c>
      <c r="C17" s="25">
        <v>10.39</v>
      </c>
      <c r="D17" s="25">
        <f t="shared" si="2"/>
        <v>20.48</v>
      </c>
      <c r="E17" s="23">
        <v>25</v>
      </c>
    </row>
    <row r="18" spans="1:11" x14ac:dyDescent="0.25">
      <c r="A18" s="12" t="s">
        <v>19</v>
      </c>
      <c r="B18" s="25">
        <v>10.64</v>
      </c>
      <c r="C18" s="25">
        <v>11.23</v>
      </c>
      <c r="D18" s="25">
        <f t="shared" si="2"/>
        <v>21.87</v>
      </c>
      <c r="E18" s="23">
        <v>25</v>
      </c>
      <c r="G18" s="37" t="s">
        <v>44</v>
      </c>
      <c r="H18" s="37"/>
      <c r="I18" s="38" t="s">
        <v>33</v>
      </c>
      <c r="J18" s="37" t="s">
        <v>51</v>
      </c>
      <c r="K18" s="37"/>
    </row>
    <row r="19" spans="1:11" x14ac:dyDescent="0.25">
      <c r="A19" s="12" t="s">
        <v>20</v>
      </c>
      <c r="B19" s="25">
        <v>9.86</v>
      </c>
      <c r="C19" s="25">
        <v>10.71</v>
      </c>
      <c r="D19" s="25">
        <f t="shared" si="2"/>
        <v>20.57</v>
      </c>
      <c r="E19" s="23">
        <v>25</v>
      </c>
      <c r="G19" t="s">
        <v>45</v>
      </c>
      <c r="I19" s="35">
        <v>0</v>
      </c>
      <c r="J19">
        <v>0</v>
      </c>
    </row>
    <row r="20" spans="1:11" x14ac:dyDescent="0.25">
      <c r="A20" s="12" t="s">
        <v>21</v>
      </c>
      <c r="B20" s="25">
        <v>8.1999999999999993</v>
      </c>
      <c r="C20" s="25">
        <v>9.26</v>
      </c>
      <c r="D20" s="25">
        <f t="shared" si="2"/>
        <v>17.46</v>
      </c>
      <c r="E20" s="23">
        <v>40</v>
      </c>
      <c r="G20" s="16" t="s">
        <v>50</v>
      </c>
      <c r="I20" s="36">
        <v>0.1668</v>
      </c>
    </row>
    <row r="21" spans="1:11" x14ac:dyDescent="0.25">
      <c r="A21" s="12" t="s">
        <v>22</v>
      </c>
      <c r="B21" s="25">
        <v>6.5</v>
      </c>
      <c r="C21" s="25">
        <v>7.53</v>
      </c>
      <c r="D21" s="25">
        <f t="shared" si="2"/>
        <v>14.030000000000001</v>
      </c>
      <c r="E21" s="23">
        <v>40</v>
      </c>
      <c r="G21" t="s">
        <v>46</v>
      </c>
      <c r="I21" s="36">
        <v>0.29149999999999998</v>
      </c>
    </row>
    <row r="22" spans="1:11" x14ac:dyDescent="0.25">
      <c r="A22" s="12" t="s">
        <v>23</v>
      </c>
      <c r="B22" s="25">
        <v>4.32</v>
      </c>
      <c r="C22" s="25">
        <v>5.33</v>
      </c>
      <c r="D22" s="25">
        <f t="shared" si="2"/>
        <v>9.65</v>
      </c>
      <c r="E22" s="23">
        <v>65</v>
      </c>
      <c r="G22" t="s">
        <v>47</v>
      </c>
      <c r="I22" s="36">
        <v>0.34250000000000003</v>
      </c>
    </row>
    <row r="23" spans="1:11" x14ac:dyDescent="0.25">
      <c r="A23" s="12" t="s">
        <v>24</v>
      </c>
      <c r="B23" s="25">
        <v>2.68</v>
      </c>
      <c r="C23" s="25">
        <v>3.64</v>
      </c>
      <c r="D23" s="25">
        <f t="shared" si="2"/>
        <v>6.32</v>
      </c>
      <c r="E23" s="23">
        <v>65</v>
      </c>
      <c r="G23" t="s">
        <v>48</v>
      </c>
      <c r="I23" s="36">
        <v>0.39789999999999998</v>
      </c>
    </row>
    <row r="24" spans="1:11" x14ac:dyDescent="0.25">
      <c r="A24" s="15" t="s">
        <v>25</v>
      </c>
      <c r="B24" s="26">
        <v>2.38</v>
      </c>
      <c r="C24" s="26">
        <v>4.2300000000000004</v>
      </c>
      <c r="D24" s="26">
        <f t="shared" si="2"/>
        <v>6.61</v>
      </c>
      <c r="E24" s="24">
        <v>95</v>
      </c>
      <c r="G24" t="s">
        <v>49</v>
      </c>
      <c r="I24" s="36">
        <v>0.4834</v>
      </c>
    </row>
    <row r="25" spans="1:11" x14ac:dyDescent="0.25">
      <c r="A25" s="12" t="s">
        <v>28</v>
      </c>
      <c r="B25" s="28">
        <f>SUM(B7:B24)</f>
        <v>161.65999999999997</v>
      </c>
      <c r="C25" s="28">
        <f>SUM(C7:C24)</f>
        <v>166.57</v>
      </c>
      <c r="D25" s="28">
        <f>SUM(D7:D24)</f>
        <v>328.22999999999996</v>
      </c>
      <c r="E25" s="14"/>
      <c r="G25" t="s">
        <v>31</v>
      </c>
      <c r="I25" s="36">
        <v>0.58740000000000003</v>
      </c>
    </row>
    <row r="26" spans="1:11" x14ac:dyDescent="0.25">
      <c r="B26" s="14"/>
      <c r="G26" t="s">
        <v>34</v>
      </c>
      <c r="I26" s="36">
        <v>0.74080000000000001</v>
      </c>
    </row>
    <row r="27" spans="1:11" x14ac:dyDescent="0.25">
      <c r="G27" t="s">
        <v>35</v>
      </c>
      <c r="I27" s="36">
        <v>0.71760000000000002</v>
      </c>
    </row>
  </sheetData>
  <mergeCells count="3">
    <mergeCell ref="T5:U5"/>
    <mergeCell ref="M5:N5"/>
    <mergeCell ref="O5:P5"/>
  </mergeCells>
  <hyperlinks>
    <hyperlink ref="A1" r:id="rId1" xr:uid="{855BCD17-8042-40C3-A9EB-B2AB6A11CFDB}"/>
    <hyperlink ref="M5:N5" r:id="rId2" display="Hospitalization Risk" xr:uid="{D6599DB8-36A3-46CF-9978-AC2DDE80B08E}"/>
    <hyperlink ref="O5:P5" r:id="rId3" display="Mortality Risk" xr:uid="{7B929978-46DB-4145-9144-AA25905C14B2}"/>
  </hyperlinks>
  <pageMargins left="0.7" right="0.7" top="0.75" bottom="0.75" header="0.3" footer="0.3"/>
  <pageSetup orientation="portrait"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Vaccination</vt:lpstr>
      <vt:lpstr>Timing</vt:lpstr>
      <vt:lpstr>Age-distribution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Yaesoubi, Reza</dc:creator>
  <cp:lastModifiedBy>Yaesoubi, Reza</cp:lastModifiedBy>
  <dcterms:created xsi:type="dcterms:W3CDTF">2021-05-20T19:07:46Z</dcterms:created>
  <dcterms:modified xsi:type="dcterms:W3CDTF">2021-06-25T18:27:11Z</dcterms:modified>
</cp:coreProperties>
</file>