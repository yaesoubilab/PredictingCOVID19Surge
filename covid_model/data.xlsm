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B478E1B7-38CF-4AF7-AAB0-B0FA950F1A5F}" xr6:coauthVersionLast="47" xr6:coauthVersionMax="47" xr10:uidLastSave="{00000000-0000-0000-0000-000000000000}"/>
  <bookViews>
    <workbookView xWindow="-120" yWindow="-120" windowWidth="29040" windowHeight="15840" activeTab="1" xr2:uid="{4B0E50F9-8FDA-4FAF-B2BA-C91A91AB3C5C}"/>
  </bookViews>
  <sheets>
    <sheet name="Correlations" sheetId="9" r:id="rId1"/>
    <sheet name="Performance" sheetId="10" r:id="rId2"/>
    <sheet name="Vaccination" sheetId="2" r:id="rId3"/>
    <sheet name="Hospitalization rate" sheetId="6" r:id="rId4"/>
    <sheet name="Risks by age" sheetId="3" r:id="rId5"/>
    <sheet name="Novel variant" sheetId="5" r:id="rId6"/>
    <sheet name="Contact rates" sheetId="4" r:id="rId7"/>
    <sheet name="Hosp occupancy" sheetId="8" r:id="rId8"/>
  </sheets>
  <definedNames>
    <definedName name="occ_rates">'Hosp occupancy'!$R$4:$R$5035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2" i="10" l="1"/>
  <c r="L12" i="10"/>
  <c r="K13" i="10"/>
  <c r="L13" i="10"/>
  <c r="K15" i="10"/>
  <c r="L15" i="10"/>
  <c r="K16" i="10"/>
  <c r="L16" i="10"/>
  <c r="K18" i="10"/>
  <c r="L18" i="10"/>
  <c r="K19" i="10"/>
  <c r="L19" i="10"/>
  <c r="K21" i="10"/>
  <c r="L21" i="10"/>
  <c r="K22" i="10"/>
  <c r="L22" i="10"/>
  <c r="J19" i="10"/>
  <c r="J18" i="10"/>
  <c r="J22" i="10"/>
  <c r="J21" i="10"/>
  <c r="J16" i="10"/>
  <c r="J15" i="10"/>
  <c r="J13" i="10"/>
  <c r="J12" i="10"/>
  <c r="E12" i="10"/>
  <c r="F12" i="10"/>
  <c r="E13" i="10"/>
  <c r="F13" i="10"/>
  <c r="E15" i="10"/>
  <c r="F15" i="10"/>
  <c r="E16" i="10"/>
  <c r="F16" i="10"/>
  <c r="E18" i="10"/>
  <c r="F18" i="10"/>
  <c r="E19" i="10"/>
  <c r="F19" i="10"/>
  <c r="E21" i="10"/>
  <c r="F21" i="10"/>
  <c r="E22" i="10"/>
  <c r="F22" i="10"/>
  <c r="D22" i="10"/>
  <c r="D21" i="10"/>
  <c r="D19" i="10"/>
  <c r="D18" i="10"/>
  <c r="D16" i="10"/>
  <c r="D15" i="10"/>
  <c r="D13" i="10"/>
  <c r="D12" i="10"/>
  <c r="H21" i="10"/>
  <c r="I21" i="10"/>
  <c r="H22" i="10"/>
  <c r="I22" i="10"/>
  <c r="H18" i="10"/>
  <c r="I18" i="10"/>
  <c r="H19" i="10"/>
  <c r="I19" i="10"/>
  <c r="H15" i="10"/>
  <c r="I15" i="10"/>
  <c r="H16" i="10"/>
  <c r="I16" i="10"/>
  <c r="H12" i="10"/>
  <c r="I12" i="10"/>
  <c r="H13" i="10"/>
  <c r="I13" i="10"/>
  <c r="G22" i="10"/>
  <c r="G21" i="10"/>
  <c r="G19" i="10"/>
  <c r="G18" i="10"/>
  <c r="G16" i="10"/>
  <c r="G15" i="10"/>
  <c r="G13" i="10"/>
  <c r="G12" i="10"/>
  <c r="N22" i="9"/>
  <c r="M22" i="9"/>
  <c r="L22" i="9"/>
  <c r="K22" i="9"/>
  <c r="J22" i="9"/>
  <c r="I22" i="9"/>
  <c r="N21" i="9"/>
  <c r="N28" i="9" s="1"/>
  <c r="M21" i="9"/>
  <c r="M28" i="9" s="1"/>
  <c r="L21" i="9"/>
  <c r="L28" i="9" s="1"/>
  <c r="K21" i="9"/>
  <c r="K28" i="9" s="1"/>
  <c r="J21" i="9"/>
  <c r="J28" i="9" s="1"/>
  <c r="I21" i="9"/>
  <c r="I28" i="9" s="1"/>
  <c r="N20" i="9"/>
  <c r="N25" i="9" s="1"/>
  <c r="M20" i="9"/>
  <c r="M25" i="9" s="1"/>
  <c r="L20" i="9"/>
  <c r="L25" i="9" s="1"/>
  <c r="K20" i="9"/>
  <c r="K25" i="9" s="1"/>
  <c r="J20" i="9"/>
  <c r="J25" i="9" s="1"/>
  <c r="I20" i="9"/>
  <c r="I25" i="9" s="1"/>
  <c r="N19" i="9"/>
  <c r="N30" i="9" s="1"/>
  <c r="M19" i="9"/>
  <c r="M30" i="9" s="1"/>
  <c r="L19" i="9"/>
  <c r="L30" i="9" s="1"/>
  <c r="K19" i="9"/>
  <c r="K30" i="9" s="1"/>
  <c r="J19" i="9"/>
  <c r="J30" i="9" s="1"/>
  <c r="I19" i="9"/>
  <c r="I30" i="9" s="1"/>
  <c r="N18" i="9"/>
  <c r="N29" i="9" s="1"/>
  <c r="M18" i="9"/>
  <c r="M29" i="9" s="1"/>
  <c r="L18" i="9"/>
  <c r="L29" i="9" s="1"/>
  <c r="K18" i="9"/>
  <c r="K29" i="9" s="1"/>
  <c r="J18" i="9"/>
  <c r="J29" i="9" s="1"/>
  <c r="I18" i="9"/>
  <c r="I29" i="9" s="1"/>
  <c r="N17" i="9"/>
  <c r="M17" i="9"/>
  <c r="L17" i="9"/>
  <c r="K17" i="9"/>
  <c r="J17" i="9"/>
  <c r="I17" i="9"/>
  <c r="N16" i="9"/>
  <c r="N27" i="9" s="1"/>
  <c r="M16" i="9"/>
  <c r="M27" i="9" s="1"/>
  <c r="L16" i="9"/>
  <c r="L27" i="9" s="1"/>
  <c r="K16" i="9"/>
  <c r="K27" i="9" s="1"/>
  <c r="J16" i="9"/>
  <c r="J27" i="9" s="1"/>
  <c r="I16" i="9"/>
  <c r="I27" i="9" s="1"/>
  <c r="N15" i="9"/>
  <c r="N26" i="9" s="1"/>
  <c r="M15" i="9"/>
  <c r="M26" i="9" s="1"/>
  <c r="L15" i="9"/>
  <c r="L26" i="9" s="1"/>
  <c r="K15" i="9"/>
  <c r="K26" i="9" s="1"/>
  <c r="J15" i="9"/>
  <c r="J26" i="9" s="1"/>
  <c r="I15" i="9"/>
  <c r="I26" i="9" s="1"/>
  <c r="N14" i="9"/>
  <c r="M14" i="9"/>
  <c r="L14" i="9"/>
  <c r="K14" i="9"/>
  <c r="J14" i="9"/>
  <c r="I14" i="9"/>
  <c r="D27" i="9"/>
  <c r="G27" i="9"/>
  <c r="G29" i="9"/>
  <c r="C30" i="9"/>
  <c r="D30" i="9"/>
  <c r="E30" i="9"/>
  <c r="G30" i="9"/>
  <c r="A30" i="9"/>
  <c r="A29" i="9"/>
  <c r="E25" i="9"/>
  <c r="G25" i="9"/>
  <c r="A25" i="9"/>
  <c r="G22" i="9"/>
  <c r="G21" i="9"/>
  <c r="G28" i="9" s="1"/>
  <c r="G20" i="9"/>
  <c r="G19" i="9"/>
  <c r="G18" i="9"/>
  <c r="G17" i="9"/>
  <c r="G16" i="9"/>
  <c r="G15" i="9"/>
  <c r="G26" i="9" s="1"/>
  <c r="G14" i="9"/>
  <c r="E22" i="9"/>
  <c r="E21" i="9"/>
  <c r="E28" i="9" s="1"/>
  <c r="E20" i="9"/>
  <c r="E19" i="9"/>
  <c r="E18" i="9"/>
  <c r="E29" i="9" s="1"/>
  <c r="E17" i="9"/>
  <c r="E16" i="9"/>
  <c r="E27" i="9" s="1"/>
  <c r="E15" i="9"/>
  <c r="E26" i="9" s="1"/>
  <c r="E14" i="9"/>
  <c r="C15" i="9"/>
  <c r="C26" i="9" s="1"/>
  <c r="C16" i="9"/>
  <c r="C27" i="9" s="1"/>
  <c r="C17" i="9"/>
  <c r="C18" i="9"/>
  <c r="C29" i="9" s="1"/>
  <c r="C19" i="9"/>
  <c r="C20" i="9"/>
  <c r="C25" i="9" s="1"/>
  <c r="C21" i="9"/>
  <c r="C28" i="9" s="1"/>
  <c r="C22" i="9"/>
  <c r="C14" i="9"/>
  <c r="F22" i="9"/>
  <c r="F21" i="9"/>
  <c r="F28" i="9" s="1"/>
  <c r="F20" i="9"/>
  <c r="F25" i="9" s="1"/>
  <c r="F19" i="9"/>
  <c r="F30" i="9" s="1"/>
  <c r="F18" i="9"/>
  <c r="F29" i="9" s="1"/>
  <c r="F17" i="9"/>
  <c r="F16" i="9"/>
  <c r="F27" i="9" s="1"/>
  <c r="F15" i="9"/>
  <c r="F26" i="9" s="1"/>
  <c r="F14" i="9"/>
  <c r="D22" i="9"/>
  <c r="D21" i="9"/>
  <c r="D28" i="9" s="1"/>
  <c r="D20" i="9"/>
  <c r="D25" i="9" s="1"/>
  <c r="D19" i="9"/>
  <c r="D18" i="9"/>
  <c r="D29" i="9" s="1"/>
  <c r="D17" i="9"/>
  <c r="D16" i="9"/>
  <c r="D15" i="9"/>
  <c r="D26" i="9" s="1"/>
  <c r="D14" i="9"/>
  <c r="B15" i="9"/>
  <c r="B26" i="9" s="1"/>
  <c r="B16" i="9"/>
  <c r="B27" i="9" s="1"/>
  <c r="B17" i="9"/>
  <c r="B18" i="9"/>
  <c r="B29" i="9" s="1"/>
  <c r="B19" i="9"/>
  <c r="B30" i="9" s="1"/>
  <c r="B20" i="9"/>
  <c r="B25" i="9" s="1"/>
  <c r="B21" i="9"/>
  <c r="B28" i="9" s="1"/>
  <c r="B22" i="9"/>
  <c r="B14" i="9"/>
  <c r="A15" i="9"/>
  <c r="A26" i="9" s="1"/>
  <c r="A16" i="9"/>
  <c r="A27" i="9" s="1"/>
  <c r="A17" i="9"/>
  <c r="A18" i="9"/>
  <c r="A19" i="9"/>
  <c r="A20" i="9"/>
  <c r="A21" i="9"/>
  <c r="A28" i="9" s="1"/>
  <c r="A22" i="9"/>
  <c r="A14" i="9"/>
  <c r="C31" i="2"/>
  <c r="D31" i="2"/>
  <c r="E31" i="2"/>
  <c r="J21" i="2"/>
  <c r="L21" i="2"/>
  <c r="M21" i="2" s="1"/>
  <c r="L17" i="2"/>
  <c r="L16" i="2"/>
  <c r="L15" i="2"/>
  <c r="L14" i="2"/>
  <c r="L13" i="2"/>
  <c r="L12" i="2"/>
  <c r="L11" i="2"/>
  <c r="L10" i="2"/>
  <c r="L9" i="2"/>
  <c r="L8" i="2"/>
  <c r="L7" i="2"/>
  <c r="L6" i="2"/>
  <c r="G3" i="6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3" i="5"/>
  <c r="Q5035" i="8"/>
  <c r="R5035" i="8" s="1"/>
  <c r="Q5034" i="8"/>
  <c r="R5034" i="8" s="1"/>
  <c r="Q5033" i="8"/>
  <c r="R5033" i="8" s="1"/>
  <c r="Q5032" i="8"/>
  <c r="R5032" i="8" s="1"/>
  <c r="Q5031" i="8"/>
  <c r="R5031" i="8" s="1"/>
  <c r="Q5030" i="8"/>
  <c r="R5030" i="8" s="1"/>
  <c r="Q5029" i="8"/>
  <c r="R5029" i="8" s="1"/>
  <c r="Q5028" i="8"/>
  <c r="R5028" i="8" s="1"/>
  <c r="Q5027" i="8"/>
  <c r="R5027" i="8" s="1"/>
  <c r="Q5026" i="8"/>
  <c r="R5026" i="8" s="1"/>
  <c r="Q5025" i="8"/>
  <c r="R5025" i="8" s="1"/>
  <c r="Q5024" i="8"/>
  <c r="R5024" i="8" s="1"/>
  <c r="Q5023" i="8"/>
  <c r="R5023" i="8" s="1"/>
  <c r="Q5022" i="8"/>
  <c r="R5022" i="8" s="1"/>
  <c r="Q5021" i="8"/>
  <c r="R5021" i="8" s="1"/>
  <c r="Q5020" i="8"/>
  <c r="R5020" i="8" s="1"/>
  <c r="Q5019" i="8"/>
  <c r="R5019" i="8" s="1"/>
  <c r="Q5018" i="8"/>
  <c r="R5018" i="8" s="1"/>
  <c r="Q5017" i="8"/>
  <c r="R5017" i="8" s="1"/>
  <c r="Q5016" i="8"/>
  <c r="R5016" i="8" s="1"/>
  <c r="Q5015" i="8"/>
  <c r="R5015" i="8" s="1"/>
  <c r="Q5014" i="8"/>
  <c r="R5014" i="8" s="1"/>
  <c r="Q5013" i="8"/>
  <c r="R5013" i="8" s="1"/>
  <c r="Q5012" i="8"/>
  <c r="R5012" i="8" s="1"/>
  <c r="Q5011" i="8"/>
  <c r="R5011" i="8" s="1"/>
  <c r="Q5010" i="8"/>
  <c r="R5010" i="8" s="1"/>
  <c r="Q5009" i="8"/>
  <c r="R5009" i="8" s="1"/>
  <c r="Q5008" i="8"/>
  <c r="R5008" i="8" s="1"/>
  <c r="Q5007" i="8"/>
  <c r="R5007" i="8" s="1"/>
  <c r="Q5006" i="8"/>
  <c r="R5006" i="8" s="1"/>
  <c r="Q5005" i="8"/>
  <c r="R5005" i="8" s="1"/>
  <c r="Q5004" i="8"/>
  <c r="R5004" i="8" s="1"/>
  <c r="Q5003" i="8"/>
  <c r="R5003" i="8" s="1"/>
  <c r="Q5002" i="8"/>
  <c r="R5002" i="8" s="1"/>
  <c r="Q5001" i="8"/>
  <c r="R5001" i="8" s="1"/>
  <c r="Q5000" i="8"/>
  <c r="R5000" i="8" s="1"/>
  <c r="Q4999" i="8"/>
  <c r="R4999" i="8" s="1"/>
  <c r="Q4998" i="8"/>
  <c r="R4998" i="8" s="1"/>
  <c r="Q4997" i="8"/>
  <c r="R4997" i="8" s="1"/>
  <c r="Q4996" i="8"/>
  <c r="R4996" i="8" s="1"/>
  <c r="Q4995" i="8"/>
  <c r="R4995" i="8" s="1"/>
  <c r="Q4994" i="8"/>
  <c r="R4994" i="8" s="1"/>
  <c r="Q4993" i="8"/>
  <c r="R4993" i="8" s="1"/>
  <c r="Q4992" i="8"/>
  <c r="R4992" i="8" s="1"/>
  <c r="Q4991" i="8"/>
  <c r="R4991" i="8" s="1"/>
  <c r="Q4990" i="8"/>
  <c r="R4990" i="8" s="1"/>
  <c r="Q4989" i="8"/>
  <c r="R4989" i="8" s="1"/>
  <c r="Q4988" i="8"/>
  <c r="R4988" i="8" s="1"/>
  <c r="Q4987" i="8"/>
  <c r="R4987" i="8" s="1"/>
  <c r="Q4986" i="8"/>
  <c r="R4986" i="8" s="1"/>
  <c r="Q4985" i="8"/>
  <c r="R4985" i="8" s="1"/>
  <c r="Q4984" i="8"/>
  <c r="R4984" i="8" s="1"/>
  <c r="Q4983" i="8"/>
  <c r="R4983" i="8" s="1"/>
  <c r="Q4982" i="8"/>
  <c r="R4982" i="8" s="1"/>
  <c r="Q4981" i="8"/>
  <c r="R4981" i="8" s="1"/>
  <c r="Q4980" i="8"/>
  <c r="R4980" i="8" s="1"/>
  <c r="Q4979" i="8"/>
  <c r="R4979" i="8" s="1"/>
  <c r="Q4978" i="8"/>
  <c r="R4978" i="8" s="1"/>
  <c r="Q4977" i="8"/>
  <c r="R4977" i="8" s="1"/>
  <c r="Q4976" i="8"/>
  <c r="R4976" i="8" s="1"/>
  <c r="Q4975" i="8"/>
  <c r="R4975" i="8" s="1"/>
  <c r="Q4974" i="8"/>
  <c r="R4974" i="8" s="1"/>
  <c r="Q4973" i="8"/>
  <c r="R4973" i="8" s="1"/>
  <c r="Q4972" i="8"/>
  <c r="R4972" i="8" s="1"/>
  <c r="Q4971" i="8"/>
  <c r="R4971" i="8" s="1"/>
  <c r="Q4970" i="8"/>
  <c r="R4970" i="8" s="1"/>
  <c r="Q4969" i="8"/>
  <c r="R4969" i="8" s="1"/>
  <c r="Q4968" i="8"/>
  <c r="R4968" i="8" s="1"/>
  <c r="Q4967" i="8"/>
  <c r="R4967" i="8" s="1"/>
  <c r="Q4966" i="8"/>
  <c r="R4966" i="8" s="1"/>
  <c r="Q4965" i="8"/>
  <c r="R4965" i="8" s="1"/>
  <c r="Q4964" i="8"/>
  <c r="R4964" i="8" s="1"/>
  <c r="Q4963" i="8"/>
  <c r="R4963" i="8" s="1"/>
  <c r="Q4962" i="8"/>
  <c r="R4962" i="8" s="1"/>
  <c r="Q4961" i="8"/>
  <c r="R4961" i="8" s="1"/>
  <c r="Q4960" i="8"/>
  <c r="R4960" i="8" s="1"/>
  <c r="Q4959" i="8"/>
  <c r="R4959" i="8" s="1"/>
  <c r="Q4958" i="8"/>
  <c r="R4958" i="8" s="1"/>
  <c r="Q4957" i="8"/>
  <c r="R4957" i="8" s="1"/>
  <c r="Q4956" i="8"/>
  <c r="R4956" i="8" s="1"/>
  <c r="Q4955" i="8"/>
  <c r="R4955" i="8" s="1"/>
  <c r="Q4954" i="8"/>
  <c r="R4954" i="8" s="1"/>
  <c r="Q4953" i="8"/>
  <c r="R4953" i="8" s="1"/>
  <c r="Q4952" i="8"/>
  <c r="R4952" i="8" s="1"/>
  <c r="Q4951" i="8"/>
  <c r="R4951" i="8" s="1"/>
  <c r="Q4950" i="8"/>
  <c r="R4950" i="8" s="1"/>
  <c r="Q4949" i="8"/>
  <c r="R4949" i="8" s="1"/>
  <c r="R4948" i="8"/>
  <c r="Q4948" i="8"/>
  <c r="Q4947" i="8"/>
  <c r="R4947" i="8" s="1"/>
  <c r="R4946" i="8"/>
  <c r="Q4946" i="8"/>
  <c r="R4945" i="8"/>
  <c r="Q4945" i="8"/>
  <c r="Q4944" i="8"/>
  <c r="R4944" i="8" s="1"/>
  <c r="Q4943" i="8"/>
  <c r="R4943" i="8" s="1"/>
  <c r="Q4942" i="8"/>
  <c r="R4942" i="8" s="1"/>
  <c r="Q4941" i="8"/>
  <c r="R4941" i="8" s="1"/>
  <c r="Q4940" i="8"/>
  <c r="R4940" i="8" s="1"/>
  <c r="Q4939" i="8"/>
  <c r="R4939" i="8" s="1"/>
  <c r="Q4938" i="8"/>
  <c r="R4938" i="8" s="1"/>
  <c r="R4937" i="8"/>
  <c r="Q4937" i="8"/>
  <c r="Q4936" i="8"/>
  <c r="R4936" i="8" s="1"/>
  <c r="Q4935" i="8"/>
  <c r="R4935" i="8" s="1"/>
  <c r="Q4934" i="8"/>
  <c r="R4934" i="8" s="1"/>
  <c r="Q4933" i="8"/>
  <c r="R4933" i="8" s="1"/>
  <c r="Q4932" i="8"/>
  <c r="R4932" i="8" s="1"/>
  <c r="Q4931" i="8"/>
  <c r="R4931" i="8" s="1"/>
  <c r="Q4930" i="8"/>
  <c r="R4930" i="8" s="1"/>
  <c r="Q4929" i="8"/>
  <c r="R4929" i="8" s="1"/>
  <c r="Q4928" i="8"/>
  <c r="R4928" i="8" s="1"/>
  <c r="Q4927" i="8"/>
  <c r="R4927" i="8" s="1"/>
  <c r="Q4926" i="8"/>
  <c r="R4926" i="8" s="1"/>
  <c r="Q4925" i="8"/>
  <c r="R4925" i="8" s="1"/>
  <c r="Q4924" i="8"/>
  <c r="R4924" i="8" s="1"/>
  <c r="Q4923" i="8"/>
  <c r="R4923" i="8" s="1"/>
  <c r="Q4922" i="8"/>
  <c r="R4922" i="8" s="1"/>
  <c r="Q4921" i="8"/>
  <c r="R4921" i="8" s="1"/>
  <c r="Q4920" i="8"/>
  <c r="R4920" i="8" s="1"/>
  <c r="Q4919" i="8"/>
  <c r="R4919" i="8" s="1"/>
  <c r="Q4918" i="8"/>
  <c r="R4918" i="8" s="1"/>
  <c r="Q4917" i="8"/>
  <c r="R4917" i="8" s="1"/>
  <c r="Q4916" i="8"/>
  <c r="R4916" i="8" s="1"/>
  <c r="Q4915" i="8"/>
  <c r="R4915" i="8" s="1"/>
  <c r="R4914" i="8"/>
  <c r="Q4914" i="8"/>
  <c r="Q4913" i="8"/>
  <c r="R4913" i="8" s="1"/>
  <c r="Q4912" i="8"/>
  <c r="R4912" i="8" s="1"/>
  <c r="Q4911" i="8"/>
  <c r="R4911" i="8" s="1"/>
  <c r="Q4910" i="8"/>
  <c r="R4910" i="8" s="1"/>
  <c r="Q4909" i="8"/>
  <c r="R4909" i="8" s="1"/>
  <c r="Q4908" i="8"/>
  <c r="R4908" i="8" s="1"/>
  <c r="Q4907" i="8"/>
  <c r="R4907" i="8" s="1"/>
  <c r="Q4906" i="8"/>
  <c r="R4906" i="8" s="1"/>
  <c r="Q4905" i="8"/>
  <c r="R4905" i="8" s="1"/>
  <c r="Q4904" i="8"/>
  <c r="R4904" i="8" s="1"/>
  <c r="Q4903" i="8"/>
  <c r="R4903" i="8" s="1"/>
  <c r="Q4902" i="8"/>
  <c r="R4902" i="8" s="1"/>
  <c r="Q4901" i="8"/>
  <c r="R4901" i="8" s="1"/>
  <c r="Q4900" i="8"/>
  <c r="R4900" i="8" s="1"/>
  <c r="Q4899" i="8"/>
  <c r="R4899" i="8" s="1"/>
  <c r="R4898" i="8"/>
  <c r="Q4898" i="8"/>
  <c r="Q4897" i="8"/>
  <c r="R4897" i="8" s="1"/>
  <c r="Q4896" i="8"/>
  <c r="R4896" i="8" s="1"/>
  <c r="Q4895" i="8"/>
  <c r="R4895" i="8" s="1"/>
  <c r="Q4894" i="8"/>
  <c r="R4894" i="8" s="1"/>
  <c r="Q4893" i="8"/>
  <c r="R4893" i="8" s="1"/>
  <c r="R4892" i="8"/>
  <c r="Q4892" i="8"/>
  <c r="Q4891" i="8"/>
  <c r="R4891" i="8" s="1"/>
  <c r="Q4890" i="8"/>
  <c r="R4890" i="8" s="1"/>
  <c r="Q4889" i="8"/>
  <c r="R4889" i="8" s="1"/>
  <c r="Q4888" i="8"/>
  <c r="R4888" i="8" s="1"/>
  <c r="Q4887" i="8"/>
  <c r="R4887" i="8" s="1"/>
  <c r="Q4886" i="8"/>
  <c r="R4886" i="8" s="1"/>
  <c r="Q4885" i="8"/>
  <c r="R4885" i="8" s="1"/>
  <c r="Q4884" i="8"/>
  <c r="R4884" i="8" s="1"/>
  <c r="Q4883" i="8"/>
  <c r="R4883" i="8" s="1"/>
  <c r="Q4882" i="8"/>
  <c r="R4882" i="8" s="1"/>
  <c r="R4881" i="8"/>
  <c r="Q4881" i="8"/>
  <c r="Q4880" i="8"/>
  <c r="R4880" i="8" s="1"/>
  <c r="Q4879" i="8"/>
  <c r="R4879" i="8" s="1"/>
  <c r="Q4878" i="8"/>
  <c r="R4878" i="8" s="1"/>
  <c r="Q4877" i="8"/>
  <c r="R4877" i="8" s="1"/>
  <c r="Q4876" i="8"/>
  <c r="R4876" i="8" s="1"/>
  <c r="Q4875" i="8"/>
  <c r="R4875" i="8" s="1"/>
  <c r="Q4874" i="8"/>
  <c r="R4874" i="8" s="1"/>
  <c r="Q4873" i="8"/>
  <c r="R4873" i="8" s="1"/>
  <c r="Q4872" i="8"/>
  <c r="R4872" i="8" s="1"/>
  <c r="Q4871" i="8"/>
  <c r="R4871" i="8" s="1"/>
  <c r="Q4870" i="8"/>
  <c r="R4870" i="8" s="1"/>
  <c r="Q4869" i="8"/>
  <c r="R4869" i="8" s="1"/>
  <c r="Q4868" i="8"/>
  <c r="R4868" i="8" s="1"/>
  <c r="Q4867" i="8"/>
  <c r="R4867" i="8" s="1"/>
  <c r="Q4866" i="8"/>
  <c r="R4866" i="8" s="1"/>
  <c r="R4865" i="8"/>
  <c r="Q4865" i="8"/>
  <c r="Q4864" i="8"/>
  <c r="R4864" i="8" s="1"/>
  <c r="Q4863" i="8"/>
  <c r="R4863" i="8" s="1"/>
  <c r="Q4862" i="8"/>
  <c r="R4862" i="8" s="1"/>
  <c r="Q4861" i="8"/>
  <c r="R4861" i="8" s="1"/>
  <c r="Q4860" i="8"/>
  <c r="R4860" i="8" s="1"/>
  <c r="Q4859" i="8"/>
  <c r="R4859" i="8" s="1"/>
  <c r="R4858" i="8"/>
  <c r="Q4858" i="8"/>
  <c r="Q4857" i="8"/>
  <c r="R4857" i="8" s="1"/>
  <c r="Q4856" i="8"/>
  <c r="R4856" i="8" s="1"/>
  <c r="Q4855" i="8"/>
  <c r="R4855" i="8" s="1"/>
  <c r="Q4854" i="8"/>
  <c r="R4854" i="8" s="1"/>
  <c r="Q4853" i="8"/>
  <c r="R4853" i="8" s="1"/>
  <c r="Q4852" i="8"/>
  <c r="R4852" i="8" s="1"/>
  <c r="Q4851" i="8"/>
  <c r="R4851" i="8" s="1"/>
  <c r="Q4850" i="8"/>
  <c r="R4850" i="8" s="1"/>
  <c r="Q4849" i="8"/>
  <c r="R4849" i="8" s="1"/>
  <c r="Q4848" i="8"/>
  <c r="R4848" i="8" s="1"/>
  <c r="Q4847" i="8"/>
  <c r="R4847" i="8" s="1"/>
  <c r="Q4846" i="8"/>
  <c r="R4846" i="8" s="1"/>
  <c r="Q4845" i="8"/>
  <c r="R4845" i="8" s="1"/>
  <c r="R4844" i="8"/>
  <c r="Q4844" i="8"/>
  <c r="Q4843" i="8"/>
  <c r="R4843" i="8" s="1"/>
  <c r="R4842" i="8"/>
  <c r="Q4842" i="8"/>
  <c r="Q4841" i="8"/>
  <c r="R4841" i="8" s="1"/>
  <c r="Q4840" i="8"/>
  <c r="R4840" i="8" s="1"/>
  <c r="Q4839" i="8"/>
  <c r="R4839" i="8" s="1"/>
  <c r="Q4838" i="8"/>
  <c r="R4838" i="8" s="1"/>
  <c r="Q4837" i="8"/>
  <c r="R4837" i="8" s="1"/>
  <c r="Q4836" i="8"/>
  <c r="R4836" i="8" s="1"/>
  <c r="Q4835" i="8"/>
  <c r="R4835" i="8" s="1"/>
  <c r="R4834" i="8"/>
  <c r="Q4834" i="8"/>
  <c r="R4833" i="8"/>
  <c r="Q4833" i="8"/>
  <c r="Q4832" i="8"/>
  <c r="R4832" i="8" s="1"/>
  <c r="Q4831" i="8"/>
  <c r="R4831" i="8" s="1"/>
  <c r="Q4830" i="8"/>
  <c r="R4830" i="8" s="1"/>
  <c r="Q4829" i="8"/>
  <c r="R4829" i="8" s="1"/>
  <c r="R4828" i="8"/>
  <c r="Q4828" i="8"/>
  <c r="Q4827" i="8"/>
  <c r="R4827" i="8" s="1"/>
  <c r="Q4826" i="8"/>
  <c r="R4826" i="8" s="1"/>
  <c r="Q4825" i="8"/>
  <c r="R4825" i="8" s="1"/>
  <c r="Q4824" i="8"/>
  <c r="R4824" i="8" s="1"/>
  <c r="Q4823" i="8"/>
  <c r="R4823" i="8" s="1"/>
  <c r="Q4822" i="8"/>
  <c r="R4822" i="8" s="1"/>
  <c r="Q4821" i="8"/>
  <c r="R4821" i="8" s="1"/>
  <c r="R4820" i="8"/>
  <c r="Q4820" i="8"/>
  <c r="Q4819" i="8"/>
  <c r="R4819" i="8" s="1"/>
  <c r="Q4818" i="8"/>
  <c r="R4818" i="8" s="1"/>
  <c r="Q4817" i="8"/>
  <c r="R4817" i="8" s="1"/>
  <c r="Q4816" i="8"/>
  <c r="R4816" i="8" s="1"/>
  <c r="Q4815" i="8"/>
  <c r="R4815" i="8" s="1"/>
  <c r="Q4814" i="8"/>
  <c r="R4814" i="8" s="1"/>
  <c r="Q4813" i="8"/>
  <c r="R4813" i="8" s="1"/>
  <c r="Q4812" i="8"/>
  <c r="R4812" i="8" s="1"/>
  <c r="Q4811" i="8"/>
  <c r="R4811" i="8" s="1"/>
  <c r="Q4810" i="8"/>
  <c r="R4810" i="8" s="1"/>
  <c r="Q4809" i="8"/>
  <c r="R4809" i="8" s="1"/>
  <c r="Q4808" i="8"/>
  <c r="R4808" i="8" s="1"/>
  <c r="Q4807" i="8"/>
  <c r="R4807" i="8" s="1"/>
  <c r="Q4806" i="8"/>
  <c r="R4806" i="8" s="1"/>
  <c r="Q4805" i="8"/>
  <c r="R4805" i="8" s="1"/>
  <c r="Q4804" i="8"/>
  <c r="R4804" i="8" s="1"/>
  <c r="Q4803" i="8"/>
  <c r="R4803" i="8" s="1"/>
  <c r="R4802" i="8"/>
  <c r="Q4802" i="8"/>
  <c r="Q4801" i="8"/>
  <c r="R4801" i="8" s="1"/>
  <c r="Q4800" i="8"/>
  <c r="R4800" i="8" s="1"/>
  <c r="Q4799" i="8"/>
  <c r="R4799" i="8" s="1"/>
  <c r="Q4798" i="8"/>
  <c r="R4798" i="8" s="1"/>
  <c r="Q4797" i="8"/>
  <c r="R4797" i="8" s="1"/>
  <c r="Q4796" i="8"/>
  <c r="R4796" i="8" s="1"/>
  <c r="Q4795" i="8"/>
  <c r="R4795" i="8" s="1"/>
  <c r="Q4794" i="8"/>
  <c r="R4794" i="8" s="1"/>
  <c r="Q4793" i="8"/>
  <c r="R4793" i="8" s="1"/>
  <c r="Q4792" i="8"/>
  <c r="R4792" i="8" s="1"/>
  <c r="Q4791" i="8"/>
  <c r="R4791" i="8" s="1"/>
  <c r="Q4790" i="8"/>
  <c r="R4790" i="8" s="1"/>
  <c r="Q4789" i="8"/>
  <c r="R4789" i="8" s="1"/>
  <c r="R4788" i="8"/>
  <c r="Q4788" i="8"/>
  <c r="Q4787" i="8"/>
  <c r="R4787" i="8" s="1"/>
  <c r="R4786" i="8"/>
  <c r="Q4786" i="8"/>
  <c r="Q4785" i="8"/>
  <c r="R4785" i="8" s="1"/>
  <c r="Q4784" i="8"/>
  <c r="R4784" i="8" s="1"/>
  <c r="Q4783" i="8"/>
  <c r="R4783" i="8" s="1"/>
  <c r="Q4782" i="8"/>
  <c r="R4782" i="8" s="1"/>
  <c r="Q4781" i="8"/>
  <c r="R4781" i="8" s="1"/>
  <c r="R4780" i="8"/>
  <c r="Q4780" i="8"/>
  <c r="Q4779" i="8"/>
  <c r="R4779" i="8" s="1"/>
  <c r="Q4778" i="8"/>
  <c r="R4778" i="8" s="1"/>
  <c r="Q4777" i="8"/>
  <c r="R4777" i="8" s="1"/>
  <c r="Q4776" i="8"/>
  <c r="R4776" i="8" s="1"/>
  <c r="Q4775" i="8"/>
  <c r="R4775" i="8" s="1"/>
  <c r="Q4774" i="8"/>
  <c r="R4774" i="8" s="1"/>
  <c r="Q4773" i="8"/>
  <c r="R4773" i="8" s="1"/>
  <c r="Q4772" i="8"/>
  <c r="R4772" i="8" s="1"/>
  <c r="Q4771" i="8"/>
  <c r="R4771" i="8" s="1"/>
  <c r="Q4770" i="8"/>
  <c r="R4770" i="8" s="1"/>
  <c r="Q4769" i="8"/>
  <c r="R4769" i="8" s="1"/>
  <c r="Q4768" i="8"/>
  <c r="R4768" i="8" s="1"/>
  <c r="Q4767" i="8"/>
  <c r="R4767" i="8" s="1"/>
  <c r="Q4766" i="8"/>
  <c r="R4766" i="8" s="1"/>
  <c r="Q4765" i="8"/>
  <c r="R4765" i="8" s="1"/>
  <c r="Q4764" i="8"/>
  <c r="R4764" i="8" s="1"/>
  <c r="Q4763" i="8"/>
  <c r="R4763" i="8" s="1"/>
  <c r="R4762" i="8"/>
  <c r="Q4762" i="8"/>
  <c r="Q4761" i="8"/>
  <c r="R4761" i="8" s="1"/>
  <c r="Q4760" i="8"/>
  <c r="R4760" i="8" s="1"/>
  <c r="Q4759" i="8"/>
  <c r="R4759" i="8" s="1"/>
  <c r="Q4758" i="8"/>
  <c r="R4758" i="8" s="1"/>
  <c r="Q4757" i="8"/>
  <c r="R4757" i="8" s="1"/>
  <c r="Q4756" i="8"/>
  <c r="R4756" i="8" s="1"/>
  <c r="Q4755" i="8"/>
  <c r="R4755" i="8" s="1"/>
  <c r="Q4754" i="8"/>
  <c r="R4754" i="8" s="1"/>
  <c r="Q4753" i="8"/>
  <c r="R4753" i="8" s="1"/>
  <c r="Q4752" i="8"/>
  <c r="R4752" i="8" s="1"/>
  <c r="Q4751" i="8"/>
  <c r="R4751" i="8" s="1"/>
  <c r="Q4750" i="8"/>
  <c r="R4750" i="8" s="1"/>
  <c r="Q4749" i="8"/>
  <c r="R4749" i="8" s="1"/>
  <c r="R4748" i="8"/>
  <c r="Q4748" i="8"/>
  <c r="Q4747" i="8"/>
  <c r="R4747" i="8" s="1"/>
  <c r="Q4746" i="8"/>
  <c r="R4746" i="8" s="1"/>
  <c r="Q4745" i="8"/>
  <c r="R4745" i="8" s="1"/>
  <c r="Q4744" i="8"/>
  <c r="R4744" i="8" s="1"/>
  <c r="Q4743" i="8"/>
  <c r="R4743" i="8" s="1"/>
  <c r="Q4742" i="8"/>
  <c r="R4742" i="8" s="1"/>
  <c r="Q4741" i="8"/>
  <c r="R4741" i="8" s="1"/>
  <c r="Q4740" i="8"/>
  <c r="R4740" i="8" s="1"/>
  <c r="Q4739" i="8"/>
  <c r="R4739" i="8" s="1"/>
  <c r="Q4738" i="8"/>
  <c r="R4738" i="8" s="1"/>
  <c r="R4737" i="8"/>
  <c r="Q4737" i="8"/>
  <c r="Q4736" i="8"/>
  <c r="R4736" i="8" s="1"/>
  <c r="Q4735" i="8"/>
  <c r="R4735" i="8" s="1"/>
  <c r="Q4734" i="8"/>
  <c r="R4734" i="8" s="1"/>
  <c r="Q4733" i="8"/>
  <c r="R4733" i="8" s="1"/>
  <c r="Q4732" i="8"/>
  <c r="R4732" i="8" s="1"/>
  <c r="Q4731" i="8"/>
  <c r="R4731" i="8" s="1"/>
  <c r="Q4730" i="8"/>
  <c r="R4730" i="8" s="1"/>
  <c r="Q4729" i="8"/>
  <c r="R4729" i="8" s="1"/>
  <c r="Q4728" i="8"/>
  <c r="R4728" i="8" s="1"/>
  <c r="Q4727" i="8"/>
  <c r="R4727" i="8" s="1"/>
  <c r="Q4726" i="8"/>
  <c r="R4726" i="8" s="1"/>
  <c r="Q4725" i="8"/>
  <c r="R4725" i="8" s="1"/>
  <c r="Q4724" i="8"/>
  <c r="R4724" i="8" s="1"/>
  <c r="Q4723" i="8"/>
  <c r="R4723" i="8" s="1"/>
  <c r="Q4722" i="8"/>
  <c r="R4722" i="8" s="1"/>
  <c r="Q4721" i="8"/>
  <c r="R4721" i="8" s="1"/>
  <c r="Q4720" i="8"/>
  <c r="R4720" i="8" s="1"/>
  <c r="Q4719" i="8"/>
  <c r="R4719" i="8" s="1"/>
  <c r="Q4718" i="8"/>
  <c r="R4718" i="8" s="1"/>
  <c r="Q4717" i="8"/>
  <c r="R4717" i="8" s="1"/>
  <c r="Q4716" i="8"/>
  <c r="R4716" i="8" s="1"/>
  <c r="Q4715" i="8"/>
  <c r="R4715" i="8" s="1"/>
  <c r="Q4714" i="8"/>
  <c r="R4714" i="8" s="1"/>
  <c r="Q4713" i="8"/>
  <c r="R4713" i="8" s="1"/>
  <c r="Q4712" i="8"/>
  <c r="R4712" i="8" s="1"/>
  <c r="Q4711" i="8"/>
  <c r="R4711" i="8" s="1"/>
  <c r="Q4710" i="8"/>
  <c r="R4710" i="8" s="1"/>
  <c r="Q4709" i="8"/>
  <c r="R4709" i="8" s="1"/>
  <c r="Q4708" i="8"/>
  <c r="R4708" i="8" s="1"/>
  <c r="Q4707" i="8"/>
  <c r="R4707" i="8" s="1"/>
  <c r="R4706" i="8"/>
  <c r="Q4706" i="8"/>
  <c r="Q4705" i="8"/>
  <c r="R4705" i="8" s="1"/>
  <c r="Q4704" i="8"/>
  <c r="R4704" i="8" s="1"/>
  <c r="Q4703" i="8"/>
  <c r="R4703" i="8" s="1"/>
  <c r="Q4702" i="8"/>
  <c r="R4702" i="8" s="1"/>
  <c r="Q4701" i="8"/>
  <c r="R4701" i="8" s="1"/>
  <c r="R4700" i="8"/>
  <c r="Q4700" i="8"/>
  <c r="Q4699" i="8"/>
  <c r="R4699" i="8" s="1"/>
  <c r="Q4698" i="8"/>
  <c r="R4698" i="8" s="1"/>
  <c r="R4697" i="8"/>
  <c r="Q4697" i="8"/>
  <c r="Q4696" i="8"/>
  <c r="R4696" i="8" s="1"/>
  <c r="Q4695" i="8"/>
  <c r="R4695" i="8" s="1"/>
  <c r="Q4694" i="8"/>
  <c r="R4694" i="8" s="1"/>
  <c r="Q4693" i="8"/>
  <c r="R4693" i="8" s="1"/>
  <c r="Q4692" i="8"/>
  <c r="R4692" i="8" s="1"/>
  <c r="Q4691" i="8"/>
  <c r="R4691" i="8" s="1"/>
  <c r="Q4690" i="8"/>
  <c r="R4690" i="8" s="1"/>
  <c r="Q4689" i="8"/>
  <c r="R4689" i="8" s="1"/>
  <c r="Q4688" i="8"/>
  <c r="R4688" i="8" s="1"/>
  <c r="Q4687" i="8"/>
  <c r="R4687" i="8" s="1"/>
  <c r="Q4686" i="8"/>
  <c r="R4686" i="8" s="1"/>
  <c r="Q4685" i="8"/>
  <c r="R4685" i="8" s="1"/>
  <c r="Q4684" i="8"/>
  <c r="R4684" i="8" s="1"/>
  <c r="Q4683" i="8"/>
  <c r="R4683" i="8" s="1"/>
  <c r="Q4682" i="8"/>
  <c r="R4682" i="8" s="1"/>
  <c r="R4681" i="8"/>
  <c r="Q4681" i="8"/>
  <c r="Q4680" i="8"/>
  <c r="R4680" i="8" s="1"/>
  <c r="Q4679" i="8"/>
  <c r="R4679" i="8" s="1"/>
  <c r="Q4678" i="8"/>
  <c r="R4678" i="8" s="1"/>
  <c r="Q4677" i="8"/>
  <c r="R4677" i="8" s="1"/>
  <c r="Q4676" i="8"/>
  <c r="R4676" i="8" s="1"/>
  <c r="Q4675" i="8"/>
  <c r="R4675" i="8" s="1"/>
  <c r="Q4674" i="8"/>
  <c r="R4674" i="8" s="1"/>
  <c r="Q4673" i="8"/>
  <c r="R4673" i="8" s="1"/>
  <c r="Q4672" i="8"/>
  <c r="R4672" i="8" s="1"/>
  <c r="Q4671" i="8"/>
  <c r="R4671" i="8" s="1"/>
  <c r="Q4670" i="8"/>
  <c r="R4670" i="8" s="1"/>
  <c r="Q4669" i="8"/>
  <c r="R4669" i="8" s="1"/>
  <c r="Q4668" i="8"/>
  <c r="R4668" i="8" s="1"/>
  <c r="Q4667" i="8"/>
  <c r="R4667" i="8" s="1"/>
  <c r="Q4666" i="8"/>
  <c r="R4666" i="8" s="1"/>
  <c r="Q4665" i="8"/>
  <c r="R4665" i="8" s="1"/>
  <c r="Q4664" i="8"/>
  <c r="R4664" i="8" s="1"/>
  <c r="Q4663" i="8"/>
  <c r="R4663" i="8" s="1"/>
  <c r="Q4662" i="8"/>
  <c r="R4662" i="8" s="1"/>
  <c r="Q4661" i="8"/>
  <c r="R4661" i="8" s="1"/>
  <c r="Q4660" i="8"/>
  <c r="R4660" i="8" s="1"/>
  <c r="Q4659" i="8"/>
  <c r="R4659" i="8" s="1"/>
  <c r="Q4658" i="8"/>
  <c r="R4658" i="8" s="1"/>
  <c r="Q4657" i="8"/>
  <c r="R4657" i="8" s="1"/>
  <c r="Q4656" i="8"/>
  <c r="R4656" i="8" s="1"/>
  <c r="Q4655" i="8"/>
  <c r="R4655" i="8" s="1"/>
  <c r="Q4654" i="8"/>
  <c r="R4654" i="8" s="1"/>
  <c r="Q4653" i="8"/>
  <c r="R4653" i="8" s="1"/>
  <c r="Q4652" i="8"/>
  <c r="R4652" i="8" s="1"/>
  <c r="Q4651" i="8"/>
  <c r="R4651" i="8" s="1"/>
  <c r="R4650" i="8"/>
  <c r="Q4650" i="8"/>
  <c r="Q4649" i="8"/>
  <c r="R4649" i="8" s="1"/>
  <c r="Q4648" i="8"/>
  <c r="R4648" i="8" s="1"/>
  <c r="Q4647" i="8"/>
  <c r="R4647" i="8" s="1"/>
  <c r="Q4646" i="8"/>
  <c r="R4646" i="8" s="1"/>
  <c r="Q4645" i="8"/>
  <c r="R4645" i="8" s="1"/>
  <c r="R4644" i="8"/>
  <c r="Q4644" i="8"/>
  <c r="Q4643" i="8"/>
  <c r="R4643" i="8" s="1"/>
  <c r="R4642" i="8"/>
  <c r="Q4642" i="8"/>
  <c r="Q4641" i="8"/>
  <c r="R4641" i="8" s="1"/>
  <c r="Q4640" i="8"/>
  <c r="R4640" i="8" s="1"/>
  <c r="Q4639" i="8"/>
  <c r="R4639" i="8" s="1"/>
  <c r="Q4638" i="8"/>
  <c r="R4638" i="8" s="1"/>
  <c r="Q4637" i="8"/>
  <c r="R4637" i="8" s="1"/>
  <c r="R4636" i="8"/>
  <c r="Q4636" i="8"/>
  <c r="Q4635" i="8"/>
  <c r="R4635" i="8" s="1"/>
  <c r="Q4634" i="8"/>
  <c r="R4634" i="8" s="1"/>
  <c r="R4633" i="8"/>
  <c r="Q4633" i="8"/>
  <c r="Q4632" i="8"/>
  <c r="R4632" i="8" s="1"/>
  <c r="Q4631" i="8"/>
  <c r="R4631" i="8" s="1"/>
  <c r="Q4630" i="8"/>
  <c r="R4630" i="8" s="1"/>
  <c r="Q4629" i="8"/>
  <c r="R4629" i="8" s="1"/>
  <c r="Q4628" i="8"/>
  <c r="R4628" i="8" s="1"/>
  <c r="Q4627" i="8"/>
  <c r="R4627" i="8" s="1"/>
  <c r="R4626" i="8"/>
  <c r="Q4626" i="8"/>
  <c r="Q4625" i="8"/>
  <c r="R4625" i="8" s="1"/>
  <c r="Q4624" i="8"/>
  <c r="R4624" i="8" s="1"/>
  <c r="Q4623" i="8"/>
  <c r="R4623" i="8" s="1"/>
  <c r="Q4622" i="8"/>
  <c r="R4622" i="8" s="1"/>
  <c r="Q4621" i="8"/>
  <c r="R4621" i="8" s="1"/>
  <c r="R4620" i="8"/>
  <c r="Q4620" i="8"/>
  <c r="Q4619" i="8"/>
  <c r="R4619" i="8" s="1"/>
  <c r="Q4618" i="8"/>
  <c r="R4618" i="8" s="1"/>
  <c r="Q4617" i="8"/>
  <c r="R4617" i="8" s="1"/>
  <c r="Q4616" i="8"/>
  <c r="R4616" i="8" s="1"/>
  <c r="Q4615" i="8"/>
  <c r="R4615" i="8" s="1"/>
  <c r="Q4614" i="8"/>
  <c r="R4614" i="8" s="1"/>
  <c r="Q4613" i="8"/>
  <c r="R4613" i="8" s="1"/>
  <c r="Q4612" i="8"/>
  <c r="R4612" i="8" s="1"/>
  <c r="Q4611" i="8"/>
  <c r="R4611" i="8" s="1"/>
  <c r="Q4610" i="8"/>
  <c r="R4610" i="8" s="1"/>
  <c r="Q4609" i="8"/>
  <c r="R4609" i="8" s="1"/>
  <c r="Q4608" i="8"/>
  <c r="R4608" i="8" s="1"/>
  <c r="Q4607" i="8"/>
  <c r="R4607" i="8" s="1"/>
  <c r="Q4606" i="8"/>
  <c r="R4606" i="8" s="1"/>
  <c r="Q4605" i="8"/>
  <c r="R4605" i="8" s="1"/>
  <c r="Q4604" i="8"/>
  <c r="R4604" i="8" s="1"/>
  <c r="Q4603" i="8"/>
  <c r="R4603" i="8" s="1"/>
  <c r="R4602" i="8"/>
  <c r="Q4602" i="8"/>
  <c r="Q4601" i="8"/>
  <c r="R4601" i="8" s="1"/>
  <c r="Q4600" i="8"/>
  <c r="R4600" i="8" s="1"/>
  <c r="R4599" i="8"/>
  <c r="Q4599" i="8"/>
  <c r="Q4598" i="8"/>
  <c r="R4598" i="8" s="1"/>
  <c r="Q4597" i="8"/>
  <c r="R4597" i="8" s="1"/>
  <c r="Q4596" i="8"/>
  <c r="R4596" i="8" s="1"/>
  <c r="Q4595" i="8"/>
  <c r="R4595" i="8" s="1"/>
  <c r="Q4594" i="8"/>
  <c r="R4594" i="8" s="1"/>
  <c r="Q4593" i="8"/>
  <c r="R4593" i="8" s="1"/>
  <c r="Q4592" i="8"/>
  <c r="R4592" i="8" s="1"/>
  <c r="Q4591" i="8"/>
  <c r="R4591" i="8" s="1"/>
  <c r="Q4590" i="8"/>
  <c r="R4590" i="8" s="1"/>
  <c r="Q4589" i="8"/>
  <c r="R4589" i="8" s="1"/>
  <c r="Q4588" i="8"/>
  <c r="R4588" i="8" s="1"/>
  <c r="Q4587" i="8"/>
  <c r="R4587" i="8" s="1"/>
  <c r="R4586" i="8"/>
  <c r="Q4586" i="8"/>
  <c r="Q4585" i="8"/>
  <c r="R4585" i="8" s="1"/>
  <c r="Q4584" i="8"/>
  <c r="R4584" i="8" s="1"/>
  <c r="R4583" i="8"/>
  <c r="Q4583" i="8"/>
  <c r="Q4582" i="8"/>
  <c r="R4582" i="8" s="1"/>
  <c r="Q4581" i="8"/>
  <c r="R4581" i="8" s="1"/>
  <c r="Q4580" i="8"/>
  <c r="R4580" i="8" s="1"/>
  <c r="Q4579" i="8"/>
  <c r="R4579" i="8" s="1"/>
  <c r="Q4578" i="8"/>
  <c r="R4578" i="8" s="1"/>
  <c r="R4577" i="8"/>
  <c r="Q4577" i="8"/>
  <c r="Q4576" i="8"/>
  <c r="R4576" i="8" s="1"/>
  <c r="Q4575" i="8"/>
  <c r="R4575" i="8" s="1"/>
  <c r="Q4574" i="8"/>
  <c r="R4574" i="8" s="1"/>
  <c r="Q4573" i="8"/>
  <c r="R4573" i="8" s="1"/>
  <c r="Q4572" i="8"/>
  <c r="R4572" i="8" s="1"/>
  <c r="Q4571" i="8"/>
  <c r="R4571" i="8" s="1"/>
  <c r="Q4570" i="8"/>
  <c r="R4570" i="8" s="1"/>
  <c r="R4569" i="8"/>
  <c r="Q4569" i="8"/>
  <c r="Q4568" i="8"/>
  <c r="R4568" i="8" s="1"/>
  <c r="R4567" i="8"/>
  <c r="Q4567" i="8"/>
  <c r="Q4566" i="8"/>
  <c r="R4566" i="8" s="1"/>
  <c r="Q4565" i="8"/>
  <c r="R4565" i="8" s="1"/>
  <c r="R4564" i="8"/>
  <c r="Q4564" i="8"/>
  <c r="Q4563" i="8"/>
  <c r="R4563" i="8" s="1"/>
  <c r="Q4562" i="8"/>
  <c r="R4562" i="8" s="1"/>
  <c r="R4561" i="8"/>
  <c r="Q4561" i="8"/>
  <c r="Q4560" i="8"/>
  <c r="R4560" i="8" s="1"/>
  <c r="R4559" i="8"/>
  <c r="Q4559" i="8"/>
  <c r="Q4558" i="8"/>
  <c r="R4558" i="8" s="1"/>
  <c r="Q4557" i="8"/>
  <c r="R4557" i="8" s="1"/>
  <c r="Q4556" i="8"/>
  <c r="R4556" i="8" s="1"/>
  <c r="Q4555" i="8"/>
  <c r="R4555" i="8" s="1"/>
  <c r="Q4554" i="8"/>
  <c r="R4554" i="8" s="1"/>
  <c r="Q4553" i="8"/>
  <c r="R4553" i="8" s="1"/>
  <c r="Q4552" i="8"/>
  <c r="R4552" i="8" s="1"/>
  <c r="Q4551" i="8"/>
  <c r="R4551" i="8" s="1"/>
  <c r="Q4550" i="8"/>
  <c r="R4550" i="8" s="1"/>
  <c r="Q4549" i="8"/>
  <c r="R4549" i="8" s="1"/>
  <c r="Q4548" i="8"/>
  <c r="R4548" i="8" s="1"/>
  <c r="Q4547" i="8"/>
  <c r="R4547" i="8" s="1"/>
  <c r="Q4546" i="8"/>
  <c r="R4546" i="8" s="1"/>
  <c r="Q4545" i="8"/>
  <c r="R4545" i="8" s="1"/>
  <c r="Q4544" i="8"/>
  <c r="R4544" i="8" s="1"/>
  <c r="R4543" i="8"/>
  <c r="Q4543" i="8"/>
  <c r="Q4542" i="8"/>
  <c r="R4542" i="8" s="1"/>
  <c r="Q4541" i="8"/>
  <c r="R4541" i="8" s="1"/>
  <c r="Q4540" i="8"/>
  <c r="R4540" i="8" s="1"/>
  <c r="R4539" i="8"/>
  <c r="Q4539" i="8"/>
  <c r="Q4538" i="8"/>
  <c r="R4538" i="8" s="1"/>
  <c r="Q4537" i="8"/>
  <c r="R4537" i="8" s="1"/>
  <c r="Q4536" i="8"/>
  <c r="R4536" i="8" s="1"/>
  <c r="R4535" i="8"/>
  <c r="Q4535" i="8"/>
  <c r="Q4534" i="8"/>
  <c r="R4534" i="8" s="1"/>
  <c r="Q4533" i="8"/>
  <c r="R4533" i="8" s="1"/>
  <c r="Q4532" i="8"/>
  <c r="R4532" i="8" s="1"/>
  <c r="R4531" i="8"/>
  <c r="Q4531" i="8"/>
  <c r="Q4530" i="8"/>
  <c r="R4530" i="8" s="1"/>
  <c r="Q4529" i="8"/>
  <c r="R4529" i="8" s="1"/>
  <c r="Q4528" i="8"/>
  <c r="R4528" i="8" s="1"/>
  <c r="Q4527" i="8"/>
  <c r="R4527" i="8" s="1"/>
  <c r="Q4526" i="8"/>
  <c r="R4526" i="8" s="1"/>
  <c r="Q4525" i="8"/>
  <c r="R4525" i="8" s="1"/>
  <c r="Q4524" i="8"/>
  <c r="R4524" i="8" s="1"/>
  <c r="R4523" i="8"/>
  <c r="Q4523" i="8"/>
  <c r="Q4522" i="8"/>
  <c r="R4522" i="8" s="1"/>
  <c r="Q4521" i="8"/>
  <c r="R4521" i="8" s="1"/>
  <c r="Q4520" i="8"/>
  <c r="R4520" i="8" s="1"/>
  <c r="Q4519" i="8"/>
  <c r="R4519" i="8" s="1"/>
  <c r="Q4518" i="8"/>
  <c r="R4518" i="8" s="1"/>
  <c r="Q4517" i="8"/>
  <c r="R4517" i="8" s="1"/>
  <c r="R4516" i="8"/>
  <c r="Q4516" i="8"/>
  <c r="R4515" i="8"/>
  <c r="Q4515" i="8"/>
  <c r="Q4514" i="8"/>
  <c r="R4514" i="8" s="1"/>
  <c r="Q4513" i="8"/>
  <c r="R4513" i="8" s="1"/>
  <c r="Q4512" i="8"/>
  <c r="R4512" i="8" s="1"/>
  <c r="Q4511" i="8"/>
  <c r="R4511" i="8" s="1"/>
  <c r="Q4510" i="8"/>
  <c r="R4510" i="8" s="1"/>
  <c r="Q4509" i="8"/>
  <c r="R4509" i="8" s="1"/>
  <c r="R4508" i="8"/>
  <c r="Q4508" i="8"/>
  <c r="Q4507" i="8"/>
  <c r="R4507" i="8" s="1"/>
  <c r="Q4506" i="8"/>
  <c r="R4506" i="8" s="1"/>
  <c r="Q4505" i="8"/>
  <c r="R4505" i="8" s="1"/>
  <c r="Q4504" i="8"/>
  <c r="R4504" i="8" s="1"/>
  <c r="Q4503" i="8"/>
  <c r="R4503" i="8" s="1"/>
  <c r="Q4502" i="8"/>
  <c r="R4502" i="8" s="1"/>
  <c r="Q4501" i="8"/>
  <c r="R4501" i="8" s="1"/>
  <c r="Q4500" i="8"/>
  <c r="R4500" i="8" s="1"/>
  <c r="Q4499" i="8"/>
  <c r="R4499" i="8" s="1"/>
  <c r="R4498" i="8"/>
  <c r="Q4498" i="8"/>
  <c r="Q4497" i="8"/>
  <c r="R4497" i="8" s="1"/>
  <c r="Q4496" i="8"/>
  <c r="R4496" i="8" s="1"/>
  <c r="Q4495" i="8"/>
  <c r="R4495" i="8" s="1"/>
  <c r="Q4494" i="8"/>
  <c r="R4494" i="8" s="1"/>
  <c r="Q4493" i="8"/>
  <c r="R4493" i="8" s="1"/>
  <c r="Q4492" i="8"/>
  <c r="R4492" i="8" s="1"/>
  <c r="Q4491" i="8"/>
  <c r="R4491" i="8" s="1"/>
  <c r="Q4490" i="8"/>
  <c r="R4490" i="8" s="1"/>
  <c r="Q4489" i="8"/>
  <c r="R4489" i="8" s="1"/>
  <c r="Q4488" i="8"/>
  <c r="R4488" i="8" s="1"/>
  <c r="R4487" i="8"/>
  <c r="Q4487" i="8"/>
  <c r="Q4486" i="8"/>
  <c r="R4486" i="8" s="1"/>
  <c r="Q4485" i="8"/>
  <c r="R4485" i="8" s="1"/>
  <c r="Q4484" i="8"/>
  <c r="R4484" i="8" s="1"/>
  <c r="Q4483" i="8"/>
  <c r="R4483" i="8" s="1"/>
  <c r="Q4482" i="8"/>
  <c r="R4482" i="8" s="1"/>
  <c r="Q4481" i="8"/>
  <c r="R4481" i="8" s="1"/>
  <c r="Q4480" i="8"/>
  <c r="R4480" i="8" s="1"/>
  <c r="Q4479" i="8"/>
  <c r="R4479" i="8" s="1"/>
  <c r="Q4478" i="8"/>
  <c r="R4478" i="8" s="1"/>
  <c r="Q4477" i="8"/>
  <c r="R4477" i="8" s="1"/>
  <c r="Q4476" i="8"/>
  <c r="R4476" i="8" s="1"/>
  <c r="Q4475" i="8"/>
  <c r="R4475" i="8" s="1"/>
  <c r="Q4474" i="8"/>
  <c r="R4474" i="8" s="1"/>
  <c r="Q4473" i="8"/>
  <c r="R4473" i="8" s="1"/>
  <c r="Q4472" i="8"/>
  <c r="R4472" i="8" s="1"/>
  <c r="R4471" i="8"/>
  <c r="Q4471" i="8"/>
  <c r="Q4470" i="8"/>
  <c r="R4470" i="8" s="1"/>
  <c r="Q4469" i="8"/>
  <c r="R4469" i="8" s="1"/>
  <c r="Q4468" i="8"/>
  <c r="R4468" i="8" s="1"/>
  <c r="R4467" i="8"/>
  <c r="Q4467" i="8"/>
  <c r="Q4466" i="8"/>
  <c r="R4466" i="8" s="1"/>
  <c r="R4465" i="8"/>
  <c r="Q4465" i="8"/>
  <c r="Q4464" i="8"/>
  <c r="R4464" i="8" s="1"/>
  <c r="Q4463" i="8"/>
  <c r="R4463" i="8" s="1"/>
  <c r="Q4462" i="8"/>
  <c r="R4462" i="8" s="1"/>
  <c r="Q4461" i="8"/>
  <c r="R4461" i="8" s="1"/>
  <c r="Q4460" i="8"/>
  <c r="R4460" i="8" s="1"/>
  <c r="Q4459" i="8"/>
  <c r="R4459" i="8" s="1"/>
  <c r="Q4458" i="8"/>
  <c r="R4458" i="8" s="1"/>
  <c r="Q4457" i="8"/>
  <c r="R4457" i="8" s="1"/>
  <c r="Q4456" i="8"/>
  <c r="R4456" i="8" s="1"/>
  <c r="Q4455" i="8"/>
  <c r="R4455" i="8" s="1"/>
  <c r="Q4454" i="8"/>
  <c r="R4454" i="8" s="1"/>
  <c r="Q4453" i="8"/>
  <c r="R4453" i="8" s="1"/>
  <c r="R4452" i="8"/>
  <c r="Q4452" i="8"/>
  <c r="Q4451" i="8"/>
  <c r="R4451" i="8" s="1"/>
  <c r="Q4450" i="8"/>
  <c r="R4450" i="8" s="1"/>
  <c r="Q4449" i="8"/>
  <c r="R4449" i="8" s="1"/>
  <c r="Q4448" i="8"/>
  <c r="R4448" i="8" s="1"/>
  <c r="Q4447" i="8"/>
  <c r="R4447" i="8" s="1"/>
  <c r="Q4446" i="8"/>
  <c r="R4446" i="8" s="1"/>
  <c r="Q4445" i="8"/>
  <c r="R4445" i="8" s="1"/>
  <c r="Q4444" i="8"/>
  <c r="R4444" i="8" s="1"/>
  <c r="R4443" i="8"/>
  <c r="Q4443" i="8"/>
  <c r="Q4442" i="8"/>
  <c r="R4442" i="8" s="1"/>
  <c r="R4441" i="8"/>
  <c r="Q4441" i="8"/>
  <c r="Q4440" i="8"/>
  <c r="R4440" i="8" s="1"/>
  <c r="R4439" i="8"/>
  <c r="Q4439" i="8"/>
  <c r="Q4438" i="8"/>
  <c r="R4438" i="8" s="1"/>
  <c r="Q4437" i="8"/>
  <c r="R4437" i="8" s="1"/>
  <c r="Q4436" i="8"/>
  <c r="R4436" i="8" s="1"/>
  <c r="R4435" i="8"/>
  <c r="Q4435" i="8"/>
  <c r="Q4434" i="8"/>
  <c r="R4434" i="8" s="1"/>
  <c r="Q4433" i="8"/>
  <c r="R4433" i="8" s="1"/>
  <c r="Q4432" i="8"/>
  <c r="R4432" i="8" s="1"/>
  <c r="Q4431" i="8"/>
  <c r="R4431" i="8" s="1"/>
  <c r="Q4430" i="8"/>
  <c r="R4430" i="8" s="1"/>
  <c r="Q4429" i="8"/>
  <c r="R4429" i="8" s="1"/>
  <c r="Q4428" i="8"/>
  <c r="R4428" i="8" s="1"/>
  <c r="Q4427" i="8"/>
  <c r="R4427" i="8" s="1"/>
  <c r="Q4426" i="8"/>
  <c r="R4426" i="8" s="1"/>
  <c r="R4425" i="8"/>
  <c r="Q4425" i="8"/>
  <c r="Q4424" i="8"/>
  <c r="R4424" i="8" s="1"/>
  <c r="R4423" i="8"/>
  <c r="Q4423" i="8"/>
  <c r="Q4422" i="8"/>
  <c r="R4422" i="8" s="1"/>
  <c r="Q4421" i="8"/>
  <c r="R4421" i="8" s="1"/>
  <c r="Q4420" i="8"/>
  <c r="R4420" i="8" s="1"/>
  <c r="Q4419" i="8"/>
  <c r="R4419" i="8" s="1"/>
  <c r="Q4418" i="8"/>
  <c r="R4418" i="8" s="1"/>
  <c r="R4417" i="8"/>
  <c r="Q4417" i="8"/>
  <c r="Q4416" i="8"/>
  <c r="R4416" i="8" s="1"/>
  <c r="R4415" i="8"/>
  <c r="Q4415" i="8"/>
  <c r="Q4414" i="8"/>
  <c r="R4414" i="8" s="1"/>
  <c r="Q4413" i="8"/>
  <c r="R4413" i="8" s="1"/>
  <c r="Q4412" i="8"/>
  <c r="R4412" i="8" s="1"/>
  <c r="R4411" i="8"/>
  <c r="Q4411" i="8"/>
  <c r="R4410" i="8"/>
  <c r="Q4410" i="8"/>
  <c r="Q4409" i="8"/>
  <c r="R4409" i="8" s="1"/>
  <c r="Q4408" i="8"/>
  <c r="R4408" i="8" s="1"/>
  <c r="Q4407" i="8"/>
  <c r="R4407" i="8" s="1"/>
  <c r="Q4406" i="8"/>
  <c r="R4406" i="8" s="1"/>
  <c r="Q4405" i="8"/>
  <c r="R4405" i="8" s="1"/>
  <c r="Q4404" i="8"/>
  <c r="R4404" i="8" s="1"/>
  <c r="R4403" i="8"/>
  <c r="Q4403" i="8"/>
  <c r="Q4402" i="8"/>
  <c r="R4402" i="8" s="1"/>
  <c r="Q4401" i="8"/>
  <c r="R4401" i="8" s="1"/>
  <c r="Q4400" i="8"/>
  <c r="R4400" i="8" s="1"/>
  <c r="Q4399" i="8"/>
  <c r="R4399" i="8" s="1"/>
  <c r="Q4398" i="8"/>
  <c r="R4398" i="8" s="1"/>
  <c r="Q4397" i="8"/>
  <c r="R4397" i="8" s="1"/>
  <c r="Q4396" i="8"/>
  <c r="R4396" i="8" s="1"/>
  <c r="Q4395" i="8"/>
  <c r="R4395" i="8" s="1"/>
  <c r="Q4394" i="8"/>
  <c r="R4394" i="8" s="1"/>
  <c r="Q4393" i="8"/>
  <c r="R4393" i="8" s="1"/>
  <c r="Q4392" i="8"/>
  <c r="R4392" i="8" s="1"/>
  <c r="Q4391" i="8"/>
  <c r="R4391" i="8" s="1"/>
  <c r="Q4390" i="8"/>
  <c r="R4390" i="8" s="1"/>
  <c r="Q4389" i="8"/>
  <c r="R4389" i="8" s="1"/>
  <c r="Q4388" i="8"/>
  <c r="R4388" i="8" s="1"/>
  <c r="Q4387" i="8"/>
  <c r="R4387" i="8" s="1"/>
  <c r="R4386" i="8"/>
  <c r="Q4386" i="8"/>
  <c r="Q4385" i="8"/>
  <c r="R4385" i="8" s="1"/>
  <c r="Q4384" i="8"/>
  <c r="R4384" i="8" s="1"/>
  <c r="Q4383" i="8"/>
  <c r="R4383" i="8" s="1"/>
  <c r="Q4382" i="8"/>
  <c r="R4382" i="8" s="1"/>
  <c r="R4381" i="8"/>
  <c r="Q4381" i="8"/>
  <c r="Q4380" i="8"/>
  <c r="R4380" i="8" s="1"/>
  <c r="Q4379" i="8"/>
  <c r="R4379" i="8" s="1"/>
  <c r="Q4378" i="8"/>
  <c r="R4378" i="8" s="1"/>
  <c r="Q4377" i="8"/>
  <c r="R4377" i="8" s="1"/>
  <c r="Q4376" i="8"/>
  <c r="R4376" i="8" s="1"/>
  <c r="R4375" i="8"/>
  <c r="Q4375" i="8"/>
  <c r="Q4374" i="8"/>
  <c r="R4374" i="8" s="1"/>
  <c r="Q4373" i="8"/>
  <c r="R4373" i="8" s="1"/>
  <c r="Q4372" i="8"/>
  <c r="R4372" i="8" s="1"/>
  <c r="R4371" i="8"/>
  <c r="Q4371" i="8"/>
  <c r="Q4370" i="8"/>
  <c r="R4370" i="8" s="1"/>
  <c r="Q4369" i="8"/>
  <c r="R4369" i="8" s="1"/>
  <c r="Q4368" i="8"/>
  <c r="R4368" i="8" s="1"/>
  <c r="Q4367" i="8"/>
  <c r="R4367" i="8" s="1"/>
  <c r="Q4366" i="8"/>
  <c r="R4366" i="8" s="1"/>
  <c r="Q4365" i="8"/>
  <c r="R4365" i="8" s="1"/>
  <c r="Q4364" i="8"/>
  <c r="R4364" i="8" s="1"/>
  <c r="Q4363" i="8"/>
  <c r="R4363" i="8" s="1"/>
  <c r="Q4362" i="8"/>
  <c r="R4362" i="8" s="1"/>
  <c r="Q4361" i="8"/>
  <c r="R4361" i="8" s="1"/>
  <c r="Q4360" i="8"/>
  <c r="R4360" i="8" s="1"/>
  <c r="R4359" i="8"/>
  <c r="Q4359" i="8"/>
  <c r="Q4358" i="8"/>
  <c r="R4358" i="8" s="1"/>
  <c r="R4357" i="8"/>
  <c r="Q4357" i="8"/>
  <c r="Q4356" i="8"/>
  <c r="R4356" i="8" s="1"/>
  <c r="R4355" i="8"/>
  <c r="Q4355" i="8"/>
  <c r="Q4354" i="8"/>
  <c r="R4354" i="8" s="1"/>
  <c r="Q4353" i="8"/>
  <c r="R4353" i="8" s="1"/>
  <c r="Q4352" i="8"/>
  <c r="R4352" i="8" s="1"/>
  <c r="Q4351" i="8"/>
  <c r="R4351" i="8" s="1"/>
  <c r="Q4350" i="8"/>
  <c r="R4350" i="8" s="1"/>
  <c r="Q4349" i="8"/>
  <c r="R4349" i="8" s="1"/>
  <c r="Q4348" i="8"/>
  <c r="R4348" i="8" s="1"/>
  <c r="Q4347" i="8"/>
  <c r="R4347" i="8" s="1"/>
  <c r="Q4346" i="8"/>
  <c r="R4346" i="8" s="1"/>
  <c r="R4345" i="8"/>
  <c r="Q4345" i="8"/>
  <c r="R4344" i="8"/>
  <c r="Q4344" i="8"/>
  <c r="Q4343" i="8"/>
  <c r="R4343" i="8" s="1"/>
  <c r="Q4342" i="8"/>
  <c r="R4342" i="8" s="1"/>
  <c r="R4341" i="8"/>
  <c r="Q4341" i="8"/>
  <c r="Q4340" i="8"/>
  <c r="R4340" i="8" s="1"/>
  <c r="Q4339" i="8"/>
  <c r="R4339" i="8" s="1"/>
  <c r="R4338" i="8"/>
  <c r="Q4338" i="8"/>
  <c r="Q4337" i="8"/>
  <c r="R4337" i="8" s="1"/>
  <c r="Q4336" i="8"/>
  <c r="R4336" i="8" s="1"/>
  <c r="Q4335" i="8"/>
  <c r="R4335" i="8" s="1"/>
  <c r="Q4334" i="8"/>
  <c r="R4334" i="8" s="1"/>
  <c r="R4333" i="8"/>
  <c r="Q4333" i="8"/>
  <c r="Q4332" i="8"/>
  <c r="R4332" i="8" s="1"/>
  <c r="Q4331" i="8"/>
  <c r="R4331" i="8" s="1"/>
  <c r="Q4330" i="8"/>
  <c r="R4330" i="8" s="1"/>
  <c r="Q4329" i="8"/>
  <c r="R4329" i="8" s="1"/>
  <c r="R4328" i="8"/>
  <c r="Q4328" i="8"/>
  <c r="Q4327" i="8"/>
  <c r="R4327" i="8" s="1"/>
  <c r="R4326" i="8"/>
  <c r="Q4326" i="8"/>
  <c r="Q4325" i="8"/>
  <c r="R4325" i="8" s="1"/>
  <c r="Q4324" i="8"/>
  <c r="R4324" i="8" s="1"/>
  <c r="Q4323" i="8"/>
  <c r="R4323" i="8" s="1"/>
  <c r="Q4322" i="8"/>
  <c r="R4322" i="8" s="1"/>
  <c r="R4321" i="8"/>
  <c r="Q4321" i="8"/>
  <c r="Q4320" i="8"/>
  <c r="R4320" i="8" s="1"/>
  <c r="Q4319" i="8"/>
  <c r="R4319" i="8" s="1"/>
  <c r="Q4318" i="8"/>
  <c r="R4318" i="8" s="1"/>
  <c r="Q4317" i="8"/>
  <c r="R4317" i="8" s="1"/>
  <c r="Q4316" i="8"/>
  <c r="R4316" i="8" s="1"/>
  <c r="Q4315" i="8"/>
  <c r="R4315" i="8" s="1"/>
  <c r="R4314" i="8"/>
  <c r="Q4314" i="8"/>
  <c r="Q4313" i="8"/>
  <c r="R4313" i="8" s="1"/>
  <c r="R4312" i="8"/>
  <c r="Q4312" i="8"/>
  <c r="Q4311" i="8"/>
  <c r="R4311" i="8" s="1"/>
  <c r="Q4310" i="8"/>
  <c r="R4310" i="8" s="1"/>
  <c r="R4309" i="8"/>
  <c r="Q4309" i="8"/>
  <c r="Q4308" i="8"/>
  <c r="R4308" i="8" s="1"/>
  <c r="R4307" i="8"/>
  <c r="Q4307" i="8"/>
  <c r="Q4306" i="8"/>
  <c r="R4306" i="8" s="1"/>
  <c r="Q4305" i="8"/>
  <c r="R4305" i="8" s="1"/>
  <c r="R4304" i="8"/>
  <c r="Q4304" i="8"/>
  <c r="Q4303" i="8"/>
  <c r="R4303" i="8" s="1"/>
  <c r="R4302" i="8"/>
  <c r="Q4302" i="8"/>
  <c r="Q4301" i="8"/>
  <c r="R4301" i="8" s="1"/>
  <c r="Q4300" i="8"/>
  <c r="R4300" i="8" s="1"/>
  <c r="Q4299" i="8"/>
  <c r="R4299" i="8" s="1"/>
  <c r="R4298" i="8"/>
  <c r="Q4298" i="8"/>
  <c r="Q4297" i="8"/>
  <c r="R4297" i="8" s="1"/>
  <c r="Q4296" i="8"/>
  <c r="R4296" i="8" s="1"/>
  <c r="R4295" i="8"/>
  <c r="Q4295" i="8"/>
  <c r="Q4294" i="8"/>
  <c r="R4294" i="8" s="1"/>
  <c r="R4293" i="8"/>
  <c r="Q4293" i="8"/>
  <c r="Q4292" i="8"/>
  <c r="R4292" i="8" s="1"/>
  <c r="Q4291" i="8"/>
  <c r="R4291" i="8" s="1"/>
  <c r="Q4290" i="8"/>
  <c r="R4290" i="8" s="1"/>
  <c r="Q4289" i="8"/>
  <c r="R4289" i="8" s="1"/>
  <c r="Q4288" i="8"/>
  <c r="R4288" i="8" s="1"/>
  <c r="R4287" i="8"/>
  <c r="Q4287" i="8"/>
  <c r="Q4286" i="8"/>
  <c r="R4286" i="8" s="1"/>
  <c r="Q4285" i="8"/>
  <c r="R4285" i="8" s="1"/>
  <c r="Q4284" i="8"/>
  <c r="R4284" i="8" s="1"/>
  <c r="Q4283" i="8"/>
  <c r="R4283" i="8" s="1"/>
  <c r="Q4282" i="8"/>
  <c r="R4282" i="8" s="1"/>
  <c r="Q4281" i="8"/>
  <c r="R4281" i="8" s="1"/>
  <c r="R4280" i="8"/>
  <c r="Q4280" i="8"/>
  <c r="Q4279" i="8"/>
  <c r="R4279" i="8" s="1"/>
  <c r="Q4278" i="8"/>
  <c r="R4278" i="8" s="1"/>
  <c r="R4277" i="8"/>
  <c r="Q4277" i="8"/>
  <c r="Q4276" i="8"/>
  <c r="R4276" i="8" s="1"/>
  <c r="Q4275" i="8"/>
  <c r="R4275" i="8" s="1"/>
  <c r="Q4274" i="8"/>
  <c r="R4274" i="8" s="1"/>
  <c r="Q4273" i="8"/>
  <c r="R4273" i="8" s="1"/>
  <c r="Q4272" i="8"/>
  <c r="R4272" i="8" s="1"/>
  <c r="Q4271" i="8"/>
  <c r="R4271" i="8" s="1"/>
  <c r="Q4270" i="8"/>
  <c r="R4270" i="8" s="1"/>
  <c r="Q4269" i="8"/>
  <c r="R4269" i="8" s="1"/>
  <c r="Q4268" i="8"/>
  <c r="R4268" i="8" s="1"/>
  <c r="R4267" i="8"/>
  <c r="Q4267" i="8"/>
  <c r="R4266" i="8"/>
  <c r="Q4266" i="8"/>
  <c r="Q4265" i="8"/>
  <c r="R4265" i="8" s="1"/>
  <c r="Q4264" i="8"/>
  <c r="R4264" i="8" s="1"/>
  <c r="Q4263" i="8"/>
  <c r="R4263" i="8" s="1"/>
  <c r="Q4262" i="8"/>
  <c r="R4262" i="8" s="1"/>
  <c r="R4261" i="8"/>
  <c r="Q4261" i="8"/>
  <c r="Q4260" i="8"/>
  <c r="R4260" i="8" s="1"/>
  <c r="Q4259" i="8"/>
  <c r="R4259" i="8" s="1"/>
  <c r="Q4258" i="8"/>
  <c r="R4258" i="8" s="1"/>
  <c r="Q4257" i="8"/>
  <c r="R4257" i="8" s="1"/>
  <c r="Q4256" i="8"/>
  <c r="R4256" i="8" s="1"/>
  <c r="Q4255" i="8"/>
  <c r="R4255" i="8" s="1"/>
  <c r="Q4254" i="8"/>
  <c r="R4254" i="8" s="1"/>
  <c r="Q4253" i="8"/>
  <c r="R4253" i="8" s="1"/>
  <c r="Q4252" i="8"/>
  <c r="R4252" i="8" s="1"/>
  <c r="R4251" i="8"/>
  <c r="Q4251" i="8"/>
  <c r="Q4250" i="8"/>
  <c r="R4250" i="8" s="1"/>
  <c r="R4249" i="8"/>
  <c r="Q4249" i="8"/>
  <c r="R4248" i="8"/>
  <c r="Q4248" i="8"/>
  <c r="Q4247" i="8"/>
  <c r="R4247" i="8" s="1"/>
  <c r="Q4246" i="8"/>
  <c r="R4246" i="8" s="1"/>
  <c r="Q4245" i="8"/>
  <c r="R4245" i="8" s="1"/>
  <c r="Q4244" i="8"/>
  <c r="R4244" i="8" s="1"/>
  <c r="Q4243" i="8"/>
  <c r="R4243" i="8" s="1"/>
  <c r="Q4242" i="8"/>
  <c r="R4242" i="8" s="1"/>
  <c r="Q4241" i="8"/>
  <c r="R4241" i="8" s="1"/>
  <c r="Q4240" i="8"/>
  <c r="R4240" i="8" s="1"/>
  <c r="Q4239" i="8"/>
  <c r="R4239" i="8" s="1"/>
  <c r="Q4238" i="8"/>
  <c r="R4238" i="8" s="1"/>
  <c r="Q4237" i="8"/>
  <c r="R4237" i="8" s="1"/>
  <c r="Q4236" i="8"/>
  <c r="R4236" i="8" s="1"/>
  <c r="R4235" i="8"/>
  <c r="Q4235" i="8"/>
  <c r="Q4234" i="8"/>
  <c r="R4234" i="8" s="1"/>
  <c r="Q4233" i="8"/>
  <c r="R4233" i="8" s="1"/>
  <c r="R4232" i="8"/>
  <c r="Q4232" i="8"/>
  <c r="Q4231" i="8"/>
  <c r="R4231" i="8" s="1"/>
  <c r="R4230" i="8"/>
  <c r="Q4230" i="8"/>
  <c r="Q4229" i="8"/>
  <c r="R4229" i="8" s="1"/>
  <c r="Q4228" i="8"/>
  <c r="R4228" i="8" s="1"/>
  <c r="R4227" i="8"/>
  <c r="Q4227" i="8"/>
  <c r="Q4226" i="8"/>
  <c r="R4226" i="8" s="1"/>
  <c r="Q4225" i="8"/>
  <c r="R4225" i="8" s="1"/>
  <c r="Q4224" i="8"/>
  <c r="R4224" i="8" s="1"/>
  <c r="Q4223" i="8"/>
  <c r="R4223" i="8" s="1"/>
  <c r="Q4222" i="8"/>
  <c r="R4222" i="8" s="1"/>
  <c r="Q4221" i="8"/>
  <c r="R4221" i="8" s="1"/>
  <c r="Q4220" i="8"/>
  <c r="R4220" i="8" s="1"/>
  <c r="Q4219" i="8"/>
  <c r="R4219" i="8" s="1"/>
  <c r="R4218" i="8"/>
  <c r="Q4218" i="8"/>
  <c r="R4217" i="8"/>
  <c r="Q4217" i="8"/>
  <c r="Q4216" i="8"/>
  <c r="R4216" i="8" s="1"/>
  <c r="R4215" i="8"/>
  <c r="Q4215" i="8"/>
  <c r="R4214" i="8"/>
  <c r="Q4214" i="8"/>
  <c r="Q4213" i="8"/>
  <c r="R4213" i="8" s="1"/>
  <c r="Q4212" i="8"/>
  <c r="R4212" i="8" s="1"/>
  <c r="Q4211" i="8"/>
  <c r="R4211" i="8" s="1"/>
  <c r="R4210" i="8"/>
  <c r="Q4210" i="8"/>
  <c r="Q4209" i="8"/>
  <c r="R4209" i="8" s="1"/>
  <c r="Q4208" i="8"/>
  <c r="R4208" i="8" s="1"/>
  <c r="Q4207" i="8"/>
  <c r="R4207" i="8" s="1"/>
  <c r="Q4206" i="8"/>
  <c r="R4206" i="8" s="1"/>
  <c r="Q4205" i="8"/>
  <c r="R4205" i="8" s="1"/>
  <c r="Q4204" i="8"/>
  <c r="R4204" i="8" s="1"/>
  <c r="Q4203" i="8"/>
  <c r="R4203" i="8" s="1"/>
  <c r="Q4202" i="8"/>
  <c r="R4202" i="8" s="1"/>
  <c r="Q4201" i="8"/>
  <c r="R4201" i="8" s="1"/>
  <c r="Q4200" i="8"/>
  <c r="R4200" i="8" s="1"/>
  <c r="Q4199" i="8"/>
  <c r="R4199" i="8" s="1"/>
  <c r="Q4198" i="8"/>
  <c r="R4198" i="8" s="1"/>
  <c r="R4197" i="8"/>
  <c r="Q4197" i="8"/>
  <c r="Q4196" i="8"/>
  <c r="R4196" i="8" s="1"/>
  <c r="Q4195" i="8"/>
  <c r="R4195" i="8" s="1"/>
  <c r="Q4194" i="8"/>
  <c r="R4194" i="8" s="1"/>
  <c r="Q4193" i="8"/>
  <c r="R4193" i="8" s="1"/>
  <c r="Q4192" i="8"/>
  <c r="R4192" i="8" s="1"/>
  <c r="Q4191" i="8"/>
  <c r="R4191" i="8" s="1"/>
  <c r="Q4190" i="8"/>
  <c r="R4190" i="8" s="1"/>
  <c r="Q4189" i="8"/>
  <c r="R4189" i="8" s="1"/>
  <c r="Q4188" i="8"/>
  <c r="R4188" i="8" s="1"/>
  <c r="Q4187" i="8"/>
  <c r="R4187" i="8" s="1"/>
  <c r="R4186" i="8"/>
  <c r="Q4186" i="8"/>
  <c r="Q4185" i="8"/>
  <c r="R4185" i="8" s="1"/>
  <c r="Q4184" i="8"/>
  <c r="R4184" i="8" s="1"/>
  <c r="R4183" i="8"/>
  <c r="Q4183" i="8"/>
  <c r="Q4182" i="8"/>
  <c r="R4182" i="8" s="1"/>
  <c r="Q4181" i="8"/>
  <c r="R4181" i="8" s="1"/>
  <c r="Q4180" i="8"/>
  <c r="R4180" i="8" s="1"/>
  <c r="R4179" i="8"/>
  <c r="Q4179" i="8"/>
  <c r="Q4178" i="8"/>
  <c r="R4178" i="8" s="1"/>
  <c r="Q4177" i="8"/>
  <c r="R4177" i="8" s="1"/>
  <c r="Q4176" i="8"/>
  <c r="R4176" i="8" s="1"/>
  <c r="Q4175" i="8"/>
  <c r="R4175" i="8" s="1"/>
  <c r="Q4174" i="8"/>
  <c r="R4174" i="8" s="1"/>
  <c r="Q4173" i="8"/>
  <c r="R4173" i="8" s="1"/>
  <c r="Q4172" i="8"/>
  <c r="R4172" i="8" s="1"/>
  <c r="R4171" i="8"/>
  <c r="Q4171" i="8"/>
  <c r="Q4170" i="8"/>
  <c r="R4170" i="8" s="1"/>
  <c r="R4169" i="8"/>
  <c r="Q4169" i="8"/>
  <c r="Q4168" i="8"/>
  <c r="R4168" i="8" s="1"/>
  <c r="Q4167" i="8"/>
  <c r="R4167" i="8" s="1"/>
  <c r="Q4166" i="8"/>
  <c r="R4166" i="8" s="1"/>
  <c r="Q4165" i="8"/>
  <c r="R4165" i="8" s="1"/>
  <c r="Q4164" i="8"/>
  <c r="R4164" i="8" s="1"/>
  <c r="Q4163" i="8"/>
  <c r="R4163" i="8" s="1"/>
  <c r="R4162" i="8"/>
  <c r="Q4162" i="8"/>
  <c r="Q4161" i="8"/>
  <c r="R4161" i="8" s="1"/>
  <c r="Q4160" i="8"/>
  <c r="R4160" i="8" s="1"/>
  <c r="R4159" i="8"/>
  <c r="Q4159" i="8"/>
  <c r="Q4158" i="8"/>
  <c r="R4158" i="8" s="1"/>
  <c r="Q4157" i="8"/>
  <c r="R4157" i="8" s="1"/>
  <c r="Q4156" i="8"/>
  <c r="R4156" i="8" s="1"/>
  <c r="Q4155" i="8"/>
  <c r="R4155" i="8" s="1"/>
  <c r="Q4154" i="8"/>
  <c r="R4154" i="8" s="1"/>
  <c r="R4153" i="8"/>
  <c r="Q4153" i="8"/>
  <c r="R4152" i="8"/>
  <c r="Q4152" i="8"/>
  <c r="Q4151" i="8"/>
  <c r="R4151" i="8" s="1"/>
  <c r="Q4150" i="8"/>
  <c r="R4150" i="8" s="1"/>
  <c r="R4149" i="8"/>
  <c r="Q4149" i="8"/>
  <c r="Q4148" i="8"/>
  <c r="R4148" i="8" s="1"/>
  <c r="Q4147" i="8"/>
  <c r="R4147" i="8" s="1"/>
  <c r="Q4146" i="8"/>
  <c r="R4146" i="8" s="1"/>
  <c r="Q4145" i="8"/>
  <c r="R4145" i="8" s="1"/>
  <c r="Q4144" i="8"/>
  <c r="R4144" i="8" s="1"/>
  <c r="Q4143" i="8"/>
  <c r="R4143" i="8" s="1"/>
  <c r="Q4142" i="8"/>
  <c r="R4142" i="8" s="1"/>
  <c r="Q4141" i="8"/>
  <c r="R4141" i="8" s="1"/>
  <c r="Q4140" i="8"/>
  <c r="R4140" i="8" s="1"/>
  <c r="R4139" i="8"/>
  <c r="Q4139" i="8"/>
  <c r="Q4138" i="8"/>
  <c r="R4138" i="8" s="1"/>
  <c r="R4137" i="8"/>
  <c r="Q4137" i="8"/>
  <c r="Q4136" i="8"/>
  <c r="R4136" i="8" s="1"/>
  <c r="Q4135" i="8"/>
  <c r="R4135" i="8" s="1"/>
  <c r="Q4134" i="8"/>
  <c r="R4134" i="8" s="1"/>
  <c r="Q4133" i="8"/>
  <c r="R4133" i="8" s="1"/>
  <c r="Q4132" i="8"/>
  <c r="R4132" i="8" s="1"/>
  <c r="Q4131" i="8"/>
  <c r="R4131" i="8" s="1"/>
  <c r="Q4130" i="8"/>
  <c r="R4130" i="8" s="1"/>
  <c r="Q4129" i="8"/>
  <c r="R4129" i="8" s="1"/>
  <c r="Q4128" i="8"/>
  <c r="R4128" i="8" s="1"/>
  <c r="Q4127" i="8"/>
  <c r="R4127" i="8" s="1"/>
  <c r="Q4126" i="8"/>
  <c r="R4126" i="8" s="1"/>
  <c r="Q4125" i="8"/>
  <c r="R4125" i="8" s="1"/>
  <c r="Q4124" i="8"/>
  <c r="R4124" i="8" s="1"/>
  <c r="R4123" i="8"/>
  <c r="Q4123" i="8"/>
  <c r="R4122" i="8"/>
  <c r="Q4122" i="8"/>
  <c r="Q4121" i="8"/>
  <c r="R4121" i="8" s="1"/>
  <c r="Q4120" i="8"/>
  <c r="R4120" i="8" s="1"/>
  <c r="R4119" i="8"/>
  <c r="Q4119" i="8"/>
  <c r="Q4118" i="8"/>
  <c r="R4118" i="8" s="1"/>
  <c r="Q4117" i="8"/>
  <c r="R4117" i="8" s="1"/>
  <c r="Q4116" i="8"/>
  <c r="R4116" i="8" s="1"/>
  <c r="Q4115" i="8"/>
  <c r="R4115" i="8" s="1"/>
  <c r="Q4114" i="8"/>
  <c r="R4114" i="8" s="1"/>
  <c r="Q4113" i="8"/>
  <c r="R4113" i="8" s="1"/>
  <c r="R4112" i="8"/>
  <c r="Q4112" i="8"/>
  <c r="Q4111" i="8"/>
  <c r="R4111" i="8" s="1"/>
  <c r="Q4110" i="8"/>
  <c r="R4110" i="8" s="1"/>
  <c r="Q4109" i="8"/>
  <c r="R4109" i="8" s="1"/>
  <c r="Q4108" i="8"/>
  <c r="R4108" i="8" s="1"/>
  <c r="R4107" i="8"/>
  <c r="Q4107" i="8"/>
  <c r="Q4106" i="8"/>
  <c r="R4106" i="8" s="1"/>
  <c r="R4105" i="8"/>
  <c r="Q4105" i="8"/>
  <c r="Q4104" i="8"/>
  <c r="R4104" i="8" s="1"/>
  <c r="R4103" i="8"/>
  <c r="Q4103" i="8"/>
  <c r="R4102" i="8"/>
  <c r="Q4102" i="8"/>
  <c r="R4101" i="8"/>
  <c r="Q4101" i="8"/>
  <c r="Q4100" i="8"/>
  <c r="R4100" i="8" s="1"/>
  <c r="R4099" i="8"/>
  <c r="Q4099" i="8"/>
  <c r="Q4098" i="8"/>
  <c r="R4098" i="8" s="1"/>
  <c r="Q4097" i="8"/>
  <c r="R4097" i="8" s="1"/>
  <c r="Q4096" i="8"/>
  <c r="R4096" i="8" s="1"/>
  <c r="Q4095" i="8"/>
  <c r="R4095" i="8" s="1"/>
  <c r="R4094" i="8"/>
  <c r="Q4094" i="8"/>
  <c r="Q4093" i="8"/>
  <c r="R4093" i="8" s="1"/>
  <c r="Q4092" i="8"/>
  <c r="R4092" i="8" s="1"/>
  <c r="Q4091" i="8"/>
  <c r="R4091" i="8" s="1"/>
  <c r="R4090" i="8"/>
  <c r="Q4090" i="8"/>
  <c r="R4089" i="8"/>
  <c r="Q4089" i="8"/>
  <c r="Q4088" i="8"/>
  <c r="R4088" i="8" s="1"/>
  <c r="Q4087" i="8"/>
  <c r="R4087" i="8" s="1"/>
  <c r="R4086" i="8"/>
  <c r="Q4086" i="8"/>
  <c r="R4085" i="8"/>
  <c r="Q4085" i="8"/>
  <c r="Q4084" i="8"/>
  <c r="R4084" i="8" s="1"/>
  <c r="Q4083" i="8"/>
  <c r="R4083" i="8" s="1"/>
  <c r="R4082" i="8"/>
  <c r="Q4082" i="8"/>
  <c r="Q4081" i="8"/>
  <c r="R4081" i="8" s="1"/>
  <c r="Q4080" i="8"/>
  <c r="R4080" i="8" s="1"/>
  <c r="Q4079" i="8"/>
  <c r="R4079" i="8" s="1"/>
  <c r="Q4078" i="8"/>
  <c r="R4078" i="8" s="1"/>
  <c r="Q4077" i="8"/>
  <c r="R4077" i="8" s="1"/>
  <c r="Q4076" i="8"/>
  <c r="R4076" i="8" s="1"/>
  <c r="R4075" i="8"/>
  <c r="Q4075" i="8"/>
  <c r="Q4074" i="8"/>
  <c r="R4074" i="8" s="1"/>
  <c r="Q4073" i="8"/>
  <c r="R4073" i="8" s="1"/>
  <c r="R4072" i="8"/>
  <c r="Q4072" i="8"/>
  <c r="Q4071" i="8"/>
  <c r="R4071" i="8" s="1"/>
  <c r="Q4070" i="8"/>
  <c r="R4070" i="8" s="1"/>
  <c r="Q4069" i="8"/>
  <c r="R4069" i="8" s="1"/>
  <c r="Q4068" i="8"/>
  <c r="R4068" i="8" s="1"/>
  <c r="Q4067" i="8"/>
  <c r="R4067" i="8" s="1"/>
  <c r="Q4066" i="8"/>
  <c r="R4066" i="8" s="1"/>
  <c r="R4065" i="8"/>
  <c r="Q4065" i="8"/>
  <c r="Q4064" i="8"/>
  <c r="R4064" i="8" s="1"/>
  <c r="Q4063" i="8"/>
  <c r="R4063" i="8" s="1"/>
  <c r="Q4062" i="8"/>
  <c r="R4062" i="8" s="1"/>
  <c r="Q4061" i="8"/>
  <c r="R4061" i="8" s="1"/>
  <c r="Q4060" i="8"/>
  <c r="R4060" i="8" s="1"/>
  <c r="R4059" i="8"/>
  <c r="Q4059" i="8"/>
  <c r="R4058" i="8"/>
  <c r="Q4058" i="8"/>
  <c r="Q4057" i="8"/>
  <c r="R4057" i="8" s="1"/>
  <c r="R4056" i="8"/>
  <c r="Q4056" i="8"/>
  <c r="R4055" i="8"/>
  <c r="Q4055" i="8"/>
  <c r="Q4054" i="8"/>
  <c r="R4054" i="8" s="1"/>
  <c r="Q4053" i="8"/>
  <c r="R4053" i="8" s="1"/>
  <c r="Q4052" i="8"/>
  <c r="R4052" i="8" s="1"/>
  <c r="R4051" i="8"/>
  <c r="Q4051" i="8"/>
  <c r="Q4050" i="8"/>
  <c r="R4050" i="8" s="1"/>
  <c r="Q4049" i="8"/>
  <c r="R4049" i="8" s="1"/>
  <c r="R4048" i="8"/>
  <c r="Q4048" i="8"/>
  <c r="Q4047" i="8"/>
  <c r="R4047" i="8" s="1"/>
  <c r="Q4046" i="8"/>
  <c r="R4046" i="8" s="1"/>
  <c r="Q4045" i="8"/>
  <c r="R4045" i="8" s="1"/>
  <c r="Q4044" i="8"/>
  <c r="R4044" i="8" s="1"/>
  <c r="Q4043" i="8"/>
  <c r="R4043" i="8" s="1"/>
  <c r="Q4042" i="8"/>
  <c r="R4042" i="8" s="1"/>
  <c r="R4041" i="8"/>
  <c r="Q4041" i="8"/>
  <c r="Q4040" i="8"/>
  <c r="R4040" i="8" s="1"/>
  <c r="R4039" i="8"/>
  <c r="Q4039" i="8"/>
  <c r="R4038" i="8"/>
  <c r="Q4038" i="8"/>
  <c r="R4037" i="8"/>
  <c r="Q4037" i="8"/>
  <c r="Q4036" i="8"/>
  <c r="R4036" i="8" s="1"/>
  <c r="Q4035" i="8"/>
  <c r="R4035" i="8" s="1"/>
  <c r="Q4034" i="8"/>
  <c r="R4034" i="8" s="1"/>
  <c r="Q4033" i="8"/>
  <c r="R4033" i="8" s="1"/>
  <c r="Q4032" i="8"/>
  <c r="R4032" i="8" s="1"/>
  <c r="Q4031" i="8"/>
  <c r="R4031" i="8" s="1"/>
  <c r="Q4030" i="8"/>
  <c r="R4030" i="8" s="1"/>
  <c r="Q4029" i="8"/>
  <c r="R4029" i="8" s="1"/>
  <c r="Q4028" i="8"/>
  <c r="R4028" i="8" s="1"/>
  <c r="Q4027" i="8"/>
  <c r="R4027" i="8" s="1"/>
  <c r="Q4026" i="8"/>
  <c r="R4026" i="8" s="1"/>
  <c r="R4025" i="8"/>
  <c r="Q4025" i="8"/>
  <c r="Q4024" i="8"/>
  <c r="R4024" i="8" s="1"/>
  <c r="Q4023" i="8"/>
  <c r="R4023" i="8" s="1"/>
  <c r="Q4022" i="8"/>
  <c r="R4022" i="8" s="1"/>
  <c r="Q4021" i="8"/>
  <c r="R4021" i="8" s="1"/>
  <c r="Q4020" i="8"/>
  <c r="R4020" i="8" s="1"/>
  <c r="Q4019" i="8"/>
  <c r="R4019" i="8" s="1"/>
  <c r="Q4018" i="8"/>
  <c r="R4018" i="8" s="1"/>
  <c r="R4017" i="8"/>
  <c r="Q4017" i="8"/>
  <c r="Q4016" i="8"/>
  <c r="R4016" i="8" s="1"/>
  <c r="Q4015" i="8"/>
  <c r="R4015" i="8" s="1"/>
  <c r="Q4014" i="8"/>
  <c r="R4014" i="8" s="1"/>
  <c r="Q4013" i="8"/>
  <c r="R4013" i="8" s="1"/>
  <c r="Q4012" i="8"/>
  <c r="R4012" i="8" s="1"/>
  <c r="R4011" i="8"/>
  <c r="Q4011" i="8"/>
  <c r="Q4010" i="8"/>
  <c r="R4010" i="8" s="1"/>
  <c r="R4009" i="8"/>
  <c r="Q4009" i="8"/>
  <c r="R4008" i="8"/>
  <c r="Q4008" i="8"/>
  <c r="Q4007" i="8"/>
  <c r="R4007" i="8" s="1"/>
  <c r="Q4006" i="8"/>
  <c r="R4006" i="8" s="1"/>
  <c r="R4005" i="8"/>
  <c r="Q4005" i="8"/>
  <c r="Q4004" i="8"/>
  <c r="R4004" i="8" s="1"/>
  <c r="Q4003" i="8"/>
  <c r="R4003" i="8" s="1"/>
  <c r="Q4002" i="8"/>
  <c r="R4002" i="8" s="1"/>
  <c r="Q4001" i="8"/>
  <c r="R4001" i="8" s="1"/>
  <c r="Q4000" i="8"/>
  <c r="R4000" i="8" s="1"/>
  <c r="Q3999" i="8"/>
  <c r="R3999" i="8" s="1"/>
  <c r="Q3998" i="8"/>
  <c r="R3998" i="8" s="1"/>
  <c r="Q3997" i="8"/>
  <c r="R3997" i="8" s="1"/>
  <c r="Q3996" i="8"/>
  <c r="R3996" i="8" s="1"/>
  <c r="R3995" i="8"/>
  <c r="Q3995" i="8"/>
  <c r="Q3994" i="8"/>
  <c r="R3994" i="8" s="1"/>
  <c r="Q3993" i="8"/>
  <c r="R3993" i="8" s="1"/>
  <c r="Q3992" i="8"/>
  <c r="R3992" i="8" s="1"/>
  <c r="Q3991" i="8"/>
  <c r="R3991" i="8" s="1"/>
  <c r="R3990" i="8"/>
  <c r="Q3990" i="8"/>
  <c r="Q3989" i="8"/>
  <c r="R3989" i="8" s="1"/>
  <c r="Q3988" i="8"/>
  <c r="R3988" i="8" s="1"/>
  <c r="Q3987" i="8"/>
  <c r="R3987" i="8" s="1"/>
  <c r="Q3986" i="8"/>
  <c r="R3986" i="8" s="1"/>
  <c r="Q3985" i="8"/>
  <c r="R3985" i="8" s="1"/>
  <c r="Q3984" i="8"/>
  <c r="R3984" i="8" s="1"/>
  <c r="Q3983" i="8"/>
  <c r="R3983" i="8" s="1"/>
  <c r="Q3982" i="8"/>
  <c r="R3982" i="8" s="1"/>
  <c r="Q3981" i="8"/>
  <c r="R3981" i="8" s="1"/>
  <c r="Q3980" i="8"/>
  <c r="R3980" i="8" s="1"/>
  <c r="R3979" i="8"/>
  <c r="Q3979" i="8"/>
  <c r="Q3978" i="8"/>
  <c r="R3978" i="8" s="1"/>
  <c r="R3977" i="8"/>
  <c r="Q3977" i="8"/>
  <c r="R3976" i="8"/>
  <c r="Q3976" i="8"/>
  <c r="Q3975" i="8"/>
  <c r="R3975" i="8" s="1"/>
  <c r="R3974" i="8"/>
  <c r="Q3974" i="8"/>
  <c r="R3973" i="8"/>
  <c r="Q3973" i="8"/>
  <c r="Q3972" i="8"/>
  <c r="R3972" i="8" s="1"/>
  <c r="Q3971" i="8"/>
  <c r="R3971" i="8" s="1"/>
  <c r="Q3970" i="8"/>
  <c r="R3970" i="8" s="1"/>
  <c r="Q3969" i="8"/>
  <c r="R3969" i="8" s="1"/>
  <c r="Q3968" i="8"/>
  <c r="R3968" i="8" s="1"/>
  <c r="Q3967" i="8"/>
  <c r="R3967" i="8" s="1"/>
  <c r="Q3966" i="8"/>
  <c r="R3966" i="8" s="1"/>
  <c r="Q3965" i="8"/>
  <c r="R3965" i="8" s="1"/>
  <c r="Q3964" i="8"/>
  <c r="R3964" i="8" s="1"/>
  <c r="Q3963" i="8"/>
  <c r="R3963" i="8" s="1"/>
  <c r="R3962" i="8"/>
  <c r="Q3962" i="8"/>
  <c r="R3961" i="8"/>
  <c r="Q3961" i="8"/>
  <c r="R3960" i="8"/>
  <c r="Q3960" i="8"/>
  <c r="Q3959" i="8"/>
  <c r="R3959" i="8" s="1"/>
  <c r="R3958" i="8"/>
  <c r="Q3958" i="8"/>
  <c r="R3957" i="8"/>
  <c r="Q3957" i="8"/>
  <c r="Q3956" i="8"/>
  <c r="R3956" i="8" s="1"/>
  <c r="Q3955" i="8"/>
  <c r="R3955" i="8" s="1"/>
  <c r="R3954" i="8"/>
  <c r="Q3954" i="8"/>
  <c r="Q3953" i="8"/>
  <c r="R3953" i="8" s="1"/>
  <c r="Q3952" i="8"/>
  <c r="R3952" i="8" s="1"/>
  <c r="Q3951" i="8"/>
  <c r="R3951" i="8" s="1"/>
  <c r="Q3950" i="8"/>
  <c r="R3950" i="8" s="1"/>
  <c r="Q3949" i="8"/>
  <c r="R3949" i="8" s="1"/>
  <c r="Q3948" i="8"/>
  <c r="R3948" i="8" s="1"/>
  <c r="Q3947" i="8"/>
  <c r="R3947" i="8" s="1"/>
  <c r="Q3946" i="8"/>
  <c r="R3946" i="8" s="1"/>
  <c r="R3945" i="8"/>
  <c r="Q3945" i="8"/>
  <c r="Q3944" i="8"/>
  <c r="R3944" i="8" s="1"/>
  <c r="R3943" i="8"/>
  <c r="Q3943" i="8"/>
  <c r="Q3942" i="8"/>
  <c r="R3942" i="8" s="1"/>
  <c r="Q3941" i="8"/>
  <c r="R3941" i="8" s="1"/>
  <c r="Q3940" i="8"/>
  <c r="R3940" i="8" s="1"/>
  <c r="Q3939" i="8"/>
  <c r="R3939" i="8" s="1"/>
  <c r="Q3938" i="8"/>
  <c r="R3938" i="8" s="1"/>
  <c r="R3937" i="8"/>
  <c r="Q3937" i="8"/>
  <c r="Q3936" i="8"/>
  <c r="R3936" i="8" s="1"/>
  <c r="Q3935" i="8"/>
  <c r="R3935" i="8" s="1"/>
  <c r="Q3934" i="8"/>
  <c r="R3934" i="8" s="1"/>
  <c r="Q3933" i="8"/>
  <c r="R3933" i="8" s="1"/>
  <c r="Q3932" i="8"/>
  <c r="R3932" i="8" s="1"/>
  <c r="Q3931" i="8"/>
  <c r="R3931" i="8" s="1"/>
  <c r="R3930" i="8"/>
  <c r="Q3930" i="8"/>
  <c r="Q3929" i="8"/>
  <c r="R3929" i="8" s="1"/>
  <c r="R3928" i="8"/>
  <c r="Q3928" i="8"/>
  <c r="R3927" i="8"/>
  <c r="Q3927" i="8"/>
  <c r="R3926" i="8"/>
  <c r="Q3926" i="8"/>
  <c r="Q3925" i="8"/>
  <c r="R3925" i="8" s="1"/>
  <c r="Q3924" i="8"/>
  <c r="R3924" i="8" s="1"/>
  <c r="Q3923" i="8"/>
  <c r="R3923" i="8" s="1"/>
  <c r="Q3922" i="8"/>
  <c r="R3922" i="8" s="1"/>
  <c r="Q3921" i="8"/>
  <c r="R3921" i="8" s="1"/>
  <c r="R3920" i="8"/>
  <c r="Q3920" i="8"/>
  <c r="Q3919" i="8"/>
  <c r="R3919" i="8" s="1"/>
  <c r="Q3918" i="8"/>
  <c r="R3918" i="8" s="1"/>
  <c r="Q3917" i="8"/>
  <c r="R3917" i="8" s="1"/>
  <c r="Q3916" i="8"/>
  <c r="R3916" i="8" s="1"/>
  <c r="R3915" i="8"/>
  <c r="Q3915" i="8"/>
  <c r="R3914" i="8"/>
  <c r="Q3914" i="8"/>
  <c r="Q3913" i="8"/>
  <c r="R3913" i="8" s="1"/>
  <c r="Q3912" i="8"/>
  <c r="R3912" i="8" s="1"/>
  <c r="R3911" i="8"/>
  <c r="Q3911" i="8"/>
  <c r="Q3910" i="8"/>
  <c r="R3910" i="8" s="1"/>
  <c r="R3909" i="8"/>
  <c r="Q3909" i="8"/>
  <c r="Q3908" i="8"/>
  <c r="R3908" i="8" s="1"/>
  <c r="Q3907" i="8"/>
  <c r="R3907" i="8" s="1"/>
  <c r="R3906" i="8"/>
  <c r="Q3906" i="8"/>
  <c r="Q3905" i="8"/>
  <c r="R3905" i="8" s="1"/>
  <c r="Q3904" i="8"/>
  <c r="R3904" i="8" s="1"/>
  <c r="R3903" i="8"/>
  <c r="Q3903" i="8"/>
  <c r="Q3902" i="8"/>
  <c r="R3902" i="8" s="1"/>
  <c r="Q3901" i="8"/>
  <c r="R3901" i="8" s="1"/>
  <c r="Q3900" i="8"/>
  <c r="R3900" i="8" s="1"/>
  <c r="Q3899" i="8"/>
  <c r="R3899" i="8" s="1"/>
  <c r="Q3898" i="8"/>
  <c r="R3898" i="8" s="1"/>
  <c r="R3897" i="8"/>
  <c r="Q3897" i="8"/>
  <c r="Q3896" i="8"/>
  <c r="R3896" i="8" s="1"/>
  <c r="Q3895" i="8"/>
  <c r="R3895" i="8" s="1"/>
  <c r="R3894" i="8"/>
  <c r="Q3894" i="8"/>
  <c r="Q3893" i="8"/>
  <c r="R3893" i="8" s="1"/>
  <c r="Q3892" i="8"/>
  <c r="R3892" i="8" s="1"/>
  <c r="Q3891" i="8"/>
  <c r="R3891" i="8" s="1"/>
  <c r="Q3890" i="8"/>
  <c r="R3890" i="8" s="1"/>
  <c r="R3889" i="8"/>
  <c r="Q3889" i="8"/>
  <c r="Q3888" i="8"/>
  <c r="R3888" i="8" s="1"/>
  <c r="Q3887" i="8"/>
  <c r="R3887" i="8" s="1"/>
  <c r="Q3886" i="8"/>
  <c r="R3886" i="8" s="1"/>
  <c r="Q3885" i="8"/>
  <c r="R3885" i="8" s="1"/>
  <c r="Q3884" i="8"/>
  <c r="R3884" i="8" s="1"/>
  <c r="R3883" i="8"/>
  <c r="Q3883" i="8"/>
  <c r="R3882" i="8"/>
  <c r="Q3882" i="8"/>
  <c r="Q3881" i="8"/>
  <c r="R3881" i="8" s="1"/>
  <c r="R3880" i="8"/>
  <c r="Q3880" i="8"/>
  <c r="Q3879" i="8"/>
  <c r="R3879" i="8" s="1"/>
  <c r="Q3878" i="8"/>
  <c r="R3878" i="8" s="1"/>
  <c r="Q3877" i="8"/>
  <c r="R3877" i="8" s="1"/>
  <c r="Q3876" i="8"/>
  <c r="R3876" i="8" s="1"/>
  <c r="Q3875" i="8"/>
  <c r="R3875" i="8" s="1"/>
  <c r="Q3874" i="8"/>
  <c r="R3874" i="8" s="1"/>
  <c r="R3873" i="8"/>
  <c r="Q3873" i="8"/>
  <c r="Q3872" i="8"/>
  <c r="R3872" i="8" s="1"/>
  <c r="Q3871" i="8"/>
  <c r="R3871" i="8" s="1"/>
  <c r="Q3870" i="8"/>
  <c r="R3870" i="8" s="1"/>
  <c r="Q3869" i="8"/>
  <c r="R3869" i="8" s="1"/>
  <c r="Q3868" i="8"/>
  <c r="R3868" i="8" s="1"/>
  <c r="R3867" i="8"/>
  <c r="Q3867" i="8"/>
  <c r="R3866" i="8"/>
  <c r="Q3866" i="8"/>
  <c r="R3865" i="8"/>
  <c r="Q3865" i="8"/>
  <c r="Q3864" i="8"/>
  <c r="R3864" i="8" s="1"/>
  <c r="Q3863" i="8"/>
  <c r="R3863" i="8" s="1"/>
  <c r="R3862" i="8"/>
  <c r="Q3862" i="8"/>
  <c r="Q3861" i="8"/>
  <c r="R3861" i="8" s="1"/>
  <c r="Q3860" i="8"/>
  <c r="R3860" i="8" s="1"/>
  <c r="Q3859" i="8"/>
  <c r="R3859" i="8" s="1"/>
  <c r="Q3858" i="8"/>
  <c r="R3858" i="8" s="1"/>
  <c r="Q3857" i="8"/>
  <c r="R3857" i="8" s="1"/>
  <c r="R3856" i="8"/>
  <c r="Q3856" i="8"/>
  <c r="Q3855" i="8"/>
  <c r="R3855" i="8" s="1"/>
  <c r="Q3854" i="8"/>
  <c r="R3854" i="8" s="1"/>
  <c r="Q3853" i="8"/>
  <c r="R3853" i="8" s="1"/>
  <c r="Q3852" i="8"/>
  <c r="R3852" i="8" s="1"/>
  <c r="R3851" i="8"/>
  <c r="Q3851" i="8"/>
  <c r="R3850" i="8"/>
  <c r="Q3850" i="8"/>
  <c r="Q3849" i="8"/>
  <c r="R3849" i="8" s="1"/>
  <c r="Q3848" i="8"/>
  <c r="R3848" i="8" s="1"/>
  <c r="Q3847" i="8"/>
  <c r="R3847" i="8" s="1"/>
  <c r="R3846" i="8"/>
  <c r="Q3846" i="8"/>
  <c r="Q3845" i="8"/>
  <c r="R3845" i="8" s="1"/>
  <c r="Q3844" i="8"/>
  <c r="R3844" i="8" s="1"/>
  <c r="Q3843" i="8"/>
  <c r="R3843" i="8" s="1"/>
  <c r="Q3842" i="8"/>
  <c r="R3842" i="8" s="1"/>
  <c r="Q3841" i="8"/>
  <c r="R3841" i="8" s="1"/>
  <c r="Q3840" i="8"/>
  <c r="R3840" i="8" s="1"/>
  <c r="Q3839" i="8"/>
  <c r="R3839" i="8" s="1"/>
  <c r="Q3838" i="8"/>
  <c r="R3838" i="8" s="1"/>
  <c r="Q3837" i="8"/>
  <c r="R3837" i="8" s="1"/>
  <c r="Q3836" i="8"/>
  <c r="R3836" i="8" s="1"/>
  <c r="Q3835" i="8"/>
  <c r="R3835" i="8" s="1"/>
  <c r="R3834" i="8"/>
  <c r="Q3834" i="8"/>
  <c r="Q3833" i="8"/>
  <c r="R3833" i="8" s="1"/>
  <c r="R3832" i="8"/>
  <c r="Q3832" i="8"/>
  <c r="Q3831" i="8"/>
  <c r="R3831" i="8" s="1"/>
  <c r="R3830" i="8"/>
  <c r="Q3830" i="8"/>
  <c r="Q3829" i="8"/>
  <c r="R3829" i="8" s="1"/>
  <c r="R3828" i="8"/>
  <c r="Q3828" i="8"/>
  <c r="Q3827" i="8"/>
  <c r="R3827" i="8" s="1"/>
  <c r="Q3826" i="8"/>
  <c r="R3826" i="8" s="1"/>
  <c r="R3825" i="8"/>
  <c r="Q3825" i="8"/>
  <c r="Q3824" i="8"/>
  <c r="R3824" i="8" s="1"/>
  <c r="Q3823" i="8"/>
  <c r="R3823" i="8" s="1"/>
  <c r="Q3822" i="8"/>
  <c r="R3822" i="8" s="1"/>
  <c r="Q3821" i="8"/>
  <c r="R3821" i="8" s="1"/>
  <c r="R3820" i="8"/>
  <c r="Q3820" i="8"/>
  <c r="Q3819" i="8"/>
  <c r="R3819" i="8" s="1"/>
  <c r="R3818" i="8"/>
  <c r="Q3818" i="8"/>
  <c r="Q3817" i="8"/>
  <c r="R3817" i="8" s="1"/>
  <c r="Q3816" i="8"/>
  <c r="R3816" i="8" s="1"/>
  <c r="R3815" i="8"/>
  <c r="Q3815" i="8"/>
  <c r="Q3814" i="8"/>
  <c r="R3814" i="8" s="1"/>
  <c r="R3813" i="8"/>
  <c r="Q3813" i="8"/>
  <c r="Q3812" i="8"/>
  <c r="R3812" i="8" s="1"/>
  <c r="Q3811" i="8"/>
  <c r="R3811" i="8" s="1"/>
  <c r="Q3810" i="8"/>
  <c r="R3810" i="8" s="1"/>
  <c r="R3809" i="8"/>
  <c r="Q3809" i="8"/>
  <c r="R3808" i="8"/>
  <c r="Q3808" i="8"/>
  <c r="Q3807" i="8"/>
  <c r="R3807" i="8" s="1"/>
  <c r="Q3806" i="8"/>
  <c r="R3806" i="8" s="1"/>
  <c r="Q3805" i="8"/>
  <c r="R3805" i="8" s="1"/>
  <c r="R3804" i="8"/>
  <c r="Q3804" i="8"/>
  <c r="Q3803" i="8"/>
  <c r="R3803" i="8" s="1"/>
  <c r="R3802" i="8"/>
  <c r="Q3802" i="8"/>
  <c r="R3801" i="8"/>
  <c r="Q3801" i="8"/>
  <c r="Q3800" i="8"/>
  <c r="R3800" i="8" s="1"/>
  <c r="R3799" i="8"/>
  <c r="Q3799" i="8"/>
  <c r="R3798" i="8"/>
  <c r="Q3798" i="8"/>
  <c r="R3797" i="8"/>
  <c r="Q3797" i="8"/>
  <c r="Q3796" i="8"/>
  <c r="R3796" i="8" s="1"/>
  <c r="Q3795" i="8"/>
  <c r="R3795" i="8" s="1"/>
  <c r="R3794" i="8"/>
  <c r="Q3794" i="8"/>
  <c r="Q3793" i="8"/>
  <c r="R3793" i="8" s="1"/>
  <c r="R3792" i="8"/>
  <c r="Q3792" i="8"/>
  <c r="R3791" i="8"/>
  <c r="Q3791" i="8"/>
  <c r="Q3790" i="8"/>
  <c r="R3790" i="8" s="1"/>
  <c r="R3789" i="8"/>
  <c r="Q3789" i="8"/>
  <c r="R3788" i="8"/>
  <c r="Q3788" i="8"/>
  <c r="Q3787" i="8"/>
  <c r="R3787" i="8" s="1"/>
  <c r="R3786" i="8"/>
  <c r="Q3786" i="8"/>
  <c r="R3785" i="8"/>
  <c r="Q3785" i="8"/>
  <c r="Q3784" i="8"/>
  <c r="R3784" i="8" s="1"/>
  <c r="Q3783" i="8"/>
  <c r="R3783" i="8" s="1"/>
  <c r="R3782" i="8"/>
  <c r="Q3782" i="8"/>
  <c r="R3781" i="8"/>
  <c r="Q3781" i="8"/>
  <c r="Q3780" i="8"/>
  <c r="R3780" i="8" s="1"/>
  <c r="Q3779" i="8"/>
  <c r="R3779" i="8" s="1"/>
  <c r="R3778" i="8"/>
  <c r="Q3778" i="8"/>
  <c r="Q3777" i="8"/>
  <c r="R3777" i="8" s="1"/>
  <c r="Q3776" i="8"/>
  <c r="R3776" i="8" s="1"/>
  <c r="R3775" i="8"/>
  <c r="Q3775" i="8"/>
  <c r="R3774" i="8"/>
  <c r="Q3774" i="8"/>
  <c r="R3773" i="8"/>
  <c r="Q3773" i="8"/>
  <c r="R3772" i="8"/>
  <c r="Q3772" i="8"/>
  <c r="Q3771" i="8"/>
  <c r="R3771" i="8" s="1"/>
  <c r="R3770" i="8"/>
  <c r="Q3770" i="8"/>
  <c r="R3769" i="8"/>
  <c r="Q3769" i="8"/>
  <c r="Q3768" i="8"/>
  <c r="R3768" i="8" s="1"/>
  <c r="Q3767" i="8"/>
  <c r="R3767" i="8" s="1"/>
  <c r="Q3766" i="8"/>
  <c r="R3766" i="8" s="1"/>
  <c r="Q3765" i="8"/>
  <c r="R3765" i="8" s="1"/>
  <c r="R3764" i="8"/>
  <c r="Q3764" i="8"/>
  <c r="Q3763" i="8"/>
  <c r="R3763" i="8" s="1"/>
  <c r="R3762" i="8"/>
  <c r="Q3762" i="8"/>
  <c r="R3761" i="8"/>
  <c r="Q3761" i="8"/>
  <c r="Q3760" i="8"/>
  <c r="R3760" i="8" s="1"/>
  <c r="Q3759" i="8"/>
  <c r="R3759" i="8" s="1"/>
  <c r="R3758" i="8"/>
  <c r="Q3758" i="8"/>
  <c r="R3757" i="8"/>
  <c r="Q3757" i="8"/>
  <c r="R3756" i="8"/>
  <c r="Q3756" i="8"/>
  <c r="Q3755" i="8"/>
  <c r="R3755" i="8" s="1"/>
  <c r="R3754" i="8"/>
  <c r="Q3754" i="8"/>
  <c r="Q3753" i="8"/>
  <c r="R3753" i="8" s="1"/>
  <c r="Q3752" i="8"/>
  <c r="R3752" i="8" s="1"/>
  <c r="Q3751" i="8"/>
  <c r="R3751" i="8" s="1"/>
  <c r="Q3750" i="8"/>
  <c r="R3750" i="8" s="1"/>
  <c r="R3749" i="8"/>
  <c r="Q3749" i="8"/>
  <c r="Q3748" i="8"/>
  <c r="R3748" i="8" s="1"/>
  <c r="Q3747" i="8"/>
  <c r="R3747" i="8" s="1"/>
  <c r="R3746" i="8"/>
  <c r="Q3746" i="8"/>
  <c r="Q3745" i="8"/>
  <c r="R3745" i="8" s="1"/>
  <c r="Q3744" i="8"/>
  <c r="R3744" i="8" s="1"/>
  <c r="Q3743" i="8"/>
  <c r="R3743" i="8" s="1"/>
  <c r="Q3742" i="8"/>
  <c r="R3742" i="8" s="1"/>
  <c r="R3741" i="8"/>
  <c r="Q3741" i="8"/>
  <c r="Q3740" i="8"/>
  <c r="R3740" i="8" s="1"/>
  <c r="Q3739" i="8"/>
  <c r="R3739" i="8" s="1"/>
  <c r="R3738" i="8"/>
  <c r="Q3738" i="8"/>
  <c r="Q3737" i="8"/>
  <c r="R3737" i="8" s="1"/>
  <c r="Q3736" i="8"/>
  <c r="R3736" i="8" s="1"/>
  <c r="Q3735" i="8"/>
  <c r="R3735" i="8" s="1"/>
  <c r="Q3734" i="8"/>
  <c r="R3734" i="8" s="1"/>
  <c r="R3733" i="8"/>
  <c r="Q3733" i="8"/>
  <c r="R3732" i="8"/>
  <c r="Q3732" i="8"/>
  <c r="Q3731" i="8"/>
  <c r="R3731" i="8" s="1"/>
  <c r="R3730" i="8"/>
  <c r="Q3730" i="8"/>
  <c r="Q3729" i="8"/>
  <c r="R3729" i="8" s="1"/>
  <c r="Q3728" i="8"/>
  <c r="R3728" i="8" s="1"/>
  <c r="Q3727" i="8"/>
  <c r="R3727" i="8" s="1"/>
  <c r="Q3726" i="8"/>
  <c r="R3726" i="8" s="1"/>
  <c r="Q3725" i="8"/>
  <c r="R3725" i="8" s="1"/>
  <c r="Q3724" i="8"/>
  <c r="R3724" i="8" s="1"/>
  <c r="Q3723" i="8"/>
  <c r="R3723" i="8" s="1"/>
  <c r="R3722" i="8"/>
  <c r="Q3722" i="8"/>
  <c r="R3721" i="8"/>
  <c r="Q3721" i="8"/>
  <c r="Q3720" i="8"/>
  <c r="R3720" i="8" s="1"/>
  <c r="Q3719" i="8"/>
  <c r="R3719" i="8" s="1"/>
  <c r="Q3718" i="8"/>
  <c r="R3718" i="8" s="1"/>
  <c r="Q3717" i="8"/>
  <c r="R3717" i="8" s="1"/>
  <c r="Q3716" i="8"/>
  <c r="R3716" i="8" s="1"/>
  <c r="Q3715" i="8"/>
  <c r="R3715" i="8" s="1"/>
  <c r="Q3714" i="8"/>
  <c r="R3714" i="8" s="1"/>
  <c r="Q3713" i="8"/>
  <c r="R3713" i="8" s="1"/>
  <c r="Q3712" i="8"/>
  <c r="R3712" i="8" s="1"/>
  <c r="Q3711" i="8"/>
  <c r="R3711" i="8" s="1"/>
  <c r="Q3710" i="8"/>
  <c r="R3710" i="8" s="1"/>
  <c r="Q3709" i="8"/>
  <c r="R3709" i="8" s="1"/>
  <c r="Q3708" i="8"/>
  <c r="R3708" i="8" s="1"/>
  <c r="Q3707" i="8"/>
  <c r="R3707" i="8" s="1"/>
  <c r="Q3706" i="8"/>
  <c r="R3706" i="8" s="1"/>
  <c r="R3705" i="8"/>
  <c r="Q3705" i="8"/>
  <c r="Q3704" i="8"/>
  <c r="R3704" i="8" s="1"/>
  <c r="Q3703" i="8"/>
  <c r="R3703" i="8" s="1"/>
  <c r="Q3702" i="8"/>
  <c r="R3702" i="8" s="1"/>
  <c r="R3701" i="8"/>
  <c r="Q3701" i="8"/>
  <c r="R3700" i="8"/>
  <c r="Q3700" i="8"/>
  <c r="Q3699" i="8"/>
  <c r="R3699" i="8" s="1"/>
  <c r="R3698" i="8"/>
  <c r="Q3698" i="8"/>
  <c r="Q3697" i="8"/>
  <c r="R3697" i="8" s="1"/>
  <c r="Q3696" i="8"/>
  <c r="R3696" i="8" s="1"/>
  <c r="Q3695" i="8"/>
  <c r="R3695" i="8" s="1"/>
  <c r="Q3694" i="8"/>
  <c r="R3694" i="8" s="1"/>
  <c r="Q3693" i="8"/>
  <c r="R3693" i="8" s="1"/>
  <c r="Q3692" i="8"/>
  <c r="R3692" i="8" s="1"/>
  <c r="Q3691" i="8"/>
  <c r="R3691" i="8" s="1"/>
  <c r="Q3690" i="8"/>
  <c r="R3690" i="8" s="1"/>
  <c r="Q3689" i="8"/>
  <c r="R3689" i="8" s="1"/>
  <c r="R3688" i="8"/>
  <c r="Q3688" i="8"/>
  <c r="Q3687" i="8"/>
  <c r="R3687" i="8" s="1"/>
  <c r="R3686" i="8"/>
  <c r="Q3686" i="8"/>
  <c r="Q3685" i="8"/>
  <c r="R3685" i="8" s="1"/>
  <c r="Q3684" i="8"/>
  <c r="R3684" i="8" s="1"/>
  <c r="Q3683" i="8"/>
  <c r="R3683" i="8" s="1"/>
  <c r="R3682" i="8"/>
  <c r="Q3682" i="8"/>
  <c r="Q3681" i="8"/>
  <c r="R3681" i="8" s="1"/>
  <c r="Q3680" i="8"/>
  <c r="R3680" i="8" s="1"/>
  <c r="Q3679" i="8"/>
  <c r="R3679" i="8" s="1"/>
  <c r="Q3678" i="8"/>
  <c r="R3678" i="8" s="1"/>
  <c r="Q3677" i="8"/>
  <c r="R3677" i="8" s="1"/>
  <c r="R3676" i="8"/>
  <c r="Q3676" i="8"/>
  <c r="Q3675" i="8"/>
  <c r="R3675" i="8" s="1"/>
  <c r="Q3674" i="8"/>
  <c r="R3674" i="8" s="1"/>
  <c r="Q3673" i="8"/>
  <c r="R3673" i="8" s="1"/>
  <c r="Q3672" i="8"/>
  <c r="R3672" i="8" s="1"/>
  <c r="Q3671" i="8"/>
  <c r="R3671" i="8" s="1"/>
  <c r="Q3670" i="8"/>
  <c r="R3670" i="8" s="1"/>
  <c r="R3669" i="8"/>
  <c r="Q3669" i="8"/>
  <c r="R3668" i="8"/>
  <c r="Q3668" i="8"/>
  <c r="Q3667" i="8"/>
  <c r="R3667" i="8" s="1"/>
  <c r="Q3666" i="8"/>
  <c r="R3666" i="8" s="1"/>
  <c r="Q3665" i="8"/>
  <c r="R3665" i="8" s="1"/>
  <c r="R3664" i="8"/>
  <c r="Q3664" i="8"/>
  <c r="Q3663" i="8"/>
  <c r="R3663" i="8" s="1"/>
  <c r="Q3662" i="8"/>
  <c r="R3662" i="8" s="1"/>
  <c r="R3661" i="8"/>
  <c r="Q3661" i="8"/>
  <c r="R3660" i="8"/>
  <c r="Q3660" i="8"/>
  <c r="Q3659" i="8"/>
  <c r="R3659" i="8" s="1"/>
  <c r="Q3658" i="8"/>
  <c r="R3658" i="8" s="1"/>
  <c r="Q3657" i="8"/>
  <c r="R3657" i="8" s="1"/>
  <c r="Q3656" i="8"/>
  <c r="R3656" i="8" s="1"/>
  <c r="Q3655" i="8"/>
  <c r="R3655" i="8" s="1"/>
  <c r="Q3654" i="8"/>
  <c r="R3654" i="8" s="1"/>
  <c r="Q3653" i="8"/>
  <c r="R3653" i="8" s="1"/>
  <c r="R3652" i="8"/>
  <c r="Q3652" i="8"/>
  <c r="Q3651" i="8"/>
  <c r="R3651" i="8" s="1"/>
  <c r="Q3650" i="8"/>
  <c r="R3650" i="8" s="1"/>
  <c r="Q3649" i="8"/>
  <c r="R3649" i="8" s="1"/>
  <c r="Q3648" i="8"/>
  <c r="R3648" i="8" s="1"/>
  <c r="R3647" i="8"/>
  <c r="Q3647" i="8"/>
  <c r="R3646" i="8"/>
  <c r="Q3646" i="8"/>
  <c r="R3645" i="8"/>
  <c r="Q3645" i="8"/>
  <c r="R3644" i="8"/>
  <c r="Q3644" i="8"/>
  <c r="Q3643" i="8"/>
  <c r="R3643" i="8" s="1"/>
  <c r="R3642" i="8"/>
  <c r="Q3642" i="8"/>
  <c r="Q3641" i="8"/>
  <c r="R3641" i="8" s="1"/>
  <c r="Q3640" i="8"/>
  <c r="R3640" i="8" s="1"/>
  <c r="R3639" i="8"/>
  <c r="Q3639" i="8"/>
  <c r="Q3638" i="8"/>
  <c r="R3638" i="8" s="1"/>
  <c r="R3637" i="8"/>
  <c r="Q3637" i="8"/>
  <c r="R3636" i="8"/>
  <c r="Q3636" i="8"/>
  <c r="Q3635" i="8"/>
  <c r="R3635" i="8" s="1"/>
  <c r="Q3634" i="8"/>
  <c r="R3634" i="8" s="1"/>
  <c r="Q3633" i="8"/>
  <c r="R3633" i="8" s="1"/>
  <c r="Q3632" i="8"/>
  <c r="R3632" i="8" s="1"/>
  <c r="Q3631" i="8"/>
  <c r="R3631" i="8" s="1"/>
  <c r="R3630" i="8"/>
  <c r="Q3630" i="8"/>
  <c r="R3629" i="8"/>
  <c r="Q3629" i="8"/>
  <c r="R3628" i="8"/>
  <c r="Q3628" i="8"/>
  <c r="Q3627" i="8"/>
  <c r="R3627" i="8" s="1"/>
  <c r="R3626" i="8"/>
  <c r="Q3626" i="8"/>
  <c r="R3625" i="8"/>
  <c r="Q3625" i="8"/>
  <c r="Q3624" i="8"/>
  <c r="R3624" i="8" s="1"/>
  <c r="Q3623" i="8"/>
  <c r="R3623" i="8" s="1"/>
  <c r="R3622" i="8"/>
  <c r="Q3622" i="8"/>
  <c r="R3621" i="8"/>
  <c r="Q3621" i="8"/>
  <c r="Q3620" i="8"/>
  <c r="R3620" i="8" s="1"/>
  <c r="Q3619" i="8"/>
  <c r="R3619" i="8" s="1"/>
  <c r="Q3618" i="8"/>
  <c r="R3618" i="8" s="1"/>
  <c r="Q3617" i="8"/>
  <c r="R3617" i="8" s="1"/>
  <c r="Q3616" i="8"/>
  <c r="R3616" i="8" s="1"/>
  <c r="Q3615" i="8"/>
  <c r="R3615" i="8" s="1"/>
  <c r="Q3614" i="8"/>
  <c r="R3614" i="8" s="1"/>
  <c r="R3613" i="8"/>
  <c r="Q3613" i="8"/>
  <c r="Q3612" i="8"/>
  <c r="R3612" i="8" s="1"/>
  <c r="Q3611" i="8"/>
  <c r="R3611" i="8" s="1"/>
  <c r="Q3610" i="8"/>
  <c r="R3610" i="8" s="1"/>
  <c r="R3609" i="8"/>
  <c r="Q3609" i="8"/>
  <c r="R3608" i="8"/>
  <c r="Q3608" i="8"/>
  <c r="Q3607" i="8"/>
  <c r="R3607" i="8" s="1"/>
  <c r="Q3606" i="8"/>
  <c r="R3606" i="8" s="1"/>
  <c r="Q3605" i="8"/>
  <c r="R3605" i="8" s="1"/>
  <c r="Q3604" i="8"/>
  <c r="R3604" i="8" s="1"/>
  <c r="Q3603" i="8"/>
  <c r="R3603" i="8" s="1"/>
  <c r="Q3602" i="8"/>
  <c r="R3602" i="8" s="1"/>
  <c r="Q3601" i="8"/>
  <c r="R3601" i="8" s="1"/>
  <c r="Q3600" i="8"/>
  <c r="R3600" i="8" s="1"/>
  <c r="Q3599" i="8"/>
  <c r="R3599" i="8" s="1"/>
  <c r="Q3598" i="8"/>
  <c r="R3598" i="8" s="1"/>
  <c r="R3597" i="8"/>
  <c r="Q3597" i="8"/>
  <c r="Q3596" i="8"/>
  <c r="R3596" i="8" s="1"/>
  <c r="Q3595" i="8"/>
  <c r="R3595" i="8" s="1"/>
  <c r="R3594" i="8"/>
  <c r="Q3594" i="8"/>
  <c r="Q3593" i="8"/>
  <c r="R3593" i="8" s="1"/>
  <c r="Q3592" i="8"/>
  <c r="R3592" i="8" s="1"/>
  <c r="Q3591" i="8"/>
  <c r="R3591" i="8" s="1"/>
  <c r="Q3590" i="8"/>
  <c r="R3590" i="8" s="1"/>
  <c r="R3589" i="8"/>
  <c r="Q3589" i="8"/>
  <c r="Q3588" i="8"/>
  <c r="R3588" i="8" s="1"/>
  <c r="Q3587" i="8"/>
  <c r="R3587" i="8" s="1"/>
  <c r="Q3586" i="8"/>
  <c r="R3586" i="8" s="1"/>
  <c r="Q3585" i="8"/>
  <c r="R3585" i="8" s="1"/>
  <c r="Q3584" i="8"/>
  <c r="R3584" i="8" s="1"/>
  <c r="Q3583" i="8"/>
  <c r="R3583" i="8" s="1"/>
  <c r="Q3582" i="8"/>
  <c r="R3582" i="8" s="1"/>
  <c r="R3581" i="8"/>
  <c r="Q3581" i="8"/>
  <c r="Q3580" i="8"/>
  <c r="R3580" i="8" s="1"/>
  <c r="Q3579" i="8"/>
  <c r="R3579" i="8" s="1"/>
  <c r="Q3578" i="8"/>
  <c r="R3578" i="8" s="1"/>
  <c r="Q3577" i="8"/>
  <c r="R3577" i="8" s="1"/>
  <c r="Q3576" i="8"/>
  <c r="R3576" i="8" s="1"/>
  <c r="R3575" i="8"/>
  <c r="Q3575" i="8"/>
  <c r="R3574" i="8"/>
  <c r="Q3574" i="8"/>
  <c r="R3573" i="8"/>
  <c r="Q3573" i="8"/>
  <c r="Q3572" i="8"/>
  <c r="R3572" i="8" s="1"/>
  <c r="Q3571" i="8"/>
  <c r="R3571" i="8" s="1"/>
  <c r="R3570" i="8"/>
  <c r="Q3570" i="8"/>
  <c r="Q3569" i="8"/>
  <c r="R3569" i="8" s="1"/>
  <c r="Q3568" i="8"/>
  <c r="R3568" i="8" s="1"/>
  <c r="Q3567" i="8"/>
  <c r="R3567" i="8" s="1"/>
  <c r="Q3566" i="8"/>
  <c r="R3566" i="8" s="1"/>
  <c r="R3565" i="8"/>
  <c r="Q3565" i="8"/>
  <c r="Q3564" i="8"/>
  <c r="R3564" i="8" s="1"/>
  <c r="Q3563" i="8"/>
  <c r="R3563" i="8" s="1"/>
  <c r="Q3562" i="8"/>
  <c r="R3562" i="8" s="1"/>
  <c r="Q3561" i="8"/>
  <c r="R3561" i="8" s="1"/>
  <c r="Q3560" i="8"/>
  <c r="R3560" i="8" s="1"/>
  <c r="Q3559" i="8"/>
  <c r="R3559" i="8" s="1"/>
  <c r="Q3558" i="8"/>
  <c r="R3558" i="8" s="1"/>
  <c r="R3557" i="8"/>
  <c r="Q3557" i="8"/>
  <c r="Q3556" i="8"/>
  <c r="R3556" i="8" s="1"/>
  <c r="Q3555" i="8"/>
  <c r="R3555" i="8" s="1"/>
  <c r="Q3554" i="8"/>
  <c r="R3554" i="8" s="1"/>
  <c r="Q3553" i="8"/>
  <c r="R3553" i="8" s="1"/>
  <c r="Q3552" i="8"/>
  <c r="R3552" i="8" s="1"/>
  <c r="Q3551" i="8"/>
  <c r="R3551" i="8" s="1"/>
  <c r="Q3550" i="8"/>
  <c r="R3550" i="8" s="1"/>
  <c r="Q3549" i="8"/>
  <c r="R3549" i="8" s="1"/>
  <c r="Q3548" i="8"/>
  <c r="R3548" i="8" s="1"/>
  <c r="Q3547" i="8"/>
  <c r="R3547" i="8" s="1"/>
  <c r="Q3546" i="8"/>
  <c r="R3546" i="8" s="1"/>
  <c r="Q3545" i="8"/>
  <c r="R3545" i="8" s="1"/>
  <c r="Q3544" i="8"/>
  <c r="R3544" i="8" s="1"/>
  <c r="Q3543" i="8"/>
  <c r="R3543" i="8" s="1"/>
  <c r="Q3542" i="8"/>
  <c r="R3542" i="8" s="1"/>
  <c r="Q3541" i="8"/>
  <c r="R3541" i="8" s="1"/>
  <c r="R3540" i="8"/>
  <c r="Q3540" i="8"/>
  <c r="Q3539" i="8"/>
  <c r="R3539" i="8" s="1"/>
  <c r="Q3538" i="8"/>
  <c r="R3538" i="8" s="1"/>
  <c r="Q3537" i="8"/>
  <c r="R3537" i="8" s="1"/>
  <c r="Q3536" i="8"/>
  <c r="R3536" i="8" s="1"/>
  <c r="R3535" i="8"/>
  <c r="Q3535" i="8"/>
  <c r="Q3534" i="8"/>
  <c r="R3534" i="8" s="1"/>
  <c r="Q3533" i="8"/>
  <c r="R3533" i="8" s="1"/>
  <c r="Q3532" i="8"/>
  <c r="R3532" i="8" s="1"/>
  <c r="Q3531" i="8"/>
  <c r="R3531" i="8" s="1"/>
  <c r="Q3530" i="8"/>
  <c r="R3530" i="8" s="1"/>
  <c r="Q3529" i="8"/>
  <c r="R3529" i="8" s="1"/>
  <c r="R3528" i="8"/>
  <c r="Q3528" i="8"/>
  <c r="Q3527" i="8"/>
  <c r="R3527" i="8" s="1"/>
  <c r="R3526" i="8"/>
  <c r="Q3526" i="8"/>
  <c r="Q3525" i="8"/>
  <c r="R3525" i="8" s="1"/>
  <c r="Q3524" i="8"/>
  <c r="R3524" i="8" s="1"/>
  <c r="Q3523" i="8"/>
  <c r="R3523" i="8" s="1"/>
  <c r="Q3522" i="8"/>
  <c r="R3522" i="8" s="1"/>
  <c r="Q3521" i="8"/>
  <c r="R3521" i="8" s="1"/>
  <c r="Q3520" i="8"/>
  <c r="R3520" i="8" s="1"/>
  <c r="R3519" i="8"/>
  <c r="Q3519" i="8"/>
  <c r="R3518" i="8"/>
  <c r="Q3518" i="8"/>
  <c r="Q3517" i="8"/>
  <c r="R3517" i="8" s="1"/>
  <c r="Q3516" i="8"/>
  <c r="R3516" i="8" s="1"/>
  <c r="Q3515" i="8"/>
  <c r="R3515" i="8" s="1"/>
  <c r="Q3514" i="8"/>
  <c r="R3514" i="8" s="1"/>
  <c r="Q3513" i="8"/>
  <c r="R3513" i="8" s="1"/>
  <c r="Q3512" i="8"/>
  <c r="R3512" i="8" s="1"/>
  <c r="Q3511" i="8"/>
  <c r="R3511" i="8" s="1"/>
  <c r="Q3510" i="8"/>
  <c r="R3510" i="8" s="1"/>
  <c r="R3509" i="8"/>
  <c r="Q3509" i="8"/>
  <c r="R3508" i="8"/>
  <c r="Q3508" i="8"/>
  <c r="Q3507" i="8"/>
  <c r="R3507" i="8" s="1"/>
  <c r="Q3506" i="8"/>
  <c r="R3506" i="8" s="1"/>
  <c r="Q3505" i="8"/>
  <c r="R3505" i="8" s="1"/>
  <c r="Q3504" i="8"/>
  <c r="R3504" i="8" s="1"/>
  <c r="Q3503" i="8"/>
  <c r="R3503" i="8" s="1"/>
  <c r="R3502" i="8"/>
  <c r="Q3502" i="8"/>
  <c r="R3501" i="8"/>
  <c r="Q3501" i="8"/>
  <c r="Q3500" i="8"/>
  <c r="R3500" i="8" s="1"/>
  <c r="Q3499" i="8"/>
  <c r="R3499" i="8" s="1"/>
  <c r="R3498" i="8"/>
  <c r="Q3498" i="8"/>
  <c r="Q3497" i="8"/>
  <c r="R3497" i="8" s="1"/>
  <c r="Q3496" i="8"/>
  <c r="R3496" i="8" s="1"/>
  <c r="Q3495" i="8"/>
  <c r="R3495" i="8" s="1"/>
  <c r="Q3494" i="8"/>
  <c r="R3494" i="8" s="1"/>
  <c r="Q3493" i="8"/>
  <c r="R3493" i="8" s="1"/>
  <c r="R3492" i="8"/>
  <c r="Q3492" i="8"/>
  <c r="Q3491" i="8"/>
  <c r="R3491" i="8" s="1"/>
  <c r="Q3490" i="8"/>
  <c r="R3490" i="8" s="1"/>
  <c r="Q3489" i="8"/>
  <c r="R3489" i="8" s="1"/>
  <c r="Q3488" i="8"/>
  <c r="R3488" i="8" s="1"/>
  <c r="Q3487" i="8"/>
  <c r="R3487" i="8" s="1"/>
  <c r="Q3486" i="8"/>
  <c r="R3486" i="8" s="1"/>
  <c r="Q3485" i="8"/>
  <c r="R3485" i="8" s="1"/>
  <c r="Q3484" i="8"/>
  <c r="R3484" i="8" s="1"/>
  <c r="Q3483" i="8"/>
  <c r="R3483" i="8" s="1"/>
  <c r="R3482" i="8"/>
  <c r="Q3482" i="8"/>
  <c r="Q3481" i="8"/>
  <c r="R3481" i="8" s="1"/>
  <c r="Q3480" i="8"/>
  <c r="R3480" i="8" s="1"/>
  <c r="Q3479" i="8"/>
  <c r="R3479" i="8" s="1"/>
  <c r="Q3478" i="8"/>
  <c r="R3478" i="8" s="1"/>
  <c r="Q3477" i="8"/>
  <c r="R3477" i="8" s="1"/>
  <c r="Q3476" i="8"/>
  <c r="R3476" i="8" s="1"/>
  <c r="Q3475" i="8"/>
  <c r="R3475" i="8" s="1"/>
  <c r="Q3474" i="8"/>
  <c r="R3474" i="8" s="1"/>
  <c r="Q3473" i="8"/>
  <c r="R3473" i="8" s="1"/>
  <c r="Q3472" i="8"/>
  <c r="R3472" i="8" s="1"/>
  <c r="Q3471" i="8"/>
  <c r="R3471" i="8" s="1"/>
  <c r="Q3470" i="8"/>
  <c r="R3470" i="8" s="1"/>
  <c r="R3469" i="8"/>
  <c r="Q3469" i="8"/>
  <c r="Q3468" i="8"/>
  <c r="R3468" i="8" s="1"/>
  <c r="Q3467" i="8"/>
  <c r="R3467" i="8" s="1"/>
  <c r="R3466" i="8"/>
  <c r="Q3466" i="8"/>
  <c r="Q3465" i="8"/>
  <c r="R3465" i="8" s="1"/>
  <c r="R3464" i="8"/>
  <c r="Q3464" i="8"/>
  <c r="R3463" i="8"/>
  <c r="Q3463" i="8"/>
  <c r="Q3462" i="8"/>
  <c r="R3462" i="8" s="1"/>
  <c r="Q3461" i="8"/>
  <c r="R3461" i="8" s="1"/>
  <c r="Q3460" i="8"/>
  <c r="R3460" i="8" s="1"/>
  <c r="Q3459" i="8"/>
  <c r="R3459" i="8" s="1"/>
  <c r="R3458" i="8"/>
  <c r="Q3458" i="8"/>
  <c r="Q3457" i="8"/>
  <c r="R3457" i="8" s="1"/>
  <c r="Q3456" i="8"/>
  <c r="R3456" i="8" s="1"/>
  <c r="Q3455" i="8"/>
  <c r="R3455" i="8" s="1"/>
  <c r="Q3454" i="8"/>
  <c r="R3454" i="8" s="1"/>
  <c r="Q3453" i="8"/>
  <c r="R3453" i="8" s="1"/>
  <c r="Q3452" i="8"/>
  <c r="R3452" i="8" s="1"/>
  <c r="Q3451" i="8"/>
  <c r="R3451" i="8" s="1"/>
  <c r="Q3450" i="8"/>
  <c r="R3450" i="8" s="1"/>
  <c r="R3449" i="8"/>
  <c r="Q3449" i="8"/>
  <c r="Q3448" i="8"/>
  <c r="R3448" i="8" s="1"/>
  <c r="Q3447" i="8"/>
  <c r="R3447" i="8" s="1"/>
  <c r="R3446" i="8"/>
  <c r="Q3446" i="8"/>
  <c r="Q3445" i="8"/>
  <c r="R3445" i="8" s="1"/>
  <c r="Q3444" i="8"/>
  <c r="R3444" i="8" s="1"/>
  <c r="Q3443" i="8"/>
  <c r="R3443" i="8" s="1"/>
  <c r="Q3442" i="8"/>
  <c r="R3442" i="8" s="1"/>
  <c r="R3441" i="8"/>
  <c r="Q3441" i="8"/>
  <c r="Q3440" i="8"/>
  <c r="R3440" i="8" s="1"/>
  <c r="Q3439" i="8"/>
  <c r="R3439" i="8" s="1"/>
  <c r="Q3438" i="8"/>
  <c r="R3438" i="8" s="1"/>
  <c r="Q3437" i="8"/>
  <c r="R3437" i="8" s="1"/>
  <c r="Q3436" i="8"/>
  <c r="R3436" i="8" s="1"/>
  <c r="Q3435" i="8"/>
  <c r="R3435" i="8" s="1"/>
  <c r="Q3434" i="8"/>
  <c r="R3434" i="8" s="1"/>
  <c r="Q3433" i="8"/>
  <c r="R3433" i="8" s="1"/>
  <c r="R3432" i="8"/>
  <c r="Q3432" i="8"/>
  <c r="R3431" i="8"/>
  <c r="Q3431" i="8"/>
  <c r="Q3430" i="8"/>
  <c r="R3430" i="8" s="1"/>
  <c r="R3429" i="8"/>
  <c r="Q3429" i="8"/>
  <c r="Q3428" i="8"/>
  <c r="R3428" i="8" s="1"/>
  <c r="Q3427" i="8"/>
  <c r="R3427" i="8" s="1"/>
  <c r="Q3426" i="8"/>
  <c r="R3426" i="8" s="1"/>
  <c r="Q3425" i="8"/>
  <c r="R3425" i="8" s="1"/>
  <c r="R3424" i="8"/>
  <c r="Q3424" i="8"/>
  <c r="Q3423" i="8"/>
  <c r="R3423" i="8" s="1"/>
  <c r="Q3422" i="8"/>
  <c r="R3422" i="8" s="1"/>
  <c r="Q3421" i="8"/>
  <c r="R3421" i="8" s="1"/>
  <c r="Q3420" i="8"/>
  <c r="R3420" i="8" s="1"/>
  <c r="Q3419" i="8"/>
  <c r="R3419" i="8" s="1"/>
  <c r="R3418" i="8"/>
  <c r="Q3418" i="8"/>
  <c r="Q3417" i="8"/>
  <c r="R3417" i="8" s="1"/>
  <c r="Q3416" i="8"/>
  <c r="R3416" i="8" s="1"/>
  <c r="R3415" i="8"/>
  <c r="Q3415" i="8"/>
  <c r="R3414" i="8"/>
  <c r="Q3414" i="8"/>
  <c r="R3413" i="8"/>
  <c r="Q3413" i="8"/>
  <c r="Q3412" i="8"/>
  <c r="R3412" i="8" s="1"/>
  <c r="Q3411" i="8"/>
  <c r="R3411" i="8" s="1"/>
  <c r="Q3410" i="8"/>
  <c r="R3410" i="8" s="1"/>
  <c r="Q3409" i="8"/>
  <c r="R3409" i="8" s="1"/>
  <c r="Q3408" i="8"/>
  <c r="R3408" i="8" s="1"/>
  <c r="R3407" i="8"/>
  <c r="Q3407" i="8"/>
  <c r="Q3406" i="8"/>
  <c r="R3406" i="8" s="1"/>
  <c r="Q3405" i="8"/>
  <c r="R3405" i="8" s="1"/>
  <c r="Q3404" i="8"/>
  <c r="R3404" i="8" s="1"/>
  <c r="Q3403" i="8"/>
  <c r="R3403" i="8" s="1"/>
  <c r="Q3402" i="8"/>
  <c r="R3402" i="8" s="1"/>
  <c r="R3401" i="8"/>
  <c r="Q3401" i="8"/>
  <c r="Q3400" i="8"/>
  <c r="R3400" i="8" s="1"/>
  <c r="Q3399" i="8"/>
  <c r="R3399" i="8" s="1"/>
  <c r="R3398" i="8"/>
  <c r="Q3398" i="8"/>
  <c r="Q3397" i="8"/>
  <c r="R3397" i="8" s="1"/>
  <c r="Q3396" i="8"/>
  <c r="R3396" i="8" s="1"/>
  <c r="Q3395" i="8"/>
  <c r="R3395" i="8" s="1"/>
  <c r="Q3394" i="8"/>
  <c r="R3394" i="8" s="1"/>
  <c r="Q3393" i="8"/>
  <c r="R3393" i="8" s="1"/>
  <c r="Q3392" i="8"/>
  <c r="R3392" i="8" s="1"/>
  <c r="R3391" i="8"/>
  <c r="Q3391" i="8"/>
  <c r="R3390" i="8"/>
  <c r="Q3390" i="8"/>
  <c r="Q3389" i="8"/>
  <c r="R3389" i="8" s="1"/>
  <c r="Q3388" i="8"/>
  <c r="R3388" i="8" s="1"/>
  <c r="Q3387" i="8"/>
  <c r="R3387" i="8" s="1"/>
  <c r="R3386" i="8"/>
  <c r="Q3386" i="8"/>
  <c r="Q3385" i="8"/>
  <c r="R3385" i="8" s="1"/>
  <c r="Q3384" i="8"/>
  <c r="R3384" i="8" s="1"/>
  <c r="Q3383" i="8"/>
  <c r="R3383" i="8" s="1"/>
  <c r="Q3382" i="8"/>
  <c r="R3382" i="8" s="1"/>
  <c r="Q3381" i="8"/>
  <c r="R3381" i="8" s="1"/>
  <c r="Q3380" i="8"/>
  <c r="R3380" i="8" s="1"/>
  <c r="Q3379" i="8"/>
  <c r="R3379" i="8" s="1"/>
  <c r="Q3378" i="8"/>
  <c r="R3378" i="8" s="1"/>
  <c r="Q3377" i="8"/>
  <c r="R3377" i="8" s="1"/>
  <c r="Q3376" i="8"/>
  <c r="R3376" i="8" s="1"/>
  <c r="Q3375" i="8"/>
  <c r="R3375" i="8" s="1"/>
  <c r="R3374" i="8"/>
  <c r="Q3374" i="8"/>
  <c r="R3373" i="8"/>
  <c r="Q3373" i="8"/>
  <c r="Q3372" i="8"/>
  <c r="R3372" i="8" s="1"/>
  <c r="Q3371" i="8"/>
  <c r="R3371" i="8" s="1"/>
  <c r="Q3370" i="8"/>
  <c r="R3370" i="8" s="1"/>
  <c r="Q3369" i="8"/>
  <c r="R3369" i="8" s="1"/>
  <c r="Q3368" i="8"/>
  <c r="R3368" i="8" s="1"/>
  <c r="Q3367" i="8"/>
  <c r="R3367" i="8" s="1"/>
  <c r="R3366" i="8"/>
  <c r="Q3366" i="8"/>
  <c r="Q3365" i="8"/>
  <c r="R3365" i="8" s="1"/>
  <c r="R3364" i="8"/>
  <c r="Q3364" i="8"/>
  <c r="Q3363" i="8"/>
  <c r="R3363" i="8" s="1"/>
  <c r="Q3362" i="8"/>
  <c r="R3362" i="8" s="1"/>
  <c r="Q3361" i="8"/>
  <c r="R3361" i="8" s="1"/>
  <c r="Q3360" i="8"/>
  <c r="R3360" i="8" s="1"/>
  <c r="Q3359" i="8"/>
  <c r="R3359" i="8" s="1"/>
  <c r="Q3358" i="8"/>
  <c r="R3358" i="8" s="1"/>
  <c r="Q3357" i="8"/>
  <c r="R3357" i="8" s="1"/>
  <c r="Q3356" i="8"/>
  <c r="R3356" i="8" s="1"/>
  <c r="Q3355" i="8"/>
  <c r="R3355" i="8" s="1"/>
  <c r="Q3354" i="8"/>
  <c r="R3354" i="8" s="1"/>
  <c r="R3353" i="8"/>
  <c r="Q3353" i="8"/>
  <c r="Q3352" i="8"/>
  <c r="R3352" i="8" s="1"/>
  <c r="R3351" i="8"/>
  <c r="Q3351" i="8"/>
  <c r="Q3350" i="8"/>
  <c r="R3350" i="8" s="1"/>
  <c r="Q3349" i="8"/>
  <c r="R3349" i="8" s="1"/>
  <c r="Q3348" i="8"/>
  <c r="R3348" i="8" s="1"/>
  <c r="Q3347" i="8"/>
  <c r="R3347" i="8" s="1"/>
  <c r="Q3346" i="8"/>
  <c r="R3346" i="8" s="1"/>
  <c r="Q3345" i="8"/>
  <c r="R3345" i="8" s="1"/>
  <c r="Q3344" i="8"/>
  <c r="R3344" i="8" s="1"/>
  <c r="Q3343" i="8"/>
  <c r="R3343" i="8" s="1"/>
  <c r="Q3342" i="8"/>
  <c r="R3342" i="8" s="1"/>
  <c r="Q3341" i="8"/>
  <c r="R3341" i="8" s="1"/>
  <c r="Q3340" i="8"/>
  <c r="R3340" i="8" s="1"/>
  <c r="Q3339" i="8"/>
  <c r="R3339" i="8" s="1"/>
  <c r="R3338" i="8"/>
  <c r="Q3338" i="8"/>
  <c r="Q3337" i="8"/>
  <c r="R3337" i="8" s="1"/>
  <c r="Q3336" i="8"/>
  <c r="R3336" i="8" s="1"/>
  <c r="Q3335" i="8"/>
  <c r="R3335" i="8" s="1"/>
  <c r="R3334" i="8"/>
  <c r="Q3334" i="8"/>
  <c r="Q3333" i="8"/>
  <c r="R3333" i="8" s="1"/>
  <c r="R3332" i="8"/>
  <c r="Q3332" i="8"/>
  <c r="Q3331" i="8"/>
  <c r="R3331" i="8" s="1"/>
  <c r="Q3330" i="8"/>
  <c r="R3330" i="8" s="1"/>
  <c r="Q3329" i="8"/>
  <c r="R3329" i="8" s="1"/>
  <c r="Q3328" i="8"/>
  <c r="R3328" i="8" s="1"/>
  <c r="Q3327" i="8"/>
  <c r="R3327" i="8" s="1"/>
  <c r="Q3326" i="8"/>
  <c r="R3326" i="8" s="1"/>
  <c r="Q3325" i="8"/>
  <c r="R3325" i="8" s="1"/>
  <c r="Q3324" i="8"/>
  <c r="R3324" i="8" s="1"/>
  <c r="Q3323" i="8"/>
  <c r="R3323" i="8" s="1"/>
  <c r="Q3322" i="8"/>
  <c r="R3322" i="8" s="1"/>
  <c r="R3321" i="8"/>
  <c r="Q3321" i="8"/>
  <c r="Q3320" i="8"/>
  <c r="R3320" i="8" s="1"/>
  <c r="R3319" i="8"/>
  <c r="Q3319" i="8"/>
  <c r="R3318" i="8"/>
  <c r="Q3318" i="8"/>
  <c r="R3317" i="8"/>
  <c r="Q3317" i="8"/>
  <c r="R3316" i="8"/>
  <c r="Q3316" i="8"/>
  <c r="Q3315" i="8"/>
  <c r="R3315" i="8" s="1"/>
  <c r="R3314" i="8"/>
  <c r="Q3314" i="8"/>
  <c r="Q3313" i="8"/>
  <c r="R3313" i="8" s="1"/>
  <c r="Q3312" i="8"/>
  <c r="R3312" i="8" s="1"/>
  <c r="Q3311" i="8"/>
  <c r="R3311" i="8" s="1"/>
  <c r="Q3310" i="8"/>
  <c r="R3310" i="8" s="1"/>
  <c r="Q3309" i="8"/>
  <c r="R3309" i="8" s="1"/>
  <c r="Q3308" i="8"/>
  <c r="R3308" i="8" s="1"/>
  <c r="Q3307" i="8"/>
  <c r="R3307" i="8" s="1"/>
  <c r="R3306" i="8"/>
  <c r="Q3306" i="8"/>
  <c r="Q3305" i="8"/>
  <c r="R3305" i="8" s="1"/>
  <c r="R3304" i="8"/>
  <c r="Q3304" i="8"/>
  <c r="Q3303" i="8"/>
  <c r="R3303" i="8" s="1"/>
  <c r="R3302" i="8"/>
  <c r="Q3302" i="8"/>
  <c r="R3301" i="8"/>
  <c r="Q3301" i="8"/>
  <c r="Q3300" i="8"/>
  <c r="R3300" i="8" s="1"/>
  <c r="Q3299" i="8"/>
  <c r="R3299" i="8" s="1"/>
  <c r="Q3298" i="8"/>
  <c r="R3298" i="8" s="1"/>
  <c r="Q3297" i="8"/>
  <c r="R3297" i="8" s="1"/>
  <c r="R3296" i="8"/>
  <c r="Q3296" i="8"/>
  <c r="Q3295" i="8"/>
  <c r="R3295" i="8" s="1"/>
  <c r="Q3294" i="8"/>
  <c r="R3294" i="8" s="1"/>
  <c r="Q3293" i="8"/>
  <c r="R3293" i="8" s="1"/>
  <c r="Q3292" i="8"/>
  <c r="R3292" i="8" s="1"/>
  <c r="Q3291" i="8"/>
  <c r="R3291" i="8" s="1"/>
  <c r="Q3290" i="8"/>
  <c r="R3290" i="8" s="1"/>
  <c r="R3289" i="8"/>
  <c r="Q3289" i="8"/>
  <c r="Q3288" i="8"/>
  <c r="R3288" i="8" s="1"/>
  <c r="Q3287" i="8"/>
  <c r="R3287" i="8" s="1"/>
  <c r="Q3286" i="8"/>
  <c r="R3286" i="8" s="1"/>
  <c r="Q3285" i="8"/>
  <c r="R3285" i="8" s="1"/>
  <c r="R3284" i="8"/>
  <c r="Q3284" i="8"/>
  <c r="Q3283" i="8"/>
  <c r="R3283" i="8" s="1"/>
  <c r="Q3282" i="8"/>
  <c r="R3282" i="8" s="1"/>
  <c r="Q3281" i="8"/>
  <c r="R3281" i="8" s="1"/>
  <c r="R3280" i="8"/>
  <c r="Q3280" i="8"/>
  <c r="Q3279" i="8"/>
  <c r="R3279" i="8" s="1"/>
  <c r="Q3278" i="8"/>
  <c r="R3278" i="8" s="1"/>
  <c r="Q3277" i="8"/>
  <c r="R3277" i="8" s="1"/>
  <c r="Q3276" i="8"/>
  <c r="R3276" i="8" s="1"/>
  <c r="Q3275" i="8"/>
  <c r="R3275" i="8" s="1"/>
  <c r="R3274" i="8"/>
  <c r="Q3274" i="8"/>
  <c r="Q3273" i="8"/>
  <c r="R3273" i="8" s="1"/>
  <c r="Q3272" i="8"/>
  <c r="R3272" i="8" s="1"/>
  <c r="Q3271" i="8"/>
  <c r="R3271" i="8" s="1"/>
  <c r="R3270" i="8"/>
  <c r="Q3270" i="8"/>
  <c r="Q3269" i="8"/>
  <c r="R3269" i="8" s="1"/>
  <c r="R3268" i="8"/>
  <c r="Q3268" i="8"/>
  <c r="Q3267" i="8"/>
  <c r="R3267" i="8" s="1"/>
  <c r="Q3266" i="8"/>
  <c r="R3266" i="8" s="1"/>
  <c r="Q3265" i="8"/>
  <c r="R3265" i="8" s="1"/>
  <c r="Q3264" i="8"/>
  <c r="R3264" i="8" s="1"/>
  <c r="Q3263" i="8"/>
  <c r="R3263" i="8" s="1"/>
  <c r="Q3262" i="8"/>
  <c r="R3262" i="8" s="1"/>
  <c r="Q3261" i="8"/>
  <c r="R3261" i="8" s="1"/>
  <c r="Q3260" i="8"/>
  <c r="R3260" i="8" s="1"/>
  <c r="Q3259" i="8"/>
  <c r="R3259" i="8" s="1"/>
  <c r="R3258" i="8"/>
  <c r="Q3258" i="8"/>
  <c r="Q3257" i="8"/>
  <c r="R3257" i="8" s="1"/>
  <c r="R3256" i="8"/>
  <c r="Q3256" i="8"/>
  <c r="Q3255" i="8"/>
  <c r="R3255" i="8" s="1"/>
  <c r="Q3254" i="8"/>
  <c r="R3254" i="8" s="1"/>
  <c r="R3253" i="8"/>
  <c r="Q3253" i="8"/>
  <c r="Q3252" i="8"/>
  <c r="R3252" i="8" s="1"/>
  <c r="Q3251" i="8"/>
  <c r="R3251" i="8" s="1"/>
  <c r="Q3250" i="8"/>
  <c r="R3250" i="8" s="1"/>
  <c r="Q3249" i="8"/>
  <c r="R3249" i="8" s="1"/>
  <c r="Q3248" i="8"/>
  <c r="R3248" i="8" s="1"/>
  <c r="R3247" i="8"/>
  <c r="Q3247" i="8"/>
  <c r="R3246" i="8"/>
  <c r="Q3246" i="8"/>
  <c r="Q3245" i="8"/>
  <c r="R3245" i="8" s="1"/>
  <c r="Q3244" i="8"/>
  <c r="R3244" i="8" s="1"/>
  <c r="Q3243" i="8"/>
  <c r="R3243" i="8" s="1"/>
  <c r="R3242" i="8"/>
  <c r="Q3242" i="8"/>
  <c r="R3241" i="8"/>
  <c r="Q3241" i="8"/>
  <c r="Q3240" i="8"/>
  <c r="R3240" i="8" s="1"/>
  <c r="Q3239" i="8"/>
  <c r="R3239" i="8" s="1"/>
  <c r="Q3238" i="8"/>
  <c r="R3238" i="8" s="1"/>
  <c r="Q3237" i="8"/>
  <c r="R3237" i="8" s="1"/>
  <c r="R3236" i="8"/>
  <c r="Q3236" i="8"/>
  <c r="Q3235" i="8"/>
  <c r="R3235" i="8" s="1"/>
  <c r="Q3234" i="8"/>
  <c r="R3234" i="8" s="1"/>
  <c r="Q3233" i="8"/>
  <c r="R3233" i="8" s="1"/>
  <c r="Q3232" i="8"/>
  <c r="R3232" i="8" s="1"/>
  <c r="Q3231" i="8"/>
  <c r="R3231" i="8" s="1"/>
  <c r="R3230" i="8"/>
  <c r="Q3230" i="8"/>
  <c r="R3229" i="8"/>
  <c r="Q3229" i="8"/>
  <c r="Q3228" i="8"/>
  <c r="R3228" i="8" s="1"/>
  <c r="Q3227" i="8"/>
  <c r="R3227" i="8" s="1"/>
  <c r="Q3226" i="8"/>
  <c r="R3226" i="8" s="1"/>
  <c r="Q3225" i="8"/>
  <c r="R3225" i="8" s="1"/>
  <c r="R3224" i="8"/>
  <c r="Q3224" i="8"/>
  <c r="Q3223" i="8"/>
  <c r="R3223" i="8" s="1"/>
  <c r="Q3222" i="8"/>
  <c r="R3222" i="8" s="1"/>
  <c r="Q3221" i="8"/>
  <c r="R3221" i="8" s="1"/>
  <c r="Q3220" i="8"/>
  <c r="R3220" i="8" s="1"/>
  <c r="Q3219" i="8"/>
  <c r="R3219" i="8" s="1"/>
  <c r="Q3218" i="8"/>
  <c r="R3218" i="8" s="1"/>
  <c r="Q3217" i="8"/>
  <c r="R3217" i="8" s="1"/>
  <c r="Q3216" i="8"/>
  <c r="R3216" i="8" s="1"/>
  <c r="Q3215" i="8"/>
  <c r="R3215" i="8" s="1"/>
  <c r="Q3214" i="8"/>
  <c r="R3214" i="8" s="1"/>
  <c r="Q3213" i="8"/>
  <c r="R3213" i="8" s="1"/>
  <c r="Q3212" i="8"/>
  <c r="R3212" i="8" s="1"/>
  <c r="Q3211" i="8"/>
  <c r="R3211" i="8" s="1"/>
  <c r="R3210" i="8"/>
  <c r="Q3210" i="8"/>
  <c r="R3209" i="8"/>
  <c r="Q3209" i="8"/>
  <c r="Q3208" i="8"/>
  <c r="R3208" i="8" s="1"/>
  <c r="R3207" i="8"/>
  <c r="Q3207" i="8"/>
  <c r="R3206" i="8"/>
  <c r="Q3206" i="8"/>
  <c r="Q3205" i="8"/>
  <c r="R3205" i="8" s="1"/>
  <c r="R3204" i="8"/>
  <c r="Q3204" i="8"/>
  <c r="Q3203" i="8"/>
  <c r="R3203" i="8" s="1"/>
  <c r="Q3202" i="8"/>
  <c r="R3202" i="8" s="1"/>
  <c r="Q3201" i="8"/>
  <c r="R3201" i="8" s="1"/>
  <c r="R3200" i="8"/>
  <c r="Q3200" i="8"/>
  <c r="Q3199" i="8"/>
  <c r="R3199" i="8" s="1"/>
  <c r="Q3198" i="8"/>
  <c r="R3198" i="8" s="1"/>
  <c r="Q3197" i="8"/>
  <c r="R3197" i="8" s="1"/>
  <c r="Q3196" i="8"/>
  <c r="R3196" i="8" s="1"/>
  <c r="Q3195" i="8"/>
  <c r="R3195" i="8" s="1"/>
  <c r="Q3194" i="8"/>
  <c r="R3194" i="8" s="1"/>
  <c r="Q3193" i="8"/>
  <c r="R3193" i="8" s="1"/>
  <c r="Q3192" i="8"/>
  <c r="R3192" i="8" s="1"/>
  <c r="R3191" i="8"/>
  <c r="Q3191" i="8"/>
  <c r="R3190" i="8"/>
  <c r="Q3190" i="8"/>
  <c r="Q3189" i="8"/>
  <c r="R3189" i="8" s="1"/>
  <c r="Q3188" i="8"/>
  <c r="R3188" i="8" s="1"/>
  <c r="Q3187" i="8"/>
  <c r="R3187" i="8" s="1"/>
  <c r="Q3186" i="8"/>
  <c r="R3186" i="8" s="1"/>
  <c r="Q3185" i="8"/>
  <c r="R3185" i="8" s="1"/>
  <c r="Q3184" i="8"/>
  <c r="R3184" i="8" s="1"/>
  <c r="Q3183" i="8"/>
  <c r="R3183" i="8" s="1"/>
  <c r="Q3182" i="8"/>
  <c r="R3182" i="8" s="1"/>
  <c r="Q3181" i="8"/>
  <c r="R3181" i="8" s="1"/>
  <c r="Q3180" i="8"/>
  <c r="R3180" i="8" s="1"/>
  <c r="Q3179" i="8"/>
  <c r="R3179" i="8" s="1"/>
  <c r="Q3178" i="8"/>
  <c r="R3178" i="8" s="1"/>
  <c r="Q3177" i="8"/>
  <c r="R3177" i="8" s="1"/>
  <c r="R3176" i="8"/>
  <c r="Q3176" i="8"/>
  <c r="Q3175" i="8"/>
  <c r="R3175" i="8" s="1"/>
  <c r="R3174" i="8"/>
  <c r="Q3174" i="8"/>
  <c r="R3173" i="8"/>
  <c r="Q3173" i="8"/>
  <c r="Q3172" i="8"/>
  <c r="R3172" i="8" s="1"/>
  <c r="Q3171" i="8"/>
  <c r="R3171" i="8" s="1"/>
  <c r="Q3170" i="8"/>
  <c r="R3170" i="8" s="1"/>
  <c r="R3169" i="8"/>
  <c r="Q3169" i="8"/>
  <c r="R3168" i="8"/>
  <c r="Q3168" i="8"/>
  <c r="Q3167" i="8"/>
  <c r="R3167" i="8" s="1"/>
  <c r="R3166" i="8"/>
  <c r="Q3166" i="8"/>
  <c r="Q3165" i="8"/>
  <c r="R3165" i="8" s="1"/>
  <c r="Q3164" i="8"/>
  <c r="R3164" i="8" s="1"/>
  <c r="Q3163" i="8"/>
  <c r="R3163" i="8" s="1"/>
  <c r="Q3162" i="8"/>
  <c r="R3162" i="8" s="1"/>
  <c r="Q3161" i="8"/>
  <c r="R3161" i="8" s="1"/>
  <c r="Q3160" i="8"/>
  <c r="R3160" i="8" s="1"/>
  <c r="R3159" i="8"/>
  <c r="Q3159" i="8"/>
  <c r="Q3158" i="8"/>
  <c r="R3158" i="8" s="1"/>
  <c r="Q3157" i="8"/>
  <c r="R3157" i="8" s="1"/>
  <c r="R3156" i="8"/>
  <c r="Q3156" i="8"/>
  <c r="Q3155" i="8"/>
  <c r="R3155" i="8" s="1"/>
  <c r="Q3154" i="8"/>
  <c r="R3154" i="8" s="1"/>
  <c r="R3153" i="8"/>
  <c r="Q3153" i="8"/>
  <c r="Q3152" i="8"/>
  <c r="R3152" i="8" s="1"/>
  <c r="R3151" i="8"/>
  <c r="Q3151" i="8"/>
  <c r="Q3150" i="8"/>
  <c r="R3150" i="8" s="1"/>
  <c r="Q3149" i="8"/>
  <c r="R3149" i="8" s="1"/>
  <c r="Q3148" i="8"/>
  <c r="R3148" i="8" s="1"/>
  <c r="Q3147" i="8"/>
  <c r="R3147" i="8" s="1"/>
  <c r="Q3146" i="8"/>
  <c r="R3146" i="8" s="1"/>
  <c r="Q3145" i="8"/>
  <c r="R3145" i="8" s="1"/>
  <c r="Q3144" i="8"/>
  <c r="R3144" i="8" s="1"/>
  <c r="Q3143" i="8"/>
  <c r="R3143" i="8" s="1"/>
  <c r="Q3142" i="8"/>
  <c r="R3142" i="8" s="1"/>
  <c r="R3141" i="8"/>
  <c r="Q3141" i="8"/>
  <c r="Q3140" i="8"/>
  <c r="R3140" i="8" s="1"/>
  <c r="Q3139" i="8"/>
  <c r="R3139" i="8" s="1"/>
  <c r="Q3138" i="8"/>
  <c r="R3138" i="8" s="1"/>
  <c r="Q3137" i="8"/>
  <c r="R3137" i="8" s="1"/>
  <c r="Q3136" i="8"/>
  <c r="R3136" i="8" s="1"/>
  <c r="R3135" i="8"/>
  <c r="Q3135" i="8"/>
  <c r="Q3134" i="8"/>
  <c r="R3134" i="8" s="1"/>
  <c r="Q3133" i="8"/>
  <c r="R3133" i="8" s="1"/>
  <c r="Q3132" i="8"/>
  <c r="R3132" i="8" s="1"/>
  <c r="Q3131" i="8"/>
  <c r="R3131" i="8" s="1"/>
  <c r="R3130" i="8"/>
  <c r="Q3130" i="8"/>
  <c r="Q3129" i="8"/>
  <c r="R3129" i="8" s="1"/>
  <c r="Q3128" i="8"/>
  <c r="R3128" i="8" s="1"/>
  <c r="Q3127" i="8"/>
  <c r="R3127" i="8" s="1"/>
  <c r="Q3126" i="8"/>
  <c r="R3126" i="8" s="1"/>
  <c r="R3125" i="8"/>
  <c r="Q3125" i="8"/>
  <c r="Q3124" i="8"/>
  <c r="R3124" i="8" s="1"/>
  <c r="Q3123" i="8"/>
  <c r="R3123" i="8" s="1"/>
  <c r="Q3122" i="8"/>
  <c r="R3122" i="8" s="1"/>
  <c r="Q3121" i="8"/>
  <c r="R3121" i="8" s="1"/>
  <c r="Q3120" i="8"/>
  <c r="R3120" i="8" s="1"/>
  <c r="R3119" i="8"/>
  <c r="Q3119" i="8"/>
  <c r="Q3118" i="8"/>
  <c r="R3118" i="8" s="1"/>
  <c r="Q3117" i="8"/>
  <c r="R3117" i="8" s="1"/>
  <c r="Q3116" i="8"/>
  <c r="R3116" i="8" s="1"/>
  <c r="Q3115" i="8"/>
  <c r="R3115" i="8" s="1"/>
  <c r="Q3114" i="8"/>
  <c r="R3114" i="8" s="1"/>
  <c r="R3113" i="8"/>
  <c r="Q3113" i="8"/>
  <c r="R3112" i="8"/>
  <c r="Q3112" i="8"/>
  <c r="R3111" i="8"/>
  <c r="Q3111" i="8"/>
  <c r="Q3110" i="8"/>
  <c r="R3110" i="8" s="1"/>
  <c r="Q3109" i="8"/>
  <c r="R3109" i="8" s="1"/>
  <c r="R3108" i="8"/>
  <c r="Q3108" i="8"/>
  <c r="Q3107" i="8"/>
  <c r="R3107" i="8" s="1"/>
  <c r="Q3106" i="8"/>
  <c r="R3106" i="8" s="1"/>
  <c r="Q3105" i="8"/>
  <c r="R3105" i="8" s="1"/>
  <c r="Q3104" i="8"/>
  <c r="R3104" i="8" s="1"/>
  <c r="Q3103" i="8"/>
  <c r="R3103" i="8" s="1"/>
  <c r="Q3102" i="8"/>
  <c r="R3102" i="8" s="1"/>
  <c r="Q3101" i="8"/>
  <c r="R3101" i="8" s="1"/>
  <c r="Q3100" i="8"/>
  <c r="R3100" i="8" s="1"/>
  <c r="Q3099" i="8"/>
  <c r="R3099" i="8" s="1"/>
  <c r="Q3098" i="8"/>
  <c r="R3098" i="8" s="1"/>
  <c r="Q3097" i="8"/>
  <c r="R3097" i="8" s="1"/>
  <c r="R3096" i="8"/>
  <c r="Q3096" i="8"/>
  <c r="Q3095" i="8"/>
  <c r="R3095" i="8" s="1"/>
  <c r="R3094" i="8"/>
  <c r="Q3094" i="8"/>
  <c r="R3093" i="8"/>
  <c r="Q3093" i="8"/>
  <c r="Q3092" i="8"/>
  <c r="R3092" i="8" s="1"/>
  <c r="Q3091" i="8"/>
  <c r="R3091" i="8" s="1"/>
  <c r="Q3090" i="8"/>
  <c r="R3090" i="8" s="1"/>
  <c r="Q3089" i="8"/>
  <c r="R3089" i="8" s="1"/>
  <c r="Q3088" i="8"/>
  <c r="R3088" i="8" s="1"/>
  <c r="Q3087" i="8"/>
  <c r="R3087" i="8" s="1"/>
  <c r="Q3086" i="8"/>
  <c r="R3086" i="8" s="1"/>
  <c r="R3085" i="8"/>
  <c r="Q3085" i="8"/>
  <c r="Q3084" i="8"/>
  <c r="R3084" i="8" s="1"/>
  <c r="Q3083" i="8"/>
  <c r="R3083" i="8" s="1"/>
  <c r="R3082" i="8"/>
  <c r="Q3082" i="8"/>
  <c r="Q3081" i="8"/>
  <c r="R3081" i="8" s="1"/>
  <c r="R3080" i="8"/>
  <c r="Q3080" i="8"/>
  <c r="Q3079" i="8"/>
  <c r="R3079" i="8" s="1"/>
  <c r="Q3078" i="8"/>
  <c r="R3078" i="8" s="1"/>
  <c r="Q3077" i="8"/>
  <c r="R3077" i="8" s="1"/>
  <c r="Q3076" i="8"/>
  <c r="R3076" i="8" s="1"/>
  <c r="Q3075" i="8"/>
  <c r="R3075" i="8" s="1"/>
  <c r="R3074" i="8"/>
  <c r="Q3074" i="8"/>
  <c r="Q3073" i="8"/>
  <c r="R3073" i="8" s="1"/>
  <c r="Q3072" i="8"/>
  <c r="R3072" i="8" s="1"/>
  <c r="Q3071" i="8"/>
  <c r="R3071" i="8" s="1"/>
  <c r="Q3070" i="8"/>
  <c r="R3070" i="8" s="1"/>
  <c r="Q3069" i="8"/>
  <c r="R3069" i="8" s="1"/>
  <c r="Q3068" i="8"/>
  <c r="R3068" i="8" s="1"/>
  <c r="Q3067" i="8"/>
  <c r="R3067" i="8" s="1"/>
  <c r="Q3066" i="8"/>
  <c r="R3066" i="8" s="1"/>
  <c r="Q3065" i="8"/>
  <c r="R3065" i="8" s="1"/>
  <c r="Q3064" i="8"/>
  <c r="R3064" i="8" s="1"/>
  <c r="Q3063" i="8"/>
  <c r="R3063" i="8" s="1"/>
  <c r="R3062" i="8"/>
  <c r="Q3062" i="8"/>
  <c r="R3061" i="8"/>
  <c r="Q3061" i="8"/>
  <c r="Q3060" i="8"/>
  <c r="R3060" i="8" s="1"/>
  <c r="Q3059" i="8"/>
  <c r="R3059" i="8" s="1"/>
  <c r="R3058" i="8"/>
  <c r="Q3058" i="8"/>
  <c r="Q3057" i="8"/>
  <c r="R3057" i="8" s="1"/>
  <c r="Q3056" i="8"/>
  <c r="R3056" i="8" s="1"/>
  <c r="Q3055" i="8"/>
  <c r="R3055" i="8" s="1"/>
  <c r="Q3054" i="8"/>
  <c r="R3054" i="8" s="1"/>
  <c r="Q3053" i="8"/>
  <c r="R3053" i="8" s="1"/>
  <c r="Q3052" i="8"/>
  <c r="R3052" i="8" s="1"/>
  <c r="Q3051" i="8"/>
  <c r="R3051" i="8" s="1"/>
  <c r="R3050" i="8"/>
  <c r="Q3050" i="8"/>
  <c r="Q3049" i="8"/>
  <c r="R3049" i="8" s="1"/>
  <c r="R3048" i="8"/>
  <c r="Q3048" i="8"/>
  <c r="Q3047" i="8"/>
  <c r="R3047" i="8" s="1"/>
  <c r="R3046" i="8"/>
  <c r="Q3046" i="8"/>
  <c r="R3045" i="8"/>
  <c r="Q3045" i="8"/>
  <c r="Q3044" i="8"/>
  <c r="R3044" i="8" s="1"/>
  <c r="Q3043" i="8"/>
  <c r="R3043" i="8" s="1"/>
  <c r="R3042" i="8"/>
  <c r="Q3042" i="8"/>
  <c r="R3041" i="8"/>
  <c r="Q3041" i="8"/>
  <c r="Q3040" i="8"/>
  <c r="R3040" i="8" s="1"/>
  <c r="Q3039" i="8"/>
  <c r="R3039" i="8" s="1"/>
  <c r="Q3038" i="8"/>
  <c r="R3038" i="8" s="1"/>
  <c r="Q3037" i="8"/>
  <c r="R3037" i="8" s="1"/>
  <c r="Q3036" i="8"/>
  <c r="R3036" i="8" s="1"/>
  <c r="Q3035" i="8"/>
  <c r="R3035" i="8" s="1"/>
  <c r="Q3034" i="8"/>
  <c r="R3034" i="8" s="1"/>
  <c r="Q3033" i="8"/>
  <c r="R3033" i="8" s="1"/>
  <c r="Q3032" i="8"/>
  <c r="R3032" i="8" s="1"/>
  <c r="Q3031" i="8"/>
  <c r="R3031" i="8" s="1"/>
  <c r="Q3030" i="8"/>
  <c r="R3030" i="8" s="1"/>
  <c r="R3029" i="8"/>
  <c r="Q3029" i="8"/>
  <c r="Q3028" i="8"/>
  <c r="R3028" i="8" s="1"/>
  <c r="Q3027" i="8"/>
  <c r="R3027" i="8" s="1"/>
  <c r="Q3026" i="8"/>
  <c r="R3026" i="8" s="1"/>
  <c r="Q3025" i="8"/>
  <c r="R3025" i="8" s="1"/>
  <c r="Q3024" i="8"/>
  <c r="R3024" i="8" s="1"/>
  <c r="Q3023" i="8"/>
  <c r="R3023" i="8" s="1"/>
  <c r="Q3022" i="8"/>
  <c r="R3022" i="8" s="1"/>
  <c r="Q3021" i="8"/>
  <c r="R3021" i="8" s="1"/>
  <c r="Q3020" i="8"/>
  <c r="R3020" i="8" s="1"/>
  <c r="Q3019" i="8"/>
  <c r="R3019" i="8" s="1"/>
  <c r="Q3018" i="8"/>
  <c r="R3018" i="8" s="1"/>
  <c r="Q3017" i="8"/>
  <c r="R3017" i="8" s="1"/>
  <c r="Q3016" i="8"/>
  <c r="R3016" i="8" s="1"/>
  <c r="Q3015" i="8"/>
  <c r="R3015" i="8" s="1"/>
  <c r="Q3014" i="8"/>
  <c r="R3014" i="8" s="1"/>
  <c r="Q3013" i="8"/>
  <c r="R3013" i="8" s="1"/>
  <c r="Q3012" i="8"/>
  <c r="R3012" i="8" s="1"/>
  <c r="Q3011" i="8"/>
  <c r="R3011" i="8" s="1"/>
  <c r="Q3010" i="8"/>
  <c r="R3010" i="8" s="1"/>
  <c r="Q3009" i="8"/>
  <c r="R3009" i="8" s="1"/>
  <c r="Q3008" i="8"/>
  <c r="R3008" i="8" s="1"/>
  <c r="R3007" i="8"/>
  <c r="Q3007" i="8"/>
  <c r="R3006" i="8"/>
  <c r="Q3006" i="8"/>
  <c r="Q3005" i="8"/>
  <c r="R3005" i="8" s="1"/>
  <c r="R3004" i="8"/>
  <c r="Q3004" i="8"/>
  <c r="Q3003" i="8"/>
  <c r="R3003" i="8" s="1"/>
  <c r="Q3002" i="8"/>
  <c r="R3002" i="8" s="1"/>
  <c r="Q3001" i="8"/>
  <c r="R3001" i="8" s="1"/>
  <c r="Q3000" i="8"/>
  <c r="R3000" i="8" s="1"/>
  <c r="Q2999" i="8"/>
  <c r="R2999" i="8" s="1"/>
  <c r="Q2998" i="8"/>
  <c r="R2998" i="8" s="1"/>
  <c r="R2997" i="8"/>
  <c r="Q2997" i="8"/>
  <c r="Q2996" i="8"/>
  <c r="R2996" i="8" s="1"/>
  <c r="Q2995" i="8"/>
  <c r="R2995" i="8" s="1"/>
  <c r="Q2994" i="8"/>
  <c r="R2994" i="8" s="1"/>
  <c r="Q2993" i="8"/>
  <c r="R2993" i="8" s="1"/>
  <c r="Q2992" i="8"/>
  <c r="R2992" i="8" s="1"/>
  <c r="Q2991" i="8"/>
  <c r="R2991" i="8" s="1"/>
  <c r="Q2990" i="8"/>
  <c r="R2990" i="8" s="1"/>
  <c r="Q2989" i="8"/>
  <c r="R2989" i="8" s="1"/>
  <c r="Q2988" i="8"/>
  <c r="R2988" i="8" s="1"/>
  <c r="Q2987" i="8"/>
  <c r="R2987" i="8" s="1"/>
  <c r="Q2986" i="8"/>
  <c r="R2986" i="8" s="1"/>
  <c r="R2985" i="8"/>
  <c r="Q2985" i="8"/>
  <c r="Q2984" i="8"/>
  <c r="R2984" i="8" s="1"/>
  <c r="Q2983" i="8"/>
  <c r="R2983" i="8" s="1"/>
  <c r="Q2982" i="8"/>
  <c r="R2982" i="8" s="1"/>
  <c r="Q2981" i="8"/>
  <c r="R2981" i="8" s="1"/>
  <c r="R2980" i="8"/>
  <c r="Q2980" i="8"/>
  <c r="Q2979" i="8"/>
  <c r="R2979" i="8" s="1"/>
  <c r="Q2978" i="8"/>
  <c r="R2978" i="8" s="1"/>
  <c r="Q2977" i="8"/>
  <c r="R2977" i="8" s="1"/>
  <c r="Q2976" i="8"/>
  <c r="R2976" i="8" s="1"/>
  <c r="Q2975" i="8"/>
  <c r="R2975" i="8" s="1"/>
  <c r="Q2974" i="8"/>
  <c r="R2974" i="8" s="1"/>
  <c r="R2973" i="8"/>
  <c r="Q2973" i="8"/>
  <c r="Q2972" i="8"/>
  <c r="R2972" i="8" s="1"/>
  <c r="Q2971" i="8"/>
  <c r="R2971" i="8" s="1"/>
  <c r="Q2970" i="8"/>
  <c r="R2970" i="8" s="1"/>
  <c r="Q2969" i="8"/>
  <c r="R2969" i="8" s="1"/>
  <c r="R2968" i="8"/>
  <c r="Q2968" i="8"/>
  <c r="R2967" i="8"/>
  <c r="Q2967" i="8"/>
  <c r="Q2966" i="8"/>
  <c r="R2966" i="8" s="1"/>
  <c r="Q2965" i="8"/>
  <c r="R2965" i="8" s="1"/>
  <c r="Q2964" i="8"/>
  <c r="R2964" i="8" s="1"/>
  <c r="Q2963" i="8"/>
  <c r="R2963" i="8" s="1"/>
  <c r="Q2962" i="8"/>
  <c r="R2962" i="8" s="1"/>
  <c r="Q2961" i="8"/>
  <c r="R2961" i="8" s="1"/>
  <c r="Q2960" i="8"/>
  <c r="R2960" i="8" s="1"/>
  <c r="Q2959" i="8"/>
  <c r="R2959" i="8" s="1"/>
  <c r="Q2958" i="8"/>
  <c r="R2958" i="8" s="1"/>
  <c r="Q2957" i="8"/>
  <c r="R2957" i="8" s="1"/>
  <c r="Q2956" i="8"/>
  <c r="R2956" i="8" s="1"/>
  <c r="Q2955" i="8"/>
  <c r="R2955" i="8" s="1"/>
  <c r="R2954" i="8"/>
  <c r="Q2954" i="8"/>
  <c r="Q2953" i="8"/>
  <c r="R2953" i="8" s="1"/>
  <c r="R2952" i="8"/>
  <c r="Q2952" i="8"/>
  <c r="R2951" i="8"/>
  <c r="Q2951" i="8"/>
  <c r="R2950" i="8"/>
  <c r="Q2950" i="8"/>
  <c r="Q2949" i="8"/>
  <c r="R2949" i="8" s="1"/>
  <c r="Q2948" i="8"/>
  <c r="R2948" i="8" s="1"/>
  <c r="Q2947" i="8"/>
  <c r="R2947" i="8" s="1"/>
  <c r="Q2946" i="8"/>
  <c r="R2946" i="8" s="1"/>
  <c r="Q2945" i="8"/>
  <c r="R2945" i="8" s="1"/>
  <c r="R2944" i="8"/>
  <c r="Q2944" i="8"/>
  <c r="Q2943" i="8"/>
  <c r="R2943" i="8" s="1"/>
  <c r="Q2942" i="8"/>
  <c r="R2942" i="8" s="1"/>
  <c r="Q2941" i="8"/>
  <c r="R2941" i="8" s="1"/>
  <c r="Q2940" i="8"/>
  <c r="R2940" i="8" s="1"/>
  <c r="Q2939" i="8"/>
  <c r="R2939" i="8" s="1"/>
  <c r="Q2938" i="8"/>
  <c r="R2938" i="8" s="1"/>
  <c r="R2937" i="8"/>
  <c r="Q2937" i="8"/>
  <c r="Q2936" i="8"/>
  <c r="R2936" i="8" s="1"/>
  <c r="Q2935" i="8"/>
  <c r="R2935" i="8" s="1"/>
  <c r="Q2934" i="8"/>
  <c r="R2934" i="8" s="1"/>
  <c r="Q2933" i="8"/>
  <c r="R2933" i="8" s="1"/>
  <c r="Q2932" i="8"/>
  <c r="R2932" i="8" s="1"/>
  <c r="Q2931" i="8"/>
  <c r="R2931" i="8" s="1"/>
  <c r="Q2930" i="8"/>
  <c r="R2930" i="8" s="1"/>
  <c r="Q2929" i="8"/>
  <c r="R2929" i="8" s="1"/>
  <c r="Q2928" i="8"/>
  <c r="R2928" i="8" s="1"/>
  <c r="Q2927" i="8"/>
  <c r="R2927" i="8" s="1"/>
  <c r="Q2926" i="8"/>
  <c r="R2926" i="8" s="1"/>
  <c r="Q2925" i="8"/>
  <c r="R2925" i="8" s="1"/>
  <c r="Q2924" i="8"/>
  <c r="R2924" i="8" s="1"/>
  <c r="Q2923" i="8"/>
  <c r="R2923" i="8" s="1"/>
  <c r="Q2922" i="8"/>
  <c r="R2922" i="8" s="1"/>
  <c r="Q2921" i="8"/>
  <c r="R2921" i="8" s="1"/>
  <c r="Q2920" i="8"/>
  <c r="R2920" i="8" s="1"/>
  <c r="Q2919" i="8"/>
  <c r="R2919" i="8" s="1"/>
  <c r="R2918" i="8"/>
  <c r="Q2918" i="8"/>
  <c r="Q2917" i="8"/>
  <c r="R2917" i="8" s="1"/>
  <c r="R2916" i="8"/>
  <c r="Q2916" i="8"/>
  <c r="Q2915" i="8"/>
  <c r="R2915" i="8" s="1"/>
  <c r="R2914" i="8"/>
  <c r="Q2914" i="8"/>
  <c r="Q2913" i="8"/>
  <c r="R2913" i="8" s="1"/>
  <c r="Q2912" i="8"/>
  <c r="R2912" i="8" s="1"/>
  <c r="Q2911" i="8"/>
  <c r="R2911" i="8" s="1"/>
  <c r="Q2910" i="8"/>
  <c r="R2910" i="8" s="1"/>
  <c r="Q2909" i="8"/>
  <c r="R2909" i="8" s="1"/>
  <c r="Q2908" i="8"/>
  <c r="R2908" i="8" s="1"/>
  <c r="Q2907" i="8"/>
  <c r="R2907" i="8" s="1"/>
  <c r="Q2906" i="8"/>
  <c r="R2906" i="8" s="1"/>
  <c r="Q2905" i="8"/>
  <c r="R2905" i="8" s="1"/>
  <c r="Q2904" i="8"/>
  <c r="R2904" i="8" s="1"/>
  <c r="R2903" i="8"/>
  <c r="Q2903" i="8"/>
  <c r="R2902" i="8"/>
  <c r="Q2902" i="8"/>
  <c r="Q2901" i="8"/>
  <c r="R2901" i="8" s="1"/>
  <c r="R2900" i="8"/>
  <c r="Q2900" i="8"/>
  <c r="Q2899" i="8"/>
  <c r="R2899" i="8" s="1"/>
  <c r="Q2898" i="8"/>
  <c r="R2898" i="8" s="1"/>
  <c r="Q2897" i="8"/>
  <c r="R2897" i="8" s="1"/>
  <c r="R2896" i="8"/>
  <c r="Q2896" i="8"/>
  <c r="Q2895" i="8"/>
  <c r="R2895" i="8" s="1"/>
  <c r="Q2894" i="8"/>
  <c r="R2894" i="8" s="1"/>
  <c r="Q2893" i="8"/>
  <c r="R2893" i="8" s="1"/>
  <c r="Q2892" i="8"/>
  <c r="R2892" i="8" s="1"/>
  <c r="Q2891" i="8"/>
  <c r="R2891" i="8" s="1"/>
  <c r="R2890" i="8"/>
  <c r="Q2890" i="8"/>
  <c r="Q2889" i="8"/>
  <c r="R2889" i="8" s="1"/>
  <c r="R2888" i="8"/>
  <c r="Q2888" i="8"/>
  <c r="Q2887" i="8"/>
  <c r="R2887" i="8" s="1"/>
  <c r="R2886" i="8"/>
  <c r="Q2886" i="8"/>
  <c r="Q2885" i="8"/>
  <c r="R2885" i="8" s="1"/>
  <c r="R2884" i="8"/>
  <c r="Q2884" i="8"/>
  <c r="Q2883" i="8"/>
  <c r="R2883" i="8" s="1"/>
  <c r="Q2882" i="8"/>
  <c r="R2882" i="8" s="1"/>
  <c r="Q2881" i="8"/>
  <c r="R2881" i="8" s="1"/>
  <c r="Q2880" i="8"/>
  <c r="R2880" i="8" s="1"/>
  <c r="Q2879" i="8"/>
  <c r="R2879" i="8" s="1"/>
  <c r="R2878" i="8"/>
  <c r="Q2878" i="8"/>
  <c r="Q2877" i="8"/>
  <c r="R2877" i="8" s="1"/>
  <c r="Q2876" i="8"/>
  <c r="R2876" i="8" s="1"/>
  <c r="Q2875" i="8"/>
  <c r="R2875" i="8" s="1"/>
  <c r="R2874" i="8"/>
  <c r="Q2874" i="8"/>
  <c r="R2873" i="8"/>
  <c r="Q2873" i="8"/>
  <c r="Q2872" i="8"/>
  <c r="R2872" i="8" s="1"/>
  <c r="Q2871" i="8"/>
  <c r="R2871" i="8" s="1"/>
  <c r="Q2870" i="8"/>
  <c r="R2870" i="8" s="1"/>
  <c r="R2869" i="8"/>
  <c r="Q2869" i="8"/>
  <c r="Q2868" i="8"/>
  <c r="R2868" i="8" s="1"/>
  <c r="Q2867" i="8"/>
  <c r="R2867" i="8" s="1"/>
  <c r="Q2866" i="8"/>
  <c r="R2866" i="8" s="1"/>
  <c r="Q2865" i="8"/>
  <c r="R2865" i="8" s="1"/>
  <c r="Q2864" i="8"/>
  <c r="R2864" i="8" s="1"/>
  <c r="R2863" i="8"/>
  <c r="Q2863" i="8"/>
  <c r="R2862" i="8"/>
  <c r="Q2862" i="8"/>
  <c r="R2861" i="8"/>
  <c r="Q2861" i="8"/>
  <c r="Q2860" i="8"/>
  <c r="R2860" i="8" s="1"/>
  <c r="Q2859" i="8"/>
  <c r="R2859" i="8" s="1"/>
  <c r="R2858" i="8"/>
  <c r="Q2858" i="8"/>
  <c r="Q2857" i="8"/>
  <c r="R2857" i="8" s="1"/>
  <c r="R2856" i="8"/>
  <c r="Q2856" i="8"/>
  <c r="Q2855" i="8"/>
  <c r="R2855" i="8" s="1"/>
  <c r="Q2854" i="8"/>
  <c r="R2854" i="8" s="1"/>
  <c r="Q2853" i="8"/>
  <c r="R2853" i="8" s="1"/>
  <c r="R2852" i="8"/>
  <c r="Q2852" i="8"/>
  <c r="Q2851" i="8"/>
  <c r="R2851" i="8" s="1"/>
  <c r="Q2850" i="8"/>
  <c r="R2850" i="8" s="1"/>
  <c r="Q2849" i="8"/>
  <c r="R2849" i="8" s="1"/>
  <c r="Q2848" i="8"/>
  <c r="R2848" i="8" s="1"/>
  <c r="Q2847" i="8"/>
  <c r="R2847" i="8" s="1"/>
  <c r="Q2846" i="8"/>
  <c r="R2846" i="8" s="1"/>
  <c r="R2845" i="8"/>
  <c r="Q2845" i="8"/>
  <c r="Q2844" i="8"/>
  <c r="R2844" i="8" s="1"/>
  <c r="Q2843" i="8"/>
  <c r="R2843" i="8" s="1"/>
  <c r="Q2842" i="8"/>
  <c r="R2842" i="8" s="1"/>
  <c r="Q2841" i="8"/>
  <c r="R2841" i="8" s="1"/>
  <c r="R2840" i="8"/>
  <c r="Q2840" i="8"/>
  <c r="Q2839" i="8"/>
  <c r="R2839" i="8" s="1"/>
  <c r="Q2838" i="8"/>
  <c r="R2838" i="8" s="1"/>
  <c r="R2837" i="8"/>
  <c r="Q2837" i="8"/>
  <c r="Q2836" i="8"/>
  <c r="R2836" i="8" s="1"/>
  <c r="Q2835" i="8"/>
  <c r="R2835" i="8" s="1"/>
  <c r="Q2834" i="8"/>
  <c r="R2834" i="8" s="1"/>
  <c r="Q2833" i="8"/>
  <c r="R2833" i="8" s="1"/>
  <c r="Q2832" i="8"/>
  <c r="R2832" i="8" s="1"/>
  <c r="Q2831" i="8"/>
  <c r="R2831" i="8" s="1"/>
  <c r="Q2830" i="8"/>
  <c r="R2830" i="8" s="1"/>
  <c r="Q2829" i="8"/>
  <c r="R2829" i="8" s="1"/>
  <c r="R2828" i="8"/>
  <c r="Q2828" i="8"/>
  <c r="Q2827" i="8"/>
  <c r="R2827" i="8" s="1"/>
  <c r="R2826" i="8"/>
  <c r="Q2826" i="8"/>
  <c r="Q2825" i="8"/>
  <c r="R2825" i="8" s="1"/>
  <c r="Q2824" i="8"/>
  <c r="R2824" i="8" s="1"/>
  <c r="R2823" i="8"/>
  <c r="Q2823" i="8"/>
  <c r="Q2822" i="8"/>
  <c r="R2822" i="8" s="1"/>
  <c r="Q2821" i="8"/>
  <c r="R2821" i="8" s="1"/>
  <c r="Q2820" i="8"/>
  <c r="R2820" i="8" s="1"/>
  <c r="Q2819" i="8"/>
  <c r="R2819" i="8" s="1"/>
  <c r="Q2818" i="8"/>
  <c r="R2818" i="8" s="1"/>
  <c r="Q2817" i="8"/>
  <c r="R2817" i="8" s="1"/>
  <c r="Q2816" i="8"/>
  <c r="R2816" i="8" s="1"/>
  <c r="Q2815" i="8"/>
  <c r="R2815" i="8" s="1"/>
  <c r="Q2814" i="8"/>
  <c r="R2814" i="8" s="1"/>
  <c r="R2813" i="8"/>
  <c r="Q2813" i="8"/>
  <c r="Q2812" i="8"/>
  <c r="R2812" i="8" s="1"/>
  <c r="Q2811" i="8"/>
  <c r="R2811" i="8" s="1"/>
  <c r="Q2810" i="8"/>
  <c r="R2810" i="8" s="1"/>
  <c r="Q2809" i="8"/>
  <c r="R2809" i="8" s="1"/>
  <c r="Q2808" i="8"/>
  <c r="R2808" i="8" s="1"/>
  <c r="Q2807" i="8"/>
  <c r="R2807" i="8" s="1"/>
  <c r="Q2806" i="8"/>
  <c r="R2806" i="8" s="1"/>
  <c r="Q2805" i="8"/>
  <c r="R2805" i="8" s="1"/>
  <c r="Q2804" i="8"/>
  <c r="R2804" i="8" s="1"/>
  <c r="Q2803" i="8"/>
  <c r="R2803" i="8" s="1"/>
  <c r="Q2802" i="8"/>
  <c r="R2802" i="8" s="1"/>
  <c r="Q2801" i="8"/>
  <c r="R2801" i="8" s="1"/>
  <c r="Q2800" i="8"/>
  <c r="R2800" i="8" s="1"/>
  <c r="Q2799" i="8"/>
  <c r="R2799" i="8" s="1"/>
  <c r="Q2798" i="8"/>
  <c r="R2798" i="8" s="1"/>
  <c r="Q2797" i="8"/>
  <c r="R2797" i="8" s="1"/>
  <c r="Q2796" i="8"/>
  <c r="R2796" i="8" s="1"/>
  <c r="Q2795" i="8"/>
  <c r="R2795" i="8" s="1"/>
  <c r="Q2794" i="8"/>
  <c r="R2794" i="8" s="1"/>
  <c r="Q2793" i="8"/>
  <c r="R2793" i="8" s="1"/>
  <c r="Q2792" i="8"/>
  <c r="R2792" i="8" s="1"/>
  <c r="R2791" i="8"/>
  <c r="Q2791" i="8"/>
  <c r="R2790" i="8"/>
  <c r="Q2790" i="8"/>
  <c r="R2789" i="8"/>
  <c r="Q2789" i="8"/>
  <c r="Q2788" i="8"/>
  <c r="R2788" i="8" s="1"/>
  <c r="Q2787" i="8"/>
  <c r="R2787" i="8" s="1"/>
  <c r="R2786" i="8"/>
  <c r="Q2786" i="8"/>
  <c r="Q2785" i="8"/>
  <c r="R2785" i="8" s="1"/>
  <c r="R2784" i="8"/>
  <c r="Q2784" i="8"/>
  <c r="Q2783" i="8"/>
  <c r="R2783" i="8" s="1"/>
  <c r="Q2782" i="8"/>
  <c r="R2782" i="8" s="1"/>
  <c r="R2781" i="8"/>
  <c r="Q2781" i="8"/>
  <c r="Q2780" i="8"/>
  <c r="R2780" i="8" s="1"/>
  <c r="Q2779" i="8"/>
  <c r="R2779" i="8" s="1"/>
  <c r="Q2778" i="8"/>
  <c r="R2778" i="8" s="1"/>
  <c r="Q2777" i="8"/>
  <c r="R2777" i="8" s="1"/>
  <c r="Q2776" i="8"/>
  <c r="R2776" i="8" s="1"/>
  <c r="R2775" i="8"/>
  <c r="Q2775" i="8"/>
  <c r="R2774" i="8"/>
  <c r="Q2774" i="8"/>
  <c r="Q2773" i="8"/>
  <c r="R2773" i="8" s="1"/>
  <c r="Q2772" i="8"/>
  <c r="R2772" i="8" s="1"/>
  <c r="R2771" i="8"/>
  <c r="Q2771" i="8"/>
  <c r="R2770" i="8"/>
  <c r="Q2770" i="8"/>
  <c r="Q2769" i="8"/>
  <c r="R2769" i="8" s="1"/>
  <c r="R2768" i="8"/>
  <c r="Q2768" i="8"/>
  <c r="Q2767" i="8"/>
  <c r="R2767" i="8" s="1"/>
  <c r="R2766" i="8"/>
  <c r="Q2766" i="8"/>
  <c r="Q2765" i="8"/>
  <c r="R2765" i="8" s="1"/>
  <c r="Q2764" i="8"/>
  <c r="R2764" i="8" s="1"/>
  <c r="Q2763" i="8"/>
  <c r="R2763" i="8" s="1"/>
  <c r="Q2762" i="8"/>
  <c r="R2762" i="8" s="1"/>
  <c r="Q2761" i="8"/>
  <c r="R2761" i="8" s="1"/>
  <c r="Q2760" i="8"/>
  <c r="R2760" i="8" s="1"/>
  <c r="R2759" i="8"/>
  <c r="Q2759" i="8"/>
  <c r="R2758" i="8"/>
  <c r="Q2758" i="8"/>
  <c r="R2757" i="8"/>
  <c r="Q2757" i="8"/>
  <c r="Q2756" i="8"/>
  <c r="R2756" i="8" s="1"/>
  <c r="Q2755" i="8"/>
  <c r="R2755" i="8" s="1"/>
  <c r="Q2754" i="8"/>
  <c r="R2754" i="8" s="1"/>
  <c r="Q2753" i="8"/>
  <c r="R2753" i="8" s="1"/>
  <c r="R2752" i="8"/>
  <c r="Q2752" i="8"/>
  <c r="Q2751" i="8"/>
  <c r="R2751" i="8" s="1"/>
  <c r="R2750" i="8"/>
  <c r="Q2750" i="8"/>
  <c r="Q2749" i="8"/>
  <c r="R2749" i="8" s="1"/>
  <c r="Q2748" i="8"/>
  <c r="R2748" i="8" s="1"/>
  <c r="R2747" i="8"/>
  <c r="Q2747" i="8"/>
  <c r="Q2746" i="8"/>
  <c r="R2746" i="8" s="1"/>
  <c r="Q2745" i="8"/>
  <c r="R2745" i="8" s="1"/>
  <c r="Q2744" i="8"/>
  <c r="R2744" i="8" s="1"/>
  <c r="Q2743" i="8"/>
  <c r="R2743" i="8" s="1"/>
  <c r="Q2742" i="8"/>
  <c r="R2742" i="8" s="1"/>
  <c r="R2741" i="8"/>
  <c r="Q2741" i="8"/>
  <c r="Q2740" i="8"/>
  <c r="R2740" i="8" s="1"/>
  <c r="R2739" i="8"/>
  <c r="Q2739" i="8"/>
  <c r="Q2738" i="8"/>
  <c r="R2738" i="8" s="1"/>
  <c r="Q2737" i="8"/>
  <c r="R2737" i="8" s="1"/>
  <c r="Q2736" i="8"/>
  <c r="R2736" i="8" s="1"/>
  <c r="Q2735" i="8"/>
  <c r="R2735" i="8" s="1"/>
  <c r="R2734" i="8"/>
  <c r="Q2734" i="8"/>
  <c r="Q2733" i="8"/>
  <c r="R2733" i="8" s="1"/>
  <c r="Q2732" i="8"/>
  <c r="R2732" i="8" s="1"/>
  <c r="Q2731" i="8"/>
  <c r="R2731" i="8" s="1"/>
  <c r="R2730" i="8"/>
  <c r="Q2730" i="8"/>
  <c r="Q2729" i="8"/>
  <c r="R2729" i="8" s="1"/>
  <c r="R2728" i="8"/>
  <c r="Q2728" i="8"/>
  <c r="Q2727" i="8"/>
  <c r="R2727" i="8" s="1"/>
  <c r="Q2726" i="8"/>
  <c r="R2726" i="8" s="1"/>
  <c r="Q2725" i="8"/>
  <c r="R2725" i="8" s="1"/>
  <c r="R2724" i="8"/>
  <c r="Q2724" i="8"/>
  <c r="Q2723" i="8"/>
  <c r="R2723" i="8" s="1"/>
  <c r="Q2722" i="8"/>
  <c r="R2722" i="8" s="1"/>
  <c r="Q2721" i="8"/>
  <c r="R2721" i="8" s="1"/>
  <c r="R2720" i="8"/>
  <c r="Q2720" i="8"/>
  <c r="Q2719" i="8"/>
  <c r="R2719" i="8" s="1"/>
  <c r="R2718" i="8"/>
  <c r="Q2718" i="8"/>
  <c r="Q2717" i="8"/>
  <c r="R2717" i="8" s="1"/>
  <c r="Q2716" i="8"/>
  <c r="R2716" i="8" s="1"/>
  <c r="Q2715" i="8"/>
  <c r="R2715" i="8" s="1"/>
  <c r="R2714" i="8"/>
  <c r="Q2714" i="8"/>
  <c r="Q2713" i="8"/>
  <c r="R2713" i="8" s="1"/>
  <c r="Q2712" i="8"/>
  <c r="R2712" i="8" s="1"/>
  <c r="Q2711" i="8"/>
  <c r="R2711" i="8" s="1"/>
  <c r="R2710" i="8"/>
  <c r="Q2710" i="8"/>
  <c r="R2709" i="8"/>
  <c r="Q2709" i="8"/>
  <c r="Q2708" i="8"/>
  <c r="R2708" i="8" s="1"/>
  <c r="Q2707" i="8"/>
  <c r="R2707" i="8" s="1"/>
  <c r="Q2706" i="8"/>
  <c r="R2706" i="8" s="1"/>
  <c r="Q2705" i="8"/>
  <c r="R2705" i="8" s="1"/>
  <c r="Q2704" i="8"/>
  <c r="R2704" i="8" s="1"/>
  <c r="Q2703" i="8"/>
  <c r="R2703" i="8" s="1"/>
  <c r="Q2702" i="8"/>
  <c r="R2702" i="8" s="1"/>
  <c r="R2701" i="8"/>
  <c r="Q2701" i="8"/>
  <c r="Q2700" i="8"/>
  <c r="R2700" i="8" s="1"/>
  <c r="Q2699" i="8"/>
  <c r="R2699" i="8" s="1"/>
  <c r="Q2698" i="8"/>
  <c r="R2698" i="8" s="1"/>
  <c r="Q2697" i="8"/>
  <c r="R2697" i="8" s="1"/>
  <c r="Q2696" i="8"/>
  <c r="R2696" i="8" s="1"/>
  <c r="Q2695" i="8"/>
  <c r="R2695" i="8" s="1"/>
  <c r="Q2694" i="8"/>
  <c r="R2694" i="8" s="1"/>
  <c r="Q2693" i="8"/>
  <c r="R2693" i="8" s="1"/>
  <c r="R2692" i="8"/>
  <c r="Q2692" i="8"/>
  <c r="Q2691" i="8"/>
  <c r="R2691" i="8" s="1"/>
  <c r="R2690" i="8"/>
  <c r="Q2690" i="8"/>
  <c r="Q2689" i="8"/>
  <c r="R2689" i="8" s="1"/>
  <c r="Q2688" i="8"/>
  <c r="R2688" i="8" s="1"/>
  <c r="R2687" i="8"/>
  <c r="Q2687" i="8"/>
  <c r="R2686" i="8"/>
  <c r="Q2686" i="8"/>
  <c r="Q2685" i="8"/>
  <c r="R2685" i="8" s="1"/>
  <c r="Q2684" i="8"/>
  <c r="R2684" i="8" s="1"/>
  <c r="Q2683" i="8"/>
  <c r="R2683" i="8" s="1"/>
  <c r="Q2682" i="8"/>
  <c r="R2682" i="8" s="1"/>
  <c r="Q2681" i="8"/>
  <c r="R2681" i="8" s="1"/>
  <c r="Q2680" i="8"/>
  <c r="R2680" i="8" s="1"/>
  <c r="Q2679" i="8"/>
  <c r="R2679" i="8" s="1"/>
  <c r="Q2678" i="8"/>
  <c r="R2678" i="8" s="1"/>
  <c r="Q2677" i="8"/>
  <c r="R2677" i="8" s="1"/>
  <c r="Q2676" i="8"/>
  <c r="R2676" i="8" s="1"/>
  <c r="Q2675" i="8"/>
  <c r="R2675" i="8" s="1"/>
  <c r="Q2674" i="8"/>
  <c r="R2674" i="8" s="1"/>
  <c r="Q2673" i="8"/>
  <c r="R2673" i="8" s="1"/>
  <c r="Q2672" i="8"/>
  <c r="R2672" i="8" s="1"/>
  <c r="R2671" i="8"/>
  <c r="Q2671" i="8"/>
  <c r="R2670" i="8"/>
  <c r="Q2670" i="8"/>
  <c r="R2669" i="8"/>
  <c r="Q2669" i="8"/>
  <c r="Q2668" i="8"/>
  <c r="R2668" i="8" s="1"/>
  <c r="Q2667" i="8"/>
  <c r="R2667" i="8" s="1"/>
  <c r="Q2666" i="8"/>
  <c r="R2666" i="8" s="1"/>
  <c r="Q2665" i="8"/>
  <c r="R2665" i="8" s="1"/>
  <c r="Q2664" i="8"/>
  <c r="R2664" i="8" s="1"/>
  <c r="Q2663" i="8"/>
  <c r="R2663" i="8" s="1"/>
  <c r="Q2662" i="8"/>
  <c r="R2662" i="8" s="1"/>
  <c r="Q2661" i="8"/>
  <c r="R2661" i="8" s="1"/>
  <c r="R2660" i="8"/>
  <c r="Q2660" i="8"/>
  <c r="Q2659" i="8"/>
  <c r="R2659" i="8" s="1"/>
  <c r="R2658" i="8"/>
  <c r="Q2658" i="8"/>
  <c r="Q2657" i="8"/>
  <c r="R2657" i="8" s="1"/>
  <c r="Q2656" i="8"/>
  <c r="R2656" i="8" s="1"/>
  <c r="Q2655" i="8"/>
  <c r="R2655" i="8" s="1"/>
  <c r="R2654" i="8"/>
  <c r="Q2654" i="8"/>
  <c r="Q2653" i="8"/>
  <c r="R2653" i="8" s="1"/>
  <c r="Q2652" i="8"/>
  <c r="R2652" i="8" s="1"/>
  <c r="Q2651" i="8"/>
  <c r="R2651" i="8" s="1"/>
  <c r="R2650" i="8"/>
  <c r="Q2650" i="8"/>
  <c r="Q2649" i="8"/>
  <c r="R2649" i="8" s="1"/>
  <c r="R2648" i="8"/>
  <c r="Q2648" i="8"/>
  <c r="Q2647" i="8"/>
  <c r="R2647" i="8" s="1"/>
  <c r="Q2646" i="8"/>
  <c r="R2646" i="8" s="1"/>
  <c r="Q2645" i="8"/>
  <c r="R2645" i="8" s="1"/>
  <c r="Q2644" i="8"/>
  <c r="R2644" i="8" s="1"/>
  <c r="Q2643" i="8"/>
  <c r="R2643" i="8" s="1"/>
  <c r="Q2642" i="8"/>
  <c r="R2642" i="8" s="1"/>
  <c r="Q2641" i="8"/>
  <c r="R2641" i="8" s="1"/>
  <c r="Q2640" i="8"/>
  <c r="R2640" i="8" s="1"/>
  <c r="Q2639" i="8"/>
  <c r="R2639" i="8" s="1"/>
  <c r="Q2638" i="8"/>
  <c r="R2638" i="8" s="1"/>
  <c r="Q2637" i="8"/>
  <c r="R2637" i="8" s="1"/>
  <c r="Q2636" i="8"/>
  <c r="R2636" i="8" s="1"/>
  <c r="Q2635" i="8"/>
  <c r="R2635" i="8" s="1"/>
  <c r="Q2634" i="8"/>
  <c r="R2634" i="8" s="1"/>
  <c r="Q2633" i="8"/>
  <c r="R2633" i="8" s="1"/>
  <c r="R2632" i="8"/>
  <c r="Q2632" i="8"/>
  <c r="R2631" i="8"/>
  <c r="Q2631" i="8"/>
  <c r="Q2630" i="8"/>
  <c r="R2630" i="8" s="1"/>
  <c r="R2629" i="8"/>
  <c r="Q2629" i="8"/>
  <c r="Q2628" i="8"/>
  <c r="R2628" i="8" s="1"/>
  <c r="Q2627" i="8"/>
  <c r="R2627" i="8" s="1"/>
  <c r="R2626" i="8"/>
  <c r="Q2626" i="8"/>
  <c r="Q2625" i="8"/>
  <c r="R2625" i="8" s="1"/>
  <c r="Q2624" i="8"/>
  <c r="R2624" i="8" s="1"/>
  <c r="Q2623" i="8"/>
  <c r="R2623" i="8" s="1"/>
  <c r="Q2622" i="8"/>
  <c r="R2622" i="8" s="1"/>
  <c r="Q2621" i="8"/>
  <c r="R2621" i="8" s="1"/>
  <c r="Q2620" i="8"/>
  <c r="R2620" i="8" s="1"/>
  <c r="Q2619" i="8"/>
  <c r="R2619" i="8" s="1"/>
  <c r="Q2618" i="8"/>
  <c r="R2618" i="8" s="1"/>
  <c r="Q2617" i="8"/>
  <c r="R2617" i="8" s="1"/>
  <c r="Q2616" i="8"/>
  <c r="R2616" i="8" s="1"/>
  <c r="R2615" i="8"/>
  <c r="Q2615" i="8"/>
  <c r="Q2614" i="8"/>
  <c r="R2614" i="8" s="1"/>
  <c r="R2613" i="8"/>
  <c r="Q2613" i="8"/>
  <c r="Q2612" i="8"/>
  <c r="R2612" i="8" s="1"/>
  <c r="Q2611" i="8"/>
  <c r="R2611" i="8" s="1"/>
  <c r="Q2610" i="8"/>
  <c r="R2610" i="8" s="1"/>
  <c r="Q2609" i="8"/>
  <c r="R2609" i="8" s="1"/>
  <c r="Q2608" i="8"/>
  <c r="R2608" i="8" s="1"/>
  <c r="Q2607" i="8"/>
  <c r="R2607" i="8" s="1"/>
  <c r="Q2606" i="8"/>
  <c r="R2606" i="8" s="1"/>
  <c r="Q2605" i="8"/>
  <c r="R2605" i="8" s="1"/>
  <c r="Q2604" i="8"/>
  <c r="R2604" i="8" s="1"/>
  <c r="Q2603" i="8"/>
  <c r="R2603" i="8" s="1"/>
  <c r="Q2602" i="8"/>
  <c r="R2602" i="8" s="1"/>
  <c r="Q2601" i="8"/>
  <c r="R2601" i="8" s="1"/>
  <c r="Q2600" i="8"/>
  <c r="R2600" i="8" s="1"/>
  <c r="Q2599" i="8"/>
  <c r="R2599" i="8" s="1"/>
  <c r="Q2598" i="8"/>
  <c r="R2598" i="8" s="1"/>
  <c r="Q2597" i="8"/>
  <c r="R2597" i="8" s="1"/>
  <c r="Q2596" i="8"/>
  <c r="R2596" i="8" s="1"/>
  <c r="Q2595" i="8"/>
  <c r="R2595" i="8" s="1"/>
  <c r="Q2594" i="8"/>
  <c r="R2594" i="8" s="1"/>
  <c r="Q2593" i="8"/>
  <c r="R2593" i="8" s="1"/>
  <c r="Q2592" i="8"/>
  <c r="R2592" i="8" s="1"/>
  <c r="Q2591" i="8"/>
  <c r="R2591" i="8" s="1"/>
  <c r="Q2590" i="8"/>
  <c r="R2590" i="8" s="1"/>
  <c r="R2589" i="8"/>
  <c r="Q2589" i="8"/>
  <c r="Q2588" i="8"/>
  <c r="R2588" i="8" s="1"/>
  <c r="Q2587" i="8"/>
  <c r="R2587" i="8" s="1"/>
  <c r="Q2586" i="8"/>
  <c r="R2586" i="8" s="1"/>
  <c r="Q2585" i="8"/>
  <c r="R2585" i="8" s="1"/>
  <c r="Q2584" i="8"/>
  <c r="R2584" i="8" s="1"/>
  <c r="R2583" i="8"/>
  <c r="Q2583" i="8"/>
  <c r="Q2582" i="8"/>
  <c r="R2582" i="8" s="1"/>
  <c r="Q2581" i="8"/>
  <c r="R2581" i="8" s="1"/>
  <c r="R2580" i="8"/>
  <c r="Q2580" i="8"/>
  <c r="Q2579" i="8"/>
  <c r="R2579" i="8" s="1"/>
  <c r="Q2578" i="8"/>
  <c r="R2578" i="8" s="1"/>
  <c r="Q2577" i="8"/>
  <c r="R2577" i="8" s="1"/>
  <c r="Q2576" i="8"/>
  <c r="R2576" i="8" s="1"/>
  <c r="R2575" i="8"/>
  <c r="Q2575" i="8"/>
  <c r="Q2574" i="8"/>
  <c r="R2574" i="8" s="1"/>
  <c r="Q2573" i="8"/>
  <c r="R2573" i="8" s="1"/>
  <c r="Q2572" i="8"/>
  <c r="R2572" i="8" s="1"/>
  <c r="Q2571" i="8"/>
  <c r="R2571" i="8" s="1"/>
  <c r="Q2570" i="8"/>
  <c r="R2570" i="8" s="1"/>
  <c r="Q2569" i="8"/>
  <c r="R2569" i="8" s="1"/>
  <c r="Q2568" i="8"/>
  <c r="R2568" i="8" s="1"/>
  <c r="R2567" i="8"/>
  <c r="Q2567" i="8"/>
  <c r="Q2566" i="8"/>
  <c r="R2566" i="8" s="1"/>
  <c r="Q2565" i="8"/>
  <c r="R2565" i="8" s="1"/>
  <c r="Q2564" i="8"/>
  <c r="R2564" i="8" s="1"/>
  <c r="Q2563" i="8"/>
  <c r="R2563" i="8" s="1"/>
  <c r="R2562" i="8"/>
  <c r="Q2562" i="8"/>
  <c r="Q2561" i="8"/>
  <c r="R2561" i="8" s="1"/>
  <c r="Q2560" i="8"/>
  <c r="R2560" i="8" s="1"/>
  <c r="Q2559" i="8"/>
  <c r="R2559" i="8" s="1"/>
  <c r="Q2558" i="8"/>
  <c r="R2558" i="8" s="1"/>
  <c r="Q2557" i="8"/>
  <c r="R2557" i="8" s="1"/>
  <c r="Q2556" i="8"/>
  <c r="R2556" i="8" s="1"/>
  <c r="Q2555" i="8"/>
  <c r="R2555" i="8" s="1"/>
  <c r="Q2554" i="8"/>
  <c r="R2554" i="8" s="1"/>
  <c r="R2553" i="8"/>
  <c r="Q2553" i="8"/>
  <c r="Q2552" i="8"/>
  <c r="R2552" i="8" s="1"/>
  <c r="Q2551" i="8"/>
  <c r="R2551" i="8" s="1"/>
  <c r="Q2550" i="8"/>
  <c r="R2550" i="8" s="1"/>
  <c r="Q2549" i="8"/>
  <c r="R2549" i="8" s="1"/>
  <c r="Q2548" i="8"/>
  <c r="R2548" i="8" s="1"/>
  <c r="Q2547" i="8"/>
  <c r="R2547" i="8" s="1"/>
  <c r="Q2546" i="8"/>
  <c r="R2546" i="8" s="1"/>
  <c r="Q2545" i="8"/>
  <c r="R2545" i="8" s="1"/>
  <c r="Q2544" i="8"/>
  <c r="R2544" i="8" s="1"/>
  <c r="R2543" i="8"/>
  <c r="Q2543" i="8"/>
  <c r="Q2542" i="8"/>
  <c r="R2542" i="8" s="1"/>
  <c r="Q2541" i="8"/>
  <c r="R2541" i="8" s="1"/>
  <c r="Q2540" i="8"/>
  <c r="R2540" i="8" s="1"/>
  <c r="Q2539" i="8"/>
  <c r="R2539" i="8" s="1"/>
  <c r="Q2538" i="8"/>
  <c r="R2538" i="8" s="1"/>
  <c r="Q2537" i="8"/>
  <c r="R2537" i="8" s="1"/>
  <c r="Q2536" i="8"/>
  <c r="R2536" i="8" s="1"/>
  <c r="Q2535" i="8"/>
  <c r="R2535" i="8" s="1"/>
  <c r="Q2534" i="8"/>
  <c r="R2534" i="8" s="1"/>
  <c r="Q2533" i="8"/>
  <c r="R2533" i="8" s="1"/>
  <c r="Q2532" i="8"/>
  <c r="R2532" i="8" s="1"/>
  <c r="Q2531" i="8"/>
  <c r="R2531" i="8" s="1"/>
  <c r="Q2530" i="8"/>
  <c r="R2530" i="8" s="1"/>
  <c r="Q2529" i="8"/>
  <c r="R2529" i="8" s="1"/>
  <c r="Q2528" i="8"/>
  <c r="R2528" i="8" s="1"/>
  <c r="Q2527" i="8"/>
  <c r="R2527" i="8" s="1"/>
  <c r="Q2526" i="8"/>
  <c r="R2526" i="8" s="1"/>
  <c r="Q2525" i="8"/>
  <c r="R2525" i="8" s="1"/>
  <c r="Q2524" i="8"/>
  <c r="R2524" i="8" s="1"/>
  <c r="Q2523" i="8"/>
  <c r="R2523" i="8" s="1"/>
  <c r="Q2522" i="8"/>
  <c r="R2522" i="8" s="1"/>
  <c r="Q2521" i="8"/>
  <c r="R2521" i="8" s="1"/>
  <c r="Q2520" i="8"/>
  <c r="R2520" i="8" s="1"/>
  <c r="R2519" i="8"/>
  <c r="Q2519" i="8"/>
  <c r="Q2518" i="8"/>
  <c r="R2518" i="8" s="1"/>
  <c r="Q2517" i="8"/>
  <c r="R2517" i="8" s="1"/>
  <c r="Q2516" i="8"/>
  <c r="R2516" i="8" s="1"/>
  <c r="Q2515" i="8"/>
  <c r="R2515" i="8" s="1"/>
  <c r="Q2514" i="8"/>
  <c r="R2514" i="8" s="1"/>
  <c r="Q2513" i="8"/>
  <c r="R2513" i="8" s="1"/>
  <c r="Q2512" i="8"/>
  <c r="R2512" i="8" s="1"/>
  <c r="R2511" i="8"/>
  <c r="Q2511" i="8"/>
  <c r="Q2510" i="8"/>
  <c r="R2510" i="8" s="1"/>
  <c r="Q2509" i="8"/>
  <c r="R2509" i="8" s="1"/>
  <c r="Q2508" i="8"/>
  <c r="R2508" i="8" s="1"/>
  <c r="Q2507" i="8"/>
  <c r="R2507" i="8" s="1"/>
  <c r="Q2506" i="8"/>
  <c r="R2506" i="8" s="1"/>
  <c r="Q2505" i="8"/>
  <c r="R2505" i="8" s="1"/>
  <c r="Q2504" i="8"/>
  <c r="R2504" i="8" s="1"/>
  <c r="Q2503" i="8"/>
  <c r="R2503" i="8" s="1"/>
  <c r="Q2502" i="8"/>
  <c r="R2502" i="8" s="1"/>
  <c r="Q2501" i="8"/>
  <c r="R2501" i="8" s="1"/>
  <c r="Q2500" i="8"/>
  <c r="R2500" i="8" s="1"/>
  <c r="Q2499" i="8"/>
  <c r="R2499" i="8" s="1"/>
  <c r="R2498" i="8"/>
  <c r="Q2498" i="8"/>
  <c r="Q2497" i="8"/>
  <c r="R2497" i="8" s="1"/>
  <c r="Q2496" i="8"/>
  <c r="R2496" i="8" s="1"/>
  <c r="Q2495" i="8"/>
  <c r="R2495" i="8" s="1"/>
  <c r="Q2494" i="8"/>
  <c r="R2494" i="8" s="1"/>
  <c r="Q2493" i="8"/>
  <c r="R2493" i="8" s="1"/>
  <c r="Q2492" i="8"/>
  <c r="R2492" i="8" s="1"/>
  <c r="Q2491" i="8"/>
  <c r="R2491" i="8" s="1"/>
  <c r="Q2490" i="8"/>
  <c r="R2490" i="8" s="1"/>
  <c r="Q2489" i="8"/>
  <c r="R2489" i="8" s="1"/>
  <c r="Q2488" i="8"/>
  <c r="R2488" i="8" s="1"/>
  <c r="R2487" i="8"/>
  <c r="Q2487" i="8"/>
  <c r="Q2486" i="8"/>
  <c r="R2486" i="8" s="1"/>
  <c r="Q2485" i="8"/>
  <c r="R2485" i="8" s="1"/>
  <c r="Q2484" i="8"/>
  <c r="R2484" i="8" s="1"/>
  <c r="Q2483" i="8"/>
  <c r="R2483" i="8" s="1"/>
  <c r="Q2482" i="8"/>
  <c r="R2482" i="8" s="1"/>
  <c r="Q2481" i="8"/>
  <c r="R2481" i="8" s="1"/>
  <c r="Q2480" i="8"/>
  <c r="R2480" i="8" s="1"/>
  <c r="Q2479" i="8"/>
  <c r="R2479" i="8" s="1"/>
  <c r="Q2478" i="8"/>
  <c r="R2478" i="8" s="1"/>
  <c r="Q2477" i="8"/>
  <c r="R2477" i="8" s="1"/>
  <c r="Q2476" i="8"/>
  <c r="R2476" i="8" s="1"/>
  <c r="Q2475" i="8"/>
  <c r="R2475" i="8" s="1"/>
  <c r="Q2474" i="8"/>
  <c r="R2474" i="8" s="1"/>
  <c r="Q2473" i="8"/>
  <c r="R2473" i="8" s="1"/>
  <c r="Q2472" i="8"/>
  <c r="R2472" i="8" s="1"/>
  <c r="Q2471" i="8"/>
  <c r="R2471" i="8" s="1"/>
  <c r="Q2470" i="8"/>
  <c r="R2470" i="8" s="1"/>
  <c r="Q2469" i="8"/>
  <c r="R2469" i="8" s="1"/>
  <c r="Q2468" i="8"/>
  <c r="R2468" i="8" s="1"/>
  <c r="Q2467" i="8"/>
  <c r="R2467" i="8" s="1"/>
  <c r="Q2466" i="8"/>
  <c r="R2466" i="8" s="1"/>
  <c r="Q2465" i="8"/>
  <c r="R2465" i="8" s="1"/>
  <c r="Q2464" i="8"/>
  <c r="R2464" i="8" s="1"/>
  <c r="Q2463" i="8"/>
  <c r="R2463" i="8" s="1"/>
  <c r="Q2462" i="8"/>
  <c r="R2462" i="8" s="1"/>
  <c r="Q2461" i="8"/>
  <c r="R2461" i="8" s="1"/>
  <c r="Q2460" i="8"/>
  <c r="R2460" i="8" s="1"/>
  <c r="Q2459" i="8"/>
  <c r="R2459" i="8" s="1"/>
  <c r="Q2458" i="8"/>
  <c r="R2458" i="8" s="1"/>
  <c r="Q2457" i="8"/>
  <c r="R2457" i="8" s="1"/>
  <c r="Q2456" i="8"/>
  <c r="R2456" i="8" s="1"/>
  <c r="R2455" i="8"/>
  <c r="Q2455" i="8"/>
  <c r="Q2454" i="8"/>
  <c r="R2454" i="8" s="1"/>
  <c r="Q2453" i="8"/>
  <c r="R2453" i="8" s="1"/>
  <c r="Q2452" i="8"/>
  <c r="R2452" i="8" s="1"/>
  <c r="Q2451" i="8"/>
  <c r="R2451" i="8" s="1"/>
  <c r="Q2450" i="8"/>
  <c r="R2450" i="8" s="1"/>
  <c r="Q2449" i="8"/>
  <c r="R2449" i="8" s="1"/>
  <c r="Q2448" i="8"/>
  <c r="R2448" i="8" s="1"/>
  <c r="R2447" i="8"/>
  <c r="Q2447" i="8"/>
  <c r="Q2446" i="8"/>
  <c r="R2446" i="8" s="1"/>
  <c r="Q2445" i="8"/>
  <c r="R2445" i="8" s="1"/>
  <c r="Q2444" i="8"/>
  <c r="R2444" i="8" s="1"/>
  <c r="R2443" i="8"/>
  <c r="Q2443" i="8"/>
  <c r="Q2442" i="8"/>
  <c r="R2442" i="8" s="1"/>
  <c r="Q2441" i="8"/>
  <c r="R2441" i="8" s="1"/>
  <c r="Q2440" i="8"/>
  <c r="R2440" i="8" s="1"/>
  <c r="Q2439" i="8"/>
  <c r="R2439" i="8" s="1"/>
  <c r="Q2438" i="8"/>
  <c r="R2438" i="8" s="1"/>
  <c r="Q2437" i="8"/>
  <c r="R2437" i="8" s="1"/>
  <c r="Q2436" i="8"/>
  <c r="R2436" i="8" s="1"/>
  <c r="Q2435" i="8"/>
  <c r="R2435" i="8" s="1"/>
  <c r="R2434" i="8"/>
  <c r="Q2434" i="8"/>
  <c r="Q2433" i="8"/>
  <c r="R2433" i="8" s="1"/>
  <c r="Q2432" i="8"/>
  <c r="R2432" i="8" s="1"/>
  <c r="Q2431" i="8"/>
  <c r="R2431" i="8" s="1"/>
  <c r="Q2430" i="8"/>
  <c r="R2430" i="8" s="1"/>
  <c r="Q2429" i="8"/>
  <c r="R2429" i="8" s="1"/>
  <c r="Q2428" i="8"/>
  <c r="R2428" i="8" s="1"/>
  <c r="Q2427" i="8"/>
  <c r="R2427" i="8" s="1"/>
  <c r="Q2426" i="8"/>
  <c r="R2426" i="8" s="1"/>
  <c r="Q2425" i="8"/>
  <c r="R2425" i="8" s="1"/>
  <c r="Q2424" i="8"/>
  <c r="R2424" i="8" s="1"/>
  <c r="Q2423" i="8"/>
  <c r="R2423" i="8" s="1"/>
  <c r="Q2422" i="8"/>
  <c r="R2422" i="8" s="1"/>
  <c r="Q2421" i="8"/>
  <c r="R2421" i="8" s="1"/>
  <c r="Q2420" i="8"/>
  <c r="R2420" i="8" s="1"/>
  <c r="Q2419" i="8"/>
  <c r="R2419" i="8" s="1"/>
  <c r="Q2418" i="8"/>
  <c r="R2418" i="8" s="1"/>
  <c r="Q2417" i="8"/>
  <c r="R2417" i="8" s="1"/>
  <c r="Q2416" i="8"/>
  <c r="R2416" i="8" s="1"/>
  <c r="R2415" i="8"/>
  <c r="Q2415" i="8"/>
  <c r="Q2414" i="8"/>
  <c r="R2414" i="8" s="1"/>
  <c r="Q2413" i="8"/>
  <c r="R2413" i="8" s="1"/>
  <c r="Q2412" i="8"/>
  <c r="R2412" i="8" s="1"/>
  <c r="Q2411" i="8"/>
  <c r="R2411" i="8" s="1"/>
  <c r="Q2410" i="8"/>
  <c r="R2410" i="8" s="1"/>
  <c r="Q2409" i="8"/>
  <c r="R2409" i="8" s="1"/>
  <c r="Q2408" i="8"/>
  <c r="R2408" i="8" s="1"/>
  <c r="Q2407" i="8"/>
  <c r="R2407" i="8" s="1"/>
  <c r="Q2406" i="8"/>
  <c r="R2406" i="8" s="1"/>
  <c r="Q2405" i="8"/>
  <c r="R2405" i="8" s="1"/>
  <c r="Q2404" i="8"/>
  <c r="R2404" i="8" s="1"/>
  <c r="Q2403" i="8"/>
  <c r="R2403" i="8" s="1"/>
  <c r="Q2402" i="8"/>
  <c r="R2402" i="8" s="1"/>
  <c r="Q2401" i="8"/>
  <c r="R2401" i="8" s="1"/>
  <c r="Q2400" i="8"/>
  <c r="R2400" i="8" s="1"/>
  <c r="R2399" i="8"/>
  <c r="Q2399" i="8"/>
  <c r="Q2398" i="8"/>
  <c r="R2398" i="8" s="1"/>
  <c r="Q2397" i="8"/>
  <c r="R2397" i="8" s="1"/>
  <c r="Q2396" i="8"/>
  <c r="R2396" i="8" s="1"/>
  <c r="Q2395" i="8"/>
  <c r="R2395" i="8" s="1"/>
  <c r="Q2394" i="8"/>
  <c r="R2394" i="8" s="1"/>
  <c r="Q2393" i="8"/>
  <c r="R2393" i="8" s="1"/>
  <c r="Q2392" i="8"/>
  <c r="R2392" i="8" s="1"/>
  <c r="R2391" i="8"/>
  <c r="Q2391" i="8"/>
  <c r="Q2390" i="8"/>
  <c r="R2390" i="8" s="1"/>
  <c r="Q2389" i="8"/>
  <c r="R2389" i="8" s="1"/>
  <c r="R2388" i="8"/>
  <c r="Q2388" i="8"/>
  <c r="Q2387" i="8"/>
  <c r="R2387" i="8" s="1"/>
  <c r="Q2386" i="8"/>
  <c r="R2386" i="8" s="1"/>
  <c r="Q2385" i="8"/>
  <c r="R2385" i="8" s="1"/>
  <c r="Q2384" i="8"/>
  <c r="R2384" i="8" s="1"/>
  <c r="R2383" i="8"/>
  <c r="Q2383" i="8"/>
  <c r="Q2382" i="8"/>
  <c r="R2382" i="8" s="1"/>
  <c r="Q2381" i="8"/>
  <c r="R2381" i="8" s="1"/>
  <c r="Q2380" i="8"/>
  <c r="R2380" i="8" s="1"/>
  <c r="R2379" i="8"/>
  <c r="Q2379" i="8"/>
  <c r="Q2378" i="8"/>
  <c r="R2378" i="8" s="1"/>
  <c r="Q2377" i="8"/>
  <c r="R2377" i="8" s="1"/>
  <c r="Q2376" i="8"/>
  <c r="R2376" i="8" s="1"/>
  <c r="R2375" i="8"/>
  <c r="Q2375" i="8"/>
  <c r="Q2374" i="8"/>
  <c r="R2374" i="8" s="1"/>
  <c r="Q2373" i="8"/>
  <c r="R2373" i="8" s="1"/>
  <c r="Q2372" i="8"/>
  <c r="R2372" i="8" s="1"/>
  <c r="Q2371" i="8"/>
  <c r="R2371" i="8" s="1"/>
  <c r="R2370" i="8"/>
  <c r="Q2370" i="8"/>
  <c r="Q2369" i="8"/>
  <c r="R2369" i="8" s="1"/>
  <c r="Q2368" i="8"/>
  <c r="R2368" i="8" s="1"/>
  <c r="Q2367" i="8"/>
  <c r="R2367" i="8" s="1"/>
  <c r="Q2366" i="8"/>
  <c r="R2366" i="8" s="1"/>
  <c r="Q2365" i="8"/>
  <c r="R2365" i="8" s="1"/>
  <c r="Q2364" i="8"/>
  <c r="R2364" i="8" s="1"/>
  <c r="Q2363" i="8"/>
  <c r="R2363" i="8" s="1"/>
  <c r="Q2362" i="8"/>
  <c r="R2362" i="8" s="1"/>
  <c r="R2361" i="8"/>
  <c r="Q2361" i="8"/>
  <c r="Q2360" i="8"/>
  <c r="R2360" i="8" s="1"/>
  <c r="Q2359" i="8"/>
  <c r="R2359" i="8" s="1"/>
  <c r="Q2358" i="8"/>
  <c r="R2358" i="8" s="1"/>
  <c r="Q2357" i="8"/>
  <c r="R2357" i="8" s="1"/>
  <c r="Q2356" i="8"/>
  <c r="R2356" i="8" s="1"/>
  <c r="Q2355" i="8"/>
  <c r="R2355" i="8" s="1"/>
  <c r="Q2354" i="8"/>
  <c r="R2354" i="8" s="1"/>
  <c r="Q2353" i="8"/>
  <c r="R2353" i="8" s="1"/>
  <c r="Q2352" i="8"/>
  <c r="R2352" i="8" s="1"/>
  <c r="R2351" i="8"/>
  <c r="Q2351" i="8"/>
  <c r="Q2350" i="8"/>
  <c r="R2350" i="8" s="1"/>
  <c r="Q2349" i="8"/>
  <c r="R2349" i="8" s="1"/>
  <c r="Q2348" i="8"/>
  <c r="R2348" i="8" s="1"/>
  <c r="Q2347" i="8"/>
  <c r="R2347" i="8" s="1"/>
  <c r="Q2346" i="8"/>
  <c r="R2346" i="8" s="1"/>
  <c r="Q2345" i="8"/>
  <c r="R2345" i="8" s="1"/>
  <c r="Q2344" i="8"/>
  <c r="R2344" i="8" s="1"/>
  <c r="Q2343" i="8"/>
  <c r="R2343" i="8" s="1"/>
  <c r="Q2342" i="8"/>
  <c r="R2342" i="8" s="1"/>
  <c r="Q2341" i="8"/>
  <c r="R2341" i="8" s="1"/>
  <c r="Q2340" i="8"/>
  <c r="R2340" i="8" s="1"/>
  <c r="Q2339" i="8"/>
  <c r="R2339" i="8" s="1"/>
  <c r="Q2338" i="8"/>
  <c r="R2338" i="8" s="1"/>
  <c r="Q2337" i="8"/>
  <c r="R2337" i="8" s="1"/>
  <c r="Q2336" i="8"/>
  <c r="R2336" i="8" s="1"/>
  <c r="Q2335" i="8"/>
  <c r="R2335" i="8" s="1"/>
  <c r="Q2334" i="8"/>
  <c r="R2334" i="8" s="1"/>
  <c r="Q2333" i="8"/>
  <c r="R2333" i="8" s="1"/>
  <c r="Q2332" i="8"/>
  <c r="R2332" i="8" s="1"/>
  <c r="Q2331" i="8"/>
  <c r="R2331" i="8" s="1"/>
  <c r="Q2330" i="8"/>
  <c r="R2330" i="8" s="1"/>
  <c r="Q2329" i="8"/>
  <c r="R2329" i="8" s="1"/>
  <c r="Q2328" i="8"/>
  <c r="R2328" i="8" s="1"/>
  <c r="R2327" i="8"/>
  <c r="Q2327" i="8"/>
  <c r="Q2326" i="8"/>
  <c r="R2326" i="8" s="1"/>
  <c r="Q2325" i="8"/>
  <c r="R2325" i="8" s="1"/>
  <c r="Q2324" i="8"/>
  <c r="R2324" i="8" s="1"/>
  <c r="Q2323" i="8"/>
  <c r="R2323" i="8" s="1"/>
  <c r="Q2322" i="8"/>
  <c r="R2322" i="8" s="1"/>
  <c r="Q2321" i="8"/>
  <c r="R2321" i="8" s="1"/>
  <c r="Q2320" i="8"/>
  <c r="R2320" i="8" s="1"/>
  <c r="Q2319" i="8"/>
  <c r="R2319" i="8" s="1"/>
  <c r="Q2318" i="8"/>
  <c r="R2318" i="8" s="1"/>
  <c r="Q2317" i="8"/>
  <c r="R2317" i="8" s="1"/>
  <c r="Q2316" i="8"/>
  <c r="R2316" i="8" s="1"/>
  <c r="Q2315" i="8"/>
  <c r="R2315" i="8" s="1"/>
  <c r="Q2314" i="8"/>
  <c r="R2314" i="8" s="1"/>
  <c r="Q2313" i="8"/>
  <c r="R2313" i="8" s="1"/>
  <c r="Q2312" i="8"/>
  <c r="R2312" i="8" s="1"/>
  <c r="Q2311" i="8"/>
  <c r="R2311" i="8" s="1"/>
  <c r="Q2310" i="8"/>
  <c r="R2310" i="8" s="1"/>
  <c r="Q2309" i="8"/>
  <c r="R2309" i="8" s="1"/>
  <c r="Q2308" i="8"/>
  <c r="R2308" i="8" s="1"/>
  <c r="Q2307" i="8"/>
  <c r="R2307" i="8" s="1"/>
  <c r="Q2306" i="8"/>
  <c r="R2306" i="8" s="1"/>
  <c r="Q2305" i="8"/>
  <c r="R2305" i="8" s="1"/>
  <c r="Q2304" i="8"/>
  <c r="R2304" i="8" s="1"/>
  <c r="Q2303" i="8"/>
  <c r="R2303" i="8" s="1"/>
  <c r="Q2302" i="8"/>
  <c r="R2302" i="8" s="1"/>
  <c r="Q2301" i="8"/>
  <c r="R2301" i="8" s="1"/>
  <c r="Q2300" i="8"/>
  <c r="R2300" i="8" s="1"/>
  <c r="Q2299" i="8"/>
  <c r="R2299" i="8" s="1"/>
  <c r="Q2298" i="8"/>
  <c r="R2298" i="8" s="1"/>
  <c r="R2297" i="8"/>
  <c r="Q2297" i="8"/>
  <c r="Q2296" i="8"/>
  <c r="R2296" i="8" s="1"/>
  <c r="R2295" i="8"/>
  <c r="Q2295" i="8"/>
  <c r="Q2294" i="8"/>
  <c r="R2294" i="8" s="1"/>
  <c r="Q2293" i="8"/>
  <c r="R2293" i="8" s="1"/>
  <c r="Q2292" i="8"/>
  <c r="R2292" i="8" s="1"/>
  <c r="Q2291" i="8"/>
  <c r="R2291" i="8" s="1"/>
  <c r="Q2290" i="8"/>
  <c r="R2290" i="8" s="1"/>
  <c r="Q2289" i="8"/>
  <c r="R2289" i="8" s="1"/>
  <c r="Q2288" i="8"/>
  <c r="R2288" i="8" s="1"/>
  <c r="R2287" i="8"/>
  <c r="Q2287" i="8"/>
  <c r="Q2286" i="8"/>
  <c r="R2286" i="8" s="1"/>
  <c r="Q2285" i="8"/>
  <c r="R2285" i="8" s="1"/>
  <c r="Q2284" i="8"/>
  <c r="R2284" i="8" s="1"/>
  <c r="Q2283" i="8"/>
  <c r="R2283" i="8" s="1"/>
  <c r="Q2282" i="8"/>
  <c r="R2282" i="8" s="1"/>
  <c r="Q2281" i="8"/>
  <c r="R2281" i="8" s="1"/>
  <c r="Q2280" i="8"/>
  <c r="R2280" i="8" s="1"/>
  <c r="Q2279" i="8"/>
  <c r="R2279" i="8" s="1"/>
  <c r="Q2278" i="8"/>
  <c r="R2278" i="8" s="1"/>
  <c r="Q2277" i="8"/>
  <c r="R2277" i="8" s="1"/>
  <c r="Q2276" i="8"/>
  <c r="R2276" i="8" s="1"/>
  <c r="Q2275" i="8"/>
  <c r="R2275" i="8" s="1"/>
  <c r="Q2274" i="8"/>
  <c r="R2274" i="8" s="1"/>
  <c r="Q2273" i="8"/>
  <c r="R2273" i="8" s="1"/>
  <c r="Q2272" i="8"/>
  <c r="R2272" i="8" s="1"/>
  <c r="Q2271" i="8"/>
  <c r="R2271" i="8" s="1"/>
  <c r="Q2270" i="8"/>
  <c r="R2270" i="8" s="1"/>
  <c r="Q2269" i="8"/>
  <c r="R2269" i="8" s="1"/>
  <c r="Q2268" i="8"/>
  <c r="R2268" i="8" s="1"/>
  <c r="Q2267" i="8"/>
  <c r="R2267" i="8" s="1"/>
  <c r="Q2266" i="8"/>
  <c r="R2266" i="8" s="1"/>
  <c r="Q2265" i="8"/>
  <c r="R2265" i="8" s="1"/>
  <c r="Q2264" i="8"/>
  <c r="R2264" i="8" s="1"/>
  <c r="R2263" i="8"/>
  <c r="Q2263" i="8"/>
  <c r="Q2262" i="8"/>
  <c r="R2262" i="8" s="1"/>
  <c r="Q2261" i="8"/>
  <c r="R2261" i="8" s="1"/>
  <c r="Q2260" i="8"/>
  <c r="R2260" i="8" s="1"/>
  <c r="Q2259" i="8"/>
  <c r="R2259" i="8" s="1"/>
  <c r="Q2258" i="8"/>
  <c r="R2258" i="8" s="1"/>
  <c r="Q2257" i="8"/>
  <c r="R2257" i="8" s="1"/>
  <c r="Q2256" i="8"/>
  <c r="R2256" i="8" s="1"/>
  <c r="Q2255" i="8"/>
  <c r="R2255" i="8" s="1"/>
  <c r="Q2254" i="8"/>
  <c r="R2254" i="8" s="1"/>
  <c r="Q2253" i="8"/>
  <c r="R2253" i="8" s="1"/>
  <c r="Q2252" i="8"/>
  <c r="R2252" i="8" s="1"/>
  <c r="Q2251" i="8"/>
  <c r="R2251" i="8" s="1"/>
  <c r="Q2250" i="8"/>
  <c r="R2250" i="8" s="1"/>
  <c r="Q2249" i="8"/>
  <c r="R2249" i="8" s="1"/>
  <c r="Q2248" i="8"/>
  <c r="R2248" i="8" s="1"/>
  <c r="R2247" i="8"/>
  <c r="Q2247" i="8"/>
  <c r="Q2246" i="8"/>
  <c r="R2246" i="8" s="1"/>
  <c r="Q2245" i="8"/>
  <c r="R2245" i="8" s="1"/>
  <c r="Q2244" i="8"/>
  <c r="R2244" i="8" s="1"/>
  <c r="Q2243" i="8"/>
  <c r="R2243" i="8" s="1"/>
  <c r="Q2242" i="8"/>
  <c r="R2242" i="8" s="1"/>
  <c r="Q2241" i="8"/>
  <c r="R2241" i="8" s="1"/>
  <c r="Q2240" i="8"/>
  <c r="R2240" i="8" s="1"/>
  <c r="Q2239" i="8"/>
  <c r="R2239" i="8" s="1"/>
  <c r="Q2238" i="8"/>
  <c r="R2238" i="8" s="1"/>
  <c r="Q2237" i="8"/>
  <c r="R2237" i="8" s="1"/>
  <c r="Q2236" i="8"/>
  <c r="R2236" i="8" s="1"/>
  <c r="Q2235" i="8"/>
  <c r="R2235" i="8" s="1"/>
  <c r="Q2234" i="8"/>
  <c r="R2234" i="8" s="1"/>
  <c r="R2233" i="8"/>
  <c r="Q2233" i="8"/>
  <c r="Q2232" i="8"/>
  <c r="R2232" i="8" s="1"/>
  <c r="Q2231" i="8"/>
  <c r="R2231" i="8" s="1"/>
  <c r="Q2230" i="8"/>
  <c r="R2230" i="8" s="1"/>
  <c r="Q2229" i="8"/>
  <c r="R2229" i="8" s="1"/>
  <c r="Q2228" i="8"/>
  <c r="R2228" i="8" s="1"/>
  <c r="Q2227" i="8"/>
  <c r="R2227" i="8" s="1"/>
  <c r="Q2226" i="8"/>
  <c r="R2226" i="8" s="1"/>
  <c r="Q2225" i="8"/>
  <c r="R2225" i="8" s="1"/>
  <c r="Q2224" i="8"/>
  <c r="R2224" i="8" s="1"/>
  <c r="Q2223" i="8"/>
  <c r="R2223" i="8" s="1"/>
  <c r="Q2222" i="8"/>
  <c r="R2222" i="8" s="1"/>
  <c r="Q2221" i="8"/>
  <c r="R2221" i="8" s="1"/>
  <c r="Q2220" i="8"/>
  <c r="R2220" i="8" s="1"/>
  <c r="Q2219" i="8"/>
  <c r="R2219" i="8" s="1"/>
  <c r="Q2218" i="8"/>
  <c r="R2218" i="8" s="1"/>
  <c r="Q2217" i="8"/>
  <c r="R2217" i="8" s="1"/>
  <c r="Q2216" i="8"/>
  <c r="R2216" i="8" s="1"/>
  <c r="Q2215" i="8"/>
  <c r="R2215" i="8" s="1"/>
  <c r="Q2214" i="8"/>
  <c r="R2214" i="8" s="1"/>
  <c r="Q2213" i="8"/>
  <c r="R2213" i="8" s="1"/>
  <c r="Q2212" i="8"/>
  <c r="R2212" i="8" s="1"/>
  <c r="Q2211" i="8"/>
  <c r="R2211" i="8" s="1"/>
  <c r="Q2210" i="8"/>
  <c r="R2210" i="8" s="1"/>
  <c r="Q2209" i="8"/>
  <c r="R2209" i="8" s="1"/>
  <c r="Q2208" i="8"/>
  <c r="R2208" i="8" s="1"/>
  <c r="R2207" i="8"/>
  <c r="Q2207" i="8"/>
  <c r="Q2206" i="8"/>
  <c r="R2206" i="8" s="1"/>
  <c r="R2205" i="8"/>
  <c r="Q2205" i="8"/>
  <c r="Q2204" i="8"/>
  <c r="R2204" i="8" s="1"/>
  <c r="Q2203" i="8"/>
  <c r="R2203" i="8" s="1"/>
  <c r="Q2202" i="8"/>
  <c r="R2202" i="8" s="1"/>
  <c r="Q2201" i="8"/>
  <c r="R2201" i="8" s="1"/>
  <c r="Q2200" i="8"/>
  <c r="R2200" i="8" s="1"/>
  <c r="R2199" i="8"/>
  <c r="Q2199" i="8"/>
  <c r="Q2198" i="8"/>
  <c r="R2198" i="8" s="1"/>
  <c r="Q2197" i="8"/>
  <c r="R2197" i="8" s="1"/>
  <c r="Q2196" i="8"/>
  <c r="R2196" i="8" s="1"/>
  <c r="Q2195" i="8"/>
  <c r="R2195" i="8" s="1"/>
  <c r="Q2194" i="8"/>
  <c r="R2194" i="8" s="1"/>
  <c r="Q2193" i="8"/>
  <c r="R2193" i="8" s="1"/>
  <c r="Q2192" i="8"/>
  <c r="R2192" i="8" s="1"/>
  <c r="R2191" i="8"/>
  <c r="Q2191" i="8"/>
  <c r="Q2190" i="8"/>
  <c r="R2190" i="8" s="1"/>
  <c r="Q2189" i="8"/>
  <c r="R2189" i="8" s="1"/>
  <c r="Q2188" i="8"/>
  <c r="R2188" i="8" s="1"/>
  <c r="R2187" i="8"/>
  <c r="Q2187" i="8"/>
  <c r="Q2186" i="8"/>
  <c r="R2186" i="8" s="1"/>
  <c r="Q2185" i="8"/>
  <c r="R2185" i="8" s="1"/>
  <c r="Q2184" i="8"/>
  <c r="R2184" i="8" s="1"/>
  <c r="R2183" i="8"/>
  <c r="Q2183" i="8"/>
  <c r="Q2182" i="8"/>
  <c r="R2182" i="8" s="1"/>
  <c r="Q2181" i="8"/>
  <c r="R2181" i="8" s="1"/>
  <c r="Q2180" i="8"/>
  <c r="R2180" i="8" s="1"/>
  <c r="Q2179" i="8"/>
  <c r="R2179" i="8" s="1"/>
  <c r="Q2178" i="8"/>
  <c r="R2178" i="8" s="1"/>
  <c r="Q2177" i="8"/>
  <c r="R2177" i="8" s="1"/>
  <c r="Q2176" i="8"/>
  <c r="R2176" i="8" s="1"/>
  <c r="Q2175" i="8"/>
  <c r="R2175" i="8" s="1"/>
  <c r="Q2174" i="8"/>
  <c r="R2174" i="8" s="1"/>
  <c r="Q2173" i="8"/>
  <c r="R2173" i="8" s="1"/>
  <c r="Q2172" i="8"/>
  <c r="R2172" i="8" s="1"/>
  <c r="Q2171" i="8"/>
  <c r="R2171" i="8" s="1"/>
  <c r="Q2170" i="8"/>
  <c r="R2170" i="8" s="1"/>
  <c r="Q2169" i="8"/>
  <c r="R2169" i="8" s="1"/>
  <c r="Q2168" i="8"/>
  <c r="R2168" i="8" s="1"/>
  <c r="Q2167" i="8"/>
  <c r="R2167" i="8" s="1"/>
  <c r="Q2166" i="8"/>
  <c r="R2166" i="8" s="1"/>
  <c r="Q2165" i="8"/>
  <c r="R2165" i="8" s="1"/>
  <c r="Q2164" i="8"/>
  <c r="R2164" i="8" s="1"/>
  <c r="Q2163" i="8"/>
  <c r="R2163" i="8" s="1"/>
  <c r="Q2162" i="8"/>
  <c r="R2162" i="8" s="1"/>
  <c r="Q2161" i="8"/>
  <c r="R2161" i="8" s="1"/>
  <c r="Q2160" i="8"/>
  <c r="R2160" i="8" s="1"/>
  <c r="R2159" i="8"/>
  <c r="Q2159" i="8"/>
  <c r="Q2158" i="8"/>
  <c r="R2158" i="8" s="1"/>
  <c r="Q2157" i="8"/>
  <c r="R2157" i="8" s="1"/>
  <c r="Q2156" i="8"/>
  <c r="R2156" i="8" s="1"/>
  <c r="Q2155" i="8"/>
  <c r="R2155" i="8" s="1"/>
  <c r="Q2154" i="8"/>
  <c r="R2154" i="8" s="1"/>
  <c r="Q2153" i="8"/>
  <c r="R2153" i="8" s="1"/>
  <c r="Q2152" i="8"/>
  <c r="R2152" i="8" s="1"/>
  <c r="Q2151" i="8"/>
  <c r="R2151" i="8" s="1"/>
  <c r="Q2150" i="8"/>
  <c r="R2150" i="8" s="1"/>
  <c r="Q2149" i="8"/>
  <c r="R2149" i="8" s="1"/>
  <c r="Q2148" i="8"/>
  <c r="R2148" i="8" s="1"/>
  <c r="Q2147" i="8"/>
  <c r="R2147" i="8" s="1"/>
  <c r="Q2146" i="8"/>
  <c r="R2146" i="8" s="1"/>
  <c r="Q2145" i="8"/>
  <c r="R2145" i="8" s="1"/>
  <c r="Q2144" i="8"/>
  <c r="R2144" i="8" s="1"/>
  <c r="R2143" i="8"/>
  <c r="Q2143" i="8"/>
  <c r="Q2142" i="8"/>
  <c r="R2142" i="8" s="1"/>
  <c r="R2141" i="8"/>
  <c r="Q2141" i="8"/>
  <c r="Q2140" i="8"/>
  <c r="R2140" i="8" s="1"/>
  <c r="Q2139" i="8"/>
  <c r="R2139" i="8" s="1"/>
  <c r="Q2138" i="8"/>
  <c r="R2138" i="8" s="1"/>
  <c r="Q2137" i="8"/>
  <c r="R2137" i="8" s="1"/>
  <c r="Q2136" i="8"/>
  <c r="R2136" i="8" s="1"/>
  <c r="Q2135" i="8"/>
  <c r="R2135" i="8" s="1"/>
  <c r="Q2134" i="8"/>
  <c r="R2134" i="8" s="1"/>
  <c r="Q2133" i="8"/>
  <c r="R2133" i="8" s="1"/>
  <c r="Q2132" i="8"/>
  <c r="R2132" i="8" s="1"/>
  <c r="Q2131" i="8"/>
  <c r="R2131" i="8" s="1"/>
  <c r="Q2130" i="8"/>
  <c r="R2130" i="8" s="1"/>
  <c r="Q2129" i="8"/>
  <c r="R2129" i="8" s="1"/>
  <c r="Q2128" i="8"/>
  <c r="R2128" i="8" s="1"/>
  <c r="R2127" i="8"/>
  <c r="Q2127" i="8"/>
  <c r="Q2126" i="8"/>
  <c r="R2126" i="8" s="1"/>
  <c r="Q2125" i="8"/>
  <c r="R2125" i="8" s="1"/>
  <c r="Q2124" i="8"/>
  <c r="R2124" i="8" s="1"/>
  <c r="Q2123" i="8"/>
  <c r="R2123" i="8" s="1"/>
  <c r="Q2122" i="8"/>
  <c r="R2122" i="8" s="1"/>
  <c r="Q2121" i="8"/>
  <c r="R2121" i="8" s="1"/>
  <c r="Q2120" i="8"/>
  <c r="R2120" i="8" s="1"/>
  <c r="R2119" i="8"/>
  <c r="Q2119" i="8"/>
  <c r="Q2118" i="8"/>
  <c r="R2118" i="8" s="1"/>
  <c r="Q2117" i="8"/>
  <c r="R2117" i="8" s="1"/>
  <c r="Q2116" i="8"/>
  <c r="R2116" i="8" s="1"/>
  <c r="Q2115" i="8"/>
  <c r="R2115" i="8" s="1"/>
  <c r="Q2114" i="8"/>
  <c r="R2114" i="8" s="1"/>
  <c r="Q2113" i="8"/>
  <c r="R2113" i="8" s="1"/>
  <c r="Q2112" i="8"/>
  <c r="R2112" i="8" s="1"/>
  <c r="Q2111" i="8"/>
  <c r="R2111" i="8" s="1"/>
  <c r="Q2110" i="8"/>
  <c r="R2110" i="8" s="1"/>
  <c r="Q2109" i="8"/>
  <c r="R2109" i="8" s="1"/>
  <c r="Q2108" i="8"/>
  <c r="R2108" i="8" s="1"/>
  <c r="Q2107" i="8"/>
  <c r="R2107" i="8" s="1"/>
  <c r="Q2106" i="8"/>
  <c r="R2106" i="8" s="1"/>
  <c r="Q2105" i="8"/>
  <c r="R2105" i="8" s="1"/>
  <c r="Q2104" i="8"/>
  <c r="R2104" i="8" s="1"/>
  <c r="Q2103" i="8"/>
  <c r="R2103" i="8" s="1"/>
  <c r="Q2102" i="8"/>
  <c r="R2102" i="8" s="1"/>
  <c r="Q2101" i="8"/>
  <c r="R2101" i="8" s="1"/>
  <c r="Q2100" i="8"/>
  <c r="R2100" i="8" s="1"/>
  <c r="Q2099" i="8"/>
  <c r="R2099" i="8" s="1"/>
  <c r="Q2098" i="8"/>
  <c r="R2098" i="8" s="1"/>
  <c r="Q2097" i="8"/>
  <c r="R2097" i="8" s="1"/>
  <c r="Q2096" i="8"/>
  <c r="R2096" i="8" s="1"/>
  <c r="R2095" i="8"/>
  <c r="Q2095" i="8"/>
  <c r="Q2094" i="8"/>
  <c r="R2094" i="8" s="1"/>
  <c r="Q2093" i="8"/>
  <c r="R2093" i="8" s="1"/>
  <c r="Q2092" i="8"/>
  <c r="R2092" i="8" s="1"/>
  <c r="Q2091" i="8"/>
  <c r="R2091" i="8" s="1"/>
  <c r="Q2090" i="8"/>
  <c r="R2090" i="8" s="1"/>
  <c r="Q2089" i="8"/>
  <c r="R2089" i="8" s="1"/>
  <c r="Q2088" i="8"/>
  <c r="R2088" i="8" s="1"/>
  <c r="R2087" i="8"/>
  <c r="Q2087" i="8"/>
  <c r="Q2086" i="8"/>
  <c r="R2086" i="8" s="1"/>
  <c r="Q2085" i="8"/>
  <c r="R2085" i="8" s="1"/>
  <c r="Q2084" i="8"/>
  <c r="R2084" i="8" s="1"/>
  <c r="Q2083" i="8"/>
  <c r="R2083" i="8" s="1"/>
  <c r="Q2082" i="8"/>
  <c r="R2082" i="8" s="1"/>
  <c r="Q2081" i="8"/>
  <c r="R2081" i="8" s="1"/>
  <c r="Q2080" i="8"/>
  <c r="R2080" i="8" s="1"/>
  <c r="Q2079" i="8"/>
  <c r="R2079" i="8" s="1"/>
  <c r="Q2078" i="8"/>
  <c r="R2078" i="8" s="1"/>
  <c r="Q2077" i="8"/>
  <c r="R2077" i="8" s="1"/>
  <c r="Q2076" i="8"/>
  <c r="R2076" i="8" s="1"/>
  <c r="Q2075" i="8"/>
  <c r="R2075" i="8" s="1"/>
  <c r="Q2074" i="8"/>
  <c r="R2074" i="8" s="1"/>
  <c r="Q2073" i="8"/>
  <c r="R2073" i="8" s="1"/>
  <c r="Q2072" i="8"/>
  <c r="R2072" i="8" s="1"/>
  <c r="Q2071" i="8"/>
  <c r="R2071" i="8" s="1"/>
  <c r="Q2070" i="8"/>
  <c r="R2070" i="8" s="1"/>
  <c r="Q2069" i="8"/>
  <c r="R2069" i="8" s="1"/>
  <c r="R2068" i="8"/>
  <c r="Q2068" i="8"/>
  <c r="R2067" i="8"/>
  <c r="Q2067" i="8"/>
  <c r="Q2066" i="8"/>
  <c r="R2066" i="8" s="1"/>
  <c r="R2065" i="8"/>
  <c r="Q2065" i="8"/>
  <c r="Q2064" i="8"/>
  <c r="R2064" i="8" s="1"/>
  <c r="Q2063" i="8"/>
  <c r="R2063" i="8" s="1"/>
  <c r="Q2062" i="8"/>
  <c r="R2062" i="8" s="1"/>
  <c r="Q2061" i="8"/>
  <c r="R2061" i="8" s="1"/>
  <c r="Q2060" i="8"/>
  <c r="R2060" i="8" s="1"/>
  <c r="R2059" i="8"/>
  <c r="Q2059" i="8"/>
  <c r="Q2058" i="8"/>
  <c r="R2058" i="8" s="1"/>
  <c r="R2057" i="8"/>
  <c r="Q2057" i="8"/>
  <c r="R2056" i="8"/>
  <c r="Q2056" i="8"/>
  <c r="R2055" i="8"/>
  <c r="Q2055" i="8"/>
  <c r="Q2054" i="8"/>
  <c r="R2054" i="8" s="1"/>
  <c r="R2053" i="8"/>
  <c r="Q2053" i="8"/>
  <c r="R2052" i="8"/>
  <c r="Q2052" i="8"/>
  <c r="R2051" i="8"/>
  <c r="Q2051" i="8"/>
  <c r="Q2050" i="8"/>
  <c r="R2050" i="8" s="1"/>
  <c r="Q2049" i="8"/>
  <c r="R2049" i="8" s="1"/>
  <c r="R2048" i="8"/>
  <c r="Q2048" i="8"/>
  <c r="R2047" i="8"/>
  <c r="Q2047" i="8"/>
  <c r="R2046" i="8"/>
  <c r="Q2046" i="8"/>
  <c r="Q2045" i="8"/>
  <c r="R2045" i="8" s="1"/>
  <c r="R2044" i="8"/>
  <c r="Q2044" i="8"/>
  <c r="R2043" i="8"/>
  <c r="Q2043" i="8"/>
  <c r="Q2042" i="8"/>
  <c r="R2042" i="8" s="1"/>
  <c r="R2041" i="8"/>
  <c r="Q2041" i="8"/>
  <c r="Q2040" i="8"/>
  <c r="R2040" i="8" s="1"/>
  <c r="R2039" i="8"/>
  <c r="Q2039" i="8"/>
  <c r="R2038" i="8"/>
  <c r="Q2038" i="8"/>
  <c r="Q2037" i="8"/>
  <c r="R2037" i="8" s="1"/>
  <c r="Q2036" i="8"/>
  <c r="R2036" i="8" s="1"/>
  <c r="Q2035" i="8"/>
  <c r="R2035" i="8" s="1"/>
  <c r="Q2034" i="8"/>
  <c r="R2034" i="8" s="1"/>
  <c r="Q2033" i="8"/>
  <c r="R2033" i="8" s="1"/>
  <c r="R2032" i="8"/>
  <c r="Q2032" i="8"/>
  <c r="R2031" i="8"/>
  <c r="Q2031" i="8"/>
  <c r="Q2030" i="8"/>
  <c r="R2030" i="8" s="1"/>
  <c r="Q2029" i="8"/>
  <c r="R2029" i="8" s="1"/>
  <c r="R2028" i="8"/>
  <c r="Q2028" i="8"/>
  <c r="R2027" i="8"/>
  <c r="Q2027" i="8"/>
  <c r="Q2026" i="8"/>
  <c r="R2026" i="8" s="1"/>
  <c r="R2025" i="8"/>
  <c r="Q2025" i="8"/>
  <c r="R2024" i="8"/>
  <c r="Q2024" i="8"/>
  <c r="Q2023" i="8"/>
  <c r="R2023" i="8" s="1"/>
  <c r="Q2022" i="8"/>
  <c r="R2022" i="8" s="1"/>
  <c r="Q2021" i="8"/>
  <c r="R2021" i="8" s="1"/>
  <c r="Q2020" i="8"/>
  <c r="R2020" i="8" s="1"/>
  <c r="Q2019" i="8"/>
  <c r="R2019" i="8" s="1"/>
  <c r="Q2018" i="8"/>
  <c r="R2018" i="8" s="1"/>
  <c r="Q2017" i="8"/>
  <c r="R2017" i="8" s="1"/>
  <c r="R2016" i="8"/>
  <c r="Q2016" i="8"/>
  <c r="Q2015" i="8"/>
  <c r="R2015" i="8" s="1"/>
  <c r="Q2014" i="8"/>
  <c r="R2014" i="8" s="1"/>
  <c r="Q2013" i="8"/>
  <c r="R2013" i="8" s="1"/>
  <c r="R2012" i="8"/>
  <c r="Q2012" i="8"/>
  <c r="R2011" i="8"/>
  <c r="Q2011" i="8"/>
  <c r="Q2010" i="8"/>
  <c r="R2010" i="8" s="1"/>
  <c r="R2009" i="8"/>
  <c r="Q2009" i="8"/>
  <c r="R2008" i="8"/>
  <c r="Q2008" i="8"/>
  <c r="Q2007" i="8"/>
  <c r="R2007" i="8" s="1"/>
  <c r="Q2006" i="8"/>
  <c r="R2006" i="8" s="1"/>
  <c r="Q2005" i="8"/>
  <c r="R2005" i="8" s="1"/>
  <c r="R2004" i="8"/>
  <c r="Q2004" i="8"/>
  <c r="Q2003" i="8"/>
  <c r="R2003" i="8" s="1"/>
  <c r="Q2002" i="8"/>
  <c r="R2002" i="8" s="1"/>
  <c r="R2001" i="8"/>
  <c r="Q2001" i="8"/>
  <c r="Q2000" i="8"/>
  <c r="R2000" i="8" s="1"/>
  <c r="Q1999" i="8"/>
  <c r="R1999" i="8" s="1"/>
  <c r="R1998" i="8"/>
  <c r="Q1998" i="8"/>
  <c r="Q1997" i="8"/>
  <c r="R1997" i="8" s="1"/>
  <c r="Q1996" i="8"/>
  <c r="R1996" i="8" s="1"/>
  <c r="R1995" i="8"/>
  <c r="Q1995" i="8"/>
  <c r="Q1994" i="8"/>
  <c r="R1994" i="8" s="1"/>
  <c r="R1993" i="8"/>
  <c r="Q1993" i="8"/>
  <c r="R1992" i="8"/>
  <c r="Q1992" i="8"/>
  <c r="R1991" i="8"/>
  <c r="Q1991" i="8"/>
  <c r="Q1990" i="8"/>
  <c r="R1990" i="8" s="1"/>
  <c r="Q1989" i="8"/>
  <c r="R1989" i="8" s="1"/>
  <c r="R1988" i="8"/>
  <c r="Q1988" i="8"/>
  <c r="Q1987" i="8"/>
  <c r="R1987" i="8" s="1"/>
  <c r="Q1986" i="8"/>
  <c r="R1986" i="8" s="1"/>
  <c r="Q1985" i="8"/>
  <c r="R1985" i="8" s="1"/>
  <c r="R1984" i="8"/>
  <c r="Q1984" i="8"/>
  <c r="R1983" i="8"/>
  <c r="Q1983" i="8"/>
  <c r="Q1982" i="8"/>
  <c r="R1982" i="8" s="1"/>
  <c r="R1981" i="8"/>
  <c r="Q1981" i="8"/>
  <c r="R1980" i="8"/>
  <c r="Q1980" i="8"/>
  <c r="Q1979" i="8"/>
  <c r="R1979" i="8" s="1"/>
  <c r="Q1978" i="8"/>
  <c r="R1978" i="8" s="1"/>
  <c r="R1977" i="8"/>
  <c r="Q1977" i="8"/>
  <c r="Q1976" i="8"/>
  <c r="R1976" i="8" s="1"/>
  <c r="R1975" i="8"/>
  <c r="Q1975" i="8"/>
  <c r="Q1974" i="8"/>
  <c r="R1974" i="8" s="1"/>
  <c r="R1973" i="8"/>
  <c r="Q1973" i="8"/>
  <c r="Q1972" i="8"/>
  <c r="R1972" i="8" s="1"/>
  <c r="Q1971" i="8"/>
  <c r="R1971" i="8" s="1"/>
  <c r="Q1970" i="8"/>
  <c r="R1970" i="8" s="1"/>
  <c r="Q1969" i="8"/>
  <c r="R1969" i="8" s="1"/>
  <c r="R1968" i="8"/>
  <c r="Q1968" i="8"/>
  <c r="R1967" i="8"/>
  <c r="Q1967" i="8"/>
  <c r="Q1966" i="8"/>
  <c r="R1966" i="8" s="1"/>
  <c r="Q1965" i="8"/>
  <c r="R1965" i="8" s="1"/>
  <c r="R1964" i="8"/>
  <c r="Q1964" i="8"/>
  <c r="R1963" i="8"/>
  <c r="Q1963" i="8"/>
  <c r="Q1962" i="8"/>
  <c r="R1962" i="8" s="1"/>
  <c r="R1961" i="8"/>
  <c r="Q1961" i="8"/>
  <c r="R1960" i="8"/>
  <c r="Q1960" i="8"/>
  <c r="R1959" i="8"/>
  <c r="Q1959" i="8"/>
  <c r="Q1958" i="8"/>
  <c r="R1958" i="8" s="1"/>
  <c r="R1957" i="8"/>
  <c r="Q1957" i="8"/>
  <c r="Q1956" i="8"/>
  <c r="R1956" i="8" s="1"/>
  <c r="R1955" i="8"/>
  <c r="Q1955" i="8"/>
  <c r="Q1954" i="8"/>
  <c r="R1954" i="8" s="1"/>
  <c r="Q1953" i="8"/>
  <c r="R1953" i="8" s="1"/>
  <c r="Q1952" i="8"/>
  <c r="R1952" i="8" s="1"/>
  <c r="R1951" i="8"/>
  <c r="Q1951" i="8"/>
  <c r="Q1950" i="8"/>
  <c r="R1950" i="8" s="1"/>
  <c r="Q1949" i="8"/>
  <c r="R1949" i="8" s="1"/>
  <c r="Q1948" i="8"/>
  <c r="R1948" i="8" s="1"/>
  <c r="Q1947" i="8"/>
  <c r="R1947" i="8" s="1"/>
  <c r="Q1946" i="8"/>
  <c r="R1946" i="8" s="1"/>
  <c r="Q1945" i="8"/>
  <c r="R1945" i="8" s="1"/>
  <c r="R1944" i="8"/>
  <c r="Q1944" i="8"/>
  <c r="R1943" i="8"/>
  <c r="Q1943" i="8"/>
  <c r="Q1942" i="8"/>
  <c r="R1942" i="8" s="1"/>
  <c r="Q1941" i="8"/>
  <c r="R1941" i="8" s="1"/>
  <c r="R1940" i="8"/>
  <c r="Q1940" i="8"/>
  <c r="Q1939" i="8"/>
  <c r="R1939" i="8" s="1"/>
  <c r="Q1938" i="8"/>
  <c r="R1938" i="8" s="1"/>
  <c r="R1937" i="8"/>
  <c r="Q1937" i="8"/>
  <c r="R1936" i="8"/>
  <c r="Q1936" i="8"/>
  <c r="R1935" i="8"/>
  <c r="Q1935" i="8"/>
  <c r="Q1934" i="8"/>
  <c r="R1934" i="8" s="1"/>
  <c r="Q1933" i="8"/>
  <c r="R1933" i="8" s="1"/>
  <c r="R1932" i="8"/>
  <c r="Q1932" i="8"/>
  <c r="R1931" i="8"/>
  <c r="Q1931" i="8"/>
  <c r="Q1930" i="8"/>
  <c r="R1930" i="8" s="1"/>
  <c r="Q1929" i="8"/>
  <c r="R1929" i="8" s="1"/>
  <c r="Q1928" i="8"/>
  <c r="R1928" i="8" s="1"/>
  <c r="R1927" i="8"/>
  <c r="Q1927" i="8"/>
  <c r="Q1926" i="8"/>
  <c r="R1926" i="8" s="1"/>
  <c r="R1925" i="8"/>
  <c r="Q1925" i="8"/>
  <c r="R1924" i="8"/>
  <c r="Q1924" i="8"/>
  <c r="R1923" i="8"/>
  <c r="Q1923" i="8"/>
  <c r="Q1922" i="8"/>
  <c r="R1922" i="8" s="1"/>
  <c r="R1921" i="8"/>
  <c r="Q1921" i="8"/>
  <c r="Q1920" i="8"/>
  <c r="R1920" i="8" s="1"/>
  <c r="Q1919" i="8"/>
  <c r="R1919" i="8" s="1"/>
  <c r="Q1918" i="8"/>
  <c r="R1918" i="8" s="1"/>
  <c r="Q1917" i="8"/>
  <c r="R1917" i="8" s="1"/>
  <c r="R1916" i="8"/>
  <c r="Q1916" i="8"/>
  <c r="R1915" i="8"/>
  <c r="Q1915" i="8"/>
  <c r="Q1914" i="8"/>
  <c r="R1914" i="8" s="1"/>
  <c r="R1913" i="8"/>
  <c r="Q1913" i="8"/>
  <c r="Q1912" i="8"/>
  <c r="R1912" i="8" s="1"/>
  <c r="Q1911" i="8"/>
  <c r="R1911" i="8" s="1"/>
  <c r="Q1910" i="8"/>
  <c r="R1910" i="8" s="1"/>
  <c r="Q1909" i="8"/>
  <c r="R1909" i="8" s="1"/>
  <c r="Q1908" i="8"/>
  <c r="R1908" i="8" s="1"/>
  <c r="Q1907" i="8"/>
  <c r="R1907" i="8" s="1"/>
  <c r="Q1906" i="8"/>
  <c r="R1906" i="8" s="1"/>
  <c r="Q1905" i="8"/>
  <c r="R1905" i="8" s="1"/>
  <c r="R1904" i="8"/>
  <c r="Q1904" i="8"/>
  <c r="R1903" i="8"/>
  <c r="Q1903" i="8"/>
  <c r="R1902" i="8"/>
  <c r="Q1902" i="8"/>
  <c r="Q1901" i="8"/>
  <c r="R1901" i="8" s="1"/>
  <c r="Q1900" i="8"/>
  <c r="R1900" i="8" s="1"/>
  <c r="R1899" i="8"/>
  <c r="Q1899" i="8"/>
  <c r="Q1898" i="8"/>
  <c r="R1898" i="8" s="1"/>
  <c r="R1897" i="8"/>
  <c r="Q1897" i="8"/>
  <c r="R1896" i="8"/>
  <c r="Q1896" i="8"/>
  <c r="Q1895" i="8"/>
  <c r="R1895" i="8" s="1"/>
  <c r="Q1894" i="8"/>
  <c r="R1894" i="8" s="1"/>
  <c r="Q1893" i="8"/>
  <c r="R1893" i="8" s="1"/>
  <c r="Q1892" i="8"/>
  <c r="R1892" i="8" s="1"/>
  <c r="Q1891" i="8"/>
  <c r="R1891" i="8" s="1"/>
  <c r="Q1890" i="8"/>
  <c r="R1890" i="8" s="1"/>
  <c r="Q1889" i="8"/>
  <c r="R1889" i="8" s="1"/>
  <c r="Q1888" i="8"/>
  <c r="R1888" i="8" s="1"/>
  <c r="R1887" i="8"/>
  <c r="Q1887" i="8"/>
  <c r="Q1886" i="8"/>
  <c r="R1886" i="8" s="1"/>
  <c r="R1885" i="8"/>
  <c r="Q1885" i="8"/>
  <c r="R1884" i="8"/>
  <c r="Q1884" i="8"/>
  <c r="Q1883" i="8"/>
  <c r="R1883" i="8" s="1"/>
  <c r="Q1882" i="8"/>
  <c r="R1882" i="8" s="1"/>
  <c r="Q1881" i="8"/>
  <c r="R1881" i="8" s="1"/>
  <c r="Q1880" i="8"/>
  <c r="R1880" i="8" s="1"/>
  <c r="R1879" i="8"/>
  <c r="Q1879" i="8"/>
  <c r="Q1878" i="8"/>
  <c r="R1878" i="8" s="1"/>
  <c r="Q1877" i="8"/>
  <c r="R1877" i="8" s="1"/>
  <c r="Q1876" i="8"/>
  <c r="R1876" i="8" s="1"/>
  <c r="R1875" i="8"/>
  <c r="Q1875" i="8"/>
  <c r="Q1874" i="8"/>
  <c r="R1874" i="8" s="1"/>
  <c r="Q1873" i="8"/>
  <c r="R1873" i="8" s="1"/>
  <c r="Q1872" i="8"/>
  <c r="R1872" i="8" s="1"/>
  <c r="Q1871" i="8"/>
  <c r="R1871" i="8" s="1"/>
  <c r="Q1870" i="8"/>
  <c r="R1870" i="8" s="1"/>
  <c r="Q1869" i="8"/>
  <c r="R1869" i="8" s="1"/>
  <c r="R1868" i="8"/>
  <c r="Q1868" i="8"/>
  <c r="R1867" i="8"/>
  <c r="Q1867" i="8"/>
  <c r="Q1866" i="8"/>
  <c r="R1866" i="8" s="1"/>
  <c r="R1865" i="8"/>
  <c r="Q1865" i="8"/>
  <c r="Q1864" i="8"/>
  <c r="R1864" i="8" s="1"/>
  <c r="R1863" i="8"/>
  <c r="Q1863" i="8"/>
  <c r="R1862" i="8"/>
  <c r="Q1862" i="8"/>
  <c r="Q1861" i="8"/>
  <c r="R1861" i="8" s="1"/>
  <c r="Q1860" i="8"/>
  <c r="R1860" i="8" s="1"/>
  <c r="Q1859" i="8"/>
  <c r="R1859" i="8" s="1"/>
  <c r="Q1858" i="8"/>
  <c r="R1858" i="8" s="1"/>
  <c r="R1857" i="8"/>
  <c r="Q1857" i="8"/>
  <c r="Q1856" i="8"/>
  <c r="R1856" i="8" s="1"/>
  <c r="R1855" i="8"/>
  <c r="Q1855" i="8"/>
  <c r="Q1854" i="8"/>
  <c r="R1854" i="8" s="1"/>
  <c r="R1853" i="8"/>
  <c r="Q1853" i="8"/>
  <c r="Q1852" i="8"/>
  <c r="R1852" i="8" s="1"/>
  <c r="Q1851" i="8"/>
  <c r="R1851" i="8" s="1"/>
  <c r="Q1850" i="8"/>
  <c r="R1850" i="8" s="1"/>
  <c r="Q1849" i="8"/>
  <c r="R1849" i="8" s="1"/>
  <c r="Q1848" i="8"/>
  <c r="R1848" i="8" s="1"/>
  <c r="R1847" i="8"/>
  <c r="Q1847" i="8"/>
  <c r="R1846" i="8"/>
  <c r="Q1846" i="8"/>
  <c r="Q1845" i="8"/>
  <c r="R1845" i="8" s="1"/>
  <c r="Q1844" i="8"/>
  <c r="R1844" i="8" s="1"/>
  <c r="R1843" i="8"/>
  <c r="Q1843" i="8"/>
  <c r="Q1842" i="8"/>
  <c r="R1842" i="8" s="1"/>
  <c r="Q1841" i="8"/>
  <c r="R1841" i="8" s="1"/>
  <c r="Q1840" i="8"/>
  <c r="R1840" i="8" s="1"/>
  <c r="Q1839" i="8"/>
  <c r="R1839" i="8" s="1"/>
  <c r="Q1838" i="8"/>
  <c r="R1838" i="8" s="1"/>
  <c r="Q1837" i="8"/>
  <c r="R1837" i="8" s="1"/>
  <c r="Q1836" i="8"/>
  <c r="R1836" i="8" s="1"/>
  <c r="R1835" i="8"/>
  <c r="Q1835" i="8"/>
  <c r="Q1834" i="8"/>
  <c r="R1834" i="8" s="1"/>
  <c r="R1833" i="8"/>
  <c r="Q1833" i="8"/>
  <c r="R1832" i="8"/>
  <c r="Q1832" i="8"/>
  <c r="R1831" i="8"/>
  <c r="Q1831" i="8"/>
  <c r="Q1830" i="8"/>
  <c r="R1830" i="8" s="1"/>
  <c r="R1829" i="8"/>
  <c r="Q1829" i="8"/>
  <c r="R1828" i="8"/>
  <c r="Q1828" i="8"/>
  <c r="Q1827" i="8"/>
  <c r="R1827" i="8" s="1"/>
  <c r="Q1826" i="8"/>
  <c r="R1826" i="8" s="1"/>
  <c r="Q1825" i="8"/>
  <c r="R1825" i="8" s="1"/>
  <c r="R1824" i="8"/>
  <c r="Q1824" i="8"/>
  <c r="R1823" i="8"/>
  <c r="Q1823" i="8"/>
  <c r="Q1822" i="8"/>
  <c r="R1822" i="8" s="1"/>
  <c r="Q1821" i="8"/>
  <c r="R1821" i="8" s="1"/>
  <c r="Q1820" i="8"/>
  <c r="R1820" i="8" s="1"/>
  <c r="Q1819" i="8"/>
  <c r="R1819" i="8" s="1"/>
  <c r="Q1818" i="8"/>
  <c r="R1818" i="8" s="1"/>
  <c r="R1817" i="8"/>
  <c r="Q1817" i="8"/>
  <c r="R1816" i="8"/>
  <c r="Q1816" i="8"/>
  <c r="Q1815" i="8"/>
  <c r="R1815" i="8" s="1"/>
  <c r="R1814" i="8"/>
  <c r="Q1814" i="8"/>
  <c r="Q1813" i="8"/>
  <c r="R1813" i="8" s="1"/>
  <c r="Q1812" i="8"/>
  <c r="R1812" i="8" s="1"/>
  <c r="Q1811" i="8"/>
  <c r="R1811" i="8" s="1"/>
  <c r="Q1810" i="8"/>
  <c r="R1810" i="8" s="1"/>
  <c r="Q1809" i="8"/>
  <c r="R1809" i="8" s="1"/>
  <c r="R1808" i="8"/>
  <c r="Q1808" i="8"/>
  <c r="R1807" i="8"/>
  <c r="Q1807" i="8"/>
  <c r="Q1806" i="8"/>
  <c r="R1806" i="8" s="1"/>
  <c r="Q1805" i="8"/>
  <c r="R1805" i="8" s="1"/>
  <c r="Q1804" i="8"/>
  <c r="R1804" i="8" s="1"/>
  <c r="Q1803" i="8"/>
  <c r="R1803" i="8" s="1"/>
  <c r="Q1802" i="8"/>
  <c r="R1802" i="8" s="1"/>
  <c r="R1801" i="8"/>
  <c r="Q1801" i="8"/>
  <c r="Q1800" i="8"/>
  <c r="R1800" i="8" s="1"/>
  <c r="Q1799" i="8"/>
  <c r="R1799" i="8" s="1"/>
  <c r="Q1798" i="8"/>
  <c r="R1798" i="8" s="1"/>
  <c r="Q1797" i="8"/>
  <c r="R1797" i="8" s="1"/>
  <c r="Q1796" i="8"/>
  <c r="R1796" i="8" s="1"/>
  <c r="Q1795" i="8"/>
  <c r="R1795" i="8" s="1"/>
  <c r="Q1794" i="8"/>
  <c r="R1794" i="8" s="1"/>
  <c r="Q1793" i="8"/>
  <c r="R1793" i="8" s="1"/>
  <c r="Q1792" i="8"/>
  <c r="R1792" i="8" s="1"/>
  <c r="Q1791" i="8"/>
  <c r="R1791" i="8" s="1"/>
  <c r="Q1790" i="8"/>
  <c r="R1790" i="8" s="1"/>
  <c r="Q1789" i="8"/>
  <c r="R1789" i="8" s="1"/>
  <c r="Q1788" i="8"/>
  <c r="R1788" i="8" s="1"/>
  <c r="Q1787" i="8"/>
  <c r="R1787" i="8" s="1"/>
  <c r="Q1786" i="8"/>
  <c r="R1786" i="8" s="1"/>
  <c r="Q1785" i="8"/>
  <c r="R1785" i="8" s="1"/>
  <c r="R1784" i="8"/>
  <c r="Q1784" i="8"/>
  <c r="R1783" i="8"/>
  <c r="Q1783" i="8"/>
  <c r="Q1782" i="8"/>
  <c r="R1782" i="8" s="1"/>
  <c r="Q1781" i="8"/>
  <c r="R1781" i="8" s="1"/>
  <c r="Q1780" i="8"/>
  <c r="R1780" i="8" s="1"/>
  <c r="Q1779" i="8"/>
  <c r="R1779" i="8" s="1"/>
  <c r="Q1778" i="8"/>
  <c r="R1778" i="8" s="1"/>
  <c r="Q1777" i="8"/>
  <c r="R1777" i="8" s="1"/>
  <c r="R1776" i="8"/>
  <c r="Q1776" i="8"/>
  <c r="R1775" i="8"/>
  <c r="Q1775" i="8"/>
  <c r="Q1774" i="8"/>
  <c r="R1774" i="8" s="1"/>
  <c r="Q1773" i="8"/>
  <c r="R1773" i="8" s="1"/>
  <c r="Q1772" i="8"/>
  <c r="R1772" i="8" s="1"/>
  <c r="Q1771" i="8"/>
  <c r="R1771" i="8" s="1"/>
  <c r="Q1770" i="8"/>
  <c r="R1770" i="8" s="1"/>
  <c r="R1769" i="8"/>
  <c r="Q1769" i="8"/>
  <c r="Q1768" i="8"/>
  <c r="R1768" i="8" s="1"/>
  <c r="R1767" i="8"/>
  <c r="Q1767" i="8"/>
  <c r="Q1766" i="8"/>
  <c r="R1766" i="8" s="1"/>
  <c r="Q1765" i="8"/>
  <c r="R1765" i="8" s="1"/>
  <c r="Q1764" i="8"/>
  <c r="R1764" i="8" s="1"/>
  <c r="R1763" i="8"/>
  <c r="Q1763" i="8"/>
  <c r="Q1762" i="8"/>
  <c r="R1762" i="8" s="1"/>
  <c r="Q1761" i="8"/>
  <c r="R1761" i="8" s="1"/>
  <c r="R1760" i="8"/>
  <c r="Q1760" i="8"/>
  <c r="R1759" i="8"/>
  <c r="Q1759" i="8"/>
  <c r="Q1758" i="8"/>
  <c r="R1758" i="8" s="1"/>
  <c r="R1757" i="8"/>
  <c r="Q1757" i="8"/>
  <c r="Q1756" i="8"/>
  <c r="R1756" i="8" s="1"/>
  <c r="R1755" i="8"/>
  <c r="Q1755" i="8"/>
  <c r="Q1754" i="8"/>
  <c r="R1754" i="8" s="1"/>
  <c r="Q1753" i="8"/>
  <c r="R1753" i="8" s="1"/>
  <c r="Q1752" i="8"/>
  <c r="R1752" i="8" s="1"/>
  <c r="R1751" i="8"/>
  <c r="Q1751" i="8"/>
  <c r="Q1750" i="8"/>
  <c r="R1750" i="8" s="1"/>
  <c r="Q1749" i="8"/>
  <c r="R1749" i="8" s="1"/>
  <c r="Q1748" i="8"/>
  <c r="R1748" i="8" s="1"/>
  <c r="R1747" i="8"/>
  <c r="Q1747" i="8"/>
  <c r="Q1746" i="8"/>
  <c r="R1746" i="8" s="1"/>
  <c r="R1745" i="8"/>
  <c r="Q1745" i="8"/>
  <c r="Q1744" i="8"/>
  <c r="R1744" i="8" s="1"/>
  <c r="Q1743" i="8"/>
  <c r="R1743" i="8" s="1"/>
  <c r="Q1742" i="8"/>
  <c r="R1742" i="8" s="1"/>
  <c r="Q1741" i="8"/>
  <c r="R1741" i="8" s="1"/>
  <c r="R1740" i="8"/>
  <c r="Q1740" i="8"/>
  <c r="R1739" i="8"/>
  <c r="Q1739" i="8"/>
  <c r="Q1738" i="8"/>
  <c r="R1738" i="8" s="1"/>
  <c r="R1737" i="8"/>
  <c r="Q1737" i="8"/>
  <c r="R1736" i="8"/>
  <c r="Q1736" i="8"/>
  <c r="Q1735" i="8"/>
  <c r="R1735" i="8" s="1"/>
  <c r="Q1734" i="8"/>
  <c r="R1734" i="8" s="1"/>
  <c r="Q1733" i="8"/>
  <c r="R1733" i="8" s="1"/>
  <c r="Q1732" i="8"/>
  <c r="R1732" i="8" s="1"/>
  <c r="Q1731" i="8"/>
  <c r="R1731" i="8" s="1"/>
  <c r="Q1730" i="8"/>
  <c r="R1730" i="8" s="1"/>
  <c r="R1729" i="8"/>
  <c r="Q1729" i="8"/>
  <c r="R1728" i="8"/>
  <c r="Q1728" i="8"/>
  <c r="Q1727" i="8"/>
  <c r="R1727" i="8" s="1"/>
  <c r="Q1726" i="8"/>
  <c r="R1726" i="8" s="1"/>
  <c r="Q1725" i="8"/>
  <c r="R1725" i="8" s="1"/>
  <c r="Q1724" i="8"/>
  <c r="R1724" i="8" s="1"/>
  <c r="R1723" i="8"/>
  <c r="Q1723" i="8"/>
  <c r="Q1722" i="8"/>
  <c r="R1722" i="8" s="1"/>
  <c r="Q1721" i="8"/>
  <c r="R1721" i="8" s="1"/>
  <c r="R1720" i="8"/>
  <c r="Q1720" i="8"/>
  <c r="Q1719" i="8"/>
  <c r="R1719" i="8" s="1"/>
  <c r="R1718" i="8"/>
  <c r="Q1718" i="8"/>
  <c r="R1717" i="8"/>
  <c r="Q1717" i="8"/>
  <c r="Q1716" i="8"/>
  <c r="R1716" i="8" s="1"/>
  <c r="R1715" i="8"/>
  <c r="Q1715" i="8"/>
  <c r="Q1714" i="8"/>
  <c r="R1714" i="8" s="1"/>
  <c r="Q1713" i="8"/>
  <c r="R1713" i="8" s="1"/>
  <c r="R1712" i="8"/>
  <c r="Q1712" i="8"/>
  <c r="R1711" i="8"/>
  <c r="Q1711" i="8"/>
  <c r="Q1710" i="8"/>
  <c r="R1710" i="8" s="1"/>
  <c r="Q1709" i="8"/>
  <c r="R1709" i="8" s="1"/>
  <c r="R1708" i="8"/>
  <c r="Q1708" i="8"/>
  <c r="R1707" i="8"/>
  <c r="Q1707" i="8"/>
  <c r="Q1706" i="8"/>
  <c r="R1706" i="8" s="1"/>
  <c r="R1705" i="8"/>
  <c r="Q1705" i="8"/>
  <c r="R1704" i="8"/>
  <c r="Q1704" i="8"/>
  <c r="Q1703" i="8"/>
  <c r="R1703" i="8" s="1"/>
  <c r="Q1702" i="8"/>
  <c r="R1702" i="8" s="1"/>
  <c r="R1701" i="8"/>
  <c r="Q1701" i="8"/>
  <c r="Q1700" i="8"/>
  <c r="R1700" i="8" s="1"/>
  <c r="R1699" i="8"/>
  <c r="Q1699" i="8"/>
  <c r="Q1698" i="8"/>
  <c r="R1698" i="8" s="1"/>
  <c r="R1697" i="8"/>
  <c r="Q1697" i="8"/>
  <c r="R1696" i="8"/>
  <c r="Q1696" i="8"/>
  <c r="R1695" i="8"/>
  <c r="Q1695" i="8"/>
  <c r="Q1694" i="8"/>
  <c r="R1694" i="8" s="1"/>
  <c r="Q1693" i="8"/>
  <c r="R1693" i="8" s="1"/>
  <c r="Q1692" i="8"/>
  <c r="R1692" i="8" s="1"/>
  <c r="R1691" i="8"/>
  <c r="Q1691" i="8"/>
  <c r="Q1690" i="8"/>
  <c r="R1690" i="8" s="1"/>
  <c r="R1689" i="8"/>
  <c r="Q1689" i="8"/>
  <c r="Q1688" i="8"/>
  <c r="R1688" i="8" s="1"/>
  <c r="R1687" i="8"/>
  <c r="Q1687" i="8"/>
  <c r="R1686" i="8"/>
  <c r="Q1686" i="8"/>
  <c r="Q1685" i="8"/>
  <c r="R1685" i="8" s="1"/>
  <c r="Q1684" i="8"/>
  <c r="R1684" i="8" s="1"/>
  <c r="R1683" i="8"/>
  <c r="Q1683" i="8"/>
  <c r="Q1682" i="8"/>
  <c r="R1682" i="8" s="1"/>
  <c r="R1681" i="8"/>
  <c r="Q1681" i="8"/>
  <c r="R1680" i="8"/>
  <c r="Q1680" i="8"/>
  <c r="Q1679" i="8"/>
  <c r="R1679" i="8" s="1"/>
  <c r="Q1678" i="8"/>
  <c r="R1678" i="8" s="1"/>
  <c r="Q1677" i="8"/>
  <c r="R1677" i="8" s="1"/>
  <c r="Q1676" i="8"/>
  <c r="R1676" i="8" s="1"/>
  <c r="Q1675" i="8"/>
  <c r="R1675" i="8" s="1"/>
  <c r="Q1674" i="8"/>
  <c r="R1674" i="8" s="1"/>
  <c r="Q1673" i="8"/>
  <c r="R1673" i="8" s="1"/>
  <c r="Q1672" i="8"/>
  <c r="R1672" i="8" s="1"/>
  <c r="R1671" i="8"/>
  <c r="Q1671" i="8"/>
  <c r="Q1670" i="8"/>
  <c r="R1670" i="8" s="1"/>
  <c r="R1669" i="8"/>
  <c r="Q1669" i="8"/>
  <c r="Q1668" i="8"/>
  <c r="R1668" i="8" s="1"/>
  <c r="R1667" i="8"/>
  <c r="Q1667" i="8"/>
  <c r="Q1666" i="8"/>
  <c r="R1666" i="8" s="1"/>
  <c r="Q1665" i="8"/>
  <c r="R1665" i="8" s="1"/>
  <c r="Q1664" i="8"/>
  <c r="R1664" i="8" s="1"/>
  <c r="R1663" i="8"/>
  <c r="Q1663" i="8"/>
  <c r="R1662" i="8"/>
  <c r="Q1662" i="8"/>
  <c r="Q1661" i="8"/>
  <c r="R1661" i="8" s="1"/>
  <c r="Q1660" i="8"/>
  <c r="R1660" i="8" s="1"/>
  <c r="R1659" i="8"/>
  <c r="Q1659" i="8"/>
  <c r="Q1658" i="8"/>
  <c r="R1658" i="8" s="1"/>
  <c r="R1657" i="8"/>
  <c r="Q1657" i="8"/>
  <c r="R1656" i="8"/>
  <c r="Q1656" i="8"/>
  <c r="R1655" i="8"/>
  <c r="Q1655" i="8"/>
  <c r="Q1654" i="8"/>
  <c r="R1654" i="8" s="1"/>
  <c r="Q1653" i="8"/>
  <c r="R1653" i="8" s="1"/>
  <c r="R1652" i="8"/>
  <c r="Q1652" i="8"/>
  <c r="R1651" i="8"/>
  <c r="Q1651" i="8"/>
  <c r="Q1650" i="8"/>
  <c r="R1650" i="8" s="1"/>
  <c r="R1649" i="8"/>
  <c r="Q1649" i="8"/>
  <c r="R1648" i="8"/>
  <c r="Q1648" i="8"/>
  <c r="Q1647" i="8"/>
  <c r="R1647" i="8" s="1"/>
  <c r="Q1646" i="8"/>
  <c r="R1646" i="8" s="1"/>
  <c r="Q1645" i="8"/>
  <c r="R1645" i="8" s="1"/>
  <c r="Q1644" i="8"/>
  <c r="R1644" i="8" s="1"/>
  <c r="Q1643" i="8"/>
  <c r="R1643" i="8" s="1"/>
  <c r="Q1642" i="8"/>
  <c r="R1642" i="8" s="1"/>
  <c r="Q1641" i="8"/>
  <c r="R1641" i="8" s="1"/>
  <c r="R1640" i="8"/>
  <c r="Q1640" i="8"/>
  <c r="R1639" i="8"/>
  <c r="Q1639" i="8"/>
  <c r="Q1638" i="8"/>
  <c r="R1638" i="8" s="1"/>
  <c r="Q1637" i="8"/>
  <c r="R1637" i="8" s="1"/>
  <c r="Q1636" i="8"/>
  <c r="R1636" i="8" s="1"/>
  <c r="R1635" i="8"/>
  <c r="Q1635" i="8"/>
  <c r="Q1634" i="8"/>
  <c r="R1634" i="8" s="1"/>
  <c r="Q1633" i="8"/>
  <c r="R1633" i="8" s="1"/>
  <c r="R1632" i="8"/>
  <c r="Q1632" i="8"/>
  <c r="Q1631" i="8"/>
  <c r="R1631" i="8" s="1"/>
  <c r="Q1630" i="8"/>
  <c r="R1630" i="8" s="1"/>
  <c r="Q1629" i="8"/>
  <c r="R1629" i="8" s="1"/>
  <c r="R1628" i="8"/>
  <c r="Q1628" i="8"/>
  <c r="R1627" i="8"/>
  <c r="Q1627" i="8"/>
  <c r="Q1626" i="8"/>
  <c r="R1626" i="8" s="1"/>
  <c r="Q1625" i="8"/>
  <c r="R1625" i="8" s="1"/>
  <c r="R1624" i="8"/>
  <c r="Q1624" i="8"/>
  <c r="Q1623" i="8"/>
  <c r="R1623" i="8" s="1"/>
  <c r="Q1622" i="8"/>
  <c r="R1622" i="8" s="1"/>
  <c r="Q1621" i="8"/>
  <c r="R1621" i="8" s="1"/>
  <c r="Q1620" i="8"/>
  <c r="R1620" i="8" s="1"/>
  <c r="Q1619" i="8"/>
  <c r="R1619" i="8" s="1"/>
  <c r="Q1618" i="8"/>
  <c r="R1618" i="8" s="1"/>
  <c r="Q1617" i="8"/>
  <c r="R1617" i="8" s="1"/>
  <c r="Q1616" i="8"/>
  <c r="R1616" i="8" s="1"/>
  <c r="Q1615" i="8"/>
  <c r="R1615" i="8" s="1"/>
  <c r="Q1614" i="8"/>
  <c r="R1614" i="8" s="1"/>
  <c r="Q1613" i="8"/>
  <c r="R1613" i="8" s="1"/>
  <c r="Q1612" i="8"/>
  <c r="R1612" i="8" s="1"/>
  <c r="R1611" i="8"/>
  <c r="Q1611" i="8"/>
  <c r="Q1610" i="8"/>
  <c r="R1610" i="8" s="1"/>
  <c r="R1609" i="8"/>
  <c r="Q1609" i="8"/>
  <c r="Q1608" i="8"/>
  <c r="R1608" i="8" s="1"/>
  <c r="Q1607" i="8"/>
  <c r="R1607" i="8" s="1"/>
  <c r="R1606" i="8"/>
  <c r="Q1606" i="8"/>
  <c r="R1605" i="8"/>
  <c r="Q1605" i="8"/>
  <c r="Q1604" i="8"/>
  <c r="R1604" i="8" s="1"/>
  <c r="R1603" i="8"/>
  <c r="Q1603" i="8"/>
  <c r="Q1602" i="8"/>
  <c r="R1602" i="8" s="1"/>
  <c r="R1601" i="8"/>
  <c r="Q1601" i="8"/>
  <c r="R1600" i="8"/>
  <c r="Q1600" i="8"/>
  <c r="Q1599" i="8"/>
  <c r="R1599" i="8" s="1"/>
  <c r="Q1598" i="8"/>
  <c r="R1598" i="8" s="1"/>
  <c r="R1597" i="8"/>
  <c r="Q1597" i="8"/>
  <c r="R1596" i="8"/>
  <c r="Q1596" i="8"/>
  <c r="R1595" i="8"/>
  <c r="Q1595" i="8"/>
  <c r="Q1594" i="8"/>
  <c r="R1594" i="8" s="1"/>
  <c r="R1593" i="8"/>
  <c r="Q1593" i="8"/>
  <c r="R1592" i="8"/>
  <c r="Q1592" i="8"/>
  <c r="Q1591" i="8"/>
  <c r="R1591" i="8" s="1"/>
  <c r="R1590" i="8"/>
  <c r="Q1590" i="8"/>
  <c r="Q1589" i="8"/>
  <c r="R1589" i="8" s="1"/>
  <c r="Q1588" i="8"/>
  <c r="R1588" i="8" s="1"/>
  <c r="R1587" i="8"/>
  <c r="Q1587" i="8"/>
  <c r="Q1586" i="8"/>
  <c r="R1586" i="8" s="1"/>
  <c r="R1585" i="8"/>
  <c r="Q1585" i="8"/>
  <c r="Q1584" i="8"/>
  <c r="R1584" i="8" s="1"/>
  <c r="Q1583" i="8"/>
  <c r="R1583" i="8" s="1"/>
  <c r="Q1582" i="8"/>
  <c r="R1582" i="8" s="1"/>
  <c r="R1581" i="8"/>
  <c r="Q1581" i="8"/>
  <c r="Q1580" i="8"/>
  <c r="R1580" i="8" s="1"/>
  <c r="R1579" i="8"/>
  <c r="Q1579" i="8"/>
  <c r="Q1578" i="8"/>
  <c r="R1578" i="8" s="1"/>
  <c r="R1577" i="8"/>
  <c r="Q1577" i="8"/>
  <c r="R1576" i="8"/>
  <c r="Q1576" i="8"/>
  <c r="Q1575" i="8"/>
  <c r="R1575" i="8" s="1"/>
  <c r="Q1574" i="8"/>
  <c r="R1574" i="8" s="1"/>
  <c r="Q1573" i="8"/>
  <c r="R1573" i="8" s="1"/>
  <c r="Q1572" i="8"/>
  <c r="R1572" i="8" s="1"/>
  <c r="Q1571" i="8"/>
  <c r="R1571" i="8" s="1"/>
  <c r="Q1570" i="8"/>
  <c r="R1570" i="8" s="1"/>
  <c r="R1569" i="8"/>
  <c r="Q1569" i="8"/>
  <c r="Q1568" i="8"/>
  <c r="R1568" i="8" s="1"/>
  <c r="Q1567" i="8"/>
  <c r="R1567" i="8" s="1"/>
  <c r="Q1566" i="8"/>
  <c r="R1566" i="8" s="1"/>
  <c r="Q1565" i="8"/>
  <c r="R1565" i="8" s="1"/>
  <c r="Q1564" i="8"/>
  <c r="R1564" i="8" s="1"/>
  <c r="R1563" i="8"/>
  <c r="Q1563" i="8"/>
  <c r="Q1562" i="8"/>
  <c r="R1562" i="8" s="1"/>
  <c r="Q1561" i="8"/>
  <c r="R1561" i="8" s="1"/>
  <c r="R1560" i="8"/>
  <c r="Q1560" i="8"/>
  <c r="Q1559" i="8"/>
  <c r="R1559" i="8" s="1"/>
  <c r="Q1558" i="8"/>
  <c r="R1558" i="8" s="1"/>
  <c r="Q1557" i="8"/>
  <c r="R1557" i="8" s="1"/>
  <c r="Q1556" i="8"/>
  <c r="R1556" i="8" s="1"/>
  <c r="Q1555" i="8"/>
  <c r="R1555" i="8" s="1"/>
  <c r="Q1554" i="8"/>
  <c r="R1554" i="8" s="1"/>
  <c r="R1553" i="8"/>
  <c r="Q1553" i="8"/>
  <c r="R1552" i="8"/>
  <c r="Q1552" i="8"/>
  <c r="Q1551" i="8"/>
  <c r="R1551" i="8" s="1"/>
  <c r="Q1550" i="8"/>
  <c r="R1550" i="8" s="1"/>
  <c r="Q1549" i="8"/>
  <c r="R1549" i="8" s="1"/>
  <c r="Q1548" i="8"/>
  <c r="R1548" i="8" s="1"/>
  <c r="Q1547" i="8"/>
  <c r="R1547" i="8" s="1"/>
  <c r="Q1546" i="8"/>
  <c r="R1546" i="8" s="1"/>
  <c r="Q1545" i="8"/>
  <c r="R1545" i="8" s="1"/>
  <c r="R1544" i="8"/>
  <c r="Q1544" i="8"/>
  <c r="Q1543" i="8"/>
  <c r="R1543" i="8" s="1"/>
  <c r="Q1542" i="8"/>
  <c r="R1542" i="8" s="1"/>
  <c r="Q1541" i="8"/>
  <c r="R1541" i="8" s="1"/>
  <c r="Q1540" i="8"/>
  <c r="R1540" i="8" s="1"/>
  <c r="R1539" i="8"/>
  <c r="Q1539" i="8"/>
  <c r="Q1538" i="8"/>
  <c r="R1538" i="8" s="1"/>
  <c r="Q1537" i="8"/>
  <c r="R1537" i="8" s="1"/>
  <c r="R1536" i="8"/>
  <c r="Q1536" i="8"/>
  <c r="Q1535" i="8"/>
  <c r="R1535" i="8" s="1"/>
  <c r="Q1534" i="8"/>
  <c r="R1534" i="8" s="1"/>
  <c r="R1533" i="8"/>
  <c r="Q1533" i="8"/>
  <c r="Q1532" i="8"/>
  <c r="R1532" i="8" s="1"/>
  <c r="Q1531" i="8"/>
  <c r="R1531" i="8" s="1"/>
  <c r="Q1530" i="8"/>
  <c r="R1530" i="8" s="1"/>
  <c r="Q1529" i="8"/>
  <c r="R1529" i="8" s="1"/>
  <c r="R1528" i="8"/>
  <c r="Q1528" i="8"/>
  <c r="Q1527" i="8"/>
  <c r="R1527" i="8" s="1"/>
  <c r="R1526" i="8"/>
  <c r="Q1526" i="8"/>
  <c r="Q1525" i="8"/>
  <c r="R1525" i="8" s="1"/>
  <c r="R1524" i="8"/>
  <c r="Q1524" i="8"/>
  <c r="R1523" i="8"/>
  <c r="Q1523" i="8"/>
  <c r="Q1522" i="8"/>
  <c r="R1522" i="8" s="1"/>
  <c r="Q1521" i="8"/>
  <c r="R1521" i="8" s="1"/>
  <c r="Q1520" i="8"/>
  <c r="R1520" i="8" s="1"/>
  <c r="Q1519" i="8"/>
  <c r="R1519" i="8" s="1"/>
  <c r="Q1518" i="8"/>
  <c r="R1518" i="8" s="1"/>
  <c r="Q1517" i="8"/>
  <c r="R1517" i="8" s="1"/>
  <c r="Q1516" i="8"/>
  <c r="R1516" i="8" s="1"/>
  <c r="Q1515" i="8"/>
  <c r="R1515" i="8" s="1"/>
  <c r="Q1514" i="8"/>
  <c r="R1514" i="8" s="1"/>
  <c r="Q1513" i="8"/>
  <c r="R1513" i="8" s="1"/>
  <c r="Q1512" i="8"/>
  <c r="R1512" i="8" s="1"/>
  <c r="Q1511" i="8"/>
  <c r="R1511" i="8" s="1"/>
  <c r="Q1510" i="8"/>
  <c r="R1510" i="8" s="1"/>
  <c r="Q1509" i="8"/>
  <c r="R1509" i="8" s="1"/>
  <c r="R1508" i="8"/>
  <c r="Q1508" i="8"/>
  <c r="R1507" i="8"/>
  <c r="Q1507" i="8"/>
  <c r="Q1506" i="8"/>
  <c r="R1506" i="8" s="1"/>
  <c r="R1505" i="8"/>
  <c r="Q1505" i="8"/>
  <c r="R1504" i="8"/>
  <c r="Q1504" i="8"/>
  <c r="Q1503" i="8"/>
  <c r="R1503" i="8" s="1"/>
  <c r="Q1502" i="8"/>
  <c r="R1502" i="8" s="1"/>
  <c r="Q1501" i="8"/>
  <c r="R1501" i="8" s="1"/>
  <c r="Q1500" i="8"/>
  <c r="R1500" i="8" s="1"/>
  <c r="Q1499" i="8"/>
  <c r="R1499" i="8" s="1"/>
  <c r="Q1498" i="8"/>
  <c r="R1498" i="8" s="1"/>
  <c r="Q1497" i="8"/>
  <c r="R1497" i="8" s="1"/>
  <c r="R1496" i="8"/>
  <c r="Q1496" i="8"/>
  <c r="Q1495" i="8"/>
  <c r="R1495" i="8" s="1"/>
  <c r="Q1494" i="8"/>
  <c r="R1494" i="8" s="1"/>
  <c r="Q1493" i="8"/>
  <c r="R1493" i="8" s="1"/>
  <c r="Q1492" i="8"/>
  <c r="R1492" i="8" s="1"/>
  <c r="R1491" i="8"/>
  <c r="Q1491" i="8"/>
  <c r="Q1490" i="8"/>
  <c r="R1490" i="8" s="1"/>
  <c r="Q1489" i="8"/>
  <c r="R1489" i="8" s="1"/>
  <c r="Q1488" i="8"/>
  <c r="R1488" i="8" s="1"/>
  <c r="Q1487" i="8"/>
  <c r="R1487" i="8" s="1"/>
  <c r="Q1486" i="8"/>
  <c r="R1486" i="8" s="1"/>
  <c r="Q1485" i="8"/>
  <c r="R1485" i="8" s="1"/>
  <c r="Q1484" i="8"/>
  <c r="R1484" i="8" s="1"/>
  <c r="R1483" i="8"/>
  <c r="Q1483" i="8"/>
  <c r="Q1482" i="8"/>
  <c r="R1482" i="8" s="1"/>
  <c r="Q1481" i="8"/>
  <c r="R1481" i="8" s="1"/>
  <c r="Q1480" i="8"/>
  <c r="R1480" i="8" s="1"/>
  <c r="Q1479" i="8"/>
  <c r="R1479" i="8" s="1"/>
  <c r="R1478" i="8"/>
  <c r="Q1478" i="8"/>
  <c r="Q1477" i="8"/>
  <c r="R1477" i="8" s="1"/>
  <c r="Q1476" i="8"/>
  <c r="R1476" i="8" s="1"/>
  <c r="Q1475" i="8"/>
  <c r="R1475" i="8" s="1"/>
  <c r="Q1474" i="8"/>
  <c r="R1474" i="8" s="1"/>
  <c r="Q1473" i="8"/>
  <c r="R1473" i="8" s="1"/>
  <c r="Q1472" i="8"/>
  <c r="R1472" i="8" s="1"/>
  <c r="Q1471" i="8"/>
  <c r="R1471" i="8" s="1"/>
  <c r="Q1470" i="8"/>
  <c r="R1470" i="8" s="1"/>
  <c r="R1469" i="8"/>
  <c r="Q1469" i="8"/>
  <c r="Q1468" i="8"/>
  <c r="R1468" i="8" s="1"/>
  <c r="Q1467" i="8"/>
  <c r="R1467" i="8" s="1"/>
  <c r="Q1466" i="8"/>
  <c r="R1466" i="8" s="1"/>
  <c r="R1465" i="8"/>
  <c r="Q1465" i="8"/>
  <c r="R1464" i="8"/>
  <c r="Q1464" i="8"/>
  <c r="Q1463" i="8"/>
  <c r="R1463" i="8" s="1"/>
  <c r="R1462" i="8"/>
  <c r="Q1462" i="8"/>
  <c r="Q1461" i="8"/>
  <c r="R1461" i="8" s="1"/>
  <c r="R1460" i="8"/>
  <c r="Q1460" i="8"/>
  <c r="R1459" i="8"/>
  <c r="Q1459" i="8"/>
  <c r="Q1458" i="8"/>
  <c r="R1458" i="8" s="1"/>
  <c r="Q1457" i="8"/>
  <c r="R1457" i="8" s="1"/>
  <c r="R1456" i="8"/>
  <c r="Q1456" i="8"/>
  <c r="Q1455" i="8"/>
  <c r="R1455" i="8" s="1"/>
  <c r="Q1454" i="8"/>
  <c r="R1454" i="8" s="1"/>
  <c r="Q1453" i="8"/>
  <c r="R1453" i="8" s="1"/>
  <c r="Q1452" i="8"/>
  <c r="R1452" i="8" s="1"/>
  <c r="Q1451" i="8"/>
  <c r="R1451" i="8" s="1"/>
  <c r="Q1450" i="8"/>
  <c r="R1450" i="8" s="1"/>
  <c r="Q1449" i="8"/>
  <c r="R1449" i="8" s="1"/>
  <c r="Q1448" i="8"/>
  <c r="R1448" i="8" s="1"/>
  <c r="Q1447" i="8"/>
  <c r="R1447" i="8" s="1"/>
  <c r="Q1446" i="8"/>
  <c r="R1446" i="8" s="1"/>
  <c r="Q1445" i="8"/>
  <c r="R1445" i="8" s="1"/>
  <c r="Q1444" i="8"/>
  <c r="R1444" i="8" s="1"/>
  <c r="R1443" i="8"/>
  <c r="Q1443" i="8"/>
  <c r="Q1442" i="8"/>
  <c r="R1442" i="8" s="1"/>
  <c r="R1441" i="8"/>
  <c r="Q1441" i="8"/>
  <c r="R1440" i="8"/>
  <c r="Q1440" i="8"/>
  <c r="Q1439" i="8"/>
  <c r="R1439" i="8" s="1"/>
  <c r="Q1438" i="8"/>
  <c r="R1438" i="8" s="1"/>
  <c r="Q1437" i="8"/>
  <c r="R1437" i="8" s="1"/>
  <c r="Q1436" i="8"/>
  <c r="R1436" i="8" s="1"/>
  <c r="Q1435" i="8"/>
  <c r="R1435" i="8" s="1"/>
  <c r="Q1434" i="8"/>
  <c r="R1434" i="8" s="1"/>
  <c r="Q1433" i="8"/>
  <c r="R1433" i="8" s="1"/>
  <c r="Q1432" i="8"/>
  <c r="R1432" i="8" s="1"/>
  <c r="Q1431" i="8"/>
  <c r="R1431" i="8" s="1"/>
  <c r="Q1430" i="8"/>
  <c r="R1430" i="8" s="1"/>
  <c r="Q1429" i="8"/>
  <c r="R1429" i="8" s="1"/>
  <c r="Q1428" i="8"/>
  <c r="R1428" i="8" s="1"/>
  <c r="Q1427" i="8"/>
  <c r="R1427" i="8" s="1"/>
  <c r="Q1426" i="8"/>
  <c r="R1426" i="8" s="1"/>
  <c r="R1425" i="8"/>
  <c r="Q1425" i="8"/>
  <c r="Q1424" i="8"/>
  <c r="R1424" i="8" s="1"/>
  <c r="Q1423" i="8"/>
  <c r="R1423" i="8" s="1"/>
  <c r="Q1422" i="8"/>
  <c r="R1422" i="8" s="1"/>
  <c r="Q1421" i="8"/>
  <c r="R1421" i="8" s="1"/>
  <c r="Q1420" i="8"/>
  <c r="R1420" i="8" s="1"/>
  <c r="Q1419" i="8"/>
  <c r="R1419" i="8" s="1"/>
  <c r="Q1418" i="8"/>
  <c r="R1418" i="8" s="1"/>
  <c r="Q1417" i="8"/>
  <c r="R1417" i="8" s="1"/>
  <c r="Q1416" i="8"/>
  <c r="R1416" i="8" s="1"/>
  <c r="Q1415" i="8"/>
  <c r="R1415" i="8" s="1"/>
  <c r="Q1414" i="8"/>
  <c r="R1414" i="8" s="1"/>
  <c r="Q1413" i="8"/>
  <c r="R1413" i="8" s="1"/>
  <c r="Q1412" i="8"/>
  <c r="R1412" i="8" s="1"/>
  <c r="Q1411" i="8"/>
  <c r="R1411" i="8" s="1"/>
  <c r="Q1410" i="8"/>
  <c r="R1410" i="8" s="1"/>
  <c r="R1409" i="8"/>
  <c r="Q1409" i="8"/>
  <c r="Q1408" i="8"/>
  <c r="R1408" i="8" s="1"/>
  <c r="Q1407" i="8"/>
  <c r="R1407" i="8" s="1"/>
  <c r="Q1406" i="8"/>
  <c r="R1406" i="8" s="1"/>
  <c r="R1405" i="8"/>
  <c r="Q1405" i="8"/>
  <c r="Q1404" i="8"/>
  <c r="R1404" i="8" s="1"/>
  <c r="R1403" i="8"/>
  <c r="Q1403" i="8"/>
  <c r="Q1402" i="8"/>
  <c r="R1402" i="8" s="1"/>
  <c r="Q1401" i="8"/>
  <c r="R1401" i="8" s="1"/>
  <c r="Q1400" i="8"/>
  <c r="R1400" i="8" s="1"/>
  <c r="Q1399" i="8"/>
  <c r="R1399" i="8" s="1"/>
  <c r="Q1398" i="8"/>
  <c r="R1398" i="8" s="1"/>
  <c r="Q1397" i="8"/>
  <c r="R1397" i="8" s="1"/>
  <c r="Q1396" i="8"/>
  <c r="R1396" i="8" s="1"/>
  <c r="R1395" i="8"/>
  <c r="Q1395" i="8"/>
  <c r="Q1394" i="8"/>
  <c r="R1394" i="8" s="1"/>
  <c r="Q1393" i="8"/>
  <c r="R1393" i="8" s="1"/>
  <c r="R1392" i="8"/>
  <c r="Q1392" i="8"/>
  <c r="Q1391" i="8"/>
  <c r="R1391" i="8" s="1"/>
  <c r="Q1390" i="8"/>
  <c r="R1390" i="8" s="1"/>
  <c r="Q1389" i="8"/>
  <c r="R1389" i="8" s="1"/>
  <c r="Q1388" i="8"/>
  <c r="R1388" i="8" s="1"/>
  <c r="R1387" i="8"/>
  <c r="Q1387" i="8"/>
  <c r="Q1386" i="8"/>
  <c r="R1386" i="8" s="1"/>
  <c r="Q1385" i="8"/>
  <c r="R1385" i="8" s="1"/>
  <c r="Q1384" i="8"/>
  <c r="R1384" i="8" s="1"/>
  <c r="Q1383" i="8"/>
  <c r="R1383" i="8" s="1"/>
  <c r="Q1382" i="8"/>
  <c r="R1382" i="8" s="1"/>
  <c r="Q1381" i="8"/>
  <c r="R1381" i="8" s="1"/>
  <c r="R1380" i="8"/>
  <c r="Q1380" i="8"/>
  <c r="R1379" i="8"/>
  <c r="Q1379" i="8"/>
  <c r="Q1378" i="8"/>
  <c r="R1378" i="8" s="1"/>
  <c r="Q1377" i="8"/>
  <c r="R1377" i="8" s="1"/>
  <c r="Q1376" i="8"/>
  <c r="R1376" i="8" s="1"/>
  <c r="Q1375" i="8"/>
  <c r="R1375" i="8" s="1"/>
  <c r="Q1374" i="8"/>
  <c r="R1374" i="8" s="1"/>
  <c r="Q1373" i="8"/>
  <c r="R1373" i="8" s="1"/>
  <c r="Q1372" i="8"/>
  <c r="R1372" i="8" s="1"/>
  <c r="Q1371" i="8"/>
  <c r="R1371" i="8" s="1"/>
  <c r="Q1370" i="8"/>
  <c r="R1370" i="8" s="1"/>
  <c r="R1369" i="8"/>
  <c r="Q1369" i="8"/>
  <c r="Q1368" i="8"/>
  <c r="R1368" i="8" s="1"/>
  <c r="Q1367" i="8"/>
  <c r="R1367" i="8" s="1"/>
  <c r="Q1366" i="8"/>
  <c r="R1366" i="8" s="1"/>
  <c r="Q1365" i="8"/>
  <c r="R1365" i="8" s="1"/>
  <c r="Q1364" i="8"/>
  <c r="R1364" i="8" s="1"/>
  <c r="Q1363" i="8"/>
  <c r="R1363" i="8" s="1"/>
  <c r="Q1362" i="8"/>
  <c r="R1362" i="8" s="1"/>
  <c r="Q1361" i="8"/>
  <c r="R1361" i="8" s="1"/>
  <c r="Q1360" i="8"/>
  <c r="R1360" i="8" s="1"/>
  <c r="Q1359" i="8"/>
  <c r="R1359" i="8" s="1"/>
  <c r="Q1358" i="8"/>
  <c r="R1358" i="8" s="1"/>
  <c r="Q1357" i="8"/>
  <c r="R1357" i="8" s="1"/>
  <c r="Q1356" i="8"/>
  <c r="R1356" i="8" s="1"/>
  <c r="Q1355" i="8"/>
  <c r="R1355" i="8" s="1"/>
  <c r="Q1354" i="8"/>
  <c r="R1354" i="8" s="1"/>
  <c r="Q1353" i="8"/>
  <c r="R1353" i="8" s="1"/>
  <c r="R1352" i="8"/>
  <c r="Q1352" i="8"/>
  <c r="Q1351" i="8"/>
  <c r="R1351" i="8" s="1"/>
  <c r="Q1350" i="8"/>
  <c r="R1350" i="8" s="1"/>
  <c r="Q1349" i="8"/>
  <c r="R1349" i="8" s="1"/>
  <c r="Q1348" i="8"/>
  <c r="R1348" i="8" s="1"/>
  <c r="Q1347" i="8"/>
  <c r="R1347" i="8" s="1"/>
  <c r="Q1346" i="8"/>
  <c r="R1346" i="8" s="1"/>
  <c r="R1345" i="8"/>
  <c r="Q1345" i="8"/>
  <c r="Q1344" i="8"/>
  <c r="R1344" i="8" s="1"/>
  <c r="Q1343" i="8"/>
  <c r="R1343" i="8" s="1"/>
  <c r="Q1342" i="8"/>
  <c r="R1342" i="8" s="1"/>
  <c r="R1341" i="8"/>
  <c r="Q1341" i="8"/>
  <c r="Q1340" i="8"/>
  <c r="R1340" i="8" s="1"/>
  <c r="R1339" i="8"/>
  <c r="Q1339" i="8"/>
  <c r="Q1338" i="8"/>
  <c r="R1338" i="8" s="1"/>
  <c r="R1337" i="8"/>
  <c r="Q1337" i="8"/>
  <c r="Q1336" i="8"/>
  <c r="R1336" i="8" s="1"/>
  <c r="Q1335" i="8"/>
  <c r="R1335" i="8" s="1"/>
  <c r="R1334" i="8"/>
  <c r="Q1334" i="8"/>
  <c r="Q1333" i="8"/>
  <c r="R1333" i="8" s="1"/>
  <c r="Q1332" i="8"/>
  <c r="R1332" i="8" s="1"/>
  <c r="Q1331" i="8"/>
  <c r="R1331" i="8" s="1"/>
  <c r="Q1330" i="8"/>
  <c r="R1330" i="8" s="1"/>
  <c r="R1329" i="8"/>
  <c r="Q1329" i="8"/>
  <c r="Q1328" i="8"/>
  <c r="R1328" i="8" s="1"/>
  <c r="Q1327" i="8"/>
  <c r="R1327" i="8" s="1"/>
  <c r="Q1326" i="8"/>
  <c r="R1326" i="8" s="1"/>
  <c r="Q1325" i="8"/>
  <c r="R1325" i="8" s="1"/>
  <c r="Q1324" i="8"/>
  <c r="R1324" i="8" s="1"/>
  <c r="Q1323" i="8"/>
  <c r="R1323" i="8" s="1"/>
  <c r="Q1322" i="8"/>
  <c r="R1322" i="8" s="1"/>
  <c r="Q1321" i="8"/>
  <c r="R1321" i="8" s="1"/>
  <c r="Q1320" i="8"/>
  <c r="R1320" i="8" s="1"/>
  <c r="Q1319" i="8"/>
  <c r="R1319" i="8" s="1"/>
  <c r="Q1318" i="8"/>
  <c r="R1318" i="8" s="1"/>
  <c r="Q1317" i="8"/>
  <c r="R1317" i="8" s="1"/>
  <c r="R1316" i="8"/>
  <c r="Q1316" i="8"/>
  <c r="R1315" i="8"/>
  <c r="Q1315" i="8"/>
  <c r="Q1314" i="8"/>
  <c r="R1314" i="8" s="1"/>
  <c r="R1313" i="8"/>
  <c r="Q1313" i="8"/>
  <c r="R1312" i="8"/>
  <c r="Q1312" i="8"/>
  <c r="Q1311" i="8"/>
  <c r="R1311" i="8" s="1"/>
  <c r="Q1310" i="8"/>
  <c r="R1310" i="8" s="1"/>
  <c r="Q1309" i="8"/>
  <c r="R1309" i="8" s="1"/>
  <c r="Q1308" i="8"/>
  <c r="R1308" i="8" s="1"/>
  <c r="R1307" i="8"/>
  <c r="Q1307" i="8"/>
  <c r="Q1306" i="8"/>
  <c r="R1306" i="8" s="1"/>
  <c r="R1305" i="8"/>
  <c r="Q1305" i="8"/>
  <c r="Q1304" i="8"/>
  <c r="R1304" i="8" s="1"/>
  <c r="Q1303" i="8"/>
  <c r="R1303" i="8" s="1"/>
  <c r="Q1302" i="8"/>
  <c r="R1302" i="8" s="1"/>
  <c r="Q1301" i="8"/>
  <c r="R1301" i="8" s="1"/>
  <c r="Q1300" i="8"/>
  <c r="R1300" i="8" s="1"/>
  <c r="R1299" i="8"/>
  <c r="Q1299" i="8"/>
  <c r="Q1298" i="8"/>
  <c r="R1298" i="8" s="1"/>
  <c r="Q1297" i="8"/>
  <c r="R1297" i="8" s="1"/>
  <c r="Q1296" i="8"/>
  <c r="R1296" i="8" s="1"/>
  <c r="Q1295" i="8"/>
  <c r="R1295" i="8" s="1"/>
  <c r="Q1294" i="8"/>
  <c r="R1294" i="8" s="1"/>
  <c r="Q1293" i="8"/>
  <c r="R1293" i="8" s="1"/>
  <c r="Q1292" i="8"/>
  <c r="R1292" i="8" s="1"/>
  <c r="Q1291" i="8"/>
  <c r="R1291" i="8" s="1"/>
  <c r="Q1290" i="8"/>
  <c r="R1290" i="8" s="1"/>
  <c r="Q1289" i="8"/>
  <c r="R1289" i="8" s="1"/>
  <c r="R1288" i="8"/>
  <c r="Q1288" i="8"/>
  <c r="Q1287" i="8"/>
  <c r="R1287" i="8" s="1"/>
  <c r="Q1286" i="8"/>
  <c r="R1286" i="8" s="1"/>
  <c r="Q1285" i="8"/>
  <c r="R1285" i="8" s="1"/>
  <c r="Q1284" i="8"/>
  <c r="R1284" i="8" s="1"/>
  <c r="Q1283" i="8"/>
  <c r="R1283" i="8" s="1"/>
  <c r="Q1282" i="8"/>
  <c r="R1282" i="8" s="1"/>
  <c r="R1281" i="8"/>
  <c r="Q1281" i="8"/>
  <c r="Q1280" i="8"/>
  <c r="R1280" i="8" s="1"/>
  <c r="Q1279" i="8"/>
  <c r="R1279" i="8" s="1"/>
  <c r="Q1278" i="8"/>
  <c r="R1278" i="8" s="1"/>
  <c r="R1277" i="8"/>
  <c r="Q1277" i="8"/>
  <c r="Q1276" i="8"/>
  <c r="R1276" i="8" s="1"/>
  <c r="R1275" i="8"/>
  <c r="Q1275" i="8"/>
  <c r="Q1274" i="8"/>
  <c r="R1274" i="8" s="1"/>
  <c r="Q1273" i="8"/>
  <c r="R1273" i="8" s="1"/>
  <c r="Q1272" i="8"/>
  <c r="R1272" i="8" s="1"/>
  <c r="Q1271" i="8"/>
  <c r="R1271" i="8" s="1"/>
  <c r="R1270" i="8"/>
  <c r="Q1270" i="8"/>
  <c r="Q1269" i="8"/>
  <c r="R1269" i="8" s="1"/>
  <c r="Q1268" i="8"/>
  <c r="R1268" i="8" s="1"/>
  <c r="R1267" i="8"/>
  <c r="Q1267" i="8"/>
  <c r="Q1266" i="8"/>
  <c r="R1266" i="8" s="1"/>
  <c r="R1265" i="8"/>
  <c r="Q1265" i="8"/>
  <c r="Q1264" i="8"/>
  <c r="R1264" i="8" s="1"/>
  <c r="Q1263" i="8"/>
  <c r="R1263" i="8" s="1"/>
  <c r="Q1262" i="8"/>
  <c r="R1262" i="8" s="1"/>
  <c r="R1261" i="8"/>
  <c r="Q1261" i="8"/>
  <c r="Q1260" i="8"/>
  <c r="R1260" i="8" s="1"/>
  <c r="R1259" i="8"/>
  <c r="Q1259" i="8"/>
  <c r="Q1258" i="8"/>
  <c r="R1258" i="8" s="1"/>
  <c r="Q1257" i="8"/>
  <c r="R1257" i="8" s="1"/>
  <c r="R1256" i="8"/>
  <c r="Q1256" i="8"/>
  <c r="Q1255" i="8"/>
  <c r="R1255" i="8" s="1"/>
  <c r="Q1254" i="8"/>
  <c r="R1254" i="8" s="1"/>
  <c r="Q1253" i="8"/>
  <c r="R1253" i="8" s="1"/>
  <c r="R1252" i="8"/>
  <c r="Q1252" i="8"/>
  <c r="Q1251" i="8"/>
  <c r="R1251" i="8" s="1"/>
  <c r="Q1250" i="8"/>
  <c r="R1250" i="8" s="1"/>
  <c r="Q1249" i="8"/>
  <c r="R1249" i="8" s="1"/>
  <c r="Q1248" i="8"/>
  <c r="R1248" i="8" s="1"/>
  <c r="Q1247" i="8"/>
  <c r="R1247" i="8" s="1"/>
  <c r="Q1246" i="8"/>
  <c r="R1246" i="8" s="1"/>
  <c r="Q1245" i="8"/>
  <c r="R1245" i="8" s="1"/>
  <c r="Q1244" i="8"/>
  <c r="R1244" i="8" s="1"/>
  <c r="R1243" i="8"/>
  <c r="Q1243" i="8"/>
  <c r="Q1242" i="8"/>
  <c r="R1242" i="8" s="1"/>
  <c r="Q1241" i="8"/>
  <c r="R1241" i="8" s="1"/>
  <c r="Q1240" i="8"/>
  <c r="R1240" i="8" s="1"/>
  <c r="Q1239" i="8"/>
  <c r="R1239" i="8" s="1"/>
  <c r="Q1238" i="8"/>
  <c r="R1238" i="8" s="1"/>
  <c r="Q1237" i="8"/>
  <c r="R1237" i="8" s="1"/>
  <c r="Q1236" i="8"/>
  <c r="R1236" i="8" s="1"/>
  <c r="Q1235" i="8"/>
  <c r="R1235" i="8" s="1"/>
  <c r="Q1234" i="8"/>
  <c r="R1234" i="8" s="1"/>
  <c r="R1233" i="8"/>
  <c r="Q1233" i="8"/>
  <c r="Q1232" i="8"/>
  <c r="R1232" i="8" s="1"/>
  <c r="Q1231" i="8"/>
  <c r="R1231" i="8" s="1"/>
  <c r="Q1230" i="8"/>
  <c r="R1230" i="8" s="1"/>
  <c r="Q1229" i="8"/>
  <c r="R1229" i="8" s="1"/>
  <c r="Q1228" i="8"/>
  <c r="R1228" i="8" s="1"/>
  <c r="Q1227" i="8"/>
  <c r="R1227" i="8" s="1"/>
  <c r="Q1226" i="8"/>
  <c r="R1226" i="8" s="1"/>
  <c r="Q1225" i="8"/>
  <c r="R1225" i="8" s="1"/>
  <c r="R1224" i="8"/>
  <c r="Q1224" i="8"/>
  <c r="Q1223" i="8"/>
  <c r="R1223" i="8" s="1"/>
  <c r="R1222" i="8"/>
  <c r="Q1222" i="8"/>
  <c r="Q1221" i="8"/>
  <c r="R1221" i="8" s="1"/>
  <c r="Q1220" i="8"/>
  <c r="R1220" i="8" s="1"/>
  <c r="Q1219" i="8"/>
  <c r="R1219" i="8" s="1"/>
  <c r="Q1218" i="8"/>
  <c r="R1218" i="8" s="1"/>
  <c r="Q1217" i="8"/>
  <c r="R1217" i="8" s="1"/>
  <c r="Q1216" i="8"/>
  <c r="R1216" i="8" s="1"/>
  <c r="Q1215" i="8"/>
  <c r="R1215" i="8" s="1"/>
  <c r="Q1214" i="8"/>
  <c r="R1214" i="8" s="1"/>
  <c r="Q1213" i="8"/>
  <c r="R1213" i="8" s="1"/>
  <c r="Q1212" i="8"/>
  <c r="R1212" i="8" s="1"/>
  <c r="Q1211" i="8"/>
  <c r="R1211" i="8" s="1"/>
  <c r="Q1210" i="8"/>
  <c r="R1210" i="8" s="1"/>
  <c r="R1209" i="8"/>
  <c r="Q1209" i="8"/>
  <c r="Q1208" i="8"/>
  <c r="R1208" i="8" s="1"/>
  <c r="Q1207" i="8"/>
  <c r="R1207" i="8" s="1"/>
  <c r="R1206" i="8"/>
  <c r="Q1206" i="8"/>
  <c r="Q1205" i="8"/>
  <c r="R1205" i="8" s="1"/>
  <c r="R1204" i="8"/>
  <c r="Q1204" i="8"/>
  <c r="Q1203" i="8"/>
  <c r="R1203" i="8" s="1"/>
  <c r="Q1202" i="8"/>
  <c r="R1202" i="8" s="1"/>
  <c r="Q1201" i="8"/>
  <c r="R1201" i="8" s="1"/>
  <c r="R1200" i="8"/>
  <c r="Q1200" i="8"/>
  <c r="Q1199" i="8"/>
  <c r="R1199" i="8" s="1"/>
  <c r="Q1198" i="8"/>
  <c r="R1198" i="8" s="1"/>
  <c r="Q1197" i="8"/>
  <c r="R1197" i="8" s="1"/>
  <c r="Q1196" i="8"/>
  <c r="R1196" i="8" s="1"/>
  <c r="R1195" i="8"/>
  <c r="Q1195" i="8"/>
  <c r="Q1194" i="8"/>
  <c r="R1194" i="8" s="1"/>
  <c r="R1193" i="8"/>
  <c r="Q1193" i="8"/>
  <c r="R1192" i="8"/>
  <c r="Q1192" i="8"/>
  <c r="Q1191" i="8"/>
  <c r="R1191" i="8" s="1"/>
  <c r="Q1190" i="8"/>
  <c r="R1190" i="8" s="1"/>
  <c r="Q1189" i="8"/>
  <c r="R1189" i="8" s="1"/>
  <c r="R1188" i="8"/>
  <c r="Q1188" i="8"/>
  <c r="Q1187" i="8"/>
  <c r="R1187" i="8" s="1"/>
  <c r="Q1186" i="8"/>
  <c r="R1186" i="8" s="1"/>
  <c r="Q1185" i="8"/>
  <c r="R1185" i="8" s="1"/>
  <c r="Q1184" i="8"/>
  <c r="R1184" i="8" s="1"/>
  <c r="Q1183" i="8"/>
  <c r="R1183" i="8" s="1"/>
  <c r="Q1182" i="8"/>
  <c r="R1182" i="8" s="1"/>
  <c r="Q1181" i="8"/>
  <c r="R1181" i="8" s="1"/>
  <c r="Q1180" i="8"/>
  <c r="R1180" i="8" s="1"/>
  <c r="R1179" i="8"/>
  <c r="Q1179" i="8"/>
  <c r="Q1178" i="8"/>
  <c r="R1178" i="8" s="1"/>
  <c r="Q1177" i="8"/>
  <c r="R1177" i="8" s="1"/>
  <c r="Q1176" i="8"/>
  <c r="R1176" i="8" s="1"/>
  <c r="Q1175" i="8"/>
  <c r="R1175" i="8" s="1"/>
  <c r="Q1174" i="8"/>
  <c r="R1174" i="8" s="1"/>
  <c r="Q1173" i="8"/>
  <c r="R1173" i="8" s="1"/>
  <c r="Q1172" i="8"/>
  <c r="R1172" i="8" s="1"/>
  <c r="Q1171" i="8"/>
  <c r="R1171" i="8" s="1"/>
  <c r="Q1170" i="8"/>
  <c r="R1170" i="8" s="1"/>
  <c r="Q1169" i="8"/>
  <c r="R1169" i="8" s="1"/>
  <c r="R1168" i="8"/>
  <c r="Q1168" i="8"/>
  <c r="Q1167" i="8"/>
  <c r="R1167" i="8" s="1"/>
  <c r="Q1166" i="8"/>
  <c r="R1166" i="8" s="1"/>
  <c r="Q1165" i="8"/>
  <c r="R1165" i="8" s="1"/>
  <c r="Q1164" i="8"/>
  <c r="R1164" i="8" s="1"/>
  <c r="Q1163" i="8"/>
  <c r="R1163" i="8" s="1"/>
  <c r="Q1162" i="8"/>
  <c r="R1162" i="8" s="1"/>
  <c r="Q1161" i="8"/>
  <c r="R1161" i="8" s="1"/>
  <c r="R1160" i="8"/>
  <c r="Q1160" i="8"/>
  <c r="Q1159" i="8"/>
  <c r="R1159" i="8" s="1"/>
  <c r="Q1158" i="8"/>
  <c r="R1158" i="8" s="1"/>
  <c r="Q1157" i="8"/>
  <c r="R1157" i="8" s="1"/>
  <c r="Q1156" i="8"/>
  <c r="R1156" i="8" s="1"/>
  <c r="R1155" i="8"/>
  <c r="Q1155" i="8"/>
  <c r="Q1154" i="8"/>
  <c r="R1154" i="8" s="1"/>
  <c r="R1153" i="8"/>
  <c r="Q1153" i="8"/>
  <c r="Q1152" i="8"/>
  <c r="R1152" i="8" s="1"/>
  <c r="Q1151" i="8"/>
  <c r="R1151" i="8" s="1"/>
  <c r="Q1150" i="8"/>
  <c r="R1150" i="8" s="1"/>
  <c r="R1149" i="8"/>
  <c r="Q1149" i="8"/>
  <c r="Q1148" i="8"/>
  <c r="R1148" i="8" s="1"/>
  <c r="Q1147" i="8"/>
  <c r="R1147" i="8" s="1"/>
  <c r="Q1146" i="8"/>
  <c r="R1146" i="8" s="1"/>
  <c r="Q1145" i="8"/>
  <c r="R1145" i="8" s="1"/>
  <c r="Q1144" i="8"/>
  <c r="R1144" i="8" s="1"/>
  <c r="Q1143" i="8"/>
  <c r="R1143" i="8" s="1"/>
  <c r="Q1142" i="8"/>
  <c r="R1142" i="8" s="1"/>
  <c r="Q1141" i="8"/>
  <c r="R1141" i="8" s="1"/>
  <c r="R1140" i="8"/>
  <c r="Q1140" i="8"/>
  <c r="Q1139" i="8"/>
  <c r="R1139" i="8" s="1"/>
  <c r="Q1138" i="8"/>
  <c r="R1138" i="8" s="1"/>
  <c r="R1137" i="8"/>
  <c r="Q1137" i="8"/>
  <c r="Q1136" i="8"/>
  <c r="R1136" i="8" s="1"/>
  <c r="Q1135" i="8"/>
  <c r="R1135" i="8" s="1"/>
  <c r="Q1134" i="8"/>
  <c r="R1134" i="8" s="1"/>
  <c r="Q1133" i="8"/>
  <c r="R1133" i="8" s="1"/>
  <c r="Q1132" i="8"/>
  <c r="R1132" i="8" s="1"/>
  <c r="Q1131" i="8"/>
  <c r="R1131" i="8" s="1"/>
  <c r="Q1130" i="8"/>
  <c r="R1130" i="8" s="1"/>
  <c r="Q1129" i="8"/>
  <c r="R1129" i="8" s="1"/>
  <c r="Q1128" i="8"/>
  <c r="R1128" i="8" s="1"/>
  <c r="Q1127" i="8"/>
  <c r="R1127" i="8" s="1"/>
  <c r="Q1126" i="8"/>
  <c r="R1126" i="8" s="1"/>
  <c r="Q1125" i="8"/>
  <c r="R1125" i="8" s="1"/>
  <c r="R1124" i="8"/>
  <c r="Q1124" i="8"/>
  <c r="Q1123" i="8"/>
  <c r="R1123" i="8" s="1"/>
  <c r="Q1122" i="8"/>
  <c r="R1122" i="8" s="1"/>
  <c r="Q1121" i="8"/>
  <c r="R1121" i="8" s="1"/>
  <c r="R1120" i="8"/>
  <c r="Q1120" i="8"/>
  <c r="Q1119" i="8"/>
  <c r="R1119" i="8" s="1"/>
  <c r="R1118" i="8"/>
  <c r="Q1118" i="8"/>
  <c r="Q1117" i="8"/>
  <c r="R1117" i="8" s="1"/>
  <c r="Q1116" i="8"/>
  <c r="R1116" i="8" s="1"/>
  <c r="Q1115" i="8"/>
  <c r="R1115" i="8" s="1"/>
  <c r="Q1114" i="8"/>
  <c r="R1114" i="8" s="1"/>
  <c r="Q1113" i="8"/>
  <c r="R1113" i="8" s="1"/>
  <c r="Q1112" i="8"/>
  <c r="R1112" i="8" s="1"/>
  <c r="Q1111" i="8"/>
  <c r="R1111" i="8" s="1"/>
  <c r="Q1110" i="8"/>
  <c r="R1110" i="8" s="1"/>
  <c r="Q1109" i="8"/>
  <c r="R1109" i="8" s="1"/>
  <c r="Q1108" i="8"/>
  <c r="R1108" i="8" s="1"/>
  <c r="Q1107" i="8"/>
  <c r="R1107" i="8" s="1"/>
  <c r="Q1106" i="8"/>
  <c r="R1106" i="8" s="1"/>
  <c r="Q1105" i="8"/>
  <c r="R1105" i="8" s="1"/>
  <c r="Q1104" i="8"/>
  <c r="R1104" i="8" s="1"/>
  <c r="Q1103" i="8"/>
  <c r="R1103" i="8" s="1"/>
  <c r="Q1102" i="8"/>
  <c r="R1102" i="8" s="1"/>
  <c r="Q1101" i="8"/>
  <c r="R1101" i="8" s="1"/>
  <c r="Q1100" i="8"/>
  <c r="R1100" i="8" s="1"/>
  <c r="Q1099" i="8"/>
  <c r="R1099" i="8" s="1"/>
  <c r="Q1098" i="8"/>
  <c r="R1098" i="8" s="1"/>
  <c r="Q1097" i="8"/>
  <c r="R1097" i="8" s="1"/>
  <c r="R1096" i="8"/>
  <c r="Q1096" i="8"/>
  <c r="Q1095" i="8"/>
  <c r="R1095" i="8" s="1"/>
  <c r="R1094" i="8"/>
  <c r="Q1094" i="8"/>
  <c r="Q1093" i="8"/>
  <c r="R1093" i="8" s="1"/>
  <c r="Q1092" i="8"/>
  <c r="R1092" i="8" s="1"/>
  <c r="Q1091" i="8"/>
  <c r="R1091" i="8" s="1"/>
  <c r="Q1090" i="8"/>
  <c r="R1090" i="8" s="1"/>
  <c r="R1089" i="8"/>
  <c r="Q1089" i="8"/>
  <c r="Q1088" i="8"/>
  <c r="R1088" i="8" s="1"/>
  <c r="Q1087" i="8"/>
  <c r="R1087" i="8" s="1"/>
  <c r="Q1086" i="8"/>
  <c r="R1086" i="8" s="1"/>
  <c r="R1085" i="8"/>
  <c r="Q1085" i="8"/>
  <c r="R1084" i="8"/>
  <c r="Q1084" i="8"/>
  <c r="Q1083" i="8"/>
  <c r="R1083" i="8" s="1"/>
  <c r="Q1082" i="8"/>
  <c r="R1082" i="8" s="1"/>
  <c r="Q1081" i="8"/>
  <c r="R1081" i="8" s="1"/>
  <c r="Q1080" i="8"/>
  <c r="R1080" i="8" s="1"/>
  <c r="Q1079" i="8"/>
  <c r="R1079" i="8" s="1"/>
  <c r="R1078" i="8"/>
  <c r="Q1078" i="8"/>
  <c r="Q1077" i="8"/>
  <c r="R1077" i="8" s="1"/>
  <c r="R1076" i="8"/>
  <c r="Q1076" i="8"/>
  <c r="Q1075" i="8"/>
  <c r="R1075" i="8" s="1"/>
  <c r="Q1074" i="8"/>
  <c r="R1074" i="8" s="1"/>
  <c r="R1073" i="8"/>
  <c r="Q1073" i="8"/>
  <c r="R1072" i="8"/>
  <c r="Q1072" i="8"/>
  <c r="Q1071" i="8"/>
  <c r="R1071" i="8" s="1"/>
  <c r="Q1070" i="8"/>
  <c r="R1070" i="8" s="1"/>
  <c r="Q1069" i="8"/>
  <c r="R1069" i="8" s="1"/>
  <c r="Q1068" i="8"/>
  <c r="R1068" i="8" s="1"/>
  <c r="Q1067" i="8"/>
  <c r="R1067" i="8" s="1"/>
  <c r="Q1066" i="8"/>
  <c r="R1066" i="8" s="1"/>
  <c r="Q1065" i="8"/>
  <c r="R1065" i="8" s="1"/>
  <c r="R1064" i="8"/>
  <c r="Q1064" i="8"/>
  <c r="Q1063" i="8"/>
  <c r="R1063" i="8" s="1"/>
  <c r="Q1062" i="8"/>
  <c r="R1062" i="8" s="1"/>
  <c r="Q1061" i="8"/>
  <c r="R1061" i="8" s="1"/>
  <c r="Q1060" i="8"/>
  <c r="R1060" i="8" s="1"/>
  <c r="Q1059" i="8"/>
  <c r="R1059" i="8" s="1"/>
  <c r="Q1058" i="8"/>
  <c r="R1058" i="8" s="1"/>
  <c r="Q1057" i="8"/>
  <c r="R1057" i="8" s="1"/>
  <c r="R1056" i="8"/>
  <c r="Q1056" i="8"/>
  <c r="Q1055" i="8"/>
  <c r="R1055" i="8" s="1"/>
  <c r="Q1054" i="8"/>
  <c r="R1054" i="8" s="1"/>
  <c r="Q1053" i="8"/>
  <c r="R1053" i="8" s="1"/>
  <c r="Q1052" i="8"/>
  <c r="R1052" i="8" s="1"/>
  <c r="Q1051" i="8"/>
  <c r="R1051" i="8" s="1"/>
  <c r="Q1050" i="8"/>
  <c r="R1050" i="8" s="1"/>
  <c r="Q1049" i="8"/>
  <c r="R1049" i="8" s="1"/>
  <c r="Q1048" i="8"/>
  <c r="R1048" i="8" s="1"/>
  <c r="Q1047" i="8"/>
  <c r="R1047" i="8" s="1"/>
  <c r="Q1046" i="8"/>
  <c r="R1046" i="8" s="1"/>
  <c r="Q1045" i="8"/>
  <c r="R1045" i="8" s="1"/>
  <c r="Q1044" i="8"/>
  <c r="R1044" i="8" s="1"/>
  <c r="Q1043" i="8"/>
  <c r="R1043" i="8" s="1"/>
  <c r="Q1042" i="8"/>
  <c r="R1042" i="8" s="1"/>
  <c r="Q1041" i="8"/>
  <c r="R1041" i="8" s="1"/>
  <c r="R1040" i="8"/>
  <c r="Q1040" i="8"/>
  <c r="Q1039" i="8"/>
  <c r="R1039" i="8" s="1"/>
  <c r="Q1038" i="8"/>
  <c r="R1038" i="8" s="1"/>
  <c r="Q1037" i="8"/>
  <c r="R1037" i="8" s="1"/>
  <c r="R1036" i="8"/>
  <c r="Q1036" i="8"/>
  <c r="Q1035" i="8"/>
  <c r="R1035" i="8" s="1"/>
  <c r="Q1034" i="8"/>
  <c r="R1034" i="8" s="1"/>
  <c r="Q1033" i="8"/>
  <c r="R1033" i="8" s="1"/>
  <c r="R1032" i="8"/>
  <c r="Q1032" i="8"/>
  <c r="Q1031" i="8"/>
  <c r="R1031" i="8" s="1"/>
  <c r="R1030" i="8"/>
  <c r="Q1030" i="8"/>
  <c r="Q1029" i="8"/>
  <c r="R1029" i="8" s="1"/>
  <c r="Q1028" i="8"/>
  <c r="R1028" i="8" s="1"/>
  <c r="Q1027" i="8"/>
  <c r="R1027" i="8" s="1"/>
  <c r="Q1026" i="8"/>
  <c r="R1026" i="8" s="1"/>
  <c r="Q1025" i="8"/>
  <c r="R1025" i="8" s="1"/>
  <c r="Q1024" i="8"/>
  <c r="R1024" i="8" s="1"/>
  <c r="Q1023" i="8"/>
  <c r="R1023" i="8" s="1"/>
  <c r="Q1022" i="8"/>
  <c r="R1022" i="8" s="1"/>
  <c r="Q1021" i="8"/>
  <c r="R1021" i="8" s="1"/>
  <c r="Q1020" i="8"/>
  <c r="R1020" i="8" s="1"/>
  <c r="Q1019" i="8"/>
  <c r="R1019" i="8" s="1"/>
  <c r="Q1018" i="8"/>
  <c r="R1018" i="8" s="1"/>
  <c r="Q1017" i="8"/>
  <c r="R1017" i="8" s="1"/>
  <c r="R1016" i="8"/>
  <c r="Q1016" i="8"/>
  <c r="Q1015" i="8"/>
  <c r="R1015" i="8" s="1"/>
  <c r="R1014" i="8"/>
  <c r="Q1014" i="8"/>
  <c r="Q1013" i="8"/>
  <c r="R1013" i="8" s="1"/>
  <c r="Q1012" i="8"/>
  <c r="R1012" i="8" s="1"/>
  <c r="Q1011" i="8"/>
  <c r="R1011" i="8" s="1"/>
  <c r="Q1010" i="8"/>
  <c r="R1010" i="8" s="1"/>
  <c r="Q1009" i="8"/>
  <c r="R1009" i="8" s="1"/>
  <c r="Q1008" i="8"/>
  <c r="R1008" i="8" s="1"/>
  <c r="Q1007" i="8"/>
  <c r="R1007" i="8" s="1"/>
  <c r="Q1006" i="8"/>
  <c r="R1006" i="8" s="1"/>
  <c r="R1005" i="8"/>
  <c r="Q1005" i="8"/>
  <c r="Q1004" i="8"/>
  <c r="R1004" i="8" s="1"/>
  <c r="Q1003" i="8"/>
  <c r="R1003" i="8" s="1"/>
  <c r="Q1002" i="8"/>
  <c r="R1002" i="8" s="1"/>
  <c r="Q1001" i="8"/>
  <c r="R1001" i="8" s="1"/>
  <c r="Q1000" i="8"/>
  <c r="R1000" i="8" s="1"/>
  <c r="Q999" i="8"/>
  <c r="R999" i="8" s="1"/>
  <c r="Q998" i="8"/>
  <c r="R998" i="8" s="1"/>
  <c r="Q997" i="8"/>
  <c r="R997" i="8" s="1"/>
  <c r="R996" i="8"/>
  <c r="Q996" i="8"/>
  <c r="Q995" i="8"/>
  <c r="R995" i="8" s="1"/>
  <c r="Q994" i="8"/>
  <c r="R994" i="8" s="1"/>
  <c r="Q993" i="8"/>
  <c r="R993" i="8" s="1"/>
  <c r="Q992" i="8"/>
  <c r="R992" i="8" s="1"/>
  <c r="Q991" i="8"/>
  <c r="R991" i="8" s="1"/>
  <c r="Q990" i="8"/>
  <c r="R990" i="8" s="1"/>
  <c r="Q989" i="8"/>
  <c r="R989" i="8" s="1"/>
  <c r="Q988" i="8"/>
  <c r="R988" i="8" s="1"/>
  <c r="R987" i="8"/>
  <c r="Q987" i="8"/>
  <c r="Q986" i="8"/>
  <c r="R986" i="8" s="1"/>
  <c r="Q985" i="8"/>
  <c r="R985" i="8" s="1"/>
  <c r="Q984" i="8"/>
  <c r="R984" i="8" s="1"/>
  <c r="Q983" i="8"/>
  <c r="R983" i="8" s="1"/>
  <c r="Q982" i="8"/>
  <c r="R982" i="8" s="1"/>
  <c r="Q981" i="8"/>
  <c r="R981" i="8" s="1"/>
  <c r="Q980" i="8"/>
  <c r="R980" i="8" s="1"/>
  <c r="Q979" i="8"/>
  <c r="R979" i="8" s="1"/>
  <c r="Q978" i="8"/>
  <c r="R978" i="8" s="1"/>
  <c r="Q977" i="8"/>
  <c r="R977" i="8" s="1"/>
  <c r="Q976" i="8"/>
  <c r="R976" i="8" s="1"/>
  <c r="Q975" i="8"/>
  <c r="R975" i="8" s="1"/>
  <c r="R974" i="8"/>
  <c r="Q974" i="8"/>
  <c r="Q973" i="8"/>
  <c r="R973" i="8" s="1"/>
  <c r="Q972" i="8"/>
  <c r="R972" i="8" s="1"/>
  <c r="Q971" i="8"/>
  <c r="R971" i="8" s="1"/>
  <c r="Q970" i="8"/>
  <c r="R970" i="8" s="1"/>
  <c r="Q969" i="8"/>
  <c r="R969" i="8" s="1"/>
  <c r="R968" i="8"/>
  <c r="Q968" i="8"/>
  <c r="Q967" i="8"/>
  <c r="R967" i="8" s="1"/>
  <c r="Q966" i="8"/>
  <c r="R966" i="8" s="1"/>
  <c r="Q965" i="8"/>
  <c r="R965" i="8" s="1"/>
  <c r="Q964" i="8"/>
  <c r="R964" i="8" s="1"/>
  <c r="Q963" i="8"/>
  <c r="R963" i="8" s="1"/>
  <c r="Q962" i="8"/>
  <c r="R962" i="8" s="1"/>
  <c r="Q961" i="8"/>
  <c r="R961" i="8" s="1"/>
  <c r="Q960" i="8"/>
  <c r="R960" i="8" s="1"/>
  <c r="Q959" i="8"/>
  <c r="R959" i="8" s="1"/>
  <c r="Q958" i="8"/>
  <c r="R958" i="8" s="1"/>
  <c r="Q957" i="8"/>
  <c r="R957" i="8" s="1"/>
  <c r="Q956" i="8"/>
  <c r="R956" i="8" s="1"/>
  <c r="Q955" i="8"/>
  <c r="R955" i="8" s="1"/>
  <c r="Q954" i="8"/>
  <c r="R954" i="8" s="1"/>
  <c r="R953" i="8"/>
  <c r="Q953" i="8"/>
  <c r="R952" i="8"/>
  <c r="Q952" i="8"/>
  <c r="Q951" i="8"/>
  <c r="R951" i="8" s="1"/>
  <c r="Q950" i="8"/>
  <c r="R950" i="8" s="1"/>
  <c r="Q949" i="8"/>
  <c r="R949" i="8" s="1"/>
  <c r="R948" i="8"/>
  <c r="Q948" i="8"/>
  <c r="Q947" i="8"/>
  <c r="R947" i="8" s="1"/>
  <c r="Q946" i="8"/>
  <c r="R946" i="8" s="1"/>
  <c r="Q945" i="8"/>
  <c r="R945" i="8" s="1"/>
  <c r="R944" i="8"/>
  <c r="Q944" i="8"/>
  <c r="Q943" i="8"/>
  <c r="R943" i="8" s="1"/>
  <c r="Q942" i="8"/>
  <c r="R942" i="8" s="1"/>
  <c r="R941" i="8"/>
  <c r="Q941" i="8"/>
  <c r="Q940" i="8"/>
  <c r="R940" i="8" s="1"/>
  <c r="R939" i="8"/>
  <c r="Q939" i="8"/>
  <c r="Q938" i="8"/>
  <c r="R938" i="8" s="1"/>
  <c r="R937" i="8"/>
  <c r="Q937" i="8"/>
  <c r="R936" i="8"/>
  <c r="Q936" i="8"/>
  <c r="Q935" i="8"/>
  <c r="R935" i="8" s="1"/>
  <c r="R934" i="8"/>
  <c r="Q934" i="8"/>
  <c r="Q933" i="8"/>
  <c r="R933" i="8" s="1"/>
  <c r="Q932" i="8"/>
  <c r="R932" i="8" s="1"/>
  <c r="R931" i="8"/>
  <c r="Q931" i="8"/>
  <c r="Q930" i="8"/>
  <c r="R930" i="8" s="1"/>
  <c r="Q929" i="8"/>
  <c r="R929" i="8" s="1"/>
  <c r="Q928" i="8"/>
  <c r="R928" i="8" s="1"/>
  <c r="Q927" i="8"/>
  <c r="R927" i="8" s="1"/>
  <c r="Q926" i="8"/>
  <c r="R926" i="8" s="1"/>
  <c r="Q925" i="8"/>
  <c r="R925" i="8" s="1"/>
  <c r="R924" i="8"/>
  <c r="Q924" i="8"/>
  <c r="Q923" i="8"/>
  <c r="R923" i="8" s="1"/>
  <c r="Q922" i="8"/>
  <c r="R922" i="8" s="1"/>
  <c r="Q921" i="8"/>
  <c r="R921" i="8" s="1"/>
  <c r="R920" i="8"/>
  <c r="Q920" i="8"/>
  <c r="R919" i="8"/>
  <c r="Q919" i="8"/>
  <c r="Q918" i="8"/>
  <c r="R918" i="8" s="1"/>
  <c r="Q917" i="8"/>
  <c r="R917" i="8" s="1"/>
  <c r="Q916" i="8"/>
  <c r="R916" i="8" s="1"/>
  <c r="Q915" i="8"/>
  <c r="R915" i="8" s="1"/>
  <c r="Q914" i="8"/>
  <c r="R914" i="8" s="1"/>
  <c r="Q913" i="8"/>
  <c r="R913" i="8" s="1"/>
  <c r="Q912" i="8"/>
  <c r="R912" i="8" s="1"/>
  <c r="Q911" i="8"/>
  <c r="R911" i="8" s="1"/>
  <c r="Q910" i="8"/>
  <c r="R910" i="8" s="1"/>
  <c r="Q909" i="8"/>
  <c r="R909" i="8" s="1"/>
  <c r="Q908" i="8"/>
  <c r="R908" i="8" s="1"/>
  <c r="Q907" i="8"/>
  <c r="R907" i="8" s="1"/>
  <c r="Q906" i="8"/>
  <c r="R906" i="8" s="1"/>
  <c r="Q905" i="8"/>
  <c r="R905" i="8" s="1"/>
  <c r="Q904" i="8"/>
  <c r="R904" i="8" s="1"/>
  <c r="Q903" i="8"/>
  <c r="R903" i="8" s="1"/>
  <c r="Q902" i="8"/>
  <c r="R902" i="8" s="1"/>
  <c r="Q901" i="8"/>
  <c r="R901" i="8" s="1"/>
  <c r="Q900" i="8"/>
  <c r="R900" i="8" s="1"/>
  <c r="Q899" i="8"/>
  <c r="R899" i="8" s="1"/>
  <c r="Q898" i="8"/>
  <c r="R898" i="8" s="1"/>
  <c r="Q897" i="8"/>
  <c r="R897" i="8" s="1"/>
  <c r="Q896" i="8"/>
  <c r="R896" i="8" s="1"/>
  <c r="Q895" i="8"/>
  <c r="R895" i="8" s="1"/>
  <c r="Q894" i="8"/>
  <c r="R894" i="8" s="1"/>
  <c r="Q893" i="8"/>
  <c r="R893" i="8" s="1"/>
  <c r="Q892" i="8"/>
  <c r="R892" i="8" s="1"/>
  <c r="Q891" i="8"/>
  <c r="R891" i="8" s="1"/>
  <c r="Q890" i="8"/>
  <c r="R890" i="8" s="1"/>
  <c r="R889" i="8"/>
  <c r="Q889" i="8"/>
  <c r="Q888" i="8"/>
  <c r="R888" i="8" s="1"/>
  <c r="Q887" i="8"/>
  <c r="R887" i="8" s="1"/>
  <c r="R886" i="8"/>
  <c r="Q886" i="8"/>
  <c r="Q885" i="8"/>
  <c r="R885" i="8" s="1"/>
  <c r="Q884" i="8"/>
  <c r="R884" i="8" s="1"/>
  <c r="Q883" i="8"/>
  <c r="R883" i="8" s="1"/>
  <c r="Q882" i="8"/>
  <c r="R882" i="8" s="1"/>
  <c r="R881" i="8"/>
  <c r="Q881" i="8"/>
  <c r="Q880" i="8"/>
  <c r="R880" i="8" s="1"/>
  <c r="R879" i="8"/>
  <c r="Q879" i="8"/>
  <c r="Q878" i="8"/>
  <c r="R878" i="8" s="1"/>
  <c r="Q877" i="8"/>
  <c r="R877" i="8" s="1"/>
  <c r="R876" i="8"/>
  <c r="Q876" i="8"/>
  <c r="Q875" i="8"/>
  <c r="R875" i="8" s="1"/>
  <c r="Q874" i="8"/>
  <c r="R874" i="8" s="1"/>
  <c r="Q873" i="8"/>
  <c r="R873" i="8" s="1"/>
  <c r="Q872" i="8"/>
  <c r="R872" i="8" s="1"/>
  <c r="Q871" i="8"/>
  <c r="R871" i="8" s="1"/>
  <c r="Q870" i="8"/>
  <c r="R870" i="8" s="1"/>
  <c r="R869" i="8"/>
  <c r="Q869" i="8"/>
  <c r="R868" i="8"/>
  <c r="Q868" i="8"/>
  <c r="Q867" i="8"/>
  <c r="R867" i="8" s="1"/>
  <c r="Q866" i="8"/>
  <c r="R866" i="8" s="1"/>
  <c r="Q865" i="8"/>
  <c r="R865" i="8" s="1"/>
  <c r="R864" i="8"/>
  <c r="Q864" i="8"/>
  <c r="Q863" i="8"/>
  <c r="R863" i="8" s="1"/>
  <c r="Q862" i="8"/>
  <c r="R862" i="8" s="1"/>
  <c r="Q861" i="8"/>
  <c r="R861" i="8" s="1"/>
  <c r="Q860" i="8"/>
  <c r="R860" i="8" s="1"/>
  <c r="R859" i="8"/>
  <c r="Q859" i="8"/>
  <c r="Q858" i="8"/>
  <c r="R858" i="8" s="1"/>
  <c r="Q857" i="8"/>
  <c r="R857" i="8" s="1"/>
  <c r="Q856" i="8"/>
  <c r="R856" i="8" s="1"/>
  <c r="Q855" i="8"/>
  <c r="R855" i="8" s="1"/>
  <c r="Q854" i="8"/>
  <c r="R854" i="8" s="1"/>
  <c r="Q853" i="8"/>
  <c r="R853" i="8" s="1"/>
  <c r="R852" i="8"/>
  <c r="Q852" i="8"/>
  <c r="Q851" i="8"/>
  <c r="R851" i="8" s="1"/>
  <c r="Q850" i="8"/>
  <c r="R850" i="8" s="1"/>
  <c r="Q849" i="8"/>
  <c r="R849" i="8" s="1"/>
  <c r="Q848" i="8"/>
  <c r="R848" i="8" s="1"/>
  <c r="R847" i="8"/>
  <c r="Q847" i="8"/>
  <c r="Q846" i="8"/>
  <c r="R846" i="8" s="1"/>
  <c r="R845" i="8"/>
  <c r="Q845" i="8"/>
  <c r="Q844" i="8"/>
  <c r="R844" i="8" s="1"/>
  <c r="Q843" i="8"/>
  <c r="R843" i="8" s="1"/>
  <c r="Q842" i="8"/>
  <c r="R842" i="8" s="1"/>
  <c r="R841" i="8"/>
  <c r="Q841" i="8"/>
  <c r="R840" i="8"/>
  <c r="Q840" i="8"/>
  <c r="Q839" i="8"/>
  <c r="R839" i="8" s="1"/>
  <c r="Q838" i="8"/>
  <c r="R838" i="8" s="1"/>
  <c r="Q837" i="8"/>
  <c r="R837" i="8" s="1"/>
  <c r="Q836" i="8"/>
  <c r="R836" i="8" s="1"/>
  <c r="Q835" i="8"/>
  <c r="R835" i="8" s="1"/>
  <c r="Q834" i="8"/>
  <c r="R834" i="8" s="1"/>
  <c r="Q833" i="8"/>
  <c r="R833" i="8" s="1"/>
  <c r="Q832" i="8"/>
  <c r="R832" i="8" s="1"/>
  <c r="Q831" i="8"/>
  <c r="R831" i="8" s="1"/>
  <c r="R830" i="8"/>
  <c r="Q830" i="8"/>
  <c r="Q829" i="8"/>
  <c r="R829" i="8" s="1"/>
  <c r="Q828" i="8"/>
  <c r="R828" i="8" s="1"/>
  <c r="R827" i="8"/>
  <c r="Q827" i="8"/>
  <c r="Q826" i="8"/>
  <c r="R826" i="8" s="1"/>
  <c r="Q825" i="8"/>
  <c r="R825" i="8" s="1"/>
  <c r="Q824" i="8"/>
  <c r="R824" i="8" s="1"/>
  <c r="R823" i="8"/>
  <c r="Q823" i="8"/>
  <c r="Q822" i="8"/>
  <c r="R822" i="8" s="1"/>
  <c r="Q821" i="8"/>
  <c r="R821" i="8" s="1"/>
  <c r="Q820" i="8"/>
  <c r="R820" i="8" s="1"/>
  <c r="Q819" i="8"/>
  <c r="R819" i="8" s="1"/>
  <c r="Q818" i="8"/>
  <c r="R818" i="8" s="1"/>
  <c r="Q817" i="8"/>
  <c r="R817" i="8" s="1"/>
  <c r="Q816" i="8"/>
  <c r="R816" i="8" s="1"/>
  <c r="Q815" i="8"/>
  <c r="R815" i="8" s="1"/>
  <c r="Q814" i="8"/>
  <c r="R814" i="8" s="1"/>
  <c r="R813" i="8"/>
  <c r="Q813" i="8"/>
  <c r="Q812" i="8"/>
  <c r="R812" i="8" s="1"/>
  <c r="Q811" i="8"/>
  <c r="R811" i="8" s="1"/>
  <c r="Q810" i="8"/>
  <c r="R810" i="8" s="1"/>
  <c r="Q809" i="8"/>
  <c r="R809" i="8" s="1"/>
  <c r="Q808" i="8"/>
  <c r="R808" i="8" s="1"/>
  <c r="R807" i="8"/>
  <c r="Q807" i="8"/>
  <c r="R806" i="8"/>
  <c r="Q806" i="8"/>
  <c r="Q805" i="8"/>
  <c r="R805" i="8" s="1"/>
  <c r="Q804" i="8"/>
  <c r="R804" i="8" s="1"/>
  <c r="R803" i="8"/>
  <c r="Q803" i="8"/>
  <c r="Q802" i="8"/>
  <c r="R802" i="8" s="1"/>
  <c r="Q801" i="8"/>
  <c r="R801" i="8" s="1"/>
  <c r="Q800" i="8"/>
  <c r="R800" i="8" s="1"/>
  <c r="Q799" i="8"/>
  <c r="R799" i="8" s="1"/>
  <c r="Q798" i="8"/>
  <c r="R798" i="8" s="1"/>
  <c r="Q797" i="8"/>
  <c r="R797" i="8" s="1"/>
  <c r="R796" i="8"/>
  <c r="Q796" i="8"/>
  <c r="Q795" i="8"/>
  <c r="R795" i="8" s="1"/>
  <c r="Q794" i="8"/>
  <c r="R794" i="8" s="1"/>
  <c r="Q793" i="8"/>
  <c r="R793" i="8" s="1"/>
  <c r="Q792" i="8"/>
  <c r="R792" i="8" s="1"/>
  <c r="Q791" i="8"/>
  <c r="R791" i="8" s="1"/>
  <c r="R790" i="8"/>
  <c r="Q790" i="8"/>
  <c r="Q789" i="8"/>
  <c r="R789" i="8" s="1"/>
  <c r="Q788" i="8"/>
  <c r="R788" i="8" s="1"/>
  <c r="Q787" i="8"/>
  <c r="R787" i="8" s="1"/>
  <c r="Q786" i="8"/>
  <c r="R786" i="8" s="1"/>
  <c r="Q785" i="8"/>
  <c r="R785" i="8" s="1"/>
  <c r="Q784" i="8"/>
  <c r="R784" i="8" s="1"/>
  <c r="Q783" i="8"/>
  <c r="R783" i="8" s="1"/>
  <c r="Q782" i="8"/>
  <c r="R782" i="8" s="1"/>
  <c r="Q781" i="8"/>
  <c r="R781" i="8" s="1"/>
  <c r="Q780" i="8"/>
  <c r="R780" i="8" s="1"/>
  <c r="Q779" i="8"/>
  <c r="R779" i="8" s="1"/>
  <c r="Q778" i="8"/>
  <c r="R778" i="8" s="1"/>
  <c r="Q777" i="8"/>
  <c r="R777" i="8" s="1"/>
  <c r="Q776" i="8"/>
  <c r="R776" i="8" s="1"/>
  <c r="Q775" i="8"/>
  <c r="R775" i="8" s="1"/>
  <c r="Q774" i="8"/>
  <c r="R774" i="8" s="1"/>
  <c r="R773" i="8"/>
  <c r="Q773" i="8"/>
  <c r="Q772" i="8"/>
  <c r="R772" i="8" s="1"/>
  <c r="R771" i="8"/>
  <c r="Q771" i="8"/>
  <c r="Q770" i="8"/>
  <c r="R770" i="8" s="1"/>
  <c r="Q769" i="8"/>
  <c r="R769" i="8" s="1"/>
  <c r="Q768" i="8"/>
  <c r="R768" i="8" s="1"/>
  <c r="Q767" i="8"/>
  <c r="R767" i="8" s="1"/>
  <c r="Q766" i="8"/>
  <c r="R766" i="8" s="1"/>
  <c r="Q765" i="8"/>
  <c r="R765" i="8" s="1"/>
  <c r="Q764" i="8"/>
  <c r="R764" i="8" s="1"/>
  <c r="Q763" i="8"/>
  <c r="R763" i="8" s="1"/>
  <c r="Q762" i="8"/>
  <c r="R762" i="8" s="1"/>
  <c r="Q761" i="8"/>
  <c r="R761" i="8" s="1"/>
  <c r="Q760" i="8"/>
  <c r="R760" i="8" s="1"/>
  <c r="Q759" i="8"/>
  <c r="R759" i="8" s="1"/>
  <c r="R758" i="8"/>
  <c r="Q758" i="8"/>
  <c r="Q757" i="8"/>
  <c r="R757" i="8" s="1"/>
  <c r="R756" i="8"/>
  <c r="Q756" i="8"/>
  <c r="Q755" i="8"/>
  <c r="R755" i="8" s="1"/>
  <c r="Q754" i="8"/>
  <c r="R754" i="8" s="1"/>
  <c r="R753" i="8"/>
  <c r="Q753" i="8"/>
  <c r="Q752" i="8"/>
  <c r="R752" i="8" s="1"/>
  <c r="Q751" i="8"/>
  <c r="R751" i="8" s="1"/>
  <c r="Q750" i="8"/>
  <c r="R750" i="8" s="1"/>
  <c r="Q749" i="8"/>
  <c r="R749" i="8" s="1"/>
  <c r="Q748" i="8"/>
  <c r="R748" i="8" s="1"/>
  <c r="Q747" i="8"/>
  <c r="R747" i="8" s="1"/>
  <c r="Q746" i="8"/>
  <c r="R746" i="8" s="1"/>
  <c r="Q745" i="8"/>
  <c r="R745" i="8" s="1"/>
  <c r="Q744" i="8"/>
  <c r="R744" i="8" s="1"/>
  <c r="Q743" i="8"/>
  <c r="R743" i="8" s="1"/>
  <c r="Q742" i="8"/>
  <c r="R742" i="8" s="1"/>
  <c r="R741" i="8"/>
  <c r="Q741" i="8"/>
  <c r="Q740" i="8"/>
  <c r="R740" i="8" s="1"/>
  <c r="Q739" i="8"/>
  <c r="R739" i="8" s="1"/>
  <c r="Q738" i="8"/>
  <c r="R738" i="8" s="1"/>
  <c r="Q737" i="8"/>
  <c r="R737" i="8" s="1"/>
  <c r="Q736" i="8"/>
  <c r="R736" i="8" s="1"/>
  <c r="Q735" i="8"/>
  <c r="R735" i="8" s="1"/>
  <c r="R734" i="8"/>
  <c r="Q734" i="8"/>
  <c r="Q733" i="8"/>
  <c r="R733" i="8" s="1"/>
  <c r="Q732" i="8"/>
  <c r="R732" i="8" s="1"/>
  <c r="Q731" i="8"/>
  <c r="R731" i="8" s="1"/>
  <c r="Q730" i="8"/>
  <c r="R730" i="8" s="1"/>
  <c r="R729" i="8"/>
  <c r="Q729" i="8"/>
  <c r="R728" i="8"/>
  <c r="Q728" i="8"/>
  <c r="Q727" i="8"/>
  <c r="R727" i="8" s="1"/>
  <c r="Q726" i="8"/>
  <c r="R726" i="8" s="1"/>
  <c r="Q725" i="8"/>
  <c r="R725" i="8" s="1"/>
  <c r="R724" i="8"/>
  <c r="Q724" i="8"/>
  <c r="Q723" i="8"/>
  <c r="R723" i="8" s="1"/>
  <c r="Q722" i="8"/>
  <c r="R722" i="8" s="1"/>
  <c r="Q721" i="8"/>
  <c r="R721" i="8" s="1"/>
  <c r="Q720" i="8"/>
  <c r="R720" i="8" s="1"/>
  <c r="Q719" i="8"/>
  <c r="R719" i="8" s="1"/>
  <c r="Q718" i="8"/>
  <c r="R718" i="8" s="1"/>
  <c r="R717" i="8"/>
  <c r="Q717" i="8"/>
  <c r="Q716" i="8"/>
  <c r="R716" i="8" s="1"/>
  <c r="Q715" i="8"/>
  <c r="R715" i="8" s="1"/>
  <c r="Q714" i="8"/>
  <c r="R714" i="8" s="1"/>
  <c r="R713" i="8"/>
  <c r="Q713" i="8"/>
  <c r="Q712" i="8"/>
  <c r="R712" i="8" s="1"/>
  <c r="Q711" i="8"/>
  <c r="R711" i="8" s="1"/>
  <c r="Q710" i="8"/>
  <c r="R710" i="8" s="1"/>
  <c r="Q709" i="8"/>
  <c r="R709" i="8" s="1"/>
  <c r="Q708" i="8"/>
  <c r="R708" i="8" s="1"/>
  <c r="R707" i="8"/>
  <c r="Q707" i="8"/>
  <c r="Q706" i="8"/>
  <c r="R706" i="8" s="1"/>
  <c r="Q705" i="8"/>
  <c r="R705" i="8" s="1"/>
  <c r="Q704" i="8"/>
  <c r="R704" i="8" s="1"/>
  <c r="Q703" i="8"/>
  <c r="R703" i="8" s="1"/>
  <c r="R702" i="8"/>
  <c r="Q702" i="8"/>
  <c r="Q701" i="8"/>
  <c r="R701" i="8" s="1"/>
  <c r="Q700" i="8"/>
  <c r="R700" i="8" s="1"/>
  <c r="Q699" i="8"/>
  <c r="R699" i="8" s="1"/>
  <c r="Q698" i="8"/>
  <c r="R698" i="8" s="1"/>
  <c r="Q697" i="8"/>
  <c r="R697" i="8" s="1"/>
  <c r="R696" i="8"/>
  <c r="Q696" i="8"/>
  <c r="R695" i="8"/>
  <c r="Q695" i="8"/>
  <c r="R694" i="8"/>
  <c r="Q694" i="8"/>
  <c r="Q693" i="8"/>
  <c r="R693" i="8" s="1"/>
  <c r="Q692" i="8"/>
  <c r="R692" i="8" s="1"/>
  <c r="Q691" i="8"/>
  <c r="R691" i="8" s="1"/>
  <c r="Q690" i="8"/>
  <c r="R690" i="8" s="1"/>
  <c r="Q689" i="8"/>
  <c r="R689" i="8" s="1"/>
  <c r="Q688" i="8"/>
  <c r="R688" i="8" s="1"/>
  <c r="Q687" i="8"/>
  <c r="R687" i="8" s="1"/>
  <c r="Q686" i="8"/>
  <c r="R686" i="8" s="1"/>
  <c r="Q685" i="8"/>
  <c r="R685" i="8" s="1"/>
  <c r="Q684" i="8"/>
  <c r="R684" i="8" s="1"/>
  <c r="Q683" i="8"/>
  <c r="R683" i="8" s="1"/>
  <c r="Q682" i="8"/>
  <c r="R682" i="8" s="1"/>
  <c r="Q681" i="8"/>
  <c r="R681" i="8" s="1"/>
  <c r="Q680" i="8"/>
  <c r="R680" i="8" s="1"/>
  <c r="R679" i="8"/>
  <c r="Q679" i="8"/>
  <c r="R678" i="8"/>
  <c r="Q678" i="8"/>
  <c r="Q677" i="8"/>
  <c r="R677" i="8" s="1"/>
  <c r="R676" i="8"/>
  <c r="Q676" i="8"/>
  <c r="Q675" i="8"/>
  <c r="R675" i="8" s="1"/>
  <c r="Q674" i="8"/>
  <c r="R674" i="8" s="1"/>
  <c r="R673" i="8"/>
  <c r="Q673" i="8"/>
  <c r="Q672" i="8"/>
  <c r="R672" i="8" s="1"/>
  <c r="Q671" i="8"/>
  <c r="R671" i="8" s="1"/>
  <c r="Q670" i="8"/>
  <c r="R670" i="8" s="1"/>
  <c r="Q669" i="8"/>
  <c r="R669" i="8" s="1"/>
  <c r="Q668" i="8"/>
  <c r="R668" i="8" s="1"/>
  <c r="Q667" i="8"/>
  <c r="R667" i="8" s="1"/>
  <c r="Q666" i="8"/>
  <c r="R666" i="8" s="1"/>
  <c r="Q665" i="8"/>
  <c r="R665" i="8" s="1"/>
  <c r="Q664" i="8"/>
  <c r="R664" i="8" s="1"/>
  <c r="R663" i="8"/>
  <c r="Q663" i="8"/>
  <c r="R662" i="8"/>
  <c r="Q662" i="8"/>
  <c r="Q661" i="8"/>
  <c r="R661" i="8" s="1"/>
  <c r="Q660" i="8"/>
  <c r="R660" i="8" s="1"/>
  <c r="Q659" i="8"/>
  <c r="R659" i="8" s="1"/>
  <c r="Q658" i="8"/>
  <c r="R658" i="8" s="1"/>
  <c r="Q657" i="8"/>
  <c r="R657" i="8" s="1"/>
  <c r="Q656" i="8"/>
  <c r="R656" i="8" s="1"/>
  <c r="Q655" i="8"/>
  <c r="R655" i="8" s="1"/>
  <c r="Q654" i="8"/>
  <c r="R654" i="8" s="1"/>
  <c r="Q653" i="8"/>
  <c r="R653" i="8" s="1"/>
  <c r="Q652" i="8"/>
  <c r="R652" i="8" s="1"/>
  <c r="R651" i="8"/>
  <c r="Q651" i="8"/>
  <c r="Q650" i="8"/>
  <c r="R650" i="8" s="1"/>
  <c r="Q649" i="8"/>
  <c r="R649" i="8" s="1"/>
  <c r="Q648" i="8"/>
  <c r="R648" i="8" s="1"/>
  <c r="Q647" i="8"/>
  <c r="R647" i="8" s="1"/>
  <c r="Q646" i="8"/>
  <c r="R646" i="8" s="1"/>
  <c r="R645" i="8"/>
  <c r="Q645" i="8"/>
  <c r="R644" i="8"/>
  <c r="Q644" i="8"/>
  <c r="Q643" i="8"/>
  <c r="R643" i="8" s="1"/>
  <c r="Q642" i="8"/>
  <c r="R642" i="8" s="1"/>
  <c r="Q641" i="8"/>
  <c r="R641" i="8" s="1"/>
  <c r="Q640" i="8"/>
  <c r="R640" i="8" s="1"/>
  <c r="Q639" i="8"/>
  <c r="R639" i="8" s="1"/>
  <c r="Q638" i="8"/>
  <c r="R638" i="8" s="1"/>
  <c r="R637" i="8"/>
  <c r="Q637" i="8"/>
  <c r="Q636" i="8"/>
  <c r="R636" i="8" s="1"/>
  <c r="Q635" i="8"/>
  <c r="R635" i="8" s="1"/>
  <c r="Q634" i="8"/>
  <c r="R634" i="8" s="1"/>
  <c r="Q633" i="8"/>
  <c r="R633" i="8" s="1"/>
  <c r="R632" i="8"/>
  <c r="Q632" i="8"/>
  <c r="Q631" i="8"/>
  <c r="R631" i="8" s="1"/>
  <c r="Q630" i="8"/>
  <c r="R630" i="8" s="1"/>
  <c r="Q629" i="8"/>
  <c r="R629" i="8" s="1"/>
  <c r="Q628" i="8"/>
  <c r="R628" i="8" s="1"/>
  <c r="Q627" i="8"/>
  <c r="R627" i="8" s="1"/>
  <c r="Q626" i="8"/>
  <c r="R626" i="8" s="1"/>
  <c r="Q625" i="8"/>
  <c r="R625" i="8" s="1"/>
  <c r="Q624" i="8"/>
  <c r="R624" i="8" s="1"/>
  <c r="Q623" i="8"/>
  <c r="R623" i="8" s="1"/>
  <c r="Q622" i="8"/>
  <c r="R622" i="8" s="1"/>
  <c r="Q621" i="8"/>
  <c r="R621" i="8" s="1"/>
  <c r="Q620" i="8"/>
  <c r="R620" i="8" s="1"/>
  <c r="Q619" i="8"/>
  <c r="R619" i="8" s="1"/>
  <c r="Q618" i="8"/>
  <c r="R618" i="8" s="1"/>
  <c r="Q617" i="8"/>
  <c r="R617" i="8" s="1"/>
  <c r="Q616" i="8"/>
  <c r="R616" i="8" s="1"/>
  <c r="Q615" i="8"/>
  <c r="R615" i="8" s="1"/>
  <c r="Q614" i="8"/>
  <c r="R614" i="8" s="1"/>
  <c r="R613" i="8"/>
  <c r="Q613" i="8"/>
  <c r="Q612" i="8"/>
  <c r="R612" i="8" s="1"/>
  <c r="R611" i="8"/>
  <c r="Q611" i="8"/>
  <c r="Q610" i="8"/>
  <c r="R610" i="8" s="1"/>
  <c r="Q609" i="8"/>
  <c r="R609" i="8" s="1"/>
  <c r="Q608" i="8"/>
  <c r="R608" i="8" s="1"/>
  <c r="Q607" i="8"/>
  <c r="R607" i="8" s="1"/>
  <c r="R606" i="8"/>
  <c r="Q606" i="8"/>
  <c r="Q605" i="8"/>
  <c r="R605" i="8" s="1"/>
  <c r="Q604" i="8"/>
  <c r="R604" i="8" s="1"/>
  <c r="Q603" i="8"/>
  <c r="R603" i="8" s="1"/>
  <c r="Q602" i="8"/>
  <c r="R602" i="8" s="1"/>
  <c r="R601" i="8"/>
  <c r="Q601" i="8"/>
  <c r="Q600" i="8"/>
  <c r="R600" i="8" s="1"/>
  <c r="R599" i="8"/>
  <c r="Q599" i="8"/>
  <c r="Q598" i="8"/>
  <c r="R598" i="8" s="1"/>
  <c r="Q597" i="8"/>
  <c r="R597" i="8" s="1"/>
  <c r="Q596" i="8"/>
  <c r="R596" i="8" s="1"/>
  <c r="Q595" i="8"/>
  <c r="R595" i="8" s="1"/>
  <c r="Q594" i="8"/>
  <c r="R594" i="8" s="1"/>
  <c r="Q593" i="8"/>
  <c r="R593" i="8" s="1"/>
  <c r="Q592" i="8"/>
  <c r="R592" i="8" s="1"/>
  <c r="R591" i="8"/>
  <c r="Q591" i="8"/>
  <c r="Q590" i="8"/>
  <c r="R590" i="8" s="1"/>
  <c r="R589" i="8"/>
  <c r="Q589" i="8"/>
  <c r="Q588" i="8"/>
  <c r="R588" i="8" s="1"/>
  <c r="Q587" i="8"/>
  <c r="R587" i="8" s="1"/>
  <c r="Q586" i="8"/>
  <c r="R586" i="8" s="1"/>
  <c r="Q585" i="8"/>
  <c r="R585" i="8" s="1"/>
  <c r="R584" i="8"/>
  <c r="Q584" i="8"/>
  <c r="Q583" i="8"/>
  <c r="R583" i="8" s="1"/>
  <c r="Q582" i="8"/>
  <c r="R582" i="8" s="1"/>
  <c r="R581" i="8"/>
  <c r="Q581" i="8"/>
  <c r="Q580" i="8"/>
  <c r="R580" i="8" s="1"/>
  <c r="R579" i="8"/>
  <c r="Q579" i="8"/>
  <c r="Q578" i="8"/>
  <c r="R578" i="8" s="1"/>
  <c r="R577" i="8"/>
  <c r="Q577" i="8"/>
  <c r="Q576" i="8"/>
  <c r="R576" i="8" s="1"/>
  <c r="Q575" i="8"/>
  <c r="R575" i="8" s="1"/>
  <c r="Q574" i="8"/>
  <c r="R574" i="8" s="1"/>
  <c r="Q573" i="8"/>
  <c r="R573" i="8" s="1"/>
  <c r="Q572" i="8"/>
  <c r="R572" i="8" s="1"/>
  <c r="Q571" i="8"/>
  <c r="R571" i="8" s="1"/>
  <c r="Q570" i="8"/>
  <c r="R570" i="8" s="1"/>
  <c r="Q569" i="8"/>
  <c r="R569" i="8" s="1"/>
  <c r="R568" i="8"/>
  <c r="Q568" i="8"/>
  <c r="R567" i="8"/>
  <c r="Q567" i="8"/>
  <c r="Q566" i="8"/>
  <c r="R566" i="8" s="1"/>
  <c r="R565" i="8"/>
  <c r="Q565" i="8"/>
  <c r="Q564" i="8"/>
  <c r="R564" i="8" s="1"/>
  <c r="Q563" i="8"/>
  <c r="R563" i="8" s="1"/>
  <c r="Q562" i="8"/>
  <c r="R562" i="8" s="1"/>
  <c r="Q561" i="8"/>
  <c r="R561" i="8" s="1"/>
  <c r="Q560" i="8"/>
  <c r="R560" i="8" s="1"/>
  <c r="Q559" i="8"/>
  <c r="R559" i="8" s="1"/>
  <c r="Q558" i="8"/>
  <c r="R558" i="8" s="1"/>
  <c r="Q557" i="8"/>
  <c r="R557" i="8" s="1"/>
  <c r="Q556" i="8"/>
  <c r="R556" i="8" s="1"/>
  <c r="R555" i="8"/>
  <c r="Q555" i="8"/>
  <c r="Q554" i="8"/>
  <c r="R554" i="8" s="1"/>
  <c r="Q553" i="8"/>
  <c r="R553" i="8" s="1"/>
  <c r="R552" i="8"/>
  <c r="Q552" i="8"/>
  <c r="Q551" i="8"/>
  <c r="R551" i="8" s="1"/>
  <c r="R550" i="8"/>
  <c r="Q550" i="8"/>
  <c r="Q549" i="8"/>
  <c r="R549" i="8" s="1"/>
  <c r="R548" i="8"/>
  <c r="Q548" i="8"/>
  <c r="Q547" i="8"/>
  <c r="R547" i="8" s="1"/>
  <c r="Q546" i="8"/>
  <c r="R546" i="8" s="1"/>
  <c r="Q545" i="8"/>
  <c r="R545" i="8" s="1"/>
  <c r="Q544" i="8"/>
  <c r="R544" i="8" s="1"/>
  <c r="Q543" i="8"/>
  <c r="R543" i="8" s="1"/>
  <c r="Q542" i="8"/>
  <c r="R542" i="8" s="1"/>
  <c r="Q541" i="8"/>
  <c r="R541" i="8" s="1"/>
  <c r="Q540" i="8"/>
  <c r="R540" i="8" s="1"/>
  <c r="Q539" i="8"/>
  <c r="R539" i="8" s="1"/>
  <c r="Q538" i="8"/>
  <c r="R538" i="8" s="1"/>
  <c r="Q537" i="8"/>
  <c r="R537" i="8" s="1"/>
  <c r="Q536" i="8"/>
  <c r="R536" i="8" s="1"/>
  <c r="Q535" i="8"/>
  <c r="R535" i="8" s="1"/>
  <c r="Q534" i="8"/>
  <c r="R534" i="8" s="1"/>
  <c r="Q533" i="8"/>
  <c r="R533" i="8" s="1"/>
  <c r="Q532" i="8"/>
  <c r="R532" i="8" s="1"/>
  <c r="Q531" i="8"/>
  <c r="R531" i="8" s="1"/>
  <c r="Q530" i="8"/>
  <c r="R530" i="8" s="1"/>
  <c r="Q529" i="8"/>
  <c r="R529" i="8" s="1"/>
  <c r="R528" i="8"/>
  <c r="Q528" i="8"/>
  <c r="Q527" i="8"/>
  <c r="R527" i="8" s="1"/>
  <c r="Q526" i="8"/>
  <c r="R526" i="8" s="1"/>
  <c r="Q525" i="8"/>
  <c r="R525" i="8" s="1"/>
  <c r="Q524" i="8"/>
  <c r="R524" i="8" s="1"/>
  <c r="Q523" i="8"/>
  <c r="R523" i="8" s="1"/>
  <c r="Q522" i="8"/>
  <c r="R522" i="8" s="1"/>
  <c r="R521" i="8"/>
  <c r="Q521" i="8"/>
  <c r="Q520" i="8"/>
  <c r="R520" i="8" s="1"/>
  <c r="Q519" i="8"/>
  <c r="R519" i="8" s="1"/>
  <c r="Q518" i="8"/>
  <c r="R518" i="8" s="1"/>
  <c r="R517" i="8"/>
  <c r="Q517" i="8"/>
  <c r="R516" i="8"/>
  <c r="Q516" i="8"/>
  <c r="Q515" i="8"/>
  <c r="R515" i="8" s="1"/>
  <c r="Q514" i="8"/>
  <c r="R514" i="8" s="1"/>
  <c r="Q513" i="8"/>
  <c r="R513" i="8" s="1"/>
  <c r="Q512" i="8"/>
  <c r="R512" i="8" s="1"/>
  <c r="Q511" i="8"/>
  <c r="R511" i="8" s="1"/>
  <c r="Q510" i="8"/>
  <c r="R510" i="8" s="1"/>
  <c r="Q509" i="8"/>
  <c r="R509" i="8" s="1"/>
  <c r="Q508" i="8"/>
  <c r="R508" i="8" s="1"/>
  <c r="Q507" i="8"/>
  <c r="R507" i="8" s="1"/>
  <c r="Q506" i="8"/>
  <c r="R506" i="8" s="1"/>
  <c r="Q505" i="8"/>
  <c r="R505" i="8" s="1"/>
  <c r="Q504" i="8"/>
  <c r="R504" i="8" s="1"/>
  <c r="Q503" i="8"/>
  <c r="R503" i="8" s="1"/>
  <c r="Q502" i="8"/>
  <c r="R502" i="8" s="1"/>
  <c r="Q501" i="8"/>
  <c r="R501" i="8" s="1"/>
  <c r="Q500" i="8"/>
  <c r="R500" i="8" s="1"/>
  <c r="Q499" i="8"/>
  <c r="R499" i="8" s="1"/>
  <c r="Q498" i="8"/>
  <c r="R498" i="8" s="1"/>
  <c r="Q497" i="8"/>
  <c r="R497" i="8" s="1"/>
  <c r="Q496" i="8"/>
  <c r="R496" i="8" s="1"/>
  <c r="Q495" i="8"/>
  <c r="R495" i="8" s="1"/>
  <c r="Q494" i="8"/>
  <c r="R494" i="8" s="1"/>
  <c r="Q493" i="8"/>
  <c r="R493" i="8" s="1"/>
  <c r="Q492" i="8"/>
  <c r="R492" i="8" s="1"/>
  <c r="Q491" i="8"/>
  <c r="R491" i="8" s="1"/>
  <c r="Q490" i="8"/>
  <c r="R490" i="8" s="1"/>
  <c r="Q489" i="8"/>
  <c r="R489" i="8" s="1"/>
  <c r="R488" i="8"/>
  <c r="Q488" i="8"/>
  <c r="Q487" i="8"/>
  <c r="R487" i="8" s="1"/>
  <c r="R486" i="8"/>
  <c r="Q486" i="8"/>
  <c r="Q485" i="8"/>
  <c r="R485" i="8" s="1"/>
  <c r="Q484" i="8"/>
  <c r="R484" i="8" s="1"/>
  <c r="R483" i="8"/>
  <c r="Q483" i="8"/>
  <c r="Q482" i="8"/>
  <c r="R482" i="8" s="1"/>
  <c r="Q481" i="8"/>
  <c r="R481" i="8" s="1"/>
  <c r="Q480" i="8"/>
  <c r="R480" i="8" s="1"/>
  <c r="Q479" i="8"/>
  <c r="R479" i="8" s="1"/>
  <c r="Q478" i="8"/>
  <c r="R478" i="8" s="1"/>
  <c r="Q477" i="8"/>
  <c r="R477" i="8" s="1"/>
  <c r="Q476" i="8"/>
  <c r="R476" i="8" s="1"/>
  <c r="Q475" i="8"/>
  <c r="R475" i="8" s="1"/>
  <c r="Q474" i="8"/>
  <c r="R474" i="8" s="1"/>
  <c r="R473" i="8"/>
  <c r="Q473" i="8"/>
  <c r="Q472" i="8"/>
  <c r="R472" i="8" s="1"/>
  <c r="Q471" i="8"/>
  <c r="R471" i="8" s="1"/>
  <c r="R470" i="8"/>
  <c r="Q470" i="8"/>
  <c r="Q469" i="8"/>
  <c r="R469" i="8" s="1"/>
  <c r="Q468" i="8"/>
  <c r="R468" i="8" s="1"/>
  <c r="Q467" i="8"/>
  <c r="R467" i="8" s="1"/>
  <c r="Q466" i="8"/>
  <c r="R466" i="8" s="1"/>
  <c r="Q465" i="8"/>
  <c r="R465" i="8" s="1"/>
  <c r="Q464" i="8"/>
  <c r="R464" i="8" s="1"/>
  <c r="Q463" i="8"/>
  <c r="R463" i="8" s="1"/>
  <c r="Q462" i="8"/>
  <c r="R462" i="8" s="1"/>
  <c r="Q461" i="8"/>
  <c r="R461" i="8" s="1"/>
  <c r="R460" i="8"/>
  <c r="Q460" i="8"/>
  <c r="Q459" i="8"/>
  <c r="R459" i="8" s="1"/>
  <c r="Q458" i="8"/>
  <c r="R458" i="8" s="1"/>
  <c r="Q457" i="8"/>
  <c r="R457" i="8" s="1"/>
  <c r="Q456" i="8"/>
  <c r="R456" i="8" s="1"/>
  <c r="Q455" i="8"/>
  <c r="R455" i="8" s="1"/>
  <c r="Q454" i="8"/>
  <c r="R454" i="8" s="1"/>
  <c r="Q453" i="8"/>
  <c r="R453" i="8" s="1"/>
  <c r="Q452" i="8"/>
  <c r="R452" i="8" s="1"/>
  <c r="R451" i="8"/>
  <c r="Q451" i="8"/>
  <c r="Q450" i="8"/>
  <c r="R450" i="8" s="1"/>
  <c r="Q449" i="8"/>
  <c r="R449" i="8" s="1"/>
  <c r="Q448" i="8"/>
  <c r="R448" i="8" s="1"/>
  <c r="Q447" i="8"/>
  <c r="R447" i="8" s="1"/>
  <c r="Q446" i="8"/>
  <c r="R446" i="8" s="1"/>
  <c r="Q445" i="8"/>
  <c r="R445" i="8" s="1"/>
  <c r="R444" i="8"/>
  <c r="Q444" i="8"/>
  <c r="Q443" i="8"/>
  <c r="R443" i="8" s="1"/>
  <c r="Q442" i="8"/>
  <c r="R442" i="8" s="1"/>
  <c r="Q441" i="8"/>
  <c r="R441" i="8" s="1"/>
  <c r="Q440" i="8"/>
  <c r="R440" i="8" s="1"/>
  <c r="Q439" i="8"/>
  <c r="R439" i="8" s="1"/>
  <c r="R438" i="8"/>
  <c r="Q438" i="8"/>
  <c r="Q437" i="8"/>
  <c r="R437" i="8" s="1"/>
  <c r="Q436" i="8"/>
  <c r="R436" i="8" s="1"/>
  <c r="Q435" i="8"/>
  <c r="R435" i="8" s="1"/>
  <c r="Q434" i="8"/>
  <c r="R434" i="8" s="1"/>
  <c r="Q433" i="8"/>
  <c r="R433" i="8" s="1"/>
  <c r="Q432" i="8"/>
  <c r="R432" i="8" s="1"/>
  <c r="Q431" i="8"/>
  <c r="R431" i="8" s="1"/>
  <c r="Q430" i="8"/>
  <c r="R430" i="8" s="1"/>
  <c r="Q429" i="8"/>
  <c r="R429" i="8" s="1"/>
  <c r="Q428" i="8"/>
  <c r="R428" i="8" s="1"/>
  <c r="Q427" i="8"/>
  <c r="R427" i="8" s="1"/>
  <c r="Q426" i="8"/>
  <c r="R426" i="8" s="1"/>
  <c r="R425" i="8"/>
  <c r="Q425" i="8"/>
  <c r="Q424" i="8"/>
  <c r="R424" i="8" s="1"/>
  <c r="Q423" i="8"/>
  <c r="R423" i="8" s="1"/>
  <c r="Q422" i="8"/>
  <c r="R422" i="8" s="1"/>
  <c r="Q421" i="8"/>
  <c r="R421" i="8" s="1"/>
  <c r="R420" i="8"/>
  <c r="Q420" i="8"/>
  <c r="R419" i="8"/>
  <c r="Q419" i="8"/>
  <c r="Q418" i="8"/>
  <c r="R418" i="8" s="1"/>
  <c r="Q417" i="8"/>
  <c r="R417" i="8" s="1"/>
  <c r="Q416" i="8"/>
  <c r="R416" i="8" s="1"/>
  <c r="Q415" i="8"/>
  <c r="R415" i="8" s="1"/>
  <c r="Q414" i="8"/>
  <c r="R414" i="8" s="1"/>
  <c r="Q413" i="8"/>
  <c r="R413" i="8" s="1"/>
  <c r="Q412" i="8"/>
  <c r="R412" i="8" s="1"/>
  <c r="Q411" i="8"/>
  <c r="R411" i="8" s="1"/>
  <c r="Q410" i="8"/>
  <c r="R410" i="8" s="1"/>
  <c r="Q409" i="8"/>
  <c r="R409" i="8" s="1"/>
  <c r="Q408" i="8"/>
  <c r="R408" i="8" s="1"/>
  <c r="R407" i="8"/>
  <c r="Q407" i="8"/>
  <c r="R406" i="8"/>
  <c r="Q406" i="8"/>
  <c r="Q405" i="8"/>
  <c r="R405" i="8" s="1"/>
  <c r="Q404" i="8"/>
  <c r="R404" i="8" s="1"/>
  <c r="Q403" i="8"/>
  <c r="R403" i="8" s="1"/>
  <c r="Q402" i="8"/>
  <c r="R402" i="8" s="1"/>
  <c r="Q401" i="8"/>
  <c r="R401" i="8" s="1"/>
  <c r="Q400" i="8"/>
  <c r="R400" i="8" s="1"/>
  <c r="Q399" i="8"/>
  <c r="R399" i="8" s="1"/>
  <c r="Q398" i="8"/>
  <c r="R398" i="8" s="1"/>
  <c r="Q397" i="8"/>
  <c r="R397" i="8" s="1"/>
  <c r="Q396" i="8"/>
  <c r="R396" i="8" s="1"/>
  <c r="Q395" i="8"/>
  <c r="R395" i="8" s="1"/>
  <c r="Q394" i="8"/>
  <c r="R394" i="8" s="1"/>
  <c r="Q393" i="8"/>
  <c r="R393" i="8" s="1"/>
  <c r="Q392" i="8"/>
  <c r="R392" i="8" s="1"/>
  <c r="Q391" i="8"/>
  <c r="R391" i="8" s="1"/>
  <c r="Q390" i="8"/>
  <c r="R390" i="8" s="1"/>
  <c r="R389" i="8"/>
  <c r="Q389" i="8"/>
  <c r="Q388" i="8"/>
  <c r="R388" i="8" s="1"/>
  <c r="Q387" i="8"/>
  <c r="R387" i="8" s="1"/>
  <c r="Q386" i="8"/>
  <c r="R386" i="8" s="1"/>
  <c r="Q385" i="8"/>
  <c r="R385" i="8" s="1"/>
  <c r="R384" i="8"/>
  <c r="Q384" i="8"/>
  <c r="Q383" i="8"/>
  <c r="R383" i="8" s="1"/>
  <c r="Q382" i="8"/>
  <c r="R382" i="8" s="1"/>
  <c r="Q381" i="8"/>
  <c r="R381" i="8" s="1"/>
  <c r="Q380" i="8"/>
  <c r="R380" i="8" s="1"/>
  <c r="Q379" i="8"/>
  <c r="R379" i="8" s="1"/>
  <c r="Q378" i="8"/>
  <c r="R378" i="8" s="1"/>
  <c r="R377" i="8"/>
  <c r="Q377" i="8"/>
  <c r="Q376" i="8"/>
  <c r="R376" i="8" s="1"/>
  <c r="Q375" i="8"/>
  <c r="R375" i="8" s="1"/>
  <c r="R374" i="8"/>
  <c r="Q374" i="8"/>
  <c r="R373" i="8"/>
  <c r="Q373" i="8"/>
  <c r="Q372" i="8"/>
  <c r="R372" i="8" s="1"/>
  <c r="R371" i="8"/>
  <c r="Q371" i="8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R345" i="8"/>
  <c r="Q345" i="8"/>
  <c r="Q344" i="8"/>
  <c r="R344" i="8" s="1"/>
  <c r="R343" i="8"/>
  <c r="Q343" i="8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R328" i="8"/>
  <c r="Q328" i="8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R308" i="8" s="1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R294" i="8"/>
  <c r="Q294" i="8"/>
  <c r="R293" i="8"/>
  <c r="Q293" i="8"/>
  <c r="R292" i="8"/>
  <c r="Q292" i="8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R281" i="8"/>
  <c r="Q281" i="8"/>
  <c r="Q280" i="8"/>
  <c r="R280" i="8" s="1"/>
  <c r="Q279" i="8"/>
  <c r="R279" i="8" s="1"/>
  <c r="Q278" i="8"/>
  <c r="R278" i="8" s="1"/>
  <c r="Q277" i="8"/>
  <c r="R277" i="8" s="1"/>
  <c r="R276" i="8"/>
  <c r="Q276" i="8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R260" i="8"/>
  <c r="Q260" i="8"/>
  <c r="Q259" i="8"/>
  <c r="R259" i="8" s="1"/>
  <c r="Q258" i="8"/>
  <c r="R258" i="8" s="1"/>
  <c r="R257" i="8"/>
  <c r="Q257" i="8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R244" i="8"/>
  <c r="Q244" i="8"/>
  <c r="Q243" i="8"/>
  <c r="R243" i="8" s="1"/>
  <c r="Q242" i="8"/>
  <c r="R242" i="8" s="1"/>
  <c r="Q241" i="8"/>
  <c r="R241" i="8" s="1"/>
  <c r="R240" i="8"/>
  <c r="Q240" i="8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R216" i="8"/>
  <c r="Q216" i="8"/>
  <c r="Q215" i="8"/>
  <c r="R215" i="8" s="1"/>
  <c r="Q214" i="8"/>
  <c r="R214" i="8" s="1"/>
  <c r="Q213" i="8"/>
  <c r="R213" i="8" s="1"/>
  <c r="R212" i="8"/>
  <c r="Q212" i="8"/>
  <c r="R211" i="8"/>
  <c r="Q211" i="8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R201" i="8"/>
  <c r="Q201" i="8"/>
  <c r="Q200" i="8"/>
  <c r="R200" i="8" s="1"/>
  <c r="Q199" i="8"/>
  <c r="R199" i="8" s="1"/>
  <c r="R198" i="8"/>
  <c r="Q198" i="8"/>
  <c r="Q197" i="8"/>
  <c r="R197" i="8" s="1"/>
  <c r="Q196" i="8"/>
  <c r="R196" i="8" s="1"/>
  <c r="Q195" i="8"/>
  <c r="R195" i="8" s="1"/>
  <c r="Q194" i="8"/>
  <c r="R194" i="8" s="1"/>
  <c r="R193" i="8"/>
  <c r="Q193" i="8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R185" i="8"/>
  <c r="Q185" i="8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R169" i="8"/>
  <c r="Q169" i="8"/>
  <c r="Q168" i="8"/>
  <c r="R168" i="8" s="1"/>
  <c r="R167" i="8"/>
  <c r="Q167" i="8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R156" i="8"/>
  <c r="Q156" i="8"/>
  <c r="Q155" i="8"/>
  <c r="R155" i="8" s="1"/>
  <c r="Q154" i="8"/>
  <c r="R154" i="8" s="1"/>
  <c r="Q153" i="8"/>
  <c r="R153" i="8" s="1"/>
  <c r="Q152" i="8"/>
  <c r="R152" i="8" s="1"/>
  <c r="R151" i="8"/>
  <c r="Q151" i="8"/>
  <c r="Q150" i="8"/>
  <c r="R150" i="8" s="1"/>
  <c r="Q149" i="8"/>
  <c r="R149" i="8" s="1"/>
  <c r="R148" i="8"/>
  <c r="Q148" i="8"/>
  <c r="Q147" i="8"/>
  <c r="R147" i="8" s="1"/>
  <c r="Q146" i="8"/>
  <c r="R146" i="8" s="1"/>
  <c r="Q145" i="8"/>
  <c r="R145" i="8" s="1"/>
  <c r="R144" i="8"/>
  <c r="Q144" i="8"/>
  <c r="Q143" i="8"/>
  <c r="R143" i="8" s="1"/>
  <c r="R142" i="8"/>
  <c r="Q142" i="8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R135" i="8"/>
  <c r="Q135" i="8"/>
  <c r="Q134" i="8"/>
  <c r="R134" i="8" s="1"/>
  <c r="Q133" i="8"/>
  <c r="R133" i="8" s="1"/>
  <c r="Q132" i="8"/>
  <c r="R132" i="8" s="1"/>
  <c r="Q131" i="8"/>
  <c r="R131" i="8" s="1"/>
  <c r="Q130" i="8"/>
  <c r="R130" i="8" s="1"/>
  <c r="R129" i="8"/>
  <c r="Q129" i="8"/>
  <c r="Q128" i="8"/>
  <c r="R128" i="8" s="1"/>
  <c r="R127" i="8"/>
  <c r="Q127" i="8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R120" i="8"/>
  <c r="Q120" i="8"/>
  <c r="Q119" i="8"/>
  <c r="R119" i="8" s="1"/>
  <c r="Q118" i="8"/>
  <c r="R118" i="8" s="1"/>
  <c r="Q117" i="8"/>
  <c r="R117" i="8" s="1"/>
  <c r="R116" i="8"/>
  <c r="Q116" i="8"/>
  <c r="Q115" i="8"/>
  <c r="R115" i="8" s="1"/>
  <c r="Q114" i="8"/>
  <c r="R114" i="8" s="1"/>
  <c r="Q113" i="8"/>
  <c r="R113" i="8" s="1"/>
  <c r="Q112" i="8"/>
  <c r="R112" i="8" s="1"/>
  <c r="R111" i="8"/>
  <c r="Q111" i="8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R103" i="8"/>
  <c r="Q103" i="8"/>
  <c r="Q102" i="8"/>
  <c r="R102" i="8" s="1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50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R4" i="8"/>
  <c r="E26" i="2"/>
  <c r="E27" i="2" s="1"/>
  <c r="E28" i="2" s="1"/>
  <c r="E29" i="2" s="1"/>
  <c r="E30" i="2" s="1"/>
  <c r="W21" i="5"/>
  <c r="W4" i="5"/>
  <c r="X4" i="5"/>
  <c r="Y4" i="5"/>
  <c r="Z4" i="5"/>
  <c r="AA4" i="5"/>
  <c r="AB4" i="5"/>
  <c r="AC4" i="5"/>
  <c r="AD4" i="5"/>
  <c r="AE4" i="5"/>
  <c r="AF4" i="5"/>
  <c r="W5" i="5"/>
  <c r="X5" i="5"/>
  <c r="Y5" i="5"/>
  <c r="Z5" i="5"/>
  <c r="AA5" i="5"/>
  <c r="AB5" i="5"/>
  <c r="AC5" i="5"/>
  <c r="AD5" i="5"/>
  <c r="AE5" i="5"/>
  <c r="AF5" i="5"/>
  <c r="W6" i="5"/>
  <c r="X6" i="5"/>
  <c r="Y6" i="5"/>
  <c r="Z6" i="5"/>
  <c r="AA6" i="5"/>
  <c r="AB6" i="5"/>
  <c r="AC6" i="5"/>
  <c r="AD6" i="5"/>
  <c r="AE6" i="5"/>
  <c r="AF6" i="5"/>
  <c r="W7" i="5"/>
  <c r="X7" i="5"/>
  <c r="Y7" i="5"/>
  <c r="Z7" i="5"/>
  <c r="AA7" i="5"/>
  <c r="AB7" i="5"/>
  <c r="AC7" i="5"/>
  <c r="AD7" i="5"/>
  <c r="AE7" i="5"/>
  <c r="AF7" i="5"/>
  <c r="W8" i="5"/>
  <c r="X8" i="5"/>
  <c r="Y8" i="5"/>
  <c r="Z8" i="5"/>
  <c r="AA8" i="5"/>
  <c r="AB8" i="5"/>
  <c r="AC8" i="5"/>
  <c r="AD8" i="5"/>
  <c r="AE8" i="5"/>
  <c r="AF8" i="5"/>
  <c r="W9" i="5"/>
  <c r="X9" i="5"/>
  <c r="Y9" i="5"/>
  <c r="Z9" i="5"/>
  <c r="AA9" i="5"/>
  <c r="AB9" i="5"/>
  <c r="AC9" i="5"/>
  <c r="AD9" i="5"/>
  <c r="AE9" i="5"/>
  <c r="AF9" i="5"/>
  <c r="W10" i="5"/>
  <c r="X10" i="5"/>
  <c r="Y10" i="5"/>
  <c r="Z10" i="5"/>
  <c r="AA10" i="5"/>
  <c r="AB10" i="5"/>
  <c r="AC10" i="5"/>
  <c r="AD10" i="5"/>
  <c r="AE10" i="5"/>
  <c r="AF10" i="5"/>
  <c r="W11" i="5"/>
  <c r="X11" i="5"/>
  <c r="Y11" i="5"/>
  <c r="Z11" i="5"/>
  <c r="AA11" i="5"/>
  <c r="AB11" i="5"/>
  <c r="AC11" i="5"/>
  <c r="AD11" i="5"/>
  <c r="AE11" i="5"/>
  <c r="AF11" i="5"/>
  <c r="W12" i="5"/>
  <c r="X12" i="5"/>
  <c r="Y12" i="5"/>
  <c r="Z12" i="5"/>
  <c r="AA12" i="5"/>
  <c r="AB12" i="5"/>
  <c r="AC12" i="5"/>
  <c r="AD12" i="5"/>
  <c r="AE12" i="5"/>
  <c r="AF12" i="5"/>
  <c r="W13" i="5"/>
  <c r="X13" i="5"/>
  <c r="Y13" i="5"/>
  <c r="Z13" i="5"/>
  <c r="AA13" i="5"/>
  <c r="AB13" i="5"/>
  <c r="AC13" i="5"/>
  <c r="AD13" i="5"/>
  <c r="AE13" i="5"/>
  <c r="AF13" i="5"/>
  <c r="W14" i="5"/>
  <c r="X14" i="5"/>
  <c r="Y14" i="5"/>
  <c r="Z14" i="5"/>
  <c r="AA14" i="5"/>
  <c r="AB14" i="5"/>
  <c r="AC14" i="5"/>
  <c r="AD14" i="5"/>
  <c r="AE14" i="5"/>
  <c r="AF14" i="5"/>
  <c r="W15" i="5"/>
  <c r="X15" i="5"/>
  <c r="Y15" i="5"/>
  <c r="Z15" i="5"/>
  <c r="AA15" i="5"/>
  <c r="AB15" i="5"/>
  <c r="AC15" i="5"/>
  <c r="AD15" i="5"/>
  <c r="AE15" i="5"/>
  <c r="AF15" i="5"/>
  <c r="W16" i="5"/>
  <c r="X16" i="5"/>
  <c r="Y16" i="5"/>
  <c r="Z16" i="5"/>
  <c r="AA16" i="5"/>
  <c r="AB16" i="5"/>
  <c r="AC16" i="5"/>
  <c r="AD16" i="5"/>
  <c r="AE16" i="5"/>
  <c r="AF16" i="5"/>
  <c r="W17" i="5"/>
  <c r="X17" i="5"/>
  <c r="Y17" i="5"/>
  <c r="Z17" i="5"/>
  <c r="AA17" i="5"/>
  <c r="AB17" i="5"/>
  <c r="AC17" i="5"/>
  <c r="AD17" i="5"/>
  <c r="AE17" i="5"/>
  <c r="AF17" i="5"/>
  <c r="W18" i="5"/>
  <c r="X18" i="5"/>
  <c r="Y18" i="5"/>
  <c r="Z18" i="5"/>
  <c r="AA18" i="5"/>
  <c r="AB18" i="5"/>
  <c r="AC18" i="5"/>
  <c r="AD18" i="5"/>
  <c r="AE18" i="5"/>
  <c r="AF18" i="5"/>
  <c r="W19" i="5"/>
  <c r="X19" i="5"/>
  <c r="Y19" i="5"/>
  <c r="Z19" i="5"/>
  <c r="AA19" i="5"/>
  <c r="AB19" i="5"/>
  <c r="AC19" i="5"/>
  <c r="AD19" i="5"/>
  <c r="AE19" i="5"/>
  <c r="AF19" i="5"/>
  <c r="X3" i="5"/>
  <c r="Y3" i="5"/>
  <c r="Z3" i="5"/>
  <c r="AA3" i="5"/>
  <c r="AB3" i="5"/>
  <c r="AC3" i="5"/>
  <c r="AC21" i="5" s="1"/>
  <c r="AD3" i="5"/>
  <c r="AE3" i="5"/>
  <c r="AE21" i="5" s="1"/>
  <c r="AF3" i="5"/>
  <c r="W3" i="5"/>
  <c r="W22" i="5" s="1"/>
  <c r="X2" i="5"/>
  <c r="Y2" i="5"/>
  <c r="Z2" i="5"/>
  <c r="AA2" i="5"/>
  <c r="AB2" i="5"/>
  <c r="AC2" i="5"/>
  <c r="AD2" i="5"/>
  <c r="AE2" i="5"/>
  <c r="AF2" i="5"/>
  <c r="W2" i="5"/>
  <c r="N21" i="2" l="1"/>
  <c r="P21" i="2" s="1"/>
  <c r="S5" i="8"/>
  <c r="S7" i="8"/>
  <c r="S4" i="8"/>
  <c r="S6" i="8"/>
  <c r="Z21" i="5"/>
  <c r="AA21" i="5"/>
  <c r="AF21" i="5"/>
  <c r="X21" i="5"/>
  <c r="AB21" i="5"/>
  <c r="AD21" i="5"/>
  <c r="Y21" i="5"/>
  <c r="K5" i="2"/>
  <c r="L5" i="2"/>
  <c r="M13" i="6" l="1"/>
  <c r="M12" i="6"/>
  <c r="M11" i="6"/>
  <c r="M10" i="6"/>
  <c r="M9" i="6"/>
  <c r="M8" i="6"/>
  <c r="M7" i="6"/>
  <c r="M6" i="6"/>
  <c r="M5" i="6"/>
  <c r="L12" i="6"/>
  <c r="N12" i="6" s="1"/>
  <c r="L11" i="6"/>
  <c r="N11" i="6" s="1"/>
  <c r="L10" i="6"/>
  <c r="N10" i="6" s="1"/>
  <c r="L9" i="6"/>
  <c r="N9" i="6" s="1"/>
  <c r="L8" i="6"/>
  <c r="N8" i="6" s="1"/>
  <c r="L7" i="6"/>
  <c r="N7" i="6" s="1"/>
  <c r="L6" i="6"/>
  <c r="N6" i="6" s="1"/>
  <c r="L5" i="6"/>
  <c r="N5" i="6" s="1"/>
  <c r="K12" i="6"/>
  <c r="K11" i="6"/>
  <c r="K10" i="6"/>
  <c r="K9" i="6"/>
  <c r="K8" i="6"/>
  <c r="K7" i="6"/>
  <c r="K6" i="6"/>
  <c r="K5" i="6"/>
  <c r="N8" i="3"/>
  <c r="F9" i="6"/>
  <c r="R3" i="5"/>
  <c r="Q3" i="5"/>
  <c r="F8" i="6" l="1"/>
  <c r="F7" i="6"/>
  <c r="F6" i="6"/>
  <c r="F4" i="6"/>
  <c r="F5" i="6"/>
  <c r="F12" i="6"/>
  <c r="F11" i="6"/>
  <c r="F10" i="6"/>
  <c r="N13" i="6"/>
  <c r="P4" i="5"/>
  <c r="Q4" i="5"/>
  <c r="R4" i="5"/>
  <c r="P5" i="5"/>
  <c r="Q5" i="5"/>
  <c r="R5" i="5"/>
  <c r="P6" i="5"/>
  <c r="Q6" i="5"/>
  <c r="R6" i="5"/>
  <c r="P7" i="5"/>
  <c r="Q7" i="5"/>
  <c r="R7" i="5"/>
  <c r="P8" i="5"/>
  <c r="Q8" i="5"/>
  <c r="R8" i="5"/>
  <c r="P9" i="5"/>
  <c r="Q9" i="5"/>
  <c r="R9" i="5"/>
  <c r="P10" i="5"/>
  <c r="Q10" i="5"/>
  <c r="R10" i="5"/>
  <c r="P11" i="5"/>
  <c r="Q11" i="5"/>
  <c r="R11" i="5"/>
  <c r="P12" i="5"/>
  <c r="Q12" i="5"/>
  <c r="R12" i="5"/>
  <c r="P13" i="5"/>
  <c r="Q13" i="5"/>
  <c r="R13" i="5"/>
  <c r="P14" i="5"/>
  <c r="Q14" i="5"/>
  <c r="R14" i="5"/>
  <c r="P15" i="5"/>
  <c r="Q15" i="5"/>
  <c r="R15" i="5"/>
  <c r="P16" i="5"/>
  <c r="Q16" i="5"/>
  <c r="R16" i="5"/>
  <c r="P17" i="5"/>
  <c r="Q17" i="5"/>
  <c r="R17" i="5"/>
  <c r="P18" i="5"/>
  <c r="Q18" i="5"/>
  <c r="R18" i="5"/>
  <c r="P19" i="5"/>
  <c r="Q19" i="5"/>
  <c r="R19" i="5"/>
  <c r="N14" i="6" l="1"/>
  <c r="O12" i="6"/>
  <c r="Q12" i="6" s="1"/>
  <c r="O8" i="6"/>
  <c r="Q8" i="6" s="1"/>
  <c r="O11" i="6"/>
  <c r="Q11" i="6" s="1"/>
  <c r="O6" i="6"/>
  <c r="Q6" i="6" s="1"/>
  <c r="O5" i="6"/>
  <c r="O7" i="6"/>
  <c r="Q7" i="6" s="1"/>
  <c r="O10" i="6"/>
  <c r="Q10" i="6" s="1"/>
  <c r="O9" i="6"/>
  <c r="Q9" i="6" s="1"/>
  <c r="P3" i="5"/>
  <c r="S3" i="5"/>
  <c r="A4" i="5"/>
  <c r="P33" i="4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V8" i="3"/>
  <c r="V9" i="3"/>
  <c r="V10" i="3"/>
  <c r="V11" i="3"/>
  <c r="V12" i="3"/>
  <c r="V13" i="3"/>
  <c r="V14" i="3"/>
  <c r="V7" i="3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24" i="2"/>
  <c r="K25" i="2"/>
  <c r="J5" i="2"/>
  <c r="K6" i="2" l="1"/>
  <c r="J6" i="2" s="1"/>
  <c r="O13" i="6"/>
  <c r="Q5" i="6"/>
  <c r="S4" i="5"/>
  <c r="A5" i="5"/>
  <c r="K26" i="2"/>
  <c r="O46" i="4"/>
  <c r="O47" i="4"/>
  <c r="O48" i="4"/>
  <c r="O49" i="4"/>
  <c r="O50" i="4"/>
  <c r="O45" i="4"/>
  <c r="O43" i="4"/>
  <c r="U25" i="4"/>
  <c r="S27" i="4"/>
  <c r="S25" i="4"/>
  <c r="S23" i="4"/>
  <c r="V22" i="4"/>
  <c r="R26" i="4"/>
  <c r="Q23" i="4"/>
  <c r="W24" i="4"/>
  <c r="W22" i="4"/>
  <c r="V24" i="4"/>
  <c r="U24" i="4"/>
  <c r="U22" i="4"/>
  <c r="AA20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5" i="2"/>
  <c r="M40" i="2" s="1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Q40" i="2" l="1"/>
  <c r="K7" i="2"/>
  <c r="J7" i="2" s="1"/>
  <c r="O41" i="2"/>
  <c r="P41" i="2"/>
  <c r="Q41" i="2"/>
  <c r="R41" i="2"/>
  <c r="S41" i="2"/>
  <c r="T41" i="2"/>
  <c r="R40" i="2"/>
  <c r="O40" i="2"/>
  <c r="T40" i="2"/>
  <c r="N40" i="2"/>
  <c r="S40" i="2"/>
  <c r="P40" i="2"/>
  <c r="P7" i="2"/>
  <c r="J26" i="2"/>
  <c r="M41" i="2" s="1"/>
  <c r="A6" i="5"/>
  <c r="S5" i="5"/>
  <c r="K27" i="2"/>
  <c r="T31" i="4"/>
  <c r="AD20" i="4"/>
  <c r="S31" i="4"/>
  <c r="AC20" i="4"/>
  <c r="U31" i="4"/>
  <c r="AE20" i="4"/>
  <c r="R31" i="4"/>
  <c r="AB20" i="4"/>
  <c r="Z21" i="4" a="1"/>
  <c r="V31" i="4"/>
  <c r="AF20" i="4"/>
  <c r="W31" i="4"/>
  <c r="AG20" i="4"/>
  <c r="P31" i="4"/>
  <c r="P6" i="2"/>
  <c r="J20" i="2"/>
  <c r="P20" i="2" s="1"/>
  <c r="P13" i="3"/>
  <c r="P14" i="3"/>
  <c r="P7" i="3"/>
  <c r="D24" i="3"/>
  <c r="D23" i="3"/>
  <c r="D22" i="3"/>
  <c r="A18" i="4" s="1"/>
  <c r="D21" i="3"/>
  <c r="A17" i="4" s="1"/>
  <c r="D20" i="3"/>
  <c r="A16" i="4" s="1"/>
  <c r="D19" i="3"/>
  <c r="A15" i="4" s="1"/>
  <c r="D18" i="3"/>
  <c r="A14" i="4" s="1"/>
  <c r="D17" i="3"/>
  <c r="A13" i="4" s="1"/>
  <c r="D16" i="3"/>
  <c r="A12" i="4" s="1"/>
  <c r="D15" i="3"/>
  <c r="A11" i="4" s="1"/>
  <c r="D14" i="3"/>
  <c r="A10" i="4" s="1"/>
  <c r="D13" i="3"/>
  <c r="A9" i="4" s="1"/>
  <c r="D12" i="3"/>
  <c r="A8" i="4" s="1"/>
  <c r="D11" i="3"/>
  <c r="A7" i="4" s="1"/>
  <c r="D10" i="3"/>
  <c r="A6" i="4" s="1"/>
  <c r="D9" i="3"/>
  <c r="A5" i="4" s="1"/>
  <c r="D8" i="3"/>
  <c r="A4" i="4" s="1"/>
  <c r="D7" i="3"/>
  <c r="A3" i="4" s="1"/>
  <c r="I14" i="3"/>
  <c r="I13" i="3"/>
  <c r="I12" i="3"/>
  <c r="I7" i="3"/>
  <c r="C25" i="3"/>
  <c r="B25" i="3"/>
  <c r="C30" i="2"/>
  <c r="D30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" i="2"/>
  <c r="D3" i="2" s="1"/>
  <c r="N41" i="2" l="1"/>
  <c r="K8" i="2"/>
  <c r="J8" i="2" s="1"/>
  <c r="P8" i="2" s="1"/>
  <c r="A7" i="5"/>
  <c r="S6" i="5"/>
  <c r="K28" i="2"/>
  <c r="J27" i="2"/>
  <c r="M42" i="2" s="1"/>
  <c r="A19" i="4"/>
  <c r="B5" i="4" s="1"/>
  <c r="Z21" i="4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L13" i="3"/>
  <c r="X13" i="3" s="1"/>
  <c r="L12" i="3"/>
  <c r="X12" i="3" s="1"/>
  <c r="L14" i="3"/>
  <c r="X14" i="3" s="1"/>
  <c r="M14" i="3"/>
  <c r="N14" i="3" s="1"/>
  <c r="L7" i="3"/>
  <c r="X7" i="3" s="1"/>
  <c r="N7" i="3"/>
  <c r="N9" i="3"/>
  <c r="D25" i="3"/>
  <c r="I16" i="3"/>
  <c r="J16" i="3"/>
  <c r="K9" i="2" l="1"/>
  <c r="J9" i="2" s="1"/>
  <c r="S43" i="2"/>
  <c r="T43" i="2"/>
  <c r="T42" i="2"/>
  <c r="S42" i="2"/>
  <c r="O42" i="2"/>
  <c r="Q42" i="2"/>
  <c r="N42" i="2"/>
  <c r="R42" i="2"/>
  <c r="P42" i="2"/>
  <c r="P9" i="2"/>
  <c r="A8" i="5"/>
  <c r="S7" i="5"/>
  <c r="K29" i="2"/>
  <c r="J28" i="2"/>
  <c r="M43" i="2" s="1"/>
  <c r="B17" i="4"/>
  <c r="B9" i="4"/>
  <c r="B16" i="4"/>
  <c r="B8" i="4"/>
  <c r="B7" i="4"/>
  <c r="B6" i="4"/>
  <c r="B3" i="4"/>
  <c r="B14" i="4"/>
  <c r="B10" i="4"/>
  <c r="B15" i="4"/>
  <c r="B4" i="4"/>
  <c r="B12" i="4"/>
  <c r="B11" i="4"/>
  <c r="B18" i="4"/>
  <c r="B13" i="4"/>
  <c r="Y39" i="4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Y12" i="3"/>
  <c r="Y13" i="3"/>
  <c r="I17" i="3"/>
  <c r="O43" i="2" l="1"/>
  <c r="N43" i="2"/>
  <c r="R43" i="2"/>
  <c r="P43" i="2"/>
  <c r="Q43" i="2"/>
  <c r="K10" i="2"/>
  <c r="J10" i="2" s="1"/>
  <c r="P10" i="2"/>
  <c r="A9" i="5"/>
  <c r="S8" i="5"/>
  <c r="K30" i="2"/>
  <c r="J29" i="2"/>
  <c r="Q44" i="2" s="1"/>
  <c r="B19" i="4"/>
  <c r="X16" i="3"/>
  <c r="Y10" i="3"/>
  <c r="Y8" i="3"/>
  <c r="Y11" i="3"/>
  <c r="Y9" i="3"/>
  <c r="Y7" i="3"/>
  <c r="K11" i="3"/>
  <c r="K9" i="3"/>
  <c r="K10" i="3"/>
  <c r="K8" i="3"/>
  <c r="K12" i="3"/>
  <c r="K14" i="3"/>
  <c r="K13" i="3"/>
  <c r="K7" i="3"/>
  <c r="O44" i="2" l="1"/>
  <c r="T44" i="2"/>
  <c r="M44" i="2"/>
  <c r="S44" i="2"/>
  <c r="P44" i="2"/>
  <c r="R44" i="2"/>
  <c r="N44" i="2"/>
  <c r="K11" i="2"/>
  <c r="J11" i="2" s="1"/>
  <c r="N45" i="2"/>
  <c r="O45" i="2"/>
  <c r="Q45" i="2"/>
  <c r="R45" i="2"/>
  <c r="S45" i="2"/>
  <c r="T45" i="2"/>
  <c r="A10" i="5"/>
  <c r="S9" i="5"/>
  <c r="J30" i="2"/>
  <c r="M45" i="2" s="1"/>
  <c r="K31" i="2"/>
  <c r="T13" i="3"/>
  <c r="N27" i="4"/>
  <c r="T11" i="3"/>
  <c r="N25" i="4"/>
  <c r="T14" i="3"/>
  <c r="N28" i="4"/>
  <c r="T8" i="3"/>
  <c r="N22" i="4"/>
  <c r="T10" i="3"/>
  <c r="N24" i="4"/>
  <c r="T12" i="3"/>
  <c r="N26" i="4"/>
  <c r="T7" i="3"/>
  <c r="N21" i="4"/>
  <c r="T9" i="3"/>
  <c r="N23" i="4"/>
  <c r="Y15" i="3"/>
  <c r="K16" i="3"/>
  <c r="P45" i="2" l="1"/>
  <c r="K12" i="2"/>
  <c r="J12" i="2" s="1"/>
  <c r="P12" i="2" s="1"/>
  <c r="K32" i="2"/>
  <c r="P11" i="2"/>
  <c r="A11" i="5"/>
  <c r="S10" i="5"/>
  <c r="J31" i="2"/>
  <c r="Q46" i="2" s="1"/>
  <c r="Z29" i="4" a="1"/>
  <c r="N29" i="4"/>
  <c r="P46" i="2" l="1"/>
  <c r="K33" i="2"/>
  <c r="K13" i="2"/>
  <c r="J13" i="2" s="1"/>
  <c r="T47" i="2"/>
  <c r="N46" i="2"/>
  <c r="T46" i="2"/>
  <c r="R46" i="2"/>
  <c r="O46" i="2"/>
  <c r="M46" i="2"/>
  <c r="S46" i="2"/>
  <c r="J32" i="2"/>
  <c r="M47" i="2" s="1"/>
  <c r="A12" i="5"/>
  <c r="S11" i="5"/>
  <c r="AA29" i="4"/>
  <c r="AC29" i="4"/>
  <c r="AE29" i="4"/>
  <c r="AF29" i="4"/>
  <c r="AD29" i="4"/>
  <c r="AG29" i="4"/>
  <c r="Z29" i="4"/>
  <c r="AB29" i="4"/>
  <c r="N47" i="2" l="1"/>
  <c r="S47" i="2"/>
  <c r="R47" i="2"/>
  <c r="Q47" i="2"/>
  <c r="P47" i="2"/>
  <c r="O47" i="2"/>
  <c r="P13" i="2"/>
  <c r="K34" i="2"/>
  <c r="K14" i="2"/>
  <c r="J14" i="2" s="1"/>
  <c r="J33" i="2"/>
  <c r="O48" i="2" s="1"/>
  <c r="A13" i="5"/>
  <c r="S12" i="5"/>
  <c r="P45" i="4"/>
  <c r="P49" i="4"/>
  <c r="P48" i="4"/>
  <c r="P47" i="4"/>
  <c r="P50" i="4"/>
  <c r="P43" i="4"/>
  <c r="P46" i="4"/>
  <c r="P44" i="4"/>
  <c r="R46" i="4"/>
  <c r="R49" i="4"/>
  <c r="R48" i="4"/>
  <c r="R44" i="4"/>
  <c r="R43" i="4"/>
  <c r="R50" i="4"/>
  <c r="R45" i="4"/>
  <c r="R47" i="4"/>
  <c r="W43" i="4"/>
  <c r="W50" i="4"/>
  <c r="W47" i="4"/>
  <c r="W45" i="4"/>
  <c r="W49" i="4"/>
  <c r="W48" i="4"/>
  <c r="W46" i="4"/>
  <c r="W44" i="4"/>
  <c r="T47" i="4"/>
  <c r="T43" i="4"/>
  <c r="T45" i="4"/>
  <c r="T50" i="4"/>
  <c r="T46" i="4"/>
  <c r="T44" i="4"/>
  <c r="T48" i="4"/>
  <c r="T49" i="4"/>
  <c r="V48" i="4"/>
  <c r="V50" i="4"/>
  <c r="V45" i="4"/>
  <c r="V43" i="4"/>
  <c r="V49" i="4"/>
  <c r="V46" i="4"/>
  <c r="V44" i="4"/>
  <c r="V47" i="4"/>
  <c r="S43" i="4"/>
  <c r="S46" i="4"/>
  <c r="S47" i="4"/>
  <c r="S44" i="4"/>
  <c r="S50" i="4"/>
  <c r="S49" i="4"/>
  <c r="S48" i="4"/>
  <c r="S45" i="4"/>
  <c r="U50" i="4"/>
  <c r="U44" i="4"/>
  <c r="U46" i="4"/>
  <c r="U49" i="4"/>
  <c r="U45" i="4"/>
  <c r="U47" i="4"/>
  <c r="U43" i="4"/>
  <c r="U48" i="4"/>
  <c r="Q50" i="4"/>
  <c r="Q45" i="4"/>
  <c r="Q43" i="4"/>
  <c r="Q48" i="4"/>
  <c r="Q44" i="4"/>
  <c r="Q47" i="4"/>
  <c r="Q49" i="4"/>
  <c r="Q46" i="4"/>
  <c r="N48" i="2" l="1"/>
  <c r="S48" i="2"/>
  <c r="R48" i="2"/>
  <c r="T48" i="2"/>
  <c r="Q48" i="2"/>
  <c r="M48" i="2"/>
  <c r="K35" i="2"/>
  <c r="K15" i="2"/>
  <c r="Q49" i="2"/>
  <c r="R49" i="2"/>
  <c r="S49" i="2"/>
  <c r="T49" i="2"/>
  <c r="J34" i="2"/>
  <c r="M49" i="2" s="1"/>
  <c r="P14" i="2"/>
  <c r="P48" i="2"/>
  <c r="A14" i="5"/>
  <c r="S13" i="5"/>
  <c r="Y48" i="4"/>
  <c r="Y44" i="4"/>
  <c r="Y43" i="4"/>
  <c r="Y50" i="4"/>
  <c r="Y46" i="4"/>
  <c r="Y47" i="4"/>
  <c r="Y49" i="4"/>
  <c r="Y45" i="4"/>
  <c r="P49" i="2" l="1"/>
  <c r="J15" i="2"/>
  <c r="P15" i="2" s="1"/>
  <c r="O49" i="2"/>
  <c r="N49" i="2"/>
  <c r="K36" i="2"/>
  <c r="K16" i="2"/>
  <c r="J35" i="2"/>
  <c r="Q50" i="2" s="1"/>
  <c r="A15" i="5"/>
  <c r="S14" i="5"/>
  <c r="N50" i="2" l="1"/>
  <c r="T50" i="2"/>
  <c r="R50" i="2"/>
  <c r="P50" i="2"/>
  <c r="S50" i="2"/>
  <c r="K17" i="2"/>
  <c r="J36" i="2"/>
  <c r="M51" i="2" s="1"/>
  <c r="O50" i="2"/>
  <c r="M50" i="2"/>
  <c r="J16" i="2"/>
  <c r="P16" i="2" s="1"/>
  <c r="A16" i="5"/>
  <c r="S15" i="5"/>
  <c r="O51" i="2" l="1"/>
  <c r="T51" i="2"/>
  <c r="S51" i="2"/>
  <c r="R51" i="2"/>
  <c r="Q51" i="2"/>
  <c r="P51" i="2"/>
  <c r="N51" i="2"/>
  <c r="J17" i="2"/>
  <c r="P17" i="2"/>
  <c r="A17" i="5"/>
  <c r="S16" i="5"/>
  <c r="A18" i="5" l="1"/>
  <c r="S17" i="5"/>
  <c r="A19" i="5" l="1"/>
  <c r="S19" i="5" s="1"/>
  <c r="S18" i="5"/>
</calcChain>
</file>

<file path=xl/sharedStrings.xml><?xml version="1.0" encoding="utf-8"?>
<sst xmlns="http://schemas.openxmlformats.org/spreadsheetml/2006/main" count="10423" uniqueCount="336">
  <si>
    <t>Year</t>
  </si>
  <si>
    <t>Pop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</si>
  <si>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</si>
  <si>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</si>
  <si>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</si>
  <si>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</si>
  <si>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</si>
  <si>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</si>
  <si>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</si>
  <si>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</si>
  <si>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</si>
  <si>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</si>
  <si>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</si>
  <si>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</si>
  <si>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</si>
  <si>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</si>
  <si>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</si>
  <si>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</si>
  <si>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</si>
  <si>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</si>
  <si>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</si>
  <si>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</si>
  <si>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</si>
  <si>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</si>
  <si>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</si>
  <si>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</si>
  <si>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</si>
  <si>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</si>
  <si>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</si>
  <si>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</si>
  <si>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</si>
  <si>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</si>
  <si>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</si>
  <si>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</si>
  <si>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</si>
  <si>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</si>
  <si>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</si>
  <si>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</si>
  <si>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</si>
  <si>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</si>
  <si>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</si>
  <si>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</si>
  <si>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</si>
  <si>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</si>
  <si>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</si>
  <si>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</si>
  <si>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</si>
  <si>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</si>
  <si>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</si>
  <si>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</si>
  <si>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</si>
  <si>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</si>
  <si>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</si>
  <si>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</si>
  <si>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</si>
  <si>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</si>
  <si>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</si>
  <si>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</si>
  <si>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</si>
  <si>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</si>
  <si>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</si>
  <si>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</si>
  <si>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</si>
  <si>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</si>
  <si>
    <t>Balanced # of contacts</t>
  </si>
  <si>
    <t>Last Day of 2-week Sequencing</t>
  </si>
  <si>
    <t>USA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</si>
  <si>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</si>
  <si>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</si>
  <si>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</si>
  <si>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</si>
  <si>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</si>
  <si>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</si>
  <si>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</si>
  <si>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</si>
  <si>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</si>
  <si>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</si>
  <si>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PyCharm</t>
  </si>
  <si>
    <t>4_10_2021 </t>
  </si>
  <si>
    <t>4_24_2021 </t>
  </si>
  <si>
    <t>5_8_2021 </t>
  </si>
  <si>
    <t>5_15_2021 </t>
  </si>
  <si>
    <t>5_22_2021 </t>
  </si>
  <si>
    <t>5_29_2021</t>
  </si>
  <si>
    <t>6_5_2021 </t>
  </si>
  <si>
    <t>6_12_2021</t>
  </si>
  <si>
    <t>6_19_2021 </t>
  </si>
  <si>
    <t>6_26_2021</t>
  </si>
  <si>
    <t>7_3_2021 </t>
  </si>
  <si>
    <t>7_10_2021 </t>
  </si>
  <si>
    <t>7_17_2021 </t>
  </si>
  <si>
    <t>7_24_2021 </t>
  </si>
  <si>
    <t>7_31_2021 </t>
  </si>
  <si>
    <t>8_7_2021 </t>
  </si>
  <si>
    <t>8_14_2021 </t>
  </si>
  <si>
    <t>Cumulative Hospitalization Rate</t>
  </si>
  <si>
    <t>Minimum value among all States included in COVID-NET</t>
  </si>
  <si>
    <t>Maximum value among all States included in COVID-NET</t>
  </si>
  <si>
    <t>(source: https://gis.cdc.gov/grasp/COVIDNet/COVID19_3.html)</t>
  </si>
  <si>
    <t>week</t>
  </si>
  <si>
    <t>12-17</t>
  </si>
  <si>
    <t>Bias</t>
  </si>
  <si>
    <t>ave</t>
  </si>
  <si>
    <t>corr</t>
  </si>
  <si>
    <t>state</t>
  </si>
  <si>
    <t>statename</t>
  </si>
  <si>
    <t>collectionDate</t>
  </si>
  <si>
    <t>InpatBeds_Occ_AnyPat_Est</t>
  </si>
  <si>
    <t>InpatBeds_Occ_AnyPat_LoCI</t>
  </si>
  <si>
    <t>InpatBeds_Occ_AnyPat_UpCI</t>
  </si>
  <si>
    <t>InpatBeds_Occ_AnyPat_Est_Avail</t>
  </si>
  <si>
    <t>InBedsOccAnyPat__Numbeds_Est</t>
  </si>
  <si>
    <t>InBedsOccAnyPat__Numbeds_LoCI</t>
  </si>
  <si>
    <t>InBedsOccAnyPat__Numbeds_UpCI</t>
  </si>
  <si>
    <t>InpatBeds_Occ_COVID_Est</t>
  </si>
  <si>
    <t>InpatBeds_Occ_COVID_LoCI</t>
  </si>
  <si>
    <t>InpatBeds_Occ_COVID_UpCI</t>
  </si>
  <si>
    <t>InBedsOccCOVID__Numbeds_Est</t>
  </si>
  <si>
    <t>InBedsOccCOVID__Numbeds_LoCI</t>
  </si>
  <si>
    <t>InBedsOccCOVID__Numbeds_UpCI</t>
  </si>
  <si>
    <t>ICUBeds_Occ_AnyPat_Est</t>
  </si>
  <si>
    <t>ICUBeds_Occ_AnyPat_LoCI</t>
  </si>
  <si>
    <t>ICUBeds_Occ_AnyPat_UpCI</t>
  </si>
  <si>
    <t>ICUBeds_Occ_AnyPat_Est_Avail</t>
  </si>
  <si>
    <t>ICUBedsOccAnyPat__N_ICUBeds_Est</t>
  </si>
  <si>
    <t>ICUBedsOccAnyPat__N_ICUBeds_LoCI</t>
  </si>
  <si>
    <t>ICUBedsOccAnyPat__N_ICUBeds_UpCI</t>
  </si>
  <si>
    <t>Notes</t>
  </si>
  <si>
    <t>Two-letter state abbreviation</t>
  </si>
  <si>
    <t>State name</t>
  </si>
  <si>
    <t>Day for which estimate is made</t>
  </si>
  <si>
    <t>Hospital inpatient bed occupancy, estimate</t>
  </si>
  <si>
    <t>Hospital inpatient bed occupancy, lower 95% CI</t>
  </si>
  <si>
    <t>Hospital inpatient bed occupancy, upper 95% CI</t>
  </si>
  <si>
    <t>Hospital inpatient beds available, estimate</t>
  </si>
  <si>
    <t>Hospital inpatient bed occupancy, percent estimate (percent of inpatient beds)</t>
  </si>
  <si>
    <t>Hospital inpatient bed occupancy, lower 95% CI (percent of inpatient beds)</t>
  </si>
  <si>
    <t>Hospital inpatient bed occupancy, upper 95% CI (percent of inpatient beds)</t>
  </si>
  <si>
    <t>Number of patients in an inpatient care location who have suspected or confirmed COVID-19,  estimate</t>
  </si>
  <si>
    <t>Number of patients in an inpatient care location who have suspected or confirmed COVID-19, lower 95% CI</t>
  </si>
  <si>
    <t>Number of patients in an inpatient care location who have suspected or confirmed COVID-19, upper 95% CI</t>
  </si>
  <si>
    <t>Number of patients in an inpatient care location who have suspected or confirmed COVID-19, percent estimate (percent of inpatient beds)</t>
  </si>
  <si>
    <t>Number of patients in an inpatient care location who have suspected or confirmed COVID-19, lower 95% CI (percent of inpatient beds)</t>
  </si>
  <si>
    <t>Number of patients in an inpatient care location who have suspected or confirmed COVID-19, upper 95% CI (percent of inpatient beds)</t>
  </si>
  <si>
    <t>Rate</t>
  </si>
  <si>
    <t>ICU bed occupancy, estimate</t>
  </si>
  <si>
    <t>ICU bed occupancy, lower 95% CI</t>
  </si>
  <si>
    <t>ICU bed occupancy, upper 95% CI</t>
  </si>
  <si>
    <t>ICU beds available, estimate</t>
  </si>
  <si>
    <t>ICU bed occupancy, percent estimate (percent of ICU beds)</t>
  </si>
  <si>
    <t>ICU bed occupancy, lower 95% CI (percent of ICU beds)</t>
  </si>
  <si>
    <t>ICU bed occupancy, upper 95% CI (percent of ICU beds)</t>
  </si>
  <si>
    <t>This file contains National and State representative estimates from the CDC National Healthcare Safety Network (NHSN).</t>
  </si>
  <si>
    <t>rank</t>
  </si>
  <si>
    <t>State</t>
  </si>
  <si>
    <t>Growth</t>
  </si>
  <si>
    <t>Pop2018</t>
  </si>
  <si>
    <t>Pop2010</t>
  </si>
  <si>
    <t>growthSince2010</t>
  </si>
  <si>
    <t>Percent</t>
  </si>
  <si>
    <t>density</t>
  </si>
  <si>
    <t>US</t>
  </si>
  <si>
    <t>United States</t>
  </si>
  <si>
    <t>These estimates are based on data retrieved on 07-08-2020 at 5:30 am.</t>
  </si>
  <si>
    <t>California</t>
  </si>
  <si>
    <t>Statistical methods were used to generate estimates of patient impact and hospital capacity measures that are representative at the national level.</t>
  </si>
  <si>
    <t>Texas</t>
  </si>
  <si>
    <t>The estimates are based on data submitted by acute care hospitals to the NHSN COVID-19 Module.</t>
  </si>
  <si>
    <t>Florida</t>
  </si>
  <si>
    <t>The statistical methods include weighting (to account for non-response), multiple imputation (to account for missing data).</t>
  </si>
  <si>
    <t>New York</t>
  </si>
  <si>
    <t>The estimates (number and percentage) are shown along with 95% confidence intervals (denoted by the suffixes LoCI or UpCI) that reflect the statistical error that is primarily due to non-response.</t>
  </si>
  <si>
    <t>Pennsylvania</t>
  </si>
  <si>
    <t>If estimates for the United States are required, the estimates for the "US" should be used rather than aggregating states.</t>
  </si>
  <si>
    <t>Illinois</t>
  </si>
  <si>
    <t>All estimates are provisional and subject to revision as additional data becomes available and as methodological enhancements are developed.</t>
  </si>
  <si>
    <t>Ohio</t>
  </si>
  <si>
    <t>Questions should be directed to CDC, Division of Healthcare Quality Promotion (DHQP), NHSN.</t>
  </si>
  <si>
    <t>Georgia</t>
  </si>
  <si>
    <t>Created by NHSN, Division of Healthcare Quality Promotion, NCEZID, CDC (nhsn@cdc.gov, subject line: National Estimates).</t>
  </si>
  <si>
    <t>North Carolina</t>
  </si>
  <si>
    <t>Michigan</t>
  </si>
  <si>
    <t>New Jersey</t>
  </si>
  <si>
    <t>Virginia</t>
  </si>
  <si>
    <t>Washington</t>
  </si>
  <si>
    <t>Arizona</t>
  </si>
  <si>
    <t>Tennessee</t>
  </si>
  <si>
    <t>Massachusetts</t>
  </si>
  <si>
    <t>Indiana</t>
  </si>
  <si>
    <t>Missouri</t>
  </si>
  <si>
    <t>Maryland</t>
  </si>
  <si>
    <t>Colorado</t>
  </si>
  <si>
    <t>Wisconsin</t>
  </si>
  <si>
    <t>Minnesota</t>
  </si>
  <si>
    <t>South Carolina</t>
  </si>
  <si>
    <t>Alabama</t>
  </si>
  <si>
    <t>Louisiana</t>
  </si>
  <si>
    <t>Kentucky</t>
  </si>
  <si>
    <t>Oregon</t>
  </si>
  <si>
    <t>Oklahoma</t>
  </si>
  <si>
    <t>Connecticut</t>
  </si>
  <si>
    <t>Utah</t>
  </si>
  <si>
    <t>Puerto Rico</t>
  </si>
  <si>
    <t>Nevada</t>
  </si>
  <si>
    <t>Iowa</t>
  </si>
  <si>
    <t>Arkansas</t>
  </si>
  <si>
    <t>Mississippi</t>
  </si>
  <si>
    <t>Kansas</t>
  </si>
  <si>
    <t>New Mexico</t>
  </si>
  <si>
    <t>Nebraska</t>
  </si>
  <si>
    <t>Idaho</t>
  </si>
  <si>
    <t>West Virginia</t>
  </si>
  <si>
    <t>Hawaii</t>
  </si>
  <si>
    <t>New Hampshire</t>
  </si>
  <si>
    <t>Maine</t>
  </si>
  <si>
    <t>Montana</t>
  </si>
  <si>
    <t>Rhode Island</t>
  </si>
  <si>
    <t>Delaware</t>
  </si>
  <si>
    <t>South Dakota</t>
  </si>
  <si>
    <t>North Dakota</t>
  </si>
  <si>
    <t>Alaska</t>
  </si>
  <si>
    <t>District of Columbia</t>
  </si>
  <si>
    <t>Vermont</t>
  </si>
  <si>
    <t>Wyoming</t>
  </si>
  <si>
    <t>AK</t>
  </si>
  <si>
    <t>AL</t>
  </si>
  <si>
    <t>AR</t>
  </si>
  <si>
    <t>AZ</t>
  </si>
  <si>
    <t>CA</t>
  </si>
  <si>
    <t>CO</t>
  </si>
  <si>
    <t>CT</t>
  </si>
  <si>
    <t>DC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</si>
  <si>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</si>
  <si>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</si>
  <si>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</si>
  <si>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</si>
  <si>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</si>
  <si>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</si>
  <si>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</si>
  <si>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</si>
  <si>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</si>
  <si>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</si>
  <si>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</si>
  <si>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</si>
  <si>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</si>
  <si>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</si>
  <si>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</si>
  <si>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</si>
  <si>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</si>
  <si>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</si>
  <si>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</si>
  <si>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</si>
  <si>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</si>
  <si>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</si>
  <si>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</si>
  <si>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</si>
  <si>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</si>
  <si>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</si>
  <si>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</si>
  <si>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</si>
  <si>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</si>
  <si>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</si>
  <si>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</si>
  <si>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PR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</si>
  <si>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</si>
  <si>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</si>
  <si>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</si>
  <si>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</si>
  <si>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</si>
  <si>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</si>
  <si>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</si>
  <si>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</si>
  <si>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</si>
  <si>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</si>
  <si>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</si>
  <si>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</si>
  <si>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>https://www.cdc.gov/nhsn/covid19/report-patient-impact.html</t>
  </si>
  <si>
    <t>Week into Winter</t>
  </si>
  <si>
    <t>Cumulative hospitalization rate (per 100,000 population) between March 1, 2010 and November 27, 2021</t>
  </si>
  <si>
    <t>age distribution of hospitalization (%)</t>
  </si>
  <si>
    <t>Converting Dates to Year and Weeks</t>
  </si>
  <si>
    <t>Coverting Week to Dates</t>
  </si>
  <si>
    <t>feature</t>
  </si>
  <si>
    <t>If threshold passed (0:Yes) 10 | corr</t>
  </si>
  <si>
    <t>If threshold passed (0:Yes) 10 | p-value</t>
  </si>
  <si>
    <t>If threshold passed (0:Yes) 15 | corr</t>
  </si>
  <si>
    <t>If threshold passed (0:Yes) 15 | p-value</t>
  </si>
  <si>
    <t>If threshold passed (0:Yes) 20 | corr</t>
  </si>
  <si>
    <t>If threshold passed (0:Yes) 20 | p-value</t>
  </si>
  <si>
    <t>Obs: New hospitalization rate</t>
  </si>
  <si>
    <t>Obs: New hospitalization rate-ave-2wk</t>
  </si>
  <si>
    <t>Obs: New hospitalization rate-slope-4wk</t>
  </si>
  <si>
    <t>Obs: % of incidence due to Novel</t>
  </si>
  <si>
    <t>Obs: % of incidence due to Novel-ave-2wk</t>
  </si>
  <si>
    <t>Obs: % of incidence due to Novel-slope-4wk</t>
  </si>
  <si>
    <t>Obs: Hospital occupancy rate</t>
  </si>
  <si>
    <t>Obs: Cumulative vaccination rate</t>
  </si>
  <si>
    <t>Max Obs: Hospital occupancy rate</t>
  </si>
  <si>
    <t>Cleaned</t>
  </si>
  <si>
    <t>Paper</t>
  </si>
  <si>
    <t>8 - week</t>
  </si>
  <si>
    <t>4 - week</t>
  </si>
  <si>
    <t>Model</t>
  </si>
  <si>
    <t>Threshold</t>
  </si>
  <si>
    <t>CV-Formatted PI</t>
  </si>
  <si>
    <t>Acc-base</t>
  </si>
  <si>
    <t>Sen-base</t>
  </si>
  <si>
    <t>Spe-base</t>
  </si>
  <si>
    <t>Acc-no control measure</t>
  </si>
  <si>
    <t>Sen-no control measure</t>
  </si>
  <si>
    <t>Spe-no control measure</t>
  </si>
  <si>
    <t>Acc-no novel variant</t>
  </si>
  <si>
    <t>Sen-no novel variant</t>
  </si>
  <si>
    <t>Spe-no novel variant</t>
  </si>
  <si>
    <t>Acc-smaller survey</t>
  </si>
  <si>
    <t>Sen-smaller survey</t>
  </si>
  <si>
    <t>Spe-smaller survey</t>
  </si>
  <si>
    <t>A</t>
  </si>
  <si>
    <t>0.931 (0.925, 0.937)</t>
  </si>
  <si>
    <t>0.887 (0.880, 0.895)</t>
  </si>
  <si>
    <t>0.860 (0.850, 0.869)</t>
  </si>
  <si>
    <t>B</t>
  </si>
  <si>
    <t>0.936 (0.928, 0.944)</t>
  </si>
  <si>
    <t>0.886 (0.878, 0.893)</t>
  </si>
  <si>
    <t>Accuracy</t>
  </si>
  <si>
    <t>Sensitivity</t>
  </si>
  <si>
    <t>Specificity</t>
  </si>
  <si>
    <t>Base scenario</t>
  </si>
  <si>
    <t>Decision Tree A</t>
  </si>
  <si>
    <t>Decision Tree B</t>
  </si>
  <si>
    <t>If non-pharmaceutical measures are removed during the winter and spring of 2022</t>
  </si>
  <si>
    <t>If no novel variant emerges during the winter and spring of 2022</t>
  </si>
  <si>
    <r>
      <t>Genomic surveillance with small sample size (</t>
    </r>
    <r>
      <rPr>
        <b/>
        <i/>
        <sz val="10"/>
        <color rgb="FF000000"/>
        <rFont val="Calibri"/>
        <family val="2"/>
        <scheme val="minor"/>
      </rPr>
      <t>N</t>
    </r>
    <r>
      <rPr>
        <b/>
        <sz val="10"/>
        <color rgb="FF000000"/>
        <rFont val="Calibri"/>
        <family val="2"/>
        <scheme val="minor"/>
      </rPr>
      <t>=250 tests per week)</t>
    </r>
  </si>
  <si>
    <t>Threshold = 15</t>
  </si>
  <si>
    <t>Threshold = 10</t>
  </si>
  <si>
    <t>Threshold =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</si>
</sst>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4472C4"/>
      <name val="Calibri"/>
      <family val="2"/>
      <scheme val="minor"/>
    </font>
    <font>
      <b/>
      <i/>
      <sz val="10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D9D9D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16">
    <xf numFmtId="0" fontId="0" fillId="0" borderId="0" xfId="0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5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ont="1"/>
    <xf numFmtId="0" fontId="4" fillId="0" borderId="0" xfId="7" applyFont="1"/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NumberFormat="1" applyFont="1" applyBorder="1" applyAlignment="1">
      <alignment horizontal="justify" vertical="center" wrapText="1"/>
    </xf>
    <xf numFmtId="0" fontId="6" fillId="0" borderId="5" xfId="0" quotePrefix="1" applyNumberFormat="1" applyFont="1" applyBorder="1" applyAlignment="1">
      <alignment horizontal="justify" vertical="center" wrapText="1"/>
    </xf>
    <xf numFmtId="16" fontId="0" fillId="0" borderId="0" xfId="0" quotePrefix="1" applyNumberFormat="1" applyFont="1"/>
    <xf numFmtId="165" fontId="0" fillId="0" borderId="0" xfId="0" applyNumberFormat="1" applyFont="1" applyAlignment="1">
      <alignment horizontal="center"/>
    </xf>
    <xf numFmtId="165" fontId="0" fillId="2" borderId="0" xfId="0" applyNumberFormat="1" applyFont="1" applyFill="1" applyAlignment="1">
      <alignment horizontal="center"/>
    </xf>
    <xf numFmtId="2" fontId="0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center"/>
    </xf>
    <xf numFmtId="167" fontId="0" fillId="2" borderId="0" xfId="0" applyNumberFormat="1" applyFill="1" applyAlignment="1">
      <alignment horizontal="center"/>
    </xf>
    <xf numFmtId="167" fontId="0" fillId="2" borderId="0" xfId="0" applyNumberFormat="1" applyFont="1" applyFill="1" applyAlignment="1">
      <alignment horizontal="center"/>
    </xf>
    <xf numFmtId="0" fontId="0" fillId="0" borderId="0" xfId="0" applyAlignment="1">
      <alignment wrapText="1"/>
    </xf>
    <xf numFmtId="15" fontId="0" fillId="0" borderId="0" xfId="0" applyNumberFormat="1"/>
    <xf numFmtId="11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3" borderId="0" xfId="0" applyFill="1"/>
    <xf numFmtId="0" fontId="0" fillId="9" borderId="0" xfId="0" applyFill="1"/>
    <xf numFmtId="0" fontId="0" fillId="0" borderId="0" xfId="0" applyBorder="1" applyAlignment="1">
      <alignment horizontal="center"/>
    </xf>
    <xf numFmtId="170" fontId="0" fillId="0" borderId="0" xfId="0" applyNumberFormat="1" applyBorder="1" applyAlignment="1">
      <alignment horizontal="center"/>
    </xf>
    <xf numFmtId="0" fontId="7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6" fillId="0" borderId="6" xfId="0" applyFont="1" applyBorder="1" applyAlignment="1">
      <alignment vertical="center" wrapText="1"/>
    </xf>
    <xf numFmtId="0" fontId="9" fillId="0" borderId="6" xfId="0" applyFont="1" applyBorder="1" applyAlignment="1">
      <alignment horizontal="center" vertical="center" wrapText="1"/>
    </xf>
    <xf numFmtId="0" fontId="5" fillId="2" borderId="6" xfId="0" applyFont="1" applyFill="1" applyBorder="1" applyAlignment="1"/>
    <xf numFmtId="0" fontId="8" fillId="11" borderId="4" xfId="0" applyFont="1" applyFill="1" applyBorder="1" applyAlignment="1">
      <alignment vertical="center" wrapText="1"/>
    </xf>
    <xf numFmtId="0" fontId="7" fillId="0" borderId="8" xfId="0" applyFont="1" applyBorder="1" applyAlignment="1">
      <alignment horizontal="center" vertical="center" wrapText="1"/>
    </xf>
    <xf numFmtId="0" fontId="0" fillId="0" borderId="9" xfId="0" applyBorder="1"/>
    <xf numFmtId="0" fontId="9" fillId="0" borderId="9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0" fillId="0" borderId="12" xfId="0" applyBorder="1"/>
    <xf numFmtId="0" fontId="9" fillId="0" borderId="12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0" fillId="10" borderId="0" xfId="0" applyFill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0" fillId="2" borderId="0" xfId="0" applyFill="1" applyAlignment="1">
      <alignment horizontal="center" wrapText="1"/>
    </xf>
    <xf numFmtId="0" fontId="5" fillId="2" borderId="1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'Novel variant'!$W$2</c:f>
              <c:strCache>
                <c:ptCount val="1"/>
                <c:pt idx="0">
                  <c:v>Region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variant'!$D$3:$D$19</c:f>
              <c:numCache>
                <c:formatCode>0.0%</c:formatCode>
                <c:ptCount val="17"/>
                <c:pt idx="0">
                  <c:v>1E-3</c:v>
                </c:pt>
                <c:pt idx="1">
                  <c:v>3.0000000000000001E-3</c:v>
                </c:pt>
                <c:pt idx="2">
                  <c:v>1.2999999999999999E-2</c:v>
                </c:pt>
                <c:pt idx="3">
                  <c:v>2.5999999999999999E-2</c:v>
                </c:pt>
                <c:pt idx="4">
                  <c:v>4.1000000000000002E-2</c:v>
                </c:pt>
                <c:pt idx="5">
                  <c:v>5.8999999999999997E-2</c:v>
                </c:pt>
                <c:pt idx="6">
                  <c:v>7.3999999999999996E-2</c:v>
                </c:pt>
                <c:pt idx="7">
                  <c:v>4.9000000000000002E-2</c:v>
                </c:pt>
                <c:pt idx="8">
                  <c:v>0.25900000000000001</c:v>
                </c:pt>
                <c:pt idx="9">
                  <c:v>0.312</c:v>
                </c:pt>
                <c:pt idx="10">
                  <c:v>0.51900000000000002</c:v>
                </c:pt>
                <c:pt idx="11">
                  <c:v>0.73499999999999999</c:v>
                </c:pt>
                <c:pt idx="12">
                  <c:v>0.91700000000000004</c:v>
                </c:pt>
                <c:pt idx="13">
                  <c:v>0.95499999999999996</c:v>
                </c:pt>
                <c:pt idx="14">
                  <c:v>0.93799999999999994</c:v>
                </c:pt>
                <c:pt idx="15">
                  <c:v>0.96399999999999997</c:v>
                </c:pt>
                <c:pt idx="16">
                  <c:v>0.97699999999999998</c:v>
                </c:pt>
              </c:numCache>
            </c:numRef>
          </c:xVal>
          <c:yVal>
            <c:numRef>
              <c:f>'Novel variant'!$W$3:$W$19</c:f>
              <c:numCache>
                <c:formatCode>0.0%</c:formatCode>
                <c:ptCount val="17"/>
                <c:pt idx="0">
                  <c:v>0</c:v>
                </c:pt>
                <c:pt idx="1">
                  <c:v>-3.0000000000000001E-3</c:v>
                </c:pt>
                <c:pt idx="2">
                  <c:v>-1.0000000000000009E-3</c:v>
                </c:pt>
                <c:pt idx="3">
                  <c:v>1.9999999999999983E-3</c:v>
                </c:pt>
                <c:pt idx="4">
                  <c:v>3.0000000000000027E-3</c:v>
                </c:pt>
                <c:pt idx="5">
                  <c:v>-1.100000000000001E-2</c:v>
                </c:pt>
                <c:pt idx="6">
                  <c:v>-6.699999999999999E-2</c:v>
                </c:pt>
                <c:pt idx="7">
                  <c:v>-0.21200000000000002</c:v>
                </c:pt>
                <c:pt idx="8">
                  <c:v>-0.11299999999999999</c:v>
                </c:pt>
                <c:pt idx="9">
                  <c:v>-0.22400000000000003</c:v>
                </c:pt>
                <c:pt idx="10">
                  <c:v>-0.17499999999999993</c:v>
                </c:pt>
                <c:pt idx="11">
                  <c:v>-8.6999999999999966E-2</c:v>
                </c:pt>
                <c:pt idx="12">
                  <c:v>4.1000000000000036E-2</c:v>
                </c:pt>
                <c:pt idx="13">
                  <c:v>1.100000000000001E-2</c:v>
                </c:pt>
                <c:pt idx="14">
                  <c:v>-3.0000000000000027E-2</c:v>
                </c:pt>
                <c:pt idx="15">
                  <c:v>-1.5000000000000013E-2</c:v>
                </c:pt>
                <c:pt idx="16">
                  <c:v>-1.100000000000001E-2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2-4B08-ADC2-E5A66F913A0A}"/>
            </c:ext>
          </c:extLst>
        </c:ser>
        <c:ser>
          <c:idx val="1"/>
          <c:order val="1"/>
          <c:tx>
            <c:strRef>
              <c:f>'Novel variant'!$X$2</c:f>
              <c:strCache>
                <c:ptCount val="1"/>
                <c:pt idx="0">
                  <c:v>Region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'Novel variant'!$E$3:$E$19</c:f>
              <c:numCache>
                <c:formatCode>0.0%</c:formatCode>
                <c:ptCount val="17"/>
                <c:pt idx="0">
                  <c:v>0</c:v>
                </c:pt>
                <c:pt idx="1">
                  <c:v>5.0000000000000001E-3</c:v>
                </c:pt>
                <c:pt idx="2">
                  <c:v>1.6E-2</c:v>
                </c:pt>
                <c:pt idx="3">
                  <c:v>0.03</c:v>
                </c:pt>
                <c:pt idx="4">
                  <c:v>3.4000000000000002E-2</c:v>
                </c:pt>
                <c:pt idx="5">
                  <c:v>6.5000000000000002E-2</c:v>
                </c:pt>
                <c:pt idx="6">
                  <c:v>0.126</c:v>
                </c:pt>
                <c:pt idx="7">
                  <c:v>0.26900000000000002</c:v>
                </c:pt>
                <c:pt idx="8">
                  <c:v>0.36799999999999999</c:v>
                </c:pt>
                <c:pt idx="9">
                  <c:v>0.54</c:v>
                </c:pt>
                <c:pt idx="10">
                  <c:v>0.69799999999999995</c:v>
                </c:pt>
                <c:pt idx="11">
                  <c:v>0.81200000000000006</c:v>
                </c:pt>
                <c:pt idx="12">
                  <c:v>0.85199999999999998</c:v>
                </c:pt>
                <c:pt idx="13">
                  <c:v>0.95499999999999996</c:v>
                </c:pt>
                <c:pt idx="14">
                  <c:v>0.97699999999999998</c:v>
                </c:pt>
                <c:pt idx="15">
                  <c:v>0.97899999999999998</c:v>
                </c:pt>
                <c:pt idx="16">
                  <c:v>0.98699999999999999</c:v>
                </c:pt>
              </c:numCache>
            </c:numRef>
          </c:xVal>
          <c:yVal>
            <c:numRef>
              <c:f>'Novel variant'!$X$3:$X$19</c:f>
              <c:numCache>
                <c:formatCode>0.0%</c:formatCode>
                <c:ptCount val="17"/>
                <c:pt idx="0">
                  <c:v>-1E-3</c:v>
                </c:pt>
                <c:pt idx="1">
                  <c:v>-1E-3</c:v>
                </c:pt>
                <c:pt idx="2">
                  <c:v>2E-3</c:v>
                </c:pt>
                <c:pt idx="3">
                  <c:v>5.9999999999999984E-3</c:v>
                </c:pt>
                <c:pt idx="4">
                  <c:v>-3.9999999999999966E-3</c:v>
                </c:pt>
                <c:pt idx="5">
                  <c:v>-5.0000000000000044E-3</c:v>
                </c:pt>
                <c:pt idx="6">
                  <c:v>-1.4999999999999986E-2</c:v>
                </c:pt>
                <c:pt idx="7">
                  <c:v>8.0000000000000071E-3</c:v>
                </c:pt>
                <c:pt idx="8">
                  <c:v>-4.0000000000000036E-3</c:v>
                </c:pt>
                <c:pt idx="9">
                  <c:v>4.0000000000000036E-3</c:v>
                </c:pt>
                <c:pt idx="10">
                  <c:v>4.0000000000000036E-3</c:v>
                </c:pt>
                <c:pt idx="11">
                  <c:v>-9.9999999999998979E-3</c:v>
                </c:pt>
                <c:pt idx="12">
                  <c:v>-2.4000000000000021E-2</c:v>
                </c:pt>
                <c:pt idx="13">
                  <c:v>1.100000000000001E-2</c:v>
                </c:pt>
                <c:pt idx="14">
                  <c:v>9.000000000000008E-3</c:v>
                </c:pt>
                <c:pt idx="15">
                  <c:v>0</c:v>
                </c:pt>
                <c:pt idx="16">
                  <c:v>-1.0000000000000009E-3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2-4B08-ADC2-E5A66F913A0A}"/>
            </c:ext>
          </c:extLst>
        </c:ser>
        <c:ser>
          <c:idx val="2"/>
          <c:order val="2"/>
          <c:tx>
            <c:strRef>
              <c:f>'Novel variant'!$Y$2</c:f>
              <c:strCache>
                <c:ptCount val="1"/>
                <c:pt idx="0">
                  <c:v>Region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'Novel variant'!$F$3:$F$19</c:f>
              <c:numCache>
                <c:formatCode>0.0%</c:formatCode>
                <c:ptCount val="17"/>
                <c:pt idx="0">
                  <c:v>1E-3</c:v>
                </c:pt>
                <c:pt idx="1">
                  <c:v>7.0000000000000001E-3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2.1000000000000001E-2</c:v>
                </c:pt>
                <c:pt idx="5">
                  <c:v>2.3E-2</c:v>
                </c:pt>
                <c:pt idx="6">
                  <c:v>5.0999999999999997E-2</c:v>
                </c:pt>
                <c:pt idx="7">
                  <c:v>8.5999999999999993E-2</c:v>
                </c:pt>
                <c:pt idx="8">
                  <c:v>0.16300000000000001</c:v>
                </c:pt>
                <c:pt idx="9">
                  <c:v>0.28100000000000003</c:v>
                </c:pt>
                <c:pt idx="10">
                  <c:v>0.56200000000000006</c:v>
                </c:pt>
                <c:pt idx="11">
                  <c:v>0.71399999999999997</c:v>
                </c:pt>
                <c:pt idx="12">
                  <c:v>0.83799999999999997</c:v>
                </c:pt>
                <c:pt idx="13">
                  <c:v>0.93300000000000005</c:v>
                </c:pt>
                <c:pt idx="14">
                  <c:v>0.97799999999999998</c:v>
                </c:pt>
                <c:pt idx="15">
                  <c:v>0.97199999999999998</c:v>
                </c:pt>
                <c:pt idx="16">
                  <c:v>0.98399999999999999</c:v>
                </c:pt>
              </c:numCache>
            </c:numRef>
          </c:xVal>
          <c:yVal>
            <c:numRef>
              <c:f>'Novel variant'!$Y$3:$Y$19</c:f>
              <c:numCache>
                <c:formatCode>0.0%</c:formatCode>
                <c:ptCount val="17"/>
                <c:pt idx="0">
                  <c:v>0</c:v>
                </c:pt>
                <c:pt idx="1">
                  <c:v>1E-3</c:v>
                </c:pt>
                <c:pt idx="2">
                  <c:v>-6.0000000000000001E-3</c:v>
                </c:pt>
                <c:pt idx="3">
                  <c:v>-1.2E-2</c:v>
                </c:pt>
                <c:pt idx="4">
                  <c:v>-1.6999999999999998E-2</c:v>
                </c:pt>
                <c:pt idx="5">
                  <c:v>-4.7000000000000007E-2</c:v>
                </c:pt>
                <c:pt idx="6">
                  <c:v>-0.09</c:v>
                </c:pt>
                <c:pt idx="7">
                  <c:v>-0.17500000000000002</c:v>
                </c:pt>
                <c:pt idx="8">
                  <c:v>-0.20899999999999999</c:v>
                </c:pt>
                <c:pt idx="9">
                  <c:v>-0.255</c:v>
                </c:pt>
                <c:pt idx="10">
                  <c:v>-0.1319999999999999</c:v>
                </c:pt>
                <c:pt idx="11">
                  <c:v>-0.10799999999999998</c:v>
                </c:pt>
                <c:pt idx="12">
                  <c:v>-3.8000000000000034E-2</c:v>
                </c:pt>
                <c:pt idx="13">
                  <c:v>-1.0999999999999899E-2</c:v>
                </c:pt>
                <c:pt idx="14">
                  <c:v>1.0000000000000009E-2</c:v>
                </c:pt>
                <c:pt idx="15">
                  <c:v>-7.0000000000000062E-3</c:v>
                </c:pt>
                <c:pt idx="16">
                  <c:v>-4.0000000000000036E-3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F2-4B08-ADC2-E5A66F913A0A}"/>
            </c:ext>
          </c:extLst>
        </c:ser>
        <c:ser>
          <c:idx val="3"/>
          <c:order val="3"/>
          <c:tx>
            <c:strRef>
              <c:f>'Novel variant'!$Z$2</c:f>
              <c:strCache>
                <c:ptCount val="1"/>
                <c:pt idx="0">
                  <c:v>Region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variant'!$G$3:$G$19</c:f>
              <c:numCache>
                <c:formatCode>0.0%</c:formatCode>
                <c:ptCount val="17"/>
                <c:pt idx="0">
                  <c:v>1E-3</c:v>
                </c:pt>
                <c:pt idx="1">
                  <c:v>5.0000000000000001E-3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2.3E-2</c:v>
                </c:pt>
                <c:pt idx="5">
                  <c:v>3.7999999999999999E-2</c:v>
                </c:pt>
                <c:pt idx="6">
                  <c:v>0.06</c:v>
                </c:pt>
                <c:pt idx="7">
                  <c:v>0.16900000000000001</c:v>
                </c:pt>
                <c:pt idx="8">
                  <c:v>0.252</c:v>
                </c:pt>
                <c:pt idx="9">
                  <c:v>0.42399999999999999</c:v>
                </c:pt>
                <c:pt idx="10">
                  <c:v>0.626</c:v>
                </c:pt>
                <c:pt idx="11">
                  <c:v>0.78400000000000003</c:v>
                </c:pt>
                <c:pt idx="12">
                  <c:v>0.86299999999999999</c:v>
                </c:pt>
                <c:pt idx="13">
                  <c:v>0.93799999999999994</c:v>
                </c:pt>
                <c:pt idx="14">
                  <c:v>0.96399999999999997</c:v>
                </c:pt>
                <c:pt idx="15">
                  <c:v>0.97499999999999998</c:v>
                </c:pt>
                <c:pt idx="16">
                  <c:v>0.98499999999999999</c:v>
                </c:pt>
              </c:numCache>
            </c:numRef>
          </c:xVal>
          <c:yVal>
            <c:numRef>
              <c:f>'Novel variant'!$Z$3:$Z$19</c:f>
              <c:numCache>
                <c:formatCode>0.0%</c:formatCode>
                <c:ptCount val="17"/>
                <c:pt idx="0">
                  <c:v>0</c:v>
                </c:pt>
                <c:pt idx="1">
                  <c:v>-1E-3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-1.4999999999999999E-2</c:v>
                </c:pt>
                <c:pt idx="5">
                  <c:v>-3.2000000000000008E-2</c:v>
                </c:pt>
                <c:pt idx="6">
                  <c:v>-8.0999999999999989E-2</c:v>
                </c:pt>
                <c:pt idx="7">
                  <c:v>-9.1999999999999998E-2</c:v>
                </c:pt>
                <c:pt idx="8">
                  <c:v>-0.12</c:v>
                </c:pt>
                <c:pt idx="9">
                  <c:v>-0.11200000000000004</c:v>
                </c:pt>
                <c:pt idx="10">
                  <c:v>-6.7999999999999949E-2</c:v>
                </c:pt>
                <c:pt idx="11">
                  <c:v>-3.7999999999999923E-2</c:v>
                </c:pt>
                <c:pt idx="12">
                  <c:v>-1.3000000000000012E-2</c:v>
                </c:pt>
                <c:pt idx="13">
                  <c:v>-6.0000000000000053E-3</c:v>
                </c:pt>
                <c:pt idx="14">
                  <c:v>-4.0000000000000036E-3</c:v>
                </c:pt>
                <c:pt idx="15">
                  <c:v>-4.0000000000000036E-3</c:v>
                </c:pt>
                <c:pt idx="16">
                  <c:v>-3.0000000000000027E-3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F2-4B08-ADC2-E5A66F913A0A}"/>
            </c:ext>
          </c:extLst>
        </c:ser>
        <c:ser>
          <c:idx val="4"/>
          <c:order val="4"/>
          <c:tx>
            <c:strRef>
              <c:f>'Novel variant'!$AA$2</c:f>
              <c:strCache>
                <c:ptCount val="1"/>
                <c:pt idx="0">
                  <c:v>Region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'Novel variant'!$H$3:$H$19</c:f>
              <c:numCache>
                <c:formatCode>0.0%</c:formatCode>
                <c:ptCount val="17"/>
                <c:pt idx="0">
                  <c:v>1E-3</c:v>
                </c:pt>
                <c:pt idx="1">
                  <c:v>4.0000000000000001E-3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2.9000000000000001E-2</c:v>
                </c:pt>
                <c:pt idx="5">
                  <c:v>4.8000000000000001E-2</c:v>
                </c:pt>
                <c:pt idx="6">
                  <c:v>9.2999999999999999E-2</c:v>
                </c:pt>
                <c:pt idx="7">
                  <c:v>0.185</c:v>
                </c:pt>
                <c:pt idx="8">
                  <c:v>0.29799999999999999</c:v>
                </c:pt>
                <c:pt idx="9">
                  <c:v>0.47899999999999998</c:v>
                </c:pt>
                <c:pt idx="10">
                  <c:v>0.65200000000000002</c:v>
                </c:pt>
                <c:pt idx="11">
                  <c:v>0.84899999999999998</c:v>
                </c:pt>
                <c:pt idx="12">
                  <c:v>0.89400000000000002</c:v>
                </c:pt>
                <c:pt idx="13">
                  <c:v>0.94699999999999995</c:v>
                </c:pt>
                <c:pt idx="14">
                  <c:v>0.97199999999999998</c:v>
                </c:pt>
                <c:pt idx="15">
                  <c:v>0.98199999999999998</c:v>
                </c:pt>
                <c:pt idx="16">
                  <c:v>0.98899999999999999</c:v>
                </c:pt>
              </c:numCache>
            </c:numRef>
          </c:xVal>
          <c:yVal>
            <c:numRef>
              <c:f>'Novel variant'!$AA$3:$AA$19</c:f>
              <c:numCache>
                <c:formatCode>0.0%</c:formatCode>
                <c:ptCount val="17"/>
                <c:pt idx="0">
                  <c:v>0</c:v>
                </c:pt>
                <c:pt idx="1">
                  <c:v>-2E-3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-8.9999999999999976E-3</c:v>
                </c:pt>
                <c:pt idx="5">
                  <c:v>-2.2000000000000006E-2</c:v>
                </c:pt>
                <c:pt idx="6">
                  <c:v>-4.7999999999999987E-2</c:v>
                </c:pt>
                <c:pt idx="7">
                  <c:v>-7.6000000000000012E-2</c:v>
                </c:pt>
                <c:pt idx="8">
                  <c:v>-7.400000000000001E-2</c:v>
                </c:pt>
                <c:pt idx="9">
                  <c:v>-5.7000000000000051E-2</c:v>
                </c:pt>
                <c:pt idx="10">
                  <c:v>-4.1999999999999926E-2</c:v>
                </c:pt>
                <c:pt idx="11">
                  <c:v>2.7000000000000024E-2</c:v>
                </c:pt>
                <c:pt idx="12">
                  <c:v>1.8000000000000016E-2</c:v>
                </c:pt>
                <c:pt idx="13">
                  <c:v>3.0000000000000027E-3</c:v>
                </c:pt>
                <c:pt idx="14">
                  <c:v>4.0000000000000036E-3</c:v>
                </c:pt>
                <c:pt idx="15">
                  <c:v>3.0000000000000027E-3</c:v>
                </c:pt>
                <c:pt idx="16">
                  <c:v>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F2-4B08-ADC2-E5A66F913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43168"/>
        <c:axId val="2088882320"/>
      </c:scatterChart>
      <c:valAx>
        <c:axId val="2085443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82320"/>
        <c:crosses val="autoZero"/>
        <c:crossBetween val="midCat"/>
      </c:valAx>
      <c:valAx>
        <c:axId val="208888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44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21</xdr:row>
      <xdr:rowOff>61911</xdr:rowOff>
    </xdr:from>
    <xdr:to>
      <xdr:col>22</xdr:col>
      <xdr:colOff>38100</xdr:colOff>
      <xdr:row>40</xdr:row>
      <xdr:rowOff>66674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A22D4E0-598A-4810-8B46-69E73FA04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s.cdc.gov/grasp/COVIDNet/COVID19_3.html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cdc.gov/nhsn/covid19/report-patient-impac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DFBCD-C2E0-4970-8F4C-5A9EDAAA6E8B}">
  <sheetPr>
    <tabColor theme="9" tint="0.79998168889431442"/>
  </sheetPr>
  <dimension ref="A1:N33"/>
  <sheetViews>
    <sheetView workbookViewId="0">
      <selection activeCell="I25" sqref="I25:N30"/>
    </sheetView>
  </sheetViews>
  <sheetFormatPr defaultRowHeight="15" x14ac:dyDescent="0.25"/>
  <cols>
    <col min="1" max="1" width="41" bestFit="1" customWidth="1"/>
  </cols>
  <sheetData>
    <row r="1" spans="1:14" x14ac:dyDescent="0.25">
      <c r="B1" s="104" t="s">
        <v>300</v>
      </c>
      <c r="C1" s="104"/>
      <c r="D1" s="104"/>
      <c r="E1" s="104"/>
      <c r="F1" s="104"/>
      <c r="G1" s="104"/>
      <c r="I1" s="104" t="s">
        <v>301</v>
      </c>
      <c r="J1" s="104"/>
      <c r="K1" s="104"/>
      <c r="L1" s="104"/>
      <c r="M1" s="104"/>
      <c r="N1" s="104"/>
    </row>
    <row r="2" spans="1:14" s="75" customFormat="1" ht="90" x14ac:dyDescent="0.25">
      <c r="A2" s="75" t="s">
        <v>282</v>
      </c>
      <c r="B2" s="75" t="s">
        <v>283</v>
      </c>
      <c r="C2" s="75" t="s">
        <v>284</v>
      </c>
      <c r="D2" s="75" t="s">
        <v>285</v>
      </c>
      <c r="E2" s="75" t="s">
        <v>286</v>
      </c>
      <c r="F2" s="75" t="s">
        <v>287</v>
      </c>
      <c r="G2" s="75" t="s">
        <v>288</v>
      </c>
      <c r="I2" s="75" t="s">
        <v>283</v>
      </c>
      <c r="J2" s="75" t="s">
        <v>284</v>
      </c>
      <c r="K2" s="75" t="s">
        <v>285</v>
      </c>
      <c r="L2" s="75" t="s">
        <v>286</v>
      </c>
      <c r="M2" s="75" t="s">
        <v>287</v>
      </c>
      <c r="N2" s="75" t="s">
        <v>288</v>
      </c>
    </row>
    <row r="3" spans="1:14" x14ac:dyDescent="0.25">
      <c r="A3" t="s">
        <v>289</v>
      </c>
      <c r="B3">
        <v>-0.46200000000000002</v>
      </c>
      <c r="C3">
        <v>0</v>
      </c>
      <c r="D3">
        <v>-0.55000000000000004</v>
      </c>
      <c r="E3">
        <v>0</v>
      </c>
      <c r="F3">
        <v>-0.60299999999999998</v>
      </c>
      <c r="G3">
        <v>0</v>
      </c>
      <c r="I3">
        <v>-0.55100000000000005</v>
      </c>
      <c r="J3">
        <v>0</v>
      </c>
      <c r="K3">
        <v>-0.64400000000000002</v>
      </c>
      <c r="L3">
        <v>0</v>
      </c>
      <c r="M3">
        <v>-0.68500000000000005</v>
      </c>
      <c r="N3">
        <v>0</v>
      </c>
    </row>
    <row r="4" spans="1:14" x14ac:dyDescent="0.25">
      <c r="A4" t="s">
        <v>290</v>
      </c>
      <c r="B4">
        <v>-0.46400000000000002</v>
      </c>
      <c r="C4">
        <v>0</v>
      </c>
      <c r="D4">
        <v>-0.54900000000000004</v>
      </c>
      <c r="E4">
        <v>0</v>
      </c>
      <c r="F4">
        <v>-0.59499999999999997</v>
      </c>
      <c r="G4">
        <v>0</v>
      </c>
      <c r="I4">
        <v>-0.55200000000000005</v>
      </c>
      <c r="J4">
        <v>0</v>
      </c>
      <c r="K4">
        <v>-0.63900000000000001</v>
      </c>
      <c r="L4">
        <v>0</v>
      </c>
      <c r="M4">
        <v>-0.67</v>
      </c>
      <c r="N4">
        <v>0</v>
      </c>
    </row>
    <row r="5" spans="1:14" x14ac:dyDescent="0.25">
      <c r="A5" t="s">
        <v>291</v>
      </c>
      <c r="B5">
        <v>-7.3999999999999996E-2</v>
      </c>
      <c r="C5">
        <v>0</v>
      </c>
      <c r="D5">
        <v>-0.114</v>
      </c>
      <c r="E5">
        <v>0</v>
      </c>
      <c r="F5">
        <v>-0.151</v>
      </c>
      <c r="G5">
        <v>0</v>
      </c>
      <c r="I5">
        <v>-0.112</v>
      </c>
      <c r="J5">
        <v>0</v>
      </c>
      <c r="K5">
        <v>-0.16700000000000001</v>
      </c>
      <c r="L5">
        <v>0</v>
      </c>
      <c r="M5">
        <v>-0.22600000000000001</v>
      </c>
      <c r="N5">
        <v>0</v>
      </c>
    </row>
    <row r="6" spans="1:14" x14ac:dyDescent="0.25">
      <c r="A6" t="s">
        <v>292</v>
      </c>
      <c r="B6">
        <v>-2.5000000000000001E-2</v>
      </c>
      <c r="C6">
        <v>3.5999999999999997E-2</v>
      </c>
      <c r="D6">
        <v>-3.1E-2</v>
      </c>
      <c r="E6">
        <v>0.01</v>
      </c>
      <c r="F6">
        <v>-1.4E-2</v>
      </c>
      <c r="G6">
        <v>0.23200000000000001</v>
      </c>
      <c r="I6">
        <v>-2.5999999999999999E-2</v>
      </c>
      <c r="J6">
        <v>1.4999999999999999E-2</v>
      </c>
      <c r="K6">
        <v>-2.7E-2</v>
      </c>
      <c r="L6">
        <v>0.01</v>
      </c>
      <c r="M6">
        <v>-3.1E-2</v>
      </c>
      <c r="N6">
        <v>3.0000000000000001E-3</v>
      </c>
    </row>
    <row r="7" spans="1:14" x14ac:dyDescent="0.25">
      <c r="A7" t="s">
        <v>293</v>
      </c>
      <c r="B7">
        <v>-2.3E-2</v>
      </c>
      <c r="C7">
        <v>5.0999999999999997E-2</v>
      </c>
      <c r="D7">
        <v>-2.8000000000000001E-2</v>
      </c>
      <c r="E7">
        <v>0.02</v>
      </c>
      <c r="F7">
        <v>-1.0999999999999999E-2</v>
      </c>
      <c r="G7">
        <v>0.34799999999999998</v>
      </c>
      <c r="I7">
        <v>-2.5000000000000001E-2</v>
      </c>
      <c r="J7">
        <v>1.9E-2</v>
      </c>
      <c r="K7">
        <v>-2.5999999999999999E-2</v>
      </c>
      <c r="L7">
        <v>1.4999999999999999E-2</v>
      </c>
      <c r="M7">
        <v>-2.9000000000000001E-2</v>
      </c>
      <c r="N7">
        <v>6.0000000000000001E-3</v>
      </c>
    </row>
    <row r="8" spans="1:14" x14ac:dyDescent="0.25">
      <c r="A8" t="s">
        <v>294</v>
      </c>
      <c r="B8">
        <v>-3.2000000000000001E-2</v>
      </c>
      <c r="C8">
        <v>8.0000000000000002E-3</v>
      </c>
      <c r="D8">
        <v>-4.9000000000000002E-2</v>
      </c>
      <c r="E8">
        <v>0</v>
      </c>
      <c r="F8">
        <v>-3.5000000000000003E-2</v>
      </c>
      <c r="G8">
        <v>3.0000000000000001E-3</v>
      </c>
      <c r="I8">
        <v>-3.5000000000000003E-2</v>
      </c>
      <c r="J8">
        <v>1E-3</v>
      </c>
      <c r="K8">
        <v>-4.2999999999999997E-2</v>
      </c>
      <c r="L8">
        <v>0</v>
      </c>
      <c r="M8">
        <v>-4.7E-2</v>
      </c>
      <c r="N8">
        <v>0</v>
      </c>
    </row>
    <row r="9" spans="1:14" x14ac:dyDescent="0.25">
      <c r="A9" t="s">
        <v>295</v>
      </c>
      <c r="B9">
        <v>-0.50700000000000001</v>
      </c>
      <c r="C9">
        <v>0</v>
      </c>
      <c r="D9">
        <v>-0.61299999999999999</v>
      </c>
      <c r="E9">
        <v>0</v>
      </c>
      <c r="F9">
        <v>-0.67800000000000005</v>
      </c>
      <c r="G9">
        <v>0</v>
      </c>
      <c r="I9">
        <v>-0.59799999999999998</v>
      </c>
      <c r="J9">
        <v>0</v>
      </c>
      <c r="K9">
        <v>-0.71</v>
      </c>
      <c r="L9">
        <v>0</v>
      </c>
      <c r="M9">
        <v>-0.76700000000000002</v>
      </c>
      <c r="N9">
        <v>0</v>
      </c>
    </row>
    <row r="10" spans="1:14" x14ac:dyDescent="0.25">
      <c r="A10" t="s">
        <v>296</v>
      </c>
      <c r="B10">
        <v>8.3000000000000004E-2</v>
      </c>
      <c r="C10">
        <v>0</v>
      </c>
      <c r="D10">
        <v>0.11</v>
      </c>
      <c r="E10">
        <v>0</v>
      </c>
      <c r="F10">
        <v>0.11799999999999999</v>
      </c>
      <c r="G10">
        <v>0</v>
      </c>
      <c r="I10">
        <v>7.0999999999999994E-2</v>
      </c>
      <c r="J10">
        <v>0</v>
      </c>
      <c r="K10">
        <v>9.4E-2</v>
      </c>
      <c r="L10">
        <v>0</v>
      </c>
      <c r="M10">
        <v>9.8000000000000004E-2</v>
      </c>
      <c r="N10">
        <v>0</v>
      </c>
    </row>
    <row r="11" spans="1:14" x14ac:dyDescent="0.25">
      <c r="A11" t="s">
        <v>297</v>
      </c>
      <c r="B11">
        <v>-0.57699999999999996</v>
      </c>
      <c r="C11">
        <v>0</v>
      </c>
      <c r="D11">
        <v>-0.70699999999999996</v>
      </c>
      <c r="E11">
        <v>0</v>
      </c>
      <c r="F11">
        <v>-0.77800000000000002</v>
      </c>
      <c r="G11">
        <v>0</v>
      </c>
      <c r="I11">
        <v>-0.627</v>
      </c>
      <c r="J11">
        <v>0</v>
      </c>
      <c r="K11">
        <v>-0.74199999999999999</v>
      </c>
      <c r="L11">
        <v>0</v>
      </c>
      <c r="M11">
        <v>-0.79700000000000004</v>
      </c>
      <c r="N11">
        <v>0</v>
      </c>
    </row>
    <row r="13" spans="1:14" x14ac:dyDescent="0.25">
      <c r="A13" s="105" t="s">
        <v>298</v>
      </c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</row>
    <row r="14" spans="1:14" x14ac:dyDescent="0.25">
      <c r="A14" t="str">
        <f>A3</f>
        <v>Obs: New hospitalization rate</v>
      </c>
      <c r="B14">
        <f>-B3</f>
        <v>0.46200000000000002</v>
      </c>
      <c r="C14" s="43" t="str">
        <f>IF(C3&lt;0.001,"&lt;0.001",C3)</f>
        <v>&lt;0.001</v>
      </c>
      <c r="D14">
        <f>-D3</f>
        <v>0.55000000000000004</v>
      </c>
      <c r="E14" s="43" t="str">
        <f>IF(E3&lt;0.001,"&lt;0.001",E3)</f>
        <v>&lt;0.001</v>
      </c>
      <c r="F14">
        <f>-F3</f>
        <v>0.60299999999999998</v>
      </c>
      <c r="G14" s="43" t="str">
        <f>IF(G3&lt;0.001,"&lt;0.001",G3)</f>
        <v>&lt;0.001</v>
      </c>
      <c r="I14">
        <f>-I3</f>
        <v>0.55100000000000005</v>
      </c>
      <c r="J14" s="43" t="str">
        <f>IF(J3&lt;0.001,"&lt;0.001",J3)</f>
        <v>&lt;0.001</v>
      </c>
      <c r="K14">
        <f>-K3</f>
        <v>0.64400000000000002</v>
      </c>
      <c r="L14" s="43" t="str">
        <f>IF(L3&lt;0.001,"&lt;0.001",L3)</f>
        <v>&lt;0.001</v>
      </c>
      <c r="M14">
        <f>-M3</f>
        <v>0.68500000000000005</v>
      </c>
      <c r="N14" s="43" t="str">
        <f>IF(N3&lt;0.001,"&lt;0.001",N3)</f>
        <v>&lt;0.001</v>
      </c>
    </row>
    <row r="15" spans="1:14" x14ac:dyDescent="0.25">
      <c r="A15" t="str">
        <f t="shared" ref="A15:A22" si="0">A4</f>
        <v>Obs: New hospitalization rate-ave-2wk</v>
      </c>
      <c r="B15">
        <f t="shared" ref="B15:D22" si="1">-B4</f>
        <v>0.46400000000000002</v>
      </c>
      <c r="C15" s="43" t="str">
        <f t="shared" ref="C15:E22" si="2">IF(C4&lt;0.001,"&lt;0.001",C4)</f>
        <v>&lt;0.001</v>
      </c>
      <c r="D15">
        <f t="shared" si="1"/>
        <v>0.54900000000000004</v>
      </c>
      <c r="E15" s="43" t="str">
        <f t="shared" si="2"/>
        <v>&lt;0.001</v>
      </c>
      <c r="F15">
        <f t="shared" ref="F15" si="3">-F4</f>
        <v>0.59499999999999997</v>
      </c>
      <c r="G15" s="43" t="str">
        <f t="shared" ref="G15" si="4">IF(G4&lt;0.001,"&lt;0.001",G4)</f>
        <v>&lt;0.001</v>
      </c>
      <c r="I15">
        <f t="shared" ref="I15" si="5">-I4</f>
        <v>0.55200000000000005</v>
      </c>
      <c r="J15" s="43" t="str">
        <f t="shared" ref="J15" si="6">IF(J4&lt;0.001,"&lt;0.001",J4)</f>
        <v>&lt;0.001</v>
      </c>
      <c r="K15">
        <f t="shared" ref="K15" si="7">-K4</f>
        <v>0.63900000000000001</v>
      </c>
      <c r="L15" s="43" t="str">
        <f t="shared" ref="L15" si="8">IF(L4&lt;0.001,"&lt;0.001",L4)</f>
        <v>&lt;0.001</v>
      </c>
      <c r="M15">
        <f t="shared" ref="M15:M22" si="9">-M4</f>
        <v>0.67</v>
      </c>
      <c r="N15" s="43" t="str">
        <f t="shared" ref="N15:N22" si="10">IF(N4&lt;0.001,"&lt;0.001",N4)</f>
        <v>&lt;0.001</v>
      </c>
    </row>
    <row r="16" spans="1:14" x14ac:dyDescent="0.25">
      <c r="A16" t="str">
        <f t="shared" si="0"/>
        <v>Obs: New hospitalization rate-slope-4wk</v>
      </c>
      <c r="B16">
        <f t="shared" si="1"/>
        <v>7.3999999999999996E-2</v>
      </c>
      <c r="C16" s="43" t="str">
        <f t="shared" si="2"/>
        <v>&lt;0.001</v>
      </c>
      <c r="D16">
        <f t="shared" si="1"/>
        <v>0.114</v>
      </c>
      <c r="E16" s="43" t="str">
        <f t="shared" si="2"/>
        <v>&lt;0.001</v>
      </c>
      <c r="F16">
        <f t="shared" ref="F16" si="11">-F5</f>
        <v>0.151</v>
      </c>
      <c r="G16" s="43" t="str">
        <f t="shared" ref="G16" si="12">IF(G5&lt;0.001,"&lt;0.001",G5)</f>
        <v>&lt;0.001</v>
      </c>
      <c r="I16">
        <f t="shared" ref="I16" si="13">-I5</f>
        <v>0.112</v>
      </c>
      <c r="J16" s="43" t="str">
        <f t="shared" ref="J16" si="14">IF(J5&lt;0.001,"&lt;0.001",J5)</f>
        <v>&lt;0.001</v>
      </c>
      <c r="K16">
        <f t="shared" ref="K16" si="15">-K5</f>
        <v>0.16700000000000001</v>
      </c>
      <c r="L16" s="43" t="str">
        <f t="shared" ref="L16" si="16">IF(L5&lt;0.001,"&lt;0.001",L5)</f>
        <v>&lt;0.001</v>
      </c>
      <c r="M16">
        <f t="shared" si="9"/>
        <v>0.22600000000000001</v>
      </c>
      <c r="N16" s="43" t="str">
        <f t="shared" si="10"/>
        <v>&lt;0.001</v>
      </c>
    </row>
    <row r="17" spans="1:14" x14ac:dyDescent="0.25">
      <c r="A17" t="str">
        <f t="shared" si="0"/>
        <v>Obs: % of incidence due to Novel</v>
      </c>
      <c r="B17">
        <f t="shared" si="1"/>
        <v>2.5000000000000001E-2</v>
      </c>
      <c r="C17" s="43">
        <f t="shared" si="2"/>
        <v>3.5999999999999997E-2</v>
      </c>
      <c r="D17">
        <f t="shared" si="1"/>
        <v>3.1E-2</v>
      </c>
      <c r="E17" s="43">
        <f t="shared" si="2"/>
        <v>0.01</v>
      </c>
      <c r="F17">
        <f t="shared" ref="F17" si="17">-F6</f>
        <v>1.4E-2</v>
      </c>
      <c r="G17" s="43">
        <f t="shared" ref="G17" si="18">IF(G6&lt;0.001,"&lt;0.001",G6)</f>
        <v>0.23200000000000001</v>
      </c>
      <c r="I17">
        <f t="shared" ref="I17" si="19">-I6</f>
        <v>2.5999999999999999E-2</v>
      </c>
      <c r="J17" s="43">
        <f t="shared" ref="J17" si="20">IF(J6&lt;0.001,"&lt;0.001",J6)</f>
        <v>1.4999999999999999E-2</v>
      </c>
      <c r="K17">
        <f t="shared" ref="K17" si="21">-K6</f>
        <v>2.7E-2</v>
      </c>
      <c r="L17" s="43">
        <f t="shared" ref="L17" si="22">IF(L6&lt;0.001,"&lt;0.001",L6)</f>
        <v>0.01</v>
      </c>
      <c r="M17">
        <f t="shared" si="9"/>
        <v>3.1E-2</v>
      </c>
      <c r="N17" s="43">
        <f t="shared" si="10"/>
        <v>3.0000000000000001E-3</v>
      </c>
    </row>
    <row r="18" spans="1:14" x14ac:dyDescent="0.25">
      <c r="A18" t="str">
        <f t="shared" si="0"/>
        <v>Obs: % of incidence due to Novel-ave-2wk</v>
      </c>
      <c r="B18">
        <f t="shared" si="1"/>
        <v>2.3E-2</v>
      </c>
      <c r="C18" s="43">
        <f t="shared" si="2"/>
        <v>5.0999999999999997E-2</v>
      </c>
      <c r="D18">
        <f t="shared" si="1"/>
        <v>2.8000000000000001E-2</v>
      </c>
      <c r="E18" s="43">
        <f t="shared" si="2"/>
        <v>0.02</v>
      </c>
      <c r="F18">
        <f t="shared" ref="F18" si="23">-F7</f>
        <v>1.0999999999999999E-2</v>
      </c>
      <c r="G18" s="43">
        <f t="shared" ref="G18" si="24">IF(G7&lt;0.001,"&lt;0.001",G7)</f>
        <v>0.34799999999999998</v>
      </c>
      <c r="I18">
        <f t="shared" ref="I18" si="25">-I7</f>
        <v>2.5000000000000001E-2</v>
      </c>
      <c r="J18" s="43">
        <f t="shared" ref="J18" si="26">IF(J7&lt;0.001,"&lt;0.001",J7)</f>
        <v>1.9E-2</v>
      </c>
      <c r="K18">
        <f t="shared" ref="K18" si="27">-K7</f>
        <v>2.5999999999999999E-2</v>
      </c>
      <c r="L18" s="43">
        <f t="shared" ref="L18" si="28">IF(L7&lt;0.001,"&lt;0.001",L7)</f>
        <v>1.4999999999999999E-2</v>
      </c>
      <c r="M18">
        <f t="shared" si="9"/>
        <v>2.9000000000000001E-2</v>
      </c>
      <c r="N18" s="43">
        <f t="shared" si="10"/>
        <v>6.0000000000000001E-3</v>
      </c>
    </row>
    <row r="19" spans="1:14" x14ac:dyDescent="0.25">
      <c r="A19" t="str">
        <f t="shared" si="0"/>
        <v>Obs: % of incidence due to Novel-slope-4wk</v>
      </c>
      <c r="B19">
        <f t="shared" si="1"/>
        <v>3.2000000000000001E-2</v>
      </c>
      <c r="C19" s="43">
        <f t="shared" si="2"/>
        <v>8.0000000000000002E-3</v>
      </c>
      <c r="D19">
        <f t="shared" si="1"/>
        <v>4.9000000000000002E-2</v>
      </c>
      <c r="E19" s="43" t="str">
        <f t="shared" si="2"/>
        <v>&lt;0.001</v>
      </c>
      <c r="F19">
        <f t="shared" ref="F19" si="29">-F8</f>
        <v>3.5000000000000003E-2</v>
      </c>
      <c r="G19" s="43">
        <f t="shared" ref="G19" si="30">IF(G8&lt;0.001,"&lt;0.001",G8)</f>
        <v>3.0000000000000001E-3</v>
      </c>
      <c r="I19">
        <f t="shared" ref="I19" si="31">-I8</f>
        <v>3.5000000000000003E-2</v>
      </c>
      <c r="J19" s="43">
        <f t="shared" ref="J19" si="32">IF(J8&lt;0.001,"&lt;0.001",J8)</f>
        <v>1E-3</v>
      </c>
      <c r="K19">
        <f t="shared" ref="K19" si="33">-K8</f>
        <v>4.2999999999999997E-2</v>
      </c>
      <c r="L19" s="43" t="str">
        <f t="shared" ref="L19" si="34">IF(L8&lt;0.001,"&lt;0.001",L8)</f>
        <v>&lt;0.001</v>
      </c>
      <c r="M19">
        <f t="shared" si="9"/>
        <v>4.7E-2</v>
      </c>
      <c r="N19" s="43" t="str">
        <f t="shared" si="10"/>
        <v>&lt;0.001</v>
      </c>
    </row>
    <row r="20" spans="1:14" x14ac:dyDescent="0.25">
      <c r="A20" t="str">
        <f t="shared" si="0"/>
        <v>Obs: Hospital occupancy rate</v>
      </c>
      <c r="B20">
        <f t="shared" si="1"/>
        <v>0.50700000000000001</v>
      </c>
      <c r="C20" s="43" t="str">
        <f t="shared" si="2"/>
        <v>&lt;0.001</v>
      </c>
      <c r="D20">
        <f t="shared" si="1"/>
        <v>0.61299999999999999</v>
      </c>
      <c r="E20" s="43" t="str">
        <f t="shared" si="2"/>
        <v>&lt;0.001</v>
      </c>
      <c r="F20">
        <f t="shared" ref="F20" si="35">-F9</f>
        <v>0.67800000000000005</v>
      </c>
      <c r="G20" s="43" t="str">
        <f t="shared" ref="G20" si="36">IF(G9&lt;0.001,"&lt;0.001",G9)</f>
        <v>&lt;0.001</v>
      </c>
      <c r="I20">
        <f t="shared" ref="I20" si="37">-I9</f>
        <v>0.59799999999999998</v>
      </c>
      <c r="J20" s="43" t="str">
        <f t="shared" ref="J20" si="38">IF(J9&lt;0.001,"&lt;0.001",J9)</f>
        <v>&lt;0.001</v>
      </c>
      <c r="K20">
        <f t="shared" ref="K20" si="39">-K9</f>
        <v>0.71</v>
      </c>
      <c r="L20" s="43" t="str">
        <f t="shared" ref="L20" si="40">IF(L9&lt;0.001,"&lt;0.001",L9)</f>
        <v>&lt;0.001</v>
      </c>
      <c r="M20">
        <f t="shared" si="9"/>
        <v>0.76700000000000002</v>
      </c>
      <c r="N20" s="43" t="str">
        <f t="shared" si="10"/>
        <v>&lt;0.001</v>
      </c>
    </row>
    <row r="21" spans="1:14" x14ac:dyDescent="0.25">
      <c r="A21" t="str">
        <f t="shared" si="0"/>
        <v>Obs: Cumulative vaccination rate</v>
      </c>
      <c r="B21">
        <f t="shared" si="1"/>
        <v>-8.3000000000000004E-2</v>
      </c>
      <c r="C21" s="43" t="str">
        <f t="shared" si="2"/>
        <v>&lt;0.001</v>
      </c>
      <c r="D21">
        <f t="shared" si="1"/>
        <v>-0.11</v>
      </c>
      <c r="E21" s="43" t="str">
        <f t="shared" si="2"/>
        <v>&lt;0.001</v>
      </c>
      <c r="F21">
        <f t="shared" ref="F21" si="41">-F10</f>
        <v>-0.11799999999999999</v>
      </c>
      <c r="G21" s="43" t="str">
        <f t="shared" ref="G21" si="42">IF(G10&lt;0.001,"&lt;0.001",G10)</f>
        <v>&lt;0.001</v>
      </c>
      <c r="I21">
        <f t="shared" ref="I21" si="43">-I10</f>
        <v>-7.0999999999999994E-2</v>
      </c>
      <c r="J21" s="43" t="str">
        <f t="shared" ref="J21" si="44">IF(J10&lt;0.001,"&lt;0.001",J10)</f>
        <v>&lt;0.001</v>
      </c>
      <c r="K21">
        <f t="shared" ref="K21" si="45">-K10</f>
        <v>-9.4E-2</v>
      </c>
      <c r="L21" s="43" t="str">
        <f t="shared" ref="L21" si="46">IF(L10&lt;0.001,"&lt;0.001",L10)</f>
        <v>&lt;0.001</v>
      </c>
      <c r="M21">
        <f t="shared" si="9"/>
        <v>-9.8000000000000004E-2</v>
      </c>
      <c r="N21" s="43" t="str">
        <f t="shared" si="10"/>
        <v>&lt;0.001</v>
      </c>
    </row>
    <row r="22" spans="1:14" x14ac:dyDescent="0.25">
      <c r="A22" t="str">
        <f t="shared" si="0"/>
        <v>Max Obs: Hospital occupancy rate</v>
      </c>
      <c r="B22">
        <f t="shared" si="1"/>
        <v>0.57699999999999996</v>
      </c>
      <c r="C22" s="43" t="str">
        <f t="shared" si="2"/>
        <v>&lt;0.001</v>
      </c>
      <c r="D22">
        <f t="shared" si="1"/>
        <v>0.70699999999999996</v>
      </c>
      <c r="E22" s="43" t="str">
        <f t="shared" si="2"/>
        <v>&lt;0.001</v>
      </c>
      <c r="F22">
        <f t="shared" ref="F22" si="47">-F11</f>
        <v>0.77800000000000002</v>
      </c>
      <c r="G22" s="43" t="str">
        <f t="shared" ref="G22" si="48">IF(G11&lt;0.001,"&lt;0.001",G11)</f>
        <v>&lt;0.001</v>
      </c>
      <c r="I22">
        <f t="shared" ref="I22" si="49">-I11</f>
        <v>0.627</v>
      </c>
      <c r="J22" s="43" t="str">
        <f t="shared" ref="J22" si="50">IF(J11&lt;0.001,"&lt;0.001",J11)</f>
        <v>&lt;0.001</v>
      </c>
      <c r="K22">
        <f t="shared" ref="K22" si="51">-K11</f>
        <v>0.74199999999999999</v>
      </c>
      <c r="L22" s="43" t="str">
        <f t="shared" ref="L22" si="52">IF(L11&lt;0.001,"&lt;0.001",L11)</f>
        <v>&lt;0.001</v>
      </c>
      <c r="M22">
        <f t="shared" si="9"/>
        <v>0.79700000000000004</v>
      </c>
      <c r="N22" s="43" t="str">
        <f t="shared" si="10"/>
        <v>&lt;0.001</v>
      </c>
    </row>
    <row r="24" spans="1:14" x14ac:dyDescent="0.25">
      <c r="A24" s="105" t="s">
        <v>299</v>
      </c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</row>
    <row r="25" spans="1:14" x14ac:dyDescent="0.25">
      <c r="A25" t="str">
        <f>A20</f>
        <v>Obs: Hospital occupancy rate</v>
      </c>
      <c r="B25" s="43">
        <f t="shared" ref="B25:G25" si="53">B20</f>
        <v>0.50700000000000001</v>
      </c>
      <c r="C25" s="43" t="str">
        <f t="shared" si="53"/>
        <v>&lt;0.001</v>
      </c>
      <c r="D25" s="43">
        <f t="shared" si="53"/>
        <v>0.61299999999999999</v>
      </c>
      <c r="E25" s="43" t="str">
        <f t="shared" si="53"/>
        <v>&lt;0.001</v>
      </c>
      <c r="F25" s="43">
        <f t="shared" si="53"/>
        <v>0.67800000000000005</v>
      </c>
      <c r="G25" s="43" t="str">
        <f t="shared" si="53"/>
        <v>&lt;0.001</v>
      </c>
      <c r="I25" s="43">
        <f t="shared" ref="I25:N25" si="54">I20</f>
        <v>0.59799999999999998</v>
      </c>
      <c r="J25" s="43" t="str">
        <f t="shared" si="54"/>
        <v>&lt;0.001</v>
      </c>
      <c r="K25" s="43">
        <f t="shared" si="54"/>
        <v>0.71</v>
      </c>
      <c r="L25" s="43" t="str">
        <f t="shared" si="54"/>
        <v>&lt;0.001</v>
      </c>
      <c r="M25" s="43">
        <f t="shared" si="54"/>
        <v>0.76700000000000002</v>
      </c>
      <c r="N25" s="43" t="str">
        <f t="shared" si="54"/>
        <v>&lt;0.001</v>
      </c>
    </row>
    <row r="26" spans="1:14" x14ac:dyDescent="0.25">
      <c r="A26" t="str">
        <f>A15</f>
        <v>Obs: New hospitalization rate-ave-2wk</v>
      </c>
      <c r="B26" s="43">
        <f t="shared" ref="B26:G26" si="55">B15</f>
        <v>0.46400000000000002</v>
      </c>
      <c r="C26" s="43" t="str">
        <f t="shared" si="55"/>
        <v>&lt;0.001</v>
      </c>
      <c r="D26" s="43">
        <f t="shared" si="55"/>
        <v>0.54900000000000004</v>
      </c>
      <c r="E26" s="43" t="str">
        <f t="shared" si="55"/>
        <v>&lt;0.001</v>
      </c>
      <c r="F26" s="43">
        <f t="shared" si="55"/>
        <v>0.59499999999999997</v>
      </c>
      <c r="G26" s="43" t="str">
        <f t="shared" si="55"/>
        <v>&lt;0.001</v>
      </c>
      <c r="I26" s="43">
        <f t="shared" ref="I26:N26" si="56">I15</f>
        <v>0.55200000000000005</v>
      </c>
      <c r="J26" s="43" t="str">
        <f t="shared" si="56"/>
        <v>&lt;0.001</v>
      </c>
      <c r="K26" s="43">
        <f t="shared" si="56"/>
        <v>0.63900000000000001</v>
      </c>
      <c r="L26" s="43" t="str">
        <f t="shared" si="56"/>
        <v>&lt;0.001</v>
      </c>
      <c r="M26" s="43">
        <f t="shared" si="56"/>
        <v>0.67</v>
      </c>
      <c r="N26" s="43" t="str">
        <f t="shared" si="56"/>
        <v>&lt;0.001</v>
      </c>
    </row>
    <row r="27" spans="1:14" x14ac:dyDescent="0.25">
      <c r="A27" t="str">
        <f>A16</f>
        <v>Obs: New hospitalization rate-slope-4wk</v>
      </c>
      <c r="B27" s="43">
        <f t="shared" ref="B27:G27" si="57">B16</f>
        <v>7.3999999999999996E-2</v>
      </c>
      <c r="C27" s="43" t="str">
        <f t="shared" si="57"/>
        <v>&lt;0.001</v>
      </c>
      <c r="D27" s="43">
        <f t="shared" si="57"/>
        <v>0.114</v>
      </c>
      <c r="E27" s="43" t="str">
        <f t="shared" si="57"/>
        <v>&lt;0.001</v>
      </c>
      <c r="F27" s="43">
        <f t="shared" si="57"/>
        <v>0.151</v>
      </c>
      <c r="G27" s="43" t="str">
        <f t="shared" si="57"/>
        <v>&lt;0.001</v>
      </c>
      <c r="I27" s="43">
        <f t="shared" ref="I27:N27" si="58">I16</f>
        <v>0.112</v>
      </c>
      <c r="J27" s="43" t="str">
        <f t="shared" si="58"/>
        <v>&lt;0.001</v>
      </c>
      <c r="K27" s="43">
        <f t="shared" si="58"/>
        <v>0.16700000000000001</v>
      </c>
      <c r="L27" s="43" t="str">
        <f t="shared" si="58"/>
        <v>&lt;0.001</v>
      </c>
      <c r="M27" s="43">
        <f t="shared" si="58"/>
        <v>0.22600000000000001</v>
      </c>
      <c r="N27" s="43" t="str">
        <f t="shared" si="58"/>
        <v>&lt;0.001</v>
      </c>
    </row>
    <row r="28" spans="1:14" x14ac:dyDescent="0.25">
      <c r="A28" t="str">
        <f>A21</f>
        <v>Obs: Cumulative vaccination rate</v>
      </c>
      <c r="B28" s="43">
        <f t="shared" ref="B28:G28" si="59">B21</f>
        <v>-8.3000000000000004E-2</v>
      </c>
      <c r="C28" s="43" t="str">
        <f t="shared" si="59"/>
        <v>&lt;0.001</v>
      </c>
      <c r="D28" s="43">
        <f t="shared" si="59"/>
        <v>-0.11</v>
      </c>
      <c r="E28" s="43" t="str">
        <f t="shared" si="59"/>
        <v>&lt;0.001</v>
      </c>
      <c r="F28" s="43">
        <f t="shared" si="59"/>
        <v>-0.11799999999999999</v>
      </c>
      <c r="G28" s="43" t="str">
        <f t="shared" si="59"/>
        <v>&lt;0.001</v>
      </c>
      <c r="I28" s="43">
        <f t="shared" ref="I28:N28" si="60">I21</f>
        <v>-7.0999999999999994E-2</v>
      </c>
      <c r="J28" s="43" t="str">
        <f t="shared" si="60"/>
        <v>&lt;0.001</v>
      </c>
      <c r="K28" s="43">
        <f t="shared" si="60"/>
        <v>-9.4E-2</v>
      </c>
      <c r="L28" s="43" t="str">
        <f t="shared" si="60"/>
        <v>&lt;0.001</v>
      </c>
      <c r="M28" s="43">
        <f t="shared" si="60"/>
        <v>-9.8000000000000004E-2</v>
      </c>
      <c r="N28" s="43" t="str">
        <f t="shared" si="60"/>
        <v>&lt;0.001</v>
      </c>
    </row>
    <row r="29" spans="1:14" x14ac:dyDescent="0.25">
      <c r="A29" t="str">
        <f>A18</f>
        <v>Obs: % of incidence due to Novel-ave-2wk</v>
      </c>
      <c r="B29" s="43">
        <f t="shared" ref="B29:G29" si="61">B18</f>
        <v>2.3E-2</v>
      </c>
      <c r="C29" s="43">
        <f t="shared" si="61"/>
        <v>5.0999999999999997E-2</v>
      </c>
      <c r="D29" s="43">
        <f t="shared" si="61"/>
        <v>2.8000000000000001E-2</v>
      </c>
      <c r="E29" s="43">
        <f t="shared" si="61"/>
        <v>0.02</v>
      </c>
      <c r="F29" s="43">
        <f t="shared" si="61"/>
        <v>1.0999999999999999E-2</v>
      </c>
      <c r="G29" s="43">
        <f t="shared" si="61"/>
        <v>0.34799999999999998</v>
      </c>
      <c r="I29" s="43">
        <f t="shared" ref="I29:N29" si="62">I18</f>
        <v>2.5000000000000001E-2</v>
      </c>
      <c r="J29" s="43">
        <f t="shared" si="62"/>
        <v>1.9E-2</v>
      </c>
      <c r="K29" s="43">
        <f t="shared" si="62"/>
        <v>2.5999999999999999E-2</v>
      </c>
      <c r="L29" s="43">
        <f t="shared" si="62"/>
        <v>1.4999999999999999E-2</v>
      </c>
      <c r="M29" s="43">
        <f t="shared" si="62"/>
        <v>2.9000000000000001E-2</v>
      </c>
      <c r="N29" s="43">
        <f t="shared" si="62"/>
        <v>6.0000000000000001E-3</v>
      </c>
    </row>
    <row r="30" spans="1:14" x14ac:dyDescent="0.25">
      <c r="A30" t="str">
        <f>A19</f>
        <v>Obs: % of incidence due to Novel-slope-4wk</v>
      </c>
      <c r="B30" s="43">
        <f t="shared" ref="B30:G30" si="63">B19</f>
        <v>3.2000000000000001E-2</v>
      </c>
      <c r="C30" s="43">
        <f t="shared" si="63"/>
        <v>8.0000000000000002E-3</v>
      </c>
      <c r="D30" s="43">
        <f t="shared" si="63"/>
        <v>4.9000000000000002E-2</v>
      </c>
      <c r="E30" s="43" t="str">
        <f t="shared" si="63"/>
        <v>&lt;0.001</v>
      </c>
      <c r="F30" s="43">
        <f t="shared" si="63"/>
        <v>3.5000000000000003E-2</v>
      </c>
      <c r="G30" s="43">
        <f t="shared" si="63"/>
        <v>3.0000000000000001E-3</v>
      </c>
      <c r="I30" s="43">
        <f t="shared" ref="I30:N30" si="64">I19</f>
        <v>3.5000000000000003E-2</v>
      </c>
      <c r="J30" s="43">
        <f t="shared" si="64"/>
        <v>1E-3</v>
      </c>
      <c r="K30" s="43">
        <f t="shared" si="64"/>
        <v>4.2999999999999997E-2</v>
      </c>
      <c r="L30" s="43" t="str">
        <f t="shared" si="64"/>
        <v>&lt;0.001</v>
      </c>
      <c r="M30" s="43">
        <f t="shared" si="64"/>
        <v>4.7E-2</v>
      </c>
      <c r="N30" s="43" t="str">
        <f t="shared" si="64"/>
        <v>&lt;0.001</v>
      </c>
    </row>
    <row r="31" spans="1:14" x14ac:dyDescent="0.25">
      <c r="C31" s="43"/>
      <c r="E31" s="43"/>
      <c r="G31" s="43"/>
      <c r="J31" s="43"/>
      <c r="L31" s="43"/>
      <c r="N31" s="43"/>
    </row>
    <row r="32" spans="1:14" x14ac:dyDescent="0.25">
      <c r="C32" s="43"/>
      <c r="E32" s="43"/>
      <c r="G32" s="43"/>
      <c r="J32" s="43"/>
      <c r="L32" s="43"/>
      <c r="N32" s="43"/>
    </row>
    <row r="33" spans="3:14" x14ac:dyDescent="0.25">
      <c r="C33" s="43"/>
      <c r="E33" s="43"/>
      <c r="G33" s="43"/>
      <c r="J33" s="43"/>
      <c r="L33" s="43"/>
      <c r="N33" s="43"/>
    </row>
  </sheetData>
  <mergeCells count="4">
    <mergeCell ref="B1:G1"/>
    <mergeCell ref="I1:N1"/>
    <mergeCell ref="A24:N24"/>
    <mergeCell ref="A13:N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8F90-C778-40EE-81CD-8CE6C3BA06A0}">
  <sheetPr>
    <tabColor theme="9" tint="0.79998168889431442"/>
  </sheetPr>
  <dimension ref="A1:O22"/>
  <sheetViews>
    <sheetView tabSelected="1" workbookViewId="0">
      <selection activeCell="J21" sqref="J21:L22"/>
    </sheetView>
  </sheetViews>
  <sheetFormatPr defaultRowHeight="15" x14ac:dyDescent="0.25"/>
  <cols>
    <col min="1" max="1" width="13.5703125" bestFit="1" customWidth="1"/>
  </cols>
  <sheetData>
    <row r="1" spans="1:15" s="75" customFormat="1" ht="45" x14ac:dyDescent="0.25">
      <c r="A1" s="75" t="s">
        <v>302</v>
      </c>
      <c r="B1" s="75" t="s">
        <v>303</v>
      </c>
      <c r="C1" s="75" t="s">
        <v>304</v>
      </c>
      <c r="D1" s="75" t="s">
        <v>305</v>
      </c>
      <c r="E1" s="75" t="s">
        <v>306</v>
      </c>
      <c r="F1" s="75" t="s">
        <v>307</v>
      </c>
      <c r="G1" s="75" t="s">
        <v>308</v>
      </c>
      <c r="H1" s="75" t="s">
        <v>309</v>
      </c>
      <c r="I1" s="75" t="s">
        <v>310</v>
      </c>
      <c r="J1" s="75" t="s">
        <v>311</v>
      </c>
      <c r="K1" s="75" t="s">
        <v>312</v>
      </c>
      <c r="L1" s="75" t="s">
        <v>313</v>
      </c>
      <c r="M1" s="75" t="s">
        <v>314</v>
      </c>
      <c r="N1" s="75" t="s">
        <v>315</v>
      </c>
      <c r="O1" s="75" t="s">
        <v>316</v>
      </c>
    </row>
    <row r="2" spans="1:15" x14ac:dyDescent="0.25">
      <c r="A2" t="s">
        <v>317</v>
      </c>
      <c r="B2">
        <v>10</v>
      </c>
      <c r="C2" t="s">
        <v>318</v>
      </c>
      <c r="D2">
        <v>0.91800000000000004</v>
      </c>
      <c r="E2">
        <v>0.871</v>
      </c>
      <c r="F2">
        <v>0.92800000000000005</v>
      </c>
      <c r="G2">
        <v>0.96499999999999997</v>
      </c>
      <c r="H2">
        <v>0.81899999999999995</v>
      </c>
      <c r="I2">
        <v>0.97399999999999998</v>
      </c>
      <c r="J2">
        <v>0.91100000000000003</v>
      </c>
      <c r="K2">
        <v>0.85199999999999998</v>
      </c>
      <c r="L2">
        <v>0.92400000000000004</v>
      </c>
      <c r="M2">
        <v>0.91800000000000004</v>
      </c>
      <c r="N2">
        <v>0.871</v>
      </c>
      <c r="O2">
        <v>0.92800000000000005</v>
      </c>
    </row>
    <row r="3" spans="1:15" s="49" customFormat="1" x14ac:dyDescent="0.25">
      <c r="A3" s="49" t="s">
        <v>317</v>
      </c>
      <c r="B3">
        <v>15</v>
      </c>
      <c r="C3" t="s">
        <v>319</v>
      </c>
      <c r="D3">
        <v>0.86599999999999999</v>
      </c>
      <c r="E3">
        <v>0.93600000000000005</v>
      </c>
      <c r="F3">
        <v>0.83299999999999996</v>
      </c>
      <c r="G3">
        <v>0.95899999999999996</v>
      </c>
      <c r="H3">
        <v>0.93500000000000005</v>
      </c>
      <c r="I3">
        <v>0.96199999999999997</v>
      </c>
      <c r="J3">
        <v>0.88700000000000001</v>
      </c>
      <c r="K3">
        <v>0.94399999999999995</v>
      </c>
      <c r="L3">
        <v>0.85799999999999998</v>
      </c>
      <c r="M3">
        <v>0.86599999999999999</v>
      </c>
      <c r="N3">
        <v>0.93600000000000005</v>
      </c>
      <c r="O3">
        <v>0.83299999999999996</v>
      </c>
    </row>
    <row r="4" spans="1:15" x14ac:dyDescent="0.25">
      <c r="A4" t="s">
        <v>317</v>
      </c>
      <c r="B4">
        <v>20</v>
      </c>
      <c r="C4" t="s">
        <v>320</v>
      </c>
      <c r="D4">
        <v>0.85799999999999998</v>
      </c>
      <c r="E4">
        <v>0.94299999999999995</v>
      </c>
      <c r="F4">
        <v>0.79400000000000004</v>
      </c>
      <c r="G4">
        <v>0.94099999999999995</v>
      </c>
      <c r="H4">
        <v>0.875</v>
      </c>
      <c r="I4">
        <v>0.95399999999999996</v>
      </c>
      <c r="J4">
        <v>0.874</v>
      </c>
      <c r="K4">
        <v>0.91900000000000004</v>
      </c>
      <c r="L4">
        <v>0.83</v>
      </c>
      <c r="M4">
        <v>0.85799999999999998</v>
      </c>
      <c r="N4">
        <v>0.94299999999999995</v>
      </c>
      <c r="O4">
        <v>0.79400000000000004</v>
      </c>
    </row>
    <row r="5" spans="1:15" x14ac:dyDescent="0.25">
      <c r="A5" t="s">
        <v>321</v>
      </c>
      <c r="B5">
        <v>10</v>
      </c>
      <c r="C5" t="s">
        <v>322</v>
      </c>
      <c r="D5">
        <v>0.91700000000000004</v>
      </c>
      <c r="E5">
        <v>0.78500000000000003</v>
      </c>
      <c r="F5">
        <v>0.94699999999999995</v>
      </c>
      <c r="G5">
        <v>0.96899999999999997</v>
      </c>
      <c r="H5">
        <v>0.73299999999999998</v>
      </c>
      <c r="I5">
        <v>0.98399999999999999</v>
      </c>
      <c r="J5">
        <v>0.91500000000000004</v>
      </c>
      <c r="K5">
        <v>0.83399999999999996</v>
      </c>
      <c r="L5">
        <v>0.93300000000000005</v>
      </c>
      <c r="M5">
        <v>0.91700000000000004</v>
      </c>
      <c r="N5">
        <v>0.78200000000000003</v>
      </c>
      <c r="O5">
        <v>0.94699999999999995</v>
      </c>
    </row>
    <row r="6" spans="1:15" s="49" customFormat="1" x14ac:dyDescent="0.25">
      <c r="A6" s="49" t="s">
        <v>321</v>
      </c>
      <c r="B6">
        <v>15</v>
      </c>
      <c r="C6" t="s">
        <v>323</v>
      </c>
      <c r="D6">
        <v>0.87</v>
      </c>
      <c r="E6">
        <v>0.85099999999999998</v>
      </c>
      <c r="F6">
        <v>0.879</v>
      </c>
      <c r="G6">
        <v>0.96099999999999997</v>
      </c>
      <c r="H6">
        <v>0.84899999999999998</v>
      </c>
      <c r="I6">
        <v>0.97399999999999998</v>
      </c>
      <c r="J6">
        <v>0.876</v>
      </c>
      <c r="K6">
        <v>0.82099999999999995</v>
      </c>
      <c r="L6">
        <v>0.90500000000000003</v>
      </c>
      <c r="M6">
        <v>0.87</v>
      </c>
      <c r="N6">
        <v>0.85099999999999998</v>
      </c>
      <c r="O6">
        <v>0.879</v>
      </c>
    </row>
    <row r="7" spans="1:15" x14ac:dyDescent="0.25">
      <c r="A7" t="s">
        <v>321</v>
      </c>
      <c r="B7">
        <v>20</v>
      </c>
      <c r="C7" t="s">
        <v>320</v>
      </c>
      <c r="D7">
        <v>0.86299999999999999</v>
      </c>
      <c r="E7">
        <v>0.90300000000000002</v>
      </c>
      <c r="F7">
        <v>0.83299999999999996</v>
      </c>
      <c r="G7">
        <v>0.94299999999999995</v>
      </c>
      <c r="H7">
        <v>0.82199999999999995</v>
      </c>
      <c r="I7">
        <v>0.96699999999999997</v>
      </c>
      <c r="J7">
        <v>0.874</v>
      </c>
      <c r="K7">
        <v>0.88600000000000001</v>
      </c>
      <c r="L7">
        <v>0.86299999999999999</v>
      </c>
      <c r="M7">
        <v>0.86299999999999999</v>
      </c>
      <c r="N7">
        <v>0.90300000000000002</v>
      </c>
      <c r="O7">
        <v>0.83299999999999996</v>
      </c>
    </row>
    <row r="9" spans="1:15" ht="15.75" thickBot="1" x14ac:dyDescent="0.3">
      <c r="B9" s="93"/>
      <c r="D9" s="106" t="s">
        <v>334</v>
      </c>
      <c r="E9" s="106"/>
      <c r="F9" s="106"/>
      <c r="G9" s="107" t="s">
        <v>333</v>
      </c>
      <c r="H9" s="106"/>
      <c r="I9" s="108"/>
      <c r="J9" s="106" t="s">
        <v>335</v>
      </c>
      <c r="K9" s="106"/>
      <c r="L9" s="106"/>
    </row>
    <row r="10" spans="1:15" ht="15.75" thickBot="1" x14ac:dyDescent="0.3">
      <c r="A10" s="88"/>
      <c r="D10" s="88" t="s">
        <v>324</v>
      </c>
      <c r="E10" s="88" t="s">
        <v>325</v>
      </c>
      <c r="F10" s="88" t="s">
        <v>326</v>
      </c>
      <c r="G10" s="95" t="s">
        <v>324</v>
      </c>
      <c r="H10" s="88" t="s">
        <v>325</v>
      </c>
      <c r="I10" s="100" t="s">
        <v>326</v>
      </c>
      <c r="J10" s="88" t="s">
        <v>324</v>
      </c>
      <c r="K10" s="88" t="s">
        <v>325</v>
      </c>
      <c r="L10" s="88" t="s">
        <v>326</v>
      </c>
    </row>
    <row r="11" spans="1:15" ht="15.75" thickBot="1" x14ac:dyDescent="0.3">
      <c r="A11" s="94" t="s">
        <v>327</v>
      </c>
      <c r="B11" s="94"/>
      <c r="G11" s="96"/>
      <c r="H11" s="5"/>
      <c r="I11" s="101"/>
    </row>
    <row r="12" spans="1:15" x14ac:dyDescent="0.25">
      <c r="A12" s="89" t="s">
        <v>328</v>
      </c>
      <c r="D12" s="90">
        <f>D2</f>
        <v>0.91800000000000004</v>
      </c>
      <c r="E12" s="90">
        <f t="shared" ref="E12:F12" si="0">E2</f>
        <v>0.871</v>
      </c>
      <c r="F12" s="90">
        <f t="shared" si="0"/>
        <v>0.92800000000000005</v>
      </c>
      <c r="G12" s="97">
        <f>D3</f>
        <v>0.86599999999999999</v>
      </c>
      <c r="H12" s="98">
        <f>E3</f>
        <v>0.93600000000000005</v>
      </c>
      <c r="I12" s="102">
        <f>F3</f>
        <v>0.83299999999999996</v>
      </c>
      <c r="J12" s="90">
        <f>D4</f>
        <v>0.85799999999999998</v>
      </c>
      <c r="K12" s="90">
        <f t="shared" ref="K12:L12" si="1">E4</f>
        <v>0.94299999999999995</v>
      </c>
      <c r="L12" s="90">
        <f t="shared" si="1"/>
        <v>0.79400000000000004</v>
      </c>
    </row>
    <row r="13" spans="1:15" ht="15.75" thickBot="1" x14ac:dyDescent="0.3">
      <c r="A13" s="89" t="s">
        <v>329</v>
      </c>
      <c r="D13" s="92">
        <f>D5</f>
        <v>0.91700000000000004</v>
      </c>
      <c r="E13" s="92">
        <f t="shared" ref="E13:F13" si="2">E5</f>
        <v>0.78500000000000003</v>
      </c>
      <c r="F13" s="92">
        <f t="shared" si="2"/>
        <v>0.94699999999999995</v>
      </c>
      <c r="G13" s="99">
        <f>D6</f>
        <v>0.87</v>
      </c>
      <c r="H13" s="92">
        <f>E6</f>
        <v>0.85099999999999998</v>
      </c>
      <c r="I13" s="103">
        <f>F6</f>
        <v>0.879</v>
      </c>
      <c r="J13" s="92">
        <f>D7</f>
        <v>0.86299999999999999</v>
      </c>
      <c r="K13" s="92">
        <f t="shared" ref="K13:L13" si="3">E7</f>
        <v>0.90300000000000002</v>
      </c>
      <c r="L13" s="92">
        <f t="shared" si="3"/>
        <v>0.83299999999999996</v>
      </c>
    </row>
    <row r="14" spans="1:15" ht="27" customHeight="1" thickBot="1" x14ac:dyDescent="0.3">
      <c r="A14" s="94" t="s">
        <v>330</v>
      </c>
      <c r="B14" s="94"/>
      <c r="G14" s="96"/>
      <c r="H14" s="5"/>
      <c r="I14" s="101"/>
    </row>
    <row r="15" spans="1:15" x14ac:dyDescent="0.25">
      <c r="A15" s="89" t="s">
        <v>328</v>
      </c>
      <c r="D15" s="90">
        <f>G2</f>
        <v>0.96499999999999997</v>
      </c>
      <c r="E15" s="90">
        <f t="shared" ref="E15:F15" si="4">H2</f>
        <v>0.81899999999999995</v>
      </c>
      <c r="F15" s="90">
        <f t="shared" si="4"/>
        <v>0.97399999999999998</v>
      </c>
      <c r="G15" s="97">
        <f>G3</f>
        <v>0.95899999999999996</v>
      </c>
      <c r="H15" s="98">
        <f>H3</f>
        <v>0.93500000000000005</v>
      </c>
      <c r="I15" s="102">
        <f>I3</f>
        <v>0.96199999999999997</v>
      </c>
      <c r="J15" s="90">
        <f>G4</f>
        <v>0.94099999999999995</v>
      </c>
      <c r="K15" s="90">
        <f t="shared" ref="K15:L15" si="5">H4</f>
        <v>0.875</v>
      </c>
      <c r="L15" s="90">
        <f t="shared" si="5"/>
        <v>0.95399999999999996</v>
      </c>
    </row>
    <row r="16" spans="1:15" ht="15.75" thickBot="1" x14ac:dyDescent="0.3">
      <c r="A16" s="91" t="s">
        <v>329</v>
      </c>
      <c r="D16" s="92">
        <f>G5</f>
        <v>0.96899999999999997</v>
      </c>
      <c r="E16" s="92">
        <f t="shared" ref="E16:F16" si="6">H5</f>
        <v>0.73299999999999998</v>
      </c>
      <c r="F16" s="92">
        <f t="shared" si="6"/>
        <v>0.98399999999999999</v>
      </c>
      <c r="G16" s="99">
        <f>G6</f>
        <v>0.96099999999999997</v>
      </c>
      <c r="H16" s="92">
        <f>H6</f>
        <v>0.84899999999999998</v>
      </c>
      <c r="I16" s="103">
        <f>I6</f>
        <v>0.97399999999999998</v>
      </c>
      <c r="J16" s="92">
        <f>G7</f>
        <v>0.94299999999999995</v>
      </c>
      <c r="K16" s="92">
        <f t="shared" ref="K16:L16" si="7">H7</f>
        <v>0.82199999999999995</v>
      </c>
      <c r="L16" s="92">
        <f t="shared" si="7"/>
        <v>0.96699999999999997</v>
      </c>
    </row>
    <row r="17" spans="1:12" ht="26.25" customHeight="1" thickBot="1" x14ac:dyDescent="0.3">
      <c r="A17" s="94" t="s">
        <v>331</v>
      </c>
      <c r="B17" s="94"/>
      <c r="G17" s="96"/>
      <c r="H17" s="5"/>
      <c r="I17" s="101"/>
    </row>
    <row r="18" spans="1:12" x14ac:dyDescent="0.25">
      <c r="A18" s="89" t="s">
        <v>328</v>
      </c>
      <c r="D18" s="90">
        <f>J2</f>
        <v>0.91100000000000003</v>
      </c>
      <c r="E18" s="90">
        <f t="shared" ref="E18:F18" si="8">K2</f>
        <v>0.85199999999999998</v>
      </c>
      <c r="F18" s="90">
        <f t="shared" si="8"/>
        <v>0.92400000000000004</v>
      </c>
      <c r="G18" s="97">
        <f>J3</f>
        <v>0.88700000000000001</v>
      </c>
      <c r="H18" s="98">
        <f>K3</f>
        <v>0.94399999999999995</v>
      </c>
      <c r="I18" s="102">
        <f>L3</f>
        <v>0.85799999999999998</v>
      </c>
      <c r="J18" s="90">
        <f>J4</f>
        <v>0.874</v>
      </c>
      <c r="K18" s="90">
        <f t="shared" ref="K18:L18" si="9">K4</f>
        <v>0.91900000000000004</v>
      </c>
      <c r="L18" s="90">
        <f t="shared" si="9"/>
        <v>0.83</v>
      </c>
    </row>
    <row r="19" spans="1:12" ht="15.75" thickBot="1" x14ac:dyDescent="0.3">
      <c r="A19" s="91" t="s">
        <v>329</v>
      </c>
      <c r="D19" s="92">
        <f>J5</f>
        <v>0.91500000000000004</v>
      </c>
      <c r="E19" s="92">
        <f t="shared" ref="E19:F19" si="10">K5</f>
        <v>0.83399999999999996</v>
      </c>
      <c r="F19" s="92">
        <f t="shared" si="10"/>
        <v>0.93300000000000005</v>
      </c>
      <c r="G19" s="99">
        <f>J6</f>
        <v>0.876</v>
      </c>
      <c r="H19" s="92">
        <f>K6</f>
        <v>0.82099999999999995</v>
      </c>
      <c r="I19" s="103">
        <f>L6</f>
        <v>0.90500000000000003</v>
      </c>
      <c r="J19" s="92">
        <f>J7</f>
        <v>0.874</v>
      </c>
      <c r="K19" s="92">
        <f t="shared" ref="K19:L19" si="11">K7</f>
        <v>0.88600000000000001</v>
      </c>
      <c r="L19" s="92">
        <f t="shared" si="11"/>
        <v>0.86299999999999999</v>
      </c>
    </row>
    <row r="20" spans="1:12" ht="27" customHeight="1" thickBot="1" x14ac:dyDescent="0.3">
      <c r="A20" s="94" t="s">
        <v>332</v>
      </c>
      <c r="B20" s="94"/>
      <c r="G20" s="96"/>
      <c r="H20" s="5"/>
      <c r="I20" s="101"/>
    </row>
    <row r="21" spans="1:12" x14ac:dyDescent="0.25">
      <c r="A21" s="89" t="s">
        <v>328</v>
      </c>
      <c r="D21" s="90">
        <f>M2</f>
        <v>0.91800000000000004</v>
      </c>
      <c r="E21" s="90">
        <f t="shared" ref="E21:F21" si="12">N2</f>
        <v>0.871</v>
      </c>
      <c r="F21" s="90">
        <f t="shared" si="12"/>
        <v>0.92800000000000005</v>
      </c>
      <c r="G21" s="97">
        <f>M3</f>
        <v>0.86599999999999999</v>
      </c>
      <c r="H21" s="98">
        <f>N3</f>
        <v>0.93600000000000005</v>
      </c>
      <c r="I21" s="102">
        <f>O3</f>
        <v>0.83299999999999996</v>
      </c>
      <c r="J21" s="90">
        <f>M4</f>
        <v>0.85799999999999998</v>
      </c>
      <c r="K21" s="90">
        <f t="shared" ref="K21:L21" si="13">N4</f>
        <v>0.94299999999999995</v>
      </c>
      <c r="L21" s="90">
        <f t="shared" si="13"/>
        <v>0.79400000000000004</v>
      </c>
    </row>
    <row r="22" spans="1:12" ht="15.75" thickBot="1" x14ac:dyDescent="0.3">
      <c r="A22" s="91" t="s">
        <v>329</v>
      </c>
      <c r="D22" s="92">
        <f>M5</f>
        <v>0.91700000000000004</v>
      </c>
      <c r="E22" s="92">
        <f t="shared" ref="E22:F22" si="14">N5</f>
        <v>0.78200000000000003</v>
      </c>
      <c r="F22" s="92">
        <f t="shared" si="14"/>
        <v>0.94699999999999995</v>
      </c>
      <c r="G22" s="99">
        <f>M6</f>
        <v>0.87</v>
      </c>
      <c r="H22" s="92">
        <f>N6</f>
        <v>0.85099999999999998</v>
      </c>
      <c r="I22" s="103">
        <f>O6</f>
        <v>0.879</v>
      </c>
      <c r="J22" s="92">
        <f>M7</f>
        <v>0.86299999999999999</v>
      </c>
      <c r="K22" s="92">
        <f t="shared" ref="K22:L22" si="15">N7</f>
        <v>0.90300000000000002</v>
      </c>
      <c r="L22" s="92">
        <f t="shared" si="15"/>
        <v>0.83299999999999996</v>
      </c>
    </row>
  </sheetData>
  <mergeCells count="3">
    <mergeCell ref="J9:L9"/>
    <mergeCell ref="G9:I9"/>
    <mergeCell ref="D9:F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1"/>
  <sheetViews>
    <sheetView showGridLines="0" workbookViewId="0">
      <selection activeCell="D27" sqref="D27"/>
    </sheetView>
  </sheetViews>
  <sheetFormatPr defaultRowHeight="15" x14ac:dyDescent="0.25"/>
  <cols>
    <col min="1" max="1" width="17.5703125" bestFit="1" customWidth="1"/>
    <col min="5" max="5" width="11.7109375" customWidth="1"/>
    <col min="6" max="6" width="13" style="43" customWidth="1"/>
    <col min="7" max="7" width="10.140625" style="43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16" x14ac:dyDescent="0.25">
      <c r="A1" s="112" t="s">
        <v>280</v>
      </c>
      <c r="B1" s="112"/>
      <c r="C1" s="112"/>
      <c r="D1" s="112"/>
      <c r="F1" s="112" t="s">
        <v>281</v>
      </c>
      <c r="G1" s="112"/>
    </row>
    <row r="2" spans="1:16" x14ac:dyDescent="0.25">
      <c r="C2" t="s">
        <v>0</v>
      </c>
      <c r="D2" t="s">
        <v>2</v>
      </c>
      <c r="F2" s="43" t="s">
        <v>37</v>
      </c>
    </row>
    <row r="3" spans="1:16" x14ac:dyDescent="0.25">
      <c r="A3" s="1">
        <v>43891</v>
      </c>
      <c r="B3">
        <v>1</v>
      </c>
      <c r="C3">
        <f>(B3-1)/12</f>
        <v>0</v>
      </c>
      <c r="D3" s="6">
        <f>C3*52</f>
        <v>0</v>
      </c>
      <c r="F3" s="43">
        <v>1</v>
      </c>
      <c r="G3" s="36">
        <v>43891</v>
      </c>
      <c r="I3" s="109" t="s">
        <v>39</v>
      </c>
      <c r="J3" s="109"/>
      <c r="K3" s="109"/>
      <c r="L3" s="109"/>
      <c r="M3" s="109"/>
      <c r="N3" s="110"/>
      <c r="O3" s="110"/>
    </row>
    <row r="4" spans="1:16" x14ac:dyDescent="0.25">
      <c r="A4" s="1">
        <v>43922</v>
      </c>
      <c r="B4">
        <v>2</v>
      </c>
      <c r="C4">
        <f t="shared" ref="C4:C30" si="0">(B4-1)/12</f>
        <v>8.3333333333333329E-2</v>
      </c>
      <c r="D4" s="6">
        <f t="shared" ref="D4:D30" si="1">C4*52</f>
        <v>4.333333333333333</v>
      </c>
      <c r="F4" s="43">
        <v>2</v>
      </c>
      <c r="G4" s="36">
        <v>43898</v>
      </c>
      <c r="I4" s="31"/>
      <c r="J4" s="31" t="s">
        <v>43</v>
      </c>
      <c r="K4" s="31" t="s">
        <v>37</v>
      </c>
      <c r="L4" s="31" t="s">
        <v>46</v>
      </c>
      <c r="N4" s="44"/>
      <c r="O4" s="44"/>
      <c r="P4" s="31" t="s">
        <v>38</v>
      </c>
    </row>
    <row r="5" spans="1:16" x14ac:dyDescent="0.25">
      <c r="A5" s="1">
        <v>43952</v>
      </c>
      <c r="B5">
        <v>3</v>
      </c>
      <c r="C5">
        <f t="shared" si="0"/>
        <v>0.16666666666666666</v>
      </c>
      <c r="D5" s="6">
        <f t="shared" si="1"/>
        <v>8.6666666666666661</v>
      </c>
      <c r="F5" s="43">
        <v>3</v>
      </c>
      <c r="G5" s="36">
        <v>43905</v>
      </c>
      <c r="J5" s="36">
        <f>VLOOKUP(K5,$F$3:$G$129,2,FALSE)</f>
        <v>44199</v>
      </c>
      <c r="K5" s="37">
        <f>K24</f>
        <v>45</v>
      </c>
      <c r="L5" s="28">
        <f>L24</f>
        <v>1E-4</v>
      </c>
      <c r="N5" s="5"/>
      <c r="O5" s="5"/>
    </row>
    <row r="6" spans="1:16" x14ac:dyDescent="0.25">
      <c r="A6" s="1">
        <v>43983</v>
      </c>
      <c r="B6">
        <v>4</v>
      </c>
      <c r="C6">
        <f t="shared" si="0"/>
        <v>0.25</v>
      </c>
      <c r="D6" s="6">
        <f t="shared" si="1"/>
        <v>13</v>
      </c>
      <c r="F6" s="43">
        <v>4</v>
      </c>
      <c r="G6" s="36">
        <v>43912</v>
      </c>
      <c r="J6" s="36">
        <f t="shared" ref="J6:J17" si="2">VLOOKUP(K6,$F$3:$G$129,2,FALSE)</f>
        <v>44227</v>
      </c>
      <c r="K6" s="30">
        <f t="shared" ref="K6:L6" si="3">K25</f>
        <v>49</v>
      </c>
      <c r="L6" s="30">
        <f t="shared" si="3"/>
        <v>1.72E-2</v>
      </c>
      <c r="N6" s="5"/>
      <c r="O6" s="5"/>
      <c r="P6" t="str">
        <f t="shared" ref="P6:P17" si="4">"["&amp;K6&amp;", "&amp;L6*100&amp;"]," &amp; "  # "&amp;TEXT(J6,"[$-en-US]d-mmm-yy;@")</f>
        <v>[49, 1.72],  # 31-Jan-21</v>
      </c>
    </row>
    <row r="7" spans="1:16" x14ac:dyDescent="0.25">
      <c r="A7" s="1">
        <v>44013</v>
      </c>
      <c r="B7">
        <v>5</v>
      </c>
      <c r="C7">
        <f t="shared" si="0"/>
        <v>0.33333333333333331</v>
      </c>
      <c r="D7" s="6">
        <f t="shared" si="1"/>
        <v>17.333333333333332</v>
      </c>
      <c r="F7" s="43">
        <v>5</v>
      </c>
      <c r="G7" s="36">
        <v>43919</v>
      </c>
      <c r="J7" s="36">
        <f t="shared" si="2"/>
        <v>44255</v>
      </c>
      <c r="K7" s="43">
        <f t="shared" ref="K7:L7" si="5">K26</f>
        <v>53</v>
      </c>
      <c r="L7" s="30">
        <f t="shared" si="5"/>
        <v>9.3899999999999997E-2</v>
      </c>
      <c r="N7" s="5"/>
      <c r="O7" s="5"/>
      <c r="P7" t="str">
        <f t="shared" si="4"/>
        <v>[53, 9.39],  # 28-Feb-21</v>
      </c>
    </row>
    <row r="8" spans="1:16" x14ac:dyDescent="0.25">
      <c r="A8" s="1">
        <v>44044</v>
      </c>
      <c r="B8">
        <v>6</v>
      </c>
      <c r="C8">
        <f t="shared" si="0"/>
        <v>0.41666666666666669</v>
      </c>
      <c r="D8" s="6">
        <f t="shared" si="1"/>
        <v>21.666666666666668</v>
      </c>
      <c r="F8" s="43">
        <v>6</v>
      </c>
      <c r="G8" s="36">
        <v>43926</v>
      </c>
      <c r="J8" s="36">
        <f t="shared" si="2"/>
        <v>44283</v>
      </c>
      <c r="K8" s="43">
        <f t="shared" ref="K8:L8" si="6">K27</f>
        <v>57</v>
      </c>
      <c r="L8" s="30">
        <f t="shared" si="6"/>
        <v>0.18790000000000001</v>
      </c>
      <c r="N8" s="5"/>
      <c r="O8" s="5"/>
      <c r="P8" t="str">
        <f t="shared" si="4"/>
        <v>[57, 18.79],  # 28-Mar-21</v>
      </c>
    </row>
    <row r="9" spans="1:16" x14ac:dyDescent="0.25">
      <c r="A9" s="1">
        <v>44075</v>
      </c>
      <c r="B9">
        <v>7</v>
      </c>
      <c r="C9">
        <f t="shared" si="0"/>
        <v>0.5</v>
      </c>
      <c r="D9" s="6">
        <f t="shared" si="1"/>
        <v>26</v>
      </c>
      <c r="F9" s="43">
        <v>7</v>
      </c>
      <c r="G9" s="36">
        <v>43933</v>
      </c>
      <c r="J9" s="36">
        <f t="shared" si="2"/>
        <v>44311</v>
      </c>
      <c r="K9" s="43">
        <f t="shared" ref="K9:L9" si="7">K28</f>
        <v>61</v>
      </c>
      <c r="L9" s="30">
        <f t="shared" si="7"/>
        <v>0.33750000000000002</v>
      </c>
      <c r="N9" s="5"/>
      <c r="O9" s="5"/>
      <c r="P9" t="str">
        <f t="shared" si="4"/>
        <v>[61, 33.75],  # 25-Apr-21</v>
      </c>
    </row>
    <row r="10" spans="1:16" x14ac:dyDescent="0.25">
      <c r="A10" s="1">
        <v>44105</v>
      </c>
      <c r="B10">
        <v>8</v>
      </c>
      <c r="C10">
        <f t="shared" si="0"/>
        <v>0.58333333333333337</v>
      </c>
      <c r="D10" s="6">
        <f t="shared" si="1"/>
        <v>30.333333333333336</v>
      </c>
      <c r="F10" s="43">
        <v>8</v>
      </c>
      <c r="G10" s="36">
        <v>43940</v>
      </c>
      <c r="J10" s="36">
        <f t="shared" si="2"/>
        <v>44339</v>
      </c>
      <c r="K10" s="43">
        <f t="shared" ref="K10:L10" si="8">K29</f>
        <v>65</v>
      </c>
      <c r="L10" s="30">
        <f t="shared" si="8"/>
        <v>0.45700000000000002</v>
      </c>
      <c r="N10" s="5"/>
      <c r="O10" s="5"/>
      <c r="P10" t="str">
        <f t="shared" si="4"/>
        <v>[65, 45.7],  # 23-May-21</v>
      </c>
    </row>
    <row r="11" spans="1:16" x14ac:dyDescent="0.25">
      <c r="A11" s="1">
        <v>44136</v>
      </c>
      <c r="B11">
        <v>9</v>
      </c>
      <c r="C11">
        <f t="shared" si="0"/>
        <v>0.66666666666666663</v>
      </c>
      <c r="D11" s="6">
        <f t="shared" si="1"/>
        <v>34.666666666666664</v>
      </c>
      <c r="F11" s="43">
        <v>9</v>
      </c>
      <c r="G11" s="36">
        <v>43947</v>
      </c>
      <c r="J11" s="36">
        <f t="shared" si="2"/>
        <v>44367</v>
      </c>
      <c r="K11" s="43">
        <f t="shared" ref="K11:L11" si="9">K30</f>
        <v>69</v>
      </c>
      <c r="L11" s="43">
        <f t="shared" si="9"/>
        <v>0.51649999999999996</v>
      </c>
      <c r="N11" s="5"/>
      <c r="O11" s="5"/>
      <c r="P11" t="str">
        <f t="shared" si="4"/>
        <v>[69, 51.65],  # 20-Jun-21</v>
      </c>
    </row>
    <row r="12" spans="1:16" x14ac:dyDescent="0.25">
      <c r="A12" s="1">
        <v>44166</v>
      </c>
      <c r="B12">
        <v>10</v>
      </c>
      <c r="C12">
        <f t="shared" si="0"/>
        <v>0.75</v>
      </c>
      <c r="D12" s="6">
        <f t="shared" si="1"/>
        <v>39</v>
      </c>
      <c r="F12" s="43">
        <v>10</v>
      </c>
      <c r="G12" s="36">
        <v>43954</v>
      </c>
      <c r="J12" s="36">
        <f t="shared" si="2"/>
        <v>44395</v>
      </c>
      <c r="K12" s="43">
        <f t="shared" ref="K12:L12" si="10">K31</f>
        <v>73</v>
      </c>
      <c r="L12" s="43">
        <f t="shared" si="10"/>
        <v>0.54310000000000003</v>
      </c>
      <c r="N12" s="5"/>
      <c r="O12" s="5"/>
      <c r="P12" t="str">
        <f t="shared" si="4"/>
        <v>[73, 54.31],  # 18-Jul-21</v>
      </c>
    </row>
    <row r="13" spans="1:16" x14ac:dyDescent="0.25">
      <c r="A13" s="1">
        <v>44197</v>
      </c>
      <c r="B13">
        <v>11</v>
      </c>
      <c r="C13">
        <f t="shared" si="0"/>
        <v>0.83333333333333337</v>
      </c>
      <c r="D13" s="6">
        <f t="shared" si="1"/>
        <v>43.333333333333336</v>
      </c>
      <c r="F13" s="43">
        <v>11</v>
      </c>
      <c r="G13" s="36">
        <v>43961</v>
      </c>
      <c r="J13" s="36">
        <f t="shared" si="2"/>
        <v>44423</v>
      </c>
      <c r="K13" s="43">
        <f t="shared" ref="K13:L13" si="11">K32</f>
        <v>77</v>
      </c>
      <c r="L13" s="43">
        <f t="shared" si="11"/>
        <v>0.56459999999999999</v>
      </c>
      <c r="N13" s="5"/>
      <c r="O13" s="5"/>
      <c r="P13" t="str">
        <f t="shared" si="4"/>
        <v>[77, 56.46],  # 15-Aug-21</v>
      </c>
    </row>
    <row r="14" spans="1:16" x14ac:dyDescent="0.25">
      <c r="A14" s="1">
        <v>44228</v>
      </c>
      <c r="B14">
        <v>12</v>
      </c>
      <c r="C14">
        <f t="shared" si="0"/>
        <v>0.91666666666666663</v>
      </c>
      <c r="D14" s="6">
        <f t="shared" si="1"/>
        <v>47.666666666666664</v>
      </c>
      <c r="F14" s="43">
        <v>12</v>
      </c>
      <c r="G14" s="36">
        <v>43968</v>
      </c>
      <c r="J14" s="36">
        <f t="shared" si="2"/>
        <v>44451</v>
      </c>
      <c r="K14" s="43">
        <f t="shared" ref="K14:L14" si="12">K33</f>
        <v>81</v>
      </c>
      <c r="L14" s="43">
        <f t="shared" si="12"/>
        <v>0.59740000000000004</v>
      </c>
      <c r="N14" s="5"/>
      <c r="O14" s="5"/>
      <c r="P14" t="str">
        <f t="shared" si="4"/>
        <v>[81, 59.74],  # 12-Sep-21</v>
      </c>
    </row>
    <row r="15" spans="1:16" x14ac:dyDescent="0.25">
      <c r="A15" s="1">
        <v>44256</v>
      </c>
      <c r="B15">
        <v>13</v>
      </c>
      <c r="C15">
        <f t="shared" si="0"/>
        <v>1</v>
      </c>
      <c r="D15" s="6">
        <f t="shared" si="1"/>
        <v>52</v>
      </c>
      <c r="F15" s="43">
        <v>13</v>
      </c>
      <c r="G15" s="36">
        <v>43975</v>
      </c>
      <c r="J15" s="36">
        <f t="shared" si="2"/>
        <v>44479</v>
      </c>
      <c r="K15" s="43">
        <f t="shared" ref="K15:L15" si="13">K34</f>
        <v>85</v>
      </c>
      <c r="L15" s="43">
        <f t="shared" si="13"/>
        <v>0.62439999999999996</v>
      </c>
      <c r="N15" s="5"/>
      <c r="O15" s="5"/>
      <c r="P15" t="str">
        <f t="shared" si="4"/>
        <v>[85, 62.44],  # 10-Oct-21</v>
      </c>
    </row>
    <row r="16" spans="1:16" x14ac:dyDescent="0.25">
      <c r="A16" s="1">
        <v>44287</v>
      </c>
      <c r="B16">
        <v>14</v>
      </c>
      <c r="C16">
        <f t="shared" si="0"/>
        <v>1.0833333333333333</v>
      </c>
      <c r="D16" s="6">
        <f t="shared" si="1"/>
        <v>56.333333333333329</v>
      </c>
      <c r="F16" s="43">
        <v>14</v>
      </c>
      <c r="G16" s="36">
        <v>43982</v>
      </c>
      <c r="J16" s="36">
        <f t="shared" si="2"/>
        <v>44507</v>
      </c>
      <c r="K16" s="43">
        <f t="shared" ref="K16:L16" si="14">K35</f>
        <v>89</v>
      </c>
      <c r="L16" s="43">
        <f t="shared" si="14"/>
        <v>0.64129999999999998</v>
      </c>
      <c r="N16" s="5"/>
      <c r="O16" s="5"/>
      <c r="P16" t="str">
        <f t="shared" si="4"/>
        <v>[89, 64.13],  # 7-Nov-21</v>
      </c>
    </row>
    <row r="17" spans="1:20" x14ac:dyDescent="0.25">
      <c r="A17" s="1">
        <v>44317</v>
      </c>
      <c r="B17">
        <v>15</v>
      </c>
      <c r="C17">
        <f t="shared" si="0"/>
        <v>1.1666666666666667</v>
      </c>
      <c r="D17" s="6">
        <f t="shared" si="1"/>
        <v>60.666666666666671</v>
      </c>
      <c r="F17" s="43">
        <v>15</v>
      </c>
      <c r="G17" s="36">
        <v>43989</v>
      </c>
      <c r="I17" s="3"/>
      <c r="J17" s="38">
        <f t="shared" si="2"/>
        <v>44535</v>
      </c>
      <c r="K17" s="33">
        <f t="shared" ref="K17:L17" si="15">K36</f>
        <v>93</v>
      </c>
      <c r="L17" s="33">
        <f t="shared" si="15"/>
        <v>0.65739999999999998</v>
      </c>
      <c r="N17" s="5"/>
      <c r="O17" s="5"/>
      <c r="P17" t="str">
        <f t="shared" si="4"/>
        <v>[93, 65.74],  # 5-Dec-21</v>
      </c>
    </row>
    <row r="18" spans="1:20" x14ac:dyDescent="0.25">
      <c r="A18" s="1">
        <v>44348</v>
      </c>
      <c r="B18">
        <v>16</v>
      </c>
      <c r="C18">
        <f t="shared" si="0"/>
        <v>1.25</v>
      </c>
      <c r="D18" s="6">
        <f t="shared" si="1"/>
        <v>65</v>
      </c>
      <c r="F18" s="43">
        <v>16</v>
      </c>
      <c r="G18" s="36">
        <v>43996</v>
      </c>
    </row>
    <row r="19" spans="1:20" x14ac:dyDescent="0.25">
      <c r="A19" s="1">
        <v>44378</v>
      </c>
      <c r="B19">
        <v>17</v>
      </c>
      <c r="C19">
        <f t="shared" si="0"/>
        <v>1.3333333333333333</v>
      </c>
      <c r="D19" s="6">
        <f t="shared" si="1"/>
        <v>69.333333333333329</v>
      </c>
      <c r="F19" s="43">
        <v>17</v>
      </c>
      <c r="G19" s="36">
        <v>44003</v>
      </c>
      <c r="J19" s="29" t="s">
        <v>43</v>
      </c>
      <c r="K19" s="29" t="s">
        <v>37</v>
      </c>
      <c r="L19" s="29" t="s">
        <v>34</v>
      </c>
      <c r="M19" s="29" t="s">
        <v>41</v>
      </c>
      <c r="N19" s="29" t="s">
        <v>42</v>
      </c>
    </row>
    <row r="20" spans="1:20" x14ac:dyDescent="0.25">
      <c r="A20" s="2">
        <v>44409</v>
      </c>
      <c r="B20" s="3">
        <v>18</v>
      </c>
      <c r="C20" s="3">
        <f t="shared" si="0"/>
        <v>1.4166666666666667</v>
      </c>
      <c r="D20" s="7">
        <f t="shared" si="1"/>
        <v>73.666666666666671</v>
      </c>
      <c r="F20" s="43">
        <v>18</v>
      </c>
      <c r="G20" s="36">
        <v>44010</v>
      </c>
      <c r="I20" s="3" t="s">
        <v>40</v>
      </c>
      <c r="J20" s="32">
        <f>VLOOKUP(K20,F11:G137,2,FALSE)</f>
        <v>44535</v>
      </c>
      <c r="K20" s="33">
        <v>93</v>
      </c>
      <c r="L20" s="34">
        <v>0.59830000000000005</v>
      </c>
      <c r="M20" s="34">
        <v>0.46210000000000001</v>
      </c>
      <c r="N20" s="34">
        <v>0.80640000000000001</v>
      </c>
      <c r="P20" s="5" t="str">
        <f>"["&amp;K20&amp;", "&amp;L20*100&amp;", "&amp;M20*100&amp;", "&amp;N20*100&amp;"]," &amp; "  # "&amp;TEXT(J20,"[$-en-US]d-mmm-yy;@")</f>
        <v>[93, 59.83, 46.21, 80.64],  # 5-Dec-21</v>
      </c>
      <c r="Q20" s="5"/>
      <c r="R20" s="5"/>
    </row>
    <row r="21" spans="1:20" x14ac:dyDescent="0.25">
      <c r="A21" s="1">
        <v>44440</v>
      </c>
      <c r="B21">
        <v>19</v>
      </c>
      <c r="C21">
        <f t="shared" si="0"/>
        <v>1.5</v>
      </c>
      <c r="D21" s="6">
        <f t="shared" si="1"/>
        <v>78</v>
      </c>
      <c r="E21" s="6"/>
      <c r="F21" s="43">
        <v>19</v>
      </c>
      <c r="G21" s="36">
        <v>44017</v>
      </c>
      <c r="J21" s="32">
        <f>VLOOKUP(K21,F12:G138,2,FALSE)</f>
        <v>44535</v>
      </c>
      <c r="K21" s="33">
        <v>93</v>
      </c>
      <c r="L21" s="34">
        <f>L36</f>
        <v>0.65739999999999998</v>
      </c>
      <c r="M21" s="34">
        <f>L21-L20+M20</f>
        <v>0.52119999999999989</v>
      </c>
      <c r="N21" s="34">
        <f>L21-L20+N20</f>
        <v>0.86549999999999994</v>
      </c>
      <c r="P21" s="5" t="str">
        <f>"["&amp;K21&amp;", "&amp;L21*100&amp;", "&amp;M21*100&amp;", "&amp;N21*100&amp;"]," &amp; "  # "&amp;TEXT(J21,"[$-en-US]d-mmm-yy;@")</f>
        <v>[93, 65.74, 52.12, 86.55],  # 5-Dec-21</v>
      </c>
    </row>
    <row r="22" spans="1:20" x14ac:dyDescent="0.25">
      <c r="A22" s="4">
        <v>44470</v>
      </c>
      <c r="B22" s="5">
        <v>20</v>
      </c>
      <c r="C22" s="5">
        <f t="shared" si="0"/>
        <v>1.5833333333333333</v>
      </c>
      <c r="D22" s="6">
        <f t="shared" si="1"/>
        <v>82.333333333333329</v>
      </c>
      <c r="E22" s="6"/>
      <c r="F22" s="43">
        <v>20</v>
      </c>
      <c r="G22" s="36">
        <v>44024</v>
      </c>
    </row>
    <row r="23" spans="1:20" x14ac:dyDescent="0.25">
      <c r="A23" s="1">
        <v>44501</v>
      </c>
      <c r="B23">
        <v>21</v>
      </c>
      <c r="C23">
        <f t="shared" si="0"/>
        <v>1.6666666666666667</v>
      </c>
      <c r="D23" s="6">
        <f t="shared" si="1"/>
        <v>86.666666666666671</v>
      </c>
      <c r="E23" s="111" t="s">
        <v>277</v>
      </c>
      <c r="F23" s="43">
        <v>21</v>
      </c>
      <c r="G23" s="36">
        <v>44031</v>
      </c>
      <c r="J23" s="31" t="s">
        <v>43</v>
      </c>
      <c r="K23" s="31" t="s">
        <v>37</v>
      </c>
      <c r="L23" s="31" t="s">
        <v>44</v>
      </c>
      <c r="M23" s="31" t="s">
        <v>26</v>
      </c>
      <c r="N23" s="35" t="s">
        <v>47</v>
      </c>
      <c r="O23" s="31" t="s">
        <v>48</v>
      </c>
      <c r="P23" s="35" t="s">
        <v>49</v>
      </c>
      <c r="Q23" s="31" t="s">
        <v>50</v>
      </c>
      <c r="R23" s="31" t="s">
        <v>27</v>
      </c>
      <c r="S23" s="31" t="s">
        <v>45</v>
      </c>
      <c r="T23" s="31" t="s">
        <v>30</v>
      </c>
    </row>
    <row r="24" spans="1:20" x14ac:dyDescent="0.25">
      <c r="A24" s="2">
        <v>44531</v>
      </c>
      <c r="B24" s="3">
        <v>22</v>
      </c>
      <c r="C24" s="3">
        <f t="shared" si="0"/>
        <v>1.75</v>
      </c>
      <c r="D24" s="7">
        <f t="shared" si="1"/>
        <v>91</v>
      </c>
      <c r="E24" s="111"/>
      <c r="F24" s="43">
        <v>22</v>
      </c>
      <c r="G24" s="36">
        <v>44038</v>
      </c>
      <c r="J24" s="36">
        <f>VLOOKUP(K24,$F$3:$G$129,2,FALSE)</f>
        <v>44199</v>
      </c>
      <c r="K24" s="37">
        <v>45</v>
      </c>
      <c r="L24" s="28">
        <v>1E-4</v>
      </c>
      <c r="M24" s="28">
        <v>0</v>
      </c>
      <c r="N24" s="28">
        <v>0</v>
      </c>
      <c r="O24" s="28">
        <v>0</v>
      </c>
      <c r="P24" s="28">
        <v>1E-4</v>
      </c>
      <c r="Q24" s="28">
        <v>2.0000000000000001E-4</v>
      </c>
      <c r="R24" s="28">
        <v>2.0000000000000001E-4</v>
      </c>
      <c r="S24" s="28">
        <v>2.0000000000000001E-4</v>
      </c>
      <c r="T24" s="28">
        <v>1E-4</v>
      </c>
    </row>
    <row r="25" spans="1:20" x14ac:dyDescent="0.25">
      <c r="A25" s="1">
        <v>44562</v>
      </c>
      <c r="B25">
        <v>23</v>
      </c>
      <c r="C25">
        <f t="shared" si="0"/>
        <v>1.8333333333333333</v>
      </c>
      <c r="D25" s="6">
        <f t="shared" si="1"/>
        <v>95.333333333333329</v>
      </c>
      <c r="E25" s="25">
        <v>0</v>
      </c>
      <c r="F25" s="43">
        <v>23</v>
      </c>
      <c r="G25" s="36">
        <v>44045</v>
      </c>
      <c r="J25" s="36">
        <f t="shared" ref="J25:J28" si="16">VLOOKUP(K25,$F$3:$G$129,2,FALSE)</f>
        <v>44227</v>
      </c>
      <c r="K25" s="30">
        <f>K24+4</f>
        <v>49</v>
      </c>
      <c r="L25" s="28">
        <v>1.72E-2</v>
      </c>
      <c r="M25" s="28">
        <v>0</v>
      </c>
      <c r="N25" s="28">
        <v>0</v>
      </c>
      <c r="O25" s="28">
        <v>2.0000000000000001E-4</v>
      </c>
      <c r="P25" s="28">
        <v>1.5299999999999999E-2</v>
      </c>
      <c r="Q25" s="28">
        <v>2.63E-2</v>
      </c>
      <c r="R25" s="28">
        <v>2.5600000000000001E-2</v>
      </c>
      <c r="S25" s="28">
        <v>1.6799999999999999E-2</v>
      </c>
      <c r="T25" s="28">
        <v>1.9400000000000001E-2</v>
      </c>
    </row>
    <row r="26" spans="1:20" x14ac:dyDescent="0.25">
      <c r="A26" s="1">
        <v>44593</v>
      </c>
      <c r="B26">
        <v>24</v>
      </c>
      <c r="C26">
        <f t="shared" si="0"/>
        <v>1.9166666666666667</v>
      </c>
      <c r="D26" s="6">
        <f t="shared" si="1"/>
        <v>99.666666666666671</v>
      </c>
      <c r="E26" s="25">
        <f t="shared" ref="E26:E31" si="17">E25+4</f>
        <v>4</v>
      </c>
      <c r="F26" s="43">
        <v>24</v>
      </c>
      <c r="G26" s="36">
        <v>44052</v>
      </c>
      <c r="J26" s="36">
        <f t="shared" si="16"/>
        <v>44255</v>
      </c>
      <c r="K26" s="30">
        <f t="shared" ref="K26:K36" si="18">K25+4</f>
        <v>53</v>
      </c>
      <c r="L26" s="28">
        <v>9.3899999999999997E-2</v>
      </c>
      <c r="M26" s="28">
        <v>0</v>
      </c>
      <c r="N26" s="28">
        <v>1E-4</v>
      </c>
      <c r="O26" s="28">
        <v>1.2999999999999999E-3</v>
      </c>
      <c r="P26" s="28">
        <v>5.3900000000000003E-2</v>
      </c>
      <c r="Q26" s="28">
        <v>8.5099999999999995E-2</v>
      </c>
      <c r="R26" s="28">
        <v>9.8799999999999999E-2</v>
      </c>
      <c r="S26" s="28">
        <v>0.2122</v>
      </c>
      <c r="T26" s="28">
        <v>0.32800000000000001</v>
      </c>
    </row>
    <row r="27" spans="1:20" x14ac:dyDescent="0.25">
      <c r="A27" s="1">
        <v>44621</v>
      </c>
      <c r="B27">
        <v>25</v>
      </c>
      <c r="C27">
        <f t="shared" si="0"/>
        <v>2</v>
      </c>
      <c r="D27" s="6">
        <f t="shared" si="1"/>
        <v>104</v>
      </c>
      <c r="E27" s="25">
        <f t="shared" si="17"/>
        <v>8</v>
      </c>
      <c r="F27" s="43">
        <v>25</v>
      </c>
      <c r="G27" s="36">
        <v>44059</v>
      </c>
      <c r="J27" s="36">
        <f t="shared" si="16"/>
        <v>44283</v>
      </c>
      <c r="K27" s="30">
        <f t="shared" si="18"/>
        <v>57</v>
      </c>
      <c r="L27" s="28">
        <v>0.18790000000000001</v>
      </c>
      <c r="M27" s="28">
        <v>0</v>
      </c>
      <c r="N27" s="28">
        <v>1E-4</v>
      </c>
      <c r="O27" s="28">
        <v>3.5999999999999999E-3</v>
      </c>
      <c r="P27" s="28">
        <v>9.3399999999999997E-2</v>
      </c>
      <c r="Q27" s="28">
        <v>0.14580000000000001</v>
      </c>
      <c r="R27" s="28">
        <v>0.2031</v>
      </c>
      <c r="S27" s="28">
        <v>0.53659999999999997</v>
      </c>
      <c r="T27" s="28">
        <v>0.60950000000000004</v>
      </c>
    </row>
    <row r="28" spans="1:20" x14ac:dyDescent="0.25">
      <c r="A28" s="1">
        <v>44652</v>
      </c>
      <c r="B28">
        <v>26</v>
      </c>
      <c r="C28">
        <f t="shared" si="0"/>
        <v>2.0833333333333335</v>
      </c>
      <c r="D28" s="6">
        <f t="shared" si="1"/>
        <v>108.33333333333334</v>
      </c>
      <c r="E28" s="25">
        <f t="shared" si="17"/>
        <v>12</v>
      </c>
      <c r="F28" s="43">
        <v>26</v>
      </c>
      <c r="G28" s="36">
        <v>44066</v>
      </c>
      <c r="J28" s="36">
        <f t="shared" si="16"/>
        <v>44311</v>
      </c>
      <c r="K28" s="30">
        <f t="shared" si="18"/>
        <v>61</v>
      </c>
      <c r="L28" s="28">
        <v>0.33750000000000002</v>
      </c>
      <c r="M28" s="28">
        <v>0</v>
      </c>
      <c r="N28" s="28">
        <v>1E-4</v>
      </c>
      <c r="O28" s="28">
        <v>2.0899999999999998E-2</v>
      </c>
      <c r="P28" s="28">
        <v>0.2165</v>
      </c>
      <c r="Q28" s="28">
        <v>0.30790000000000001</v>
      </c>
      <c r="R28" s="28">
        <v>0.47939999999999999</v>
      </c>
      <c r="S28" s="28">
        <v>0.76759999999999995</v>
      </c>
      <c r="T28" s="28">
        <v>0.75760000000000005</v>
      </c>
    </row>
    <row r="29" spans="1:20" x14ac:dyDescent="0.25">
      <c r="A29" s="1">
        <v>44682</v>
      </c>
      <c r="B29">
        <v>27</v>
      </c>
      <c r="C29">
        <f t="shared" si="0"/>
        <v>2.1666666666666665</v>
      </c>
      <c r="D29" s="6">
        <f t="shared" si="1"/>
        <v>112.66666666666666</v>
      </c>
      <c r="E29" s="25">
        <f t="shared" si="17"/>
        <v>16</v>
      </c>
      <c r="F29" s="43">
        <v>27</v>
      </c>
      <c r="G29" s="36">
        <v>44073</v>
      </c>
      <c r="J29" s="36">
        <f t="shared" ref="J29:J31" si="19">VLOOKUP(K29,$F$3:$G$129,2,FALSE)</f>
        <v>44339</v>
      </c>
      <c r="K29" s="30">
        <f t="shared" si="18"/>
        <v>65</v>
      </c>
      <c r="L29" s="28">
        <v>0.45700000000000002</v>
      </c>
      <c r="M29" s="28">
        <v>0</v>
      </c>
      <c r="N29" s="28">
        <v>2.0000000000000001E-4</v>
      </c>
      <c r="O29" s="28">
        <v>9.1399999999999995E-2</v>
      </c>
      <c r="P29" s="28">
        <v>0.38529999999999998</v>
      </c>
      <c r="Q29" s="28">
        <v>0.4783</v>
      </c>
      <c r="R29" s="28">
        <v>0.64780000000000004</v>
      </c>
      <c r="S29" s="28">
        <v>0.83930000000000005</v>
      </c>
      <c r="T29" s="28">
        <v>0.80630000000000002</v>
      </c>
    </row>
    <row r="30" spans="1:20" x14ac:dyDescent="0.25">
      <c r="A30" s="1">
        <v>44713</v>
      </c>
      <c r="B30">
        <v>28</v>
      </c>
      <c r="C30">
        <f t="shared" si="0"/>
        <v>2.25</v>
      </c>
      <c r="D30" s="6">
        <f t="shared" si="1"/>
        <v>117</v>
      </c>
      <c r="E30" s="25">
        <f t="shared" si="17"/>
        <v>20</v>
      </c>
      <c r="F30" s="43">
        <v>28</v>
      </c>
      <c r="G30" s="36">
        <v>44080</v>
      </c>
      <c r="J30" s="36">
        <f t="shared" si="19"/>
        <v>44367</v>
      </c>
      <c r="K30" s="43">
        <f t="shared" si="18"/>
        <v>69</v>
      </c>
      <c r="L30" s="28">
        <v>0.51649999999999996</v>
      </c>
      <c r="M30" s="28">
        <v>0</v>
      </c>
      <c r="N30" s="28">
        <v>3.3999999999999998E-3</v>
      </c>
      <c r="O30" s="28">
        <v>0.26340000000000002</v>
      </c>
      <c r="P30" s="28">
        <v>0.46260000000000001</v>
      </c>
      <c r="Q30" s="28">
        <v>0.54869999999999997</v>
      </c>
      <c r="R30" s="28">
        <v>0.70599999999999996</v>
      </c>
      <c r="S30" s="28">
        <v>0.86919999999999997</v>
      </c>
      <c r="T30" s="28">
        <v>0.82750000000000001</v>
      </c>
    </row>
    <row r="31" spans="1:20" x14ac:dyDescent="0.25">
      <c r="A31" s="1">
        <v>44743</v>
      </c>
      <c r="B31">
        <v>29</v>
      </c>
      <c r="C31">
        <f t="shared" ref="C31" si="20">(B31-1)/12</f>
        <v>2.3333333333333335</v>
      </c>
      <c r="D31" s="6">
        <f t="shared" ref="D31" si="21">C31*52</f>
        <v>121.33333333333334</v>
      </c>
      <c r="E31" s="25">
        <f t="shared" si="17"/>
        <v>24</v>
      </c>
      <c r="F31" s="43">
        <v>29</v>
      </c>
      <c r="G31" s="36">
        <v>44087</v>
      </c>
      <c r="J31" s="36">
        <f t="shared" si="19"/>
        <v>44395</v>
      </c>
      <c r="K31" s="43">
        <f t="shared" si="18"/>
        <v>73</v>
      </c>
      <c r="L31" s="28">
        <v>0.54310000000000003</v>
      </c>
      <c r="M31" s="28">
        <v>0</v>
      </c>
      <c r="N31" s="28">
        <v>4.4000000000000003E-3</v>
      </c>
      <c r="O31" s="28">
        <v>0.34160000000000001</v>
      </c>
      <c r="P31" s="28">
        <v>0.49930000000000002</v>
      </c>
      <c r="Q31" s="28">
        <v>0.57989999999999997</v>
      </c>
      <c r="R31" s="28">
        <v>0.73019999999999996</v>
      </c>
      <c r="S31" s="28">
        <v>0.88270000000000004</v>
      </c>
      <c r="T31" s="28">
        <v>0.83699999999999997</v>
      </c>
    </row>
    <row r="32" spans="1:20" x14ac:dyDescent="0.25">
      <c r="E32" s="6"/>
      <c r="F32" s="43">
        <v>30</v>
      </c>
      <c r="G32" s="36">
        <v>44094</v>
      </c>
      <c r="J32" s="36">
        <f t="shared" ref="J32:J36" si="22">VLOOKUP(K32,$F$3:$G$129,2,FALSE)</f>
        <v>44423</v>
      </c>
      <c r="K32" s="43">
        <f t="shared" si="18"/>
        <v>77</v>
      </c>
      <c r="L32" s="28">
        <v>0.56459999999999999</v>
      </c>
      <c r="M32" s="28">
        <v>0</v>
      </c>
      <c r="N32" s="28">
        <v>4.4999999999999997E-3</v>
      </c>
      <c r="O32" s="28">
        <v>0.39979999999999999</v>
      </c>
      <c r="P32" s="28">
        <v>0.52939999999999998</v>
      </c>
      <c r="Q32" s="28">
        <v>0.60550000000000004</v>
      </c>
      <c r="R32" s="28">
        <v>0.75090000000000001</v>
      </c>
      <c r="S32" s="28">
        <v>0.89449999999999996</v>
      </c>
      <c r="T32" s="28">
        <v>0.84509999999999996</v>
      </c>
    </row>
    <row r="33" spans="6:20" x14ac:dyDescent="0.25">
      <c r="F33" s="43">
        <v>31</v>
      </c>
      <c r="G33" s="36">
        <v>44101</v>
      </c>
      <c r="J33" s="36">
        <f t="shared" si="22"/>
        <v>44451</v>
      </c>
      <c r="K33" s="43">
        <f t="shared" si="18"/>
        <v>81</v>
      </c>
      <c r="L33" s="28">
        <v>0.59740000000000004</v>
      </c>
      <c r="M33" s="28">
        <v>0</v>
      </c>
      <c r="N33" s="28">
        <v>4.4999999999999997E-3</v>
      </c>
      <c r="O33" s="28">
        <v>0.4854</v>
      </c>
      <c r="P33" s="28">
        <v>0.57250000000000001</v>
      </c>
      <c r="Q33" s="28">
        <v>0.64700000000000002</v>
      </c>
      <c r="R33" s="28">
        <v>0.78220000000000001</v>
      </c>
      <c r="S33" s="28">
        <v>0.91220000000000001</v>
      </c>
      <c r="T33" s="28">
        <v>0.85719999999999996</v>
      </c>
    </row>
    <row r="34" spans="6:20" x14ac:dyDescent="0.25">
      <c r="F34" s="43">
        <v>32</v>
      </c>
      <c r="G34" s="36">
        <v>44108</v>
      </c>
      <c r="J34" s="36">
        <f t="shared" si="22"/>
        <v>44479</v>
      </c>
      <c r="K34" s="43">
        <f t="shared" si="18"/>
        <v>85</v>
      </c>
      <c r="L34" s="28">
        <v>0.62439999999999996</v>
      </c>
      <c r="M34" s="28">
        <v>0</v>
      </c>
      <c r="N34" s="28">
        <v>4.4999999999999997E-3</v>
      </c>
      <c r="O34" s="28">
        <v>0.53620000000000001</v>
      </c>
      <c r="P34" s="28">
        <v>0.61250000000000004</v>
      </c>
      <c r="Q34" s="28">
        <v>0.68410000000000004</v>
      </c>
      <c r="R34" s="28">
        <v>0.80689999999999995</v>
      </c>
      <c r="S34" s="28">
        <v>0.92830000000000001</v>
      </c>
      <c r="T34" s="28">
        <v>0.86909999999999998</v>
      </c>
    </row>
    <row r="35" spans="6:20" x14ac:dyDescent="0.25">
      <c r="F35" s="43">
        <v>33</v>
      </c>
      <c r="G35" s="36">
        <v>44115</v>
      </c>
      <c r="J35" s="36">
        <f t="shared" si="22"/>
        <v>44507</v>
      </c>
      <c r="K35" s="43">
        <f t="shared" si="18"/>
        <v>89</v>
      </c>
      <c r="L35" s="28">
        <v>0.64129999999999998</v>
      </c>
      <c r="M35" s="28">
        <v>0</v>
      </c>
      <c r="N35" s="28">
        <v>4.5999999999999999E-3</v>
      </c>
      <c r="O35" s="28">
        <v>0.56010000000000004</v>
      </c>
      <c r="P35" s="28">
        <v>0.6361</v>
      </c>
      <c r="Q35" s="28">
        <v>0.70660000000000001</v>
      </c>
      <c r="R35" s="28">
        <v>0.82289999999999996</v>
      </c>
      <c r="S35" s="28">
        <v>0.94320000000000004</v>
      </c>
      <c r="T35" s="28">
        <v>0.88239999999999996</v>
      </c>
    </row>
    <row r="36" spans="6:20" x14ac:dyDescent="0.25">
      <c r="F36" s="43">
        <v>34</v>
      </c>
      <c r="G36" s="36">
        <v>44122</v>
      </c>
      <c r="J36" s="38">
        <f t="shared" si="22"/>
        <v>44535</v>
      </c>
      <c r="K36" s="33">
        <f t="shared" si="18"/>
        <v>93</v>
      </c>
      <c r="L36" s="34">
        <v>0.65739999999999998</v>
      </c>
      <c r="M36" s="34">
        <v>0</v>
      </c>
      <c r="N36" s="34">
        <v>4.6300000000000001E-2</v>
      </c>
      <c r="O36" s="34">
        <v>0.57520000000000004</v>
      </c>
      <c r="P36" s="34">
        <v>0.65210000000000001</v>
      </c>
      <c r="Q36" s="34">
        <v>0.72260000000000002</v>
      </c>
      <c r="R36" s="34">
        <v>0.8357</v>
      </c>
      <c r="S36" s="34">
        <v>0.95420000000000005</v>
      </c>
      <c r="T36" s="34">
        <v>0.89239999999999997</v>
      </c>
    </row>
    <row r="37" spans="6:20" x14ac:dyDescent="0.25">
      <c r="F37" s="43">
        <v>35</v>
      </c>
      <c r="G37" s="36">
        <v>44129</v>
      </c>
    </row>
    <row r="38" spans="6:20" x14ac:dyDescent="0.25">
      <c r="F38" s="43">
        <v>36</v>
      </c>
      <c r="G38" s="36">
        <v>44136</v>
      </c>
      <c r="M38" s="31" t="s">
        <v>38</v>
      </c>
      <c r="N38" s="44"/>
      <c r="O38" s="44"/>
    </row>
    <row r="39" spans="6:20" x14ac:dyDescent="0.25">
      <c r="F39" s="43">
        <v>37</v>
      </c>
      <c r="G39" s="36">
        <v>44143</v>
      </c>
    </row>
    <row r="40" spans="6:20" x14ac:dyDescent="0.25">
      <c r="F40" s="43">
        <v>38</v>
      </c>
      <c r="G40" s="36">
        <v>44150</v>
      </c>
      <c r="M40" s="79" t="str">
        <f t="shared" ref="M40:T40" si="23">"["&amp;$K25&amp;", "&amp;M25*100&amp;"]," &amp; "  # "&amp;TEXT($J25,"[$-en-US]d-mmm-yy;@")</f>
        <v>[49, 0],  # 31-Jan-21</v>
      </c>
      <c r="N40" s="80" t="str">
        <f t="shared" si="23"/>
        <v>[49, 0],  # 31-Jan-21</v>
      </c>
      <c r="O40" s="81" t="str">
        <f t="shared" si="23"/>
        <v>[49, 0.02],  # 31-Jan-21</v>
      </c>
      <c r="P40" s="82" t="str">
        <f t="shared" si="23"/>
        <v>[49, 1.53],  # 31-Jan-21</v>
      </c>
      <c r="Q40" s="83" t="str">
        <f t="shared" si="23"/>
        <v>[49, 2.63],  # 31-Jan-21</v>
      </c>
      <c r="R40" s="84" t="str">
        <f t="shared" si="23"/>
        <v>[49, 2.56],  # 31-Jan-21</v>
      </c>
      <c r="S40" s="78" t="str">
        <f t="shared" si="23"/>
        <v>[49, 1.68],  # 31-Jan-21</v>
      </c>
      <c r="T40" s="85" t="str">
        <f t="shared" si="23"/>
        <v>[49, 1.94],  # 31-Jan-21</v>
      </c>
    </row>
    <row r="41" spans="6:20" x14ac:dyDescent="0.25">
      <c r="F41" s="43">
        <v>39</v>
      </c>
      <c r="G41" s="36">
        <v>44157</v>
      </c>
      <c r="M41" s="79" t="str">
        <f t="shared" ref="M41:T41" si="24">"["&amp;$K26&amp;", "&amp;M26*100&amp;"]," &amp; "  # "&amp;TEXT($J26,"[$-en-US]d-mmm-yy;@")</f>
        <v>[53, 0],  # 28-Feb-21</v>
      </c>
      <c r="N41" s="80" t="str">
        <f t="shared" si="24"/>
        <v>[53, 0.01],  # 28-Feb-21</v>
      </c>
      <c r="O41" s="81" t="str">
        <f t="shared" si="24"/>
        <v>[53, 0.13],  # 28-Feb-21</v>
      </c>
      <c r="P41" s="82" t="str">
        <f t="shared" si="24"/>
        <v>[53, 5.39],  # 28-Feb-21</v>
      </c>
      <c r="Q41" s="83" t="str">
        <f t="shared" si="24"/>
        <v>[53, 8.51],  # 28-Feb-21</v>
      </c>
      <c r="R41" s="84" t="str">
        <f t="shared" si="24"/>
        <v>[53, 9.88],  # 28-Feb-21</v>
      </c>
      <c r="S41" s="78" t="str">
        <f t="shared" si="24"/>
        <v>[53, 21.22],  # 28-Feb-21</v>
      </c>
      <c r="T41" s="85" t="str">
        <f t="shared" si="24"/>
        <v>[53, 32.8],  # 28-Feb-21</v>
      </c>
    </row>
    <row r="42" spans="6:20" x14ac:dyDescent="0.25">
      <c r="F42" s="43">
        <v>40</v>
      </c>
      <c r="G42" s="36">
        <v>44164</v>
      </c>
      <c r="M42" s="79" t="str">
        <f t="shared" ref="M42:T42" si="25">"["&amp;$K27&amp;", "&amp;M27*100&amp;"]," &amp; "  # "&amp;TEXT($J27,"[$-en-US]d-mmm-yy;@")</f>
        <v>[57, 0],  # 28-Mar-21</v>
      </c>
      <c r="N42" s="80" t="str">
        <f t="shared" si="25"/>
        <v>[57, 0.01],  # 28-Mar-21</v>
      </c>
      <c r="O42" s="81" t="str">
        <f t="shared" si="25"/>
        <v>[57, 0.36],  # 28-Mar-21</v>
      </c>
      <c r="P42" s="82" t="str">
        <f t="shared" si="25"/>
        <v>[57, 9.34],  # 28-Mar-21</v>
      </c>
      <c r="Q42" s="83" t="str">
        <f t="shared" si="25"/>
        <v>[57, 14.58],  # 28-Mar-21</v>
      </c>
      <c r="R42" s="84" t="str">
        <f t="shared" si="25"/>
        <v>[57, 20.31],  # 28-Mar-21</v>
      </c>
      <c r="S42" s="78" t="str">
        <f t="shared" si="25"/>
        <v>[57, 53.66],  # 28-Mar-21</v>
      </c>
      <c r="T42" s="85" t="str">
        <f t="shared" si="25"/>
        <v>[57, 60.95],  # 28-Mar-21</v>
      </c>
    </row>
    <row r="43" spans="6:20" x14ac:dyDescent="0.25">
      <c r="F43" s="43">
        <v>41</v>
      </c>
      <c r="G43" s="36">
        <v>44171</v>
      </c>
      <c r="M43" s="79" t="str">
        <f t="shared" ref="M43:T43" si="26">"["&amp;$K28&amp;", "&amp;M28*100&amp;"]," &amp; "  # "&amp;TEXT($J28,"[$-en-US]d-mmm-yy;@")</f>
        <v>[61, 0],  # 25-Apr-21</v>
      </c>
      <c r="N43" s="80" t="str">
        <f t="shared" si="26"/>
        <v>[61, 0.01],  # 25-Apr-21</v>
      </c>
      <c r="O43" s="81" t="str">
        <f t="shared" si="26"/>
        <v>[61, 2.09],  # 25-Apr-21</v>
      </c>
      <c r="P43" s="82" t="str">
        <f t="shared" si="26"/>
        <v>[61, 21.65],  # 25-Apr-21</v>
      </c>
      <c r="Q43" s="83" t="str">
        <f t="shared" si="26"/>
        <v>[61, 30.79],  # 25-Apr-21</v>
      </c>
      <c r="R43" s="84" t="str">
        <f t="shared" si="26"/>
        <v>[61, 47.94],  # 25-Apr-21</v>
      </c>
      <c r="S43" s="78" t="str">
        <f t="shared" si="26"/>
        <v>[61, 76.76],  # 25-Apr-21</v>
      </c>
      <c r="T43" s="85" t="str">
        <f t="shared" si="26"/>
        <v>[61, 75.76],  # 25-Apr-21</v>
      </c>
    </row>
    <row r="44" spans="6:20" x14ac:dyDescent="0.25">
      <c r="F44" s="43">
        <v>42</v>
      </c>
      <c r="G44" s="36">
        <v>44178</v>
      </c>
      <c r="M44" s="79" t="str">
        <f t="shared" ref="M44:T44" si="27">"["&amp;$K29&amp;", "&amp;M29*100&amp;"]," &amp; "  # "&amp;TEXT($J29,"[$-en-US]d-mmm-yy;@")</f>
        <v>[65, 0],  # 23-May-21</v>
      </c>
      <c r="N44" s="80" t="str">
        <f t="shared" si="27"/>
        <v>[65, 0.02],  # 23-May-21</v>
      </c>
      <c r="O44" s="81" t="str">
        <f t="shared" si="27"/>
        <v>[65, 9.14],  # 23-May-21</v>
      </c>
      <c r="P44" s="82" t="str">
        <f t="shared" si="27"/>
        <v>[65, 38.53],  # 23-May-21</v>
      </c>
      <c r="Q44" s="83" t="str">
        <f t="shared" si="27"/>
        <v>[65, 47.83],  # 23-May-21</v>
      </c>
      <c r="R44" s="84" t="str">
        <f t="shared" si="27"/>
        <v>[65, 64.78],  # 23-May-21</v>
      </c>
      <c r="S44" s="78" t="str">
        <f t="shared" si="27"/>
        <v>[65, 83.93],  # 23-May-21</v>
      </c>
      <c r="T44" s="85" t="str">
        <f t="shared" si="27"/>
        <v>[65, 80.63],  # 23-May-21</v>
      </c>
    </row>
    <row r="45" spans="6:20" x14ac:dyDescent="0.25">
      <c r="F45" s="43">
        <v>43</v>
      </c>
      <c r="G45" s="36">
        <v>44185</v>
      </c>
      <c r="M45" s="79" t="str">
        <f t="shared" ref="M45:T45" si="28">"["&amp;$K30&amp;", "&amp;M30*100&amp;"]," &amp; "  # "&amp;TEXT($J30,"[$-en-US]d-mmm-yy;@")</f>
        <v>[69, 0],  # 20-Jun-21</v>
      </c>
      <c r="N45" s="80" t="str">
        <f t="shared" si="28"/>
        <v>[69, 0.34],  # 20-Jun-21</v>
      </c>
      <c r="O45" s="81" t="str">
        <f t="shared" si="28"/>
        <v>[69, 26.34],  # 20-Jun-21</v>
      </c>
      <c r="P45" s="82" t="str">
        <f t="shared" si="28"/>
        <v>[69, 46.26],  # 20-Jun-21</v>
      </c>
      <c r="Q45" s="83" t="str">
        <f t="shared" si="28"/>
        <v>[69, 54.87],  # 20-Jun-21</v>
      </c>
      <c r="R45" s="84" t="str">
        <f t="shared" si="28"/>
        <v>[69, 70.6],  # 20-Jun-21</v>
      </c>
      <c r="S45" s="78" t="str">
        <f t="shared" si="28"/>
        <v>[69, 86.92],  # 20-Jun-21</v>
      </c>
      <c r="T45" s="85" t="str">
        <f t="shared" si="28"/>
        <v>[69, 82.75],  # 20-Jun-21</v>
      </c>
    </row>
    <row r="46" spans="6:20" x14ac:dyDescent="0.25">
      <c r="F46" s="43">
        <v>44</v>
      </c>
      <c r="G46" s="36">
        <v>44192</v>
      </c>
      <c r="M46" s="79" t="str">
        <f t="shared" ref="M46:T46" si="29">"["&amp;$K31&amp;", "&amp;M31*100&amp;"]," &amp; "  # "&amp;TEXT($J31,"[$-en-US]d-mmm-yy;@")</f>
        <v>[73, 0],  # 18-Jul-21</v>
      </c>
      <c r="N46" s="80" t="str">
        <f t="shared" si="29"/>
        <v>[73, 0.44],  # 18-Jul-21</v>
      </c>
      <c r="O46" s="81" t="str">
        <f t="shared" si="29"/>
        <v>[73, 34.16],  # 18-Jul-21</v>
      </c>
      <c r="P46" s="82" t="str">
        <f t="shared" si="29"/>
        <v>[73, 49.93],  # 18-Jul-21</v>
      </c>
      <c r="Q46" s="83" t="str">
        <f t="shared" si="29"/>
        <v>[73, 57.99],  # 18-Jul-21</v>
      </c>
      <c r="R46" s="84" t="str">
        <f t="shared" si="29"/>
        <v>[73, 73.02],  # 18-Jul-21</v>
      </c>
      <c r="S46" s="78" t="str">
        <f t="shared" si="29"/>
        <v>[73, 88.27],  # 18-Jul-21</v>
      </c>
      <c r="T46" s="85" t="str">
        <f t="shared" si="29"/>
        <v>[73, 83.7],  # 18-Jul-21</v>
      </c>
    </row>
    <row r="47" spans="6:20" x14ac:dyDescent="0.25">
      <c r="F47" s="43">
        <v>45</v>
      </c>
      <c r="G47" s="36">
        <v>44199</v>
      </c>
      <c r="M47" s="79" t="str">
        <f t="shared" ref="M47:T47" si="30">"["&amp;$K32&amp;", "&amp;M32*100&amp;"]," &amp; "  # "&amp;TEXT($J32,"[$-en-US]d-mmm-yy;@")</f>
        <v>[77, 0],  # 15-Aug-21</v>
      </c>
      <c r="N47" s="80" t="str">
        <f t="shared" si="30"/>
        <v>[77, 0.45],  # 15-Aug-21</v>
      </c>
      <c r="O47" s="81" t="str">
        <f t="shared" si="30"/>
        <v>[77, 39.98],  # 15-Aug-21</v>
      </c>
      <c r="P47" s="82" t="str">
        <f t="shared" si="30"/>
        <v>[77, 52.94],  # 15-Aug-21</v>
      </c>
      <c r="Q47" s="83" t="str">
        <f t="shared" si="30"/>
        <v>[77, 60.55],  # 15-Aug-21</v>
      </c>
      <c r="R47" s="84" t="str">
        <f t="shared" si="30"/>
        <v>[77, 75.09],  # 15-Aug-21</v>
      </c>
      <c r="S47" s="78" t="str">
        <f t="shared" si="30"/>
        <v>[77, 89.45],  # 15-Aug-21</v>
      </c>
      <c r="T47" s="85" t="str">
        <f t="shared" si="30"/>
        <v>[77, 84.51],  # 15-Aug-21</v>
      </c>
    </row>
    <row r="48" spans="6:20" x14ac:dyDescent="0.25">
      <c r="F48" s="43">
        <v>46</v>
      </c>
      <c r="G48" s="36">
        <v>44206</v>
      </c>
      <c r="M48" s="79" t="str">
        <f t="shared" ref="M48:T48" si="31">"["&amp;$K33&amp;", "&amp;M33*100&amp;"]," &amp; "  # "&amp;TEXT($J33,"[$-en-US]d-mmm-yy;@")</f>
        <v>[81, 0],  # 12-Sep-21</v>
      </c>
      <c r="N48" s="80" t="str">
        <f t="shared" si="31"/>
        <v>[81, 0.45],  # 12-Sep-21</v>
      </c>
      <c r="O48" s="81" t="str">
        <f t="shared" si="31"/>
        <v>[81, 48.54],  # 12-Sep-21</v>
      </c>
      <c r="P48" s="82" t="str">
        <f t="shared" si="31"/>
        <v>[81, 57.25],  # 12-Sep-21</v>
      </c>
      <c r="Q48" s="83" t="str">
        <f t="shared" si="31"/>
        <v>[81, 64.7],  # 12-Sep-21</v>
      </c>
      <c r="R48" s="84" t="str">
        <f t="shared" si="31"/>
        <v>[81, 78.22],  # 12-Sep-21</v>
      </c>
      <c r="S48" s="78" t="str">
        <f t="shared" si="31"/>
        <v>[81, 91.22],  # 12-Sep-21</v>
      </c>
      <c r="T48" s="85" t="str">
        <f t="shared" si="31"/>
        <v>[81, 85.72],  # 12-Sep-21</v>
      </c>
    </row>
    <row r="49" spans="6:20" x14ac:dyDescent="0.25">
      <c r="F49" s="43">
        <v>47</v>
      </c>
      <c r="G49" s="36">
        <v>44213</v>
      </c>
      <c r="M49" s="79" t="str">
        <f t="shared" ref="M49:T49" si="32">"["&amp;$K34&amp;", "&amp;M34*100&amp;"]," &amp; "  # "&amp;TEXT($J34,"[$-en-US]d-mmm-yy;@")</f>
        <v>[85, 0],  # 10-Oct-21</v>
      </c>
      <c r="N49" s="80" t="str">
        <f t="shared" si="32"/>
        <v>[85, 0.45],  # 10-Oct-21</v>
      </c>
      <c r="O49" s="81" t="str">
        <f t="shared" si="32"/>
        <v>[85, 53.62],  # 10-Oct-21</v>
      </c>
      <c r="P49" s="82" t="str">
        <f t="shared" si="32"/>
        <v>[85, 61.25],  # 10-Oct-21</v>
      </c>
      <c r="Q49" s="83" t="str">
        <f t="shared" si="32"/>
        <v>[85, 68.41],  # 10-Oct-21</v>
      </c>
      <c r="R49" s="84" t="str">
        <f t="shared" si="32"/>
        <v>[85, 80.69],  # 10-Oct-21</v>
      </c>
      <c r="S49" s="78" t="str">
        <f t="shared" si="32"/>
        <v>[85, 92.83],  # 10-Oct-21</v>
      </c>
      <c r="T49" s="85" t="str">
        <f t="shared" si="32"/>
        <v>[85, 86.91],  # 10-Oct-21</v>
      </c>
    </row>
    <row r="50" spans="6:20" x14ac:dyDescent="0.25">
      <c r="F50" s="43">
        <v>48</v>
      </c>
      <c r="G50" s="36">
        <v>44220</v>
      </c>
      <c r="M50" s="79" t="str">
        <f t="shared" ref="M50:T50" si="33">"["&amp;$K35&amp;", "&amp;M35*100&amp;"]," &amp; "  # "&amp;TEXT($J35,"[$-en-US]d-mmm-yy;@")</f>
        <v>[89, 0],  # 7-Nov-21</v>
      </c>
      <c r="N50" s="80" t="str">
        <f t="shared" si="33"/>
        <v>[89, 0.46],  # 7-Nov-21</v>
      </c>
      <c r="O50" s="81" t="str">
        <f t="shared" si="33"/>
        <v>[89, 56.01],  # 7-Nov-21</v>
      </c>
      <c r="P50" s="82" t="str">
        <f t="shared" si="33"/>
        <v>[89, 63.61],  # 7-Nov-21</v>
      </c>
      <c r="Q50" s="83" t="str">
        <f t="shared" si="33"/>
        <v>[89, 70.66],  # 7-Nov-21</v>
      </c>
      <c r="R50" s="84" t="str">
        <f t="shared" si="33"/>
        <v>[89, 82.29],  # 7-Nov-21</v>
      </c>
      <c r="S50" s="78" t="str">
        <f t="shared" si="33"/>
        <v>[89, 94.32],  # 7-Nov-21</v>
      </c>
      <c r="T50" s="85" t="str">
        <f t="shared" si="33"/>
        <v>[89, 88.24],  # 7-Nov-21</v>
      </c>
    </row>
    <row r="51" spans="6:20" x14ac:dyDescent="0.25">
      <c r="F51" s="43">
        <v>49</v>
      </c>
      <c r="G51" s="36">
        <v>44227</v>
      </c>
      <c r="M51" s="79" t="str">
        <f t="shared" ref="M51:T51" si="34">"["&amp;$K36&amp;", "&amp;M36*100&amp;"]," &amp; "  # "&amp;TEXT($J36,"[$-en-US]d-mmm-yy;@")</f>
        <v>[93, 0],  # 5-Dec-21</v>
      </c>
      <c r="N51" s="80" t="str">
        <f t="shared" si="34"/>
        <v>[93, 4.63],  # 5-Dec-21</v>
      </c>
      <c r="O51" s="81" t="str">
        <f t="shared" si="34"/>
        <v>[93, 57.52],  # 5-Dec-21</v>
      </c>
      <c r="P51" s="82" t="str">
        <f t="shared" si="34"/>
        <v>[93, 65.21],  # 5-Dec-21</v>
      </c>
      <c r="Q51" s="83" t="str">
        <f t="shared" si="34"/>
        <v>[93, 72.26],  # 5-Dec-21</v>
      </c>
      <c r="R51" s="84" t="str">
        <f t="shared" si="34"/>
        <v>[93, 83.57],  # 5-Dec-21</v>
      </c>
      <c r="S51" s="78" t="str">
        <f t="shared" si="34"/>
        <v>[93, 95.42],  # 5-Dec-21</v>
      </c>
      <c r="T51" s="85" t="str">
        <f t="shared" si="34"/>
        <v>[93, 89.24],  # 5-Dec-21</v>
      </c>
    </row>
    <row r="52" spans="6:20" x14ac:dyDescent="0.25">
      <c r="F52" s="43">
        <v>50</v>
      </c>
      <c r="G52" s="36">
        <v>44234</v>
      </c>
    </row>
    <row r="53" spans="6:20" x14ac:dyDescent="0.25">
      <c r="F53" s="43">
        <v>51</v>
      </c>
      <c r="G53" s="36">
        <v>44241</v>
      </c>
    </row>
    <row r="54" spans="6:20" x14ac:dyDescent="0.25">
      <c r="F54" s="43">
        <v>52</v>
      </c>
      <c r="G54" s="36">
        <v>44248</v>
      </c>
    </row>
    <row r="55" spans="6:20" x14ac:dyDescent="0.25">
      <c r="F55" s="43">
        <v>53</v>
      </c>
      <c r="G55" s="36">
        <v>44255</v>
      </c>
    </row>
    <row r="56" spans="6:20" x14ac:dyDescent="0.25">
      <c r="F56" s="43">
        <v>54</v>
      </c>
      <c r="G56" s="36">
        <v>44262</v>
      </c>
    </row>
    <row r="57" spans="6:20" x14ac:dyDescent="0.25">
      <c r="F57" s="43">
        <v>55</v>
      </c>
      <c r="G57" s="36">
        <v>44269</v>
      </c>
    </row>
    <row r="58" spans="6:20" x14ac:dyDescent="0.25">
      <c r="F58" s="43">
        <v>56</v>
      </c>
      <c r="G58" s="36">
        <v>44276</v>
      </c>
    </row>
    <row r="59" spans="6:20" x14ac:dyDescent="0.25">
      <c r="F59" s="43">
        <v>57</v>
      </c>
      <c r="G59" s="36">
        <v>44283</v>
      </c>
    </row>
    <row r="60" spans="6:20" x14ac:dyDescent="0.25">
      <c r="F60" s="43">
        <v>58</v>
      </c>
      <c r="G60" s="36">
        <v>44290</v>
      </c>
    </row>
    <row r="61" spans="6:20" x14ac:dyDescent="0.25">
      <c r="F61" s="43">
        <v>59</v>
      </c>
      <c r="G61" s="36">
        <v>44297</v>
      </c>
    </row>
    <row r="62" spans="6:20" x14ac:dyDescent="0.25">
      <c r="F62" s="43">
        <v>60</v>
      </c>
      <c r="G62" s="36">
        <v>44304</v>
      </c>
    </row>
    <row r="63" spans="6:20" x14ac:dyDescent="0.25">
      <c r="F63" s="43">
        <v>61</v>
      </c>
      <c r="G63" s="36">
        <v>44311</v>
      </c>
    </row>
    <row r="64" spans="6:20" x14ac:dyDescent="0.25">
      <c r="F64" s="43">
        <v>62</v>
      </c>
      <c r="G64" s="36">
        <v>44318</v>
      </c>
    </row>
    <row r="65" spans="6:7" x14ac:dyDescent="0.25">
      <c r="F65" s="43">
        <v>63</v>
      </c>
      <c r="G65" s="36">
        <v>44325</v>
      </c>
    </row>
    <row r="66" spans="6:7" x14ac:dyDescent="0.25">
      <c r="F66" s="43">
        <v>64</v>
      </c>
      <c r="G66" s="36">
        <v>44332</v>
      </c>
    </row>
    <row r="67" spans="6:7" x14ac:dyDescent="0.25">
      <c r="F67" s="43">
        <v>65</v>
      </c>
      <c r="G67" s="36">
        <v>44339</v>
      </c>
    </row>
    <row r="68" spans="6:7" x14ac:dyDescent="0.25">
      <c r="F68" s="43">
        <v>66</v>
      </c>
      <c r="G68" s="36">
        <v>44346</v>
      </c>
    </row>
    <row r="69" spans="6:7" x14ac:dyDescent="0.25">
      <c r="F69" s="43">
        <v>67</v>
      </c>
      <c r="G69" s="36">
        <v>44353</v>
      </c>
    </row>
    <row r="70" spans="6:7" x14ac:dyDescent="0.25">
      <c r="F70" s="43">
        <v>68</v>
      </c>
      <c r="G70" s="36">
        <v>44360</v>
      </c>
    </row>
    <row r="71" spans="6:7" x14ac:dyDescent="0.25">
      <c r="F71" s="43">
        <v>69</v>
      </c>
      <c r="G71" s="36">
        <v>44367</v>
      </c>
    </row>
    <row r="72" spans="6:7" x14ac:dyDescent="0.25">
      <c r="F72" s="43">
        <v>70</v>
      </c>
      <c r="G72" s="36">
        <v>44374</v>
      </c>
    </row>
    <row r="73" spans="6:7" x14ac:dyDescent="0.25">
      <c r="F73" s="43">
        <v>71</v>
      </c>
      <c r="G73" s="36">
        <v>44381</v>
      </c>
    </row>
    <row r="74" spans="6:7" x14ac:dyDescent="0.25">
      <c r="F74" s="43">
        <v>72</v>
      </c>
      <c r="G74" s="36">
        <v>44388</v>
      </c>
    </row>
    <row r="75" spans="6:7" x14ac:dyDescent="0.25">
      <c r="F75" s="43">
        <v>73</v>
      </c>
      <c r="G75" s="36">
        <v>44395</v>
      </c>
    </row>
    <row r="76" spans="6:7" x14ac:dyDescent="0.25">
      <c r="F76" s="43">
        <v>74</v>
      </c>
      <c r="G76" s="36">
        <v>44402</v>
      </c>
    </row>
    <row r="77" spans="6:7" x14ac:dyDescent="0.25">
      <c r="F77" s="43">
        <v>75</v>
      </c>
      <c r="G77" s="36">
        <v>44409</v>
      </c>
    </row>
    <row r="78" spans="6:7" x14ac:dyDescent="0.25">
      <c r="F78" s="43">
        <v>76</v>
      </c>
      <c r="G78" s="36">
        <v>44416</v>
      </c>
    </row>
    <row r="79" spans="6:7" x14ac:dyDescent="0.25">
      <c r="F79" s="43">
        <v>77</v>
      </c>
      <c r="G79" s="36">
        <v>44423</v>
      </c>
    </row>
    <row r="80" spans="6:7" x14ac:dyDescent="0.25">
      <c r="F80" s="43">
        <v>78</v>
      </c>
      <c r="G80" s="36">
        <v>44430</v>
      </c>
    </row>
    <row r="81" spans="6:7" x14ac:dyDescent="0.25">
      <c r="F81" s="43">
        <v>79</v>
      </c>
      <c r="G81" s="36">
        <v>44437</v>
      </c>
    </row>
    <row r="82" spans="6:7" x14ac:dyDescent="0.25">
      <c r="F82" s="43">
        <v>80</v>
      </c>
      <c r="G82" s="36">
        <v>44444</v>
      </c>
    </row>
    <row r="83" spans="6:7" x14ac:dyDescent="0.25">
      <c r="F83" s="43">
        <v>81</v>
      </c>
      <c r="G83" s="36">
        <v>44451</v>
      </c>
    </row>
    <row r="84" spans="6:7" x14ac:dyDescent="0.25">
      <c r="F84" s="43">
        <v>82</v>
      </c>
      <c r="G84" s="36">
        <v>44458</v>
      </c>
    </row>
    <row r="85" spans="6:7" x14ac:dyDescent="0.25">
      <c r="F85" s="43">
        <v>83</v>
      </c>
      <c r="G85" s="36">
        <v>44465</v>
      </c>
    </row>
    <row r="86" spans="6:7" x14ac:dyDescent="0.25">
      <c r="F86" s="43">
        <v>84</v>
      </c>
      <c r="G86" s="36">
        <v>44472</v>
      </c>
    </row>
    <row r="87" spans="6:7" x14ac:dyDescent="0.25">
      <c r="F87" s="43">
        <v>85</v>
      </c>
      <c r="G87" s="36">
        <v>44479</v>
      </c>
    </row>
    <row r="88" spans="6:7" x14ac:dyDescent="0.25">
      <c r="F88" s="43">
        <v>86</v>
      </c>
      <c r="G88" s="36">
        <v>44486</v>
      </c>
    </row>
    <row r="89" spans="6:7" x14ac:dyDescent="0.25">
      <c r="F89" s="43">
        <v>87</v>
      </c>
      <c r="G89" s="36">
        <v>44493</v>
      </c>
    </row>
    <row r="90" spans="6:7" x14ac:dyDescent="0.25">
      <c r="F90" s="43">
        <v>88</v>
      </c>
      <c r="G90" s="36">
        <v>44500</v>
      </c>
    </row>
    <row r="91" spans="6:7" x14ac:dyDescent="0.25">
      <c r="F91" s="43">
        <v>89</v>
      </c>
      <c r="G91" s="36">
        <v>44507</v>
      </c>
    </row>
    <row r="92" spans="6:7" x14ac:dyDescent="0.25">
      <c r="F92" s="43">
        <v>90</v>
      </c>
      <c r="G92" s="36">
        <v>44514</v>
      </c>
    </row>
    <row r="93" spans="6:7" x14ac:dyDescent="0.25">
      <c r="F93" s="43">
        <v>91</v>
      </c>
      <c r="G93" s="36">
        <v>44521</v>
      </c>
    </row>
    <row r="94" spans="6:7" x14ac:dyDescent="0.25">
      <c r="F94" s="43">
        <v>92</v>
      </c>
      <c r="G94" s="36">
        <v>44528</v>
      </c>
    </row>
    <row r="95" spans="6:7" x14ac:dyDescent="0.25">
      <c r="F95" s="43">
        <v>93</v>
      </c>
      <c r="G95" s="36">
        <v>44535</v>
      </c>
    </row>
    <row r="96" spans="6:7" x14ac:dyDescent="0.25">
      <c r="F96" s="43">
        <v>94</v>
      </c>
      <c r="G96" s="36">
        <v>44542</v>
      </c>
    </row>
    <row r="97" spans="6:7" x14ac:dyDescent="0.25">
      <c r="F97" s="43">
        <v>95</v>
      </c>
      <c r="G97" s="36">
        <v>44549</v>
      </c>
    </row>
    <row r="98" spans="6:7" x14ac:dyDescent="0.25">
      <c r="F98" s="33">
        <v>96</v>
      </c>
      <c r="G98" s="38">
        <v>44556</v>
      </c>
    </row>
    <row r="99" spans="6:7" x14ac:dyDescent="0.25">
      <c r="F99" s="43">
        <v>97</v>
      </c>
      <c r="G99" s="36">
        <v>44563</v>
      </c>
    </row>
    <row r="100" spans="6:7" x14ac:dyDescent="0.25">
      <c r="F100" s="43">
        <v>98</v>
      </c>
      <c r="G100" s="36">
        <v>44570</v>
      </c>
    </row>
    <row r="101" spans="6:7" x14ac:dyDescent="0.25">
      <c r="F101" s="43">
        <v>99</v>
      </c>
      <c r="G101" s="36">
        <v>44577</v>
      </c>
    </row>
    <row r="102" spans="6:7" x14ac:dyDescent="0.25">
      <c r="F102" s="43">
        <v>100</v>
      </c>
      <c r="G102" s="36">
        <v>44584</v>
      </c>
    </row>
    <row r="103" spans="6:7" x14ac:dyDescent="0.25">
      <c r="F103" s="43">
        <v>101</v>
      </c>
      <c r="G103" s="36">
        <v>44591</v>
      </c>
    </row>
    <row r="104" spans="6:7" x14ac:dyDescent="0.25">
      <c r="F104" s="43">
        <v>102</v>
      </c>
      <c r="G104" s="36">
        <v>44598</v>
      </c>
    </row>
    <row r="105" spans="6:7" x14ac:dyDescent="0.25">
      <c r="F105" s="43">
        <v>103</v>
      </c>
      <c r="G105" s="36">
        <v>44605</v>
      </c>
    </row>
    <row r="106" spans="6:7" x14ac:dyDescent="0.25">
      <c r="F106" s="43">
        <v>104</v>
      </c>
      <c r="G106" s="36">
        <v>44612</v>
      </c>
    </row>
    <row r="107" spans="6:7" x14ac:dyDescent="0.25">
      <c r="F107" s="43">
        <v>105</v>
      </c>
      <c r="G107" s="36">
        <v>44619</v>
      </c>
    </row>
    <row r="108" spans="6:7" x14ac:dyDescent="0.25">
      <c r="F108" s="43">
        <v>106</v>
      </c>
      <c r="G108" s="36">
        <v>44626</v>
      </c>
    </row>
    <row r="109" spans="6:7" x14ac:dyDescent="0.25">
      <c r="F109" s="43">
        <v>107</v>
      </c>
      <c r="G109" s="36">
        <v>44633</v>
      </c>
    </row>
    <row r="110" spans="6:7" x14ac:dyDescent="0.25">
      <c r="F110" s="43">
        <v>108</v>
      </c>
      <c r="G110" s="36">
        <v>44640</v>
      </c>
    </row>
    <row r="111" spans="6:7" x14ac:dyDescent="0.25">
      <c r="F111" s="43">
        <v>109</v>
      </c>
      <c r="G111" s="36">
        <v>44647</v>
      </c>
    </row>
    <row r="112" spans="6:7" x14ac:dyDescent="0.25">
      <c r="F112" s="43">
        <v>110</v>
      </c>
      <c r="G112" s="36">
        <v>44654</v>
      </c>
    </row>
    <row r="113" spans="6:7" x14ac:dyDescent="0.25">
      <c r="F113" s="43">
        <v>111</v>
      </c>
      <c r="G113" s="36">
        <v>44661</v>
      </c>
    </row>
    <row r="114" spans="6:7" x14ac:dyDescent="0.25">
      <c r="F114" s="43">
        <v>112</v>
      </c>
      <c r="G114" s="36">
        <v>44668</v>
      </c>
    </row>
    <row r="115" spans="6:7" x14ac:dyDescent="0.25">
      <c r="F115" s="43">
        <v>113</v>
      </c>
      <c r="G115" s="36">
        <v>44675</v>
      </c>
    </row>
    <row r="116" spans="6:7" x14ac:dyDescent="0.25">
      <c r="F116" s="43">
        <v>114</v>
      </c>
      <c r="G116" s="36">
        <v>44682</v>
      </c>
    </row>
    <row r="117" spans="6:7" x14ac:dyDescent="0.25">
      <c r="F117" s="43">
        <v>115</v>
      </c>
      <c r="G117" s="36">
        <v>44689</v>
      </c>
    </row>
    <row r="118" spans="6:7" x14ac:dyDescent="0.25">
      <c r="F118" s="43">
        <v>116</v>
      </c>
      <c r="G118" s="36">
        <v>44696</v>
      </c>
    </row>
    <row r="119" spans="6:7" x14ac:dyDescent="0.25">
      <c r="F119" s="43">
        <v>117</v>
      </c>
      <c r="G119" s="36">
        <v>44703</v>
      </c>
    </row>
    <row r="120" spans="6:7" x14ac:dyDescent="0.25">
      <c r="F120" s="86">
        <v>118</v>
      </c>
      <c r="G120" s="87">
        <v>44710</v>
      </c>
    </row>
    <row r="121" spans="6:7" x14ac:dyDescent="0.25">
      <c r="F121" s="43">
        <v>119</v>
      </c>
      <c r="G121" s="36">
        <v>44717</v>
      </c>
    </row>
    <row r="122" spans="6:7" x14ac:dyDescent="0.25">
      <c r="F122" s="43">
        <v>120</v>
      </c>
      <c r="G122" s="36">
        <v>44724</v>
      </c>
    </row>
    <row r="123" spans="6:7" x14ac:dyDescent="0.25">
      <c r="F123" s="33">
        <v>121</v>
      </c>
      <c r="G123" s="38">
        <v>44731</v>
      </c>
    </row>
    <row r="124" spans="6:7" x14ac:dyDescent="0.25">
      <c r="F124" s="43">
        <v>122</v>
      </c>
      <c r="G124" s="36">
        <v>44738</v>
      </c>
    </row>
    <row r="125" spans="6:7" x14ac:dyDescent="0.25">
      <c r="F125" s="43">
        <v>123</v>
      </c>
      <c r="G125" s="36">
        <v>44745</v>
      </c>
    </row>
    <row r="126" spans="6:7" x14ac:dyDescent="0.25">
      <c r="F126" s="43">
        <v>124</v>
      </c>
      <c r="G126" s="36">
        <v>44752</v>
      </c>
    </row>
    <row r="127" spans="6:7" x14ac:dyDescent="0.25">
      <c r="F127" s="43">
        <v>125</v>
      </c>
      <c r="G127" s="36">
        <v>44759</v>
      </c>
    </row>
    <row r="128" spans="6:7" x14ac:dyDescent="0.25">
      <c r="F128" s="43">
        <v>126</v>
      </c>
      <c r="G128" s="36">
        <v>44766</v>
      </c>
    </row>
    <row r="129" spans="6:7" x14ac:dyDescent="0.25">
      <c r="F129" s="43">
        <v>127</v>
      </c>
      <c r="G129" s="36">
        <v>44773</v>
      </c>
    </row>
    <row r="130" spans="6:7" x14ac:dyDescent="0.25">
      <c r="G130" s="58"/>
    </row>
    <row r="131" spans="6:7" x14ac:dyDescent="0.25">
      <c r="G131" s="58"/>
    </row>
    <row r="132" spans="6:7" x14ac:dyDescent="0.25">
      <c r="G132" s="58"/>
    </row>
    <row r="133" spans="6:7" x14ac:dyDescent="0.25">
      <c r="G133" s="58"/>
    </row>
    <row r="134" spans="6:7" x14ac:dyDescent="0.25">
      <c r="G134" s="58"/>
    </row>
    <row r="135" spans="6:7" x14ac:dyDescent="0.25">
      <c r="G135" s="58"/>
    </row>
    <row r="136" spans="6:7" x14ac:dyDescent="0.25">
      <c r="G136" s="58"/>
    </row>
    <row r="137" spans="6:7" x14ac:dyDescent="0.25">
      <c r="G137" s="58"/>
    </row>
    <row r="138" spans="6:7" x14ac:dyDescent="0.25">
      <c r="G138" s="58"/>
    </row>
    <row r="139" spans="6:7" x14ac:dyDescent="0.25">
      <c r="G139" s="58"/>
    </row>
    <row r="140" spans="6:7" x14ac:dyDescent="0.25">
      <c r="G140" s="58"/>
    </row>
    <row r="141" spans="6:7" x14ac:dyDescent="0.25">
      <c r="G141" s="58"/>
    </row>
    <row r="142" spans="6:7" x14ac:dyDescent="0.25">
      <c r="G142" s="58"/>
    </row>
    <row r="143" spans="6:7" x14ac:dyDescent="0.25">
      <c r="G143" s="58"/>
    </row>
    <row r="144" spans="6:7" x14ac:dyDescent="0.25">
      <c r="G144" s="58"/>
    </row>
    <row r="145" spans="7:7" x14ac:dyDescent="0.25">
      <c r="G145" s="58"/>
    </row>
    <row r="146" spans="7:7" x14ac:dyDescent="0.25">
      <c r="G146" s="58"/>
    </row>
    <row r="147" spans="7:7" x14ac:dyDescent="0.25">
      <c r="G147" s="58"/>
    </row>
    <row r="148" spans="7:7" x14ac:dyDescent="0.25">
      <c r="G148" s="58"/>
    </row>
    <row r="149" spans="7:7" x14ac:dyDescent="0.25">
      <c r="G149" s="58"/>
    </row>
    <row r="150" spans="7:7" x14ac:dyDescent="0.25">
      <c r="G150" s="58"/>
    </row>
    <row r="151" spans="7:7" x14ac:dyDescent="0.25">
      <c r="G151" s="58"/>
    </row>
    <row r="152" spans="7:7" x14ac:dyDescent="0.25">
      <c r="G152" s="58"/>
    </row>
    <row r="153" spans="7:7" x14ac:dyDescent="0.25">
      <c r="G153" s="58"/>
    </row>
    <row r="154" spans="7:7" x14ac:dyDescent="0.25">
      <c r="G154" s="58"/>
    </row>
    <row r="155" spans="7:7" x14ac:dyDescent="0.25">
      <c r="G155" s="58"/>
    </row>
    <row r="156" spans="7:7" x14ac:dyDescent="0.25">
      <c r="G156" s="58"/>
    </row>
    <row r="157" spans="7:7" x14ac:dyDescent="0.25">
      <c r="G157" s="58"/>
    </row>
    <row r="158" spans="7:7" x14ac:dyDescent="0.25">
      <c r="G158" s="58"/>
    </row>
    <row r="159" spans="7:7" x14ac:dyDescent="0.25">
      <c r="G159" s="58"/>
    </row>
    <row r="160" spans="7:7" x14ac:dyDescent="0.25">
      <c r="G160" s="58"/>
    </row>
    <row r="161" spans="7:7" x14ac:dyDescent="0.25">
      <c r="G161" s="58"/>
    </row>
    <row r="162" spans="7:7" x14ac:dyDescent="0.25">
      <c r="G162" s="58"/>
    </row>
    <row r="163" spans="7:7" x14ac:dyDescent="0.25">
      <c r="G163" s="58"/>
    </row>
    <row r="164" spans="7:7" x14ac:dyDescent="0.25">
      <c r="G164" s="58"/>
    </row>
    <row r="165" spans="7:7" x14ac:dyDescent="0.25">
      <c r="G165" s="58"/>
    </row>
    <row r="166" spans="7:7" x14ac:dyDescent="0.25">
      <c r="G166" s="58"/>
    </row>
    <row r="167" spans="7:7" x14ac:dyDescent="0.25">
      <c r="G167" s="58"/>
    </row>
    <row r="168" spans="7:7" x14ac:dyDescent="0.25">
      <c r="G168" s="58"/>
    </row>
    <row r="169" spans="7:7" x14ac:dyDescent="0.25">
      <c r="G169" s="58"/>
    </row>
    <row r="170" spans="7:7" x14ac:dyDescent="0.25">
      <c r="G170" s="58"/>
    </row>
    <row r="171" spans="7:7" x14ac:dyDescent="0.25">
      <c r="G171" s="58"/>
    </row>
    <row r="172" spans="7:7" x14ac:dyDescent="0.25">
      <c r="G172" s="58"/>
    </row>
    <row r="173" spans="7:7" x14ac:dyDescent="0.25">
      <c r="G173" s="58"/>
    </row>
    <row r="174" spans="7:7" x14ac:dyDescent="0.25">
      <c r="G174" s="58"/>
    </row>
    <row r="175" spans="7:7" x14ac:dyDescent="0.25">
      <c r="G175" s="58"/>
    </row>
    <row r="176" spans="7:7" x14ac:dyDescent="0.25">
      <c r="G176" s="58"/>
    </row>
    <row r="177" spans="7:7" x14ac:dyDescent="0.25">
      <c r="G177" s="58"/>
    </row>
    <row r="178" spans="7:7" x14ac:dyDescent="0.25">
      <c r="G178" s="58"/>
    </row>
    <row r="179" spans="7:7" x14ac:dyDescent="0.25">
      <c r="G179" s="58"/>
    </row>
    <row r="180" spans="7:7" x14ac:dyDescent="0.25">
      <c r="G180" s="58"/>
    </row>
    <row r="181" spans="7:7" x14ac:dyDescent="0.25">
      <c r="G181" s="58"/>
    </row>
    <row r="182" spans="7:7" x14ac:dyDescent="0.25">
      <c r="G182" s="58"/>
    </row>
    <row r="183" spans="7:7" x14ac:dyDescent="0.25">
      <c r="G183" s="58"/>
    </row>
    <row r="184" spans="7:7" x14ac:dyDescent="0.25">
      <c r="G184" s="58"/>
    </row>
    <row r="185" spans="7:7" x14ac:dyDescent="0.25">
      <c r="G185" s="58"/>
    </row>
    <row r="186" spans="7:7" x14ac:dyDescent="0.25">
      <c r="G186" s="58"/>
    </row>
    <row r="187" spans="7:7" x14ac:dyDescent="0.25">
      <c r="G187" s="58"/>
    </row>
    <row r="188" spans="7:7" x14ac:dyDescent="0.25">
      <c r="G188" s="58"/>
    </row>
    <row r="189" spans="7:7" x14ac:dyDescent="0.25">
      <c r="G189" s="58"/>
    </row>
    <row r="190" spans="7:7" x14ac:dyDescent="0.25">
      <c r="G190" s="58"/>
    </row>
    <row r="191" spans="7:7" x14ac:dyDescent="0.25">
      <c r="G191" s="58"/>
    </row>
    <row r="192" spans="7:7" x14ac:dyDescent="0.25">
      <c r="G192" s="58"/>
    </row>
    <row r="193" spans="7:7" x14ac:dyDescent="0.25">
      <c r="G193" s="58"/>
    </row>
    <row r="194" spans="7:7" x14ac:dyDescent="0.25">
      <c r="G194" s="58"/>
    </row>
    <row r="195" spans="7:7" x14ac:dyDescent="0.25">
      <c r="G195" s="58"/>
    </row>
    <row r="196" spans="7:7" x14ac:dyDescent="0.25">
      <c r="G196" s="58"/>
    </row>
    <row r="197" spans="7:7" x14ac:dyDescent="0.25">
      <c r="G197" s="58"/>
    </row>
    <row r="198" spans="7:7" x14ac:dyDescent="0.25">
      <c r="G198" s="58"/>
    </row>
    <row r="199" spans="7:7" x14ac:dyDescent="0.25">
      <c r="G199" s="58"/>
    </row>
    <row r="200" spans="7:7" x14ac:dyDescent="0.25">
      <c r="G200" s="58"/>
    </row>
    <row r="201" spans="7:7" x14ac:dyDescent="0.25">
      <c r="G201" s="58"/>
    </row>
    <row r="202" spans="7:7" x14ac:dyDescent="0.25">
      <c r="G202" s="58"/>
    </row>
    <row r="203" spans="7:7" x14ac:dyDescent="0.25">
      <c r="G203" s="58"/>
    </row>
    <row r="204" spans="7:7" x14ac:dyDescent="0.25">
      <c r="G204" s="58"/>
    </row>
    <row r="205" spans="7:7" x14ac:dyDescent="0.25">
      <c r="G205" s="58"/>
    </row>
    <row r="206" spans="7:7" x14ac:dyDescent="0.25">
      <c r="G206" s="58"/>
    </row>
    <row r="207" spans="7:7" x14ac:dyDescent="0.25">
      <c r="G207" s="58"/>
    </row>
    <row r="208" spans="7:7" x14ac:dyDescent="0.25">
      <c r="G208" s="58"/>
    </row>
    <row r="209" spans="7:7" x14ac:dyDescent="0.25">
      <c r="G209" s="58"/>
    </row>
    <row r="210" spans="7:7" x14ac:dyDescent="0.25">
      <c r="G210" s="58"/>
    </row>
    <row r="211" spans="7:7" x14ac:dyDescent="0.25">
      <c r="G211" s="58"/>
    </row>
    <row r="212" spans="7:7" x14ac:dyDescent="0.25">
      <c r="G212" s="58"/>
    </row>
    <row r="213" spans="7:7" x14ac:dyDescent="0.25">
      <c r="G213" s="58"/>
    </row>
    <row r="214" spans="7:7" x14ac:dyDescent="0.25">
      <c r="G214" s="58"/>
    </row>
    <row r="215" spans="7:7" x14ac:dyDescent="0.25">
      <c r="G215" s="58"/>
    </row>
    <row r="216" spans="7:7" x14ac:dyDescent="0.25">
      <c r="G216" s="58"/>
    </row>
    <row r="217" spans="7:7" x14ac:dyDescent="0.25">
      <c r="G217" s="58"/>
    </row>
    <row r="218" spans="7:7" x14ac:dyDescent="0.25">
      <c r="G218" s="58"/>
    </row>
    <row r="219" spans="7:7" x14ac:dyDescent="0.25">
      <c r="G219" s="58"/>
    </row>
    <row r="220" spans="7:7" x14ac:dyDescent="0.25">
      <c r="G220" s="58"/>
    </row>
    <row r="221" spans="7:7" x14ac:dyDescent="0.25">
      <c r="G221" s="58"/>
    </row>
    <row r="222" spans="7:7" x14ac:dyDescent="0.25">
      <c r="G222" s="58"/>
    </row>
    <row r="223" spans="7:7" x14ac:dyDescent="0.25">
      <c r="G223" s="58"/>
    </row>
    <row r="224" spans="7:7" x14ac:dyDescent="0.25">
      <c r="G224" s="58"/>
    </row>
    <row r="225" spans="7:7" x14ac:dyDescent="0.25">
      <c r="G225" s="58"/>
    </row>
    <row r="226" spans="7:7" x14ac:dyDescent="0.25">
      <c r="G226" s="58"/>
    </row>
    <row r="227" spans="7:7" x14ac:dyDescent="0.25">
      <c r="G227" s="58"/>
    </row>
    <row r="228" spans="7:7" x14ac:dyDescent="0.25">
      <c r="G228" s="58"/>
    </row>
    <row r="229" spans="7:7" x14ac:dyDescent="0.25">
      <c r="G229" s="58"/>
    </row>
    <row r="230" spans="7:7" x14ac:dyDescent="0.25">
      <c r="G230" s="58"/>
    </row>
    <row r="231" spans="7:7" x14ac:dyDescent="0.25">
      <c r="G231" s="58"/>
    </row>
    <row r="232" spans="7:7" x14ac:dyDescent="0.25">
      <c r="G232" s="58"/>
    </row>
    <row r="233" spans="7:7" x14ac:dyDescent="0.25">
      <c r="G233" s="58"/>
    </row>
    <row r="234" spans="7:7" x14ac:dyDescent="0.25">
      <c r="G234" s="58"/>
    </row>
    <row r="235" spans="7:7" x14ac:dyDescent="0.25">
      <c r="G235" s="58"/>
    </row>
    <row r="236" spans="7:7" x14ac:dyDescent="0.25">
      <c r="G236" s="58"/>
    </row>
    <row r="237" spans="7:7" x14ac:dyDescent="0.25">
      <c r="G237" s="58"/>
    </row>
    <row r="238" spans="7:7" x14ac:dyDescent="0.25">
      <c r="G238" s="58"/>
    </row>
    <row r="239" spans="7:7" x14ac:dyDescent="0.25">
      <c r="G239" s="58"/>
    </row>
    <row r="240" spans="7:7" x14ac:dyDescent="0.25">
      <c r="G240" s="58"/>
    </row>
    <row r="241" spans="7:7" x14ac:dyDescent="0.25">
      <c r="G241" s="58"/>
    </row>
    <row r="242" spans="7:7" x14ac:dyDescent="0.25">
      <c r="G242" s="58"/>
    </row>
    <row r="243" spans="7:7" x14ac:dyDescent="0.25">
      <c r="G243" s="58"/>
    </row>
    <row r="244" spans="7:7" x14ac:dyDescent="0.25">
      <c r="G244" s="58"/>
    </row>
    <row r="245" spans="7:7" x14ac:dyDescent="0.25">
      <c r="G245" s="58"/>
    </row>
    <row r="246" spans="7:7" x14ac:dyDescent="0.25">
      <c r="G246" s="58"/>
    </row>
    <row r="247" spans="7:7" x14ac:dyDescent="0.25">
      <c r="G247" s="58"/>
    </row>
    <row r="248" spans="7:7" x14ac:dyDescent="0.25">
      <c r="G248" s="58"/>
    </row>
    <row r="249" spans="7:7" x14ac:dyDescent="0.25">
      <c r="G249" s="58"/>
    </row>
    <row r="250" spans="7:7" x14ac:dyDescent="0.25">
      <c r="G250" s="58"/>
    </row>
    <row r="251" spans="7:7" x14ac:dyDescent="0.25">
      <c r="G251" s="58"/>
    </row>
    <row r="252" spans="7:7" x14ac:dyDescent="0.25">
      <c r="G252" s="58"/>
    </row>
    <row r="253" spans="7:7" x14ac:dyDescent="0.25">
      <c r="G253" s="58"/>
    </row>
    <row r="254" spans="7:7" x14ac:dyDescent="0.25">
      <c r="G254" s="58"/>
    </row>
    <row r="255" spans="7:7" x14ac:dyDescent="0.25">
      <c r="G255" s="58"/>
    </row>
    <row r="256" spans="7:7" x14ac:dyDescent="0.25">
      <c r="G256" s="58"/>
    </row>
    <row r="257" spans="7:7" x14ac:dyDescent="0.25">
      <c r="G257" s="58"/>
    </row>
    <row r="258" spans="7:7" x14ac:dyDescent="0.25">
      <c r="G258" s="58"/>
    </row>
    <row r="259" spans="7:7" x14ac:dyDescent="0.25">
      <c r="G259" s="58"/>
    </row>
    <row r="260" spans="7:7" x14ac:dyDescent="0.25">
      <c r="G260" s="58"/>
    </row>
    <row r="261" spans="7:7" x14ac:dyDescent="0.25">
      <c r="G261" s="58"/>
    </row>
    <row r="262" spans="7:7" x14ac:dyDescent="0.25">
      <c r="G262" s="58"/>
    </row>
    <row r="263" spans="7:7" x14ac:dyDescent="0.25">
      <c r="G263" s="58"/>
    </row>
    <row r="264" spans="7:7" x14ac:dyDescent="0.25">
      <c r="G264" s="58"/>
    </row>
    <row r="265" spans="7:7" x14ac:dyDescent="0.25">
      <c r="G265" s="58"/>
    </row>
    <row r="266" spans="7:7" x14ac:dyDescent="0.25">
      <c r="G266" s="58"/>
    </row>
    <row r="267" spans="7:7" x14ac:dyDescent="0.25">
      <c r="G267" s="58"/>
    </row>
    <row r="268" spans="7:7" x14ac:dyDescent="0.25">
      <c r="G268" s="58"/>
    </row>
    <row r="269" spans="7:7" x14ac:dyDescent="0.25">
      <c r="G269" s="58"/>
    </row>
    <row r="270" spans="7:7" x14ac:dyDescent="0.25">
      <c r="G270" s="58"/>
    </row>
    <row r="271" spans="7:7" x14ac:dyDescent="0.25">
      <c r="G271" s="58"/>
    </row>
    <row r="272" spans="7:7" x14ac:dyDescent="0.25">
      <c r="G272" s="58"/>
    </row>
    <row r="273" spans="7:7" x14ac:dyDescent="0.25">
      <c r="G273" s="58"/>
    </row>
    <row r="274" spans="7:7" x14ac:dyDescent="0.25">
      <c r="G274" s="58"/>
    </row>
    <row r="275" spans="7:7" x14ac:dyDescent="0.25">
      <c r="G275" s="58"/>
    </row>
    <row r="276" spans="7:7" x14ac:dyDescent="0.25">
      <c r="G276" s="58"/>
    </row>
    <row r="277" spans="7:7" x14ac:dyDescent="0.25">
      <c r="G277" s="58"/>
    </row>
    <row r="278" spans="7:7" x14ac:dyDescent="0.25">
      <c r="G278" s="58"/>
    </row>
    <row r="279" spans="7:7" x14ac:dyDescent="0.25">
      <c r="G279" s="58"/>
    </row>
    <row r="280" spans="7:7" x14ac:dyDescent="0.25">
      <c r="G280" s="58"/>
    </row>
    <row r="281" spans="7:7" x14ac:dyDescent="0.25">
      <c r="G281" s="58"/>
    </row>
  </sheetData>
  <mergeCells count="4">
    <mergeCell ref="I3:O3"/>
    <mergeCell ref="E23:E24"/>
    <mergeCell ref="A1:D1"/>
    <mergeCell ref="F1:G1"/>
  </mergeCells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DA79-5E8B-46C7-8357-C56A8B288201}">
  <dimension ref="A1:Q14"/>
  <sheetViews>
    <sheetView workbookViewId="0">
      <selection activeCell="Q5" sqref="Q5:Q12"/>
    </sheetView>
  </sheetViews>
  <sheetFormatPr defaultColWidth="9" defaultRowHeight="15" x14ac:dyDescent="0.25"/>
  <cols>
    <col min="1" max="16384" width="9" style="59"/>
  </cols>
  <sheetData>
    <row r="1" spans="1:17" x14ac:dyDescent="0.25">
      <c r="A1" s="49" t="s">
        <v>278</v>
      </c>
    </row>
    <row r="2" spans="1:17" ht="15.75" thickBot="1" x14ac:dyDescent="0.3">
      <c r="A2" s="60" t="s">
        <v>98</v>
      </c>
      <c r="K2" s="113" t="s">
        <v>279</v>
      </c>
      <c r="L2" s="113"/>
      <c r="M2" s="113"/>
      <c r="N2" s="113"/>
      <c r="O2" s="113"/>
    </row>
    <row r="3" spans="1:17" ht="90" thickBot="1" x14ac:dyDescent="0.3">
      <c r="A3" s="61"/>
      <c r="B3" s="62" t="s">
        <v>95</v>
      </c>
      <c r="C3" s="62" t="s">
        <v>96</v>
      </c>
      <c r="D3" s="62" t="s">
        <v>97</v>
      </c>
      <c r="F3" s="63" t="s">
        <v>99</v>
      </c>
      <c r="G3" s="63">
        <f>Vaccination!F94</f>
        <v>92</v>
      </c>
      <c r="K3" s="40" t="s">
        <v>57</v>
      </c>
      <c r="L3" s="40" t="s">
        <v>54</v>
      </c>
      <c r="M3" s="40" t="s">
        <v>1</v>
      </c>
      <c r="N3" s="40" t="s">
        <v>55</v>
      </c>
      <c r="O3" s="40" t="s">
        <v>28</v>
      </c>
    </row>
    <row r="4" spans="1:17" x14ac:dyDescent="0.25">
      <c r="A4" s="64" t="s">
        <v>44</v>
      </c>
      <c r="B4" s="65">
        <v>768</v>
      </c>
      <c r="C4" s="65">
        <v>301.7</v>
      </c>
      <c r="D4" s="65">
        <v>1050.3</v>
      </c>
      <c r="F4" s="59" t="str">
        <f>"[["&amp;$G$3&amp;", "&amp;B4&amp;", "&amp;C4&amp;", "&amp;D4&amp;"]]," &amp; "  # "&amp;A4</f>
        <v>[[92, 768, 301.7, 1050.3]],  # Overall</v>
      </c>
    </row>
    <row r="5" spans="1:17" x14ac:dyDescent="0.25">
      <c r="A5" s="66" t="s">
        <v>26</v>
      </c>
      <c r="B5" s="65">
        <v>100.2</v>
      </c>
      <c r="C5" s="65">
        <v>50.6</v>
      </c>
      <c r="D5" s="65">
        <v>161.19999999999999</v>
      </c>
      <c r="F5" s="59" t="str">
        <f t="shared" ref="F5:F12" si="0">"[["&amp;$G$3&amp;", "&amp;B5&amp;", "&amp;C5&amp;", "&amp;D5&amp;"]]," &amp; "  # "&amp;A5</f>
        <v>[[92, 100.2, 50.6, 161.2]],  # 0-4</v>
      </c>
      <c r="K5" s="5" t="str">
        <f>A5</f>
        <v>0-4</v>
      </c>
      <c r="L5" s="43">
        <f>B5</f>
        <v>100.2</v>
      </c>
      <c r="M5" s="43">
        <f>'Risks by age'!L7</f>
        <v>19.579999999999998</v>
      </c>
      <c r="N5" s="53">
        <f>L5*M5*10</f>
        <v>19619.16</v>
      </c>
      <c r="O5" s="51">
        <f>N5/$N$13</f>
        <v>7.5588456594611903E-3</v>
      </c>
      <c r="Q5" s="59" t="str">
        <f>"[["&amp;$G$3&amp;", "&amp;TEXT(O5*100,"#0.0")&amp;"]]," &amp; "   # "&amp;K5</f>
        <v>[[92, 0.8]],   # 0-4</v>
      </c>
    </row>
    <row r="6" spans="1:17" x14ac:dyDescent="0.25">
      <c r="A6" s="67" t="s">
        <v>47</v>
      </c>
      <c r="B6" s="65">
        <v>33.700000000000003</v>
      </c>
      <c r="C6" s="65">
        <v>17.399999999999999</v>
      </c>
      <c r="D6" s="65">
        <v>46.6</v>
      </c>
      <c r="F6" s="59" t="str">
        <f t="shared" si="0"/>
        <v>[[92, 33.7, 17.4, 46.6]],  # 5-12</v>
      </c>
      <c r="K6" s="5" t="str">
        <f t="shared" ref="K6:K12" si="1">A6</f>
        <v>5-12</v>
      </c>
      <c r="L6" s="43">
        <f t="shared" ref="L6:L12" si="2">B6</f>
        <v>33.700000000000003</v>
      </c>
      <c r="M6" s="43">
        <f>'Risks by age'!L8</f>
        <v>32.67</v>
      </c>
      <c r="N6" s="53">
        <f t="shared" ref="N6:N12" si="3">L6*M6*10</f>
        <v>11009.79</v>
      </c>
      <c r="O6" s="51">
        <f t="shared" ref="O6:O12" si="4">N6/$N$13</f>
        <v>4.2418382516417235E-3</v>
      </c>
      <c r="Q6" s="59" t="str">
        <f t="shared" ref="Q6:Q12" si="5">"[["&amp;$G$3&amp;", "&amp;TEXT(O6*100,"#0.0")&amp;"]]," &amp; "   # "&amp;K6</f>
        <v>[[92, 0.4]],   # 5-12</v>
      </c>
    </row>
    <row r="7" spans="1:17" x14ac:dyDescent="0.25">
      <c r="A7" s="67" t="s">
        <v>100</v>
      </c>
      <c r="B7" s="65">
        <v>81.400000000000006</v>
      </c>
      <c r="C7" s="65">
        <v>43.5</v>
      </c>
      <c r="D7" s="65">
        <v>129.69999999999999</v>
      </c>
      <c r="F7" s="59" t="str">
        <f t="shared" si="0"/>
        <v>[[92, 81.4, 43.5, 129.7]],  # 12-17</v>
      </c>
      <c r="K7" s="5" t="str">
        <f t="shared" si="1"/>
        <v>12-17</v>
      </c>
      <c r="L7" s="43">
        <f t="shared" si="2"/>
        <v>81.400000000000006</v>
      </c>
      <c r="M7" s="43">
        <f>'Risks by age'!L9</f>
        <v>20.956</v>
      </c>
      <c r="N7" s="53">
        <f t="shared" si="3"/>
        <v>17058.184000000001</v>
      </c>
      <c r="O7" s="51">
        <f t="shared" si="4"/>
        <v>6.5721559988649019E-3</v>
      </c>
      <c r="Q7" s="59" t="str">
        <f t="shared" si="5"/>
        <v>[[92, 0.7]],   # 12-17</v>
      </c>
    </row>
    <row r="8" spans="1:17" x14ac:dyDescent="0.25">
      <c r="A8" s="66" t="s">
        <v>49</v>
      </c>
      <c r="B8" s="65">
        <v>298.8</v>
      </c>
      <c r="C8" s="65">
        <v>85</v>
      </c>
      <c r="D8" s="65">
        <v>508</v>
      </c>
      <c r="F8" s="59" t="str">
        <f t="shared" si="0"/>
        <v>[[92, 298.8, 85, 508]],  # 18-29</v>
      </c>
      <c r="K8" s="5" t="str">
        <f t="shared" si="1"/>
        <v>18-29</v>
      </c>
      <c r="L8" s="43">
        <f t="shared" si="2"/>
        <v>298.8</v>
      </c>
      <c r="M8" s="43">
        <f>'Risks by age'!L10</f>
        <v>53.554000000000002</v>
      </c>
      <c r="N8" s="53">
        <f t="shared" si="3"/>
        <v>160019.35200000001</v>
      </c>
      <c r="O8" s="51">
        <f t="shared" si="4"/>
        <v>6.1652057697423969E-2</v>
      </c>
      <c r="Q8" s="59" t="str">
        <f t="shared" si="5"/>
        <v>[[92, 6.2]],   # 18-29</v>
      </c>
    </row>
    <row r="9" spans="1:17" x14ac:dyDescent="0.25">
      <c r="A9" s="66" t="s">
        <v>50</v>
      </c>
      <c r="B9" s="65">
        <v>601.5</v>
      </c>
      <c r="C9" s="65">
        <v>179.3</v>
      </c>
      <c r="D9" s="65">
        <v>897</v>
      </c>
      <c r="F9" s="59" t="str">
        <f t="shared" si="0"/>
        <v>[[92, 601.5, 179.3, 897]],  # 30-49</v>
      </c>
      <c r="K9" s="5" t="str">
        <f t="shared" si="1"/>
        <v>30-49</v>
      </c>
      <c r="L9" s="43">
        <f t="shared" si="2"/>
        <v>601.5</v>
      </c>
      <c r="M9" s="43">
        <f>'Risks by age'!L11</f>
        <v>84.48</v>
      </c>
      <c r="N9" s="53">
        <f t="shared" si="3"/>
        <v>508147.20000000001</v>
      </c>
      <c r="O9" s="51">
        <f t="shared" si="4"/>
        <v>0.19577832369415191</v>
      </c>
      <c r="Q9" s="59" t="str">
        <f t="shared" si="5"/>
        <v>[[92, 19.6]],   # 30-49</v>
      </c>
    </row>
    <row r="10" spans="1:17" x14ac:dyDescent="0.25">
      <c r="A10" s="66" t="s">
        <v>27</v>
      </c>
      <c r="B10" s="65">
        <v>1124.2</v>
      </c>
      <c r="C10" s="65">
        <v>449</v>
      </c>
      <c r="D10" s="65">
        <v>1490.7</v>
      </c>
      <c r="F10" s="59" t="str">
        <f t="shared" si="0"/>
        <v>[[92, 1124.2, 449, 1490.7]],  # 50-64</v>
      </c>
      <c r="K10" s="5" t="str">
        <f t="shared" si="1"/>
        <v>50-64</v>
      </c>
      <c r="L10" s="43">
        <f t="shared" si="2"/>
        <v>1124.2</v>
      </c>
      <c r="M10" s="43">
        <f>'Risks by age'!L12</f>
        <v>62.92</v>
      </c>
      <c r="N10" s="53">
        <f t="shared" si="3"/>
        <v>707346.64</v>
      </c>
      <c r="O10" s="51">
        <f t="shared" si="4"/>
        <v>0.27252563715767941</v>
      </c>
      <c r="Q10" s="59" t="str">
        <f t="shared" si="5"/>
        <v>[[92, 27.3]],   # 50-64</v>
      </c>
    </row>
    <row r="11" spans="1:17" x14ac:dyDescent="0.25">
      <c r="A11" s="66" t="s">
        <v>29</v>
      </c>
      <c r="B11" s="65">
        <v>1590.9</v>
      </c>
      <c r="C11" s="65">
        <v>750.1</v>
      </c>
      <c r="D11" s="65">
        <v>2356.8000000000002</v>
      </c>
      <c r="F11" s="59" t="str">
        <f t="shared" si="0"/>
        <v>[[92, 1590.9, 750.1, 2356.8]],  # 65-74</v>
      </c>
      <c r="K11" s="5" t="str">
        <f t="shared" si="1"/>
        <v>65-74</v>
      </c>
      <c r="L11" s="43">
        <f t="shared" si="2"/>
        <v>1590.9</v>
      </c>
      <c r="M11" s="43">
        <f>'Risks by age'!L13</f>
        <v>31.49</v>
      </c>
      <c r="N11" s="53">
        <f t="shared" si="3"/>
        <v>500974.41</v>
      </c>
      <c r="O11" s="51">
        <f t="shared" si="4"/>
        <v>0.19301480004901486</v>
      </c>
      <c r="Q11" s="59" t="str">
        <f t="shared" si="5"/>
        <v>[[92, 19.3]],   # 65-74</v>
      </c>
    </row>
    <row r="12" spans="1:17" x14ac:dyDescent="0.25">
      <c r="A12" s="66" t="s">
        <v>30</v>
      </c>
      <c r="B12" s="65">
        <v>2973.2</v>
      </c>
      <c r="C12" s="65">
        <v>1553.9</v>
      </c>
      <c r="D12" s="65">
        <v>4313.6000000000004</v>
      </c>
      <c r="F12" s="59" t="str">
        <f t="shared" si="0"/>
        <v>[[92, 2973.2, 1553.9, 4313.6]],  # 75+</v>
      </c>
      <c r="K12" s="3" t="str">
        <f t="shared" si="1"/>
        <v>75+</v>
      </c>
      <c r="L12" s="33">
        <f t="shared" si="2"/>
        <v>2973.2</v>
      </c>
      <c r="M12" s="33">
        <f>'Risks by age'!L14</f>
        <v>22.58</v>
      </c>
      <c r="N12" s="54">
        <f t="shared" si="3"/>
        <v>671348.55999999982</v>
      </c>
      <c r="O12" s="56">
        <f t="shared" si="4"/>
        <v>0.25865634149176209</v>
      </c>
      <c r="Q12" s="59" t="str">
        <f t="shared" si="5"/>
        <v>[[92, 25.9]],   # 75+</v>
      </c>
    </row>
    <row r="13" spans="1:17" x14ac:dyDescent="0.25">
      <c r="K13"/>
      <c r="L13"/>
      <c r="M13">
        <f>SUM(M5:M12)</f>
        <v>328.23</v>
      </c>
      <c r="N13" s="53">
        <f>SUM(N5:N12)</f>
        <v>2595523.2959999996</v>
      </c>
      <c r="O13" s="51">
        <f>SUM(O5:O12)</f>
        <v>1</v>
      </c>
    </row>
    <row r="14" spans="1:17" x14ac:dyDescent="0.25">
      <c r="K14"/>
      <c r="L14" t="s">
        <v>56</v>
      </c>
      <c r="M14"/>
      <c r="N14" s="55">
        <f>N13/(M13*10)</f>
        <v>790.76357919751376</v>
      </c>
      <c r="O14"/>
    </row>
  </sheetData>
  <mergeCells count="1">
    <mergeCell ref="K2:O2"/>
  </mergeCells>
  <hyperlinks>
    <hyperlink ref="A2" r:id="rId1" display="https://gis.cdc.gov/grasp/COVIDNet/COVID19_3.html" xr:uid="{010662C4-AB5E-4265-88F3-963E101FD1B1}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Y26"/>
  <sheetViews>
    <sheetView showGridLines="0" workbookViewId="0">
      <selection activeCell="X16" sqref="X16"/>
    </sheetView>
  </sheetViews>
  <sheetFormatPr defaultRowHeight="15" x14ac:dyDescent="0.25"/>
  <cols>
    <col min="1" max="1" width="28.28515625" customWidth="1"/>
    <col min="5" max="5" width="15.28515625" customWidth="1"/>
    <col min="19" max="19" width="3.42578125" customWidth="1"/>
    <col min="21" max="21" width="3.140625" customWidth="1"/>
    <col min="22" max="22" width="8" customWidth="1"/>
    <col min="23" max="23" width="10.85546875" bestFit="1" customWidth="1"/>
    <col min="24" max="24" width="10.140625" bestFit="1" customWidth="1"/>
  </cols>
  <sheetData>
    <row r="1" spans="1:25" x14ac:dyDescent="0.25">
      <c r="A1" s="18"/>
    </row>
    <row r="2" spans="1:25" x14ac:dyDescent="0.25">
      <c r="A2" s="9" t="s">
        <v>3</v>
      </c>
      <c r="B2" s="8"/>
      <c r="C2" s="8"/>
      <c r="D2" s="8"/>
      <c r="E2" s="8"/>
    </row>
    <row r="3" spans="1:25" x14ac:dyDescent="0.25">
      <c r="A3" s="10" t="s">
        <v>4</v>
      </c>
      <c r="B3" s="8"/>
      <c r="C3" s="8"/>
      <c r="D3" s="8"/>
      <c r="E3" s="8"/>
    </row>
    <row r="4" spans="1:25" x14ac:dyDescent="0.25">
      <c r="A4" s="10"/>
      <c r="B4" s="8"/>
      <c r="C4" s="8"/>
      <c r="D4" s="8"/>
      <c r="E4" s="8"/>
    </row>
    <row r="5" spans="1:25" ht="30" customHeight="1" x14ac:dyDescent="0.25">
      <c r="A5" s="10"/>
      <c r="B5" s="8"/>
      <c r="C5" s="8"/>
      <c r="D5" s="8"/>
      <c r="E5" s="8"/>
      <c r="M5" s="114" t="s">
        <v>33</v>
      </c>
      <c r="N5" s="114"/>
      <c r="O5" s="115" t="s">
        <v>53</v>
      </c>
      <c r="P5" s="115"/>
    </row>
    <row r="6" spans="1:25" ht="30" x14ac:dyDescent="0.25">
      <c r="A6" s="8"/>
      <c r="B6" s="40" t="s">
        <v>5</v>
      </c>
      <c r="C6" s="40" t="s">
        <v>6</v>
      </c>
      <c r="D6" s="41" t="s">
        <v>1</v>
      </c>
      <c r="E6" s="42" t="s">
        <v>33</v>
      </c>
      <c r="I6" s="40" t="s">
        <v>5</v>
      </c>
      <c r="J6" s="40" t="s">
        <v>6</v>
      </c>
      <c r="K6" s="40" t="s">
        <v>28</v>
      </c>
      <c r="L6" s="40" t="s">
        <v>31</v>
      </c>
      <c r="M6" s="40" t="s">
        <v>34</v>
      </c>
      <c r="N6" s="40" t="s">
        <v>32</v>
      </c>
      <c r="O6" s="40" t="s">
        <v>34</v>
      </c>
      <c r="P6" s="40" t="s">
        <v>32</v>
      </c>
      <c r="Q6" s="40" t="s">
        <v>35</v>
      </c>
      <c r="R6" s="40" t="s">
        <v>36</v>
      </c>
      <c r="S6" s="40"/>
      <c r="T6" s="40" t="s">
        <v>28</v>
      </c>
      <c r="V6" s="40" t="s">
        <v>57</v>
      </c>
      <c r="W6" s="40" t="s">
        <v>54</v>
      </c>
      <c r="X6" s="40" t="s">
        <v>55</v>
      </c>
      <c r="Y6" s="40" t="s">
        <v>28</v>
      </c>
    </row>
    <row r="7" spans="1:25" x14ac:dyDescent="0.25">
      <c r="A7" s="10" t="s">
        <v>7</v>
      </c>
      <c r="B7" s="21">
        <v>10.01</v>
      </c>
      <c r="C7" s="21">
        <v>9.57</v>
      </c>
      <c r="D7" s="21">
        <f>SUM(B7:C7)</f>
        <v>19.579999999999998</v>
      </c>
      <c r="E7" s="19">
        <v>1</v>
      </c>
      <c r="G7" t="s">
        <v>26</v>
      </c>
      <c r="I7" s="23">
        <f>B7</f>
        <v>10.01</v>
      </c>
      <c r="J7" s="23">
        <f>C7</f>
        <v>9.57</v>
      </c>
      <c r="K7" s="73">
        <f>SUM(I7:J7)/$I$17</f>
        <v>5.9653291898973282E-2</v>
      </c>
      <c r="L7" s="24">
        <f>I7+J7</f>
        <v>19.579999999999998</v>
      </c>
      <c r="M7" s="25" t="s">
        <v>51</v>
      </c>
      <c r="N7" s="24" t="e">
        <f>M7*0.25</f>
        <v>#VALUE!</v>
      </c>
      <c r="O7" s="24">
        <v>0.2</v>
      </c>
      <c r="P7" s="27">
        <f>0.25*O7</f>
        <v>0.05</v>
      </c>
      <c r="Q7" s="24"/>
      <c r="R7" s="24"/>
      <c r="S7" s="24"/>
      <c r="T7" s="51">
        <f t="shared" ref="T7:T14" si="0">K7</f>
        <v>5.9653291898973282E-2</v>
      </c>
      <c r="V7" s="5" t="str">
        <f>G7</f>
        <v>0-4</v>
      </c>
      <c r="W7" s="43">
        <v>59.8</v>
      </c>
      <c r="X7" s="53">
        <f>W7*L7*10</f>
        <v>11708.839999999998</v>
      </c>
      <c r="Y7" s="51">
        <f>X7/$X$15</f>
        <v>6.0062738590934851E-3</v>
      </c>
    </row>
    <row r="8" spans="1:25" x14ac:dyDescent="0.25">
      <c r="A8" s="10" t="s">
        <v>8</v>
      </c>
      <c r="B8" s="21">
        <v>10.32</v>
      </c>
      <c r="C8" s="21">
        <v>9.8699999999999992</v>
      </c>
      <c r="D8" s="21">
        <f t="shared" ref="D8:D24" si="1">SUM(B8:C8)</f>
        <v>20.189999999999998</v>
      </c>
      <c r="E8" s="19">
        <v>1</v>
      </c>
      <c r="G8" s="47" t="s">
        <v>47</v>
      </c>
      <c r="I8" s="23">
        <f>B8+3/5*B9</f>
        <v>16.692</v>
      </c>
      <c r="J8" s="23">
        <f>C8+3/5*C9</f>
        <v>15.977999999999998</v>
      </c>
      <c r="K8" s="73">
        <f t="shared" ref="K8:K14" si="2">SUM(I8:J8)/$I$17</f>
        <v>9.9533863449410495E-2</v>
      </c>
      <c r="L8" s="24">
        <f t="shared" ref="L8:L14" si="3">I8+J8</f>
        <v>32.67</v>
      </c>
      <c r="M8" s="25" t="s">
        <v>51</v>
      </c>
      <c r="N8" s="24" t="e">
        <f>M8*0.25</f>
        <v>#VALUE!</v>
      </c>
      <c r="O8" s="24">
        <v>0.2</v>
      </c>
      <c r="P8" s="27">
        <f t="shared" ref="P8:P12" si="4">0.25*O8</f>
        <v>0.05</v>
      </c>
      <c r="Q8" s="24"/>
      <c r="R8" s="24"/>
      <c r="S8" s="24"/>
      <c r="T8" s="51">
        <f t="shared" si="0"/>
        <v>9.9533863449410495E-2</v>
      </c>
      <c r="V8" s="5" t="str">
        <f t="shared" ref="V8:V14" si="5">G8</f>
        <v>5-12</v>
      </c>
      <c r="W8" s="43">
        <v>17.8</v>
      </c>
      <c r="X8" s="53">
        <f t="shared" ref="X8:X14" si="6">W8*L8*10</f>
        <v>5815.26</v>
      </c>
      <c r="Y8" s="51">
        <f t="shared" ref="Y8:Y14" si="7">X8/$X$15</f>
        <v>2.9830490571083031E-3</v>
      </c>
    </row>
    <row r="9" spans="1:25" x14ac:dyDescent="0.25">
      <c r="A9" s="10" t="s">
        <v>9</v>
      </c>
      <c r="B9" s="21">
        <v>10.62</v>
      </c>
      <c r="C9" s="21">
        <v>10.18</v>
      </c>
      <c r="D9" s="21">
        <f t="shared" si="1"/>
        <v>20.799999999999997</v>
      </c>
      <c r="E9" s="19">
        <v>1</v>
      </c>
      <c r="G9" s="13" t="s">
        <v>48</v>
      </c>
      <c r="I9" s="23">
        <f>2/5*B9+3/5*B10</f>
        <v>10.698</v>
      </c>
      <c r="J9" s="23">
        <f>2/5*C9+3/5*C10</f>
        <v>10.257999999999999</v>
      </c>
      <c r="K9" s="73">
        <f t="shared" si="2"/>
        <v>6.3845474210157516E-2</v>
      </c>
      <c r="L9" s="24">
        <f t="shared" si="3"/>
        <v>20.956</v>
      </c>
      <c r="M9" s="25">
        <v>1</v>
      </c>
      <c r="N9" s="24">
        <f t="shared" ref="N9:N14" si="8">M9*0.25</f>
        <v>0.25</v>
      </c>
      <c r="O9" s="24">
        <v>0.2</v>
      </c>
      <c r="P9" s="27">
        <f t="shared" si="4"/>
        <v>0.05</v>
      </c>
      <c r="Q9" s="24"/>
      <c r="R9" s="24"/>
      <c r="S9" s="24"/>
      <c r="T9" s="51">
        <f t="shared" si="0"/>
        <v>6.3845474210157516E-2</v>
      </c>
      <c r="V9" s="5" t="str">
        <f t="shared" si="5"/>
        <v>13-17</v>
      </c>
      <c r="W9" s="43">
        <v>54.2</v>
      </c>
      <c r="X9" s="53">
        <f t="shared" si="6"/>
        <v>11358.152</v>
      </c>
      <c r="Y9" s="51">
        <f t="shared" si="7"/>
        <v>5.826381729121791E-3</v>
      </c>
    </row>
    <row r="10" spans="1:25" x14ac:dyDescent="0.25">
      <c r="A10" s="10" t="s">
        <v>10</v>
      </c>
      <c r="B10" s="21">
        <v>10.75</v>
      </c>
      <c r="C10" s="21">
        <v>10.31</v>
      </c>
      <c r="D10" s="21">
        <f t="shared" si="1"/>
        <v>21.060000000000002</v>
      </c>
      <c r="E10" s="19">
        <v>1</v>
      </c>
      <c r="G10" s="68" t="s">
        <v>49</v>
      </c>
      <c r="H10" s="59"/>
      <c r="I10" s="72">
        <f>2/5*B10+SUM(B11:B12)</f>
        <v>27.360000000000003</v>
      </c>
      <c r="J10" s="72">
        <f>2/5*C10+SUM(C11:C12)</f>
        <v>26.194000000000003</v>
      </c>
      <c r="K10" s="74">
        <f t="shared" si="2"/>
        <v>0.16315997928282</v>
      </c>
      <c r="L10" s="69">
        <f t="shared" si="3"/>
        <v>53.554000000000002</v>
      </c>
      <c r="M10" s="70">
        <v>1</v>
      </c>
      <c r="N10" s="69">
        <f t="shared" si="8"/>
        <v>0.25</v>
      </c>
      <c r="O10" s="69">
        <v>2.6</v>
      </c>
      <c r="P10" s="71">
        <f t="shared" si="4"/>
        <v>0.65</v>
      </c>
      <c r="Q10" s="48"/>
      <c r="R10" s="48"/>
      <c r="S10" s="48"/>
      <c r="T10" s="52">
        <f t="shared" si="0"/>
        <v>0.16315997928282</v>
      </c>
      <c r="V10" s="5" t="str">
        <f t="shared" si="5"/>
        <v>18-29</v>
      </c>
      <c r="W10" s="43">
        <v>211.2</v>
      </c>
      <c r="X10" s="53">
        <f t="shared" si="6"/>
        <v>113106.048</v>
      </c>
      <c r="Y10" s="51">
        <f t="shared" si="7"/>
        <v>5.8019914817161476E-2</v>
      </c>
    </row>
    <row r="11" spans="1:25" x14ac:dyDescent="0.25">
      <c r="A11" s="10" t="s">
        <v>11</v>
      </c>
      <c r="B11" s="21">
        <v>11.06</v>
      </c>
      <c r="C11" s="21">
        <v>10.57</v>
      </c>
      <c r="D11" s="21">
        <f t="shared" si="1"/>
        <v>21.630000000000003</v>
      </c>
      <c r="E11" s="19">
        <v>1</v>
      </c>
      <c r="G11" t="s">
        <v>50</v>
      </c>
      <c r="I11" s="23">
        <f>SUM(B13:B16)</f>
        <v>42.230000000000004</v>
      </c>
      <c r="J11" s="23">
        <f>SUM(C13:C16)</f>
        <v>42.25</v>
      </c>
      <c r="K11" s="73">
        <f t="shared" si="2"/>
        <v>0.25738049538433422</v>
      </c>
      <c r="L11" s="24">
        <f t="shared" si="3"/>
        <v>84.48</v>
      </c>
      <c r="M11" s="25">
        <v>2</v>
      </c>
      <c r="N11" s="24">
        <f t="shared" si="8"/>
        <v>0.5</v>
      </c>
      <c r="O11" s="24">
        <v>2.6</v>
      </c>
      <c r="P11" s="27">
        <f t="shared" si="4"/>
        <v>0.65</v>
      </c>
      <c r="Q11" s="24"/>
      <c r="R11" s="24"/>
      <c r="S11" s="24"/>
      <c r="T11" s="51">
        <f t="shared" si="0"/>
        <v>0.25738049538433422</v>
      </c>
      <c r="V11" s="5" t="str">
        <f t="shared" si="5"/>
        <v>30-49</v>
      </c>
      <c r="W11" s="43">
        <v>418.6</v>
      </c>
      <c r="X11" s="53">
        <f t="shared" si="6"/>
        <v>353633.28000000003</v>
      </c>
      <c r="Y11" s="51">
        <f t="shared" si="7"/>
        <v>0.18140296778925047</v>
      </c>
    </row>
    <row r="12" spans="1:25" x14ac:dyDescent="0.25">
      <c r="A12" s="10" t="s">
        <v>12</v>
      </c>
      <c r="B12" s="19">
        <v>12</v>
      </c>
      <c r="C12" s="21">
        <v>11.5</v>
      </c>
      <c r="D12" s="21">
        <f t="shared" si="1"/>
        <v>23.5</v>
      </c>
      <c r="E12" s="19">
        <v>1</v>
      </c>
      <c r="G12" t="s">
        <v>27</v>
      </c>
      <c r="I12" s="23">
        <f>SUM(B17:B19)</f>
        <v>30.59</v>
      </c>
      <c r="J12" s="23">
        <f>SUM(C17:C19)</f>
        <v>32.33</v>
      </c>
      <c r="K12" s="73">
        <f t="shared" si="2"/>
        <v>0.19169484812479057</v>
      </c>
      <c r="L12" s="24">
        <f t="shared" si="3"/>
        <v>62.92</v>
      </c>
      <c r="M12" s="25">
        <v>4</v>
      </c>
      <c r="N12" s="24">
        <f t="shared" si="8"/>
        <v>1</v>
      </c>
      <c r="O12" s="24">
        <v>7.9</v>
      </c>
      <c r="P12" s="27">
        <f t="shared" si="4"/>
        <v>1.9750000000000001</v>
      </c>
      <c r="Q12" s="24"/>
      <c r="R12" s="24"/>
      <c r="S12" s="24"/>
      <c r="T12" s="51">
        <f t="shared" si="0"/>
        <v>0.19169484812479057</v>
      </c>
      <c r="V12" s="5" t="str">
        <f t="shared" si="5"/>
        <v>50-64</v>
      </c>
      <c r="W12" s="43">
        <v>830.9</v>
      </c>
      <c r="X12" s="53">
        <f t="shared" si="6"/>
        <v>522802.28</v>
      </c>
      <c r="Y12" s="51">
        <f t="shared" si="7"/>
        <v>0.2681814481911507</v>
      </c>
    </row>
    <row r="13" spans="1:25" x14ac:dyDescent="0.25">
      <c r="A13" s="10" t="s">
        <v>13</v>
      </c>
      <c r="B13" s="21">
        <v>11.35</v>
      </c>
      <c r="C13" s="21">
        <v>11.08</v>
      </c>
      <c r="D13" s="21">
        <f t="shared" si="1"/>
        <v>22.43</v>
      </c>
      <c r="E13" s="19">
        <v>2</v>
      </c>
      <c r="G13" t="s">
        <v>29</v>
      </c>
      <c r="I13" s="23">
        <f>SUM(B20:B21)</f>
        <v>14.7</v>
      </c>
      <c r="J13" s="23">
        <f>SUM(C20:C21)</f>
        <v>16.79</v>
      </c>
      <c r="K13" s="73">
        <f t="shared" si="2"/>
        <v>9.5938823386040289E-2</v>
      </c>
      <c r="L13" s="24">
        <f t="shared" si="3"/>
        <v>31.49</v>
      </c>
      <c r="M13" s="25">
        <v>6</v>
      </c>
      <c r="N13" s="24">
        <f t="shared" si="8"/>
        <v>1.5</v>
      </c>
      <c r="O13" s="24">
        <v>14.1</v>
      </c>
      <c r="P13" s="27">
        <f t="shared" ref="P13:P14" si="9">0.25*O13</f>
        <v>3.5249999999999999</v>
      </c>
      <c r="Q13" s="24"/>
      <c r="R13" s="24"/>
      <c r="S13" s="24"/>
      <c r="T13" s="51">
        <f t="shared" si="0"/>
        <v>9.5938823386040289E-2</v>
      </c>
      <c r="V13" s="5" t="str">
        <f t="shared" si="5"/>
        <v>65-74</v>
      </c>
      <c r="W13" s="43">
        <v>1253.5999999999999</v>
      </c>
      <c r="X13" s="53">
        <f t="shared" si="6"/>
        <v>394758.63999999996</v>
      </c>
      <c r="Y13" s="51">
        <f t="shared" si="7"/>
        <v>0.20249900930265471</v>
      </c>
    </row>
    <row r="14" spans="1:25" x14ac:dyDescent="0.25">
      <c r="A14" s="10" t="s">
        <v>14</v>
      </c>
      <c r="B14" s="21">
        <v>10.88</v>
      </c>
      <c r="C14" s="21">
        <v>10.85</v>
      </c>
      <c r="D14" s="21">
        <f t="shared" si="1"/>
        <v>21.73</v>
      </c>
      <c r="E14" s="19">
        <v>2</v>
      </c>
      <c r="G14" t="s">
        <v>30</v>
      </c>
      <c r="I14" s="23">
        <f>SUM(B22:B24)</f>
        <v>9.379999999999999</v>
      </c>
      <c r="J14" s="23">
        <f>SUM(C22:C24)</f>
        <v>13.200000000000001</v>
      </c>
      <c r="K14" s="73">
        <f t="shared" si="2"/>
        <v>6.8793224263473784E-2</v>
      </c>
      <c r="L14" s="24">
        <f t="shared" si="3"/>
        <v>22.58</v>
      </c>
      <c r="M14" s="25">
        <f>SUMPRODUCT(D22:D24,E22:E24)/L14</f>
        <v>10.75642161204606</v>
      </c>
      <c r="N14" s="24">
        <f t="shared" si="8"/>
        <v>2.6891054030115149</v>
      </c>
      <c r="O14" s="24">
        <v>20.9</v>
      </c>
      <c r="P14" s="27">
        <f t="shared" si="9"/>
        <v>5.2249999999999996</v>
      </c>
      <c r="Q14" s="24"/>
      <c r="R14" s="24"/>
      <c r="S14" s="24"/>
      <c r="T14" s="51">
        <f t="shared" si="0"/>
        <v>6.8793224263473784E-2</v>
      </c>
      <c r="V14" s="3" t="str">
        <f t="shared" si="5"/>
        <v>75+</v>
      </c>
      <c r="W14" s="33">
        <v>2374.9</v>
      </c>
      <c r="X14" s="54">
        <f t="shared" si="6"/>
        <v>536252.41999999993</v>
      </c>
      <c r="Y14" s="56">
        <f t="shared" si="7"/>
        <v>0.27508095525445903</v>
      </c>
    </row>
    <row r="15" spans="1:25" x14ac:dyDescent="0.25">
      <c r="A15" s="10" t="s">
        <v>15</v>
      </c>
      <c r="B15" s="21">
        <v>9.91</v>
      </c>
      <c r="C15" s="21">
        <v>10.01</v>
      </c>
      <c r="D15" s="21">
        <f t="shared" si="1"/>
        <v>19.920000000000002</v>
      </c>
      <c r="E15" s="19">
        <v>2</v>
      </c>
      <c r="G15" s="3"/>
      <c r="H15" s="3"/>
      <c r="I15" s="14"/>
      <c r="J15" s="14"/>
      <c r="K15" s="16"/>
      <c r="L15" s="15"/>
      <c r="M15" s="15"/>
      <c r="N15" s="15"/>
      <c r="O15" s="15"/>
      <c r="P15" s="15"/>
      <c r="Q15" s="15"/>
      <c r="R15" s="15"/>
      <c r="S15" s="15"/>
      <c r="T15" s="17"/>
      <c r="X15" s="53">
        <f>SUM(X7:X14)</f>
        <v>1949434.92</v>
      </c>
      <c r="Y15" s="51">
        <f>SUM(Y7:Y14)</f>
        <v>1</v>
      </c>
    </row>
    <row r="16" spans="1:25" x14ac:dyDescent="0.25">
      <c r="A16" s="10" t="s">
        <v>16</v>
      </c>
      <c r="B16" s="21">
        <v>10.09</v>
      </c>
      <c r="C16" s="21">
        <v>10.31</v>
      </c>
      <c r="D16" s="21">
        <f t="shared" si="1"/>
        <v>20.399999999999999</v>
      </c>
      <c r="E16" s="19">
        <v>2</v>
      </c>
      <c r="I16" s="11">
        <f>SUM(I7:I15)</f>
        <v>161.66</v>
      </c>
      <c r="J16" s="11">
        <f>SUM(J7:J15)</f>
        <v>166.56999999999996</v>
      </c>
      <c r="K16" s="26">
        <f>SUM(K7:K15)</f>
        <v>1.0000000000000002</v>
      </c>
      <c r="L16" s="11"/>
      <c r="M16" s="11"/>
      <c r="N16" s="11"/>
      <c r="O16" s="11"/>
      <c r="P16" s="11"/>
      <c r="Q16" s="11"/>
      <c r="R16" s="11"/>
      <c r="S16" s="11"/>
      <c r="W16" t="s">
        <v>56</v>
      </c>
      <c r="X16" s="55">
        <f>X15/(I17*10)</f>
        <v>593.92344392651501</v>
      </c>
    </row>
    <row r="17" spans="1:9" x14ac:dyDescent="0.25">
      <c r="A17" s="10" t="s">
        <v>17</v>
      </c>
      <c r="B17" s="21">
        <v>10.09</v>
      </c>
      <c r="C17" s="21">
        <v>10.39</v>
      </c>
      <c r="D17" s="21">
        <f t="shared" si="1"/>
        <v>20.48</v>
      </c>
      <c r="E17" s="19">
        <v>4</v>
      </c>
      <c r="I17" s="11">
        <f>SUM(I16:J16)</f>
        <v>328.22999999999996</v>
      </c>
    </row>
    <row r="18" spans="1:9" x14ac:dyDescent="0.25">
      <c r="A18" s="10" t="s">
        <v>18</v>
      </c>
      <c r="B18" s="21">
        <v>10.64</v>
      </c>
      <c r="C18" s="21">
        <v>11.23</v>
      </c>
      <c r="D18" s="21">
        <f t="shared" si="1"/>
        <v>21.87</v>
      </c>
      <c r="E18" s="19">
        <v>4</v>
      </c>
    </row>
    <row r="19" spans="1:9" x14ac:dyDescent="0.25">
      <c r="A19" s="10" t="s">
        <v>19</v>
      </c>
      <c r="B19" s="21">
        <v>9.86</v>
      </c>
      <c r="C19" s="21">
        <v>10.71</v>
      </c>
      <c r="D19" s="21">
        <f t="shared" si="1"/>
        <v>20.57</v>
      </c>
      <c r="E19" s="19">
        <v>4</v>
      </c>
    </row>
    <row r="20" spans="1:9" x14ac:dyDescent="0.25">
      <c r="A20" s="10" t="s">
        <v>20</v>
      </c>
      <c r="B20" s="21">
        <v>8.1999999999999993</v>
      </c>
      <c r="C20" s="21">
        <v>9.26</v>
      </c>
      <c r="D20" s="21">
        <f t="shared" si="1"/>
        <v>17.46</v>
      </c>
      <c r="E20" s="19">
        <v>6</v>
      </c>
    </row>
    <row r="21" spans="1:9" x14ac:dyDescent="0.25">
      <c r="A21" s="10" t="s">
        <v>21</v>
      </c>
      <c r="B21" s="21">
        <v>6.5</v>
      </c>
      <c r="C21" s="21">
        <v>7.53</v>
      </c>
      <c r="D21" s="21">
        <f t="shared" si="1"/>
        <v>14.030000000000001</v>
      </c>
      <c r="E21" s="19">
        <v>6</v>
      </c>
    </row>
    <row r="22" spans="1:9" x14ac:dyDescent="0.25">
      <c r="A22" s="10" t="s">
        <v>22</v>
      </c>
      <c r="B22" s="21">
        <v>4.32</v>
      </c>
      <c r="C22" s="21">
        <v>5.33</v>
      </c>
      <c r="D22" s="21">
        <f t="shared" si="1"/>
        <v>9.65</v>
      </c>
      <c r="E22" s="19">
        <v>9</v>
      </c>
    </row>
    <row r="23" spans="1:9" x14ac:dyDescent="0.25">
      <c r="A23" s="10" t="s">
        <v>23</v>
      </c>
      <c r="B23" s="21">
        <v>2.68</v>
      </c>
      <c r="C23" s="21">
        <v>3.64</v>
      </c>
      <c r="D23" s="21">
        <f t="shared" si="1"/>
        <v>6.32</v>
      </c>
      <c r="E23" s="19">
        <v>9</v>
      </c>
    </row>
    <row r="24" spans="1:9" x14ac:dyDescent="0.25">
      <c r="A24" s="12" t="s">
        <v>24</v>
      </c>
      <c r="B24" s="22">
        <v>2.38</v>
      </c>
      <c r="C24" s="22">
        <v>4.2300000000000004</v>
      </c>
      <c r="D24" s="22">
        <f t="shared" si="1"/>
        <v>6.61</v>
      </c>
      <c r="E24" s="20">
        <v>15</v>
      </c>
    </row>
    <row r="25" spans="1:9" x14ac:dyDescent="0.25">
      <c r="A25" s="10" t="s">
        <v>25</v>
      </c>
      <c r="B25" s="23">
        <f>SUM(B7:B24)</f>
        <v>161.65999999999997</v>
      </c>
      <c r="C25" s="23">
        <f>SUM(C7:C24)</f>
        <v>166.57</v>
      </c>
      <c r="D25" s="23">
        <f>SUM(D7:D24)</f>
        <v>328.22999999999996</v>
      </c>
      <c r="E25" s="11"/>
    </row>
    <row r="26" spans="1:9" x14ac:dyDescent="0.25">
      <c r="B26" s="11"/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5E6D-CEE5-4AB0-934D-43024B16BD14}">
  <dimension ref="A1:AF22"/>
  <sheetViews>
    <sheetView workbookViewId="0">
      <selection activeCell="S3" sqref="S3:S19"/>
    </sheetView>
  </sheetViews>
  <sheetFormatPr defaultRowHeight="15" x14ac:dyDescent="0.25"/>
  <sheetData>
    <row r="1" spans="1:32" x14ac:dyDescent="0.25">
      <c r="W1" t="s">
        <v>101</v>
      </c>
    </row>
    <row r="2" spans="1:32" x14ac:dyDescent="0.25">
      <c r="A2" t="s">
        <v>37</v>
      </c>
      <c r="B2" t="s">
        <v>65</v>
      </c>
      <c r="C2" t="s">
        <v>66</v>
      </c>
      <c r="D2" t="s">
        <v>67</v>
      </c>
      <c r="E2" t="s">
        <v>68</v>
      </c>
      <c r="F2" t="s">
        <v>69</v>
      </c>
      <c r="G2" t="s">
        <v>70</v>
      </c>
      <c r="H2" t="s">
        <v>71</v>
      </c>
      <c r="I2" t="s">
        <v>72</v>
      </c>
      <c r="J2" t="s">
        <v>73</v>
      </c>
      <c r="K2" t="s">
        <v>74</v>
      </c>
      <c r="L2" t="s">
        <v>75</v>
      </c>
      <c r="M2" t="s">
        <v>76</v>
      </c>
      <c r="O2" t="s">
        <v>37</v>
      </c>
      <c r="P2" t="s">
        <v>34</v>
      </c>
      <c r="Q2" t="s">
        <v>41</v>
      </c>
      <c r="R2" t="s">
        <v>42</v>
      </c>
      <c r="S2" t="s">
        <v>77</v>
      </c>
      <c r="W2" t="str">
        <f t="shared" ref="W2:AF2" si="0">D2</f>
        <v>Region 1</v>
      </c>
      <c r="X2" t="str">
        <f t="shared" si="0"/>
        <v>Region 2</v>
      </c>
      <c r="Y2" t="str">
        <f t="shared" si="0"/>
        <v>Region 3</v>
      </c>
      <c r="Z2" t="str">
        <f t="shared" si="0"/>
        <v>Region 4</v>
      </c>
      <c r="AA2" t="str">
        <f t="shared" si="0"/>
        <v>Region 5</v>
      </c>
      <c r="AB2" t="str">
        <f t="shared" si="0"/>
        <v>Region 6</v>
      </c>
      <c r="AC2" t="str">
        <f t="shared" si="0"/>
        <v>Region 7</v>
      </c>
      <c r="AD2" t="str">
        <f t="shared" si="0"/>
        <v>Region 8</v>
      </c>
      <c r="AE2" t="str">
        <f t="shared" si="0"/>
        <v>Region 9</v>
      </c>
      <c r="AF2" t="str">
        <f t="shared" si="0"/>
        <v>Region 10</v>
      </c>
    </row>
    <row r="3" spans="1:32" x14ac:dyDescent="0.25">
      <c r="A3" s="43">
        <v>2</v>
      </c>
      <c r="B3" t="s">
        <v>78</v>
      </c>
      <c r="C3" s="51">
        <v>1E-3</v>
      </c>
      <c r="D3" s="51">
        <v>1E-3</v>
      </c>
      <c r="E3" s="51">
        <v>0</v>
      </c>
      <c r="F3" s="51">
        <v>1E-3</v>
      </c>
      <c r="G3" s="51">
        <v>1E-3</v>
      </c>
      <c r="H3" s="51">
        <v>1E-3</v>
      </c>
      <c r="I3" s="51">
        <v>3.0000000000000001E-3</v>
      </c>
      <c r="J3" s="51">
        <v>0</v>
      </c>
      <c r="K3" s="51">
        <v>1E-3</v>
      </c>
      <c r="L3" s="51">
        <v>2E-3</v>
      </c>
      <c r="M3" s="51">
        <v>0</v>
      </c>
      <c r="O3">
        <f>A3+59-2</f>
        <v>59</v>
      </c>
      <c r="P3" s="15">
        <f>C3</f>
        <v>1E-3</v>
      </c>
      <c r="Q3" s="17">
        <f>MIN(C3:M3)</f>
        <v>0</v>
      </c>
      <c r="R3" s="17">
        <f>MAX(C3:M3)</f>
        <v>3.0000000000000001E-3</v>
      </c>
      <c r="S3" t="str">
        <f>"["&amp;O3&amp;", "&amp;P3*100&amp;", "&amp;Q3*100&amp;", "&amp;R3*100&amp;"],"</f>
        <v>[59, 0.1, 0, 0.3],</v>
      </c>
      <c r="V3" s="17"/>
      <c r="W3" s="17">
        <f>(D3-$C3)</f>
        <v>0</v>
      </c>
      <c r="X3" s="17">
        <f t="shared" ref="X3:AF3" si="1">(E3-$C3)</f>
        <v>-1E-3</v>
      </c>
      <c r="Y3" s="17">
        <f t="shared" si="1"/>
        <v>0</v>
      </c>
      <c r="Z3" s="17">
        <f t="shared" si="1"/>
        <v>0</v>
      </c>
      <c r="AA3" s="17">
        <f t="shared" si="1"/>
        <v>0</v>
      </c>
      <c r="AB3" s="17">
        <f t="shared" si="1"/>
        <v>2E-3</v>
      </c>
      <c r="AC3" s="17">
        <f t="shared" si="1"/>
        <v>-1E-3</v>
      </c>
      <c r="AD3" s="17">
        <f t="shared" si="1"/>
        <v>0</v>
      </c>
      <c r="AE3" s="17">
        <f t="shared" si="1"/>
        <v>1E-3</v>
      </c>
      <c r="AF3" s="17">
        <f t="shared" si="1"/>
        <v>-1E-3</v>
      </c>
    </row>
    <row r="4" spans="1:32" x14ac:dyDescent="0.25">
      <c r="A4" s="43">
        <f>A3+2</f>
        <v>4</v>
      </c>
      <c r="B4" t="s">
        <v>79</v>
      </c>
      <c r="C4" s="51">
        <v>6.0000000000000001E-3</v>
      </c>
      <c r="D4" s="51">
        <v>3.0000000000000001E-3</v>
      </c>
      <c r="E4" s="51">
        <v>5.0000000000000001E-3</v>
      </c>
      <c r="F4" s="51">
        <v>7.0000000000000001E-3</v>
      </c>
      <c r="G4" s="51">
        <v>5.0000000000000001E-3</v>
      </c>
      <c r="H4" s="51">
        <v>4.0000000000000001E-3</v>
      </c>
      <c r="I4" s="51">
        <v>8.0000000000000002E-3</v>
      </c>
      <c r="J4" s="51">
        <v>3.0000000000000001E-3</v>
      </c>
      <c r="K4" s="51">
        <v>0.01</v>
      </c>
      <c r="L4" s="51">
        <v>1.2E-2</v>
      </c>
      <c r="M4" s="51">
        <v>5.0000000000000001E-3</v>
      </c>
      <c r="O4">
        <f t="shared" ref="O4:O19" si="2">A4+59-2</f>
        <v>61</v>
      </c>
      <c r="P4" s="15">
        <f t="shared" ref="P4:P19" si="3">C4</f>
        <v>6.0000000000000001E-3</v>
      </c>
      <c r="Q4" s="17">
        <f t="shared" ref="Q4:Q19" si="4">MIN(C4:M4)</f>
        <v>3.0000000000000001E-3</v>
      </c>
      <c r="R4" s="17">
        <f t="shared" ref="R4:R19" si="5">MAX(C4:M4)</f>
        <v>1.2E-2</v>
      </c>
      <c r="S4" t="str">
        <f t="shared" ref="S4:S19" si="6">"["&amp;O4&amp;", "&amp;P4*100&amp;", "&amp;Q4*100&amp;", "&amp;R4*100&amp;"],"</f>
        <v>[61, 0.6, 0.3, 1.2],</v>
      </c>
      <c r="W4" s="17">
        <f t="shared" ref="W4:W19" si="7">(D4-$C4)</f>
        <v>-3.0000000000000001E-3</v>
      </c>
      <c r="X4" s="17">
        <f t="shared" ref="X4:X19" si="8">(E4-$C4)</f>
        <v>-1E-3</v>
      </c>
      <c r="Y4" s="17">
        <f t="shared" ref="Y4:Y19" si="9">(F4-$C4)</f>
        <v>1E-3</v>
      </c>
      <c r="Z4" s="17">
        <f t="shared" ref="Z4:Z19" si="10">(G4-$C4)</f>
        <v>-1E-3</v>
      </c>
      <c r="AA4" s="17">
        <f t="shared" ref="AA4:AA19" si="11">(H4-$C4)</f>
        <v>-2E-3</v>
      </c>
      <c r="AB4" s="17">
        <f t="shared" ref="AB4:AB19" si="12">(I4-$C4)</f>
        <v>2E-3</v>
      </c>
      <c r="AC4" s="17">
        <f t="shared" ref="AC4:AC19" si="13">(J4-$C4)</f>
        <v>-3.0000000000000001E-3</v>
      </c>
      <c r="AD4" s="17">
        <f t="shared" ref="AD4:AD19" si="14">(K4-$C4)</f>
        <v>4.0000000000000001E-3</v>
      </c>
      <c r="AE4" s="17">
        <f t="shared" ref="AE4:AE19" si="15">(L4-$C4)</f>
        <v>6.0000000000000001E-3</v>
      </c>
      <c r="AF4" s="17">
        <f t="shared" ref="AF4:AF19" si="16">(M4-$C4)</f>
        <v>-1E-3</v>
      </c>
    </row>
    <row r="5" spans="1:32" x14ac:dyDescent="0.25">
      <c r="A5" s="43">
        <f t="shared" ref="A5:A19" si="17">A4+2</f>
        <v>6</v>
      </c>
      <c r="B5" t="s">
        <v>80</v>
      </c>
      <c r="C5" s="51">
        <v>1.4E-2</v>
      </c>
      <c r="D5" s="51">
        <v>1.2999999999999999E-2</v>
      </c>
      <c r="E5" s="51">
        <v>1.6E-2</v>
      </c>
      <c r="F5" s="51">
        <v>8.0000000000000002E-3</v>
      </c>
      <c r="G5" s="51">
        <v>1.0999999999999999E-2</v>
      </c>
      <c r="H5" s="51">
        <v>1.0999999999999999E-2</v>
      </c>
      <c r="I5" s="51">
        <v>0.02</v>
      </c>
      <c r="J5" s="51">
        <v>1.4999999999999999E-2</v>
      </c>
      <c r="K5" s="51">
        <v>2.1000000000000001E-2</v>
      </c>
      <c r="L5" s="51">
        <v>2.4E-2</v>
      </c>
      <c r="M5" s="51">
        <v>1.0999999999999999E-2</v>
      </c>
      <c r="O5">
        <f t="shared" si="2"/>
        <v>63</v>
      </c>
      <c r="P5" s="15">
        <f t="shared" si="3"/>
        <v>1.4E-2</v>
      </c>
      <c r="Q5" s="17">
        <f t="shared" si="4"/>
        <v>8.0000000000000002E-3</v>
      </c>
      <c r="R5" s="17">
        <f t="shared" si="5"/>
        <v>2.4E-2</v>
      </c>
      <c r="S5" t="str">
        <f t="shared" si="6"/>
        <v>[63, 1.4, 0.8, 2.4],</v>
      </c>
      <c r="W5" s="17">
        <f t="shared" si="7"/>
        <v>-1.0000000000000009E-3</v>
      </c>
      <c r="X5" s="17">
        <f t="shared" si="8"/>
        <v>2E-3</v>
      </c>
      <c r="Y5" s="17">
        <f t="shared" si="9"/>
        <v>-6.0000000000000001E-3</v>
      </c>
      <c r="Z5" s="17">
        <f t="shared" si="10"/>
        <v>-3.0000000000000009E-3</v>
      </c>
      <c r="AA5" s="17">
        <f t="shared" si="11"/>
        <v>-3.0000000000000009E-3</v>
      </c>
      <c r="AB5" s="17">
        <f t="shared" si="12"/>
        <v>6.0000000000000001E-3</v>
      </c>
      <c r="AC5" s="17">
        <f t="shared" si="13"/>
        <v>9.9999999999999915E-4</v>
      </c>
      <c r="AD5" s="17">
        <f t="shared" si="14"/>
        <v>7.000000000000001E-3</v>
      </c>
      <c r="AE5" s="17">
        <f t="shared" si="15"/>
        <v>0.01</v>
      </c>
      <c r="AF5" s="17">
        <f t="shared" si="16"/>
        <v>-3.0000000000000009E-3</v>
      </c>
    </row>
    <row r="6" spans="1:32" x14ac:dyDescent="0.25">
      <c r="A6" s="43">
        <f t="shared" si="17"/>
        <v>8</v>
      </c>
      <c r="B6" t="s">
        <v>81</v>
      </c>
      <c r="C6" s="51">
        <v>2.4E-2</v>
      </c>
      <c r="D6" s="51">
        <v>2.5999999999999999E-2</v>
      </c>
      <c r="E6" s="51">
        <v>0.03</v>
      </c>
      <c r="F6" s="51">
        <v>1.2E-2</v>
      </c>
      <c r="G6" s="51">
        <v>1.6E-2</v>
      </c>
      <c r="H6" s="51">
        <v>1.6E-2</v>
      </c>
      <c r="I6" s="51">
        <v>2.9000000000000001E-2</v>
      </c>
      <c r="J6" s="51">
        <v>2.7E-2</v>
      </c>
      <c r="K6" s="51">
        <v>7.4999999999999997E-2</v>
      </c>
      <c r="L6" s="51">
        <v>3.9E-2</v>
      </c>
      <c r="M6" s="51">
        <v>1.9E-2</v>
      </c>
      <c r="O6">
        <f t="shared" si="2"/>
        <v>65</v>
      </c>
      <c r="P6" s="15">
        <f t="shared" si="3"/>
        <v>2.4E-2</v>
      </c>
      <c r="Q6" s="17">
        <f t="shared" si="4"/>
        <v>1.2E-2</v>
      </c>
      <c r="R6" s="17">
        <f t="shared" si="5"/>
        <v>7.4999999999999997E-2</v>
      </c>
      <c r="S6" t="str">
        <f t="shared" si="6"/>
        <v>[65, 2.4, 1.2, 7.5],</v>
      </c>
      <c r="W6" s="17">
        <f t="shared" si="7"/>
        <v>1.9999999999999983E-3</v>
      </c>
      <c r="X6" s="17">
        <f t="shared" si="8"/>
        <v>5.9999999999999984E-3</v>
      </c>
      <c r="Y6" s="17">
        <f t="shared" si="9"/>
        <v>-1.2E-2</v>
      </c>
      <c r="Z6" s="17">
        <f t="shared" si="10"/>
        <v>-8.0000000000000002E-3</v>
      </c>
      <c r="AA6" s="17">
        <f t="shared" si="11"/>
        <v>-8.0000000000000002E-3</v>
      </c>
      <c r="AB6" s="17">
        <f t="shared" si="12"/>
        <v>5.000000000000001E-3</v>
      </c>
      <c r="AC6" s="17">
        <f t="shared" si="13"/>
        <v>2.9999999999999992E-3</v>
      </c>
      <c r="AD6" s="17">
        <f t="shared" si="14"/>
        <v>5.0999999999999997E-2</v>
      </c>
      <c r="AE6" s="17">
        <f t="shared" si="15"/>
        <v>1.4999999999999999E-2</v>
      </c>
      <c r="AF6" s="17">
        <f t="shared" si="16"/>
        <v>-5.000000000000001E-3</v>
      </c>
    </row>
    <row r="7" spans="1:32" x14ac:dyDescent="0.25">
      <c r="A7" s="43">
        <f t="shared" si="17"/>
        <v>10</v>
      </c>
      <c r="B7" t="s">
        <v>82</v>
      </c>
      <c r="C7" s="51">
        <v>3.7999999999999999E-2</v>
      </c>
      <c r="D7" s="51">
        <v>4.1000000000000002E-2</v>
      </c>
      <c r="E7" s="51">
        <v>3.4000000000000002E-2</v>
      </c>
      <c r="F7" s="51">
        <v>2.1000000000000001E-2</v>
      </c>
      <c r="G7" s="51">
        <v>2.3E-2</v>
      </c>
      <c r="H7" s="51">
        <v>2.9000000000000001E-2</v>
      </c>
      <c r="I7" s="51">
        <v>5.8999999999999997E-2</v>
      </c>
      <c r="J7" s="51">
        <v>0.13900000000000001</v>
      </c>
      <c r="K7" s="51">
        <v>7.8E-2</v>
      </c>
      <c r="L7" s="51">
        <v>0.04</v>
      </c>
      <c r="M7" s="51">
        <v>2.5999999999999999E-2</v>
      </c>
      <c r="O7">
        <f t="shared" si="2"/>
        <v>67</v>
      </c>
      <c r="P7" s="15">
        <f t="shared" si="3"/>
        <v>3.7999999999999999E-2</v>
      </c>
      <c r="Q7" s="17">
        <f t="shared" si="4"/>
        <v>2.1000000000000001E-2</v>
      </c>
      <c r="R7" s="17">
        <f t="shared" si="5"/>
        <v>0.13900000000000001</v>
      </c>
      <c r="S7" t="str">
        <f t="shared" si="6"/>
        <v>[67, 3.8, 2.1, 13.9],</v>
      </c>
      <c r="W7" s="17">
        <f t="shared" si="7"/>
        <v>3.0000000000000027E-3</v>
      </c>
      <c r="X7" s="17">
        <f t="shared" si="8"/>
        <v>-3.9999999999999966E-3</v>
      </c>
      <c r="Y7" s="17">
        <f t="shared" si="9"/>
        <v>-1.6999999999999998E-2</v>
      </c>
      <c r="Z7" s="17">
        <f t="shared" si="10"/>
        <v>-1.4999999999999999E-2</v>
      </c>
      <c r="AA7" s="17">
        <f t="shared" si="11"/>
        <v>-8.9999999999999976E-3</v>
      </c>
      <c r="AB7" s="17">
        <f t="shared" si="12"/>
        <v>2.0999999999999998E-2</v>
      </c>
      <c r="AC7" s="17">
        <f t="shared" si="13"/>
        <v>0.10100000000000001</v>
      </c>
      <c r="AD7" s="17">
        <f t="shared" si="14"/>
        <v>0.04</v>
      </c>
      <c r="AE7" s="17">
        <f t="shared" si="15"/>
        <v>2.0000000000000018E-3</v>
      </c>
      <c r="AF7" s="17">
        <f t="shared" si="16"/>
        <v>-1.2E-2</v>
      </c>
    </row>
    <row r="8" spans="1:32" x14ac:dyDescent="0.25">
      <c r="A8" s="43">
        <f t="shared" si="17"/>
        <v>12</v>
      </c>
      <c r="B8" t="s">
        <v>83</v>
      </c>
      <c r="C8" s="51">
        <v>7.0000000000000007E-2</v>
      </c>
      <c r="D8" s="51">
        <v>5.8999999999999997E-2</v>
      </c>
      <c r="E8" s="51">
        <v>6.5000000000000002E-2</v>
      </c>
      <c r="F8" s="51">
        <v>2.3E-2</v>
      </c>
      <c r="G8" s="51">
        <v>3.7999999999999999E-2</v>
      </c>
      <c r="H8" s="51">
        <v>4.8000000000000001E-2</v>
      </c>
      <c r="I8" s="51">
        <v>7.8E-2</v>
      </c>
      <c r="J8" s="51">
        <v>0.23599999999999999</v>
      </c>
      <c r="K8" s="51">
        <v>0.221</v>
      </c>
      <c r="L8" s="51">
        <v>0.111</v>
      </c>
      <c r="M8" s="51">
        <v>4.2000000000000003E-2</v>
      </c>
      <c r="O8">
        <f t="shared" si="2"/>
        <v>69</v>
      </c>
      <c r="P8" s="15">
        <f t="shared" si="3"/>
        <v>7.0000000000000007E-2</v>
      </c>
      <c r="Q8" s="17">
        <f t="shared" si="4"/>
        <v>2.3E-2</v>
      </c>
      <c r="R8" s="17">
        <f t="shared" si="5"/>
        <v>0.23599999999999999</v>
      </c>
      <c r="S8" t="str">
        <f t="shared" si="6"/>
        <v>[69, 7, 2.3, 23.6],</v>
      </c>
      <c r="W8" s="17">
        <f t="shared" si="7"/>
        <v>-1.100000000000001E-2</v>
      </c>
      <c r="X8" s="17">
        <f t="shared" si="8"/>
        <v>-5.0000000000000044E-3</v>
      </c>
      <c r="Y8" s="17">
        <f t="shared" si="9"/>
        <v>-4.7000000000000007E-2</v>
      </c>
      <c r="Z8" s="17">
        <f t="shared" si="10"/>
        <v>-3.2000000000000008E-2</v>
      </c>
      <c r="AA8" s="17">
        <f t="shared" si="11"/>
        <v>-2.2000000000000006E-2</v>
      </c>
      <c r="AB8" s="17">
        <f t="shared" si="12"/>
        <v>7.9999999999999932E-3</v>
      </c>
      <c r="AC8" s="17">
        <f t="shared" si="13"/>
        <v>0.16599999999999998</v>
      </c>
      <c r="AD8" s="17">
        <f t="shared" si="14"/>
        <v>0.151</v>
      </c>
      <c r="AE8" s="17">
        <f t="shared" si="15"/>
        <v>4.0999999999999995E-2</v>
      </c>
      <c r="AF8" s="17">
        <f t="shared" si="16"/>
        <v>-2.8000000000000004E-2</v>
      </c>
    </row>
    <row r="9" spans="1:32" x14ac:dyDescent="0.25">
      <c r="A9" s="43">
        <f t="shared" si="17"/>
        <v>14</v>
      </c>
      <c r="B9" t="s">
        <v>84</v>
      </c>
      <c r="C9" s="51">
        <v>0.14099999999999999</v>
      </c>
      <c r="D9" s="51">
        <v>7.3999999999999996E-2</v>
      </c>
      <c r="E9" s="51">
        <v>0.126</v>
      </c>
      <c r="F9" s="51">
        <v>5.0999999999999997E-2</v>
      </c>
      <c r="G9" s="51">
        <v>0.06</v>
      </c>
      <c r="H9" s="51">
        <v>9.2999999999999999E-2</v>
      </c>
      <c r="I9" s="51">
        <v>0.192</v>
      </c>
      <c r="J9" s="51">
        <v>0.44700000000000001</v>
      </c>
      <c r="K9" s="51">
        <v>0.31900000000000001</v>
      </c>
      <c r="L9" s="51">
        <v>0.20799999999999999</v>
      </c>
      <c r="M9" s="51">
        <v>0.09</v>
      </c>
      <c r="O9">
        <f t="shared" si="2"/>
        <v>71</v>
      </c>
      <c r="P9" s="15">
        <f t="shared" si="3"/>
        <v>0.14099999999999999</v>
      </c>
      <c r="Q9" s="17">
        <f t="shared" si="4"/>
        <v>5.0999999999999997E-2</v>
      </c>
      <c r="R9" s="17">
        <f t="shared" si="5"/>
        <v>0.44700000000000001</v>
      </c>
      <c r="S9" t="str">
        <f t="shared" si="6"/>
        <v>[71, 14.1, 5.1, 44.7],</v>
      </c>
      <c r="W9" s="17">
        <f t="shared" si="7"/>
        <v>-6.699999999999999E-2</v>
      </c>
      <c r="X9" s="17">
        <f t="shared" si="8"/>
        <v>-1.4999999999999986E-2</v>
      </c>
      <c r="Y9" s="17">
        <f t="shared" si="9"/>
        <v>-0.09</v>
      </c>
      <c r="Z9" s="17">
        <f t="shared" si="10"/>
        <v>-8.0999999999999989E-2</v>
      </c>
      <c r="AA9" s="17">
        <f t="shared" si="11"/>
        <v>-4.7999999999999987E-2</v>
      </c>
      <c r="AB9" s="17">
        <f t="shared" si="12"/>
        <v>5.1000000000000018E-2</v>
      </c>
      <c r="AC9" s="17">
        <f t="shared" si="13"/>
        <v>0.30600000000000005</v>
      </c>
      <c r="AD9" s="17">
        <f t="shared" si="14"/>
        <v>0.17800000000000002</v>
      </c>
      <c r="AE9" s="17">
        <f t="shared" si="15"/>
        <v>6.7000000000000004E-2</v>
      </c>
      <c r="AF9" s="17">
        <f t="shared" si="16"/>
        <v>-5.099999999999999E-2</v>
      </c>
    </row>
    <row r="10" spans="1:32" x14ac:dyDescent="0.25">
      <c r="A10" s="43">
        <f t="shared" si="17"/>
        <v>16</v>
      </c>
      <c r="B10" t="s">
        <v>85</v>
      </c>
      <c r="C10" s="51">
        <v>0.26100000000000001</v>
      </c>
      <c r="D10" s="51">
        <v>4.9000000000000002E-2</v>
      </c>
      <c r="E10" s="51">
        <v>0.26900000000000002</v>
      </c>
      <c r="F10" s="51">
        <v>8.5999999999999993E-2</v>
      </c>
      <c r="G10" s="51">
        <v>0.16900000000000001</v>
      </c>
      <c r="H10" s="51">
        <v>0.185</v>
      </c>
      <c r="I10" s="51">
        <v>0.31</v>
      </c>
      <c r="J10" s="51">
        <v>0.70599999999999996</v>
      </c>
      <c r="K10" s="51">
        <v>0.53300000000000003</v>
      </c>
      <c r="L10" s="51">
        <v>0.27200000000000002</v>
      </c>
      <c r="M10" s="51">
        <v>0.11799999999999999</v>
      </c>
      <c r="O10">
        <f t="shared" si="2"/>
        <v>73</v>
      </c>
      <c r="P10" s="15">
        <f t="shared" si="3"/>
        <v>0.26100000000000001</v>
      </c>
      <c r="Q10" s="17">
        <f t="shared" si="4"/>
        <v>4.9000000000000002E-2</v>
      </c>
      <c r="R10" s="17">
        <f t="shared" si="5"/>
        <v>0.70599999999999996</v>
      </c>
      <c r="S10" t="str">
        <f t="shared" si="6"/>
        <v>[73, 26.1, 4.9, 70.6],</v>
      </c>
      <c r="W10" s="17">
        <f t="shared" si="7"/>
        <v>-0.21200000000000002</v>
      </c>
      <c r="X10" s="17">
        <f t="shared" si="8"/>
        <v>8.0000000000000071E-3</v>
      </c>
      <c r="Y10" s="17">
        <f t="shared" si="9"/>
        <v>-0.17500000000000002</v>
      </c>
      <c r="Z10" s="17">
        <f t="shared" si="10"/>
        <v>-9.1999999999999998E-2</v>
      </c>
      <c r="AA10" s="17">
        <f t="shared" si="11"/>
        <v>-7.6000000000000012E-2</v>
      </c>
      <c r="AB10" s="17">
        <f t="shared" si="12"/>
        <v>4.8999999999999988E-2</v>
      </c>
      <c r="AC10" s="17">
        <f t="shared" si="13"/>
        <v>0.44499999999999995</v>
      </c>
      <c r="AD10" s="17">
        <f t="shared" si="14"/>
        <v>0.27200000000000002</v>
      </c>
      <c r="AE10" s="17">
        <f t="shared" si="15"/>
        <v>1.100000000000001E-2</v>
      </c>
      <c r="AF10" s="17">
        <f t="shared" si="16"/>
        <v>-0.14300000000000002</v>
      </c>
    </row>
    <row r="11" spans="1:32" x14ac:dyDescent="0.25">
      <c r="A11" s="43">
        <f t="shared" si="17"/>
        <v>18</v>
      </c>
      <c r="B11" t="s">
        <v>86</v>
      </c>
      <c r="C11" s="51">
        <v>0.372</v>
      </c>
      <c r="D11" s="51">
        <v>0.25900000000000001</v>
      </c>
      <c r="E11" s="51">
        <v>0.36799999999999999</v>
      </c>
      <c r="F11" s="51">
        <v>0.16300000000000001</v>
      </c>
      <c r="G11" s="51">
        <v>0.252</v>
      </c>
      <c r="H11" s="51">
        <v>0.29799999999999999</v>
      </c>
      <c r="I11" s="51">
        <v>0.39400000000000002</v>
      </c>
      <c r="J11" s="51">
        <v>0.77700000000000002</v>
      </c>
      <c r="K11" s="51">
        <v>0.64800000000000002</v>
      </c>
      <c r="L11" s="51">
        <v>0.42099999999999999</v>
      </c>
      <c r="M11" s="51">
        <v>0.17199999999999999</v>
      </c>
      <c r="O11">
        <f t="shared" si="2"/>
        <v>75</v>
      </c>
      <c r="P11" s="15">
        <f t="shared" si="3"/>
        <v>0.372</v>
      </c>
      <c r="Q11" s="17">
        <f t="shared" si="4"/>
        <v>0.16300000000000001</v>
      </c>
      <c r="R11" s="17">
        <f t="shared" si="5"/>
        <v>0.77700000000000002</v>
      </c>
      <c r="S11" t="str">
        <f t="shared" si="6"/>
        <v>[75, 37.2, 16.3, 77.7],</v>
      </c>
      <c r="W11" s="17">
        <f t="shared" si="7"/>
        <v>-0.11299999999999999</v>
      </c>
      <c r="X11" s="17">
        <f t="shared" si="8"/>
        <v>-4.0000000000000036E-3</v>
      </c>
      <c r="Y11" s="17">
        <f t="shared" si="9"/>
        <v>-0.20899999999999999</v>
      </c>
      <c r="Z11" s="17">
        <f t="shared" si="10"/>
        <v>-0.12</v>
      </c>
      <c r="AA11" s="17">
        <f t="shared" si="11"/>
        <v>-7.400000000000001E-2</v>
      </c>
      <c r="AB11" s="17">
        <f t="shared" si="12"/>
        <v>2.200000000000002E-2</v>
      </c>
      <c r="AC11" s="17">
        <f t="shared" si="13"/>
        <v>0.40500000000000003</v>
      </c>
      <c r="AD11" s="17">
        <f t="shared" si="14"/>
        <v>0.27600000000000002</v>
      </c>
      <c r="AE11" s="17">
        <f t="shared" si="15"/>
        <v>4.8999999999999988E-2</v>
      </c>
      <c r="AF11" s="17">
        <f t="shared" si="16"/>
        <v>-0.2</v>
      </c>
    </row>
    <row r="12" spans="1:32" x14ac:dyDescent="0.25">
      <c r="A12" s="43">
        <f t="shared" si="17"/>
        <v>20</v>
      </c>
      <c r="B12" t="s">
        <v>87</v>
      </c>
      <c r="C12" s="51">
        <v>0.53600000000000003</v>
      </c>
      <c r="D12" s="51">
        <v>0.312</v>
      </c>
      <c r="E12" s="51">
        <v>0.54</v>
      </c>
      <c r="F12" s="51">
        <v>0.28100000000000003</v>
      </c>
      <c r="G12" s="51">
        <v>0.42399999999999999</v>
      </c>
      <c r="H12" s="51">
        <v>0.47899999999999998</v>
      </c>
      <c r="I12" s="51">
        <v>0.55000000000000004</v>
      </c>
      <c r="J12" s="51">
        <v>0.878</v>
      </c>
      <c r="K12" s="51">
        <v>0.78500000000000003</v>
      </c>
      <c r="L12" s="51">
        <v>0.57899999999999996</v>
      </c>
      <c r="M12" s="51">
        <v>0.315</v>
      </c>
      <c r="O12">
        <f t="shared" si="2"/>
        <v>77</v>
      </c>
      <c r="P12" s="15">
        <f t="shared" si="3"/>
        <v>0.53600000000000003</v>
      </c>
      <c r="Q12" s="17">
        <f t="shared" si="4"/>
        <v>0.28100000000000003</v>
      </c>
      <c r="R12" s="17">
        <f t="shared" si="5"/>
        <v>0.878</v>
      </c>
      <c r="S12" t="str">
        <f t="shared" si="6"/>
        <v>[77, 53.6, 28.1, 87.8],</v>
      </c>
      <c r="W12" s="17">
        <f t="shared" si="7"/>
        <v>-0.22400000000000003</v>
      </c>
      <c r="X12" s="17">
        <f t="shared" si="8"/>
        <v>4.0000000000000036E-3</v>
      </c>
      <c r="Y12" s="17">
        <f t="shared" si="9"/>
        <v>-0.255</v>
      </c>
      <c r="Z12" s="17">
        <f t="shared" si="10"/>
        <v>-0.11200000000000004</v>
      </c>
      <c r="AA12" s="17">
        <f t="shared" si="11"/>
        <v>-5.7000000000000051E-2</v>
      </c>
      <c r="AB12" s="17">
        <f t="shared" si="12"/>
        <v>1.4000000000000012E-2</v>
      </c>
      <c r="AC12" s="17">
        <f t="shared" si="13"/>
        <v>0.34199999999999997</v>
      </c>
      <c r="AD12" s="17">
        <f t="shared" si="14"/>
        <v>0.249</v>
      </c>
      <c r="AE12" s="17">
        <f t="shared" si="15"/>
        <v>4.2999999999999927E-2</v>
      </c>
      <c r="AF12" s="17">
        <f t="shared" si="16"/>
        <v>-0.22100000000000003</v>
      </c>
    </row>
    <row r="13" spans="1:32" x14ac:dyDescent="0.25">
      <c r="A13" s="43">
        <f t="shared" si="17"/>
        <v>22</v>
      </c>
      <c r="B13" t="s">
        <v>88</v>
      </c>
      <c r="C13" s="51">
        <v>0.69399999999999995</v>
      </c>
      <c r="D13" s="51">
        <v>0.51900000000000002</v>
      </c>
      <c r="E13" s="51">
        <v>0.69799999999999995</v>
      </c>
      <c r="F13" s="51">
        <v>0.56200000000000006</v>
      </c>
      <c r="G13" s="51">
        <v>0.626</v>
      </c>
      <c r="H13" s="51">
        <v>0.65200000000000002</v>
      </c>
      <c r="I13" s="51">
        <v>0.70399999999999996</v>
      </c>
      <c r="J13" s="51">
        <v>0.93</v>
      </c>
      <c r="K13" s="51">
        <v>0.86299999999999999</v>
      </c>
      <c r="L13" s="51">
        <v>0.70699999999999996</v>
      </c>
      <c r="M13" s="51">
        <v>0.54400000000000004</v>
      </c>
      <c r="O13">
        <f t="shared" si="2"/>
        <v>79</v>
      </c>
      <c r="P13" s="15">
        <f t="shared" si="3"/>
        <v>0.69399999999999995</v>
      </c>
      <c r="Q13" s="17">
        <f t="shared" si="4"/>
        <v>0.51900000000000002</v>
      </c>
      <c r="R13" s="17">
        <f t="shared" si="5"/>
        <v>0.93</v>
      </c>
      <c r="S13" t="str">
        <f t="shared" si="6"/>
        <v>[79, 69.4, 51.9, 93],</v>
      </c>
      <c r="W13" s="17">
        <f t="shared" si="7"/>
        <v>-0.17499999999999993</v>
      </c>
      <c r="X13" s="17">
        <f t="shared" si="8"/>
        <v>4.0000000000000036E-3</v>
      </c>
      <c r="Y13" s="17">
        <f t="shared" si="9"/>
        <v>-0.1319999999999999</v>
      </c>
      <c r="Z13" s="17">
        <f t="shared" si="10"/>
        <v>-6.7999999999999949E-2</v>
      </c>
      <c r="AA13" s="17">
        <f t="shared" si="11"/>
        <v>-4.1999999999999926E-2</v>
      </c>
      <c r="AB13" s="17">
        <f t="shared" si="12"/>
        <v>1.0000000000000009E-2</v>
      </c>
      <c r="AC13" s="17">
        <f t="shared" si="13"/>
        <v>0.2360000000000001</v>
      </c>
      <c r="AD13" s="17">
        <f t="shared" si="14"/>
        <v>0.16900000000000004</v>
      </c>
      <c r="AE13" s="17">
        <f t="shared" si="15"/>
        <v>1.3000000000000012E-2</v>
      </c>
      <c r="AF13" s="17">
        <f t="shared" si="16"/>
        <v>-0.14999999999999991</v>
      </c>
    </row>
    <row r="14" spans="1:32" x14ac:dyDescent="0.25">
      <c r="A14" s="43">
        <f t="shared" si="17"/>
        <v>24</v>
      </c>
      <c r="B14" t="s">
        <v>89</v>
      </c>
      <c r="C14" s="51">
        <v>0.82199999999999995</v>
      </c>
      <c r="D14" s="51">
        <v>0.73499999999999999</v>
      </c>
      <c r="E14" s="51">
        <v>0.81200000000000006</v>
      </c>
      <c r="F14" s="51">
        <v>0.71399999999999997</v>
      </c>
      <c r="G14" s="51">
        <v>0.78400000000000003</v>
      </c>
      <c r="H14" s="51">
        <v>0.84899999999999998</v>
      </c>
      <c r="I14" s="51">
        <v>0.81899999999999995</v>
      </c>
      <c r="J14" s="51">
        <v>0.95899999999999996</v>
      </c>
      <c r="K14" s="51">
        <v>0.87</v>
      </c>
      <c r="L14" s="51">
        <v>0.84399999999999997</v>
      </c>
      <c r="M14" s="51">
        <v>0.70899999999999996</v>
      </c>
      <c r="O14">
        <f t="shared" si="2"/>
        <v>81</v>
      </c>
      <c r="P14" s="15">
        <f t="shared" si="3"/>
        <v>0.82199999999999995</v>
      </c>
      <c r="Q14" s="17">
        <f t="shared" si="4"/>
        <v>0.70899999999999996</v>
      </c>
      <c r="R14" s="17">
        <f t="shared" si="5"/>
        <v>0.95899999999999996</v>
      </c>
      <c r="S14" t="str">
        <f t="shared" si="6"/>
        <v>[81, 82.2, 70.9, 95.9],</v>
      </c>
      <c r="W14" s="17">
        <f t="shared" si="7"/>
        <v>-8.6999999999999966E-2</v>
      </c>
      <c r="X14" s="17">
        <f t="shared" si="8"/>
        <v>-9.9999999999998979E-3</v>
      </c>
      <c r="Y14" s="17">
        <f t="shared" si="9"/>
        <v>-0.10799999999999998</v>
      </c>
      <c r="Z14" s="17">
        <f t="shared" si="10"/>
        <v>-3.7999999999999923E-2</v>
      </c>
      <c r="AA14" s="17">
        <f t="shared" si="11"/>
        <v>2.7000000000000024E-2</v>
      </c>
      <c r="AB14" s="17">
        <f t="shared" si="12"/>
        <v>-3.0000000000000027E-3</v>
      </c>
      <c r="AC14" s="17">
        <f t="shared" si="13"/>
        <v>0.13700000000000001</v>
      </c>
      <c r="AD14" s="17">
        <f t="shared" si="14"/>
        <v>4.8000000000000043E-2</v>
      </c>
      <c r="AE14" s="17">
        <f t="shared" si="15"/>
        <v>2.200000000000002E-2</v>
      </c>
      <c r="AF14" s="17">
        <f t="shared" si="16"/>
        <v>-0.11299999999999999</v>
      </c>
    </row>
    <row r="15" spans="1:32" x14ac:dyDescent="0.25">
      <c r="A15" s="43">
        <f t="shared" si="17"/>
        <v>26</v>
      </c>
      <c r="B15" t="s">
        <v>90</v>
      </c>
      <c r="C15" s="51">
        <v>0.876</v>
      </c>
      <c r="D15" s="51">
        <v>0.91700000000000004</v>
      </c>
      <c r="E15" s="51">
        <v>0.85199999999999998</v>
      </c>
      <c r="F15" s="51">
        <v>0.83799999999999997</v>
      </c>
      <c r="G15" s="51">
        <v>0.86299999999999999</v>
      </c>
      <c r="H15" s="51">
        <v>0.89400000000000002</v>
      </c>
      <c r="I15" s="51">
        <v>0.84899999999999998</v>
      </c>
      <c r="J15" s="51">
        <v>0.95899999999999996</v>
      </c>
      <c r="K15" s="51">
        <v>0.93200000000000005</v>
      </c>
      <c r="L15" s="51">
        <v>0.89500000000000002</v>
      </c>
      <c r="M15" s="51">
        <v>0.82599999999999996</v>
      </c>
      <c r="O15">
        <f t="shared" si="2"/>
        <v>83</v>
      </c>
      <c r="P15" s="15">
        <f t="shared" si="3"/>
        <v>0.876</v>
      </c>
      <c r="Q15" s="17">
        <f t="shared" si="4"/>
        <v>0.82599999999999996</v>
      </c>
      <c r="R15" s="17">
        <f t="shared" si="5"/>
        <v>0.95899999999999996</v>
      </c>
      <c r="S15" t="str">
        <f t="shared" si="6"/>
        <v>[83, 87.6, 82.6, 95.9],</v>
      </c>
      <c r="W15" s="17">
        <f t="shared" si="7"/>
        <v>4.1000000000000036E-2</v>
      </c>
      <c r="X15" s="17">
        <f t="shared" si="8"/>
        <v>-2.4000000000000021E-2</v>
      </c>
      <c r="Y15" s="17">
        <f t="shared" si="9"/>
        <v>-3.8000000000000034E-2</v>
      </c>
      <c r="Z15" s="17">
        <f t="shared" si="10"/>
        <v>-1.3000000000000012E-2</v>
      </c>
      <c r="AA15" s="17">
        <f t="shared" si="11"/>
        <v>1.8000000000000016E-2</v>
      </c>
      <c r="AB15" s="17">
        <f t="shared" si="12"/>
        <v>-2.7000000000000024E-2</v>
      </c>
      <c r="AC15" s="17">
        <f t="shared" si="13"/>
        <v>8.2999999999999963E-2</v>
      </c>
      <c r="AD15" s="17">
        <f t="shared" si="14"/>
        <v>5.600000000000005E-2</v>
      </c>
      <c r="AE15" s="17">
        <f t="shared" si="15"/>
        <v>1.9000000000000017E-2</v>
      </c>
      <c r="AF15" s="17">
        <f t="shared" si="16"/>
        <v>-5.0000000000000044E-2</v>
      </c>
    </row>
    <row r="16" spans="1:32" x14ac:dyDescent="0.25">
      <c r="A16" s="43">
        <f t="shared" si="17"/>
        <v>28</v>
      </c>
      <c r="B16" t="s">
        <v>91</v>
      </c>
      <c r="C16" s="51">
        <v>0.94399999999999995</v>
      </c>
      <c r="D16" s="51">
        <v>0.95499999999999996</v>
      </c>
      <c r="E16" s="51">
        <v>0.95499999999999996</v>
      </c>
      <c r="F16" s="51">
        <v>0.93300000000000005</v>
      </c>
      <c r="G16" s="51">
        <v>0.93799999999999994</v>
      </c>
      <c r="H16" s="51">
        <v>0.94699999999999995</v>
      </c>
      <c r="I16" s="51">
        <v>0.93899999999999995</v>
      </c>
      <c r="J16" s="51">
        <v>0.97</v>
      </c>
      <c r="K16" s="51">
        <v>0.95499999999999996</v>
      </c>
      <c r="L16" s="51">
        <v>0.94699999999999995</v>
      </c>
      <c r="M16" s="51">
        <v>0.93100000000000005</v>
      </c>
      <c r="O16">
        <f t="shared" si="2"/>
        <v>85</v>
      </c>
      <c r="P16" s="15">
        <f t="shared" si="3"/>
        <v>0.94399999999999995</v>
      </c>
      <c r="Q16" s="17">
        <f t="shared" si="4"/>
        <v>0.93100000000000005</v>
      </c>
      <c r="R16" s="17">
        <f t="shared" si="5"/>
        <v>0.97</v>
      </c>
      <c r="S16" t="str">
        <f t="shared" si="6"/>
        <v>[85, 94.4, 93.1, 97],</v>
      </c>
      <c r="W16" s="17">
        <f t="shared" si="7"/>
        <v>1.100000000000001E-2</v>
      </c>
      <c r="X16" s="17">
        <f t="shared" si="8"/>
        <v>1.100000000000001E-2</v>
      </c>
      <c r="Y16" s="17">
        <f t="shared" si="9"/>
        <v>-1.0999999999999899E-2</v>
      </c>
      <c r="Z16" s="17">
        <f t="shared" si="10"/>
        <v>-6.0000000000000053E-3</v>
      </c>
      <c r="AA16" s="17">
        <f t="shared" si="11"/>
        <v>3.0000000000000027E-3</v>
      </c>
      <c r="AB16" s="17">
        <f t="shared" si="12"/>
        <v>-5.0000000000000044E-3</v>
      </c>
      <c r="AC16" s="17">
        <f t="shared" si="13"/>
        <v>2.6000000000000023E-2</v>
      </c>
      <c r="AD16" s="17">
        <f t="shared" si="14"/>
        <v>1.100000000000001E-2</v>
      </c>
      <c r="AE16" s="17">
        <f t="shared" si="15"/>
        <v>3.0000000000000027E-3</v>
      </c>
      <c r="AF16" s="17">
        <f t="shared" si="16"/>
        <v>-1.2999999999999901E-2</v>
      </c>
    </row>
    <row r="17" spans="1:32" x14ac:dyDescent="0.25">
      <c r="A17" s="43">
        <f t="shared" si="17"/>
        <v>30</v>
      </c>
      <c r="B17" t="s">
        <v>92</v>
      </c>
      <c r="C17" s="51">
        <v>0.96799999999999997</v>
      </c>
      <c r="D17" s="51">
        <v>0.93799999999999994</v>
      </c>
      <c r="E17" s="51">
        <v>0.97699999999999998</v>
      </c>
      <c r="F17" s="51">
        <v>0.97799999999999998</v>
      </c>
      <c r="G17" s="51">
        <v>0.96399999999999997</v>
      </c>
      <c r="H17" s="51">
        <v>0.97199999999999998</v>
      </c>
      <c r="I17" s="51">
        <v>0.96599999999999997</v>
      </c>
      <c r="J17" s="51">
        <v>0.99</v>
      </c>
      <c r="K17" s="51">
        <v>0.98299999999999998</v>
      </c>
      <c r="L17" s="51">
        <v>0.96399999999999997</v>
      </c>
      <c r="M17" s="51">
        <v>0.96299999999999997</v>
      </c>
      <c r="O17">
        <f t="shared" si="2"/>
        <v>87</v>
      </c>
      <c r="P17" s="15">
        <f t="shared" si="3"/>
        <v>0.96799999999999997</v>
      </c>
      <c r="Q17" s="17">
        <f t="shared" si="4"/>
        <v>0.93799999999999994</v>
      </c>
      <c r="R17" s="17">
        <f t="shared" si="5"/>
        <v>0.99</v>
      </c>
      <c r="S17" t="str">
        <f t="shared" si="6"/>
        <v>[87, 96.8, 93.8, 99],</v>
      </c>
      <c r="W17" s="17">
        <f t="shared" si="7"/>
        <v>-3.0000000000000027E-2</v>
      </c>
      <c r="X17" s="17">
        <f t="shared" si="8"/>
        <v>9.000000000000008E-3</v>
      </c>
      <c r="Y17" s="17">
        <f t="shared" si="9"/>
        <v>1.0000000000000009E-2</v>
      </c>
      <c r="Z17" s="17">
        <f t="shared" si="10"/>
        <v>-4.0000000000000036E-3</v>
      </c>
      <c r="AA17" s="17">
        <f t="shared" si="11"/>
        <v>4.0000000000000036E-3</v>
      </c>
      <c r="AB17" s="17">
        <f t="shared" si="12"/>
        <v>-2.0000000000000018E-3</v>
      </c>
      <c r="AC17" s="17">
        <f t="shared" si="13"/>
        <v>2.200000000000002E-2</v>
      </c>
      <c r="AD17" s="17">
        <f t="shared" si="14"/>
        <v>1.5000000000000013E-2</v>
      </c>
      <c r="AE17" s="17">
        <f t="shared" si="15"/>
        <v>-4.0000000000000036E-3</v>
      </c>
      <c r="AF17" s="17">
        <f t="shared" si="16"/>
        <v>-5.0000000000000044E-3</v>
      </c>
    </row>
    <row r="18" spans="1:32" x14ac:dyDescent="0.25">
      <c r="A18" s="43">
        <f t="shared" si="17"/>
        <v>32</v>
      </c>
      <c r="B18" t="s">
        <v>93</v>
      </c>
      <c r="C18" s="51">
        <v>0.97899999999999998</v>
      </c>
      <c r="D18" s="51">
        <v>0.96399999999999997</v>
      </c>
      <c r="E18" s="51">
        <v>0.97899999999999998</v>
      </c>
      <c r="F18" s="51">
        <v>0.97199999999999998</v>
      </c>
      <c r="G18" s="51">
        <v>0.97499999999999998</v>
      </c>
      <c r="H18" s="51">
        <v>0.98199999999999998</v>
      </c>
      <c r="I18" s="51">
        <v>0.98099999999999998</v>
      </c>
      <c r="J18" s="51">
        <v>0.996</v>
      </c>
      <c r="K18" s="51">
        <v>0.99299999999999999</v>
      </c>
      <c r="L18" s="51">
        <v>0.98199999999999998</v>
      </c>
      <c r="M18" s="51">
        <v>0.97</v>
      </c>
      <c r="O18">
        <f t="shared" si="2"/>
        <v>89</v>
      </c>
      <c r="P18" s="15">
        <f t="shared" si="3"/>
        <v>0.97899999999999998</v>
      </c>
      <c r="Q18" s="17">
        <f t="shared" si="4"/>
        <v>0.96399999999999997</v>
      </c>
      <c r="R18" s="17">
        <f t="shared" si="5"/>
        <v>0.996</v>
      </c>
      <c r="S18" t="str">
        <f t="shared" si="6"/>
        <v>[89, 97.9, 96.4, 99.6],</v>
      </c>
      <c r="W18" s="17">
        <f t="shared" si="7"/>
        <v>-1.5000000000000013E-2</v>
      </c>
      <c r="X18" s="17">
        <f t="shared" si="8"/>
        <v>0</v>
      </c>
      <c r="Y18" s="17">
        <f t="shared" si="9"/>
        <v>-7.0000000000000062E-3</v>
      </c>
      <c r="Z18" s="17">
        <f t="shared" si="10"/>
        <v>-4.0000000000000036E-3</v>
      </c>
      <c r="AA18" s="17">
        <f t="shared" si="11"/>
        <v>3.0000000000000027E-3</v>
      </c>
      <c r="AB18" s="17">
        <f t="shared" si="12"/>
        <v>2.0000000000000018E-3</v>
      </c>
      <c r="AC18" s="17">
        <f t="shared" si="13"/>
        <v>1.7000000000000015E-2</v>
      </c>
      <c r="AD18" s="17">
        <f t="shared" si="14"/>
        <v>1.4000000000000012E-2</v>
      </c>
      <c r="AE18" s="17">
        <f t="shared" si="15"/>
        <v>3.0000000000000027E-3</v>
      </c>
      <c r="AF18" s="17">
        <f t="shared" si="16"/>
        <v>-9.000000000000008E-3</v>
      </c>
    </row>
    <row r="19" spans="1:32" x14ac:dyDescent="0.25">
      <c r="A19" s="43">
        <f t="shared" si="17"/>
        <v>34</v>
      </c>
      <c r="B19" t="s">
        <v>94</v>
      </c>
      <c r="C19" s="51">
        <v>0.98799999999999999</v>
      </c>
      <c r="D19" s="51">
        <v>0.97699999999999998</v>
      </c>
      <c r="E19" s="51">
        <v>0.98699999999999999</v>
      </c>
      <c r="F19" s="51">
        <v>0.98399999999999999</v>
      </c>
      <c r="G19" s="51">
        <v>0.98499999999999999</v>
      </c>
      <c r="H19" s="51">
        <v>0.98899999999999999</v>
      </c>
      <c r="I19" s="51">
        <v>0.98899999999999999</v>
      </c>
      <c r="J19" s="51">
        <v>0.998</v>
      </c>
      <c r="K19" s="51">
        <v>0.996</v>
      </c>
      <c r="L19" s="51">
        <v>0.98899999999999999</v>
      </c>
      <c r="M19" s="51">
        <v>0.98299999999999998</v>
      </c>
      <c r="O19">
        <f t="shared" si="2"/>
        <v>91</v>
      </c>
      <c r="P19" s="15">
        <f t="shared" si="3"/>
        <v>0.98799999999999999</v>
      </c>
      <c r="Q19" s="17">
        <f t="shared" si="4"/>
        <v>0.97699999999999998</v>
      </c>
      <c r="R19" s="17">
        <f t="shared" si="5"/>
        <v>0.998</v>
      </c>
      <c r="S19" t="str">
        <f t="shared" si="6"/>
        <v>[91, 98.8, 97.7, 99.8],</v>
      </c>
      <c r="W19" s="17">
        <f t="shared" si="7"/>
        <v>-1.100000000000001E-2</v>
      </c>
      <c r="X19" s="17">
        <f t="shared" si="8"/>
        <v>-1.0000000000000009E-3</v>
      </c>
      <c r="Y19" s="17">
        <f t="shared" si="9"/>
        <v>-4.0000000000000036E-3</v>
      </c>
      <c r="Z19" s="17">
        <f t="shared" si="10"/>
        <v>-3.0000000000000027E-3</v>
      </c>
      <c r="AA19" s="17">
        <f t="shared" si="11"/>
        <v>1.0000000000000009E-3</v>
      </c>
      <c r="AB19" s="17">
        <f t="shared" si="12"/>
        <v>1.0000000000000009E-3</v>
      </c>
      <c r="AC19" s="17">
        <f t="shared" si="13"/>
        <v>1.0000000000000009E-2</v>
      </c>
      <c r="AD19" s="17">
        <f t="shared" si="14"/>
        <v>8.0000000000000071E-3</v>
      </c>
      <c r="AE19" s="17">
        <f t="shared" si="15"/>
        <v>1.0000000000000009E-3</v>
      </c>
      <c r="AF19" s="17">
        <f t="shared" si="16"/>
        <v>-5.0000000000000044E-3</v>
      </c>
    </row>
    <row r="21" spans="1:32" x14ac:dyDescent="0.25">
      <c r="U21" t="s">
        <v>102</v>
      </c>
      <c r="W21" s="17">
        <f>AVERAGE(W3:W19)</f>
        <v>-5.2470588235294116E-2</v>
      </c>
      <c r="X21" s="17">
        <f>AVERAGE(X3:X19)</f>
        <v>-1.2352941176470517E-3</v>
      </c>
      <c r="Y21" s="17">
        <f t="shared" ref="Y21:AF21" si="18">AVERAGE(Y3:Y19)</f>
        <v>-6.4705882352941155E-2</v>
      </c>
      <c r="Z21" s="17">
        <f t="shared" si="18"/>
        <v>-3.5294117647058823E-2</v>
      </c>
      <c r="AA21" s="17">
        <f t="shared" si="18"/>
        <v>-1.6764705882352935E-2</v>
      </c>
      <c r="AB21" s="17">
        <f t="shared" si="18"/>
        <v>9.1764705882352946E-3</v>
      </c>
      <c r="AC21" s="17">
        <f t="shared" si="18"/>
        <v>0.13505882352941179</v>
      </c>
      <c r="AD21" s="17">
        <f t="shared" si="18"/>
        <v>9.1117647058823567E-2</v>
      </c>
      <c r="AE21" s="17">
        <f t="shared" si="18"/>
        <v>1.7764705882352939E-2</v>
      </c>
      <c r="AF21" s="17">
        <f t="shared" si="18"/>
        <v>-5.9411764705882338E-2</v>
      </c>
    </row>
    <row r="22" spans="1:32" x14ac:dyDescent="0.25">
      <c r="U22" t="s">
        <v>103</v>
      </c>
      <c r="W22">
        <f>CORREL($D$3:$D$19,W3:W19)</f>
        <v>0.15484502905942954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opLeftCell="A19" workbookViewId="0">
      <selection activeCell="P43" sqref="P43:W50"/>
    </sheetView>
  </sheetViews>
  <sheetFormatPr defaultRowHeight="15" x14ac:dyDescent="0.25"/>
  <sheetData>
    <row r="1" spans="1:21" x14ac:dyDescent="0.25">
      <c r="D1" t="s">
        <v>63</v>
      </c>
    </row>
    <row r="2" spans="1:21" x14ac:dyDescent="0.25">
      <c r="A2" s="43" t="s">
        <v>1</v>
      </c>
      <c r="B2" s="43" t="s">
        <v>58</v>
      </c>
      <c r="D2" s="39">
        <f t="array" ref="D2:S2">TRANSPOSE(C3:C18)</f>
        <v>0</v>
      </c>
      <c r="E2" s="39">
        <v>5</v>
      </c>
      <c r="F2" s="39">
        <v>10</v>
      </c>
      <c r="G2" s="39">
        <v>15</v>
      </c>
      <c r="H2" s="39">
        <v>20</v>
      </c>
      <c r="I2" s="39">
        <v>25</v>
      </c>
      <c r="J2" s="39">
        <v>30</v>
      </c>
      <c r="K2" s="39">
        <v>35</v>
      </c>
      <c r="L2" s="39">
        <v>40</v>
      </c>
      <c r="M2" s="39">
        <v>45</v>
      </c>
      <c r="N2" s="39">
        <v>50</v>
      </c>
      <c r="O2" s="39">
        <v>55</v>
      </c>
      <c r="P2" s="39">
        <v>60</v>
      </c>
      <c r="Q2" s="39">
        <v>65</v>
      </c>
      <c r="R2" s="39">
        <v>70</v>
      </c>
      <c r="S2" s="39">
        <v>75</v>
      </c>
      <c r="U2" t="s">
        <v>52</v>
      </c>
    </row>
    <row r="3" spans="1:21" x14ac:dyDescent="0.25">
      <c r="A3" s="43">
        <f>'Risks by age'!D7</f>
        <v>19.579999999999998</v>
      </c>
      <c r="B3" s="51">
        <f>A3/$A$19</f>
        <v>6.2099587694259439E-2</v>
      </c>
      <c r="C3" s="39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25">
      <c r="A4" s="43">
        <f>'Risks by age'!D8</f>
        <v>20.189999999999998</v>
      </c>
      <c r="B4" s="51">
        <f t="shared" ref="B4:B18" si="0">A4/$A$19</f>
        <v>6.4034253092293061E-2</v>
      </c>
      <c r="C4" s="39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25">
      <c r="A5" s="43">
        <f>'Risks by age'!D9</f>
        <v>20.799999999999997</v>
      </c>
      <c r="B5" s="51">
        <f t="shared" si="0"/>
        <v>6.596891849032667E-2</v>
      </c>
      <c r="C5" s="39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25">
      <c r="A6" s="43">
        <f>'Risks by age'!D10</f>
        <v>21.060000000000002</v>
      </c>
      <c r="B6" s="51">
        <f t="shared" si="0"/>
        <v>6.6793529971455767E-2</v>
      </c>
      <c r="C6" s="39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25">
      <c r="A7" s="43">
        <f>'Risks by age'!D11</f>
        <v>21.630000000000003</v>
      </c>
      <c r="B7" s="51">
        <f t="shared" si="0"/>
        <v>6.8601332064700302E-2</v>
      </c>
      <c r="C7" s="39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25">
      <c r="A8" s="43">
        <f>'Risks by age'!D12</f>
        <v>23.5</v>
      </c>
      <c r="B8" s="51">
        <f t="shared" si="0"/>
        <v>7.4532191563590242E-2</v>
      </c>
      <c r="C8" s="39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25">
      <c r="A9" s="43">
        <f>'Risks by age'!D13</f>
        <v>22.43</v>
      </c>
      <c r="B9" s="51">
        <f t="shared" si="0"/>
        <v>7.1138598160482083E-2</v>
      </c>
      <c r="C9" s="39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25">
      <c r="A10" s="43">
        <f>'Risks by age'!D14</f>
        <v>21.73</v>
      </c>
      <c r="B10" s="51">
        <f t="shared" si="0"/>
        <v>6.8918490326673021E-2</v>
      </c>
      <c r="C10" s="39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25">
      <c r="A11" s="43">
        <f>'Risks by age'!D15</f>
        <v>19.920000000000002</v>
      </c>
      <c r="B11" s="51">
        <f t="shared" si="0"/>
        <v>6.3177925784966713E-2</v>
      </c>
      <c r="C11" s="39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25">
      <c r="A12" s="43">
        <f>'Risks by age'!D16</f>
        <v>20.399999999999999</v>
      </c>
      <c r="B12" s="51">
        <f t="shared" si="0"/>
        <v>6.4700285442435779E-2</v>
      </c>
      <c r="C12" s="39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25">
      <c r="A13" s="43">
        <f>'Risks by age'!D17</f>
        <v>20.48</v>
      </c>
      <c r="B13" s="51">
        <f t="shared" si="0"/>
        <v>6.4954012052013968E-2</v>
      </c>
      <c r="C13" s="39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25">
      <c r="A14" s="43">
        <f>'Risks by age'!D18</f>
        <v>21.87</v>
      </c>
      <c r="B14" s="51">
        <f t="shared" si="0"/>
        <v>6.9362511893434842E-2</v>
      </c>
      <c r="C14" s="39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25">
      <c r="A15" s="43">
        <f>'Risks by age'!D19</f>
        <v>20.57</v>
      </c>
      <c r="B15" s="51">
        <f t="shared" si="0"/>
        <v>6.5239454487789422E-2</v>
      </c>
      <c r="C15" s="39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25">
      <c r="A16" s="43">
        <f>'Risks by age'!D20</f>
        <v>17.46</v>
      </c>
      <c r="B16" s="51">
        <f t="shared" si="0"/>
        <v>5.5375832540437687E-2</v>
      </c>
      <c r="C16" s="39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25">
      <c r="A17" s="43">
        <f>'Risks by age'!D21</f>
        <v>14.030000000000001</v>
      </c>
      <c r="B17" s="51">
        <f t="shared" si="0"/>
        <v>4.4497304154773244E-2</v>
      </c>
      <c r="C17" s="39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25">
      <c r="A18" s="33">
        <f>'Risks by age'!D22</f>
        <v>9.65</v>
      </c>
      <c r="B18" s="56">
        <f t="shared" si="0"/>
        <v>3.0605772280367909E-2</v>
      </c>
      <c r="C18" s="39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25">
      <c r="A19" s="43">
        <f>SUM(A3:A18)</f>
        <v>315.29999999999995</v>
      </c>
      <c r="B19" s="57">
        <f>SUM(B3:B18)</f>
        <v>1.0000000000000002</v>
      </c>
      <c r="P19" t="s">
        <v>59</v>
      </c>
      <c r="Z19" t="s">
        <v>60</v>
      </c>
    </row>
    <row r="20" spans="1:33" x14ac:dyDescent="0.25">
      <c r="D20" s="31" t="str">
        <f t="array" ref="D20:K20">TRANSPOSE(O21:O28)</f>
        <v>0-4</v>
      </c>
      <c r="E20" s="35" t="str">
        <v>5-12</v>
      </c>
      <c r="F20" s="31" t="str">
        <v>13-17</v>
      </c>
      <c r="G20" s="31" t="str">
        <v>18-29</v>
      </c>
      <c r="H20" s="31" t="str">
        <v>30-49</v>
      </c>
      <c r="I20" s="31" t="str">
        <v>50-64</v>
      </c>
      <c r="J20" s="31" t="str">
        <v>65-74</v>
      </c>
      <c r="K20" s="31" t="str">
        <v>75+</v>
      </c>
      <c r="M20" t="s">
        <v>52</v>
      </c>
      <c r="N20" s="33" t="s">
        <v>1</v>
      </c>
      <c r="O20" s="43" t="s">
        <v>62</v>
      </c>
      <c r="P20" s="31" t="str">
        <f>D20</f>
        <v>0-4</v>
      </c>
      <c r="Q20" s="31" t="str">
        <f t="shared" ref="Q20:W21" si="2">E20</f>
        <v>5-12</v>
      </c>
      <c r="R20" s="31" t="str">
        <f t="shared" si="2"/>
        <v>13-17</v>
      </c>
      <c r="S20" s="31" t="str">
        <f t="shared" si="2"/>
        <v>18-29</v>
      </c>
      <c r="T20" s="31" t="str">
        <f t="shared" si="2"/>
        <v>30-49</v>
      </c>
      <c r="U20" s="31" t="str">
        <f t="shared" si="2"/>
        <v>50-64</v>
      </c>
      <c r="V20" s="31" t="str">
        <f t="shared" si="2"/>
        <v>65-74</v>
      </c>
      <c r="W20" s="31" t="str">
        <f t="shared" si="2"/>
        <v>75+</v>
      </c>
      <c r="Z20" s="31" t="str">
        <f t="shared" ref="Z20:AG20" si="3">P20</f>
        <v>0-4</v>
      </c>
      <c r="AA20" s="31" t="str">
        <f t="shared" si="3"/>
        <v>5-12</v>
      </c>
      <c r="AB20" s="31" t="str">
        <f t="shared" si="3"/>
        <v>13-17</v>
      </c>
      <c r="AC20" s="31" t="str">
        <f t="shared" si="3"/>
        <v>18-29</v>
      </c>
      <c r="AD20" s="31" t="str">
        <f t="shared" si="3"/>
        <v>30-49</v>
      </c>
      <c r="AE20" s="31" t="str">
        <f t="shared" si="3"/>
        <v>50-64</v>
      </c>
      <c r="AF20" s="31" t="str">
        <f t="shared" si="3"/>
        <v>65-74</v>
      </c>
      <c r="AG20" s="31" t="str">
        <f t="shared" si="3"/>
        <v>75+</v>
      </c>
    </row>
    <row r="21" spans="1:33" x14ac:dyDescent="0.25">
      <c r="C21" s="44">
        <f>C3</f>
        <v>0</v>
      </c>
      <c r="D21" s="39">
        <f>D3</f>
        <v>2.5982374741684553</v>
      </c>
      <c r="E21" s="39">
        <f>SUM(E3)+3/5*F3</f>
        <v>1.4009233192670802</v>
      </c>
      <c r="F21" s="39">
        <f>2/5*F3+3/5*G3</f>
        <v>0.38935708342116337</v>
      </c>
      <c r="G21" s="39">
        <f>2/5*G3+SUM(H3:I3)</f>
        <v>1.2538168176854012</v>
      </c>
      <c r="H21" s="39">
        <f>SUM(J3:M3)</f>
        <v>2.8660581623408121</v>
      </c>
      <c r="I21" s="39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51">
        <f>'Risks by age'!K7</f>
        <v>5.9653291898973282E-2</v>
      </c>
      <c r="O21" s="44" t="s">
        <v>26</v>
      </c>
      <c r="P21" s="46">
        <f>D21</f>
        <v>2.5982374741684553</v>
      </c>
      <c r="Q21" s="46">
        <f t="shared" si="2"/>
        <v>1.4009233192670802</v>
      </c>
      <c r="R21" s="46">
        <f t="shared" si="2"/>
        <v>0.38935708342116337</v>
      </c>
      <c r="S21" s="46">
        <f t="shared" si="2"/>
        <v>1.2538168176854012</v>
      </c>
      <c r="T21" s="46">
        <f t="shared" si="2"/>
        <v>2.8660581623408121</v>
      </c>
      <c r="U21" s="46">
        <f t="shared" si="2"/>
        <v>0.77655669076187617</v>
      </c>
      <c r="V21" s="46">
        <f t="shared" si="2"/>
        <v>0.20984360868922708</v>
      </c>
      <c r="W21" s="46">
        <f t="shared" si="2"/>
        <v>3.8852605705164758E-2</v>
      </c>
      <c r="Y21" s="44" t="str">
        <f>O21</f>
        <v>0-4</v>
      </c>
      <c r="Z21" s="46">
        <f t="array" ref="Z21:AG28">TRANSPOSE(P21:W28)</f>
        <v>2.5982374741684553</v>
      </c>
      <c r="AA21" s="46">
        <v>0.73286938831203663</v>
      </c>
      <c r="AB21" s="46">
        <v>0.22614696091265613</v>
      </c>
      <c r="AC21" s="46">
        <v>0.37990349726578576</v>
      </c>
      <c r="AD21" s="46">
        <v>0.51827386577000234</v>
      </c>
      <c r="AE21" s="46">
        <v>0.43048628314763687</v>
      </c>
      <c r="AF21" s="46">
        <v>0.1908598936802591</v>
      </c>
      <c r="AG21" s="46">
        <v>0.21014644256939213</v>
      </c>
    </row>
    <row r="22" spans="1:33" x14ac:dyDescent="0.25">
      <c r="C22" s="44">
        <f t="shared" ref="C22:D36" si="4">C4</f>
        <v>5</v>
      </c>
      <c r="D22" s="43">
        <f t="shared" si="4"/>
        <v>0.98968591713678045</v>
      </c>
      <c r="E22" s="43">
        <f t="shared" ref="E22:E36" si="5">SUM(E4)+3/5*F4</f>
        <v>6.1208322953897358</v>
      </c>
      <c r="F22" s="43">
        <f t="shared" ref="F22:F36" si="6">2/5*F4+3/5*G4</f>
        <v>0.69786666209298964</v>
      </c>
      <c r="G22" s="43">
        <f t="shared" ref="G22:G36" si="7">2/5*G4+SUM(H4:I4)</f>
        <v>0.84199435765614272</v>
      </c>
      <c r="H22" s="43">
        <f t="shared" ref="H22:H36" si="8">SUM(J4:M4)</f>
        <v>3.1556622720172274</v>
      </c>
      <c r="I22" s="43">
        <f t="shared" ref="I22:I36" si="9">SUM(N4:P4)</f>
        <v>0.60966918993562724</v>
      </c>
      <c r="J22">
        <f t="shared" ref="J22:J36" si="10">SUM(Q4:R4)</f>
        <v>0.17249472077511441</v>
      </c>
      <c r="K22">
        <f t="shared" ref="K22:K36" si="11">S4</f>
        <v>3.9004324877162114E-2</v>
      </c>
      <c r="M22">
        <f t="shared" ref="M22:M36" si="12">SUM(D22:K22)</f>
        <v>12.627209739880779</v>
      </c>
      <c r="N22" s="51">
        <f>'Risks by age'!K8</f>
        <v>9.9533863449410495E-2</v>
      </c>
      <c r="O22" s="44" t="s">
        <v>47</v>
      </c>
      <c r="P22" s="46">
        <f>5/8*D22+3/8*D23</f>
        <v>0.73286938831203663</v>
      </c>
      <c r="Q22" s="46">
        <f t="shared" ref="Q22:W22" si="13">5/8*E22+3/8*E23</f>
        <v>6.3978883481668802</v>
      </c>
      <c r="R22" s="46">
        <f t="shared" si="13"/>
        <v>1.8978783769574774</v>
      </c>
      <c r="S22" s="46">
        <f t="shared" si="13"/>
        <v>0.91544363960415753</v>
      </c>
      <c r="T22" s="46">
        <f t="shared" si="13"/>
        <v>3.1049564232964038</v>
      </c>
      <c r="U22" s="46">
        <f t="shared" si="13"/>
        <v>0.60240580060239923</v>
      </c>
      <c r="V22" s="46">
        <f t="shared" si="13"/>
        <v>0.16858971986674198</v>
      </c>
      <c r="W22" s="46">
        <f t="shared" si="13"/>
        <v>4.4058233390697345E-2</v>
      </c>
      <c r="Y22" s="44" t="str">
        <f t="shared" ref="Y22:Y28" si="14">O22</f>
        <v>5-12</v>
      </c>
      <c r="Z22" s="46">
        <v>1.4009233192670802</v>
      </c>
      <c r="AA22" s="46">
        <v>6.3978883481668802</v>
      </c>
      <c r="AB22" s="46">
        <v>4.1076020894988483</v>
      </c>
      <c r="AC22" s="46">
        <v>0.74626504663326965</v>
      </c>
      <c r="AD22" s="46">
        <v>1.3361857637789525</v>
      </c>
      <c r="AE22" s="46">
        <v>1.0432322492390025</v>
      </c>
      <c r="AF22" s="46">
        <v>0.58250601272629809</v>
      </c>
      <c r="AG22" s="46">
        <v>0.53394411711649004</v>
      </c>
    </row>
    <row r="23" spans="1:33" x14ac:dyDescent="0.25">
      <c r="C23" s="44">
        <f t="shared" si="4"/>
        <v>10</v>
      </c>
      <c r="D23" s="43">
        <f t="shared" si="4"/>
        <v>0.30484184027079697</v>
      </c>
      <c r="E23" s="43">
        <f t="shared" si="5"/>
        <v>6.8596484361287864</v>
      </c>
      <c r="F23" s="43">
        <f t="shared" si="6"/>
        <v>3.8978979017316235</v>
      </c>
      <c r="G23" s="43">
        <f t="shared" si="7"/>
        <v>1.0378591095175154</v>
      </c>
      <c r="H23" s="43">
        <f t="shared" si="8"/>
        <v>3.0204466754283645</v>
      </c>
      <c r="I23" s="43">
        <f t="shared" si="9"/>
        <v>0.59030015171368588</v>
      </c>
      <c r="J23">
        <f t="shared" si="10"/>
        <v>0.16208138501945457</v>
      </c>
      <c r="K23">
        <f t="shared" si="11"/>
        <v>5.2481414246589399E-2</v>
      </c>
      <c r="M23">
        <f t="shared" si="12"/>
        <v>15.925556914056818</v>
      </c>
      <c r="N23" s="51">
        <f>'Risks by age'!K9</f>
        <v>6.3845474210157516E-2</v>
      </c>
      <c r="O23" s="44" t="s">
        <v>48</v>
      </c>
      <c r="P23" s="46">
        <f>2/5*D23+3/5*D24</f>
        <v>0.22614696091265613</v>
      </c>
      <c r="Q23" s="46">
        <f t="shared" ref="Q23:W23" si="15">2/5*E23+3/5*E24</f>
        <v>4.1076020894988483</v>
      </c>
      <c r="R23" s="46">
        <f t="shared" si="15"/>
        <v>6.2935835113931269</v>
      </c>
      <c r="S23" s="46">
        <f t="shared" si="15"/>
        <v>4.5109015673572985</v>
      </c>
      <c r="T23" s="46">
        <f t="shared" si="15"/>
        <v>3.4062690891150345</v>
      </c>
      <c r="U23" s="46">
        <f t="shared" si="15"/>
        <v>0.75556010126992046</v>
      </c>
      <c r="V23" s="46">
        <f t="shared" si="15"/>
        <v>0.12548654052053881</v>
      </c>
      <c r="W23" s="46">
        <f t="shared" si="15"/>
        <v>3.3815011497012243E-2</v>
      </c>
      <c r="Y23" s="44" t="str">
        <f t="shared" si="14"/>
        <v>13-17</v>
      </c>
      <c r="Z23" s="46">
        <v>0.38935708342116337</v>
      </c>
      <c r="AA23" s="46">
        <v>1.8978783769574774</v>
      </c>
      <c r="AB23" s="46">
        <v>6.2935835113931269</v>
      </c>
      <c r="AC23" s="46">
        <v>2.2871833566042836</v>
      </c>
      <c r="AD23" s="46">
        <v>0.95319243103166995</v>
      </c>
      <c r="AE23" s="46">
        <v>0.8719691706160696</v>
      </c>
      <c r="AF23" s="46">
        <v>0.31101610888155401</v>
      </c>
      <c r="AG23" s="46">
        <v>0.36960979894578294</v>
      </c>
    </row>
    <row r="24" spans="1:33" x14ac:dyDescent="0.25">
      <c r="C24" s="44">
        <f t="shared" si="4"/>
        <v>15</v>
      </c>
      <c r="D24" s="43">
        <f t="shared" si="4"/>
        <v>0.17368370800722893</v>
      </c>
      <c r="E24" s="43">
        <f t="shared" si="5"/>
        <v>2.2729045250788888</v>
      </c>
      <c r="F24" s="43">
        <f t="shared" si="6"/>
        <v>7.8907072511674627</v>
      </c>
      <c r="G24" s="43">
        <f t="shared" si="7"/>
        <v>6.8262632059171544</v>
      </c>
      <c r="H24" s="43">
        <f t="shared" si="8"/>
        <v>3.663484031572815</v>
      </c>
      <c r="I24" s="43">
        <f t="shared" si="9"/>
        <v>0.86573340097407692</v>
      </c>
      <c r="J24">
        <f t="shared" si="10"/>
        <v>0.10108997752126161</v>
      </c>
      <c r="K24">
        <f t="shared" si="11"/>
        <v>2.1370742997294131E-2</v>
      </c>
      <c r="M24">
        <f t="shared" si="12"/>
        <v>21.815236843236182</v>
      </c>
      <c r="N24" s="51">
        <f>'Risks by age'!K10</f>
        <v>0.16315997928282</v>
      </c>
      <c r="O24" s="44" t="s">
        <v>49</v>
      </c>
      <c r="P24" s="46">
        <f>2/12*D24+5/12*D25+5/12*D26</f>
        <v>0.37990349726578576</v>
      </c>
      <c r="Q24" s="46">
        <f t="shared" ref="Q24:W24" si="16">2/12*E24+5/12*E25+5/12*E26</f>
        <v>0.74626504663326965</v>
      </c>
      <c r="R24" s="46">
        <f t="shared" si="16"/>
        <v>2.2871833566042836</v>
      </c>
      <c r="S24" s="46">
        <f t="shared" si="16"/>
        <v>6.4919848203191766</v>
      </c>
      <c r="T24" s="46">
        <f t="shared" si="16"/>
        <v>4.4958332867811182</v>
      </c>
      <c r="U24" s="46">
        <f t="shared" si="16"/>
        <v>1.3269088152829136</v>
      </c>
      <c r="V24" s="46">
        <f t="shared" si="16"/>
        <v>9.398451652714393E-2</v>
      </c>
      <c r="W24" s="46">
        <f t="shared" si="16"/>
        <v>2.8018941857679995E-2</v>
      </c>
      <c r="Y24" s="44" t="str">
        <f t="shared" si="14"/>
        <v>18-29</v>
      </c>
      <c r="Z24" s="46">
        <v>1.2538168176854012</v>
      </c>
      <c r="AA24" s="46">
        <v>0.91544363960415753</v>
      </c>
      <c r="AB24" s="46">
        <v>4.5109015673572985</v>
      </c>
      <c r="AC24" s="46">
        <v>6.4919848203191766</v>
      </c>
      <c r="AD24" s="46">
        <v>2.531025810068888</v>
      </c>
      <c r="AE24" s="46">
        <v>2.1800889815112372</v>
      </c>
      <c r="AF24" s="46">
        <v>0.62407795782275444</v>
      </c>
      <c r="AG24" s="46">
        <v>0.42660629070229905</v>
      </c>
    </row>
    <row r="25" spans="1:33" x14ac:dyDescent="0.25">
      <c r="C25" s="44">
        <f t="shared" si="4"/>
        <v>20</v>
      </c>
      <c r="D25" s="43">
        <f t="shared" si="4"/>
        <v>0.26261874886807546</v>
      </c>
      <c r="E25" s="43">
        <f t="shared" si="5"/>
        <v>0.41234713005013823</v>
      </c>
      <c r="F25" s="43">
        <f t="shared" si="6"/>
        <v>1.7195692901705835</v>
      </c>
      <c r="G25" s="43">
        <f t="shared" si="7"/>
        <v>7.0583316321251548</v>
      </c>
      <c r="H25" s="43">
        <f t="shared" si="8"/>
        <v>4.1809430528825535</v>
      </c>
      <c r="I25" s="43">
        <f t="shared" si="9"/>
        <v>1.2721549665321745</v>
      </c>
      <c r="J25">
        <f t="shared" si="10"/>
        <v>0.10272048130435871</v>
      </c>
      <c r="K25">
        <f t="shared" si="11"/>
        <v>4.0058660895276335E-2</v>
      </c>
      <c r="M25">
        <f t="shared" si="12"/>
        <v>15.048743962828313</v>
      </c>
      <c r="N25" s="51">
        <f>'Risks by age'!K11</f>
        <v>0.25738049538433422</v>
      </c>
      <c r="O25" s="44" t="s">
        <v>50</v>
      </c>
      <c r="P25" s="46">
        <f>AVERAGE(D27:D30)</f>
        <v>0.51827386577000234</v>
      </c>
      <c r="Q25" s="46">
        <f t="shared" ref="Q25:W25" si="17">AVERAGE(E27:E30)</f>
        <v>1.3361857637789525</v>
      </c>
      <c r="R25" s="46">
        <f t="shared" si="17"/>
        <v>0.95319243103166995</v>
      </c>
      <c r="S25" s="46">
        <f t="shared" si="17"/>
        <v>2.531025810068888</v>
      </c>
      <c r="T25" s="46">
        <f t="shared" si="17"/>
        <v>6.7899240010888171</v>
      </c>
      <c r="U25" s="46">
        <f t="shared" si="17"/>
        <v>1.6379979861605971</v>
      </c>
      <c r="V25" s="46">
        <f t="shared" si="17"/>
        <v>0.17699908931822084</v>
      </c>
      <c r="W25" s="46">
        <f t="shared" si="17"/>
        <v>4.139585199983449E-2</v>
      </c>
      <c r="Y25" s="44" t="str">
        <f t="shared" si="14"/>
        <v>30-49</v>
      </c>
      <c r="Z25" s="46">
        <v>2.8660581623408121</v>
      </c>
      <c r="AA25" s="46">
        <v>3.1049564232964038</v>
      </c>
      <c r="AB25" s="46">
        <v>3.4062690891150345</v>
      </c>
      <c r="AC25" s="46">
        <v>4.4958332867811182</v>
      </c>
      <c r="AD25" s="46">
        <v>6.7899240010888171</v>
      </c>
      <c r="AE25" s="46">
        <v>4.1536360118404039</v>
      </c>
      <c r="AF25" s="46">
        <v>1.7356284848857806</v>
      </c>
      <c r="AG25" s="46">
        <v>1.3038759922305792</v>
      </c>
    </row>
    <row r="26" spans="1:33" x14ac:dyDescent="0.25">
      <c r="C26" s="44">
        <f t="shared" si="4"/>
        <v>25</v>
      </c>
      <c r="D26" s="43">
        <f t="shared" si="4"/>
        <v>0.5796761613669188</v>
      </c>
      <c r="E26" s="43">
        <f t="shared" si="5"/>
        <v>0.46952717183815346</v>
      </c>
      <c r="F26" s="43">
        <f t="shared" si="6"/>
        <v>0.61338786521271171</v>
      </c>
      <c r="G26" s="43">
        <f t="shared" si="7"/>
        <v>5.7919266542740075</v>
      </c>
      <c r="H26" s="43">
        <f t="shared" si="8"/>
        <v>5.1436632227630037</v>
      </c>
      <c r="I26" s="43">
        <f t="shared" si="9"/>
        <v>1.5661328297571873</v>
      </c>
      <c r="J26">
        <f t="shared" si="10"/>
        <v>8.2406367352282101E-2</v>
      </c>
      <c r="K26">
        <f t="shared" si="11"/>
        <v>1.8638502364238002E-2</v>
      </c>
      <c r="M26">
        <f t="shared" si="12"/>
        <v>14.265358774928504</v>
      </c>
      <c r="N26" s="51">
        <f>'Risks by age'!K12</f>
        <v>0.19169484812479057</v>
      </c>
      <c r="O26" s="44" t="s">
        <v>27</v>
      </c>
      <c r="P26" s="46">
        <f>AVERAGE(D31:D33)</f>
        <v>0.43048628314763687</v>
      </c>
      <c r="Q26" s="46">
        <f t="shared" ref="Q26:W26" si="18">AVERAGE(E31:E33)</f>
        <v>1.0432322492390025</v>
      </c>
      <c r="R26" s="46">
        <f t="shared" si="18"/>
        <v>0.8719691706160696</v>
      </c>
      <c r="S26" s="46">
        <f t="shared" si="18"/>
        <v>2.1800889815112372</v>
      </c>
      <c r="T26" s="46">
        <f t="shared" si="18"/>
        <v>4.1536360118404039</v>
      </c>
      <c r="U26" s="46">
        <f t="shared" si="18"/>
        <v>2.943868581691337</v>
      </c>
      <c r="V26" s="46">
        <f t="shared" si="18"/>
        <v>0.36148414105845061</v>
      </c>
      <c r="W26" s="46">
        <f t="shared" si="18"/>
        <v>6.9008511227545644E-2</v>
      </c>
      <c r="Y26" s="44" t="str">
        <f t="shared" si="14"/>
        <v>50-64</v>
      </c>
      <c r="Z26" s="46">
        <v>0.77655669076187617</v>
      </c>
      <c r="AA26" s="46">
        <v>0.60240580060239923</v>
      </c>
      <c r="AB26" s="46">
        <v>0.75556010126992046</v>
      </c>
      <c r="AC26" s="46">
        <v>1.3269088152829136</v>
      </c>
      <c r="AD26" s="46">
        <v>1.6379979861605971</v>
      </c>
      <c r="AE26" s="46">
        <v>2.943868581691337</v>
      </c>
      <c r="AF26" s="46">
        <v>1.1788391900764585</v>
      </c>
      <c r="AG26" s="46">
        <v>0.77153805657004748</v>
      </c>
    </row>
    <row r="27" spans="1:33" x14ac:dyDescent="0.25">
      <c r="C27" s="44">
        <f t="shared" si="4"/>
        <v>30</v>
      </c>
      <c r="D27" s="43">
        <f t="shared" si="4"/>
        <v>0.68599351056015734</v>
      </c>
      <c r="E27" s="43">
        <f t="shared" si="5"/>
        <v>1.3492014069811389</v>
      </c>
      <c r="F27" s="43">
        <f t="shared" si="6"/>
        <v>0.58906293731889103</v>
      </c>
      <c r="G27" s="43">
        <f t="shared" si="7"/>
        <v>2.8493057886510527</v>
      </c>
      <c r="H27" s="43">
        <f t="shared" si="8"/>
        <v>6.7639458025981902</v>
      </c>
      <c r="I27" s="43">
        <f t="shared" si="9"/>
        <v>1.5569814688977255</v>
      </c>
      <c r="J27">
        <f t="shared" si="10"/>
        <v>0.12826499055084126</v>
      </c>
      <c r="K27">
        <f t="shared" si="11"/>
        <v>3.7412749501787933E-2</v>
      </c>
      <c r="M27">
        <f t="shared" si="12"/>
        <v>13.960168655059785</v>
      </c>
      <c r="N27" s="51">
        <f>'Risks by age'!K13</f>
        <v>9.5938823386040289E-2</v>
      </c>
      <c r="O27" s="50" t="s">
        <v>29</v>
      </c>
      <c r="P27" s="46">
        <f>AVERAGE(D34:D35)</f>
        <v>0.1908598936802591</v>
      </c>
      <c r="Q27" s="46">
        <f t="shared" ref="Q27:W27" si="19">AVERAGE(E34:E35)</f>
        <v>0.58250601272629809</v>
      </c>
      <c r="R27" s="46">
        <f t="shared" si="19"/>
        <v>0.31101610888155401</v>
      </c>
      <c r="S27" s="46">
        <f t="shared" si="19"/>
        <v>0.62407795782275444</v>
      </c>
      <c r="T27" s="46">
        <f t="shared" si="19"/>
        <v>1.7356284848857806</v>
      </c>
      <c r="U27" s="46">
        <f t="shared" si="19"/>
        <v>1.1788391900764585</v>
      </c>
      <c r="V27" s="46">
        <f t="shared" si="19"/>
        <v>1.1436482347752253</v>
      </c>
      <c r="W27" s="46">
        <f t="shared" si="19"/>
        <v>0.15428145107104457</v>
      </c>
      <c r="Y27" s="50" t="str">
        <f t="shared" si="14"/>
        <v>65-74</v>
      </c>
      <c r="Z27" s="46">
        <v>0.20984360868922708</v>
      </c>
      <c r="AA27" s="46">
        <v>0.16858971986674198</v>
      </c>
      <c r="AB27" s="46">
        <v>0.12548654052053881</v>
      </c>
      <c r="AC27" s="46">
        <v>9.398451652714393E-2</v>
      </c>
      <c r="AD27" s="46">
        <v>0.17699908931822084</v>
      </c>
      <c r="AE27" s="46">
        <v>0.36148414105845061</v>
      </c>
      <c r="AF27" s="46">
        <v>1.1436482347752253</v>
      </c>
      <c r="AG27" s="46">
        <v>0.48912643138963763</v>
      </c>
    </row>
    <row r="28" spans="1:33" x14ac:dyDescent="0.25">
      <c r="C28" s="44">
        <f t="shared" si="4"/>
        <v>35</v>
      </c>
      <c r="D28" s="43">
        <f t="shared" si="4"/>
        <v>0.67323443351386014</v>
      </c>
      <c r="E28" s="43">
        <f t="shared" si="5"/>
        <v>1.6320035842762954</v>
      </c>
      <c r="F28" s="43">
        <f t="shared" si="6"/>
        <v>0.82042438216101532</v>
      </c>
      <c r="G28" s="43">
        <f t="shared" si="7"/>
        <v>2.2976441047358054</v>
      </c>
      <c r="H28" s="43">
        <f t="shared" si="8"/>
        <v>7.3715943808938249</v>
      </c>
      <c r="I28" s="43">
        <f t="shared" si="9"/>
        <v>1.5852521676252254</v>
      </c>
      <c r="J28">
        <f t="shared" si="10"/>
        <v>0.22201624156408101</v>
      </c>
      <c r="K28">
        <f t="shared" si="11"/>
        <v>2.9848571851523984E-2</v>
      </c>
      <c r="M28">
        <f t="shared" si="12"/>
        <v>14.632017866621631</v>
      </c>
      <c r="N28" s="56">
        <f>'Risks by age'!K14</f>
        <v>6.8793224263473784E-2</v>
      </c>
      <c r="O28" s="50" t="s">
        <v>30</v>
      </c>
      <c r="P28" s="46">
        <f>D36</f>
        <v>0.21014644256939213</v>
      </c>
      <c r="Q28" s="46">
        <f t="shared" ref="Q28:W28" si="20">E36</f>
        <v>0.53394411711649004</v>
      </c>
      <c r="R28" s="46">
        <f t="shared" si="20"/>
        <v>0.36960979894578294</v>
      </c>
      <c r="S28" s="46">
        <f t="shared" si="20"/>
        <v>0.42660629070229905</v>
      </c>
      <c r="T28" s="46">
        <f t="shared" si="20"/>
        <v>1.3038759922305792</v>
      </c>
      <c r="U28" s="46">
        <f t="shared" si="20"/>
        <v>0.77153805657004748</v>
      </c>
      <c r="V28" s="46">
        <f t="shared" si="20"/>
        <v>0.48912643138963763</v>
      </c>
      <c r="W28" s="46">
        <f t="shared" si="20"/>
        <v>0.39625768830755831</v>
      </c>
      <c r="Y28" s="50" t="str">
        <f t="shared" si="14"/>
        <v>75+</v>
      </c>
      <c r="Z28" s="46">
        <v>3.8852605705164758E-2</v>
      </c>
      <c r="AA28" s="46">
        <v>4.4058233390697345E-2</v>
      </c>
      <c r="AB28" s="46">
        <v>3.3815011497012243E-2</v>
      </c>
      <c r="AC28" s="46">
        <v>2.8018941857679995E-2</v>
      </c>
      <c r="AD28" s="46">
        <v>4.139585199983449E-2</v>
      </c>
      <c r="AE28" s="46">
        <v>6.9008511227545644E-2</v>
      </c>
      <c r="AF28" s="46">
        <v>0.15428145107104457</v>
      </c>
      <c r="AG28" s="46">
        <v>0.39625768830755831</v>
      </c>
    </row>
    <row r="29" spans="1:33" x14ac:dyDescent="0.25">
      <c r="C29" s="44">
        <f t="shared" si="4"/>
        <v>40</v>
      </c>
      <c r="D29" s="43">
        <f t="shared" si="4"/>
        <v>0.34423137757176059</v>
      </c>
      <c r="E29" s="43">
        <f t="shared" si="5"/>
        <v>1.35063751266956</v>
      </c>
      <c r="F29" s="43">
        <f t="shared" si="6"/>
        <v>1.1085182399417044</v>
      </c>
      <c r="G29" s="43">
        <f t="shared" si="7"/>
        <v>2.4651850152169019</v>
      </c>
      <c r="H29" s="43">
        <f t="shared" si="8"/>
        <v>7.0969698458794195</v>
      </c>
      <c r="I29" s="43">
        <f t="shared" si="9"/>
        <v>1.6488361864804368</v>
      </c>
      <c r="J29">
        <f t="shared" si="10"/>
        <v>0.19154300285238679</v>
      </c>
      <c r="K29">
        <f t="shared" si="11"/>
        <v>3.2295541397963437E-2</v>
      </c>
      <c r="M29">
        <f t="shared" si="12"/>
        <v>14.238216722010135</v>
      </c>
      <c r="N29" s="51">
        <f>SUM(N21:N28)</f>
        <v>1.0000000000000002</v>
      </c>
      <c r="Y29" s="43" t="s">
        <v>61</v>
      </c>
      <c r="Z29" s="51">
        <f t="array" ref="Z29:AG29">TRANSPOSE(N21:N28)</f>
        <v>5.9653291898973282E-2</v>
      </c>
      <c r="AA29" s="51">
        <v>9.9533863449410495E-2</v>
      </c>
      <c r="AB29" s="51">
        <v>6.3845474210157516E-2</v>
      </c>
      <c r="AC29" s="51">
        <v>0.16315997928282</v>
      </c>
      <c r="AD29" s="51">
        <v>0.25738049538433422</v>
      </c>
      <c r="AE29" s="51">
        <v>0.19169484812479057</v>
      </c>
      <c r="AF29" s="51">
        <v>9.5938823386040289E-2</v>
      </c>
      <c r="AG29" s="51">
        <v>6.8793224263473784E-2</v>
      </c>
    </row>
    <row r="30" spans="1:33" x14ac:dyDescent="0.25">
      <c r="C30" s="44">
        <f t="shared" si="4"/>
        <v>45</v>
      </c>
      <c r="D30" s="43">
        <f t="shared" si="4"/>
        <v>0.36963614143423118</v>
      </c>
      <c r="E30" s="43">
        <f t="shared" si="5"/>
        <v>1.0129005511888158</v>
      </c>
      <c r="F30" s="43">
        <f t="shared" si="6"/>
        <v>1.2947641647050689</v>
      </c>
      <c r="G30" s="43">
        <f t="shared" si="7"/>
        <v>2.5119683316717918</v>
      </c>
      <c r="H30" s="43">
        <f t="shared" si="8"/>
        <v>5.9271859749838347</v>
      </c>
      <c r="I30" s="43">
        <f t="shared" si="9"/>
        <v>1.7609221216390014</v>
      </c>
      <c r="J30">
        <f t="shared" si="10"/>
        <v>0.16617212230557438</v>
      </c>
      <c r="K30">
        <f t="shared" si="11"/>
        <v>6.6026545248062604E-2</v>
      </c>
      <c r="M30">
        <f t="shared" si="12"/>
        <v>13.109575953176382</v>
      </c>
    </row>
    <row r="31" spans="1:33" x14ac:dyDescent="0.25">
      <c r="C31" s="44">
        <f t="shared" si="4"/>
        <v>50</v>
      </c>
      <c r="D31" s="43">
        <f t="shared" si="4"/>
        <v>0.30729947527186541</v>
      </c>
      <c r="E31" s="43">
        <f t="shared" si="5"/>
        <v>1.3032157706495184</v>
      </c>
      <c r="F31" s="43">
        <f t="shared" si="6"/>
        <v>1.2753418686303786</v>
      </c>
      <c r="G31" s="43">
        <f t="shared" si="7"/>
        <v>2.8897865521544115</v>
      </c>
      <c r="H31" s="43">
        <f t="shared" si="8"/>
        <v>5.5354894412871749</v>
      </c>
      <c r="I31" s="43">
        <f t="shared" si="9"/>
        <v>3.1325804346519925</v>
      </c>
      <c r="J31">
        <f t="shared" si="10"/>
        <v>0.20762523978027284</v>
      </c>
      <c r="K31">
        <f t="shared" si="11"/>
        <v>6.7437216968763661E-2</v>
      </c>
      <c r="M31">
        <f t="shared" si="12"/>
        <v>14.718775999394376</v>
      </c>
      <c r="P31" s="31" t="str">
        <f>P20</f>
        <v>0-4</v>
      </c>
      <c r="Q31" s="31" t="str">
        <f t="shared" ref="Q31:W31" si="21">Q20</f>
        <v>5-12</v>
      </c>
      <c r="R31" s="31" t="str">
        <f t="shared" si="21"/>
        <v>13-17</v>
      </c>
      <c r="S31" s="31" t="str">
        <f t="shared" si="21"/>
        <v>18-29</v>
      </c>
      <c r="T31" s="31" t="str">
        <f t="shared" si="21"/>
        <v>30-49</v>
      </c>
      <c r="U31" s="31" t="str">
        <f t="shared" si="21"/>
        <v>50-64</v>
      </c>
      <c r="V31" s="31" t="str">
        <f t="shared" si="21"/>
        <v>65-74</v>
      </c>
      <c r="W31" s="31" t="str">
        <f t="shared" si="21"/>
        <v>75+</v>
      </c>
    </row>
    <row r="32" spans="1:33" x14ac:dyDescent="0.25">
      <c r="C32" s="44">
        <f t="shared" si="4"/>
        <v>55</v>
      </c>
      <c r="D32" s="43">
        <f t="shared" si="4"/>
        <v>0.53657207617265235</v>
      </c>
      <c r="E32" s="43">
        <f t="shared" si="5"/>
        <v>1.1875489119652862</v>
      </c>
      <c r="F32" s="43">
        <f t="shared" si="6"/>
        <v>0.89888439723204572</v>
      </c>
      <c r="G32" s="43">
        <f t="shared" si="7"/>
        <v>2.3983736809322966</v>
      </c>
      <c r="H32" s="43">
        <f t="shared" si="8"/>
        <v>4.2466284930162708</v>
      </c>
      <c r="I32" s="43">
        <f t="shared" si="9"/>
        <v>3.3614107618253239</v>
      </c>
      <c r="J32">
        <f t="shared" si="10"/>
        <v>0.31108614164440657</v>
      </c>
      <c r="K32">
        <f t="shared" si="11"/>
        <v>6.4090515680486682E-2</v>
      </c>
      <c r="M32">
        <f t="shared" si="12"/>
        <v>13.004594978468768</v>
      </c>
      <c r="O32" s="44" t="str">
        <f t="array" ref="O32:O39">TRANSPOSE(P31:W31)</f>
        <v>0-4</v>
      </c>
      <c r="P32" s="46">
        <f>ROUND(P21,3)</f>
        <v>2.5979999999999999</v>
      </c>
      <c r="Q32" s="46">
        <f t="shared" ref="Q32:W32" si="22">ROUND(Q21,3)</f>
        <v>1.401</v>
      </c>
      <c r="R32" s="46">
        <f t="shared" si="22"/>
        <v>0.38900000000000001</v>
      </c>
      <c r="S32" s="46">
        <f t="shared" si="22"/>
        <v>1.254</v>
      </c>
      <c r="T32" s="46">
        <f t="shared" si="22"/>
        <v>2.8660000000000001</v>
      </c>
      <c r="U32" s="46">
        <f t="shared" si="22"/>
        <v>0.77700000000000002</v>
      </c>
      <c r="V32" s="46">
        <f t="shared" si="22"/>
        <v>0.21</v>
      </c>
      <c r="W32" s="46">
        <f t="shared" si="22"/>
        <v>3.9E-2</v>
      </c>
      <c r="Y32" s="45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25">
      <c r="C33" s="44">
        <f t="shared" si="4"/>
        <v>60</v>
      </c>
      <c r="D33" s="43">
        <f t="shared" si="4"/>
        <v>0.44758729799839281</v>
      </c>
      <c r="E33" s="43">
        <f t="shared" si="5"/>
        <v>0.6389320651022028</v>
      </c>
      <c r="F33" s="43">
        <f t="shared" si="6"/>
        <v>0.44168124598578401</v>
      </c>
      <c r="G33" s="43">
        <f t="shared" si="7"/>
        <v>1.2521067114470028</v>
      </c>
      <c r="H33" s="43">
        <f t="shared" si="8"/>
        <v>2.6787901012177637</v>
      </c>
      <c r="I33" s="43">
        <f t="shared" si="9"/>
        <v>2.3376145485966937</v>
      </c>
      <c r="J33">
        <f t="shared" si="10"/>
        <v>0.5657410417506723</v>
      </c>
      <c r="K33">
        <f t="shared" si="11"/>
        <v>7.5497801033386602E-2</v>
      </c>
      <c r="M33">
        <f t="shared" si="12"/>
        <v>8.4379508131318985</v>
      </c>
      <c r="O33" s="44" t="str">
        <v>5-12</v>
      </c>
      <c r="P33" s="46">
        <f t="shared" ref="P33:W33" si="23">ROUND(P22,3)</f>
        <v>0.73299999999999998</v>
      </c>
      <c r="Q33" s="46">
        <f t="shared" si="23"/>
        <v>6.3979999999999997</v>
      </c>
      <c r="R33" s="46">
        <f t="shared" si="23"/>
        <v>1.8979999999999999</v>
      </c>
      <c r="S33" s="46">
        <f t="shared" si="23"/>
        <v>0.91500000000000004</v>
      </c>
      <c r="T33" s="46">
        <f t="shared" si="23"/>
        <v>3.105</v>
      </c>
      <c r="U33" s="46">
        <f t="shared" si="23"/>
        <v>0.60199999999999998</v>
      </c>
      <c r="V33" s="46">
        <f t="shared" si="23"/>
        <v>0.16900000000000001</v>
      </c>
      <c r="W33" s="46">
        <f t="shared" si="23"/>
        <v>4.3999999999999997E-2</v>
      </c>
      <c r="Y33" s="45" t="str">
        <f t="shared" ref="Y33:Y39" si="24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25">
      <c r="C34" s="44">
        <f t="shared" si="4"/>
        <v>65</v>
      </c>
      <c r="D34" s="43">
        <f t="shared" si="4"/>
        <v>0.2743320813416375</v>
      </c>
      <c r="E34" s="43">
        <f t="shared" si="5"/>
        <v>0.64825890806338282</v>
      </c>
      <c r="F34" s="43">
        <f t="shared" si="6"/>
        <v>0.28688544592057874</v>
      </c>
      <c r="G34" s="43">
        <f t="shared" si="7"/>
        <v>0.72566869360742081</v>
      </c>
      <c r="H34" s="43">
        <f t="shared" si="8"/>
        <v>1.8910465555370723</v>
      </c>
      <c r="I34" s="43">
        <f t="shared" si="9"/>
        <v>1.2757855564212064</v>
      </c>
      <c r="J34">
        <f t="shared" si="10"/>
        <v>1.1319146215404228</v>
      </c>
      <c r="K34">
        <f t="shared" si="11"/>
        <v>9.1894147292005984E-2</v>
      </c>
      <c r="M34">
        <f t="shared" si="12"/>
        <v>6.3257860097237275</v>
      </c>
      <c r="O34" s="44" t="str">
        <v>13-17</v>
      </c>
      <c r="P34" s="46">
        <f t="shared" ref="P34:W34" si="25">ROUND(P23,3)</f>
        <v>0.22600000000000001</v>
      </c>
      <c r="Q34" s="46">
        <f t="shared" si="25"/>
        <v>4.1079999999999997</v>
      </c>
      <c r="R34" s="46">
        <f t="shared" si="25"/>
        <v>6.2939999999999996</v>
      </c>
      <c r="S34" s="46">
        <f t="shared" si="25"/>
        <v>4.5110000000000001</v>
      </c>
      <c r="T34" s="46">
        <f t="shared" si="25"/>
        <v>3.4060000000000001</v>
      </c>
      <c r="U34" s="46">
        <f t="shared" si="25"/>
        <v>0.75600000000000001</v>
      </c>
      <c r="V34" s="46">
        <f t="shared" si="25"/>
        <v>0.125</v>
      </c>
      <c r="W34" s="46">
        <f t="shared" si="25"/>
        <v>3.4000000000000002E-2</v>
      </c>
      <c r="Y34" s="45" t="str">
        <f t="shared" si="24"/>
        <v>[0.226, 4.108, 6.294, 3.406, 0.756, 4.511, 0.125, 0.034],</v>
      </c>
    </row>
    <row r="35" spans="3:25" x14ac:dyDescent="0.25">
      <c r="C35" s="44">
        <f t="shared" si="4"/>
        <v>70</v>
      </c>
      <c r="D35" s="43">
        <f t="shared" si="4"/>
        <v>0.10738770601888072</v>
      </c>
      <c r="E35" s="43">
        <f t="shared" si="5"/>
        <v>0.51675311738921337</v>
      </c>
      <c r="F35" s="43">
        <f t="shared" si="6"/>
        <v>0.33514677184252928</v>
      </c>
      <c r="G35" s="43">
        <f t="shared" si="7"/>
        <v>0.52248722203808806</v>
      </c>
      <c r="H35" s="43">
        <f t="shared" si="8"/>
        <v>1.580210414234489</v>
      </c>
      <c r="I35" s="43">
        <f t="shared" si="9"/>
        <v>1.0818928237317107</v>
      </c>
      <c r="J35">
        <f t="shared" si="10"/>
        <v>1.1553818480100277</v>
      </c>
      <c r="K35">
        <f t="shared" si="11"/>
        <v>0.21666875485008319</v>
      </c>
      <c r="M35">
        <f t="shared" si="12"/>
        <v>5.5159286581150218</v>
      </c>
      <c r="O35" s="44" t="str">
        <v>18-29</v>
      </c>
      <c r="P35" s="46">
        <f t="shared" ref="P35:W35" si="26">ROUND(P24,3)</f>
        <v>0.38</v>
      </c>
      <c r="Q35" s="46">
        <f t="shared" si="26"/>
        <v>0.746</v>
      </c>
      <c r="R35" s="46">
        <f t="shared" si="26"/>
        <v>2.2869999999999999</v>
      </c>
      <c r="S35" s="46">
        <f t="shared" si="26"/>
        <v>6.492</v>
      </c>
      <c r="T35" s="46">
        <f t="shared" si="26"/>
        <v>4.4960000000000004</v>
      </c>
      <c r="U35" s="46">
        <f t="shared" si="26"/>
        <v>1.327</v>
      </c>
      <c r="V35" s="46">
        <f t="shared" si="26"/>
        <v>9.4E-2</v>
      </c>
      <c r="W35" s="46">
        <f t="shared" si="26"/>
        <v>2.8000000000000001E-2</v>
      </c>
      <c r="Y35" s="45" t="str">
        <f t="shared" si="24"/>
        <v>[0.38, 0.746, 2.287, 4.496, 1.327, 6.492, 0.094, 0.028],</v>
      </c>
    </row>
    <row r="36" spans="3:25" x14ac:dyDescent="0.25">
      <c r="C36" s="44">
        <f t="shared" si="4"/>
        <v>75</v>
      </c>
      <c r="D36" s="43">
        <f t="shared" si="4"/>
        <v>0.21014644256939213</v>
      </c>
      <c r="E36" s="43">
        <f t="shared" si="5"/>
        <v>0.53394411711649004</v>
      </c>
      <c r="F36" s="43">
        <f t="shared" si="6"/>
        <v>0.36960979894578294</v>
      </c>
      <c r="G36" s="43">
        <f t="shared" si="7"/>
        <v>0.42660629070229905</v>
      </c>
      <c r="H36" s="43">
        <f t="shared" si="8"/>
        <v>1.3038759922305792</v>
      </c>
      <c r="I36" s="43">
        <f t="shared" si="9"/>
        <v>0.77153805657004748</v>
      </c>
      <c r="J36">
        <f t="shared" si="10"/>
        <v>0.48912643138963763</v>
      </c>
      <c r="K36">
        <f t="shared" si="11"/>
        <v>0.39625768830755831</v>
      </c>
      <c r="M36">
        <f t="shared" si="12"/>
        <v>4.5011048178317861</v>
      </c>
      <c r="O36" s="44" t="str">
        <v>30-49</v>
      </c>
      <c r="P36" s="46">
        <f t="shared" ref="P36:W36" si="27">ROUND(P25,3)</f>
        <v>0.51800000000000002</v>
      </c>
      <c r="Q36" s="46">
        <f t="shared" si="27"/>
        <v>1.3360000000000001</v>
      </c>
      <c r="R36" s="46">
        <f t="shared" si="27"/>
        <v>0.95299999999999996</v>
      </c>
      <c r="S36" s="46">
        <f t="shared" si="27"/>
        <v>2.5310000000000001</v>
      </c>
      <c r="T36" s="46">
        <f t="shared" si="27"/>
        <v>6.79</v>
      </c>
      <c r="U36" s="46">
        <f t="shared" si="27"/>
        <v>1.6379999999999999</v>
      </c>
      <c r="V36" s="46">
        <f t="shared" si="27"/>
        <v>0.17699999999999999</v>
      </c>
      <c r="W36" s="46">
        <f t="shared" si="27"/>
        <v>4.1000000000000002E-2</v>
      </c>
      <c r="Y36" s="45" t="str">
        <f t="shared" si="24"/>
        <v>[0.518, 1.336, 0.953, 6.79, 1.638, 2.531, 0.177, 0.041],</v>
      </c>
    </row>
    <row r="37" spans="3:25" x14ac:dyDescent="0.25">
      <c r="C37" s="44"/>
      <c r="O37" s="44" t="str">
        <v>50-64</v>
      </c>
      <c r="P37" s="46">
        <f t="shared" ref="P37:W37" si="28">ROUND(P26,3)</f>
        <v>0.43</v>
      </c>
      <c r="Q37" s="46">
        <f t="shared" si="28"/>
        <v>1.0429999999999999</v>
      </c>
      <c r="R37" s="46">
        <f t="shared" si="28"/>
        <v>0.872</v>
      </c>
      <c r="S37" s="46">
        <f t="shared" si="28"/>
        <v>2.1800000000000002</v>
      </c>
      <c r="T37" s="46">
        <f t="shared" si="28"/>
        <v>4.1539999999999999</v>
      </c>
      <c r="U37" s="46">
        <f t="shared" si="28"/>
        <v>2.944</v>
      </c>
      <c r="V37" s="46">
        <f t="shared" si="28"/>
        <v>0.36099999999999999</v>
      </c>
      <c r="W37" s="46">
        <f t="shared" si="28"/>
        <v>6.9000000000000006E-2</v>
      </c>
      <c r="Y37" s="45" t="str">
        <f t="shared" si="24"/>
        <v>[0.43, 1.043, 0.872, 4.154, 2.944, 2.18, 0.361, 0.069],</v>
      </c>
    </row>
    <row r="38" spans="3:25" x14ac:dyDescent="0.25">
      <c r="C38" s="44"/>
      <c r="O38" s="50" t="str">
        <v>65-74</v>
      </c>
      <c r="P38" s="46">
        <f t="shared" ref="P38:W38" si="29">ROUND(P27,3)</f>
        <v>0.191</v>
      </c>
      <c r="Q38" s="46">
        <f t="shared" si="29"/>
        <v>0.58299999999999996</v>
      </c>
      <c r="R38" s="46">
        <f t="shared" si="29"/>
        <v>0.311</v>
      </c>
      <c r="S38" s="46">
        <f t="shared" si="29"/>
        <v>0.624</v>
      </c>
      <c r="T38" s="46">
        <f t="shared" si="29"/>
        <v>1.736</v>
      </c>
      <c r="U38" s="46">
        <f t="shared" si="29"/>
        <v>1.179</v>
      </c>
      <c r="V38" s="46">
        <f t="shared" si="29"/>
        <v>1.1439999999999999</v>
      </c>
      <c r="W38" s="46">
        <f t="shared" si="29"/>
        <v>0.154</v>
      </c>
      <c r="Y38" s="45" t="str">
        <f t="shared" si="24"/>
        <v>[0.191, 0.583, 0.311, 1.736, 1.179, 0.624, 1.144, 0.154],</v>
      </c>
    </row>
    <row r="39" spans="3:25" x14ac:dyDescent="0.25">
      <c r="C39" s="44"/>
      <c r="O39" s="50" t="str">
        <v>75+</v>
      </c>
      <c r="P39" s="46">
        <f t="shared" ref="P39:W39" si="30">ROUND(P28,3)</f>
        <v>0.21</v>
      </c>
      <c r="Q39" s="46">
        <f t="shared" si="30"/>
        <v>0.53400000000000003</v>
      </c>
      <c r="R39" s="46">
        <f t="shared" si="30"/>
        <v>0.37</v>
      </c>
      <c r="S39" s="46">
        <f t="shared" si="30"/>
        <v>0.42699999999999999</v>
      </c>
      <c r="T39" s="46">
        <f t="shared" si="30"/>
        <v>1.304</v>
      </c>
      <c r="U39" s="46">
        <f t="shared" si="30"/>
        <v>0.77200000000000002</v>
      </c>
      <c r="V39" s="46">
        <f t="shared" si="30"/>
        <v>0.48899999999999999</v>
      </c>
      <c r="W39" s="46">
        <f t="shared" si="30"/>
        <v>0.39600000000000002</v>
      </c>
      <c r="Y39" s="45" t="str">
        <f t="shared" si="24"/>
        <v>[0.21, 0.534, 0.37, 1.304, 0.772, 0.427, 0.489, 0.396],</v>
      </c>
    </row>
    <row r="41" spans="3:25" x14ac:dyDescent="0.25">
      <c r="P41" t="s">
        <v>64</v>
      </c>
    </row>
    <row r="42" spans="3:25" x14ac:dyDescent="0.25">
      <c r="P42" s="31" t="str">
        <f>P31</f>
        <v>0-4</v>
      </c>
      <c r="Q42" s="31" t="str">
        <f t="shared" ref="Q42:W42" si="31">Q31</f>
        <v>5-12</v>
      </c>
      <c r="R42" s="31" t="str">
        <f t="shared" si="31"/>
        <v>13-17</v>
      </c>
      <c r="S42" s="31" t="str">
        <f t="shared" si="31"/>
        <v>18-29</v>
      </c>
      <c r="T42" s="31" t="str">
        <f t="shared" si="31"/>
        <v>30-49</v>
      </c>
      <c r="U42" s="31" t="str">
        <f t="shared" si="31"/>
        <v>50-64</v>
      </c>
      <c r="V42" s="31" t="str">
        <f t="shared" si="31"/>
        <v>65-74</v>
      </c>
      <c r="W42" s="31" t="str">
        <f t="shared" si="31"/>
        <v>75+</v>
      </c>
    </row>
    <row r="43" spans="3:25" x14ac:dyDescent="0.25">
      <c r="O43" s="44" t="str">
        <f t="array" ref="O43:O50">TRANSPOSE(P42:W42)</f>
        <v>0-4</v>
      </c>
      <c r="P43" s="46">
        <f>ROUND(($N21*P21+Z$29*Z21)/(2*$N21),3)</f>
        <v>2.5979999999999999</v>
      </c>
      <c r="Q43" s="46">
        <f t="shared" ref="Q43:W43" si="32">ROUND(($N21*Q21+AA$29*AA21)/(2*$N21),3)</f>
        <v>1.3120000000000001</v>
      </c>
      <c r="R43" s="46">
        <f t="shared" si="32"/>
        <v>0.316</v>
      </c>
      <c r="S43" s="46">
        <f t="shared" si="32"/>
        <v>1.1459999999999999</v>
      </c>
      <c r="T43" s="46">
        <f t="shared" si="32"/>
        <v>2.5510000000000002</v>
      </c>
      <c r="U43" s="46">
        <f t="shared" si="32"/>
        <v>1.08</v>
      </c>
      <c r="V43" s="46">
        <f t="shared" si="32"/>
        <v>0.25800000000000001</v>
      </c>
      <c r="W43" s="46">
        <f t="shared" si="32"/>
        <v>0.14099999999999999</v>
      </c>
      <c r="Y43" s="45" t="str">
        <f>"["&amp;P43&amp;", "&amp;Q43&amp;", "&amp;R43&amp;", "&amp;T43&amp;", "&amp;U43&amp;", "&amp;S43&amp;", "&amp;V43&amp;", "&amp;W43&amp;"],"</f>
        <v>[2.598, 1.312, 0.316, 2.551, 1.08, 1.146, 0.258, 0.141],</v>
      </c>
    </row>
    <row r="44" spans="3:25" x14ac:dyDescent="0.25">
      <c r="O44" s="44" t="str">
        <v>5-12</v>
      </c>
      <c r="P44" s="46">
        <f t="shared" ref="P44:P50" si="33">ROUND(($N22*P22+Z$29*Z22)/(2*$N22),3)</f>
        <v>0.78600000000000003</v>
      </c>
      <c r="Q44" s="46">
        <f t="shared" ref="Q44:Q50" si="34">ROUND(($N22*Q22+AA$29*AA22)/(2*$N22),3)</f>
        <v>6.3979999999999997</v>
      </c>
      <c r="R44" s="46">
        <f t="shared" ref="R44:R50" si="35">ROUND(($N22*R22+AB$29*AB22)/(2*$N22),3)</f>
        <v>2.266</v>
      </c>
      <c r="S44" s="46">
        <f t="shared" ref="S44:S50" si="36">ROUND(($N22*S22+AC$29*AC22)/(2*$N22),3)</f>
        <v>1.069</v>
      </c>
      <c r="T44" s="46">
        <f t="shared" ref="T44:T50" si="37">ROUND(($N22*T22+AD$29*AD22)/(2*$N22),3)</f>
        <v>3.28</v>
      </c>
      <c r="U44" s="46">
        <f t="shared" ref="U44:U50" si="38">ROUND(($N22*U22+AE$29*AE22)/(2*$N22),3)</f>
        <v>1.306</v>
      </c>
      <c r="V44" s="46">
        <f t="shared" ref="V44:V50" si="39">ROUND(($N22*V22+AF$29*AF22)/(2*$N22),3)</f>
        <v>0.36499999999999999</v>
      </c>
      <c r="W44" s="46">
        <f t="shared" ref="W44:W50" si="40">ROUND(($N22*W22+AG$29*AG22)/(2*$N22),3)</f>
        <v>0.20699999999999999</v>
      </c>
      <c r="Y44" s="45" t="str">
        <f t="shared" ref="Y44:Y50" si="41">"["&amp;P44&amp;", "&amp;Q44&amp;", "&amp;R44&amp;", "&amp;T44&amp;", "&amp;U44&amp;", "&amp;S44&amp;", "&amp;V44&amp;", "&amp;W44&amp;"],"</f>
        <v>[0.786, 6.398, 2.266, 3.28, 1.306, 1.069, 0.365, 0.207],</v>
      </c>
    </row>
    <row r="45" spans="3:25" x14ac:dyDescent="0.25">
      <c r="O45" s="44" t="str">
        <v>13-17</v>
      </c>
      <c r="P45" s="46">
        <f t="shared" si="33"/>
        <v>0.29499999999999998</v>
      </c>
      <c r="Q45" s="46">
        <f t="shared" si="34"/>
        <v>3.5329999999999999</v>
      </c>
      <c r="R45" s="46">
        <f t="shared" si="35"/>
        <v>6.2939999999999996</v>
      </c>
      <c r="S45" s="46">
        <f t="shared" si="36"/>
        <v>5.1779999999999999</v>
      </c>
      <c r="T45" s="46">
        <f t="shared" si="37"/>
        <v>3.6240000000000001</v>
      </c>
      <c r="U45" s="46">
        <f t="shared" si="38"/>
        <v>1.6870000000000001</v>
      </c>
      <c r="V45" s="46">
        <f t="shared" si="39"/>
        <v>0.29599999999999999</v>
      </c>
      <c r="W45" s="46">
        <f t="shared" si="40"/>
        <v>0.216</v>
      </c>
      <c r="Y45" s="45" t="str">
        <f t="shared" si="41"/>
        <v>[0.295, 3.533, 6.294, 3.624, 1.687, 5.178, 0.296, 0.216],</v>
      </c>
    </row>
    <row r="46" spans="3:25" x14ac:dyDescent="0.25">
      <c r="O46" s="44" t="str">
        <v>18-29</v>
      </c>
      <c r="P46" s="46">
        <f t="shared" si="33"/>
        <v>0.41899999999999998</v>
      </c>
      <c r="Q46" s="46">
        <f t="shared" si="34"/>
        <v>0.65200000000000002</v>
      </c>
      <c r="R46" s="46">
        <f t="shared" si="35"/>
        <v>2.0259999999999998</v>
      </c>
      <c r="S46" s="46">
        <f t="shared" si="36"/>
        <v>6.492</v>
      </c>
      <c r="T46" s="46">
        <f t="shared" si="37"/>
        <v>4.2439999999999998</v>
      </c>
      <c r="U46" s="46">
        <f t="shared" si="38"/>
        <v>1.944</v>
      </c>
      <c r="V46" s="46">
        <f t="shared" si="39"/>
        <v>0.23</v>
      </c>
      <c r="W46" s="46">
        <f t="shared" si="40"/>
        <v>0.104</v>
      </c>
      <c r="Y46" s="45" t="str">
        <f t="shared" si="41"/>
        <v>[0.419, 0.652, 2.026, 4.244, 1.944, 6.492, 0.23, 0.104],</v>
      </c>
    </row>
    <row r="47" spans="3:25" x14ac:dyDescent="0.25">
      <c r="O47" s="44" t="str">
        <v>30-49</v>
      </c>
      <c r="P47" s="46">
        <f t="shared" si="33"/>
        <v>0.59099999999999997</v>
      </c>
      <c r="Q47" s="46">
        <f t="shared" si="34"/>
        <v>1.268</v>
      </c>
      <c r="R47" s="46">
        <f t="shared" si="35"/>
        <v>0.89900000000000002</v>
      </c>
      <c r="S47" s="46">
        <f t="shared" si="36"/>
        <v>2.6909999999999998</v>
      </c>
      <c r="T47" s="46">
        <f t="shared" si="37"/>
        <v>6.79</v>
      </c>
      <c r="U47" s="46">
        <f t="shared" si="38"/>
        <v>2.3660000000000001</v>
      </c>
      <c r="V47" s="46">
        <f t="shared" si="39"/>
        <v>0.41199999999999998</v>
      </c>
      <c r="W47" s="46">
        <f t="shared" si="40"/>
        <v>0.19500000000000001</v>
      </c>
      <c r="Y47" s="45" t="str">
        <f t="shared" si="41"/>
        <v>[0.591, 1.268, 0.899, 6.79, 2.366, 2.691, 0.412, 0.195],</v>
      </c>
    </row>
    <row r="48" spans="3:25" x14ac:dyDescent="0.25">
      <c r="O48" s="44" t="str">
        <v>50-64</v>
      </c>
      <c r="P48" s="46">
        <f t="shared" si="33"/>
        <v>0.33600000000000002</v>
      </c>
      <c r="Q48" s="46">
        <f t="shared" si="34"/>
        <v>0.67800000000000005</v>
      </c>
      <c r="R48" s="46">
        <f t="shared" si="35"/>
        <v>0.56200000000000006</v>
      </c>
      <c r="S48" s="46">
        <f t="shared" si="36"/>
        <v>1.655</v>
      </c>
      <c r="T48" s="46">
        <f t="shared" si="37"/>
        <v>3.1760000000000002</v>
      </c>
      <c r="U48" s="46">
        <f t="shared" si="38"/>
        <v>2.944</v>
      </c>
      <c r="V48" s="46">
        <f t="shared" si="39"/>
        <v>0.47599999999999998</v>
      </c>
      <c r="W48" s="46">
        <f t="shared" si="40"/>
        <v>0.17299999999999999</v>
      </c>
      <c r="Y48" s="45" t="str">
        <f t="shared" si="41"/>
        <v>[0.336, 0.678, 0.562, 3.176, 2.944, 1.655, 0.476, 0.173],</v>
      </c>
    </row>
    <row r="49" spans="15:25" x14ac:dyDescent="0.25">
      <c r="O49" s="50" t="str">
        <v>65-74</v>
      </c>
      <c r="P49" s="46">
        <f t="shared" si="33"/>
        <v>0.161</v>
      </c>
      <c r="Q49" s="46">
        <f t="shared" si="34"/>
        <v>0.379</v>
      </c>
      <c r="R49" s="46">
        <f t="shared" si="35"/>
        <v>0.19700000000000001</v>
      </c>
      <c r="S49" s="46">
        <f t="shared" si="36"/>
        <v>0.39200000000000002</v>
      </c>
      <c r="T49" s="46">
        <f t="shared" si="37"/>
        <v>1.105</v>
      </c>
      <c r="U49" s="46">
        <f t="shared" si="38"/>
        <v>0.95099999999999996</v>
      </c>
      <c r="V49" s="46">
        <f t="shared" si="39"/>
        <v>1.1439999999999999</v>
      </c>
      <c r="W49" s="46">
        <f t="shared" si="40"/>
        <v>0.253</v>
      </c>
      <c r="Y49" s="45" t="str">
        <f t="shared" si="41"/>
        <v>[0.161, 0.379, 0.197, 1.105, 0.951, 0.392, 1.144, 0.253],</v>
      </c>
    </row>
    <row r="50" spans="15:25" x14ac:dyDescent="0.25">
      <c r="O50" s="50" t="str">
        <v>75+</v>
      </c>
      <c r="P50" s="46">
        <f t="shared" si="33"/>
        <v>0.122</v>
      </c>
      <c r="Q50" s="46">
        <f t="shared" si="34"/>
        <v>0.29899999999999999</v>
      </c>
      <c r="R50" s="46">
        <f t="shared" si="35"/>
        <v>0.2</v>
      </c>
      <c r="S50" s="46">
        <f t="shared" si="36"/>
        <v>0.247</v>
      </c>
      <c r="T50" s="46">
        <f t="shared" si="37"/>
        <v>0.72899999999999998</v>
      </c>
      <c r="U50" s="46">
        <f t="shared" si="38"/>
        <v>0.48199999999999998</v>
      </c>
      <c r="V50" s="46">
        <f t="shared" si="39"/>
        <v>0.35199999999999998</v>
      </c>
      <c r="W50" s="46">
        <f t="shared" si="40"/>
        <v>0.39600000000000002</v>
      </c>
      <c r="Y50" s="45" t="str">
        <f t="shared" si="41"/>
        <v>[0.122, 0.299, 0.2, 0.729, 0.482, 0.247, 0.352, 0.396],</v>
      </c>
    </row>
  </sheetData>
  <phoneticPr fontId="1" type="noConversion"/>
  <conditionalFormatting sqref="D3:S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Y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518CF-7BDC-4200-AC76-8ED318FF3C3D}">
  <dimension ref="A1:AL5035"/>
  <sheetViews>
    <sheetView workbookViewId="0">
      <selection activeCell="S6" sqref="S6:S7"/>
    </sheetView>
  </sheetViews>
  <sheetFormatPr defaultRowHeight="15" x14ac:dyDescent="0.25"/>
  <cols>
    <col min="3" max="3" width="10.140625" bestFit="1" customWidth="1"/>
    <col min="17" max="17" width="10" bestFit="1" customWidth="1"/>
  </cols>
  <sheetData>
    <row r="1" spans="1:38" x14ac:dyDescent="0.25">
      <c r="A1" s="18" t="s">
        <v>276</v>
      </c>
    </row>
    <row r="2" spans="1:38" s="75" customFormat="1" ht="75" x14ac:dyDescent="0.25">
      <c r="A2" s="75" t="s">
        <v>104</v>
      </c>
      <c r="B2" s="75" t="s">
        <v>105</v>
      </c>
      <c r="C2" s="75" t="s">
        <v>106</v>
      </c>
      <c r="D2" s="75" t="s">
        <v>107</v>
      </c>
      <c r="E2" s="75" t="s">
        <v>108</v>
      </c>
      <c r="F2" s="75" t="s">
        <v>109</v>
      </c>
      <c r="G2" s="75" t="s">
        <v>110</v>
      </c>
      <c r="H2" s="75" t="s">
        <v>111</v>
      </c>
      <c r="I2" s="75" t="s">
        <v>112</v>
      </c>
      <c r="J2" s="75" t="s">
        <v>113</v>
      </c>
      <c r="K2" s="75" t="s">
        <v>114</v>
      </c>
      <c r="L2" s="75" t="s">
        <v>115</v>
      </c>
      <c r="M2" s="75" t="s">
        <v>116</v>
      </c>
      <c r="N2" s="75" t="s">
        <v>117</v>
      </c>
      <c r="O2" s="75" t="s">
        <v>118</v>
      </c>
      <c r="P2" s="75" t="s">
        <v>119</v>
      </c>
      <c r="U2" s="75" t="s">
        <v>120</v>
      </c>
      <c r="V2" s="75" t="s">
        <v>121</v>
      </c>
      <c r="W2" s="75" t="s">
        <v>122</v>
      </c>
      <c r="X2" s="75" t="s">
        <v>123</v>
      </c>
      <c r="Y2" s="75" t="s">
        <v>124</v>
      </c>
      <c r="Z2" s="75" t="s">
        <v>125</v>
      </c>
      <c r="AA2" s="75" t="s">
        <v>126</v>
      </c>
      <c r="AB2" s="75" t="s">
        <v>127</v>
      </c>
    </row>
    <row r="3" spans="1:38" s="75" customFormat="1" ht="300" x14ac:dyDescent="0.25">
      <c r="A3" s="75" t="s">
        <v>128</v>
      </c>
      <c r="B3" s="75" t="s">
        <v>129</v>
      </c>
      <c r="C3" s="75" t="s">
        <v>130</v>
      </c>
      <c r="D3" s="75" t="s">
        <v>131</v>
      </c>
      <c r="E3" s="75" t="s">
        <v>132</v>
      </c>
      <c r="F3" s="75" t="s">
        <v>133</v>
      </c>
      <c r="G3" s="75" t="s">
        <v>134</v>
      </c>
      <c r="H3" s="75" t="s">
        <v>135</v>
      </c>
      <c r="I3" s="75" t="s">
        <v>136</v>
      </c>
      <c r="J3" s="75" t="s">
        <v>137</v>
      </c>
      <c r="K3" s="75" t="s">
        <v>138</v>
      </c>
      <c r="L3" s="75" t="s">
        <v>139</v>
      </c>
      <c r="M3" s="75" t="s">
        <v>140</v>
      </c>
      <c r="N3" s="75" t="s">
        <v>141</v>
      </c>
      <c r="O3" s="75" t="s">
        <v>142</v>
      </c>
      <c r="P3" s="75" t="s">
        <v>143</v>
      </c>
      <c r="Q3" s="75" t="s">
        <v>1</v>
      </c>
      <c r="R3" s="75" t="s">
        <v>144</v>
      </c>
      <c r="U3" s="75" t="s">
        <v>145</v>
      </c>
      <c r="V3" s="75" t="s">
        <v>146</v>
      </c>
      <c r="W3" s="75" t="s">
        <v>147</v>
      </c>
      <c r="X3" s="75" t="s">
        <v>148</v>
      </c>
      <c r="Y3" s="75" t="s">
        <v>149</v>
      </c>
      <c r="Z3" s="75" t="s">
        <v>150</v>
      </c>
      <c r="AA3" s="75" t="s">
        <v>151</v>
      </c>
      <c r="AB3" s="75" t="s">
        <v>152</v>
      </c>
      <c r="AD3" t="s">
        <v>153</v>
      </c>
      <c r="AE3" t="s">
        <v>154</v>
      </c>
      <c r="AF3" t="s">
        <v>1</v>
      </c>
      <c r="AG3" t="s">
        <v>155</v>
      </c>
      <c r="AH3" t="s">
        <v>156</v>
      </c>
      <c r="AI3" t="s">
        <v>157</v>
      </c>
      <c r="AJ3" t="s">
        <v>158</v>
      </c>
      <c r="AK3" t="s">
        <v>159</v>
      </c>
      <c r="AL3" t="s">
        <v>160</v>
      </c>
    </row>
    <row r="4" spans="1:38" x14ac:dyDescent="0.25">
      <c r="A4" t="s">
        <v>161</v>
      </c>
      <c r="B4" t="s">
        <v>162</v>
      </c>
      <c r="C4" s="76">
        <v>43922</v>
      </c>
      <c r="D4">
        <v>416064</v>
      </c>
      <c r="E4">
        <v>380186</v>
      </c>
      <c r="F4">
        <v>451942</v>
      </c>
      <c r="G4">
        <v>350555</v>
      </c>
      <c r="H4">
        <v>54.3</v>
      </c>
      <c r="I4">
        <v>52.5</v>
      </c>
      <c r="J4">
        <v>56</v>
      </c>
      <c r="K4">
        <v>75104</v>
      </c>
      <c r="L4">
        <v>66243</v>
      </c>
      <c r="M4">
        <v>83964</v>
      </c>
      <c r="N4">
        <v>9.8000000000000007</v>
      </c>
      <c r="O4">
        <v>8.6</v>
      </c>
      <c r="P4">
        <v>11</v>
      </c>
      <c r="Q4" s="77">
        <v>329500000</v>
      </c>
      <c r="R4">
        <f>K4/(Q4)*100000</f>
        <v>22.793323216995447</v>
      </c>
      <c r="S4" s="78">
        <f>MIN(occ_rates)</f>
        <v>0</v>
      </c>
      <c r="U4">
        <v>66369</v>
      </c>
      <c r="V4">
        <v>56770</v>
      </c>
      <c r="W4">
        <v>75968</v>
      </c>
      <c r="X4">
        <v>45110</v>
      </c>
      <c r="Y4">
        <v>59.5</v>
      </c>
      <c r="Z4">
        <v>55.8</v>
      </c>
      <c r="AA4">
        <v>63.2</v>
      </c>
      <c r="AB4" t="s">
        <v>163</v>
      </c>
      <c r="AD4">
        <v>1</v>
      </c>
      <c r="AE4" t="s">
        <v>164</v>
      </c>
      <c r="AF4">
        <v>39613493</v>
      </c>
      <c r="AG4">
        <v>3.8E-3</v>
      </c>
      <c r="AH4">
        <v>39461588</v>
      </c>
      <c r="AI4">
        <v>37319502</v>
      </c>
      <c r="AJ4">
        <v>6.1499999999999999E-2</v>
      </c>
      <c r="AK4">
        <v>0.11840000000000001</v>
      </c>
      <c r="AL4">
        <v>254.2929</v>
      </c>
    </row>
    <row r="5" spans="1:38" x14ac:dyDescent="0.25">
      <c r="A5" t="s">
        <v>161</v>
      </c>
      <c r="B5" t="s">
        <v>162</v>
      </c>
      <c r="C5" s="76">
        <v>43923</v>
      </c>
      <c r="D5">
        <v>422892</v>
      </c>
      <c r="E5">
        <v>391381</v>
      </c>
      <c r="F5">
        <v>454403</v>
      </c>
      <c r="G5">
        <v>357231</v>
      </c>
      <c r="H5">
        <v>54.2</v>
      </c>
      <c r="I5">
        <v>52.7</v>
      </c>
      <c r="J5">
        <v>55.7</v>
      </c>
      <c r="K5">
        <v>76546</v>
      </c>
      <c r="L5">
        <v>67898</v>
      </c>
      <c r="M5">
        <v>85195</v>
      </c>
      <c r="N5">
        <v>9.8000000000000007</v>
      </c>
      <c r="O5">
        <v>8.6999999999999993</v>
      </c>
      <c r="P5">
        <v>10.9</v>
      </c>
      <c r="Q5">
        <v>329500000</v>
      </c>
      <c r="R5">
        <f t="shared" ref="R5:R68" si="0">K5/(Q5)*100000</f>
        <v>23.230955993930198</v>
      </c>
      <c r="S5" s="78">
        <f>MAX(occ_rates)</f>
        <v>124.37317943473623</v>
      </c>
      <c r="U5">
        <v>69385</v>
      </c>
      <c r="V5">
        <v>60557</v>
      </c>
      <c r="W5">
        <v>78214</v>
      </c>
      <c r="X5">
        <v>45784</v>
      </c>
      <c r="Y5">
        <v>60.2</v>
      </c>
      <c r="Z5">
        <v>57.1</v>
      </c>
      <c r="AA5">
        <v>63.4</v>
      </c>
      <c r="AB5" t="s">
        <v>165</v>
      </c>
      <c r="AD5">
        <v>2</v>
      </c>
      <c r="AE5" t="s">
        <v>166</v>
      </c>
      <c r="AF5">
        <v>29730311</v>
      </c>
      <c r="AG5">
        <v>3.85E-2</v>
      </c>
      <c r="AH5">
        <v>28628666</v>
      </c>
      <c r="AI5">
        <v>25241971</v>
      </c>
      <c r="AJ5">
        <v>0.17780000000000001</v>
      </c>
      <c r="AK5">
        <v>8.8900000000000007E-2</v>
      </c>
      <c r="AL5">
        <v>113.8081</v>
      </c>
    </row>
    <row r="6" spans="1:38" x14ac:dyDescent="0.25">
      <c r="A6" t="s">
        <v>161</v>
      </c>
      <c r="B6" t="s">
        <v>162</v>
      </c>
      <c r="C6" s="76">
        <v>43924</v>
      </c>
      <c r="D6">
        <v>408938</v>
      </c>
      <c r="E6">
        <v>382065</v>
      </c>
      <c r="F6">
        <v>435810</v>
      </c>
      <c r="G6">
        <v>364108</v>
      </c>
      <c r="H6">
        <v>52.9</v>
      </c>
      <c r="I6">
        <v>51.2</v>
      </c>
      <c r="J6">
        <v>54.6</v>
      </c>
      <c r="K6">
        <v>77122</v>
      </c>
      <c r="L6">
        <v>68537</v>
      </c>
      <c r="M6">
        <v>85707</v>
      </c>
      <c r="N6">
        <v>10</v>
      </c>
      <c r="O6">
        <v>8.9</v>
      </c>
      <c r="P6">
        <v>11.1</v>
      </c>
      <c r="Q6">
        <v>329500000</v>
      </c>
      <c r="R6">
        <f t="shared" si="0"/>
        <v>23.405766312594842</v>
      </c>
      <c r="S6" s="78">
        <f>_xlfn.PERCENTILE.INC(occ_rates,0.025)</f>
        <v>1.1276493166835877</v>
      </c>
      <c r="U6">
        <v>70580</v>
      </c>
      <c r="V6">
        <v>61067</v>
      </c>
      <c r="W6">
        <v>80092</v>
      </c>
      <c r="X6">
        <v>45788</v>
      </c>
      <c r="Y6">
        <v>60.7</v>
      </c>
      <c r="Z6">
        <v>57.3</v>
      </c>
      <c r="AA6">
        <v>64</v>
      </c>
      <c r="AB6" t="s">
        <v>167</v>
      </c>
      <c r="AD6">
        <v>3</v>
      </c>
      <c r="AE6" t="s">
        <v>168</v>
      </c>
      <c r="AF6">
        <v>21944577</v>
      </c>
      <c r="AG6">
        <v>3.3000000000000002E-2</v>
      </c>
      <c r="AH6">
        <v>21244317</v>
      </c>
      <c r="AI6">
        <v>18845537</v>
      </c>
      <c r="AJ6">
        <v>0.16439999999999999</v>
      </c>
      <c r="AK6">
        <v>6.5600000000000006E-2</v>
      </c>
      <c r="AL6">
        <v>409.22289999999998</v>
      </c>
    </row>
    <row r="7" spans="1:38" x14ac:dyDescent="0.25">
      <c r="A7" t="s">
        <v>161</v>
      </c>
      <c r="B7" t="s">
        <v>162</v>
      </c>
      <c r="C7" s="76">
        <v>43925</v>
      </c>
      <c r="D7">
        <v>398850</v>
      </c>
      <c r="E7">
        <v>374147</v>
      </c>
      <c r="F7">
        <v>423554</v>
      </c>
      <c r="G7">
        <v>375854</v>
      </c>
      <c r="H7">
        <v>51.5</v>
      </c>
      <c r="I7">
        <v>50</v>
      </c>
      <c r="J7">
        <v>53</v>
      </c>
      <c r="K7">
        <v>79742</v>
      </c>
      <c r="L7">
        <v>70862</v>
      </c>
      <c r="M7">
        <v>88622</v>
      </c>
      <c r="N7">
        <v>10.3</v>
      </c>
      <c r="O7">
        <v>9.1999999999999993</v>
      </c>
      <c r="P7">
        <v>11.4</v>
      </c>
      <c r="Q7">
        <v>329500000</v>
      </c>
      <c r="R7">
        <f t="shared" si="0"/>
        <v>24.200910470409713</v>
      </c>
      <c r="S7" s="78">
        <f>_xlfn.PERCENTILE.INC(occ_rates,0.975)</f>
        <v>61.117678367313275</v>
      </c>
      <c r="U7">
        <v>70134</v>
      </c>
      <c r="V7">
        <v>62054</v>
      </c>
      <c r="W7">
        <v>78215</v>
      </c>
      <c r="X7">
        <v>47622</v>
      </c>
      <c r="Y7">
        <v>59.6</v>
      </c>
      <c r="Z7">
        <v>56.6</v>
      </c>
      <c r="AA7">
        <v>62.5</v>
      </c>
      <c r="AB7" t="s">
        <v>169</v>
      </c>
      <c r="AD7">
        <v>4</v>
      </c>
      <c r="AE7" t="s">
        <v>170</v>
      </c>
      <c r="AF7">
        <v>19299981</v>
      </c>
      <c r="AG7">
        <v>-1.18E-2</v>
      </c>
      <c r="AH7">
        <v>19530351</v>
      </c>
      <c r="AI7">
        <v>19399878</v>
      </c>
      <c r="AJ7">
        <v>-5.1000000000000004E-3</v>
      </c>
      <c r="AK7">
        <v>5.7700000000000001E-2</v>
      </c>
      <c r="AL7">
        <v>409.54</v>
      </c>
    </row>
    <row r="8" spans="1:38" x14ac:dyDescent="0.25">
      <c r="A8" t="s">
        <v>161</v>
      </c>
      <c r="B8" t="s">
        <v>162</v>
      </c>
      <c r="C8" s="76">
        <v>43926</v>
      </c>
      <c r="D8">
        <v>400937</v>
      </c>
      <c r="E8">
        <v>376016</v>
      </c>
      <c r="F8">
        <v>425858</v>
      </c>
      <c r="G8">
        <v>381724</v>
      </c>
      <c r="H8">
        <v>51.2</v>
      </c>
      <c r="I8">
        <v>49.8</v>
      </c>
      <c r="J8">
        <v>52.6</v>
      </c>
      <c r="K8">
        <v>80287</v>
      </c>
      <c r="L8">
        <v>71361</v>
      </c>
      <c r="M8">
        <v>89213</v>
      </c>
      <c r="N8">
        <v>10.3</v>
      </c>
      <c r="O8">
        <v>9.1</v>
      </c>
      <c r="P8">
        <v>11.4</v>
      </c>
      <c r="Q8">
        <v>329500000</v>
      </c>
      <c r="R8">
        <f t="shared" si="0"/>
        <v>24.366312594840668</v>
      </c>
      <c r="U8">
        <v>69853</v>
      </c>
      <c r="V8">
        <v>61615</v>
      </c>
      <c r="W8">
        <v>78091</v>
      </c>
      <c r="X8">
        <v>48620</v>
      </c>
      <c r="Y8">
        <v>59</v>
      </c>
      <c r="Z8">
        <v>55.6</v>
      </c>
      <c r="AA8">
        <v>62.4</v>
      </c>
      <c r="AB8" t="s">
        <v>171</v>
      </c>
      <c r="AD8">
        <v>5</v>
      </c>
      <c r="AE8" t="s">
        <v>172</v>
      </c>
      <c r="AF8">
        <v>12804123</v>
      </c>
      <c r="AG8">
        <v>2.9999999999999997E-4</v>
      </c>
      <c r="AH8">
        <v>12800922</v>
      </c>
      <c r="AI8">
        <v>12711160</v>
      </c>
      <c r="AJ8">
        <v>7.3000000000000001E-3</v>
      </c>
      <c r="AK8">
        <v>3.8300000000000001E-2</v>
      </c>
      <c r="AL8">
        <v>286.17039999999997</v>
      </c>
    </row>
    <row r="9" spans="1:38" x14ac:dyDescent="0.25">
      <c r="A9" t="s">
        <v>161</v>
      </c>
      <c r="B9" t="s">
        <v>162</v>
      </c>
      <c r="C9" s="76">
        <v>43927</v>
      </c>
      <c r="D9">
        <v>411296</v>
      </c>
      <c r="E9">
        <v>386582</v>
      </c>
      <c r="F9">
        <v>436009</v>
      </c>
      <c r="G9">
        <v>375456</v>
      </c>
      <c r="H9">
        <v>52.3</v>
      </c>
      <c r="I9">
        <v>50.9</v>
      </c>
      <c r="J9">
        <v>53.7</v>
      </c>
      <c r="K9">
        <v>83611</v>
      </c>
      <c r="L9">
        <v>74390</v>
      </c>
      <c r="M9">
        <v>92832</v>
      </c>
      <c r="N9">
        <v>10.6</v>
      </c>
      <c r="O9">
        <v>9.5</v>
      </c>
      <c r="P9">
        <v>11.8</v>
      </c>
      <c r="Q9">
        <v>329500000</v>
      </c>
      <c r="R9">
        <f t="shared" si="0"/>
        <v>25.375113808801213</v>
      </c>
      <c r="U9">
        <v>70216</v>
      </c>
      <c r="V9">
        <v>63394</v>
      </c>
      <c r="W9">
        <v>77037</v>
      </c>
      <c r="X9">
        <v>48746</v>
      </c>
      <c r="Y9">
        <v>59</v>
      </c>
      <c r="Z9">
        <v>55.9</v>
      </c>
      <c r="AA9">
        <v>62.1</v>
      </c>
      <c r="AB9" t="s">
        <v>173</v>
      </c>
      <c r="AD9">
        <v>6</v>
      </c>
      <c r="AE9" t="s">
        <v>174</v>
      </c>
      <c r="AF9">
        <v>12569321</v>
      </c>
      <c r="AG9">
        <v>-1.21E-2</v>
      </c>
      <c r="AH9">
        <v>12723071</v>
      </c>
      <c r="AI9">
        <v>12840503</v>
      </c>
      <c r="AJ9">
        <v>-2.1100000000000001E-2</v>
      </c>
      <c r="AK9">
        <v>3.7600000000000001E-2</v>
      </c>
      <c r="AL9">
        <v>226.39670000000001</v>
      </c>
    </row>
    <row r="10" spans="1:38" x14ac:dyDescent="0.25">
      <c r="A10" t="s">
        <v>161</v>
      </c>
      <c r="B10" t="s">
        <v>162</v>
      </c>
      <c r="C10" s="76">
        <v>43928</v>
      </c>
      <c r="D10">
        <v>425765</v>
      </c>
      <c r="E10">
        <v>401245</v>
      </c>
      <c r="F10">
        <v>450285</v>
      </c>
      <c r="G10">
        <v>364210</v>
      </c>
      <c r="H10">
        <v>53.9</v>
      </c>
      <c r="I10">
        <v>52.5</v>
      </c>
      <c r="J10">
        <v>55.3</v>
      </c>
      <c r="K10">
        <v>85055</v>
      </c>
      <c r="L10">
        <v>75913</v>
      </c>
      <c r="M10">
        <v>94198</v>
      </c>
      <c r="N10">
        <v>10.8</v>
      </c>
      <c r="O10">
        <v>9.6</v>
      </c>
      <c r="P10">
        <v>11.9</v>
      </c>
      <c r="Q10">
        <v>329500000</v>
      </c>
      <c r="R10">
        <f t="shared" si="0"/>
        <v>25.813353566009106</v>
      </c>
      <c r="U10">
        <v>71042</v>
      </c>
      <c r="V10">
        <v>64157</v>
      </c>
      <c r="W10">
        <v>77926</v>
      </c>
      <c r="X10">
        <v>47417</v>
      </c>
      <c r="Y10">
        <v>60</v>
      </c>
      <c r="Z10">
        <v>57.3</v>
      </c>
      <c r="AA10">
        <v>62.7</v>
      </c>
      <c r="AB10" t="s">
        <v>175</v>
      </c>
      <c r="AD10">
        <v>7</v>
      </c>
      <c r="AE10" t="s">
        <v>176</v>
      </c>
      <c r="AF10">
        <v>11714618</v>
      </c>
      <c r="AG10">
        <v>3.3E-3</v>
      </c>
      <c r="AH10">
        <v>11676341</v>
      </c>
      <c r="AI10">
        <v>11539336</v>
      </c>
      <c r="AJ10">
        <v>1.52E-2</v>
      </c>
      <c r="AK10">
        <v>3.5000000000000003E-2</v>
      </c>
      <c r="AL10">
        <v>286.69439999999997</v>
      </c>
    </row>
    <row r="11" spans="1:38" x14ac:dyDescent="0.25">
      <c r="A11" t="s">
        <v>161</v>
      </c>
      <c r="B11" t="s">
        <v>162</v>
      </c>
      <c r="C11" s="76">
        <v>43929</v>
      </c>
      <c r="D11">
        <v>429115</v>
      </c>
      <c r="E11">
        <v>404686</v>
      </c>
      <c r="F11">
        <v>453544</v>
      </c>
      <c r="G11">
        <v>360208</v>
      </c>
      <c r="H11">
        <v>54.4</v>
      </c>
      <c r="I11">
        <v>53</v>
      </c>
      <c r="J11">
        <v>55.7</v>
      </c>
      <c r="K11">
        <v>85678</v>
      </c>
      <c r="L11">
        <v>76468</v>
      </c>
      <c r="M11">
        <v>94888</v>
      </c>
      <c r="N11">
        <v>10.9</v>
      </c>
      <c r="O11">
        <v>9.6999999999999993</v>
      </c>
      <c r="P11">
        <v>12</v>
      </c>
      <c r="Q11">
        <v>329500000</v>
      </c>
      <c r="R11">
        <f t="shared" si="0"/>
        <v>26.002427921092561</v>
      </c>
      <c r="U11">
        <v>72375</v>
      </c>
      <c r="V11">
        <v>65382</v>
      </c>
      <c r="W11">
        <v>79367</v>
      </c>
      <c r="X11">
        <v>47547</v>
      </c>
      <c r="Y11">
        <v>60.4</v>
      </c>
      <c r="Z11">
        <v>57.7</v>
      </c>
      <c r="AA11">
        <v>63</v>
      </c>
      <c r="AB11" t="s">
        <v>177</v>
      </c>
      <c r="AD11">
        <v>8</v>
      </c>
      <c r="AE11" t="s">
        <v>178</v>
      </c>
      <c r="AF11">
        <v>10830007</v>
      </c>
      <c r="AG11">
        <v>3.0300000000000001E-2</v>
      </c>
      <c r="AH11">
        <v>10511131</v>
      </c>
      <c r="AI11">
        <v>9711881</v>
      </c>
      <c r="AJ11">
        <v>0.11509999999999999</v>
      </c>
      <c r="AK11">
        <v>3.2399999999999998E-2</v>
      </c>
      <c r="AL11">
        <v>188.30539999999999</v>
      </c>
    </row>
    <row r="12" spans="1:38" x14ac:dyDescent="0.25">
      <c r="A12" t="s">
        <v>161</v>
      </c>
      <c r="B12" t="s">
        <v>162</v>
      </c>
      <c r="C12" s="76">
        <v>43930</v>
      </c>
      <c r="D12">
        <v>432042</v>
      </c>
      <c r="E12">
        <v>407419</v>
      </c>
      <c r="F12">
        <v>456664</v>
      </c>
      <c r="G12">
        <v>358292</v>
      </c>
      <c r="H12">
        <v>54.7</v>
      </c>
      <c r="I12">
        <v>53.3</v>
      </c>
      <c r="J12">
        <v>56</v>
      </c>
      <c r="K12">
        <v>84126</v>
      </c>
      <c r="L12">
        <v>74927</v>
      </c>
      <c r="M12">
        <v>93325</v>
      </c>
      <c r="N12">
        <v>10.6</v>
      </c>
      <c r="O12">
        <v>9.5</v>
      </c>
      <c r="P12">
        <v>11.8</v>
      </c>
      <c r="Q12">
        <v>329500000</v>
      </c>
      <c r="R12">
        <f t="shared" si="0"/>
        <v>25.531411229135053</v>
      </c>
      <c r="U12">
        <v>72516</v>
      </c>
      <c r="V12">
        <v>65463</v>
      </c>
      <c r="W12">
        <v>79568</v>
      </c>
      <c r="X12">
        <v>48148</v>
      </c>
      <c r="Y12">
        <v>60.1</v>
      </c>
      <c r="Z12">
        <v>57.4</v>
      </c>
      <c r="AA12">
        <v>62.8</v>
      </c>
      <c r="AB12" t="s">
        <v>179</v>
      </c>
      <c r="AD12">
        <v>9</v>
      </c>
      <c r="AE12" t="s">
        <v>180</v>
      </c>
      <c r="AF12">
        <v>10701022</v>
      </c>
      <c r="AG12">
        <v>3.0800000000000001E-2</v>
      </c>
      <c r="AH12">
        <v>10381615</v>
      </c>
      <c r="AI12">
        <v>9574323</v>
      </c>
      <c r="AJ12">
        <v>0.1177</v>
      </c>
      <c r="AK12">
        <v>3.2000000000000001E-2</v>
      </c>
      <c r="AL12">
        <v>220.10409999999999</v>
      </c>
    </row>
    <row r="13" spans="1:38" x14ac:dyDescent="0.25">
      <c r="A13" t="s">
        <v>161</v>
      </c>
      <c r="B13" t="s">
        <v>162</v>
      </c>
      <c r="C13" s="76">
        <v>43931</v>
      </c>
      <c r="D13">
        <v>428569</v>
      </c>
      <c r="E13">
        <v>405108</v>
      </c>
      <c r="F13">
        <v>452029</v>
      </c>
      <c r="G13">
        <v>365449</v>
      </c>
      <c r="H13">
        <v>54</v>
      </c>
      <c r="I13">
        <v>52.7</v>
      </c>
      <c r="J13">
        <v>55.3</v>
      </c>
      <c r="K13">
        <v>83802</v>
      </c>
      <c r="L13">
        <v>74586</v>
      </c>
      <c r="M13">
        <v>93017</v>
      </c>
      <c r="N13">
        <v>10.6</v>
      </c>
      <c r="O13">
        <v>9.4</v>
      </c>
      <c r="P13">
        <v>11.7</v>
      </c>
      <c r="Q13">
        <v>329500000</v>
      </c>
      <c r="R13">
        <f t="shared" si="0"/>
        <v>25.433080424886192</v>
      </c>
      <c r="U13">
        <v>72283</v>
      </c>
      <c r="V13">
        <v>65405</v>
      </c>
      <c r="W13">
        <v>79161</v>
      </c>
      <c r="X13">
        <v>48656</v>
      </c>
      <c r="Y13">
        <v>59.8</v>
      </c>
      <c r="Z13">
        <v>57.1</v>
      </c>
      <c r="AA13">
        <v>62.4</v>
      </c>
      <c r="AD13">
        <v>10</v>
      </c>
      <c r="AE13" t="s">
        <v>181</v>
      </c>
      <c r="AF13">
        <v>9992427</v>
      </c>
      <c r="AG13">
        <v>8.0000000000000004E-4</v>
      </c>
      <c r="AH13">
        <v>9984072</v>
      </c>
      <c r="AI13">
        <v>9877510</v>
      </c>
      <c r="AJ13">
        <v>1.1599999999999999E-2</v>
      </c>
      <c r="AK13">
        <v>2.9899999999999999E-2</v>
      </c>
      <c r="AL13">
        <v>176.73509999999999</v>
      </c>
    </row>
    <row r="14" spans="1:38" x14ac:dyDescent="0.25">
      <c r="A14" t="s">
        <v>161</v>
      </c>
      <c r="B14" t="s">
        <v>162</v>
      </c>
      <c r="C14" s="76">
        <v>43932</v>
      </c>
      <c r="D14">
        <v>416874</v>
      </c>
      <c r="E14">
        <v>393789</v>
      </c>
      <c r="F14">
        <v>439959</v>
      </c>
      <c r="G14">
        <v>380526</v>
      </c>
      <c r="H14">
        <v>52.3</v>
      </c>
      <c r="I14">
        <v>51</v>
      </c>
      <c r="J14">
        <v>53.6</v>
      </c>
      <c r="K14">
        <v>82319</v>
      </c>
      <c r="L14">
        <v>73194</v>
      </c>
      <c r="M14">
        <v>91445</v>
      </c>
      <c r="N14">
        <v>10.3</v>
      </c>
      <c r="O14">
        <v>9.1999999999999993</v>
      </c>
      <c r="P14">
        <v>11.4</v>
      </c>
      <c r="Q14">
        <v>329500000</v>
      </c>
      <c r="R14">
        <f t="shared" si="0"/>
        <v>24.98300455235205</v>
      </c>
      <c r="U14">
        <v>70797</v>
      </c>
      <c r="V14">
        <v>64297</v>
      </c>
      <c r="W14">
        <v>77296</v>
      </c>
      <c r="X14">
        <v>49810</v>
      </c>
      <c r="Y14">
        <v>58.7</v>
      </c>
      <c r="Z14">
        <v>56.2</v>
      </c>
      <c r="AA14">
        <v>61.2</v>
      </c>
      <c r="AD14">
        <v>11</v>
      </c>
      <c r="AE14" t="s">
        <v>182</v>
      </c>
      <c r="AF14">
        <v>8874520</v>
      </c>
      <c r="AG14">
        <v>-1.2999999999999999E-3</v>
      </c>
      <c r="AH14">
        <v>8886025</v>
      </c>
      <c r="AI14">
        <v>8799446</v>
      </c>
      <c r="AJ14">
        <v>8.5000000000000006E-3</v>
      </c>
      <c r="AK14">
        <v>2.6499999999999999E-2</v>
      </c>
      <c r="AL14">
        <v>1206.7609</v>
      </c>
    </row>
    <row r="15" spans="1:38" x14ac:dyDescent="0.25">
      <c r="A15" t="s">
        <v>161</v>
      </c>
      <c r="B15" t="s">
        <v>162</v>
      </c>
      <c r="C15" s="76">
        <v>43933</v>
      </c>
      <c r="D15">
        <v>416516</v>
      </c>
      <c r="E15">
        <v>392963</v>
      </c>
      <c r="F15">
        <v>440069</v>
      </c>
      <c r="G15">
        <v>385976</v>
      </c>
      <c r="H15">
        <v>51.9</v>
      </c>
      <c r="I15">
        <v>50.6</v>
      </c>
      <c r="J15">
        <v>53.2</v>
      </c>
      <c r="K15">
        <v>82025</v>
      </c>
      <c r="L15">
        <v>73068</v>
      </c>
      <c r="M15">
        <v>90983</v>
      </c>
      <c r="N15">
        <v>10.199999999999999</v>
      </c>
      <c r="O15">
        <v>9.1</v>
      </c>
      <c r="P15">
        <v>11.3</v>
      </c>
      <c r="Q15">
        <v>329500000</v>
      </c>
      <c r="R15">
        <f t="shared" si="0"/>
        <v>24.893778452200305</v>
      </c>
      <c r="U15">
        <v>69385</v>
      </c>
      <c r="V15">
        <v>63030</v>
      </c>
      <c r="W15">
        <v>75740</v>
      </c>
      <c r="X15">
        <v>50210</v>
      </c>
      <c r="Y15">
        <v>58</v>
      </c>
      <c r="Z15">
        <v>55.5</v>
      </c>
      <c r="AA15">
        <v>60.5</v>
      </c>
      <c r="AD15">
        <v>12</v>
      </c>
      <c r="AE15" t="s">
        <v>183</v>
      </c>
      <c r="AF15">
        <v>8603985</v>
      </c>
      <c r="AG15">
        <v>1.21E-2</v>
      </c>
      <c r="AH15">
        <v>8501286</v>
      </c>
      <c r="AI15">
        <v>8023699</v>
      </c>
      <c r="AJ15">
        <v>7.2300000000000003E-2</v>
      </c>
      <c r="AK15">
        <v>2.5700000000000001E-2</v>
      </c>
      <c r="AL15">
        <v>217.8776</v>
      </c>
    </row>
    <row r="16" spans="1:38" x14ac:dyDescent="0.25">
      <c r="A16" t="s">
        <v>161</v>
      </c>
      <c r="B16" t="s">
        <v>162</v>
      </c>
      <c r="C16" s="76">
        <v>43934</v>
      </c>
      <c r="D16">
        <v>417258</v>
      </c>
      <c r="E16">
        <v>398383</v>
      </c>
      <c r="F16">
        <v>436134</v>
      </c>
      <c r="G16">
        <v>381372</v>
      </c>
      <c r="H16">
        <v>52.2</v>
      </c>
      <c r="I16">
        <v>51</v>
      </c>
      <c r="J16">
        <v>53.5</v>
      </c>
      <c r="K16">
        <v>83619</v>
      </c>
      <c r="L16">
        <v>73415</v>
      </c>
      <c r="M16">
        <v>93823</v>
      </c>
      <c r="N16">
        <v>10.5</v>
      </c>
      <c r="O16">
        <v>9.3000000000000007</v>
      </c>
      <c r="P16">
        <v>11.6</v>
      </c>
      <c r="Q16">
        <v>329500000</v>
      </c>
      <c r="R16">
        <f t="shared" si="0"/>
        <v>25.377541729893778</v>
      </c>
      <c r="U16">
        <v>66256</v>
      </c>
      <c r="V16">
        <v>61772</v>
      </c>
      <c r="W16">
        <v>70739</v>
      </c>
      <c r="X16">
        <v>46476</v>
      </c>
      <c r="Y16">
        <v>58.8</v>
      </c>
      <c r="Z16">
        <v>56.6</v>
      </c>
      <c r="AA16">
        <v>60.9</v>
      </c>
      <c r="AD16">
        <v>13</v>
      </c>
      <c r="AE16" t="s">
        <v>184</v>
      </c>
      <c r="AF16">
        <v>7796941</v>
      </c>
      <c r="AG16">
        <v>3.6299999999999999E-2</v>
      </c>
      <c r="AH16">
        <v>7523869</v>
      </c>
      <c r="AI16">
        <v>6742830</v>
      </c>
      <c r="AJ16">
        <v>0.15629999999999999</v>
      </c>
      <c r="AK16">
        <v>2.3300000000000001E-2</v>
      </c>
      <c r="AL16">
        <v>117.3249</v>
      </c>
    </row>
    <row r="17" spans="1:38" x14ac:dyDescent="0.25">
      <c r="A17" t="s">
        <v>161</v>
      </c>
      <c r="B17" t="s">
        <v>162</v>
      </c>
      <c r="C17" s="76">
        <v>43935</v>
      </c>
      <c r="D17">
        <v>433270</v>
      </c>
      <c r="E17">
        <v>414264</v>
      </c>
      <c r="F17">
        <v>452276</v>
      </c>
      <c r="G17">
        <v>374065</v>
      </c>
      <c r="H17">
        <v>53.7</v>
      </c>
      <c r="I17">
        <v>52.4</v>
      </c>
      <c r="J17">
        <v>54.9</v>
      </c>
      <c r="K17">
        <v>83705</v>
      </c>
      <c r="L17">
        <v>73407</v>
      </c>
      <c r="M17">
        <v>94004</v>
      </c>
      <c r="N17">
        <v>10.4</v>
      </c>
      <c r="O17">
        <v>9.1999999999999993</v>
      </c>
      <c r="P17">
        <v>11.5</v>
      </c>
      <c r="Q17">
        <v>329500000</v>
      </c>
      <c r="R17">
        <f t="shared" si="0"/>
        <v>25.403641881638848</v>
      </c>
      <c r="U17">
        <v>67402</v>
      </c>
      <c r="V17">
        <v>63026</v>
      </c>
      <c r="W17">
        <v>71779</v>
      </c>
      <c r="X17">
        <v>44489</v>
      </c>
      <c r="Y17">
        <v>60.2</v>
      </c>
      <c r="Z17">
        <v>58.2</v>
      </c>
      <c r="AA17">
        <v>62.3</v>
      </c>
      <c r="AD17">
        <v>14</v>
      </c>
      <c r="AE17" t="s">
        <v>185</v>
      </c>
      <c r="AF17">
        <v>7520103</v>
      </c>
      <c r="AG17">
        <v>5.0599999999999999E-2</v>
      </c>
      <c r="AH17">
        <v>7158024</v>
      </c>
      <c r="AI17">
        <v>6407172</v>
      </c>
      <c r="AJ17">
        <v>0.17369999999999999</v>
      </c>
      <c r="AK17">
        <v>2.2499999999999999E-2</v>
      </c>
      <c r="AL17">
        <v>66.201599999999999</v>
      </c>
    </row>
    <row r="18" spans="1:38" x14ac:dyDescent="0.25">
      <c r="A18" t="s">
        <v>161</v>
      </c>
      <c r="B18" t="s">
        <v>162</v>
      </c>
      <c r="C18" s="76">
        <v>43936</v>
      </c>
      <c r="D18">
        <v>432829</v>
      </c>
      <c r="E18">
        <v>414086</v>
      </c>
      <c r="F18">
        <v>451571</v>
      </c>
      <c r="G18">
        <v>374261</v>
      </c>
      <c r="H18">
        <v>53.6</v>
      </c>
      <c r="I18">
        <v>52.4</v>
      </c>
      <c r="J18">
        <v>54.8</v>
      </c>
      <c r="K18">
        <v>82043</v>
      </c>
      <c r="L18">
        <v>71814</v>
      </c>
      <c r="M18">
        <v>92272</v>
      </c>
      <c r="N18">
        <v>10.199999999999999</v>
      </c>
      <c r="O18">
        <v>9</v>
      </c>
      <c r="P18">
        <v>11.3</v>
      </c>
      <c r="Q18">
        <v>329500000</v>
      </c>
      <c r="R18">
        <f t="shared" si="0"/>
        <v>24.899241274658575</v>
      </c>
      <c r="U18">
        <v>67492</v>
      </c>
      <c r="V18">
        <v>63232</v>
      </c>
      <c r="W18">
        <v>71753</v>
      </c>
      <c r="X18">
        <v>44911</v>
      </c>
      <c r="Y18">
        <v>60</v>
      </c>
      <c r="Z18">
        <v>58.1</v>
      </c>
      <c r="AA18">
        <v>62</v>
      </c>
      <c r="AD18">
        <v>15</v>
      </c>
      <c r="AE18" t="s">
        <v>186</v>
      </c>
      <c r="AF18">
        <v>6944260</v>
      </c>
      <c r="AG18">
        <v>2.5499999999999998E-2</v>
      </c>
      <c r="AH18">
        <v>6771631</v>
      </c>
      <c r="AI18">
        <v>6355311</v>
      </c>
      <c r="AJ18">
        <v>9.2700000000000005E-2</v>
      </c>
      <c r="AK18">
        <v>2.0799999999999999E-2</v>
      </c>
      <c r="AL18">
        <v>168.40690000000001</v>
      </c>
    </row>
    <row r="19" spans="1:38" x14ac:dyDescent="0.25">
      <c r="A19" t="s">
        <v>161</v>
      </c>
      <c r="B19" t="s">
        <v>162</v>
      </c>
      <c r="C19" s="76">
        <v>43937</v>
      </c>
      <c r="D19">
        <v>430603</v>
      </c>
      <c r="E19">
        <v>412049</v>
      </c>
      <c r="F19">
        <v>449157</v>
      </c>
      <c r="G19">
        <v>374048</v>
      </c>
      <c r="H19">
        <v>53.5</v>
      </c>
      <c r="I19">
        <v>52.3</v>
      </c>
      <c r="J19">
        <v>54.8</v>
      </c>
      <c r="K19">
        <v>81722</v>
      </c>
      <c r="L19">
        <v>71470</v>
      </c>
      <c r="M19">
        <v>91974</v>
      </c>
      <c r="N19">
        <v>10.199999999999999</v>
      </c>
      <c r="O19">
        <v>9</v>
      </c>
      <c r="P19">
        <v>11.3</v>
      </c>
      <c r="Q19">
        <v>329500000</v>
      </c>
      <c r="R19">
        <f t="shared" si="0"/>
        <v>24.801820940819425</v>
      </c>
      <c r="U19">
        <v>66839</v>
      </c>
      <c r="V19">
        <v>62706</v>
      </c>
      <c r="W19">
        <v>70972</v>
      </c>
      <c r="X19">
        <v>47926</v>
      </c>
      <c r="Y19">
        <v>58.2</v>
      </c>
      <c r="Z19">
        <v>56.1</v>
      </c>
      <c r="AA19">
        <v>60.3</v>
      </c>
      <c r="AD19">
        <v>16</v>
      </c>
      <c r="AE19" t="s">
        <v>187</v>
      </c>
      <c r="AF19">
        <v>6912239</v>
      </c>
      <c r="AG19">
        <v>4.3E-3</v>
      </c>
      <c r="AH19">
        <v>6882635</v>
      </c>
      <c r="AI19">
        <v>6566307</v>
      </c>
      <c r="AJ19">
        <v>5.2699999999999997E-2</v>
      </c>
      <c r="AK19">
        <v>2.07E-2</v>
      </c>
      <c r="AL19">
        <v>886.18449999999996</v>
      </c>
    </row>
    <row r="20" spans="1:38" x14ac:dyDescent="0.25">
      <c r="A20" t="s">
        <v>161</v>
      </c>
      <c r="B20" t="s">
        <v>162</v>
      </c>
      <c r="C20" s="76">
        <v>43938</v>
      </c>
      <c r="D20">
        <v>426195</v>
      </c>
      <c r="E20">
        <v>408112</v>
      </c>
      <c r="F20">
        <v>444279</v>
      </c>
      <c r="G20">
        <v>373293</v>
      </c>
      <c r="H20">
        <v>53.3</v>
      </c>
      <c r="I20">
        <v>52.1</v>
      </c>
      <c r="J20">
        <v>54.5</v>
      </c>
      <c r="K20">
        <v>80258</v>
      </c>
      <c r="L20">
        <v>70562</v>
      </c>
      <c r="M20">
        <v>89953</v>
      </c>
      <c r="N20">
        <v>10</v>
      </c>
      <c r="O20">
        <v>9</v>
      </c>
      <c r="P20">
        <v>11.1</v>
      </c>
      <c r="Q20">
        <v>329500000</v>
      </c>
      <c r="R20">
        <f t="shared" si="0"/>
        <v>24.357511380880123</v>
      </c>
      <c r="U20">
        <v>67418</v>
      </c>
      <c r="V20">
        <v>63248</v>
      </c>
      <c r="W20">
        <v>71588</v>
      </c>
      <c r="X20">
        <v>46794</v>
      </c>
      <c r="Y20">
        <v>59</v>
      </c>
      <c r="Z20">
        <v>57.2</v>
      </c>
      <c r="AA20">
        <v>60.9</v>
      </c>
      <c r="AD20">
        <v>17</v>
      </c>
      <c r="AE20" t="s">
        <v>188</v>
      </c>
      <c r="AF20">
        <v>6805663</v>
      </c>
      <c r="AG20">
        <v>1.6500000000000001E-2</v>
      </c>
      <c r="AH20">
        <v>6695497</v>
      </c>
      <c r="AI20">
        <v>6490432</v>
      </c>
      <c r="AJ20">
        <v>4.8599999999999997E-2</v>
      </c>
      <c r="AK20">
        <v>2.0299999999999999E-2</v>
      </c>
      <c r="AL20">
        <v>189.96440000000001</v>
      </c>
    </row>
    <row r="21" spans="1:38" x14ac:dyDescent="0.25">
      <c r="A21" t="s">
        <v>161</v>
      </c>
      <c r="B21" t="s">
        <v>162</v>
      </c>
      <c r="C21" s="76">
        <v>43939</v>
      </c>
      <c r="D21">
        <v>417907</v>
      </c>
      <c r="E21">
        <v>400275</v>
      </c>
      <c r="F21">
        <v>435540</v>
      </c>
      <c r="G21">
        <v>383836</v>
      </c>
      <c r="H21">
        <v>52.1</v>
      </c>
      <c r="I21">
        <v>50.9</v>
      </c>
      <c r="J21">
        <v>53.3</v>
      </c>
      <c r="K21">
        <v>77457</v>
      </c>
      <c r="L21">
        <v>68051</v>
      </c>
      <c r="M21">
        <v>86862</v>
      </c>
      <c r="N21">
        <v>9.6999999999999993</v>
      </c>
      <c r="O21">
        <v>8.6</v>
      </c>
      <c r="P21">
        <v>10.7</v>
      </c>
      <c r="Q21">
        <v>329500000</v>
      </c>
      <c r="R21">
        <f t="shared" si="0"/>
        <v>23.507435508345978</v>
      </c>
      <c r="U21">
        <v>66422</v>
      </c>
      <c r="V21">
        <v>62365</v>
      </c>
      <c r="W21">
        <v>70479</v>
      </c>
      <c r="X21">
        <v>48890</v>
      </c>
      <c r="Y21">
        <v>57.6</v>
      </c>
      <c r="Z21">
        <v>55.7</v>
      </c>
      <c r="AA21">
        <v>59.5</v>
      </c>
      <c r="AD21">
        <v>18</v>
      </c>
      <c r="AE21" t="s">
        <v>189</v>
      </c>
      <c r="AF21">
        <v>6169038</v>
      </c>
      <c r="AG21">
        <v>7.7000000000000002E-3</v>
      </c>
      <c r="AH21">
        <v>6121623</v>
      </c>
      <c r="AI21">
        <v>5995974</v>
      </c>
      <c r="AJ21">
        <v>2.8899999999999999E-2</v>
      </c>
      <c r="AK21">
        <v>1.84E-2</v>
      </c>
      <c r="AL21">
        <v>89.741900000000001</v>
      </c>
    </row>
    <row r="22" spans="1:38" x14ac:dyDescent="0.25">
      <c r="A22" t="s">
        <v>161</v>
      </c>
      <c r="B22" t="s">
        <v>162</v>
      </c>
      <c r="C22" s="76">
        <v>43940</v>
      </c>
      <c r="D22">
        <v>413949</v>
      </c>
      <c r="E22">
        <v>396215</v>
      </c>
      <c r="F22">
        <v>431683</v>
      </c>
      <c r="G22">
        <v>383415</v>
      </c>
      <c r="H22">
        <v>51.9</v>
      </c>
      <c r="I22">
        <v>50.7</v>
      </c>
      <c r="J22">
        <v>53.1</v>
      </c>
      <c r="K22">
        <v>78451</v>
      </c>
      <c r="L22">
        <v>69130</v>
      </c>
      <c r="M22">
        <v>87772</v>
      </c>
      <c r="N22">
        <v>9.8000000000000007</v>
      </c>
      <c r="O22">
        <v>8.8000000000000007</v>
      </c>
      <c r="P22">
        <v>10.9</v>
      </c>
      <c r="Q22">
        <v>329500000</v>
      </c>
      <c r="R22">
        <f t="shared" si="0"/>
        <v>23.809104704097116</v>
      </c>
      <c r="U22">
        <v>66038</v>
      </c>
      <c r="V22">
        <v>61936</v>
      </c>
      <c r="W22">
        <v>70140</v>
      </c>
      <c r="X22">
        <v>47925</v>
      </c>
      <c r="Y22">
        <v>57.9</v>
      </c>
      <c r="Z22">
        <v>56</v>
      </c>
      <c r="AA22">
        <v>59.9</v>
      </c>
      <c r="AD22">
        <v>19</v>
      </c>
      <c r="AE22" t="s">
        <v>190</v>
      </c>
      <c r="AF22">
        <v>6065436</v>
      </c>
      <c r="AG22">
        <v>4.8999999999999998E-3</v>
      </c>
      <c r="AH22">
        <v>6035802</v>
      </c>
      <c r="AI22">
        <v>5788645</v>
      </c>
      <c r="AJ22">
        <v>4.7800000000000002E-2</v>
      </c>
      <c r="AK22">
        <v>1.8100000000000002E-2</v>
      </c>
      <c r="AL22">
        <v>624.85180000000003</v>
      </c>
    </row>
    <row r="23" spans="1:38" x14ac:dyDescent="0.25">
      <c r="A23" t="s">
        <v>161</v>
      </c>
      <c r="B23" t="s">
        <v>162</v>
      </c>
      <c r="C23" s="76">
        <v>43941</v>
      </c>
      <c r="D23">
        <v>423557</v>
      </c>
      <c r="E23">
        <v>405556</v>
      </c>
      <c r="F23">
        <v>441558</v>
      </c>
      <c r="G23">
        <v>371315</v>
      </c>
      <c r="H23">
        <v>53.3</v>
      </c>
      <c r="I23">
        <v>52.1</v>
      </c>
      <c r="J23">
        <v>54.5</v>
      </c>
      <c r="K23">
        <v>81357</v>
      </c>
      <c r="L23">
        <v>71981</v>
      </c>
      <c r="M23">
        <v>90733</v>
      </c>
      <c r="N23">
        <v>10.199999999999999</v>
      </c>
      <c r="O23">
        <v>9.1999999999999993</v>
      </c>
      <c r="P23">
        <v>11.3</v>
      </c>
      <c r="Q23">
        <v>329500000</v>
      </c>
      <c r="R23">
        <f t="shared" si="0"/>
        <v>24.691047040971171</v>
      </c>
      <c r="U23">
        <v>66876</v>
      </c>
      <c r="V23">
        <v>62788</v>
      </c>
      <c r="W23">
        <v>70964</v>
      </c>
      <c r="X23">
        <v>47391</v>
      </c>
      <c r="Y23">
        <v>58.5</v>
      </c>
      <c r="Z23">
        <v>56.6</v>
      </c>
      <c r="AA23">
        <v>60.4</v>
      </c>
      <c r="AD23">
        <v>20</v>
      </c>
      <c r="AE23" t="s">
        <v>191</v>
      </c>
      <c r="AF23">
        <v>5893634</v>
      </c>
      <c r="AG23">
        <v>3.56E-2</v>
      </c>
      <c r="AH23">
        <v>5691287</v>
      </c>
      <c r="AI23">
        <v>5047349</v>
      </c>
      <c r="AJ23">
        <v>0.16769999999999999</v>
      </c>
      <c r="AK23">
        <v>1.7600000000000001E-2</v>
      </c>
      <c r="AL23">
        <v>56.865299999999998</v>
      </c>
    </row>
    <row r="24" spans="1:38" x14ac:dyDescent="0.25">
      <c r="A24" t="s">
        <v>161</v>
      </c>
      <c r="B24" t="s">
        <v>162</v>
      </c>
      <c r="C24" s="76">
        <v>43942</v>
      </c>
      <c r="D24">
        <v>436753</v>
      </c>
      <c r="E24">
        <v>417939</v>
      </c>
      <c r="F24">
        <v>455566</v>
      </c>
      <c r="G24">
        <v>355952</v>
      </c>
      <c r="H24">
        <v>55.1</v>
      </c>
      <c r="I24">
        <v>53.9</v>
      </c>
      <c r="J24">
        <v>56.3</v>
      </c>
      <c r="K24">
        <v>84568</v>
      </c>
      <c r="L24">
        <v>74692</v>
      </c>
      <c r="M24">
        <v>94444</v>
      </c>
      <c r="N24">
        <v>10.7</v>
      </c>
      <c r="O24">
        <v>9.6</v>
      </c>
      <c r="P24">
        <v>11.8</v>
      </c>
      <c r="Q24">
        <v>329500000</v>
      </c>
      <c r="R24">
        <f t="shared" si="0"/>
        <v>25.665553869499242</v>
      </c>
      <c r="U24">
        <v>67957</v>
      </c>
      <c r="V24">
        <v>63513</v>
      </c>
      <c r="W24">
        <v>72400</v>
      </c>
      <c r="X24">
        <v>46810</v>
      </c>
      <c r="Y24">
        <v>59.2</v>
      </c>
      <c r="Z24">
        <v>57.3</v>
      </c>
      <c r="AA24">
        <v>61.2</v>
      </c>
      <c r="AD24">
        <v>21</v>
      </c>
      <c r="AE24" t="s">
        <v>192</v>
      </c>
      <c r="AF24">
        <v>5852490</v>
      </c>
      <c r="AG24">
        <v>7.7999999999999996E-3</v>
      </c>
      <c r="AH24">
        <v>5807406</v>
      </c>
      <c r="AI24">
        <v>5690475</v>
      </c>
      <c r="AJ24">
        <v>2.8500000000000001E-2</v>
      </c>
      <c r="AK24">
        <v>1.7500000000000002E-2</v>
      </c>
      <c r="AL24">
        <v>108.0633</v>
      </c>
    </row>
    <row r="25" spans="1:38" x14ac:dyDescent="0.25">
      <c r="A25" t="s">
        <v>161</v>
      </c>
      <c r="B25" t="s">
        <v>162</v>
      </c>
      <c r="C25" s="76">
        <v>43943</v>
      </c>
      <c r="D25">
        <v>439034</v>
      </c>
      <c r="E25">
        <v>419850</v>
      </c>
      <c r="F25">
        <v>458217</v>
      </c>
      <c r="G25">
        <v>353470</v>
      </c>
      <c r="H25">
        <v>55.4</v>
      </c>
      <c r="I25">
        <v>54.2</v>
      </c>
      <c r="J25">
        <v>56.6</v>
      </c>
      <c r="K25">
        <v>80696</v>
      </c>
      <c r="L25">
        <v>70967</v>
      </c>
      <c r="M25">
        <v>90425</v>
      </c>
      <c r="N25">
        <v>10.199999999999999</v>
      </c>
      <c r="O25">
        <v>9.1</v>
      </c>
      <c r="P25">
        <v>11.3</v>
      </c>
      <c r="Q25">
        <v>329500000</v>
      </c>
      <c r="R25">
        <f t="shared" si="0"/>
        <v>24.490440060698027</v>
      </c>
      <c r="U25">
        <v>68481</v>
      </c>
      <c r="V25">
        <v>64050</v>
      </c>
      <c r="W25">
        <v>72911</v>
      </c>
      <c r="X25">
        <v>46010</v>
      </c>
      <c r="Y25">
        <v>59.8</v>
      </c>
      <c r="Z25">
        <v>58</v>
      </c>
      <c r="AA25">
        <v>61.7</v>
      </c>
      <c r="AD25">
        <v>22</v>
      </c>
      <c r="AE25" t="s">
        <v>193</v>
      </c>
      <c r="AF25">
        <v>5706398</v>
      </c>
      <c r="AG25">
        <v>1.7899999999999999E-2</v>
      </c>
      <c r="AH25">
        <v>5606249</v>
      </c>
      <c r="AI25">
        <v>5310828</v>
      </c>
      <c r="AJ25">
        <v>7.4499999999999997E-2</v>
      </c>
      <c r="AK25">
        <v>1.7100000000000001E-2</v>
      </c>
      <c r="AL25">
        <v>71.664100000000005</v>
      </c>
    </row>
    <row r="26" spans="1:38" x14ac:dyDescent="0.25">
      <c r="A26" t="s">
        <v>161</v>
      </c>
      <c r="B26" t="s">
        <v>162</v>
      </c>
      <c r="C26" s="76">
        <v>43944</v>
      </c>
      <c r="D26">
        <v>441215</v>
      </c>
      <c r="E26">
        <v>421838</v>
      </c>
      <c r="F26">
        <v>460592</v>
      </c>
      <c r="G26">
        <v>352669</v>
      </c>
      <c r="H26">
        <v>55.6</v>
      </c>
      <c r="I26">
        <v>54.4</v>
      </c>
      <c r="J26">
        <v>56.8</v>
      </c>
      <c r="K26">
        <v>79675</v>
      </c>
      <c r="L26">
        <v>70110</v>
      </c>
      <c r="M26">
        <v>89239</v>
      </c>
      <c r="N26">
        <v>10</v>
      </c>
      <c r="O26">
        <v>9</v>
      </c>
      <c r="P26">
        <v>11.1</v>
      </c>
      <c r="Q26">
        <v>329500000</v>
      </c>
      <c r="R26">
        <f t="shared" si="0"/>
        <v>24.180576631259484</v>
      </c>
      <c r="U26">
        <v>68500</v>
      </c>
      <c r="V26">
        <v>63994</v>
      </c>
      <c r="W26">
        <v>73006</v>
      </c>
      <c r="X26">
        <v>45996</v>
      </c>
      <c r="Y26">
        <v>59.8</v>
      </c>
      <c r="Z26">
        <v>57.9</v>
      </c>
      <c r="AA26">
        <v>61.7</v>
      </c>
      <c r="AD26">
        <v>23</v>
      </c>
      <c r="AE26" t="s">
        <v>194</v>
      </c>
      <c r="AF26">
        <v>5277830</v>
      </c>
      <c r="AG26">
        <v>3.8100000000000002E-2</v>
      </c>
      <c r="AH26">
        <v>5084156</v>
      </c>
      <c r="AI26">
        <v>4635649</v>
      </c>
      <c r="AJ26">
        <v>0.13850000000000001</v>
      </c>
      <c r="AK26">
        <v>1.5800000000000002E-2</v>
      </c>
      <c r="AL26">
        <v>175.57069999999999</v>
      </c>
    </row>
    <row r="27" spans="1:38" x14ac:dyDescent="0.25">
      <c r="A27" t="s">
        <v>161</v>
      </c>
      <c r="B27" t="s">
        <v>162</v>
      </c>
      <c r="C27" s="76">
        <v>43945</v>
      </c>
      <c r="D27">
        <v>438227</v>
      </c>
      <c r="E27">
        <v>419087</v>
      </c>
      <c r="F27">
        <v>457368</v>
      </c>
      <c r="G27">
        <v>355186</v>
      </c>
      <c r="H27">
        <v>55.2</v>
      </c>
      <c r="I27">
        <v>54.1</v>
      </c>
      <c r="J27">
        <v>56.4</v>
      </c>
      <c r="K27">
        <v>77929</v>
      </c>
      <c r="L27">
        <v>68640</v>
      </c>
      <c r="M27">
        <v>87218</v>
      </c>
      <c r="N27">
        <v>9.8000000000000007</v>
      </c>
      <c r="O27">
        <v>8.8000000000000007</v>
      </c>
      <c r="P27">
        <v>10.8</v>
      </c>
      <c r="Q27">
        <v>329500000</v>
      </c>
      <c r="R27">
        <f t="shared" si="0"/>
        <v>23.650682852807282</v>
      </c>
      <c r="U27">
        <v>68203</v>
      </c>
      <c r="V27">
        <v>63749</v>
      </c>
      <c r="W27">
        <v>72656</v>
      </c>
      <c r="X27">
        <v>47955</v>
      </c>
      <c r="Y27">
        <v>58.7</v>
      </c>
      <c r="Z27">
        <v>56.8</v>
      </c>
      <c r="AA27">
        <v>60.6</v>
      </c>
      <c r="AD27">
        <v>24</v>
      </c>
      <c r="AE27" t="s">
        <v>195</v>
      </c>
      <c r="AF27">
        <v>4934193</v>
      </c>
      <c r="AG27">
        <v>9.4999999999999998E-3</v>
      </c>
      <c r="AH27">
        <v>4887681</v>
      </c>
      <c r="AI27">
        <v>4785437</v>
      </c>
      <c r="AJ27">
        <v>3.1099999999999999E-2</v>
      </c>
      <c r="AK27">
        <v>1.47E-2</v>
      </c>
      <c r="AL27">
        <v>97.427099999999996</v>
      </c>
    </row>
    <row r="28" spans="1:38" x14ac:dyDescent="0.25">
      <c r="A28" t="s">
        <v>161</v>
      </c>
      <c r="B28" t="s">
        <v>162</v>
      </c>
      <c r="C28" s="76">
        <v>43946</v>
      </c>
      <c r="D28">
        <v>427253</v>
      </c>
      <c r="E28">
        <v>408358</v>
      </c>
      <c r="F28">
        <v>446148</v>
      </c>
      <c r="G28">
        <v>362911</v>
      </c>
      <c r="H28">
        <v>54.1</v>
      </c>
      <c r="I28">
        <v>52.9</v>
      </c>
      <c r="J28">
        <v>55.3</v>
      </c>
      <c r="K28">
        <v>77501</v>
      </c>
      <c r="L28">
        <v>68177</v>
      </c>
      <c r="M28">
        <v>86824</v>
      </c>
      <c r="N28">
        <v>9.8000000000000007</v>
      </c>
      <c r="O28">
        <v>8.8000000000000007</v>
      </c>
      <c r="P28">
        <v>10.8</v>
      </c>
      <c r="Q28">
        <v>329500000</v>
      </c>
      <c r="R28">
        <f t="shared" si="0"/>
        <v>23.520789074355083</v>
      </c>
      <c r="U28">
        <v>67617</v>
      </c>
      <c r="V28">
        <v>63089</v>
      </c>
      <c r="W28">
        <v>72144</v>
      </c>
      <c r="X28">
        <v>48372</v>
      </c>
      <c r="Y28">
        <v>58.3</v>
      </c>
      <c r="Z28">
        <v>56.4</v>
      </c>
      <c r="AA28">
        <v>60.2</v>
      </c>
      <c r="AD28">
        <v>25</v>
      </c>
      <c r="AE28" t="s">
        <v>196</v>
      </c>
      <c r="AF28">
        <v>4627002</v>
      </c>
      <c r="AG28">
        <v>-7.0000000000000001E-3</v>
      </c>
      <c r="AH28">
        <v>4659690</v>
      </c>
      <c r="AI28">
        <v>4544532</v>
      </c>
      <c r="AJ28">
        <v>1.8100000000000002E-2</v>
      </c>
      <c r="AK28">
        <v>1.38E-2</v>
      </c>
      <c r="AL28">
        <v>107.0966</v>
      </c>
    </row>
    <row r="29" spans="1:38" x14ac:dyDescent="0.25">
      <c r="A29" t="s">
        <v>161</v>
      </c>
      <c r="B29" t="s">
        <v>162</v>
      </c>
      <c r="C29" s="76">
        <v>43947</v>
      </c>
      <c r="D29">
        <v>424088</v>
      </c>
      <c r="E29">
        <v>405264</v>
      </c>
      <c r="F29">
        <v>442911</v>
      </c>
      <c r="G29">
        <v>365823</v>
      </c>
      <c r="H29">
        <v>53.7</v>
      </c>
      <c r="I29">
        <v>52.5</v>
      </c>
      <c r="J29">
        <v>54.9</v>
      </c>
      <c r="K29">
        <v>78277</v>
      </c>
      <c r="L29">
        <v>68948</v>
      </c>
      <c r="M29">
        <v>87607</v>
      </c>
      <c r="N29">
        <v>9.9</v>
      </c>
      <c r="O29">
        <v>8.9</v>
      </c>
      <c r="P29">
        <v>10.9</v>
      </c>
      <c r="Q29">
        <v>329500000</v>
      </c>
      <c r="R29">
        <f t="shared" si="0"/>
        <v>23.756297420333837</v>
      </c>
      <c r="U29">
        <v>66352</v>
      </c>
      <c r="V29">
        <v>61977</v>
      </c>
      <c r="W29">
        <v>70726</v>
      </c>
      <c r="X29">
        <v>49403</v>
      </c>
      <c r="Y29">
        <v>57.3</v>
      </c>
      <c r="Z29">
        <v>55.4</v>
      </c>
      <c r="AA29">
        <v>59.2</v>
      </c>
      <c r="AD29">
        <v>26</v>
      </c>
      <c r="AE29" t="s">
        <v>197</v>
      </c>
      <c r="AF29">
        <v>4480713</v>
      </c>
      <c r="AG29">
        <v>4.4000000000000003E-3</v>
      </c>
      <c r="AH29">
        <v>4461153</v>
      </c>
      <c r="AI29">
        <v>4348181</v>
      </c>
      <c r="AJ29">
        <v>3.0499999999999999E-2</v>
      </c>
      <c r="AK29">
        <v>1.34E-2</v>
      </c>
      <c r="AL29">
        <v>113.476</v>
      </c>
    </row>
    <row r="30" spans="1:38" x14ac:dyDescent="0.25">
      <c r="A30" t="s">
        <v>161</v>
      </c>
      <c r="B30" t="s">
        <v>162</v>
      </c>
      <c r="C30" s="76">
        <v>43948</v>
      </c>
      <c r="D30">
        <v>439195</v>
      </c>
      <c r="E30">
        <v>420279</v>
      </c>
      <c r="F30">
        <v>458111</v>
      </c>
      <c r="G30">
        <v>354633</v>
      </c>
      <c r="H30">
        <v>55.3</v>
      </c>
      <c r="I30">
        <v>54.2</v>
      </c>
      <c r="J30">
        <v>56.5</v>
      </c>
      <c r="K30">
        <v>79062</v>
      </c>
      <c r="L30">
        <v>69784</v>
      </c>
      <c r="M30">
        <v>88340</v>
      </c>
      <c r="N30">
        <v>10</v>
      </c>
      <c r="O30">
        <v>8.9</v>
      </c>
      <c r="P30">
        <v>11</v>
      </c>
      <c r="Q30">
        <v>329500000</v>
      </c>
      <c r="R30">
        <f t="shared" si="0"/>
        <v>23.99453717754173</v>
      </c>
      <c r="U30">
        <v>67434</v>
      </c>
      <c r="V30">
        <v>62949</v>
      </c>
      <c r="W30">
        <v>71920</v>
      </c>
      <c r="X30">
        <v>49213</v>
      </c>
      <c r="Y30">
        <v>57.8</v>
      </c>
      <c r="Z30">
        <v>56</v>
      </c>
      <c r="AA30">
        <v>59.6</v>
      </c>
      <c r="AD30">
        <v>27</v>
      </c>
      <c r="AE30" t="s">
        <v>198</v>
      </c>
      <c r="AF30">
        <v>4289439</v>
      </c>
      <c r="AG30">
        <v>2.5700000000000001E-2</v>
      </c>
      <c r="AH30">
        <v>4181886</v>
      </c>
      <c r="AI30">
        <v>3837491</v>
      </c>
      <c r="AJ30">
        <v>0.1178</v>
      </c>
      <c r="AK30">
        <v>1.2800000000000001E-2</v>
      </c>
      <c r="AL30">
        <v>44.687199999999997</v>
      </c>
    </row>
    <row r="31" spans="1:38" x14ac:dyDescent="0.25">
      <c r="A31" t="s">
        <v>161</v>
      </c>
      <c r="B31" t="s">
        <v>162</v>
      </c>
      <c r="C31" s="76">
        <v>43949</v>
      </c>
      <c r="D31">
        <v>452979</v>
      </c>
      <c r="E31">
        <v>434114</v>
      </c>
      <c r="F31">
        <v>471844</v>
      </c>
      <c r="G31">
        <v>347587</v>
      </c>
      <c r="H31">
        <v>56.6</v>
      </c>
      <c r="I31">
        <v>55.4</v>
      </c>
      <c r="J31">
        <v>57.7</v>
      </c>
      <c r="K31">
        <v>79067</v>
      </c>
      <c r="L31">
        <v>70438</v>
      </c>
      <c r="M31">
        <v>87696</v>
      </c>
      <c r="N31">
        <v>9.9</v>
      </c>
      <c r="O31">
        <v>9</v>
      </c>
      <c r="P31">
        <v>10.8</v>
      </c>
      <c r="Q31">
        <v>329500000</v>
      </c>
      <c r="R31">
        <f t="shared" si="0"/>
        <v>23.996054628224584</v>
      </c>
      <c r="U31">
        <v>69013</v>
      </c>
      <c r="V31">
        <v>64758</v>
      </c>
      <c r="W31">
        <v>73268</v>
      </c>
      <c r="X31">
        <v>48639</v>
      </c>
      <c r="Y31">
        <v>58.7</v>
      </c>
      <c r="Z31">
        <v>56.9</v>
      </c>
      <c r="AA31">
        <v>60.5</v>
      </c>
      <c r="AD31">
        <v>28</v>
      </c>
      <c r="AE31" t="s">
        <v>199</v>
      </c>
      <c r="AF31">
        <v>3990443</v>
      </c>
      <c r="AG31">
        <v>1.2699999999999999E-2</v>
      </c>
      <c r="AH31">
        <v>3940235</v>
      </c>
      <c r="AI31">
        <v>3759944</v>
      </c>
      <c r="AJ31">
        <v>6.13E-2</v>
      </c>
      <c r="AK31">
        <v>1.1900000000000001E-2</v>
      </c>
      <c r="AL31">
        <v>58.173999999999999</v>
      </c>
    </row>
    <row r="32" spans="1:38" x14ac:dyDescent="0.25">
      <c r="A32" t="s">
        <v>161</v>
      </c>
      <c r="B32" t="s">
        <v>162</v>
      </c>
      <c r="C32" s="76">
        <v>43950</v>
      </c>
      <c r="D32">
        <v>458716</v>
      </c>
      <c r="E32">
        <v>439832</v>
      </c>
      <c r="F32">
        <v>477601</v>
      </c>
      <c r="G32">
        <v>344548</v>
      </c>
      <c r="H32">
        <v>57.1</v>
      </c>
      <c r="I32">
        <v>56</v>
      </c>
      <c r="J32">
        <v>58.2</v>
      </c>
      <c r="K32">
        <v>79449</v>
      </c>
      <c r="L32">
        <v>71005</v>
      </c>
      <c r="M32">
        <v>87892</v>
      </c>
      <c r="N32">
        <v>9.9</v>
      </c>
      <c r="O32">
        <v>9</v>
      </c>
      <c r="P32">
        <v>10.8</v>
      </c>
      <c r="Q32">
        <v>329500000</v>
      </c>
      <c r="R32">
        <f t="shared" si="0"/>
        <v>24.111987860394539</v>
      </c>
      <c r="U32">
        <v>69481</v>
      </c>
      <c r="V32">
        <v>65223</v>
      </c>
      <c r="W32">
        <v>73739</v>
      </c>
      <c r="X32">
        <v>48684</v>
      </c>
      <c r="Y32">
        <v>58.8</v>
      </c>
      <c r="Z32">
        <v>57</v>
      </c>
      <c r="AA32">
        <v>60.6</v>
      </c>
      <c r="AD32">
        <v>29</v>
      </c>
      <c r="AE32" t="s">
        <v>200</v>
      </c>
      <c r="AF32">
        <v>3552821</v>
      </c>
      <c r="AG32">
        <v>-5.1999999999999998E-3</v>
      </c>
      <c r="AH32">
        <v>3571520</v>
      </c>
      <c r="AI32">
        <v>3579114</v>
      </c>
      <c r="AJ32">
        <v>-7.3000000000000001E-3</v>
      </c>
      <c r="AK32">
        <v>1.06E-2</v>
      </c>
      <c r="AL32">
        <v>733.75070000000005</v>
      </c>
    </row>
    <row r="33" spans="1:38" x14ac:dyDescent="0.25">
      <c r="A33" t="s">
        <v>161</v>
      </c>
      <c r="B33" t="s">
        <v>162</v>
      </c>
      <c r="C33" s="76">
        <v>43951</v>
      </c>
      <c r="D33">
        <v>452161</v>
      </c>
      <c r="E33">
        <v>433653</v>
      </c>
      <c r="F33">
        <v>470668</v>
      </c>
      <c r="G33">
        <v>351014</v>
      </c>
      <c r="H33">
        <v>56.3</v>
      </c>
      <c r="I33">
        <v>55.1</v>
      </c>
      <c r="J33">
        <v>57.4</v>
      </c>
      <c r="K33">
        <v>76154</v>
      </c>
      <c r="L33">
        <v>68122</v>
      </c>
      <c r="M33">
        <v>84185</v>
      </c>
      <c r="N33">
        <v>9.5</v>
      </c>
      <c r="O33">
        <v>8.6</v>
      </c>
      <c r="P33">
        <v>10.3</v>
      </c>
      <c r="Q33">
        <v>329500000</v>
      </c>
      <c r="R33">
        <f t="shared" si="0"/>
        <v>23.111987860394539</v>
      </c>
      <c r="U33">
        <v>68477</v>
      </c>
      <c r="V33">
        <v>64367</v>
      </c>
      <c r="W33">
        <v>72588</v>
      </c>
      <c r="X33">
        <v>49440</v>
      </c>
      <c r="Y33">
        <v>58.1</v>
      </c>
      <c r="Z33">
        <v>56.2</v>
      </c>
      <c r="AA33">
        <v>59.9</v>
      </c>
      <c r="AD33">
        <v>30</v>
      </c>
      <c r="AE33" t="s">
        <v>201</v>
      </c>
      <c r="AF33">
        <v>3310774</v>
      </c>
      <c r="AG33">
        <v>4.99E-2</v>
      </c>
      <c r="AH33">
        <v>3153550</v>
      </c>
      <c r="AI33">
        <v>2775332</v>
      </c>
      <c r="AJ33">
        <v>0.19289999999999999</v>
      </c>
      <c r="AK33">
        <v>9.9000000000000008E-3</v>
      </c>
      <c r="AL33">
        <v>40.291800000000002</v>
      </c>
    </row>
    <row r="34" spans="1:38" x14ac:dyDescent="0.25">
      <c r="A34" t="s">
        <v>161</v>
      </c>
      <c r="B34" t="s">
        <v>162</v>
      </c>
      <c r="C34" s="76">
        <v>43952</v>
      </c>
      <c r="D34">
        <v>450767</v>
      </c>
      <c r="E34">
        <v>432612</v>
      </c>
      <c r="F34">
        <v>468923</v>
      </c>
      <c r="G34">
        <v>351264</v>
      </c>
      <c r="H34">
        <v>56.2</v>
      </c>
      <c r="I34">
        <v>55.1</v>
      </c>
      <c r="J34">
        <v>57.3</v>
      </c>
      <c r="K34">
        <v>74600</v>
      </c>
      <c r="L34">
        <v>67060</v>
      </c>
      <c r="M34">
        <v>82140</v>
      </c>
      <c r="N34">
        <v>9.3000000000000007</v>
      </c>
      <c r="O34">
        <v>8.5</v>
      </c>
      <c r="P34">
        <v>10.1</v>
      </c>
      <c r="Q34">
        <v>329500000</v>
      </c>
      <c r="R34">
        <f t="shared" si="0"/>
        <v>22.640364188163886</v>
      </c>
      <c r="U34">
        <v>67868</v>
      </c>
      <c r="V34">
        <v>63916</v>
      </c>
      <c r="W34">
        <v>71819</v>
      </c>
      <c r="X34">
        <v>49035</v>
      </c>
      <c r="Y34">
        <v>58.1</v>
      </c>
      <c r="Z34">
        <v>56.3</v>
      </c>
      <c r="AA34">
        <v>59.8</v>
      </c>
      <c r="AD34">
        <v>31</v>
      </c>
      <c r="AE34" t="s">
        <v>202</v>
      </c>
      <c r="AF34">
        <v>3194374</v>
      </c>
      <c r="AG34">
        <v>2.9999999999999997E-4</v>
      </c>
      <c r="AH34">
        <v>3193354</v>
      </c>
      <c r="AI34">
        <v>3721525</v>
      </c>
      <c r="AJ34">
        <v>-0.1416</v>
      </c>
      <c r="AK34">
        <v>9.4999999999999998E-3</v>
      </c>
      <c r="AL34">
        <v>923.49639999999999</v>
      </c>
    </row>
    <row r="35" spans="1:38" x14ac:dyDescent="0.25">
      <c r="A35" t="s">
        <v>161</v>
      </c>
      <c r="B35" t="s">
        <v>162</v>
      </c>
      <c r="C35" s="76">
        <v>43953</v>
      </c>
      <c r="D35">
        <v>436332</v>
      </c>
      <c r="E35">
        <v>418932</v>
      </c>
      <c r="F35">
        <v>453732</v>
      </c>
      <c r="G35">
        <v>365658</v>
      </c>
      <c r="H35">
        <v>54.4</v>
      </c>
      <c r="I35">
        <v>53.3</v>
      </c>
      <c r="J35">
        <v>55.5</v>
      </c>
      <c r="K35">
        <v>73170</v>
      </c>
      <c r="L35">
        <v>65841</v>
      </c>
      <c r="M35">
        <v>80499</v>
      </c>
      <c r="N35">
        <v>9.1</v>
      </c>
      <c r="O35">
        <v>8.3000000000000007</v>
      </c>
      <c r="P35">
        <v>9.9</v>
      </c>
      <c r="Q35">
        <v>329500000</v>
      </c>
      <c r="R35">
        <f t="shared" si="0"/>
        <v>22.20637329286798</v>
      </c>
      <c r="U35">
        <v>67636</v>
      </c>
      <c r="V35">
        <v>63662</v>
      </c>
      <c r="W35">
        <v>71610</v>
      </c>
      <c r="X35">
        <v>49717</v>
      </c>
      <c r="Y35">
        <v>57.6</v>
      </c>
      <c r="Z35">
        <v>55.9</v>
      </c>
      <c r="AA35">
        <v>59.4</v>
      </c>
      <c r="AD35">
        <v>32</v>
      </c>
      <c r="AE35" t="s">
        <v>203</v>
      </c>
      <c r="AF35">
        <v>3185786</v>
      </c>
      <c r="AG35">
        <v>5.2299999999999999E-2</v>
      </c>
      <c r="AH35">
        <v>3027341</v>
      </c>
      <c r="AI35">
        <v>2702405</v>
      </c>
      <c r="AJ35">
        <v>0.1789</v>
      </c>
      <c r="AK35">
        <v>9.4999999999999998E-3</v>
      </c>
      <c r="AL35">
        <v>29.019500000000001</v>
      </c>
    </row>
    <row r="36" spans="1:38" x14ac:dyDescent="0.25">
      <c r="A36" t="s">
        <v>161</v>
      </c>
      <c r="B36" t="s">
        <v>162</v>
      </c>
      <c r="C36" s="76">
        <v>43954</v>
      </c>
      <c r="D36">
        <v>432065</v>
      </c>
      <c r="E36">
        <v>414790</v>
      </c>
      <c r="F36">
        <v>449340</v>
      </c>
      <c r="G36">
        <v>371192</v>
      </c>
      <c r="H36">
        <v>53.8</v>
      </c>
      <c r="I36">
        <v>52.7</v>
      </c>
      <c r="J36">
        <v>54.9</v>
      </c>
      <c r="K36">
        <v>72210</v>
      </c>
      <c r="L36">
        <v>64628</v>
      </c>
      <c r="M36">
        <v>79793</v>
      </c>
      <c r="N36">
        <v>9</v>
      </c>
      <c r="O36">
        <v>8.1999999999999993</v>
      </c>
      <c r="P36">
        <v>9.8000000000000007</v>
      </c>
      <c r="Q36">
        <v>329500000</v>
      </c>
      <c r="R36">
        <f t="shared" si="0"/>
        <v>21.915022761760245</v>
      </c>
      <c r="U36">
        <v>67121</v>
      </c>
      <c r="V36">
        <v>63261</v>
      </c>
      <c r="W36">
        <v>70982</v>
      </c>
      <c r="X36">
        <v>50026</v>
      </c>
      <c r="Y36">
        <v>57.3</v>
      </c>
      <c r="Z36">
        <v>55.5</v>
      </c>
      <c r="AA36">
        <v>59.1</v>
      </c>
      <c r="AD36">
        <v>33</v>
      </c>
      <c r="AE36" t="s">
        <v>204</v>
      </c>
      <c r="AF36">
        <v>3167974</v>
      </c>
      <c r="AG36">
        <v>6.1000000000000004E-3</v>
      </c>
      <c r="AH36">
        <v>3148618</v>
      </c>
      <c r="AI36">
        <v>3050745</v>
      </c>
      <c r="AJ36">
        <v>3.8399999999999997E-2</v>
      </c>
      <c r="AK36">
        <v>9.4999999999999998E-3</v>
      </c>
      <c r="AL36">
        <v>56.715800000000002</v>
      </c>
    </row>
    <row r="37" spans="1:38" x14ac:dyDescent="0.25">
      <c r="A37" t="s">
        <v>161</v>
      </c>
      <c r="B37" t="s">
        <v>162</v>
      </c>
      <c r="C37" s="76">
        <v>43955</v>
      </c>
      <c r="D37">
        <v>442023</v>
      </c>
      <c r="E37">
        <v>424281</v>
      </c>
      <c r="F37">
        <v>459764</v>
      </c>
      <c r="G37">
        <v>358443</v>
      </c>
      <c r="H37">
        <v>55.2</v>
      </c>
      <c r="I37">
        <v>54.1</v>
      </c>
      <c r="J37">
        <v>56.3</v>
      </c>
      <c r="K37">
        <v>73889</v>
      </c>
      <c r="L37">
        <v>66720</v>
      </c>
      <c r="M37">
        <v>81058</v>
      </c>
      <c r="N37">
        <v>9.1999999999999993</v>
      </c>
      <c r="O37">
        <v>8.5</v>
      </c>
      <c r="P37">
        <v>10</v>
      </c>
      <c r="Q37">
        <v>329500000</v>
      </c>
      <c r="R37">
        <f t="shared" si="0"/>
        <v>22.424582701062214</v>
      </c>
      <c r="U37">
        <v>67736</v>
      </c>
      <c r="V37">
        <v>63804</v>
      </c>
      <c r="W37">
        <v>71668</v>
      </c>
      <c r="X37">
        <v>50088</v>
      </c>
      <c r="Y37">
        <v>57.5</v>
      </c>
      <c r="Z37">
        <v>55.7</v>
      </c>
      <c r="AA37">
        <v>59.3</v>
      </c>
      <c r="AD37">
        <v>34</v>
      </c>
      <c r="AE37" t="s">
        <v>205</v>
      </c>
      <c r="AF37">
        <v>3033946</v>
      </c>
      <c r="AG37">
        <v>8.0000000000000002E-3</v>
      </c>
      <c r="AH37">
        <v>3009733</v>
      </c>
      <c r="AI37">
        <v>2921964</v>
      </c>
      <c r="AJ37">
        <v>3.8300000000000001E-2</v>
      </c>
      <c r="AK37">
        <v>9.1000000000000004E-3</v>
      </c>
      <c r="AL37">
        <v>58.305900000000001</v>
      </c>
    </row>
    <row r="38" spans="1:38" x14ac:dyDescent="0.25">
      <c r="A38" t="s">
        <v>161</v>
      </c>
      <c r="B38" t="s">
        <v>162</v>
      </c>
      <c r="C38" s="76">
        <v>43956</v>
      </c>
      <c r="D38">
        <v>459210</v>
      </c>
      <c r="E38">
        <v>442989</v>
      </c>
      <c r="F38">
        <v>475432</v>
      </c>
      <c r="G38">
        <v>340700</v>
      </c>
      <c r="H38">
        <v>57.4</v>
      </c>
      <c r="I38">
        <v>56.4</v>
      </c>
      <c r="J38">
        <v>58.4</v>
      </c>
      <c r="K38">
        <v>72921</v>
      </c>
      <c r="L38">
        <v>67226</v>
      </c>
      <c r="M38">
        <v>78616</v>
      </c>
      <c r="N38">
        <v>9.1</v>
      </c>
      <c r="O38">
        <v>8.5</v>
      </c>
      <c r="P38">
        <v>9.6999999999999993</v>
      </c>
      <c r="Q38">
        <v>329500000</v>
      </c>
      <c r="R38">
        <f t="shared" si="0"/>
        <v>22.130804248861914</v>
      </c>
      <c r="U38">
        <v>69528</v>
      </c>
      <c r="V38">
        <v>65809</v>
      </c>
      <c r="W38">
        <v>73247</v>
      </c>
      <c r="X38">
        <v>47928</v>
      </c>
      <c r="Y38">
        <v>59.2</v>
      </c>
      <c r="Z38">
        <v>57.4</v>
      </c>
      <c r="AA38">
        <v>61</v>
      </c>
      <c r="AD38">
        <v>35</v>
      </c>
      <c r="AE38" t="s">
        <v>206</v>
      </c>
      <c r="AF38">
        <v>2966407</v>
      </c>
      <c r="AG38">
        <v>-4.8999999999999998E-3</v>
      </c>
      <c r="AH38">
        <v>2981020</v>
      </c>
      <c r="AI38">
        <v>2970548</v>
      </c>
      <c r="AJ38">
        <v>-1.4E-3</v>
      </c>
      <c r="AK38">
        <v>8.8999999999999999E-3</v>
      </c>
      <c r="AL38">
        <v>63.218600000000002</v>
      </c>
    </row>
    <row r="39" spans="1:38" x14ac:dyDescent="0.25">
      <c r="A39" t="s">
        <v>161</v>
      </c>
      <c r="B39" t="s">
        <v>162</v>
      </c>
      <c r="C39" s="76">
        <v>43957</v>
      </c>
      <c r="D39">
        <v>463647</v>
      </c>
      <c r="E39">
        <v>447520</v>
      </c>
      <c r="F39">
        <v>479774</v>
      </c>
      <c r="G39">
        <v>334522</v>
      </c>
      <c r="H39">
        <v>58.1</v>
      </c>
      <c r="I39">
        <v>57.1</v>
      </c>
      <c r="J39">
        <v>59.1</v>
      </c>
      <c r="K39">
        <v>71767</v>
      </c>
      <c r="L39">
        <v>65734</v>
      </c>
      <c r="M39">
        <v>77800</v>
      </c>
      <c r="N39">
        <v>9</v>
      </c>
      <c r="O39">
        <v>8.3000000000000007</v>
      </c>
      <c r="P39">
        <v>9.6999999999999993</v>
      </c>
      <c r="Q39">
        <v>329500000</v>
      </c>
      <c r="R39">
        <f t="shared" si="0"/>
        <v>21.780576631259486</v>
      </c>
      <c r="U39">
        <v>68781</v>
      </c>
      <c r="V39">
        <v>65153</v>
      </c>
      <c r="W39">
        <v>72410</v>
      </c>
      <c r="X39">
        <v>48039</v>
      </c>
      <c r="Y39">
        <v>58.9</v>
      </c>
      <c r="Z39">
        <v>57.2</v>
      </c>
      <c r="AA39">
        <v>60.6</v>
      </c>
      <c r="AD39">
        <v>36</v>
      </c>
      <c r="AE39" t="s">
        <v>207</v>
      </c>
      <c r="AF39">
        <v>2917224</v>
      </c>
      <c r="AG39">
        <v>2E-3</v>
      </c>
      <c r="AH39">
        <v>2911359</v>
      </c>
      <c r="AI39">
        <v>2858190</v>
      </c>
      <c r="AJ39">
        <v>2.07E-2</v>
      </c>
      <c r="AK39">
        <v>8.6999999999999994E-3</v>
      </c>
      <c r="AL39">
        <v>35.680799999999998</v>
      </c>
    </row>
    <row r="40" spans="1:38" x14ac:dyDescent="0.25">
      <c r="A40" t="s">
        <v>161</v>
      </c>
      <c r="B40" t="s">
        <v>162</v>
      </c>
      <c r="C40" s="76">
        <v>43958</v>
      </c>
      <c r="D40">
        <v>463749</v>
      </c>
      <c r="E40">
        <v>447480</v>
      </c>
      <c r="F40">
        <v>480019</v>
      </c>
      <c r="G40">
        <v>340302</v>
      </c>
      <c r="H40">
        <v>57.7</v>
      </c>
      <c r="I40">
        <v>56.7</v>
      </c>
      <c r="J40">
        <v>58.7</v>
      </c>
      <c r="K40">
        <v>70225</v>
      </c>
      <c r="L40">
        <v>64576</v>
      </c>
      <c r="M40">
        <v>75873</v>
      </c>
      <c r="N40">
        <v>8.6999999999999993</v>
      </c>
      <c r="O40">
        <v>8.1</v>
      </c>
      <c r="P40">
        <v>9.4</v>
      </c>
      <c r="Q40">
        <v>329500000</v>
      </c>
      <c r="R40">
        <f t="shared" si="0"/>
        <v>21.312594840667678</v>
      </c>
      <c r="U40">
        <v>68578</v>
      </c>
      <c r="V40">
        <v>64923</v>
      </c>
      <c r="W40">
        <v>72233</v>
      </c>
      <c r="X40">
        <v>47816</v>
      </c>
      <c r="Y40">
        <v>58.9</v>
      </c>
      <c r="Z40">
        <v>57.3</v>
      </c>
      <c r="AA40">
        <v>60.5</v>
      </c>
      <c r="AD40">
        <v>37</v>
      </c>
      <c r="AE40" t="s">
        <v>208</v>
      </c>
      <c r="AF40">
        <v>2105005</v>
      </c>
      <c r="AG40">
        <v>5.8999999999999999E-3</v>
      </c>
      <c r="AH40">
        <v>2092741</v>
      </c>
      <c r="AI40">
        <v>2064552</v>
      </c>
      <c r="AJ40">
        <v>1.9599999999999999E-2</v>
      </c>
      <c r="AK40">
        <v>6.3E-3</v>
      </c>
      <c r="AL40">
        <v>17.353999999999999</v>
      </c>
    </row>
    <row r="41" spans="1:38" x14ac:dyDescent="0.25">
      <c r="A41" t="s">
        <v>161</v>
      </c>
      <c r="B41" t="s">
        <v>162</v>
      </c>
      <c r="C41" s="76">
        <v>43959</v>
      </c>
      <c r="D41">
        <v>461560</v>
      </c>
      <c r="E41">
        <v>445474</v>
      </c>
      <c r="F41">
        <v>477646</v>
      </c>
      <c r="G41">
        <v>340393</v>
      </c>
      <c r="H41">
        <v>57.6</v>
      </c>
      <c r="I41">
        <v>56.6</v>
      </c>
      <c r="J41">
        <v>58.5</v>
      </c>
      <c r="K41">
        <v>66699</v>
      </c>
      <c r="L41">
        <v>61202</v>
      </c>
      <c r="M41">
        <v>72197</v>
      </c>
      <c r="N41">
        <v>8.3000000000000007</v>
      </c>
      <c r="O41">
        <v>7.7</v>
      </c>
      <c r="P41">
        <v>8.9</v>
      </c>
      <c r="Q41">
        <v>329500000</v>
      </c>
      <c r="R41">
        <f t="shared" si="0"/>
        <v>20.242488619119879</v>
      </c>
      <c r="U41">
        <v>68104</v>
      </c>
      <c r="V41">
        <v>64484</v>
      </c>
      <c r="W41">
        <v>71725</v>
      </c>
      <c r="X41">
        <v>49010</v>
      </c>
      <c r="Y41">
        <v>58.2</v>
      </c>
      <c r="Z41">
        <v>56.5</v>
      </c>
      <c r="AA41">
        <v>59.8</v>
      </c>
      <c r="AD41">
        <v>38</v>
      </c>
      <c r="AE41" t="s">
        <v>209</v>
      </c>
      <c r="AF41">
        <v>1951996</v>
      </c>
      <c r="AG41">
        <v>1.37E-2</v>
      </c>
      <c r="AH41">
        <v>1925614</v>
      </c>
      <c r="AI41">
        <v>1829542</v>
      </c>
      <c r="AJ41">
        <v>6.6900000000000001E-2</v>
      </c>
      <c r="AK41">
        <v>5.7999999999999996E-3</v>
      </c>
      <c r="AL41">
        <v>25.4087</v>
      </c>
    </row>
    <row r="42" spans="1:38" x14ac:dyDescent="0.25">
      <c r="A42" t="s">
        <v>161</v>
      </c>
      <c r="B42" t="s">
        <v>162</v>
      </c>
      <c r="C42" s="76">
        <v>43960</v>
      </c>
      <c r="D42">
        <v>449932</v>
      </c>
      <c r="E42">
        <v>434168</v>
      </c>
      <c r="F42">
        <v>465696</v>
      </c>
      <c r="G42">
        <v>354986</v>
      </c>
      <c r="H42">
        <v>55.9</v>
      </c>
      <c r="I42">
        <v>54.9</v>
      </c>
      <c r="J42">
        <v>56.9</v>
      </c>
      <c r="K42">
        <v>64425</v>
      </c>
      <c r="L42">
        <v>59544</v>
      </c>
      <c r="M42">
        <v>69306</v>
      </c>
      <c r="N42">
        <v>8</v>
      </c>
      <c r="O42">
        <v>7.5</v>
      </c>
      <c r="P42">
        <v>8.5</v>
      </c>
      <c r="Q42">
        <v>329500000</v>
      </c>
      <c r="R42">
        <f t="shared" si="0"/>
        <v>19.552352048558422</v>
      </c>
      <c r="U42">
        <v>67844</v>
      </c>
      <c r="V42">
        <v>64149</v>
      </c>
      <c r="W42">
        <v>71539</v>
      </c>
      <c r="X42">
        <v>49441</v>
      </c>
      <c r="Y42">
        <v>57.8</v>
      </c>
      <c r="Z42">
        <v>56.2</v>
      </c>
      <c r="AA42">
        <v>59.5</v>
      </c>
      <c r="AD42">
        <v>39</v>
      </c>
      <c r="AE42" t="s">
        <v>210</v>
      </c>
      <c r="AF42">
        <v>1860123</v>
      </c>
      <c r="AG42">
        <v>6.2600000000000003E-2</v>
      </c>
      <c r="AH42">
        <v>1750536</v>
      </c>
      <c r="AI42">
        <v>1570746</v>
      </c>
      <c r="AJ42">
        <v>0.1842</v>
      </c>
      <c r="AK42">
        <v>5.5999999999999999E-3</v>
      </c>
      <c r="AL42">
        <v>22.507899999999999</v>
      </c>
    </row>
    <row r="43" spans="1:38" x14ac:dyDescent="0.25">
      <c r="A43" t="s">
        <v>161</v>
      </c>
      <c r="B43" t="s">
        <v>162</v>
      </c>
      <c r="C43" s="76">
        <v>43961</v>
      </c>
      <c r="D43">
        <v>438996</v>
      </c>
      <c r="E43">
        <v>423477</v>
      </c>
      <c r="F43">
        <v>454515</v>
      </c>
      <c r="G43">
        <v>365502</v>
      </c>
      <c r="H43">
        <v>54.6</v>
      </c>
      <c r="I43">
        <v>53.6</v>
      </c>
      <c r="J43">
        <v>55.5</v>
      </c>
      <c r="K43">
        <v>63410</v>
      </c>
      <c r="L43">
        <v>58645</v>
      </c>
      <c r="M43">
        <v>68176</v>
      </c>
      <c r="N43">
        <v>7.9</v>
      </c>
      <c r="O43">
        <v>7.4</v>
      </c>
      <c r="P43">
        <v>8.4</v>
      </c>
      <c r="Q43">
        <v>329500000</v>
      </c>
      <c r="R43">
        <f t="shared" si="0"/>
        <v>19.244309559939303</v>
      </c>
      <c r="U43">
        <v>66016</v>
      </c>
      <c r="V43">
        <v>62366</v>
      </c>
      <c r="W43">
        <v>69666</v>
      </c>
      <c r="X43">
        <v>50305</v>
      </c>
      <c r="Y43">
        <v>56.8</v>
      </c>
      <c r="Z43">
        <v>55.1</v>
      </c>
      <c r="AA43">
        <v>58.4</v>
      </c>
      <c r="AD43">
        <v>40</v>
      </c>
      <c r="AE43" t="s">
        <v>211</v>
      </c>
      <c r="AF43">
        <v>1767859</v>
      </c>
      <c r="AG43">
        <v>-2.0199999999999999E-2</v>
      </c>
      <c r="AH43">
        <v>1804291</v>
      </c>
      <c r="AI43">
        <v>1854239</v>
      </c>
      <c r="AJ43">
        <v>-4.6600000000000003E-2</v>
      </c>
      <c r="AK43">
        <v>5.3E-3</v>
      </c>
      <c r="AL43">
        <v>73.544300000000007</v>
      </c>
    </row>
    <row r="44" spans="1:38" x14ac:dyDescent="0.25">
      <c r="A44" t="s">
        <v>161</v>
      </c>
      <c r="B44" t="s">
        <v>162</v>
      </c>
      <c r="C44" s="76">
        <v>43962</v>
      </c>
      <c r="D44">
        <v>448407</v>
      </c>
      <c r="E44">
        <v>432589</v>
      </c>
      <c r="F44">
        <v>464225</v>
      </c>
      <c r="G44">
        <v>356726</v>
      </c>
      <c r="H44">
        <v>55.7</v>
      </c>
      <c r="I44">
        <v>54.7</v>
      </c>
      <c r="J44">
        <v>56.7</v>
      </c>
      <c r="K44">
        <v>62584</v>
      </c>
      <c r="L44">
        <v>57955</v>
      </c>
      <c r="M44">
        <v>67212</v>
      </c>
      <c r="N44">
        <v>7.8</v>
      </c>
      <c r="O44">
        <v>7.3</v>
      </c>
      <c r="P44">
        <v>8.3000000000000007</v>
      </c>
      <c r="Q44">
        <v>329500000</v>
      </c>
      <c r="R44">
        <f t="shared" si="0"/>
        <v>18.993626707132016</v>
      </c>
      <c r="U44">
        <v>66464</v>
      </c>
      <c r="V44">
        <v>62908</v>
      </c>
      <c r="W44">
        <v>70020</v>
      </c>
      <c r="X44">
        <v>49391</v>
      </c>
      <c r="Y44">
        <v>57.4</v>
      </c>
      <c r="Z44">
        <v>55.7</v>
      </c>
      <c r="AA44">
        <v>59</v>
      </c>
      <c r="AD44">
        <v>41</v>
      </c>
      <c r="AE44" t="s">
        <v>212</v>
      </c>
      <c r="AF44">
        <v>1406430</v>
      </c>
      <c r="AG44">
        <v>-0.01</v>
      </c>
      <c r="AH44">
        <v>1420593</v>
      </c>
      <c r="AI44">
        <v>1363963</v>
      </c>
      <c r="AJ44">
        <v>3.1099999999999999E-2</v>
      </c>
      <c r="AK44">
        <v>4.1999999999999997E-3</v>
      </c>
      <c r="AL44">
        <v>218.96780000000001</v>
      </c>
    </row>
    <row r="45" spans="1:38" x14ac:dyDescent="0.25">
      <c r="A45" t="s">
        <v>161</v>
      </c>
      <c r="B45" t="s">
        <v>162</v>
      </c>
      <c r="C45" s="76">
        <v>43963</v>
      </c>
      <c r="D45">
        <v>471140</v>
      </c>
      <c r="E45">
        <v>454772</v>
      </c>
      <c r="F45">
        <v>487509</v>
      </c>
      <c r="G45">
        <v>337510</v>
      </c>
      <c r="H45">
        <v>58.3</v>
      </c>
      <c r="I45">
        <v>57.3</v>
      </c>
      <c r="J45">
        <v>59.3</v>
      </c>
      <c r="K45">
        <v>63240</v>
      </c>
      <c r="L45">
        <v>58594</v>
      </c>
      <c r="M45">
        <v>67887</v>
      </c>
      <c r="N45">
        <v>7.8</v>
      </c>
      <c r="O45">
        <v>7.3</v>
      </c>
      <c r="P45">
        <v>8.3000000000000007</v>
      </c>
      <c r="Q45">
        <v>329500000</v>
      </c>
      <c r="R45">
        <f t="shared" si="0"/>
        <v>19.192716236722308</v>
      </c>
      <c r="U45">
        <v>68664</v>
      </c>
      <c r="V45">
        <v>64982</v>
      </c>
      <c r="W45">
        <v>72345</v>
      </c>
      <c r="X45">
        <v>48613</v>
      </c>
      <c r="Y45">
        <v>58.5</v>
      </c>
      <c r="Z45">
        <v>56.9</v>
      </c>
      <c r="AA45">
        <v>60.2</v>
      </c>
      <c r="AD45">
        <v>42</v>
      </c>
      <c r="AE45" t="s">
        <v>213</v>
      </c>
      <c r="AF45">
        <v>1372203</v>
      </c>
      <c r="AG45">
        <v>1.38E-2</v>
      </c>
      <c r="AH45">
        <v>1353465</v>
      </c>
      <c r="AI45">
        <v>1316762</v>
      </c>
      <c r="AJ45">
        <v>4.2099999999999999E-2</v>
      </c>
      <c r="AK45">
        <v>4.1000000000000003E-3</v>
      </c>
      <c r="AL45">
        <v>153.26740000000001</v>
      </c>
    </row>
    <row r="46" spans="1:38" x14ac:dyDescent="0.25">
      <c r="A46" t="s">
        <v>161</v>
      </c>
      <c r="B46" t="s">
        <v>162</v>
      </c>
      <c r="C46" s="76">
        <v>43964</v>
      </c>
      <c r="D46">
        <v>477788</v>
      </c>
      <c r="E46">
        <v>461381</v>
      </c>
      <c r="F46">
        <v>494195</v>
      </c>
      <c r="G46">
        <v>327893</v>
      </c>
      <c r="H46">
        <v>59.3</v>
      </c>
      <c r="I46">
        <v>58.3</v>
      </c>
      <c r="J46">
        <v>60.3</v>
      </c>
      <c r="K46">
        <v>61155</v>
      </c>
      <c r="L46">
        <v>56833</v>
      </c>
      <c r="M46">
        <v>65478</v>
      </c>
      <c r="N46">
        <v>7.6</v>
      </c>
      <c r="O46">
        <v>7.1</v>
      </c>
      <c r="P46">
        <v>8.1</v>
      </c>
      <c r="Q46">
        <v>329500000</v>
      </c>
      <c r="R46">
        <f t="shared" si="0"/>
        <v>18.559939301972687</v>
      </c>
      <c r="U46">
        <v>68774</v>
      </c>
      <c r="V46">
        <v>65175</v>
      </c>
      <c r="W46">
        <v>72372</v>
      </c>
      <c r="X46">
        <v>47761</v>
      </c>
      <c r="Y46">
        <v>59</v>
      </c>
      <c r="Z46">
        <v>57.3</v>
      </c>
      <c r="AA46">
        <v>60.7</v>
      </c>
      <c r="AD46">
        <v>43</v>
      </c>
      <c r="AE46" t="s">
        <v>214</v>
      </c>
      <c r="AF46">
        <v>1354522</v>
      </c>
      <c r="AG46">
        <v>1.15E-2</v>
      </c>
      <c r="AH46">
        <v>1339057</v>
      </c>
      <c r="AI46">
        <v>1327629</v>
      </c>
      <c r="AJ46">
        <v>2.0299999999999999E-2</v>
      </c>
      <c r="AK46">
        <v>4.0000000000000001E-3</v>
      </c>
      <c r="AL46">
        <v>43.916699999999999</v>
      </c>
    </row>
    <row r="47" spans="1:38" x14ac:dyDescent="0.25">
      <c r="A47" t="s">
        <v>161</v>
      </c>
      <c r="B47" t="s">
        <v>162</v>
      </c>
      <c r="C47" s="76">
        <v>43965</v>
      </c>
      <c r="D47">
        <v>482171</v>
      </c>
      <c r="E47">
        <v>465640</v>
      </c>
      <c r="F47">
        <v>498701</v>
      </c>
      <c r="G47">
        <v>324863</v>
      </c>
      <c r="H47">
        <v>59.7</v>
      </c>
      <c r="I47">
        <v>58.8</v>
      </c>
      <c r="J47">
        <v>60.7</v>
      </c>
      <c r="K47">
        <v>60289</v>
      </c>
      <c r="L47">
        <v>55720</v>
      </c>
      <c r="M47">
        <v>64857</v>
      </c>
      <c r="N47">
        <v>7.5</v>
      </c>
      <c r="O47">
        <v>7</v>
      </c>
      <c r="P47">
        <v>8</v>
      </c>
      <c r="Q47">
        <v>329500000</v>
      </c>
      <c r="R47">
        <f t="shared" si="0"/>
        <v>18.297116843702582</v>
      </c>
      <c r="U47">
        <v>69177</v>
      </c>
      <c r="V47">
        <v>65494</v>
      </c>
      <c r="W47">
        <v>72859</v>
      </c>
      <c r="X47">
        <v>47132</v>
      </c>
      <c r="Y47">
        <v>59.5</v>
      </c>
      <c r="Z47">
        <v>57.8</v>
      </c>
      <c r="AA47">
        <v>61.1</v>
      </c>
      <c r="AD47">
        <v>44</v>
      </c>
      <c r="AE47" t="s">
        <v>215</v>
      </c>
      <c r="AF47">
        <v>1085004</v>
      </c>
      <c r="AG47">
        <v>2.29E-2</v>
      </c>
      <c r="AH47">
        <v>1060665</v>
      </c>
      <c r="AI47">
        <v>990697</v>
      </c>
      <c r="AJ47">
        <v>9.5200000000000007E-2</v>
      </c>
      <c r="AK47">
        <v>3.2000000000000002E-3</v>
      </c>
      <c r="AL47">
        <v>7.4546999999999999</v>
      </c>
    </row>
    <row r="48" spans="1:38" x14ac:dyDescent="0.25">
      <c r="A48" t="s">
        <v>161</v>
      </c>
      <c r="B48" t="s">
        <v>162</v>
      </c>
      <c r="C48" s="76">
        <v>43966</v>
      </c>
      <c r="D48">
        <v>476310</v>
      </c>
      <c r="E48">
        <v>460334</v>
      </c>
      <c r="F48">
        <v>492286</v>
      </c>
      <c r="G48">
        <v>327732</v>
      </c>
      <c r="H48">
        <v>59.2</v>
      </c>
      <c r="I48">
        <v>58.3</v>
      </c>
      <c r="J48">
        <v>60.2</v>
      </c>
      <c r="K48">
        <v>59372</v>
      </c>
      <c r="L48">
        <v>54907</v>
      </c>
      <c r="M48">
        <v>63836</v>
      </c>
      <c r="N48">
        <v>7.4</v>
      </c>
      <c r="O48">
        <v>6.9</v>
      </c>
      <c r="P48">
        <v>7.9</v>
      </c>
      <c r="Q48">
        <v>329500000</v>
      </c>
      <c r="R48">
        <f t="shared" si="0"/>
        <v>18.018816388467375</v>
      </c>
      <c r="U48">
        <v>68857</v>
      </c>
      <c r="V48">
        <v>65230</v>
      </c>
      <c r="W48">
        <v>72484</v>
      </c>
      <c r="X48">
        <v>47153</v>
      </c>
      <c r="Y48">
        <v>59.4</v>
      </c>
      <c r="Z48">
        <v>57.7</v>
      </c>
      <c r="AA48">
        <v>61</v>
      </c>
      <c r="AD48">
        <v>45</v>
      </c>
      <c r="AE48" t="s">
        <v>216</v>
      </c>
      <c r="AF48">
        <v>1061509</v>
      </c>
      <c r="AG48">
        <v>3.0000000000000001E-3</v>
      </c>
      <c r="AH48">
        <v>1058287</v>
      </c>
      <c r="AI48">
        <v>1053959</v>
      </c>
      <c r="AJ48">
        <v>7.1999999999999998E-3</v>
      </c>
      <c r="AK48">
        <v>3.2000000000000002E-3</v>
      </c>
      <c r="AL48">
        <v>1026.6043999999999</v>
      </c>
    </row>
    <row r="49" spans="1:38" x14ac:dyDescent="0.25">
      <c r="A49" t="s">
        <v>161</v>
      </c>
      <c r="B49" t="s">
        <v>162</v>
      </c>
      <c r="C49" s="76">
        <v>43967</v>
      </c>
      <c r="D49">
        <v>462871</v>
      </c>
      <c r="E49">
        <v>446806</v>
      </c>
      <c r="F49">
        <v>478936</v>
      </c>
      <c r="G49">
        <v>340100</v>
      </c>
      <c r="H49">
        <v>57.6</v>
      </c>
      <c r="I49">
        <v>56.7</v>
      </c>
      <c r="J49">
        <v>58.6</v>
      </c>
      <c r="K49">
        <v>57241</v>
      </c>
      <c r="L49">
        <v>53270</v>
      </c>
      <c r="M49">
        <v>61211</v>
      </c>
      <c r="N49">
        <v>7.1</v>
      </c>
      <c r="O49">
        <v>6.7</v>
      </c>
      <c r="P49">
        <v>7.6</v>
      </c>
      <c r="Q49">
        <v>329500000</v>
      </c>
      <c r="R49">
        <f t="shared" si="0"/>
        <v>17.372078907435508</v>
      </c>
      <c r="U49">
        <v>67728</v>
      </c>
      <c r="V49">
        <v>64101</v>
      </c>
      <c r="W49">
        <v>71355</v>
      </c>
      <c r="X49">
        <v>47712</v>
      </c>
      <c r="Y49">
        <v>58.7</v>
      </c>
      <c r="Z49">
        <v>57</v>
      </c>
      <c r="AA49">
        <v>60.3</v>
      </c>
      <c r="AD49">
        <v>46</v>
      </c>
      <c r="AE49" t="s">
        <v>217</v>
      </c>
      <c r="AF49">
        <v>990334</v>
      </c>
      <c r="AG49">
        <v>2.5700000000000001E-2</v>
      </c>
      <c r="AH49">
        <v>965479</v>
      </c>
      <c r="AI49">
        <v>899593</v>
      </c>
      <c r="AJ49">
        <v>0.1009</v>
      </c>
      <c r="AK49">
        <v>3.0000000000000001E-3</v>
      </c>
      <c r="AL49">
        <v>508.12419999999997</v>
      </c>
    </row>
    <row r="50" spans="1:38" x14ac:dyDescent="0.25">
      <c r="A50" t="s">
        <v>161</v>
      </c>
      <c r="B50" t="s">
        <v>162</v>
      </c>
      <c r="C50" s="76">
        <v>43968</v>
      </c>
      <c r="D50">
        <v>453826</v>
      </c>
      <c r="E50">
        <v>437346</v>
      </c>
      <c r="F50">
        <v>470307</v>
      </c>
      <c r="G50">
        <v>348797</v>
      </c>
      <c r="H50">
        <v>56.5</v>
      </c>
      <c r="I50">
        <v>55.5</v>
      </c>
      <c r="J50">
        <v>57.6</v>
      </c>
      <c r="K50">
        <v>56754</v>
      </c>
      <c r="L50">
        <v>52808</v>
      </c>
      <c r="M50">
        <v>60700</v>
      </c>
      <c r="N50">
        <v>7.1</v>
      </c>
      <c r="O50">
        <v>6.6</v>
      </c>
      <c r="P50">
        <v>7.5</v>
      </c>
      <c r="Q50">
        <v>329500000</v>
      </c>
      <c r="R50">
        <f t="shared" si="0"/>
        <v>17.224279210925644</v>
      </c>
      <c r="U50">
        <v>66273</v>
      </c>
      <c r="V50">
        <v>62644</v>
      </c>
      <c r="W50">
        <v>69903</v>
      </c>
      <c r="X50">
        <v>48918</v>
      </c>
      <c r="Y50">
        <v>57.5</v>
      </c>
      <c r="Z50">
        <v>55.9</v>
      </c>
      <c r="AA50">
        <v>59.1</v>
      </c>
      <c r="AD50">
        <v>47</v>
      </c>
      <c r="AE50" t="s">
        <v>218</v>
      </c>
      <c r="AF50">
        <v>896581</v>
      </c>
      <c r="AG50">
        <v>2.0400000000000001E-2</v>
      </c>
      <c r="AH50">
        <v>878698</v>
      </c>
      <c r="AI50">
        <v>816166</v>
      </c>
      <c r="AJ50">
        <v>9.8500000000000004E-2</v>
      </c>
      <c r="AK50">
        <v>2.7000000000000001E-3</v>
      </c>
      <c r="AL50">
        <v>11.826499999999999</v>
      </c>
    </row>
    <row r="51" spans="1:38" x14ac:dyDescent="0.25">
      <c r="A51" t="s">
        <v>161</v>
      </c>
      <c r="B51" t="s">
        <v>162</v>
      </c>
      <c r="C51" s="76">
        <v>43969</v>
      </c>
      <c r="D51">
        <v>465199</v>
      </c>
      <c r="E51">
        <v>448307</v>
      </c>
      <c r="F51">
        <v>482091</v>
      </c>
      <c r="G51">
        <v>338051</v>
      </c>
      <c r="H51">
        <v>57.9</v>
      </c>
      <c r="I51">
        <v>56.9</v>
      </c>
      <c r="J51">
        <v>58.9</v>
      </c>
      <c r="K51">
        <v>58250</v>
      </c>
      <c r="L51">
        <v>54159</v>
      </c>
      <c r="M51">
        <v>62342</v>
      </c>
      <c r="N51">
        <v>7.3</v>
      </c>
      <c r="O51">
        <v>6.8</v>
      </c>
      <c r="P51">
        <v>7.7</v>
      </c>
      <c r="Q51">
        <v>329500000</v>
      </c>
      <c r="R51">
        <f t="shared" si="0"/>
        <v>17.678300455235206</v>
      </c>
      <c r="U51">
        <v>66629</v>
      </c>
      <c r="V51">
        <v>62956</v>
      </c>
      <c r="W51">
        <v>70301</v>
      </c>
      <c r="X51">
        <v>48542</v>
      </c>
      <c r="Y51">
        <v>57.9</v>
      </c>
      <c r="Z51">
        <v>56.2</v>
      </c>
      <c r="AA51">
        <v>59.5</v>
      </c>
      <c r="AD51">
        <v>48</v>
      </c>
      <c r="AE51" t="s">
        <v>219</v>
      </c>
      <c r="AF51">
        <v>770026</v>
      </c>
      <c r="AG51">
        <v>1.5800000000000002E-2</v>
      </c>
      <c r="AH51">
        <v>758080</v>
      </c>
      <c r="AI51">
        <v>674715</v>
      </c>
      <c r="AJ51">
        <v>0.14130000000000001</v>
      </c>
      <c r="AK51">
        <v>2.3E-3</v>
      </c>
      <c r="AL51">
        <v>11.159599999999999</v>
      </c>
    </row>
    <row r="52" spans="1:38" x14ac:dyDescent="0.25">
      <c r="A52" t="s">
        <v>161</v>
      </c>
      <c r="B52" t="s">
        <v>162</v>
      </c>
      <c r="C52" s="76">
        <v>43970</v>
      </c>
      <c r="D52">
        <v>488258</v>
      </c>
      <c r="E52">
        <v>470987</v>
      </c>
      <c r="F52">
        <v>505528</v>
      </c>
      <c r="G52">
        <v>316900</v>
      </c>
      <c r="H52">
        <v>60.6</v>
      </c>
      <c r="I52">
        <v>59.6</v>
      </c>
      <c r="J52">
        <v>61.7</v>
      </c>
      <c r="K52">
        <v>58485</v>
      </c>
      <c r="L52">
        <v>54396</v>
      </c>
      <c r="M52">
        <v>62575</v>
      </c>
      <c r="N52">
        <v>7.3</v>
      </c>
      <c r="O52">
        <v>6.8</v>
      </c>
      <c r="P52">
        <v>7.7</v>
      </c>
      <c r="Q52">
        <v>329500000</v>
      </c>
      <c r="R52">
        <f t="shared" si="0"/>
        <v>17.749620637329286</v>
      </c>
      <c r="U52">
        <v>69132</v>
      </c>
      <c r="V52">
        <v>65419</v>
      </c>
      <c r="W52">
        <v>72844</v>
      </c>
      <c r="X52">
        <v>46088</v>
      </c>
      <c r="Y52">
        <v>60</v>
      </c>
      <c r="Z52">
        <v>58.4</v>
      </c>
      <c r="AA52">
        <v>61.6</v>
      </c>
      <c r="AD52">
        <v>49</v>
      </c>
      <c r="AE52" t="s">
        <v>220</v>
      </c>
      <c r="AF52">
        <v>724357</v>
      </c>
      <c r="AG52">
        <v>-1.47E-2</v>
      </c>
      <c r="AH52">
        <v>735139</v>
      </c>
      <c r="AI52">
        <v>713910</v>
      </c>
      <c r="AJ52">
        <v>1.46E-2</v>
      </c>
      <c r="AK52">
        <v>2.2000000000000001E-3</v>
      </c>
      <c r="AL52">
        <v>1.2694000000000001</v>
      </c>
    </row>
    <row r="53" spans="1:38" x14ac:dyDescent="0.25">
      <c r="A53" t="s">
        <v>161</v>
      </c>
      <c r="B53" t="s">
        <v>162</v>
      </c>
      <c r="C53" s="76">
        <v>43971</v>
      </c>
      <c r="D53">
        <v>499827</v>
      </c>
      <c r="E53">
        <v>482278</v>
      </c>
      <c r="F53">
        <v>517377</v>
      </c>
      <c r="G53">
        <v>307190</v>
      </c>
      <c r="H53">
        <v>61.9</v>
      </c>
      <c r="I53">
        <v>60.9</v>
      </c>
      <c r="J53">
        <v>63</v>
      </c>
      <c r="K53">
        <v>57765</v>
      </c>
      <c r="L53">
        <v>53741</v>
      </c>
      <c r="M53">
        <v>61788</v>
      </c>
      <c r="N53">
        <v>7.2</v>
      </c>
      <c r="O53">
        <v>6.7</v>
      </c>
      <c r="P53">
        <v>7.6</v>
      </c>
      <c r="Q53">
        <v>329500000</v>
      </c>
      <c r="R53">
        <f t="shared" si="0"/>
        <v>17.531107738998482</v>
      </c>
      <c r="U53">
        <v>70266</v>
      </c>
      <c r="V53">
        <v>66530</v>
      </c>
      <c r="W53">
        <v>74002</v>
      </c>
      <c r="X53">
        <v>44995</v>
      </c>
      <c r="Y53">
        <v>61</v>
      </c>
      <c r="Z53">
        <v>59.3</v>
      </c>
      <c r="AA53">
        <v>62.6</v>
      </c>
      <c r="AD53">
        <v>50</v>
      </c>
      <c r="AE53" t="s">
        <v>221</v>
      </c>
      <c r="AF53">
        <v>714153</v>
      </c>
      <c r="AG53">
        <v>1.7999999999999999E-2</v>
      </c>
      <c r="AH53">
        <v>701547</v>
      </c>
      <c r="AI53">
        <v>605226</v>
      </c>
      <c r="AJ53">
        <v>0.18</v>
      </c>
      <c r="AK53">
        <v>2.0999999999999999E-3</v>
      </c>
      <c r="AL53">
        <v>11707.4262</v>
      </c>
    </row>
    <row r="54" spans="1:38" x14ac:dyDescent="0.25">
      <c r="A54" t="s">
        <v>161</v>
      </c>
      <c r="B54" t="s">
        <v>162</v>
      </c>
      <c r="C54" s="76">
        <v>43972</v>
      </c>
      <c r="D54">
        <v>496156</v>
      </c>
      <c r="E54">
        <v>478741</v>
      </c>
      <c r="F54">
        <v>513570</v>
      </c>
      <c r="G54">
        <v>311442</v>
      </c>
      <c r="H54">
        <v>61.4</v>
      </c>
      <c r="I54">
        <v>60.4</v>
      </c>
      <c r="J54">
        <v>62.5</v>
      </c>
      <c r="K54">
        <v>56209</v>
      </c>
      <c r="L54">
        <v>52413</v>
      </c>
      <c r="M54">
        <v>60005</v>
      </c>
      <c r="N54">
        <v>7</v>
      </c>
      <c r="O54">
        <v>6.6</v>
      </c>
      <c r="P54">
        <v>7.4</v>
      </c>
      <c r="Q54">
        <v>329500000</v>
      </c>
      <c r="R54">
        <f t="shared" si="0"/>
        <v>17.058877086494689</v>
      </c>
      <c r="U54">
        <v>70461</v>
      </c>
      <c r="V54">
        <v>66710</v>
      </c>
      <c r="W54">
        <v>74211</v>
      </c>
      <c r="X54">
        <v>44922</v>
      </c>
      <c r="Y54">
        <v>61.1</v>
      </c>
      <c r="Z54">
        <v>59.4</v>
      </c>
      <c r="AA54">
        <v>62.7</v>
      </c>
      <c r="AD54">
        <v>51</v>
      </c>
      <c r="AE54" t="s">
        <v>222</v>
      </c>
      <c r="AF54">
        <v>623251</v>
      </c>
      <c r="AG54">
        <v>-1.8E-3</v>
      </c>
      <c r="AH54">
        <v>624358</v>
      </c>
      <c r="AI54">
        <v>625879</v>
      </c>
      <c r="AJ54">
        <v>-4.1999999999999997E-3</v>
      </c>
      <c r="AK54">
        <v>1.9E-3</v>
      </c>
      <c r="AL54">
        <v>67.619699999999995</v>
      </c>
    </row>
    <row r="55" spans="1:38" x14ac:dyDescent="0.25">
      <c r="A55" t="s">
        <v>161</v>
      </c>
      <c r="B55" t="s">
        <v>162</v>
      </c>
      <c r="C55" s="76">
        <v>43973</v>
      </c>
      <c r="D55">
        <v>492201</v>
      </c>
      <c r="E55">
        <v>474906</v>
      </c>
      <c r="F55">
        <v>509495</v>
      </c>
      <c r="G55">
        <v>314086</v>
      </c>
      <c r="H55">
        <v>61</v>
      </c>
      <c r="I55">
        <v>60</v>
      </c>
      <c r="J55">
        <v>62.1</v>
      </c>
      <c r="K55">
        <v>54716</v>
      </c>
      <c r="L55">
        <v>50944</v>
      </c>
      <c r="M55">
        <v>58488</v>
      </c>
      <c r="N55">
        <v>6.8</v>
      </c>
      <c r="O55">
        <v>6.4</v>
      </c>
      <c r="P55">
        <v>7.2</v>
      </c>
      <c r="Q55">
        <v>329500000</v>
      </c>
      <c r="R55">
        <f t="shared" si="0"/>
        <v>16.605766312594842</v>
      </c>
      <c r="U55">
        <v>69711</v>
      </c>
      <c r="V55">
        <v>65975</v>
      </c>
      <c r="W55">
        <v>73446</v>
      </c>
      <c r="X55">
        <v>45181</v>
      </c>
      <c r="Y55">
        <v>60.7</v>
      </c>
      <c r="Z55">
        <v>59.1</v>
      </c>
      <c r="AA55">
        <v>62.3</v>
      </c>
      <c r="AD55">
        <v>52</v>
      </c>
      <c r="AE55" t="s">
        <v>223</v>
      </c>
      <c r="AF55">
        <v>581075</v>
      </c>
      <c r="AG55">
        <v>6.0000000000000001E-3</v>
      </c>
      <c r="AH55">
        <v>577601</v>
      </c>
      <c r="AI55">
        <v>564487</v>
      </c>
      <c r="AJ55">
        <v>2.9399999999999999E-2</v>
      </c>
      <c r="AK55">
        <v>1.6999999999999999E-3</v>
      </c>
      <c r="AL55">
        <v>5.9847000000000001</v>
      </c>
    </row>
    <row r="56" spans="1:38" x14ac:dyDescent="0.25">
      <c r="A56" t="s">
        <v>161</v>
      </c>
      <c r="B56" t="s">
        <v>162</v>
      </c>
      <c r="C56" s="76">
        <v>43974</v>
      </c>
      <c r="D56">
        <v>472536</v>
      </c>
      <c r="E56">
        <v>455530</v>
      </c>
      <c r="F56">
        <v>489542</v>
      </c>
      <c r="G56">
        <v>330405</v>
      </c>
      <c r="H56">
        <v>58.9</v>
      </c>
      <c r="I56">
        <v>57.8</v>
      </c>
      <c r="J56">
        <v>59.9</v>
      </c>
      <c r="K56">
        <v>53071</v>
      </c>
      <c r="L56">
        <v>49335</v>
      </c>
      <c r="M56">
        <v>56808</v>
      </c>
      <c r="N56">
        <v>6.6</v>
      </c>
      <c r="O56">
        <v>6.2</v>
      </c>
      <c r="P56">
        <v>7</v>
      </c>
      <c r="Q56">
        <v>329500000</v>
      </c>
      <c r="R56">
        <f t="shared" si="0"/>
        <v>16.106525037936269</v>
      </c>
      <c r="U56">
        <v>68209</v>
      </c>
      <c r="V56">
        <v>64561</v>
      </c>
      <c r="W56">
        <v>71856</v>
      </c>
      <c r="X56">
        <v>46084</v>
      </c>
      <c r="Y56">
        <v>59.7</v>
      </c>
      <c r="Z56">
        <v>58.1</v>
      </c>
      <c r="AA56">
        <v>61.3</v>
      </c>
    </row>
    <row r="57" spans="1:38" x14ac:dyDescent="0.25">
      <c r="A57" t="s">
        <v>161</v>
      </c>
      <c r="B57" t="s">
        <v>162</v>
      </c>
      <c r="C57" s="76">
        <v>43975</v>
      </c>
      <c r="D57">
        <v>456843</v>
      </c>
      <c r="E57">
        <v>439760</v>
      </c>
      <c r="F57">
        <v>473926</v>
      </c>
      <c r="G57">
        <v>344685</v>
      </c>
      <c r="H57">
        <v>57</v>
      </c>
      <c r="I57">
        <v>56</v>
      </c>
      <c r="J57">
        <v>58</v>
      </c>
      <c r="K57">
        <v>52661</v>
      </c>
      <c r="L57">
        <v>48860</v>
      </c>
      <c r="M57">
        <v>56461</v>
      </c>
      <c r="N57">
        <v>6.6</v>
      </c>
      <c r="O57">
        <v>6.2</v>
      </c>
      <c r="P57">
        <v>7</v>
      </c>
      <c r="Q57">
        <v>329500000</v>
      </c>
      <c r="R57">
        <f t="shared" si="0"/>
        <v>15.982094081942337</v>
      </c>
      <c r="U57">
        <v>66566</v>
      </c>
      <c r="V57">
        <v>62892</v>
      </c>
      <c r="W57">
        <v>70239</v>
      </c>
      <c r="X57">
        <v>46822</v>
      </c>
      <c r="Y57">
        <v>58.7</v>
      </c>
      <c r="Z57">
        <v>57.1</v>
      </c>
      <c r="AA57">
        <v>60.3</v>
      </c>
    </row>
    <row r="58" spans="1:38" x14ac:dyDescent="0.25">
      <c r="A58" t="s">
        <v>161</v>
      </c>
      <c r="B58" t="s">
        <v>162</v>
      </c>
      <c r="C58" s="76">
        <v>43976</v>
      </c>
      <c r="D58">
        <v>455213</v>
      </c>
      <c r="E58">
        <v>436891</v>
      </c>
      <c r="F58">
        <v>473534</v>
      </c>
      <c r="G58">
        <v>344364</v>
      </c>
      <c r="H58">
        <v>56.9</v>
      </c>
      <c r="I58">
        <v>55.9</v>
      </c>
      <c r="J58">
        <v>57.9</v>
      </c>
      <c r="K58">
        <v>52306</v>
      </c>
      <c r="L58">
        <v>48528</v>
      </c>
      <c r="M58">
        <v>56084</v>
      </c>
      <c r="N58">
        <v>6.5</v>
      </c>
      <c r="O58">
        <v>6.1</v>
      </c>
      <c r="P58">
        <v>6.9</v>
      </c>
      <c r="Q58">
        <v>329500000</v>
      </c>
      <c r="R58">
        <f t="shared" si="0"/>
        <v>15.874355083459788</v>
      </c>
      <c r="U58">
        <v>64997</v>
      </c>
      <c r="V58">
        <v>60852</v>
      </c>
      <c r="W58">
        <v>69142</v>
      </c>
      <c r="X58">
        <v>47950</v>
      </c>
      <c r="Y58">
        <v>57.5</v>
      </c>
      <c r="Z58">
        <v>55.9</v>
      </c>
      <c r="AA58">
        <v>59.2</v>
      </c>
    </row>
    <row r="59" spans="1:38" x14ac:dyDescent="0.25">
      <c r="A59" t="s">
        <v>161</v>
      </c>
      <c r="B59" t="s">
        <v>162</v>
      </c>
      <c r="C59" s="76">
        <v>43977</v>
      </c>
      <c r="D59">
        <v>465388</v>
      </c>
      <c r="E59">
        <v>445831</v>
      </c>
      <c r="F59">
        <v>484946</v>
      </c>
      <c r="G59">
        <v>331148</v>
      </c>
      <c r="H59">
        <v>58.4</v>
      </c>
      <c r="I59">
        <v>57.3</v>
      </c>
      <c r="J59">
        <v>59.5</v>
      </c>
      <c r="K59">
        <v>52506</v>
      </c>
      <c r="L59">
        <v>48321</v>
      </c>
      <c r="M59">
        <v>56692</v>
      </c>
      <c r="N59">
        <v>6.6</v>
      </c>
      <c r="O59">
        <v>6.2</v>
      </c>
      <c r="P59">
        <v>7</v>
      </c>
      <c r="Q59">
        <v>329500000</v>
      </c>
      <c r="R59">
        <f t="shared" si="0"/>
        <v>15.9350531107739</v>
      </c>
      <c r="U59">
        <v>65704</v>
      </c>
      <c r="V59">
        <v>61368</v>
      </c>
      <c r="W59">
        <v>70041</v>
      </c>
      <c r="X59">
        <v>45865</v>
      </c>
      <c r="Y59">
        <v>58.9</v>
      </c>
      <c r="Z59">
        <v>57.2</v>
      </c>
      <c r="AA59">
        <v>60.6</v>
      </c>
    </row>
    <row r="60" spans="1:38" x14ac:dyDescent="0.25">
      <c r="A60" t="s">
        <v>161</v>
      </c>
      <c r="B60" t="s">
        <v>162</v>
      </c>
      <c r="C60" s="76">
        <v>43978</v>
      </c>
      <c r="D60">
        <v>492591</v>
      </c>
      <c r="E60">
        <v>470886</v>
      </c>
      <c r="F60">
        <v>514296</v>
      </c>
      <c r="G60">
        <v>305205</v>
      </c>
      <c r="H60">
        <v>61.7</v>
      </c>
      <c r="I60">
        <v>60.6</v>
      </c>
      <c r="J60">
        <v>62.9</v>
      </c>
      <c r="K60">
        <v>52489</v>
      </c>
      <c r="L60">
        <v>47560</v>
      </c>
      <c r="M60">
        <v>57418</v>
      </c>
      <c r="N60">
        <v>6.6</v>
      </c>
      <c r="O60">
        <v>6.1</v>
      </c>
      <c r="P60">
        <v>7.1</v>
      </c>
      <c r="Q60">
        <v>329500000</v>
      </c>
      <c r="R60">
        <f t="shared" si="0"/>
        <v>15.929893778452202</v>
      </c>
      <c r="U60">
        <v>69393</v>
      </c>
      <c r="V60">
        <v>64487</v>
      </c>
      <c r="W60">
        <v>74299</v>
      </c>
      <c r="X60">
        <v>42037</v>
      </c>
      <c r="Y60">
        <v>62.3</v>
      </c>
      <c r="Z60">
        <v>60.4</v>
      </c>
      <c r="AA60">
        <v>64.2</v>
      </c>
    </row>
    <row r="61" spans="1:38" x14ac:dyDescent="0.25">
      <c r="A61" t="s">
        <v>161</v>
      </c>
      <c r="B61" t="s">
        <v>162</v>
      </c>
      <c r="C61" s="76">
        <v>43979</v>
      </c>
      <c r="D61">
        <v>496766</v>
      </c>
      <c r="E61">
        <v>473195</v>
      </c>
      <c r="F61">
        <v>520337</v>
      </c>
      <c r="G61">
        <v>300900</v>
      </c>
      <c r="H61">
        <v>62.3</v>
      </c>
      <c r="I61">
        <v>61.1</v>
      </c>
      <c r="J61">
        <v>63.4</v>
      </c>
      <c r="K61">
        <v>50587</v>
      </c>
      <c r="L61">
        <v>45725</v>
      </c>
      <c r="M61">
        <v>55450</v>
      </c>
      <c r="N61">
        <v>6.3</v>
      </c>
      <c r="O61">
        <v>5.8</v>
      </c>
      <c r="P61">
        <v>6.9</v>
      </c>
      <c r="Q61">
        <v>329500000</v>
      </c>
      <c r="R61">
        <f t="shared" si="0"/>
        <v>15.352655538694991</v>
      </c>
      <c r="U61">
        <v>71243</v>
      </c>
      <c r="V61">
        <v>66076</v>
      </c>
      <c r="W61">
        <v>76410</v>
      </c>
      <c r="X61">
        <v>43290</v>
      </c>
      <c r="Y61">
        <v>62.2</v>
      </c>
      <c r="Z61">
        <v>60.4</v>
      </c>
      <c r="AA61">
        <v>64</v>
      </c>
    </row>
    <row r="62" spans="1:38" x14ac:dyDescent="0.25">
      <c r="A62" t="s">
        <v>161</v>
      </c>
      <c r="B62" t="s">
        <v>162</v>
      </c>
      <c r="C62" s="76">
        <v>43980</v>
      </c>
      <c r="D62">
        <v>496769</v>
      </c>
      <c r="E62">
        <v>476204</v>
      </c>
      <c r="F62">
        <v>517334</v>
      </c>
      <c r="G62">
        <v>302212</v>
      </c>
      <c r="H62">
        <v>62.2</v>
      </c>
      <c r="I62">
        <v>61.1</v>
      </c>
      <c r="J62">
        <v>63.3</v>
      </c>
      <c r="K62">
        <v>47557</v>
      </c>
      <c r="L62">
        <v>43860</v>
      </c>
      <c r="M62">
        <v>51254</v>
      </c>
      <c r="N62">
        <v>6</v>
      </c>
      <c r="O62">
        <v>5.6</v>
      </c>
      <c r="P62">
        <v>6.3</v>
      </c>
      <c r="Q62">
        <v>329500000</v>
      </c>
      <c r="R62">
        <f t="shared" si="0"/>
        <v>14.433080424886192</v>
      </c>
      <c r="U62">
        <v>68107</v>
      </c>
      <c r="V62">
        <v>63958</v>
      </c>
      <c r="W62">
        <v>72257</v>
      </c>
      <c r="X62">
        <v>42644</v>
      </c>
      <c r="Y62">
        <v>61.5</v>
      </c>
      <c r="Z62">
        <v>59.9</v>
      </c>
      <c r="AA62">
        <v>63.1</v>
      </c>
    </row>
    <row r="63" spans="1:38" x14ac:dyDescent="0.25">
      <c r="A63" t="s">
        <v>161</v>
      </c>
      <c r="B63" t="s">
        <v>162</v>
      </c>
      <c r="C63" s="76">
        <v>43981</v>
      </c>
      <c r="D63">
        <v>483399</v>
      </c>
      <c r="E63">
        <v>464452</v>
      </c>
      <c r="F63">
        <v>502347</v>
      </c>
      <c r="G63">
        <v>320951</v>
      </c>
      <c r="H63">
        <v>60.1</v>
      </c>
      <c r="I63">
        <v>59.1</v>
      </c>
      <c r="J63">
        <v>61.1</v>
      </c>
      <c r="K63">
        <v>47780</v>
      </c>
      <c r="L63">
        <v>44462</v>
      </c>
      <c r="M63">
        <v>51098</v>
      </c>
      <c r="N63">
        <v>5.9</v>
      </c>
      <c r="O63">
        <v>5.6</v>
      </c>
      <c r="P63">
        <v>6.3</v>
      </c>
      <c r="Q63">
        <v>329500000</v>
      </c>
      <c r="R63">
        <f t="shared" si="0"/>
        <v>14.500758725341427</v>
      </c>
      <c r="U63">
        <v>67465</v>
      </c>
      <c r="V63">
        <v>63620</v>
      </c>
      <c r="W63">
        <v>71310</v>
      </c>
      <c r="X63">
        <v>45107</v>
      </c>
      <c r="Y63">
        <v>59.9</v>
      </c>
      <c r="Z63">
        <v>58.3</v>
      </c>
      <c r="AA63">
        <v>61.5</v>
      </c>
    </row>
    <row r="64" spans="1:38" x14ac:dyDescent="0.25">
      <c r="A64" t="s">
        <v>161</v>
      </c>
      <c r="B64" t="s">
        <v>162</v>
      </c>
      <c r="C64" s="76">
        <v>43982</v>
      </c>
      <c r="D64">
        <v>466326</v>
      </c>
      <c r="E64">
        <v>447398</v>
      </c>
      <c r="F64">
        <v>485255</v>
      </c>
      <c r="G64">
        <v>331810</v>
      </c>
      <c r="H64">
        <v>58.4</v>
      </c>
      <c r="I64">
        <v>57.4</v>
      </c>
      <c r="J64">
        <v>59.5</v>
      </c>
      <c r="K64">
        <v>46579</v>
      </c>
      <c r="L64">
        <v>43327</v>
      </c>
      <c r="M64">
        <v>49832</v>
      </c>
      <c r="N64">
        <v>5.8</v>
      </c>
      <c r="O64">
        <v>5.5</v>
      </c>
      <c r="P64">
        <v>6.2</v>
      </c>
      <c r="Q64">
        <v>329500000</v>
      </c>
      <c r="R64">
        <f t="shared" si="0"/>
        <v>14.136267071320182</v>
      </c>
      <c r="U64">
        <v>63957</v>
      </c>
      <c r="V64">
        <v>60082</v>
      </c>
      <c r="W64">
        <v>67831</v>
      </c>
      <c r="X64">
        <v>46136</v>
      </c>
      <c r="Y64">
        <v>58.1</v>
      </c>
      <c r="Z64">
        <v>56.5</v>
      </c>
      <c r="AA64">
        <v>59.7</v>
      </c>
    </row>
    <row r="65" spans="1:27" x14ac:dyDescent="0.25">
      <c r="A65" t="s">
        <v>161</v>
      </c>
      <c r="B65" t="s">
        <v>162</v>
      </c>
      <c r="C65" s="76">
        <v>43983</v>
      </c>
      <c r="D65">
        <v>470988</v>
      </c>
      <c r="E65">
        <v>451007</v>
      </c>
      <c r="F65">
        <v>490969</v>
      </c>
      <c r="G65">
        <v>324666</v>
      </c>
      <c r="H65">
        <v>59.2</v>
      </c>
      <c r="I65">
        <v>58.1</v>
      </c>
      <c r="J65">
        <v>60.3</v>
      </c>
      <c r="K65">
        <v>46020</v>
      </c>
      <c r="L65">
        <v>42554</v>
      </c>
      <c r="M65">
        <v>49485</v>
      </c>
      <c r="N65">
        <v>5.8</v>
      </c>
      <c r="O65">
        <v>5.4</v>
      </c>
      <c r="P65">
        <v>6.1</v>
      </c>
      <c r="Q65">
        <v>329500000</v>
      </c>
      <c r="R65">
        <f t="shared" si="0"/>
        <v>13.966616084977238</v>
      </c>
      <c r="U65">
        <v>64197</v>
      </c>
      <c r="V65">
        <v>60234</v>
      </c>
      <c r="W65">
        <v>68161</v>
      </c>
      <c r="X65">
        <v>44731</v>
      </c>
      <c r="Y65">
        <v>58.9</v>
      </c>
      <c r="Z65">
        <v>57.3</v>
      </c>
      <c r="AA65">
        <v>60.6</v>
      </c>
    </row>
    <row r="66" spans="1:27" x14ac:dyDescent="0.25">
      <c r="A66" t="s">
        <v>161</v>
      </c>
      <c r="B66" t="s">
        <v>162</v>
      </c>
      <c r="C66" s="76">
        <v>43984</v>
      </c>
      <c r="D66">
        <v>491343</v>
      </c>
      <c r="E66">
        <v>468816</v>
      </c>
      <c r="F66">
        <v>513871</v>
      </c>
      <c r="G66">
        <v>305576</v>
      </c>
      <c r="H66">
        <v>61.7</v>
      </c>
      <c r="I66">
        <v>60.5</v>
      </c>
      <c r="J66">
        <v>62.8</v>
      </c>
      <c r="K66">
        <v>46202</v>
      </c>
      <c r="L66">
        <v>42454</v>
      </c>
      <c r="M66">
        <v>49949</v>
      </c>
      <c r="N66">
        <v>5.8</v>
      </c>
      <c r="O66">
        <v>5.4</v>
      </c>
      <c r="P66">
        <v>6.2</v>
      </c>
      <c r="Q66">
        <v>329500000</v>
      </c>
      <c r="R66">
        <f t="shared" si="0"/>
        <v>14.02185128983308</v>
      </c>
      <c r="U66">
        <v>65665</v>
      </c>
      <c r="V66">
        <v>61414</v>
      </c>
      <c r="W66">
        <v>69916</v>
      </c>
      <c r="X66">
        <v>42454</v>
      </c>
      <c r="Y66">
        <v>60.7</v>
      </c>
      <c r="Z66">
        <v>59</v>
      </c>
      <c r="AA66">
        <v>62.4</v>
      </c>
    </row>
    <row r="67" spans="1:27" x14ac:dyDescent="0.25">
      <c r="A67" t="s">
        <v>161</v>
      </c>
      <c r="B67" t="s">
        <v>162</v>
      </c>
      <c r="C67" s="76">
        <v>43985</v>
      </c>
      <c r="D67">
        <v>500268</v>
      </c>
      <c r="E67">
        <v>473587</v>
      </c>
      <c r="F67">
        <v>526949</v>
      </c>
      <c r="G67">
        <v>295619</v>
      </c>
      <c r="H67">
        <v>62.9</v>
      </c>
      <c r="I67">
        <v>61.6</v>
      </c>
      <c r="J67">
        <v>64.099999999999994</v>
      </c>
      <c r="K67">
        <v>44620</v>
      </c>
      <c r="L67">
        <v>40211</v>
      </c>
      <c r="M67">
        <v>49029</v>
      </c>
      <c r="N67">
        <v>5.6</v>
      </c>
      <c r="O67">
        <v>5.0999999999999996</v>
      </c>
      <c r="P67">
        <v>6.1</v>
      </c>
      <c r="Q67">
        <v>329500000</v>
      </c>
      <c r="R67">
        <f t="shared" si="0"/>
        <v>13.541729893778452</v>
      </c>
      <c r="U67">
        <v>66770</v>
      </c>
      <c r="V67">
        <v>61119</v>
      </c>
      <c r="W67">
        <v>72421</v>
      </c>
      <c r="X67">
        <v>41341</v>
      </c>
      <c r="Y67">
        <v>61.8</v>
      </c>
      <c r="Z67">
        <v>59.8</v>
      </c>
      <c r="AA67">
        <v>63.8</v>
      </c>
    </row>
    <row r="68" spans="1:27" x14ac:dyDescent="0.25">
      <c r="A68" t="s">
        <v>161</v>
      </c>
      <c r="B68" t="s">
        <v>162</v>
      </c>
      <c r="C68" s="76">
        <v>43986</v>
      </c>
      <c r="D68">
        <v>498757</v>
      </c>
      <c r="E68">
        <v>475875</v>
      </c>
      <c r="F68">
        <v>521638</v>
      </c>
      <c r="G68">
        <v>295770</v>
      </c>
      <c r="H68">
        <v>62.8</v>
      </c>
      <c r="I68">
        <v>61.6</v>
      </c>
      <c r="J68">
        <v>63.9</v>
      </c>
      <c r="K68">
        <v>44207</v>
      </c>
      <c r="L68">
        <v>40249</v>
      </c>
      <c r="M68">
        <v>48165</v>
      </c>
      <c r="N68">
        <v>5.6</v>
      </c>
      <c r="O68">
        <v>5.0999999999999996</v>
      </c>
      <c r="P68">
        <v>6</v>
      </c>
      <c r="Q68">
        <v>329500000</v>
      </c>
      <c r="R68">
        <f t="shared" si="0"/>
        <v>13.41638846737481</v>
      </c>
      <c r="U68">
        <v>68219</v>
      </c>
      <c r="V68">
        <v>63499</v>
      </c>
      <c r="W68">
        <v>72940</v>
      </c>
      <c r="X68">
        <v>42399</v>
      </c>
      <c r="Y68">
        <v>61.7</v>
      </c>
      <c r="Z68">
        <v>59.8</v>
      </c>
      <c r="AA68">
        <v>63.5</v>
      </c>
    </row>
    <row r="69" spans="1:27" x14ac:dyDescent="0.25">
      <c r="A69" t="s">
        <v>161</v>
      </c>
      <c r="B69" t="s">
        <v>162</v>
      </c>
      <c r="C69" s="76">
        <v>43987</v>
      </c>
      <c r="D69">
        <v>503163</v>
      </c>
      <c r="E69">
        <v>479414</v>
      </c>
      <c r="F69">
        <v>526913</v>
      </c>
      <c r="G69">
        <v>307859</v>
      </c>
      <c r="H69">
        <v>62</v>
      </c>
      <c r="I69">
        <v>60.9</v>
      </c>
      <c r="J69">
        <v>63.2</v>
      </c>
      <c r="K69">
        <v>43659</v>
      </c>
      <c r="L69">
        <v>40587</v>
      </c>
      <c r="M69">
        <v>46730</v>
      </c>
      <c r="N69">
        <v>5.4</v>
      </c>
      <c r="O69">
        <v>5.0999999999999996</v>
      </c>
      <c r="P69">
        <v>5.7</v>
      </c>
      <c r="Q69">
        <v>329500000</v>
      </c>
      <c r="R69">
        <f t="shared" ref="R69:R132" si="1">K69/(Q69)*100000</f>
        <v>13.250075872534142</v>
      </c>
      <c r="U69">
        <v>73417</v>
      </c>
      <c r="V69">
        <v>68533</v>
      </c>
      <c r="W69">
        <v>78302</v>
      </c>
      <c r="X69">
        <v>46286</v>
      </c>
      <c r="Y69">
        <v>61.3</v>
      </c>
      <c r="Z69">
        <v>59.5</v>
      </c>
      <c r="AA69">
        <v>63.1</v>
      </c>
    </row>
    <row r="70" spans="1:27" x14ac:dyDescent="0.25">
      <c r="A70" t="s">
        <v>161</v>
      </c>
      <c r="B70" t="s">
        <v>162</v>
      </c>
      <c r="C70" s="76">
        <v>43988</v>
      </c>
      <c r="D70">
        <v>485717</v>
      </c>
      <c r="E70">
        <v>464822</v>
      </c>
      <c r="F70">
        <v>506611</v>
      </c>
      <c r="G70">
        <v>320997</v>
      </c>
      <c r="H70">
        <v>60.2</v>
      </c>
      <c r="I70">
        <v>59.1</v>
      </c>
      <c r="J70">
        <v>61.3</v>
      </c>
      <c r="K70">
        <v>42984</v>
      </c>
      <c r="L70">
        <v>40049</v>
      </c>
      <c r="M70">
        <v>45919</v>
      </c>
      <c r="N70">
        <v>5.3</v>
      </c>
      <c r="O70">
        <v>5</v>
      </c>
      <c r="P70">
        <v>5.6</v>
      </c>
      <c r="Q70">
        <v>329500000</v>
      </c>
      <c r="R70">
        <f t="shared" si="1"/>
        <v>13.045220030349013</v>
      </c>
      <c r="U70">
        <v>72763</v>
      </c>
      <c r="V70">
        <v>68366</v>
      </c>
      <c r="W70">
        <v>77160</v>
      </c>
      <c r="X70">
        <v>47646</v>
      </c>
      <c r="Y70">
        <v>60.4</v>
      </c>
      <c r="Z70">
        <v>58.7</v>
      </c>
      <c r="AA70">
        <v>62.1</v>
      </c>
    </row>
    <row r="71" spans="1:27" x14ac:dyDescent="0.25">
      <c r="A71" t="s">
        <v>161</v>
      </c>
      <c r="B71" t="s">
        <v>162</v>
      </c>
      <c r="C71" s="76">
        <v>43989</v>
      </c>
      <c r="D71">
        <v>469838</v>
      </c>
      <c r="E71">
        <v>450332</v>
      </c>
      <c r="F71">
        <v>489344</v>
      </c>
      <c r="G71">
        <v>335327</v>
      </c>
      <c r="H71">
        <v>58.4</v>
      </c>
      <c r="I71">
        <v>57.3</v>
      </c>
      <c r="J71">
        <v>59.4</v>
      </c>
      <c r="K71">
        <v>42669</v>
      </c>
      <c r="L71">
        <v>39689</v>
      </c>
      <c r="M71">
        <v>45648</v>
      </c>
      <c r="N71">
        <v>5.3</v>
      </c>
      <c r="O71">
        <v>5</v>
      </c>
      <c r="P71">
        <v>5.6</v>
      </c>
      <c r="Q71">
        <v>329500000</v>
      </c>
      <c r="R71">
        <f t="shared" si="1"/>
        <v>12.949620637329287</v>
      </c>
      <c r="U71">
        <v>69915</v>
      </c>
      <c r="V71">
        <v>65848</v>
      </c>
      <c r="W71">
        <v>73983</v>
      </c>
      <c r="X71">
        <v>49779</v>
      </c>
      <c r="Y71">
        <v>58.4</v>
      </c>
      <c r="Z71">
        <v>56.7</v>
      </c>
      <c r="AA71">
        <v>60.1</v>
      </c>
    </row>
    <row r="72" spans="1:27" x14ac:dyDescent="0.25">
      <c r="A72" t="s">
        <v>161</v>
      </c>
      <c r="B72" t="s">
        <v>162</v>
      </c>
      <c r="C72" s="76">
        <v>43990</v>
      </c>
      <c r="D72">
        <v>479396</v>
      </c>
      <c r="E72">
        <v>457531</v>
      </c>
      <c r="F72">
        <v>501260</v>
      </c>
      <c r="G72">
        <v>322621</v>
      </c>
      <c r="H72">
        <v>59.8</v>
      </c>
      <c r="I72">
        <v>58.6</v>
      </c>
      <c r="J72">
        <v>60.9</v>
      </c>
      <c r="K72">
        <v>43348</v>
      </c>
      <c r="L72">
        <v>40180</v>
      </c>
      <c r="M72">
        <v>46517</v>
      </c>
      <c r="N72">
        <v>5.4</v>
      </c>
      <c r="O72">
        <v>5.0999999999999996</v>
      </c>
      <c r="P72">
        <v>5.7</v>
      </c>
      <c r="Q72">
        <v>329500000</v>
      </c>
      <c r="R72">
        <f t="shared" si="1"/>
        <v>13.155690440060699</v>
      </c>
      <c r="U72">
        <v>70560</v>
      </c>
      <c r="V72">
        <v>66249</v>
      </c>
      <c r="W72">
        <v>74872</v>
      </c>
      <c r="X72">
        <v>48794</v>
      </c>
      <c r="Y72">
        <v>59.1</v>
      </c>
      <c r="Z72">
        <v>57.4</v>
      </c>
      <c r="AA72">
        <v>60.9</v>
      </c>
    </row>
    <row r="73" spans="1:27" x14ac:dyDescent="0.25">
      <c r="A73" t="s">
        <v>161</v>
      </c>
      <c r="B73" t="s">
        <v>162</v>
      </c>
      <c r="C73" s="76">
        <v>43991</v>
      </c>
      <c r="D73">
        <v>505289</v>
      </c>
      <c r="E73">
        <v>479525</v>
      </c>
      <c r="F73">
        <v>531053</v>
      </c>
      <c r="G73">
        <v>291783</v>
      </c>
      <c r="H73">
        <v>63.4</v>
      </c>
      <c r="I73">
        <v>62.2</v>
      </c>
      <c r="J73">
        <v>64.599999999999994</v>
      </c>
      <c r="K73">
        <v>43462</v>
      </c>
      <c r="L73">
        <v>39598</v>
      </c>
      <c r="M73">
        <v>47326</v>
      </c>
      <c r="N73">
        <v>5.5</v>
      </c>
      <c r="O73">
        <v>5.0999999999999996</v>
      </c>
      <c r="P73">
        <v>5.8</v>
      </c>
      <c r="Q73">
        <v>329500000</v>
      </c>
      <c r="R73">
        <f t="shared" si="1"/>
        <v>13.190288315629743</v>
      </c>
      <c r="U73">
        <v>74599</v>
      </c>
      <c r="V73">
        <v>69433</v>
      </c>
      <c r="W73">
        <v>79765</v>
      </c>
      <c r="X73">
        <v>44886</v>
      </c>
      <c r="Y73">
        <v>62.4</v>
      </c>
      <c r="Z73">
        <v>60.7</v>
      </c>
      <c r="AA73">
        <v>64.2</v>
      </c>
    </row>
    <row r="74" spans="1:27" x14ac:dyDescent="0.25">
      <c r="A74" t="s">
        <v>161</v>
      </c>
      <c r="B74" t="s">
        <v>162</v>
      </c>
      <c r="C74" s="76">
        <v>43992</v>
      </c>
      <c r="D74">
        <v>515259</v>
      </c>
      <c r="E74">
        <v>482839</v>
      </c>
      <c r="F74">
        <v>547680</v>
      </c>
      <c r="G74">
        <v>283311</v>
      </c>
      <c r="H74">
        <v>64.5</v>
      </c>
      <c r="I74">
        <v>63.1</v>
      </c>
      <c r="J74">
        <v>66</v>
      </c>
      <c r="K74">
        <v>40868</v>
      </c>
      <c r="L74">
        <v>37050</v>
      </c>
      <c r="M74">
        <v>44686</v>
      </c>
      <c r="N74">
        <v>5.0999999999999996</v>
      </c>
      <c r="O74">
        <v>4.7</v>
      </c>
      <c r="P74">
        <v>5.5</v>
      </c>
      <c r="Q74">
        <v>329500000</v>
      </c>
      <c r="R74">
        <f t="shared" si="1"/>
        <v>12.403034901365706</v>
      </c>
      <c r="U74">
        <v>75991</v>
      </c>
      <c r="V74">
        <v>69099</v>
      </c>
      <c r="W74">
        <v>82882</v>
      </c>
      <c r="X74">
        <v>44166</v>
      </c>
      <c r="Y74">
        <v>63.2</v>
      </c>
      <c r="Z74">
        <v>61.1</v>
      </c>
      <c r="AA74">
        <v>65.3</v>
      </c>
    </row>
    <row r="75" spans="1:27" x14ac:dyDescent="0.25">
      <c r="A75" t="s">
        <v>161</v>
      </c>
      <c r="B75" t="s">
        <v>162</v>
      </c>
      <c r="C75" s="76">
        <v>43993</v>
      </c>
      <c r="D75">
        <v>516415</v>
      </c>
      <c r="E75">
        <v>493401</v>
      </c>
      <c r="F75">
        <v>539428</v>
      </c>
      <c r="G75">
        <v>286829</v>
      </c>
      <c r="H75">
        <v>64.3</v>
      </c>
      <c r="I75">
        <v>63.2</v>
      </c>
      <c r="J75">
        <v>65.400000000000006</v>
      </c>
      <c r="K75">
        <v>41561</v>
      </c>
      <c r="L75">
        <v>38782</v>
      </c>
      <c r="M75">
        <v>44341</v>
      </c>
      <c r="N75">
        <v>5.2</v>
      </c>
      <c r="O75">
        <v>4.9000000000000004</v>
      </c>
      <c r="P75">
        <v>5.4</v>
      </c>
      <c r="Q75">
        <v>329500000</v>
      </c>
      <c r="R75">
        <f t="shared" si="1"/>
        <v>12.613353566009105</v>
      </c>
      <c r="U75">
        <v>74870</v>
      </c>
      <c r="V75">
        <v>70275</v>
      </c>
      <c r="W75">
        <v>79466</v>
      </c>
      <c r="X75">
        <v>44376</v>
      </c>
      <c r="Y75">
        <v>62.8</v>
      </c>
      <c r="Z75">
        <v>61</v>
      </c>
      <c r="AA75">
        <v>64.599999999999994</v>
      </c>
    </row>
    <row r="76" spans="1:27" x14ac:dyDescent="0.25">
      <c r="A76" t="s">
        <v>161</v>
      </c>
      <c r="B76" t="s">
        <v>162</v>
      </c>
      <c r="C76" s="76">
        <v>43994</v>
      </c>
      <c r="D76">
        <v>514437</v>
      </c>
      <c r="E76">
        <v>491592</v>
      </c>
      <c r="F76">
        <v>537282</v>
      </c>
      <c r="G76">
        <v>293442</v>
      </c>
      <c r="H76">
        <v>63.7</v>
      </c>
      <c r="I76">
        <v>62.6</v>
      </c>
      <c r="J76">
        <v>64.8</v>
      </c>
      <c r="K76">
        <v>39997</v>
      </c>
      <c r="L76">
        <v>37459</v>
      </c>
      <c r="M76">
        <v>42536</v>
      </c>
      <c r="N76">
        <v>5</v>
      </c>
      <c r="O76">
        <v>4.7</v>
      </c>
      <c r="P76">
        <v>5.2</v>
      </c>
      <c r="Q76">
        <v>329500000</v>
      </c>
      <c r="R76">
        <f t="shared" si="1"/>
        <v>12.138694992412747</v>
      </c>
      <c r="U76">
        <v>74059</v>
      </c>
      <c r="V76">
        <v>69408</v>
      </c>
      <c r="W76">
        <v>78709</v>
      </c>
      <c r="X76">
        <v>45706</v>
      </c>
      <c r="Y76">
        <v>61.8</v>
      </c>
      <c r="Z76">
        <v>60.1</v>
      </c>
      <c r="AA76">
        <v>63.6</v>
      </c>
    </row>
    <row r="77" spans="1:27" x14ac:dyDescent="0.25">
      <c r="A77" t="s">
        <v>161</v>
      </c>
      <c r="B77" t="s">
        <v>162</v>
      </c>
      <c r="C77" s="76">
        <v>43995</v>
      </c>
      <c r="D77">
        <v>494499</v>
      </c>
      <c r="E77">
        <v>467957</v>
      </c>
      <c r="F77">
        <v>521040</v>
      </c>
      <c r="G77">
        <v>318049</v>
      </c>
      <c r="H77">
        <v>60.9</v>
      </c>
      <c r="I77">
        <v>59.7</v>
      </c>
      <c r="J77">
        <v>62.1</v>
      </c>
      <c r="K77">
        <v>38475</v>
      </c>
      <c r="L77">
        <v>35984</v>
      </c>
      <c r="M77">
        <v>40966</v>
      </c>
      <c r="N77">
        <v>4.7</v>
      </c>
      <c r="O77">
        <v>4.5</v>
      </c>
      <c r="P77">
        <v>5</v>
      </c>
      <c r="Q77">
        <v>329500000</v>
      </c>
      <c r="R77">
        <f t="shared" si="1"/>
        <v>11.676783004552352</v>
      </c>
      <c r="U77">
        <v>74150</v>
      </c>
      <c r="V77">
        <v>68466</v>
      </c>
      <c r="W77">
        <v>79833</v>
      </c>
      <c r="X77">
        <v>49188</v>
      </c>
      <c r="Y77">
        <v>60.1</v>
      </c>
      <c r="Z77">
        <v>58.3</v>
      </c>
      <c r="AA77">
        <v>61.9</v>
      </c>
    </row>
    <row r="78" spans="1:27" x14ac:dyDescent="0.25">
      <c r="A78" t="s">
        <v>161</v>
      </c>
      <c r="B78" t="s">
        <v>162</v>
      </c>
      <c r="C78" s="76">
        <v>43996</v>
      </c>
      <c r="D78">
        <v>477904</v>
      </c>
      <c r="E78">
        <v>455959</v>
      </c>
      <c r="F78">
        <v>499850</v>
      </c>
      <c r="G78">
        <v>329326</v>
      </c>
      <c r="H78">
        <v>59.2</v>
      </c>
      <c r="I78">
        <v>58.1</v>
      </c>
      <c r="J78">
        <v>60.3</v>
      </c>
      <c r="K78">
        <v>38705</v>
      </c>
      <c r="L78">
        <v>36382</v>
      </c>
      <c r="M78">
        <v>41028</v>
      </c>
      <c r="N78">
        <v>4.8</v>
      </c>
      <c r="O78">
        <v>4.5999999999999996</v>
      </c>
      <c r="P78">
        <v>5</v>
      </c>
      <c r="Q78">
        <v>329500000</v>
      </c>
      <c r="R78">
        <f t="shared" si="1"/>
        <v>11.746585735963581</v>
      </c>
      <c r="U78">
        <v>72658</v>
      </c>
      <c r="V78">
        <v>67846</v>
      </c>
      <c r="W78">
        <v>77471</v>
      </c>
      <c r="X78">
        <v>49964</v>
      </c>
      <c r="Y78">
        <v>59.3</v>
      </c>
      <c r="Z78">
        <v>57.6</v>
      </c>
      <c r="AA78">
        <v>60.9</v>
      </c>
    </row>
    <row r="79" spans="1:27" x14ac:dyDescent="0.25">
      <c r="A79" t="s">
        <v>161</v>
      </c>
      <c r="B79" t="s">
        <v>162</v>
      </c>
      <c r="C79" s="76">
        <v>43997</v>
      </c>
      <c r="D79">
        <v>483253</v>
      </c>
      <c r="E79">
        <v>463636</v>
      </c>
      <c r="F79">
        <v>502870</v>
      </c>
      <c r="G79">
        <v>318074</v>
      </c>
      <c r="H79">
        <v>60.3</v>
      </c>
      <c r="I79">
        <v>59.3</v>
      </c>
      <c r="J79">
        <v>61.4</v>
      </c>
      <c r="K79">
        <v>39164</v>
      </c>
      <c r="L79">
        <v>36855</v>
      </c>
      <c r="M79">
        <v>41473</v>
      </c>
      <c r="N79">
        <v>4.9000000000000004</v>
      </c>
      <c r="O79">
        <v>4.5999999999999996</v>
      </c>
      <c r="P79">
        <v>5.0999999999999996</v>
      </c>
      <c r="Q79">
        <v>329500000</v>
      </c>
      <c r="R79">
        <f t="shared" si="1"/>
        <v>11.88588770864947</v>
      </c>
      <c r="U79">
        <v>72397</v>
      </c>
      <c r="V79">
        <v>68092</v>
      </c>
      <c r="W79">
        <v>76703</v>
      </c>
      <c r="X79">
        <v>49143</v>
      </c>
      <c r="Y79">
        <v>59.6</v>
      </c>
      <c r="Z79">
        <v>57.9</v>
      </c>
      <c r="AA79">
        <v>61.3</v>
      </c>
    </row>
    <row r="80" spans="1:27" x14ac:dyDescent="0.25">
      <c r="A80" t="s">
        <v>161</v>
      </c>
      <c r="B80" t="s">
        <v>162</v>
      </c>
      <c r="C80" s="76">
        <v>43998</v>
      </c>
      <c r="D80">
        <v>507810</v>
      </c>
      <c r="E80">
        <v>484793</v>
      </c>
      <c r="F80">
        <v>530826</v>
      </c>
      <c r="G80">
        <v>291940</v>
      </c>
      <c r="H80">
        <v>63.5</v>
      </c>
      <c r="I80">
        <v>62.3</v>
      </c>
      <c r="J80">
        <v>64.7</v>
      </c>
      <c r="K80">
        <v>39151</v>
      </c>
      <c r="L80">
        <v>36448</v>
      </c>
      <c r="M80">
        <v>41854</v>
      </c>
      <c r="N80">
        <v>4.9000000000000004</v>
      </c>
      <c r="O80">
        <v>4.5999999999999996</v>
      </c>
      <c r="P80">
        <v>5.2</v>
      </c>
      <c r="Q80">
        <v>329500000</v>
      </c>
      <c r="R80">
        <f t="shared" si="1"/>
        <v>11.881942336874051</v>
      </c>
      <c r="U80">
        <v>72765</v>
      </c>
      <c r="V80">
        <v>67806</v>
      </c>
      <c r="W80">
        <v>77725</v>
      </c>
      <c r="X80">
        <v>44982</v>
      </c>
      <c r="Y80">
        <v>61.8</v>
      </c>
      <c r="Z80">
        <v>59.9</v>
      </c>
      <c r="AA80">
        <v>63.7</v>
      </c>
    </row>
    <row r="81" spans="1:27" x14ac:dyDescent="0.25">
      <c r="A81" t="s">
        <v>161</v>
      </c>
      <c r="B81" t="s">
        <v>162</v>
      </c>
      <c r="C81" s="76">
        <v>43999</v>
      </c>
      <c r="D81">
        <v>514889</v>
      </c>
      <c r="E81">
        <v>483686</v>
      </c>
      <c r="F81">
        <v>546092</v>
      </c>
      <c r="G81">
        <v>286194</v>
      </c>
      <c r="H81">
        <v>64.3</v>
      </c>
      <c r="I81">
        <v>62.9</v>
      </c>
      <c r="J81">
        <v>65.599999999999994</v>
      </c>
      <c r="K81">
        <v>38640</v>
      </c>
      <c r="L81">
        <v>35642</v>
      </c>
      <c r="M81">
        <v>41638</v>
      </c>
      <c r="N81">
        <v>4.8</v>
      </c>
      <c r="O81">
        <v>4.5</v>
      </c>
      <c r="P81">
        <v>5.2</v>
      </c>
      <c r="Q81">
        <v>329500000</v>
      </c>
      <c r="R81">
        <f t="shared" si="1"/>
        <v>11.726858877086496</v>
      </c>
      <c r="U81">
        <v>76140</v>
      </c>
      <c r="V81">
        <v>68645</v>
      </c>
      <c r="W81">
        <v>83635</v>
      </c>
      <c r="X81">
        <v>46824</v>
      </c>
      <c r="Y81">
        <v>61.9</v>
      </c>
      <c r="Z81">
        <v>59.8</v>
      </c>
      <c r="AA81">
        <v>64.099999999999994</v>
      </c>
    </row>
    <row r="82" spans="1:27" x14ac:dyDescent="0.25">
      <c r="A82" t="s">
        <v>161</v>
      </c>
      <c r="B82" t="s">
        <v>162</v>
      </c>
      <c r="C82" s="76">
        <v>44000</v>
      </c>
      <c r="D82">
        <v>515521</v>
      </c>
      <c r="E82">
        <v>489058</v>
      </c>
      <c r="F82">
        <v>541983</v>
      </c>
      <c r="G82">
        <v>284985</v>
      </c>
      <c r="H82">
        <v>64.400000000000006</v>
      </c>
      <c r="I82">
        <v>63.2</v>
      </c>
      <c r="J82">
        <v>65.599999999999994</v>
      </c>
      <c r="K82">
        <v>40788</v>
      </c>
      <c r="L82">
        <v>37706</v>
      </c>
      <c r="M82">
        <v>43870</v>
      </c>
      <c r="N82">
        <v>5.0999999999999996</v>
      </c>
      <c r="O82">
        <v>4.8</v>
      </c>
      <c r="P82">
        <v>5.4</v>
      </c>
      <c r="Q82">
        <v>329500000</v>
      </c>
      <c r="R82">
        <f t="shared" si="1"/>
        <v>12.378755690440062</v>
      </c>
      <c r="U82">
        <v>74691</v>
      </c>
      <c r="V82">
        <v>69332</v>
      </c>
      <c r="W82">
        <v>80050</v>
      </c>
      <c r="X82">
        <v>46381</v>
      </c>
      <c r="Y82">
        <v>61.7</v>
      </c>
      <c r="Z82">
        <v>59.7</v>
      </c>
      <c r="AA82">
        <v>63.6</v>
      </c>
    </row>
    <row r="83" spans="1:27" x14ac:dyDescent="0.25">
      <c r="A83" t="s">
        <v>161</v>
      </c>
      <c r="B83" t="s">
        <v>162</v>
      </c>
      <c r="C83" s="76">
        <v>44001</v>
      </c>
      <c r="D83">
        <v>517905</v>
      </c>
      <c r="E83">
        <v>495680</v>
      </c>
      <c r="F83">
        <v>540130</v>
      </c>
      <c r="G83">
        <v>290332</v>
      </c>
      <c r="H83">
        <v>64.099999999999994</v>
      </c>
      <c r="I83">
        <v>63</v>
      </c>
      <c r="J83">
        <v>65.099999999999994</v>
      </c>
      <c r="K83">
        <v>40703</v>
      </c>
      <c r="L83">
        <v>38287</v>
      </c>
      <c r="M83">
        <v>43119</v>
      </c>
      <c r="N83">
        <v>5</v>
      </c>
      <c r="O83">
        <v>4.8</v>
      </c>
      <c r="P83">
        <v>5.3</v>
      </c>
      <c r="Q83">
        <v>329500000</v>
      </c>
      <c r="R83">
        <f t="shared" si="1"/>
        <v>12.352959028831563</v>
      </c>
      <c r="U83">
        <v>75644</v>
      </c>
      <c r="V83">
        <v>71139</v>
      </c>
      <c r="W83">
        <v>80148</v>
      </c>
      <c r="X83">
        <v>47162</v>
      </c>
      <c r="Y83">
        <v>61.6</v>
      </c>
      <c r="Z83">
        <v>59.9</v>
      </c>
      <c r="AA83">
        <v>63.3</v>
      </c>
    </row>
    <row r="84" spans="1:27" x14ac:dyDescent="0.25">
      <c r="A84" t="s">
        <v>161</v>
      </c>
      <c r="B84" t="s">
        <v>162</v>
      </c>
      <c r="C84" s="76">
        <v>44002</v>
      </c>
      <c r="D84">
        <v>498247</v>
      </c>
      <c r="E84">
        <v>475949</v>
      </c>
      <c r="F84">
        <v>520546</v>
      </c>
      <c r="G84">
        <v>309179</v>
      </c>
      <c r="H84">
        <v>61.7</v>
      </c>
      <c r="I84">
        <v>60.7</v>
      </c>
      <c r="J84">
        <v>62.7</v>
      </c>
      <c r="K84">
        <v>40077</v>
      </c>
      <c r="L84">
        <v>37600</v>
      </c>
      <c r="M84">
        <v>42554</v>
      </c>
      <c r="N84">
        <v>5</v>
      </c>
      <c r="O84">
        <v>4.7</v>
      </c>
      <c r="P84">
        <v>5.2</v>
      </c>
      <c r="Q84">
        <v>329500000</v>
      </c>
      <c r="R84">
        <f t="shared" si="1"/>
        <v>12.162974203338392</v>
      </c>
      <c r="U84">
        <v>74028</v>
      </c>
      <c r="V84">
        <v>69366</v>
      </c>
      <c r="W84">
        <v>78690</v>
      </c>
      <c r="X84">
        <v>48796</v>
      </c>
      <c r="Y84">
        <v>60.3</v>
      </c>
      <c r="Z84">
        <v>58.6</v>
      </c>
      <c r="AA84">
        <v>62</v>
      </c>
    </row>
    <row r="85" spans="1:27" x14ac:dyDescent="0.25">
      <c r="A85" t="s">
        <v>161</v>
      </c>
      <c r="B85" t="s">
        <v>162</v>
      </c>
      <c r="C85" s="76">
        <v>44003</v>
      </c>
      <c r="D85">
        <v>467591</v>
      </c>
      <c r="E85">
        <v>447303</v>
      </c>
      <c r="F85">
        <v>487878</v>
      </c>
      <c r="G85">
        <v>323416</v>
      </c>
      <c r="H85">
        <v>59.1</v>
      </c>
      <c r="I85">
        <v>58.1</v>
      </c>
      <c r="J85">
        <v>60.1</v>
      </c>
      <c r="K85">
        <v>39569</v>
      </c>
      <c r="L85">
        <v>37144</v>
      </c>
      <c r="M85">
        <v>41995</v>
      </c>
      <c r="N85">
        <v>5</v>
      </c>
      <c r="O85">
        <v>4.7</v>
      </c>
      <c r="P85">
        <v>5.3</v>
      </c>
      <c r="Q85">
        <v>329500000</v>
      </c>
      <c r="R85">
        <f t="shared" si="1"/>
        <v>12.008801213960545</v>
      </c>
      <c r="U85">
        <v>68983</v>
      </c>
      <c r="V85">
        <v>64711</v>
      </c>
      <c r="W85">
        <v>73254</v>
      </c>
      <c r="X85">
        <v>50297</v>
      </c>
      <c r="Y85">
        <v>57.8</v>
      </c>
      <c r="Z85">
        <v>56.1</v>
      </c>
      <c r="AA85">
        <v>59.6</v>
      </c>
    </row>
    <row r="86" spans="1:27" x14ac:dyDescent="0.25">
      <c r="A86" t="s">
        <v>161</v>
      </c>
      <c r="B86" t="s">
        <v>162</v>
      </c>
      <c r="C86" s="76">
        <v>44004</v>
      </c>
      <c r="D86">
        <v>488534</v>
      </c>
      <c r="E86">
        <v>464392</v>
      </c>
      <c r="F86">
        <v>512675</v>
      </c>
      <c r="G86">
        <v>307540</v>
      </c>
      <c r="H86">
        <v>61.4</v>
      </c>
      <c r="I86">
        <v>60.1</v>
      </c>
      <c r="J86">
        <v>62.6</v>
      </c>
      <c r="K86">
        <v>41442</v>
      </c>
      <c r="L86">
        <v>38478</v>
      </c>
      <c r="M86">
        <v>44407</v>
      </c>
      <c r="N86">
        <v>5.2</v>
      </c>
      <c r="O86">
        <v>4.9000000000000004</v>
      </c>
      <c r="P86">
        <v>5.5</v>
      </c>
      <c r="Q86">
        <v>329500000</v>
      </c>
      <c r="R86">
        <f t="shared" si="1"/>
        <v>12.577238239757209</v>
      </c>
      <c r="U86">
        <v>72560</v>
      </c>
      <c r="V86">
        <v>67703</v>
      </c>
      <c r="W86">
        <v>77418</v>
      </c>
      <c r="X86">
        <v>49647</v>
      </c>
      <c r="Y86">
        <v>59.4</v>
      </c>
      <c r="Z86">
        <v>57.3</v>
      </c>
      <c r="AA86">
        <v>61.4</v>
      </c>
    </row>
    <row r="87" spans="1:27" x14ac:dyDescent="0.25">
      <c r="A87" t="s">
        <v>161</v>
      </c>
      <c r="B87" t="s">
        <v>162</v>
      </c>
      <c r="C87" s="76">
        <v>44005</v>
      </c>
      <c r="D87">
        <v>527117</v>
      </c>
      <c r="E87">
        <v>500682</v>
      </c>
      <c r="F87">
        <v>553553</v>
      </c>
      <c r="G87">
        <v>276050</v>
      </c>
      <c r="H87">
        <v>65.599999999999994</v>
      </c>
      <c r="I87">
        <v>64.400000000000006</v>
      </c>
      <c r="J87">
        <v>66.8</v>
      </c>
      <c r="K87">
        <v>43794</v>
      </c>
      <c r="L87">
        <v>40910</v>
      </c>
      <c r="M87">
        <v>46678</v>
      </c>
      <c r="N87">
        <v>5.5</v>
      </c>
      <c r="O87">
        <v>5.2</v>
      </c>
      <c r="P87">
        <v>5.7</v>
      </c>
      <c r="Q87">
        <v>329500000</v>
      </c>
      <c r="R87">
        <f t="shared" si="1"/>
        <v>13.291047040971167</v>
      </c>
      <c r="U87">
        <v>77306</v>
      </c>
      <c r="V87">
        <v>72058</v>
      </c>
      <c r="W87">
        <v>82554</v>
      </c>
      <c r="X87">
        <v>46348</v>
      </c>
      <c r="Y87">
        <v>62.5</v>
      </c>
      <c r="Z87">
        <v>60.2</v>
      </c>
      <c r="AA87">
        <v>64.900000000000006</v>
      </c>
    </row>
    <row r="88" spans="1:27" x14ac:dyDescent="0.25">
      <c r="A88" t="s">
        <v>161</v>
      </c>
      <c r="B88" t="s">
        <v>162</v>
      </c>
      <c r="C88" s="76">
        <v>44006</v>
      </c>
      <c r="D88">
        <v>532458</v>
      </c>
      <c r="E88">
        <v>501367</v>
      </c>
      <c r="F88">
        <v>563550</v>
      </c>
      <c r="G88">
        <v>265573</v>
      </c>
      <c r="H88">
        <v>66.7</v>
      </c>
      <c r="I88">
        <v>65.400000000000006</v>
      </c>
      <c r="J88">
        <v>68.099999999999994</v>
      </c>
      <c r="K88">
        <v>44363</v>
      </c>
      <c r="L88">
        <v>40855</v>
      </c>
      <c r="M88">
        <v>47872</v>
      </c>
      <c r="N88">
        <v>5.6</v>
      </c>
      <c r="O88">
        <v>5.2</v>
      </c>
      <c r="P88">
        <v>5.9</v>
      </c>
      <c r="Q88">
        <v>329500000</v>
      </c>
      <c r="R88">
        <f t="shared" si="1"/>
        <v>13.46373292867982</v>
      </c>
      <c r="U88">
        <v>76792</v>
      </c>
      <c r="V88">
        <v>69973</v>
      </c>
      <c r="W88">
        <v>83611</v>
      </c>
      <c r="X88">
        <v>44249</v>
      </c>
      <c r="Y88">
        <v>63.4</v>
      </c>
      <c r="Z88">
        <v>61</v>
      </c>
      <c r="AA88">
        <v>65.900000000000006</v>
      </c>
    </row>
    <row r="89" spans="1:27" x14ac:dyDescent="0.25">
      <c r="A89" t="s">
        <v>161</v>
      </c>
      <c r="B89" t="s">
        <v>162</v>
      </c>
      <c r="C89" s="76">
        <v>44007</v>
      </c>
      <c r="D89">
        <v>535555</v>
      </c>
      <c r="E89">
        <v>510633</v>
      </c>
      <c r="F89">
        <v>560478</v>
      </c>
      <c r="G89">
        <v>269037</v>
      </c>
      <c r="H89">
        <v>66.599999999999994</v>
      </c>
      <c r="I89">
        <v>65.400000000000006</v>
      </c>
      <c r="J89">
        <v>67.7</v>
      </c>
      <c r="K89">
        <v>46099</v>
      </c>
      <c r="L89">
        <v>43406</v>
      </c>
      <c r="M89">
        <v>48793</v>
      </c>
      <c r="N89">
        <v>5.7</v>
      </c>
      <c r="O89">
        <v>5.4</v>
      </c>
      <c r="P89">
        <v>6</v>
      </c>
      <c r="Q89">
        <v>329500000</v>
      </c>
      <c r="R89">
        <f t="shared" si="1"/>
        <v>13.990591805766313</v>
      </c>
      <c r="U89">
        <v>78047</v>
      </c>
      <c r="V89">
        <v>72873</v>
      </c>
      <c r="W89">
        <v>83221</v>
      </c>
      <c r="X89">
        <v>44964</v>
      </c>
      <c r="Y89">
        <v>63.4</v>
      </c>
      <c r="Z89">
        <v>61.7</v>
      </c>
      <c r="AA89">
        <v>65.2</v>
      </c>
    </row>
    <row r="90" spans="1:27" x14ac:dyDescent="0.25">
      <c r="A90" t="s">
        <v>161</v>
      </c>
      <c r="B90" t="s">
        <v>162</v>
      </c>
      <c r="C90" s="76">
        <v>44008</v>
      </c>
      <c r="D90">
        <v>525864</v>
      </c>
      <c r="E90">
        <v>502152</v>
      </c>
      <c r="F90">
        <v>549576</v>
      </c>
      <c r="G90">
        <v>278234</v>
      </c>
      <c r="H90">
        <v>65.400000000000006</v>
      </c>
      <c r="I90">
        <v>64.3</v>
      </c>
      <c r="J90">
        <v>66.5</v>
      </c>
      <c r="K90">
        <v>45030</v>
      </c>
      <c r="L90">
        <v>42582</v>
      </c>
      <c r="M90">
        <v>47479</v>
      </c>
      <c r="N90">
        <v>5.6</v>
      </c>
      <c r="O90">
        <v>5.3</v>
      </c>
      <c r="P90">
        <v>5.9</v>
      </c>
      <c r="Q90">
        <v>329500000</v>
      </c>
      <c r="R90">
        <f t="shared" si="1"/>
        <v>13.666160849772384</v>
      </c>
      <c r="U90">
        <v>77625</v>
      </c>
      <c r="V90">
        <v>72304</v>
      </c>
      <c r="W90">
        <v>82945</v>
      </c>
      <c r="X90">
        <v>46577</v>
      </c>
      <c r="Y90">
        <v>62.5</v>
      </c>
      <c r="Z90">
        <v>60.6</v>
      </c>
      <c r="AA90">
        <v>64.400000000000006</v>
      </c>
    </row>
    <row r="91" spans="1:27" x14ac:dyDescent="0.25">
      <c r="A91" t="s">
        <v>161</v>
      </c>
      <c r="B91" t="s">
        <v>162</v>
      </c>
      <c r="C91" s="76">
        <v>44009</v>
      </c>
      <c r="D91">
        <v>501219</v>
      </c>
      <c r="E91">
        <v>478223</v>
      </c>
      <c r="F91">
        <v>524214</v>
      </c>
      <c r="G91">
        <v>302789</v>
      </c>
      <c r="H91">
        <v>62.3</v>
      </c>
      <c r="I91">
        <v>61.2</v>
      </c>
      <c r="J91">
        <v>63.5</v>
      </c>
      <c r="K91">
        <v>44338</v>
      </c>
      <c r="L91">
        <v>41890</v>
      </c>
      <c r="M91">
        <v>46785</v>
      </c>
      <c r="N91">
        <v>5.5</v>
      </c>
      <c r="O91">
        <v>5.2</v>
      </c>
      <c r="P91">
        <v>5.8</v>
      </c>
      <c r="Q91">
        <v>329500000</v>
      </c>
      <c r="R91">
        <f t="shared" si="1"/>
        <v>13.456145675265553</v>
      </c>
      <c r="U91">
        <v>74859</v>
      </c>
      <c r="V91">
        <v>69592</v>
      </c>
      <c r="W91">
        <v>80126</v>
      </c>
      <c r="X91">
        <v>48453</v>
      </c>
      <c r="Y91">
        <v>60.7</v>
      </c>
      <c r="Z91">
        <v>58.8</v>
      </c>
      <c r="AA91">
        <v>62.6</v>
      </c>
    </row>
    <row r="92" spans="1:27" x14ac:dyDescent="0.25">
      <c r="A92" t="s">
        <v>161</v>
      </c>
      <c r="B92" t="s">
        <v>162</v>
      </c>
      <c r="C92" s="76">
        <v>44010</v>
      </c>
      <c r="D92">
        <v>486550</v>
      </c>
      <c r="E92">
        <v>463596</v>
      </c>
      <c r="F92">
        <v>509504</v>
      </c>
      <c r="G92">
        <v>320762</v>
      </c>
      <c r="H92">
        <v>60.3</v>
      </c>
      <c r="I92">
        <v>59.1</v>
      </c>
      <c r="J92">
        <v>61.5</v>
      </c>
      <c r="K92">
        <v>46006</v>
      </c>
      <c r="L92">
        <v>43433</v>
      </c>
      <c r="M92">
        <v>48579</v>
      </c>
      <c r="N92">
        <v>5.7</v>
      </c>
      <c r="O92">
        <v>5.4</v>
      </c>
      <c r="P92">
        <v>6</v>
      </c>
      <c r="Q92">
        <v>329500000</v>
      </c>
      <c r="R92">
        <f t="shared" si="1"/>
        <v>13.96236722306525</v>
      </c>
      <c r="U92">
        <v>73043</v>
      </c>
      <c r="V92">
        <v>67921</v>
      </c>
      <c r="W92">
        <v>78165</v>
      </c>
      <c r="X92">
        <v>49602</v>
      </c>
      <c r="Y92">
        <v>59.6</v>
      </c>
      <c r="Z92">
        <v>57.6</v>
      </c>
      <c r="AA92">
        <v>61.5</v>
      </c>
    </row>
    <row r="93" spans="1:27" x14ac:dyDescent="0.25">
      <c r="A93" t="s">
        <v>161</v>
      </c>
      <c r="B93" t="s">
        <v>162</v>
      </c>
      <c r="C93" s="76">
        <v>44011</v>
      </c>
      <c r="D93">
        <v>504870</v>
      </c>
      <c r="E93">
        <v>482675</v>
      </c>
      <c r="F93">
        <v>527065</v>
      </c>
      <c r="G93">
        <v>304788</v>
      </c>
      <c r="H93">
        <v>62.4</v>
      </c>
      <c r="I93">
        <v>61.3</v>
      </c>
      <c r="J93">
        <v>63.4</v>
      </c>
      <c r="K93">
        <v>49559</v>
      </c>
      <c r="L93">
        <v>47087</v>
      </c>
      <c r="M93">
        <v>52032</v>
      </c>
      <c r="N93">
        <v>6.1</v>
      </c>
      <c r="O93">
        <v>5.8</v>
      </c>
      <c r="P93">
        <v>6.4</v>
      </c>
      <c r="Q93">
        <v>329500000</v>
      </c>
      <c r="R93">
        <f t="shared" si="1"/>
        <v>15.040667678300453</v>
      </c>
      <c r="U93">
        <v>75900</v>
      </c>
      <c r="V93">
        <v>71080</v>
      </c>
      <c r="W93">
        <v>80720</v>
      </c>
      <c r="X93">
        <v>49074</v>
      </c>
      <c r="Y93">
        <v>60.7</v>
      </c>
      <c r="Z93">
        <v>58.9</v>
      </c>
      <c r="AA93">
        <v>62.5</v>
      </c>
    </row>
    <row r="94" spans="1:27" x14ac:dyDescent="0.25">
      <c r="A94" t="s">
        <v>161</v>
      </c>
      <c r="B94" t="s">
        <v>162</v>
      </c>
      <c r="C94" s="76">
        <v>44012</v>
      </c>
      <c r="D94">
        <v>532391</v>
      </c>
      <c r="E94">
        <v>508627</v>
      </c>
      <c r="F94">
        <v>556154</v>
      </c>
      <c r="G94">
        <v>280871</v>
      </c>
      <c r="H94">
        <v>65.5</v>
      </c>
      <c r="I94">
        <v>64.400000000000006</v>
      </c>
      <c r="J94">
        <v>66.599999999999994</v>
      </c>
      <c r="K94">
        <v>52543</v>
      </c>
      <c r="L94">
        <v>49890</v>
      </c>
      <c r="M94">
        <v>55196</v>
      </c>
      <c r="N94">
        <v>6.5</v>
      </c>
      <c r="O94">
        <v>6.1</v>
      </c>
      <c r="P94">
        <v>6.8</v>
      </c>
      <c r="Q94">
        <v>329500000</v>
      </c>
      <c r="R94">
        <f t="shared" si="1"/>
        <v>15.94628224582701</v>
      </c>
      <c r="U94">
        <v>79270</v>
      </c>
      <c r="V94">
        <v>74254</v>
      </c>
      <c r="W94">
        <v>84286</v>
      </c>
      <c r="X94">
        <v>46691</v>
      </c>
      <c r="Y94">
        <v>62.9</v>
      </c>
      <c r="Z94">
        <v>61.2</v>
      </c>
      <c r="AA94">
        <v>64.599999999999994</v>
      </c>
    </row>
    <row r="95" spans="1:27" x14ac:dyDescent="0.25">
      <c r="A95" t="s">
        <v>161</v>
      </c>
      <c r="B95" t="s">
        <v>162</v>
      </c>
      <c r="C95" s="76">
        <v>44013</v>
      </c>
      <c r="D95">
        <v>543132</v>
      </c>
      <c r="E95">
        <v>517314</v>
      </c>
      <c r="F95">
        <v>568950</v>
      </c>
      <c r="G95">
        <v>271379</v>
      </c>
      <c r="H95">
        <v>66.7</v>
      </c>
      <c r="I95">
        <v>65.5</v>
      </c>
      <c r="J95">
        <v>67.8</v>
      </c>
      <c r="K95">
        <v>53745</v>
      </c>
      <c r="L95">
        <v>50861</v>
      </c>
      <c r="M95">
        <v>56630</v>
      </c>
      <c r="N95">
        <v>6.6</v>
      </c>
      <c r="O95">
        <v>6.2</v>
      </c>
      <c r="P95">
        <v>7</v>
      </c>
      <c r="Q95">
        <v>329500000</v>
      </c>
      <c r="R95">
        <f t="shared" si="1"/>
        <v>16.311077389984828</v>
      </c>
      <c r="U95">
        <v>80173</v>
      </c>
      <c r="V95">
        <v>74841</v>
      </c>
      <c r="W95">
        <v>85505</v>
      </c>
      <c r="X95">
        <v>46203</v>
      </c>
      <c r="Y95">
        <v>63.4</v>
      </c>
      <c r="Z95">
        <v>61.6</v>
      </c>
      <c r="AA95">
        <v>65.3</v>
      </c>
    </row>
    <row r="96" spans="1:27" x14ac:dyDescent="0.25">
      <c r="A96" t="s">
        <v>161</v>
      </c>
      <c r="B96" t="s">
        <v>162</v>
      </c>
      <c r="C96" s="76">
        <v>44014</v>
      </c>
      <c r="D96">
        <v>532721</v>
      </c>
      <c r="E96">
        <v>506453</v>
      </c>
      <c r="F96">
        <v>558989</v>
      </c>
      <c r="G96">
        <v>273478</v>
      </c>
      <c r="H96">
        <v>66.099999999999994</v>
      </c>
      <c r="I96">
        <v>64.8</v>
      </c>
      <c r="J96">
        <v>67.3</v>
      </c>
      <c r="K96">
        <v>53655</v>
      </c>
      <c r="L96">
        <v>50643</v>
      </c>
      <c r="M96">
        <v>56666</v>
      </c>
      <c r="N96">
        <v>6.7</v>
      </c>
      <c r="O96">
        <v>6.3</v>
      </c>
      <c r="P96">
        <v>7</v>
      </c>
      <c r="Q96">
        <v>329500000</v>
      </c>
      <c r="R96">
        <f t="shared" si="1"/>
        <v>16.283763277693478</v>
      </c>
      <c r="U96">
        <v>79176</v>
      </c>
      <c r="V96">
        <v>73677</v>
      </c>
      <c r="W96">
        <v>84674</v>
      </c>
      <c r="X96">
        <v>44897</v>
      </c>
      <c r="Y96">
        <v>63.8</v>
      </c>
      <c r="Z96">
        <v>61.9</v>
      </c>
      <c r="AA96">
        <v>65.7</v>
      </c>
    </row>
    <row r="97" spans="1:27" x14ac:dyDescent="0.25">
      <c r="A97" t="s">
        <v>161</v>
      </c>
      <c r="B97" t="s">
        <v>162</v>
      </c>
      <c r="C97" s="76">
        <v>44015</v>
      </c>
      <c r="D97">
        <v>515328</v>
      </c>
      <c r="E97">
        <v>492295</v>
      </c>
      <c r="F97">
        <v>538360</v>
      </c>
      <c r="G97">
        <v>299904</v>
      </c>
      <c r="H97">
        <v>63.2</v>
      </c>
      <c r="I97">
        <v>62</v>
      </c>
      <c r="J97">
        <v>64.400000000000006</v>
      </c>
      <c r="K97">
        <v>53588</v>
      </c>
      <c r="L97">
        <v>50752</v>
      </c>
      <c r="M97">
        <v>56424</v>
      </c>
      <c r="N97">
        <v>6.6</v>
      </c>
      <c r="O97">
        <v>6.2</v>
      </c>
      <c r="P97">
        <v>6.9</v>
      </c>
      <c r="Q97">
        <v>329500000</v>
      </c>
      <c r="R97">
        <f t="shared" si="1"/>
        <v>16.263429438543248</v>
      </c>
      <c r="U97">
        <v>78430</v>
      </c>
      <c r="V97">
        <v>73316</v>
      </c>
      <c r="W97">
        <v>83544</v>
      </c>
      <c r="X97">
        <v>48890</v>
      </c>
      <c r="Y97">
        <v>61.6</v>
      </c>
      <c r="Z97">
        <v>59.8</v>
      </c>
      <c r="AA97">
        <v>63.4</v>
      </c>
    </row>
    <row r="98" spans="1:27" x14ac:dyDescent="0.25">
      <c r="A98" t="s">
        <v>161</v>
      </c>
      <c r="B98" t="s">
        <v>162</v>
      </c>
      <c r="C98" s="76">
        <v>44016</v>
      </c>
      <c r="D98">
        <v>485541</v>
      </c>
      <c r="E98">
        <v>463777</v>
      </c>
      <c r="F98">
        <v>507305</v>
      </c>
      <c r="G98">
        <v>326051</v>
      </c>
      <c r="H98">
        <v>59.8</v>
      </c>
      <c r="I98">
        <v>58.6</v>
      </c>
      <c r="J98">
        <v>61</v>
      </c>
      <c r="K98">
        <v>54065</v>
      </c>
      <c r="L98">
        <v>51167</v>
      </c>
      <c r="M98">
        <v>56964</v>
      </c>
      <c r="N98">
        <v>6.7</v>
      </c>
      <c r="O98">
        <v>6.3</v>
      </c>
      <c r="P98">
        <v>7</v>
      </c>
      <c r="Q98">
        <v>329500000</v>
      </c>
      <c r="R98">
        <f t="shared" si="1"/>
        <v>16.408194233687407</v>
      </c>
      <c r="U98">
        <v>75995</v>
      </c>
      <c r="V98">
        <v>71018</v>
      </c>
      <c r="W98">
        <v>80973</v>
      </c>
      <c r="X98">
        <v>51201</v>
      </c>
      <c r="Y98">
        <v>59.7</v>
      </c>
      <c r="Z98">
        <v>57.9</v>
      </c>
      <c r="AA98">
        <v>61.6</v>
      </c>
    </row>
    <row r="99" spans="1:27" x14ac:dyDescent="0.25">
      <c r="A99" t="s">
        <v>161</v>
      </c>
      <c r="B99" t="s">
        <v>162</v>
      </c>
      <c r="C99" s="76">
        <v>44017</v>
      </c>
      <c r="D99">
        <v>480580</v>
      </c>
      <c r="E99">
        <v>458982</v>
      </c>
      <c r="F99">
        <v>502178</v>
      </c>
      <c r="G99">
        <v>329995</v>
      </c>
      <c r="H99">
        <v>59.3</v>
      </c>
      <c r="I99">
        <v>58.1</v>
      </c>
      <c r="J99">
        <v>60.5</v>
      </c>
      <c r="K99">
        <v>55699</v>
      </c>
      <c r="L99">
        <v>52725</v>
      </c>
      <c r="M99">
        <v>58673</v>
      </c>
      <c r="N99">
        <v>6.9</v>
      </c>
      <c r="O99">
        <v>6.5</v>
      </c>
      <c r="P99">
        <v>7.2</v>
      </c>
      <c r="Q99">
        <v>329500000</v>
      </c>
      <c r="R99">
        <f t="shared" si="1"/>
        <v>16.904097116843705</v>
      </c>
      <c r="U99">
        <v>75200</v>
      </c>
      <c r="V99">
        <v>70241</v>
      </c>
      <c r="W99">
        <v>80160</v>
      </c>
      <c r="X99">
        <v>51573</v>
      </c>
      <c r="Y99">
        <v>59.3</v>
      </c>
      <c r="Z99">
        <v>57.5</v>
      </c>
      <c r="AA99">
        <v>61.1</v>
      </c>
    </row>
    <row r="100" spans="1:27" x14ac:dyDescent="0.25">
      <c r="A100" t="s">
        <v>161</v>
      </c>
      <c r="B100" t="s">
        <v>162</v>
      </c>
      <c r="C100" s="76">
        <v>44018</v>
      </c>
      <c r="D100">
        <v>498398</v>
      </c>
      <c r="E100">
        <v>476109</v>
      </c>
      <c r="F100">
        <v>520688</v>
      </c>
      <c r="G100">
        <v>312990</v>
      </c>
      <c r="H100">
        <v>61.4</v>
      </c>
      <c r="I100">
        <v>60.2</v>
      </c>
      <c r="J100">
        <v>62.6</v>
      </c>
      <c r="K100">
        <v>58525</v>
      </c>
      <c r="L100">
        <v>55403</v>
      </c>
      <c r="M100">
        <v>61648</v>
      </c>
      <c r="N100">
        <v>7.2</v>
      </c>
      <c r="O100">
        <v>6.8</v>
      </c>
      <c r="P100">
        <v>7.6</v>
      </c>
      <c r="Q100">
        <v>329500000</v>
      </c>
      <c r="R100">
        <f t="shared" si="1"/>
        <v>17.761760242792107</v>
      </c>
      <c r="U100">
        <v>76884</v>
      </c>
      <c r="V100">
        <v>71867</v>
      </c>
      <c r="W100">
        <v>81901</v>
      </c>
      <c r="X100">
        <v>49927</v>
      </c>
      <c r="Y100">
        <v>60.6</v>
      </c>
      <c r="Z100">
        <v>58.8</v>
      </c>
      <c r="AA100">
        <v>62.5</v>
      </c>
    </row>
    <row r="101" spans="1:27" x14ac:dyDescent="0.25">
      <c r="A101" t="s">
        <v>161</v>
      </c>
      <c r="B101" t="s">
        <v>162</v>
      </c>
      <c r="C101" s="76">
        <v>44019</v>
      </c>
      <c r="D101">
        <v>530021</v>
      </c>
      <c r="E101">
        <v>506831</v>
      </c>
      <c r="F101">
        <v>553210</v>
      </c>
      <c r="G101">
        <v>282663</v>
      </c>
      <c r="H101">
        <v>65.2</v>
      </c>
      <c r="I101">
        <v>64.099999999999994</v>
      </c>
      <c r="J101">
        <v>66.400000000000006</v>
      </c>
      <c r="K101">
        <v>60452</v>
      </c>
      <c r="L101">
        <v>57193</v>
      </c>
      <c r="M101">
        <v>63712</v>
      </c>
      <c r="N101">
        <v>7.4</v>
      </c>
      <c r="O101">
        <v>7</v>
      </c>
      <c r="P101">
        <v>7.8</v>
      </c>
      <c r="Q101">
        <v>329500000</v>
      </c>
      <c r="R101">
        <f t="shared" si="1"/>
        <v>18.346585735963583</v>
      </c>
      <c r="U101">
        <v>80914</v>
      </c>
      <c r="V101">
        <v>75723</v>
      </c>
      <c r="W101">
        <v>86105</v>
      </c>
      <c r="X101">
        <v>45780</v>
      </c>
      <c r="Y101">
        <v>63.9</v>
      </c>
      <c r="Z101">
        <v>62.1</v>
      </c>
      <c r="AA101">
        <v>65.599999999999994</v>
      </c>
    </row>
    <row r="102" spans="1:27" x14ac:dyDescent="0.25">
      <c r="A102" t="s">
        <v>224</v>
      </c>
      <c r="B102" t="s">
        <v>220</v>
      </c>
      <c r="C102" s="76">
        <v>43922</v>
      </c>
      <c r="D102">
        <v>532</v>
      </c>
      <c r="E102">
        <v>0</v>
      </c>
      <c r="F102">
        <v>1380</v>
      </c>
      <c r="G102">
        <v>392</v>
      </c>
      <c r="H102">
        <v>57.6</v>
      </c>
      <c r="I102">
        <v>47.8</v>
      </c>
      <c r="J102">
        <v>67.3</v>
      </c>
      <c r="K102">
        <v>40</v>
      </c>
      <c r="L102">
        <v>0</v>
      </c>
      <c r="M102">
        <v>111</v>
      </c>
      <c r="N102">
        <v>4.3</v>
      </c>
      <c r="O102">
        <v>2.6</v>
      </c>
      <c r="P102">
        <v>6</v>
      </c>
      <c r="Q102">
        <f>VLOOKUP(B102,$AE$4:$AF$55,2,FALSE)</f>
        <v>724357</v>
      </c>
      <c r="R102">
        <f t="shared" si="1"/>
        <v>5.5221389452990719</v>
      </c>
      <c r="U102">
        <v>82</v>
      </c>
      <c r="V102">
        <v>0</v>
      </c>
      <c r="W102">
        <v>224</v>
      </c>
      <c r="X102">
        <v>68</v>
      </c>
      <c r="Y102">
        <v>54.7</v>
      </c>
      <c r="Z102">
        <v>15.7</v>
      </c>
      <c r="AA102">
        <v>93.7</v>
      </c>
    </row>
    <row r="103" spans="1:27" x14ac:dyDescent="0.25">
      <c r="A103" t="s">
        <v>224</v>
      </c>
      <c r="B103" t="s">
        <v>220</v>
      </c>
      <c r="C103" s="76">
        <v>43923</v>
      </c>
      <c r="D103">
        <v>524</v>
      </c>
      <c r="E103">
        <v>0</v>
      </c>
      <c r="F103">
        <v>1342</v>
      </c>
      <c r="G103">
        <v>400</v>
      </c>
      <c r="H103">
        <v>56.7</v>
      </c>
      <c r="I103">
        <v>49.5</v>
      </c>
      <c r="J103">
        <v>63.9</v>
      </c>
      <c r="K103">
        <v>52</v>
      </c>
      <c r="L103">
        <v>0</v>
      </c>
      <c r="M103">
        <v>146</v>
      </c>
      <c r="N103">
        <v>5.6</v>
      </c>
      <c r="O103">
        <v>3.2</v>
      </c>
      <c r="P103">
        <v>8.1</v>
      </c>
      <c r="Q103">
        <f t="shared" ref="Q103:Q166" si="2">VLOOKUP(B103,$AE$4:$AF$55,2,FALSE)</f>
        <v>724357</v>
      </c>
      <c r="R103">
        <f t="shared" si="1"/>
        <v>7.1787806288887932</v>
      </c>
      <c r="U103">
        <v>72</v>
      </c>
      <c r="V103">
        <v>0</v>
      </c>
      <c r="W103">
        <v>192</v>
      </c>
      <c r="X103">
        <v>78</v>
      </c>
      <c r="Y103">
        <v>48</v>
      </c>
      <c r="Z103">
        <v>19.600000000000001</v>
      </c>
      <c r="AA103">
        <v>76.400000000000006</v>
      </c>
    </row>
    <row r="104" spans="1:27" x14ac:dyDescent="0.25">
      <c r="A104" t="s">
        <v>224</v>
      </c>
      <c r="B104" t="s">
        <v>220</v>
      </c>
      <c r="C104" s="76">
        <v>43924</v>
      </c>
      <c r="D104">
        <v>510</v>
      </c>
      <c r="E104">
        <v>0</v>
      </c>
      <c r="F104">
        <v>1307</v>
      </c>
      <c r="G104">
        <v>414</v>
      </c>
      <c r="H104">
        <v>55.2</v>
      </c>
      <c r="I104">
        <v>45.8</v>
      </c>
      <c r="J104">
        <v>64.599999999999994</v>
      </c>
      <c r="K104">
        <v>48</v>
      </c>
      <c r="L104">
        <v>0</v>
      </c>
      <c r="M104">
        <v>135</v>
      </c>
      <c r="N104">
        <v>5.2</v>
      </c>
      <c r="O104">
        <v>3</v>
      </c>
      <c r="P104">
        <v>7.4</v>
      </c>
      <c r="Q104">
        <f t="shared" si="2"/>
        <v>724357</v>
      </c>
      <c r="R104">
        <f t="shared" si="1"/>
        <v>6.626566734358887</v>
      </c>
      <c r="U104">
        <v>64</v>
      </c>
      <c r="V104">
        <v>0</v>
      </c>
      <c r="W104">
        <v>161</v>
      </c>
      <c r="X104">
        <v>86</v>
      </c>
      <c r="Y104">
        <v>42.7</v>
      </c>
      <c r="Z104">
        <v>25.7</v>
      </c>
      <c r="AA104">
        <v>59.6</v>
      </c>
    </row>
    <row r="105" spans="1:27" x14ac:dyDescent="0.25">
      <c r="A105" t="s">
        <v>224</v>
      </c>
      <c r="B105" t="s">
        <v>220</v>
      </c>
      <c r="C105" s="76">
        <v>43925</v>
      </c>
      <c r="D105">
        <v>600</v>
      </c>
      <c r="E105">
        <v>0</v>
      </c>
      <c r="F105">
        <v>1422</v>
      </c>
      <c r="G105">
        <v>625</v>
      </c>
      <c r="H105">
        <v>49</v>
      </c>
      <c r="I105">
        <v>33.200000000000003</v>
      </c>
      <c r="J105">
        <v>64.7</v>
      </c>
      <c r="K105">
        <v>32</v>
      </c>
      <c r="L105">
        <v>0</v>
      </c>
      <c r="M105">
        <v>86</v>
      </c>
      <c r="N105">
        <v>2.6</v>
      </c>
      <c r="O105">
        <v>0</v>
      </c>
      <c r="P105">
        <v>6.8</v>
      </c>
      <c r="Q105">
        <f t="shared" si="2"/>
        <v>724357</v>
      </c>
      <c r="R105">
        <f t="shared" si="1"/>
        <v>4.4177111562392577</v>
      </c>
      <c r="U105">
        <v>73</v>
      </c>
      <c r="V105">
        <v>0</v>
      </c>
      <c r="W105">
        <v>181</v>
      </c>
      <c r="X105">
        <v>91</v>
      </c>
      <c r="Y105">
        <v>44.7</v>
      </c>
      <c r="Z105">
        <v>22</v>
      </c>
      <c r="AA105">
        <v>67.5</v>
      </c>
    </row>
    <row r="106" spans="1:27" x14ac:dyDescent="0.25">
      <c r="A106" t="s">
        <v>224</v>
      </c>
      <c r="B106" t="s">
        <v>220</v>
      </c>
      <c r="C106" s="76">
        <v>43926</v>
      </c>
      <c r="D106">
        <v>594</v>
      </c>
      <c r="E106">
        <v>0</v>
      </c>
      <c r="F106">
        <v>1406</v>
      </c>
      <c r="G106">
        <v>631</v>
      </c>
      <c r="H106">
        <v>48.5</v>
      </c>
      <c r="I106">
        <v>31.5</v>
      </c>
      <c r="J106">
        <v>65.5</v>
      </c>
      <c r="K106">
        <v>49</v>
      </c>
      <c r="L106">
        <v>0</v>
      </c>
      <c r="M106">
        <v>189</v>
      </c>
      <c r="N106">
        <v>3.9</v>
      </c>
      <c r="O106">
        <v>0</v>
      </c>
      <c r="P106">
        <v>15.5</v>
      </c>
      <c r="Q106">
        <f t="shared" si="2"/>
        <v>724357</v>
      </c>
      <c r="R106">
        <f t="shared" si="1"/>
        <v>6.7646202079913627</v>
      </c>
      <c r="U106">
        <v>85</v>
      </c>
      <c r="V106">
        <v>0</v>
      </c>
      <c r="W106">
        <v>214</v>
      </c>
      <c r="X106">
        <v>79</v>
      </c>
      <c r="Y106">
        <v>51.8</v>
      </c>
      <c r="Z106">
        <v>22.7</v>
      </c>
      <c r="AA106">
        <v>80.8</v>
      </c>
    </row>
    <row r="107" spans="1:27" x14ac:dyDescent="0.25">
      <c r="A107" t="s">
        <v>224</v>
      </c>
      <c r="B107" t="s">
        <v>220</v>
      </c>
      <c r="C107" s="76">
        <v>43927</v>
      </c>
      <c r="D107">
        <v>582</v>
      </c>
      <c r="E107">
        <v>0</v>
      </c>
      <c r="F107">
        <v>1402</v>
      </c>
      <c r="G107">
        <v>643</v>
      </c>
      <c r="H107">
        <v>47.5</v>
      </c>
      <c r="I107">
        <v>29.7</v>
      </c>
      <c r="J107">
        <v>65.3</v>
      </c>
      <c r="K107">
        <v>8</v>
      </c>
      <c r="L107">
        <v>0</v>
      </c>
      <c r="M107">
        <v>19</v>
      </c>
      <c r="N107">
        <v>0.7</v>
      </c>
      <c r="O107">
        <v>0.1</v>
      </c>
      <c r="P107">
        <v>1.2</v>
      </c>
      <c r="Q107">
        <f t="shared" si="2"/>
        <v>724357</v>
      </c>
      <c r="R107">
        <f t="shared" si="1"/>
        <v>1.1044277890598144</v>
      </c>
      <c r="U107">
        <v>78</v>
      </c>
      <c r="V107">
        <v>0</v>
      </c>
      <c r="W107">
        <v>206</v>
      </c>
      <c r="X107">
        <v>86</v>
      </c>
      <c r="Y107">
        <v>47.6</v>
      </c>
      <c r="Z107">
        <v>16.899999999999999</v>
      </c>
      <c r="AA107">
        <v>78.2</v>
      </c>
    </row>
    <row r="108" spans="1:27" x14ac:dyDescent="0.25">
      <c r="A108" t="s">
        <v>224</v>
      </c>
      <c r="B108" t="s">
        <v>220</v>
      </c>
      <c r="C108" s="76">
        <v>43928</v>
      </c>
      <c r="D108">
        <v>545</v>
      </c>
      <c r="E108">
        <v>0</v>
      </c>
      <c r="F108">
        <v>1323</v>
      </c>
      <c r="G108">
        <v>680</v>
      </c>
      <c r="H108">
        <v>44.5</v>
      </c>
      <c r="I108">
        <v>26.8</v>
      </c>
      <c r="J108">
        <v>62.2</v>
      </c>
      <c r="K108">
        <v>8</v>
      </c>
      <c r="L108">
        <v>0</v>
      </c>
      <c r="M108">
        <v>19</v>
      </c>
      <c r="N108">
        <v>0.7</v>
      </c>
      <c r="O108">
        <v>0.1</v>
      </c>
      <c r="P108">
        <v>1.2</v>
      </c>
      <c r="Q108">
        <f t="shared" si="2"/>
        <v>724357</v>
      </c>
      <c r="R108">
        <f t="shared" si="1"/>
        <v>1.1044277890598144</v>
      </c>
      <c r="U108">
        <v>73</v>
      </c>
      <c r="V108">
        <v>0</v>
      </c>
      <c r="W108">
        <v>172</v>
      </c>
      <c r="X108">
        <v>91</v>
      </c>
      <c r="Y108">
        <v>44.5</v>
      </c>
      <c r="Z108">
        <v>30.4</v>
      </c>
      <c r="AA108">
        <v>58.7</v>
      </c>
    </row>
    <row r="109" spans="1:27" x14ac:dyDescent="0.25">
      <c r="A109" t="s">
        <v>224</v>
      </c>
      <c r="B109" t="s">
        <v>220</v>
      </c>
      <c r="C109" s="76">
        <v>43929</v>
      </c>
      <c r="D109">
        <v>583</v>
      </c>
      <c r="E109">
        <v>0</v>
      </c>
      <c r="F109">
        <v>1382</v>
      </c>
      <c r="G109">
        <v>642</v>
      </c>
      <c r="H109">
        <v>47.6</v>
      </c>
      <c r="I109">
        <v>30.9</v>
      </c>
      <c r="J109">
        <v>64.3</v>
      </c>
      <c r="K109">
        <v>2</v>
      </c>
      <c r="L109">
        <v>0</v>
      </c>
      <c r="M109">
        <v>6</v>
      </c>
      <c r="N109">
        <v>0.2</v>
      </c>
      <c r="O109">
        <v>0</v>
      </c>
      <c r="P109">
        <v>0.5</v>
      </c>
      <c r="Q109">
        <f t="shared" si="2"/>
        <v>724357</v>
      </c>
      <c r="R109">
        <f t="shared" si="1"/>
        <v>0.27610694726495361</v>
      </c>
      <c r="U109">
        <v>62</v>
      </c>
      <c r="V109">
        <v>0</v>
      </c>
      <c r="W109">
        <v>152</v>
      </c>
      <c r="X109">
        <v>102</v>
      </c>
      <c r="Y109">
        <v>37.799999999999997</v>
      </c>
      <c r="Z109">
        <v>22.4</v>
      </c>
      <c r="AA109">
        <v>53.2</v>
      </c>
    </row>
    <row r="110" spans="1:27" x14ac:dyDescent="0.25">
      <c r="A110" t="s">
        <v>224</v>
      </c>
      <c r="B110" t="s">
        <v>220</v>
      </c>
      <c r="C110" s="76">
        <v>43930</v>
      </c>
      <c r="D110">
        <v>643</v>
      </c>
      <c r="E110">
        <v>0</v>
      </c>
      <c r="F110">
        <v>1498</v>
      </c>
      <c r="G110">
        <v>582</v>
      </c>
      <c r="H110">
        <v>52.5</v>
      </c>
      <c r="I110">
        <v>36.299999999999997</v>
      </c>
      <c r="J110">
        <v>68.7</v>
      </c>
      <c r="K110">
        <v>25</v>
      </c>
      <c r="L110">
        <v>0</v>
      </c>
      <c r="M110">
        <v>67</v>
      </c>
      <c r="N110">
        <v>2</v>
      </c>
      <c r="O110">
        <v>0</v>
      </c>
      <c r="P110">
        <v>5.8</v>
      </c>
      <c r="Q110">
        <f t="shared" si="2"/>
        <v>724357</v>
      </c>
      <c r="R110">
        <f t="shared" si="1"/>
        <v>3.4513368408119205</v>
      </c>
      <c r="U110">
        <v>62</v>
      </c>
      <c r="V110">
        <v>0</v>
      </c>
      <c r="W110">
        <v>146</v>
      </c>
      <c r="X110">
        <v>102</v>
      </c>
      <c r="Y110">
        <v>37.799999999999997</v>
      </c>
      <c r="Z110">
        <v>25.6</v>
      </c>
      <c r="AA110">
        <v>50.1</v>
      </c>
    </row>
    <row r="111" spans="1:27" x14ac:dyDescent="0.25">
      <c r="A111" t="s">
        <v>224</v>
      </c>
      <c r="B111" t="s">
        <v>220</v>
      </c>
      <c r="C111" s="76">
        <v>43931</v>
      </c>
      <c r="D111">
        <v>563</v>
      </c>
      <c r="E111">
        <v>0</v>
      </c>
      <c r="F111">
        <v>1198</v>
      </c>
      <c r="G111">
        <v>489</v>
      </c>
      <c r="H111">
        <v>53.5</v>
      </c>
      <c r="I111">
        <v>40.799999999999997</v>
      </c>
      <c r="J111">
        <v>66.2</v>
      </c>
      <c r="K111">
        <v>24</v>
      </c>
      <c r="L111">
        <v>0</v>
      </c>
      <c r="M111">
        <v>66</v>
      </c>
      <c r="N111">
        <v>2.2999999999999998</v>
      </c>
      <c r="O111">
        <v>0</v>
      </c>
      <c r="P111">
        <v>6.2</v>
      </c>
      <c r="Q111">
        <f t="shared" si="2"/>
        <v>724357</v>
      </c>
      <c r="R111">
        <f t="shared" si="1"/>
        <v>3.3132833671794435</v>
      </c>
      <c r="U111">
        <v>53</v>
      </c>
      <c r="V111">
        <v>0</v>
      </c>
      <c r="W111">
        <v>124</v>
      </c>
      <c r="X111">
        <v>89</v>
      </c>
      <c r="Y111">
        <v>37.299999999999997</v>
      </c>
      <c r="Z111">
        <v>22.3</v>
      </c>
      <c r="AA111">
        <v>52.4</v>
      </c>
    </row>
    <row r="112" spans="1:27" x14ac:dyDescent="0.25">
      <c r="A112" t="s">
        <v>224</v>
      </c>
      <c r="B112" t="s">
        <v>220</v>
      </c>
      <c r="C112" s="76">
        <v>43932</v>
      </c>
      <c r="D112">
        <v>589</v>
      </c>
      <c r="E112">
        <v>0</v>
      </c>
      <c r="F112">
        <v>1273</v>
      </c>
      <c r="G112">
        <v>463</v>
      </c>
      <c r="H112">
        <v>56</v>
      </c>
      <c r="I112">
        <v>41.2</v>
      </c>
      <c r="J112">
        <v>70.8</v>
      </c>
      <c r="K112">
        <v>9</v>
      </c>
      <c r="L112">
        <v>0</v>
      </c>
      <c r="M112">
        <v>39</v>
      </c>
      <c r="N112">
        <v>0.9</v>
      </c>
      <c r="O112">
        <v>0</v>
      </c>
      <c r="P112">
        <v>3.7</v>
      </c>
      <c r="Q112">
        <f t="shared" si="2"/>
        <v>724357</v>
      </c>
      <c r="R112">
        <f t="shared" si="1"/>
        <v>1.2424812626922912</v>
      </c>
      <c r="U112">
        <v>67</v>
      </c>
      <c r="V112">
        <v>0</v>
      </c>
      <c r="W112">
        <v>162</v>
      </c>
      <c r="X112">
        <v>75</v>
      </c>
      <c r="Y112">
        <v>47.2</v>
      </c>
      <c r="Z112">
        <v>19.5</v>
      </c>
      <c r="AA112">
        <v>74.8</v>
      </c>
    </row>
    <row r="113" spans="1:27" x14ac:dyDescent="0.25">
      <c r="A113" t="s">
        <v>224</v>
      </c>
      <c r="B113" t="s">
        <v>220</v>
      </c>
      <c r="C113" s="76">
        <v>43933</v>
      </c>
      <c r="D113">
        <v>556</v>
      </c>
      <c r="E113">
        <v>0</v>
      </c>
      <c r="F113">
        <v>1244</v>
      </c>
      <c r="G113">
        <v>496</v>
      </c>
      <c r="H113">
        <v>52.9</v>
      </c>
      <c r="I113">
        <v>35.299999999999997</v>
      </c>
      <c r="J113">
        <v>70.400000000000006</v>
      </c>
      <c r="K113">
        <v>9</v>
      </c>
      <c r="L113">
        <v>0</v>
      </c>
      <c r="M113">
        <v>37</v>
      </c>
      <c r="N113">
        <v>0.8</v>
      </c>
      <c r="O113">
        <v>0</v>
      </c>
      <c r="P113">
        <v>3.5</v>
      </c>
      <c r="Q113">
        <f t="shared" si="2"/>
        <v>724357</v>
      </c>
      <c r="R113">
        <f t="shared" si="1"/>
        <v>1.2424812626922912</v>
      </c>
      <c r="U113">
        <v>67</v>
      </c>
      <c r="V113">
        <v>0</v>
      </c>
      <c r="W113">
        <v>163</v>
      </c>
      <c r="X113">
        <v>75</v>
      </c>
      <c r="Y113">
        <v>47.2</v>
      </c>
      <c r="Z113">
        <v>17.8</v>
      </c>
      <c r="AA113">
        <v>76.599999999999994</v>
      </c>
    </row>
    <row r="114" spans="1:27" x14ac:dyDescent="0.25">
      <c r="A114" t="s">
        <v>224</v>
      </c>
      <c r="B114" t="s">
        <v>220</v>
      </c>
      <c r="C114" s="76">
        <v>43934</v>
      </c>
      <c r="D114">
        <v>539</v>
      </c>
      <c r="E114">
        <v>0</v>
      </c>
      <c r="F114">
        <v>1252</v>
      </c>
      <c r="G114">
        <v>513</v>
      </c>
      <c r="H114">
        <v>51.2</v>
      </c>
      <c r="I114">
        <v>28.1</v>
      </c>
      <c r="J114">
        <v>74.400000000000006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f t="shared" si="2"/>
        <v>724357</v>
      </c>
      <c r="R114">
        <f t="shared" si="1"/>
        <v>0</v>
      </c>
      <c r="U114">
        <v>77</v>
      </c>
      <c r="V114">
        <v>0</v>
      </c>
      <c r="W114">
        <v>185</v>
      </c>
      <c r="X114">
        <v>65</v>
      </c>
      <c r="Y114">
        <v>54.2</v>
      </c>
      <c r="Z114">
        <v>29.6</v>
      </c>
      <c r="AA114">
        <v>78.900000000000006</v>
      </c>
    </row>
    <row r="115" spans="1:27" x14ac:dyDescent="0.25">
      <c r="A115" t="s">
        <v>224</v>
      </c>
      <c r="B115" t="s">
        <v>220</v>
      </c>
      <c r="C115" s="76">
        <v>43935</v>
      </c>
      <c r="D115">
        <v>597</v>
      </c>
      <c r="E115">
        <v>0</v>
      </c>
      <c r="F115">
        <v>1279</v>
      </c>
      <c r="G115">
        <v>705</v>
      </c>
      <c r="H115">
        <v>45.9</v>
      </c>
      <c r="I115">
        <v>27.1</v>
      </c>
      <c r="J115">
        <v>64.599999999999994</v>
      </c>
      <c r="K115">
        <v>2</v>
      </c>
      <c r="L115">
        <v>0</v>
      </c>
      <c r="M115">
        <v>6</v>
      </c>
      <c r="N115">
        <v>0.2</v>
      </c>
      <c r="O115">
        <v>0</v>
      </c>
      <c r="P115">
        <v>0.4</v>
      </c>
      <c r="Q115">
        <f t="shared" si="2"/>
        <v>724357</v>
      </c>
      <c r="R115">
        <f t="shared" si="1"/>
        <v>0.27610694726495361</v>
      </c>
      <c r="U115">
        <v>77</v>
      </c>
      <c r="V115">
        <v>0</v>
      </c>
      <c r="W115">
        <v>180</v>
      </c>
      <c r="X115">
        <v>79</v>
      </c>
      <c r="Y115">
        <v>49.4</v>
      </c>
      <c r="Z115">
        <v>26.3</v>
      </c>
      <c r="AA115">
        <v>72.400000000000006</v>
      </c>
    </row>
    <row r="116" spans="1:27" x14ac:dyDescent="0.25">
      <c r="A116" t="s">
        <v>224</v>
      </c>
      <c r="B116" t="s">
        <v>220</v>
      </c>
      <c r="C116" s="76">
        <v>43936</v>
      </c>
      <c r="D116">
        <v>673</v>
      </c>
      <c r="E116">
        <v>0</v>
      </c>
      <c r="F116">
        <v>1355</v>
      </c>
      <c r="G116">
        <v>1030</v>
      </c>
      <c r="H116">
        <v>39.5</v>
      </c>
      <c r="I116">
        <v>20.6</v>
      </c>
      <c r="J116">
        <v>58.5</v>
      </c>
      <c r="K116">
        <v>15</v>
      </c>
      <c r="L116">
        <v>0</v>
      </c>
      <c r="M116">
        <v>37</v>
      </c>
      <c r="N116">
        <v>0.9</v>
      </c>
      <c r="O116">
        <v>0</v>
      </c>
      <c r="P116">
        <v>1.9</v>
      </c>
      <c r="Q116">
        <f t="shared" si="2"/>
        <v>724357</v>
      </c>
      <c r="R116">
        <f t="shared" si="1"/>
        <v>2.0708021044871519</v>
      </c>
      <c r="U116">
        <v>91</v>
      </c>
      <c r="V116">
        <v>0</v>
      </c>
      <c r="W116">
        <v>197</v>
      </c>
      <c r="X116">
        <v>178</v>
      </c>
      <c r="Y116">
        <v>33.799999999999997</v>
      </c>
      <c r="Z116">
        <v>6.1</v>
      </c>
      <c r="AA116">
        <v>61.6</v>
      </c>
    </row>
    <row r="117" spans="1:27" x14ac:dyDescent="0.25">
      <c r="A117" t="s">
        <v>224</v>
      </c>
      <c r="B117" t="s">
        <v>220</v>
      </c>
      <c r="C117" s="76">
        <v>43937</v>
      </c>
      <c r="D117">
        <v>664</v>
      </c>
      <c r="E117">
        <v>0</v>
      </c>
      <c r="F117">
        <v>1338</v>
      </c>
      <c r="G117">
        <v>1039</v>
      </c>
      <c r="H117">
        <v>39</v>
      </c>
      <c r="I117">
        <v>20.2</v>
      </c>
      <c r="J117">
        <v>57.7</v>
      </c>
      <c r="K117">
        <v>20</v>
      </c>
      <c r="L117">
        <v>0</v>
      </c>
      <c r="M117">
        <v>48</v>
      </c>
      <c r="N117">
        <v>1.2</v>
      </c>
      <c r="O117">
        <v>0</v>
      </c>
      <c r="P117">
        <v>2.4</v>
      </c>
      <c r="Q117">
        <f t="shared" si="2"/>
        <v>724357</v>
      </c>
      <c r="R117">
        <f t="shared" si="1"/>
        <v>2.7610694726495359</v>
      </c>
      <c r="U117">
        <v>111</v>
      </c>
      <c r="V117">
        <v>0</v>
      </c>
      <c r="W117">
        <v>229</v>
      </c>
      <c r="X117">
        <v>158</v>
      </c>
      <c r="Y117">
        <v>41.3</v>
      </c>
      <c r="Z117">
        <v>13.9</v>
      </c>
      <c r="AA117">
        <v>68.599999999999994</v>
      </c>
    </row>
    <row r="118" spans="1:27" x14ac:dyDescent="0.25">
      <c r="A118" t="s">
        <v>224</v>
      </c>
      <c r="B118" t="s">
        <v>220</v>
      </c>
      <c r="C118" s="76">
        <v>43938</v>
      </c>
      <c r="D118">
        <v>642</v>
      </c>
      <c r="E118">
        <v>0</v>
      </c>
      <c r="F118">
        <v>1293</v>
      </c>
      <c r="G118">
        <v>1061</v>
      </c>
      <c r="H118">
        <v>37.700000000000003</v>
      </c>
      <c r="I118">
        <v>19.600000000000001</v>
      </c>
      <c r="J118">
        <v>55.8</v>
      </c>
      <c r="K118">
        <v>18</v>
      </c>
      <c r="L118">
        <v>0</v>
      </c>
      <c r="M118">
        <v>41</v>
      </c>
      <c r="N118">
        <v>1.1000000000000001</v>
      </c>
      <c r="O118">
        <v>0.2</v>
      </c>
      <c r="P118">
        <v>1.9</v>
      </c>
      <c r="Q118">
        <f t="shared" si="2"/>
        <v>724357</v>
      </c>
      <c r="R118">
        <f t="shared" si="1"/>
        <v>2.4849625253845824</v>
      </c>
      <c r="U118">
        <v>102</v>
      </c>
      <c r="V118">
        <v>0</v>
      </c>
      <c r="W118">
        <v>205</v>
      </c>
      <c r="X118">
        <v>167</v>
      </c>
      <c r="Y118">
        <v>37.9</v>
      </c>
      <c r="Z118">
        <v>16.3</v>
      </c>
      <c r="AA118">
        <v>59.6</v>
      </c>
    </row>
    <row r="119" spans="1:27" x14ac:dyDescent="0.25">
      <c r="A119" t="s">
        <v>224</v>
      </c>
      <c r="B119" t="s">
        <v>220</v>
      </c>
      <c r="C119" s="76">
        <v>43939</v>
      </c>
      <c r="D119">
        <v>613</v>
      </c>
      <c r="E119">
        <v>0</v>
      </c>
      <c r="F119">
        <v>1232</v>
      </c>
      <c r="G119">
        <v>1090</v>
      </c>
      <c r="H119">
        <v>36</v>
      </c>
      <c r="I119">
        <v>19.2</v>
      </c>
      <c r="J119">
        <v>52.8</v>
      </c>
      <c r="K119">
        <v>29</v>
      </c>
      <c r="L119">
        <v>0</v>
      </c>
      <c r="M119">
        <v>72</v>
      </c>
      <c r="N119">
        <v>1.7</v>
      </c>
      <c r="O119">
        <v>0</v>
      </c>
      <c r="P119">
        <v>3.8</v>
      </c>
      <c r="Q119">
        <f t="shared" si="2"/>
        <v>724357</v>
      </c>
      <c r="R119">
        <f t="shared" si="1"/>
        <v>4.0035507353418271</v>
      </c>
      <c r="U119">
        <v>108</v>
      </c>
      <c r="V119">
        <v>4</v>
      </c>
      <c r="W119">
        <v>212</v>
      </c>
      <c r="X119">
        <v>161</v>
      </c>
      <c r="Y119">
        <v>40.1</v>
      </c>
      <c r="Z119">
        <v>19.100000000000001</v>
      </c>
      <c r="AA119">
        <v>61.1</v>
      </c>
    </row>
    <row r="120" spans="1:27" x14ac:dyDescent="0.25">
      <c r="A120" t="s">
        <v>224</v>
      </c>
      <c r="B120" t="s">
        <v>220</v>
      </c>
      <c r="C120" s="76">
        <v>43940</v>
      </c>
      <c r="D120">
        <v>609</v>
      </c>
      <c r="E120">
        <v>0</v>
      </c>
      <c r="F120">
        <v>1230</v>
      </c>
      <c r="G120">
        <v>1094</v>
      </c>
      <c r="H120">
        <v>35.700000000000003</v>
      </c>
      <c r="I120">
        <v>18.7</v>
      </c>
      <c r="J120">
        <v>52.8</v>
      </c>
      <c r="K120">
        <v>27</v>
      </c>
      <c r="L120">
        <v>0</v>
      </c>
      <c r="M120">
        <v>74</v>
      </c>
      <c r="N120">
        <v>1.6</v>
      </c>
      <c r="O120">
        <v>0</v>
      </c>
      <c r="P120">
        <v>4.0999999999999996</v>
      </c>
      <c r="Q120">
        <f t="shared" si="2"/>
        <v>724357</v>
      </c>
      <c r="R120">
        <f t="shared" si="1"/>
        <v>3.7274437880768736</v>
      </c>
      <c r="U120">
        <v>99</v>
      </c>
      <c r="V120">
        <v>4</v>
      </c>
      <c r="W120">
        <v>194</v>
      </c>
      <c r="X120">
        <v>170</v>
      </c>
      <c r="Y120">
        <v>36.700000000000003</v>
      </c>
      <c r="Z120">
        <v>13.7</v>
      </c>
      <c r="AA120">
        <v>59.8</v>
      </c>
    </row>
    <row r="121" spans="1:27" x14ac:dyDescent="0.25">
      <c r="A121" t="s">
        <v>224</v>
      </c>
      <c r="B121" t="s">
        <v>220</v>
      </c>
      <c r="C121" s="76">
        <v>43941</v>
      </c>
      <c r="D121">
        <v>628</v>
      </c>
      <c r="E121">
        <v>0</v>
      </c>
      <c r="F121">
        <v>1305</v>
      </c>
      <c r="G121">
        <v>1075</v>
      </c>
      <c r="H121">
        <v>36.9</v>
      </c>
      <c r="I121">
        <v>17.399999999999999</v>
      </c>
      <c r="J121">
        <v>56.3</v>
      </c>
      <c r="K121">
        <v>19</v>
      </c>
      <c r="L121">
        <v>0</v>
      </c>
      <c r="M121">
        <v>48</v>
      </c>
      <c r="N121">
        <v>1.1000000000000001</v>
      </c>
      <c r="O121">
        <v>0</v>
      </c>
      <c r="P121">
        <v>2.5</v>
      </c>
      <c r="Q121">
        <f t="shared" si="2"/>
        <v>724357</v>
      </c>
      <c r="R121">
        <f t="shared" si="1"/>
        <v>2.623015999017059</v>
      </c>
      <c r="U121">
        <v>99</v>
      </c>
      <c r="V121">
        <v>4</v>
      </c>
      <c r="W121">
        <v>194</v>
      </c>
      <c r="X121">
        <v>170</v>
      </c>
      <c r="Y121">
        <v>36.799999999999997</v>
      </c>
      <c r="Z121">
        <v>23.7</v>
      </c>
      <c r="AA121">
        <v>49.9</v>
      </c>
    </row>
    <row r="122" spans="1:27" x14ac:dyDescent="0.25">
      <c r="A122" t="s">
        <v>224</v>
      </c>
      <c r="B122" t="s">
        <v>220</v>
      </c>
      <c r="C122" s="76">
        <v>43942</v>
      </c>
      <c r="D122">
        <v>556</v>
      </c>
      <c r="E122">
        <v>0</v>
      </c>
      <c r="F122">
        <v>1245</v>
      </c>
      <c r="G122">
        <v>1027</v>
      </c>
      <c r="H122">
        <v>35.1</v>
      </c>
      <c r="I122">
        <v>13.1</v>
      </c>
      <c r="J122">
        <v>57.1</v>
      </c>
      <c r="K122">
        <v>20</v>
      </c>
      <c r="L122">
        <v>0</v>
      </c>
      <c r="M122">
        <v>49</v>
      </c>
      <c r="N122">
        <v>1.3</v>
      </c>
      <c r="O122">
        <v>0</v>
      </c>
      <c r="P122">
        <v>2.7</v>
      </c>
      <c r="Q122">
        <f t="shared" si="2"/>
        <v>724357</v>
      </c>
      <c r="R122">
        <f t="shared" si="1"/>
        <v>2.7610694726495359</v>
      </c>
      <c r="U122">
        <v>76</v>
      </c>
      <c r="V122">
        <v>0</v>
      </c>
      <c r="W122">
        <v>175</v>
      </c>
      <c r="X122">
        <v>149</v>
      </c>
      <c r="Y122">
        <v>33.799999999999997</v>
      </c>
      <c r="Z122">
        <v>2.1</v>
      </c>
      <c r="AA122">
        <v>65.400000000000006</v>
      </c>
    </row>
    <row r="123" spans="1:27" x14ac:dyDescent="0.25">
      <c r="A123" t="s">
        <v>224</v>
      </c>
      <c r="B123" t="s">
        <v>220</v>
      </c>
      <c r="C123" s="76">
        <v>43943</v>
      </c>
      <c r="D123">
        <v>608</v>
      </c>
      <c r="E123">
        <v>0</v>
      </c>
      <c r="F123">
        <v>1362</v>
      </c>
      <c r="G123">
        <v>975</v>
      </c>
      <c r="H123">
        <v>38.4</v>
      </c>
      <c r="I123">
        <v>14.8</v>
      </c>
      <c r="J123">
        <v>62</v>
      </c>
      <c r="K123">
        <v>31</v>
      </c>
      <c r="L123">
        <v>0</v>
      </c>
      <c r="M123">
        <v>76</v>
      </c>
      <c r="N123">
        <v>2</v>
      </c>
      <c r="O123">
        <v>0</v>
      </c>
      <c r="P123">
        <v>4.2</v>
      </c>
      <c r="Q123">
        <f t="shared" si="2"/>
        <v>724357</v>
      </c>
      <c r="R123">
        <f t="shared" si="1"/>
        <v>4.2796576826067811</v>
      </c>
      <c r="U123">
        <v>77</v>
      </c>
      <c r="V123">
        <v>0</v>
      </c>
      <c r="W123">
        <v>173</v>
      </c>
      <c r="X123">
        <v>148</v>
      </c>
      <c r="Y123">
        <v>34.200000000000003</v>
      </c>
      <c r="Z123">
        <v>6.7</v>
      </c>
      <c r="AA123">
        <v>61.7</v>
      </c>
    </row>
    <row r="124" spans="1:27" x14ac:dyDescent="0.25">
      <c r="A124" t="s">
        <v>224</v>
      </c>
      <c r="B124" t="s">
        <v>220</v>
      </c>
      <c r="C124" s="76">
        <v>43944</v>
      </c>
      <c r="D124">
        <v>527</v>
      </c>
      <c r="E124">
        <v>66</v>
      </c>
      <c r="F124">
        <v>988</v>
      </c>
      <c r="G124">
        <v>950</v>
      </c>
      <c r="H124">
        <v>35.700000000000003</v>
      </c>
      <c r="I124">
        <v>18.8</v>
      </c>
      <c r="J124">
        <v>52.6</v>
      </c>
      <c r="K124">
        <v>24</v>
      </c>
      <c r="L124">
        <v>0</v>
      </c>
      <c r="M124">
        <v>52</v>
      </c>
      <c r="N124">
        <v>1.6</v>
      </c>
      <c r="O124">
        <v>0.1</v>
      </c>
      <c r="P124">
        <v>3.1</v>
      </c>
      <c r="Q124">
        <f t="shared" si="2"/>
        <v>724357</v>
      </c>
      <c r="R124">
        <f t="shared" si="1"/>
        <v>3.3132833671794435</v>
      </c>
      <c r="U124">
        <v>57</v>
      </c>
      <c r="V124">
        <v>0</v>
      </c>
      <c r="W124">
        <v>114</v>
      </c>
      <c r="X124">
        <v>153</v>
      </c>
      <c r="Y124">
        <v>27.1</v>
      </c>
      <c r="Z124">
        <v>2.9</v>
      </c>
      <c r="AA124">
        <v>51.4</v>
      </c>
    </row>
    <row r="125" spans="1:27" x14ac:dyDescent="0.25">
      <c r="A125" t="s">
        <v>224</v>
      </c>
      <c r="B125" t="s">
        <v>220</v>
      </c>
      <c r="C125" s="76">
        <v>43945</v>
      </c>
      <c r="D125">
        <v>530</v>
      </c>
      <c r="E125">
        <v>72</v>
      </c>
      <c r="F125">
        <v>988</v>
      </c>
      <c r="G125">
        <v>947</v>
      </c>
      <c r="H125">
        <v>35.9</v>
      </c>
      <c r="I125">
        <v>21.1</v>
      </c>
      <c r="J125">
        <v>50.6</v>
      </c>
      <c r="K125">
        <v>23</v>
      </c>
      <c r="L125">
        <v>0</v>
      </c>
      <c r="M125">
        <v>46</v>
      </c>
      <c r="N125">
        <v>1.5</v>
      </c>
      <c r="O125">
        <v>0.4</v>
      </c>
      <c r="P125">
        <v>2.6</v>
      </c>
      <c r="Q125">
        <f t="shared" si="2"/>
        <v>724357</v>
      </c>
      <c r="R125">
        <f t="shared" si="1"/>
        <v>3.1752298935469665</v>
      </c>
      <c r="U125">
        <v>72</v>
      </c>
      <c r="V125">
        <v>3</v>
      </c>
      <c r="W125">
        <v>141</v>
      </c>
      <c r="X125">
        <v>138</v>
      </c>
      <c r="Y125">
        <v>34.299999999999997</v>
      </c>
      <c r="Z125">
        <v>12.7</v>
      </c>
      <c r="AA125">
        <v>55.9</v>
      </c>
    </row>
    <row r="126" spans="1:27" x14ac:dyDescent="0.25">
      <c r="A126" t="s">
        <v>224</v>
      </c>
      <c r="B126" t="s">
        <v>220</v>
      </c>
      <c r="C126" s="76">
        <v>43946</v>
      </c>
      <c r="D126">
        <v>506</v>
      </c>
      <c r="E126">
        <v>54</v>
      </c>
      <c r="F126">
        <v>958</v>
      </c>
      <c r="G126">
        <v>970</v>
      </c>
      <c r="H126">
        <v>34.299999999999997</v>
      </c>
      <c r="I126">
        <v>18.600000000000001</v>
      </c>
      <c r="J126">
        <v>50</v>
      </c>
      <c r="K126">
        <v>20</v>
      </c>
      <c r="L126">
        <v>0</v>
      </c>
      <c r="M126">
        <v>61</v>
      </c>
      <c r="N126">
        <v>1.4</v>
      </c>
      <c r="O126">
        <v>0</v>
      </c>
      <c r="P126">
        <v>4</v>
      </c>
      <c r="Q126">
        <f t="shared" si="2"/>
        <v>724357</v>
      </c>
      <c r="R126">
        <f t="shared" si="1"/>
        <v>2.7610694726495359</v>
      </c>
      <c r="U126">
        <v>69</v>
      </c>
      <c r="V126">
        <v>3</v>
      </c>
      <c r="W126">
        <v>135</v>
      </c>
      <c r="X126">
        <v>141</v>
      </c>
      <c r="Y126">
        <v>32.799999999999997</v>
      </c>
      <c r="Z126">
        <v>10.6</v>
      </c>
      <c r="AA126">
        <v>55.1</v>
      </c>
    </row>
    <row r="127" spans="1:27" x14ac:dyDescent="0.25">
      <c r="A127" t="s">
        <v>224</v>
      </c>
      <c r="B127" t="s">
        <v>220</v>
      </c>
      <c r="C127" s="76">
        <v>43947</v>
      </c>
      <c r="D127">
        <v>571</v>
      </c>
      <c r="E127">
        <v>60</v>
      </c>
      <c r="F127">
        <v>1083</v>
      </c>
      <c r="G127">
        <v>905</v>
      </c>
      <c r="H127">
        <v>38.700000000000003</v>
      </c>
      <c r="I127">
        <v>24.6</v>
      </c>
      <c r="J127">
        <v>52.8</v>
      </c>
      <c r="K127">
        <v>49</v>
      </c>
      <c r="L127">
        <v>0</v>
      </c>
      <c r="M127">
        <v>125</v>
      </c>
      <c r="N127">
        <v>3.3</v>
      </c>
      <c r="O127">
        <v>0</v>
      </c>
      <c r="P127">
        <v>7.3</v>
      </c>
      <c r="Q127">
        <f t="shared" si="2"/>
        <v>724357</v>
      </c>
      <c r="R127">
        <f t="shared" si="1"/>
        <v>6.7646202079913627</v>
      </c>
      <c r="U127">
        <v>72</v>
      </c>
      <c r="V127">
        <v>0</v>
      </c>
      <c r="W127">
        <v>144</v>
      </c>
      <c r="X127">
        <v>138</v>
      </c>
      <c r="Y127">
        <v>34.1</v>
      </c>
      <c r="Z127">
        <v>11.7</v>
      </c>
      <c r="AA127">
        <v>56.5</v>
      </c>
    </row>
    <row r="128" spans="1:27" x14ac:dyDescent="0.25">
      <c r="A128" t="s">
        <v>224</v>
      </c>
      <c r="B128" t="s">
        <v>220</v>
      </c>
      <c r="C128" s="76">
        <v>43948</v>
      </c>
      <c r="D128">
        <v>622</v>
      </c>
      <c r="E128">
        <v>42</v>
      </c>
      <c r="F128">
        <v>1202</v>
      </c>
      <c r="G128">
        <v>855</v>
      </c>
      <c r="H128">
        <v>42.1</v>
      </c>
      <c r="I128">
        <v>26.7</v>
      </c>
      <c r="J128">
        <v>57.6</v>
      </c>
      <c r="K128">
        <v>51</v>
      </c>
      <c r="L128">
        <v>0</v>
      </c>
      <c r="M128">
        <v>131</v>
      </c>
      <c r="N128">
        <v>3.5</v>
      </c>
      <c r="O128">
        <v>0</v>
      </c>
      <c r="P128">
        <v>7.4</v>
      </c>
      <c r="Q128">
        <f t="shared" si="2"/>
        <v>724357</v>
      </c>
      <c r="R128">
        <f t="shared" si="1"/>
        <v>7.0407271552563166</v>
      </c>
      <c r="U128">
        <v>71</v>
      </c>
      <c r="V128">
        <v>0</v>
      </c>
      <c r="W128">
        <v>146</v>
      </c>
      <c r="X128">
        <v>140</v>
      </c>
      <c r="Y128">
        <v>33.6</v>
      </c>
      <c r="Z128">
        <v>18.3</v>
      </c>
      <c r="AA128">
        <v>48.9</v>
      </c>
    </row>
    <row r="129" spans="1:27" x14ac:dyDescent="0.25">
      <c r="A129" t="s">
        <v>224</v>
      </c>
      <c r="B129" t="s">
        <v>220</v>
      </c>
      <c r="C129" s="76">
        <v>43949</v>
      </c>
      <c r="D129">
        <v>659</v>
      </c>
      <c r="E129">
        <v>56</v>
      </c>
      <c r="F129">
        <v>1261</v>
      </c>
      <c r="G129">
        <v>818</v>
      </c>
      <c r="H129">
        <v>44.6</v>
      </c>
      <c r="I129">
        <v>30.4</v>
      </c>
      <c r="J129">
        <v>58.8</v>
      </c>
      <c r="K129">
        <v>46</v>
      </c>
      <c r="L129">
        <v>0</v>
      </c>
      <c r="M129">
        <v>111</v>
      </c>
      <c r="N129">
        <v>3.1</v>
      </c>
      <c r="O129">
        <v>0</v>
      </c>
      <c r="P129">
        <v>6.1</v>
      </c>
      <c r="Q129">
        <f t="shared" si="2"/>
        <v>724357</v>
      </c>
      <c r="R129">
        <f t="shared" si="1"/>
        <v>6.350459787093933</v>
      </c>
      <c r="U129">
        <v>78</v>
      </c>
      <c r="V129">
        <v>3</v>
      </c>
      <c r="W129">
        <v>152</v>
      </c>
      <c r="X129">
        <v>133</v>
      </c>
      <c r="Y129">
        <v>36.9</v>
      </c>
      <c r="Z129">
        <v>16.5</v>
      </c>
      <c r="AA129">
        <v>57.3</v>
      </c>
    </row>
    <row r="130" spans="1:27" x14ac:dyDescent="0.25">
      <c r="A130" t="s">
        <v>224</v>
      </c>
      <c r="B130" t="s">
        <v>220</v>
      </c>
      <c r="C130" s="76">
        <v>43950</v>
      </c>
      <c r="D130">
        <v>603</v>
      </c>
      <c r="E130">
        <v>35</v>
      </c>
      <c r="F130">
        <v>1170</v>
      </c>
      <c r="G130">
        <v>874</v>
      </c>
      <c r="H130">
        <v>40.799999999999997</v>
      </c>
      <c r="I130">
        <v>26.9</v>
      </c>
      <c r="J130">
        <v>54.7</v>
      </c>
      <c r="K130">
        <v>40</v>
      </c>
      <c r="L130">
        <v>0</v>
      </c>
      <c r="M130">
        <v>98</v>
      </c>
      <c r="N130">
        <v>2.7</v>
      </c>
      <c r="O130">
        <v>0</v>
      </c>
      <c r="P130">
        <v>5.5</v>
      </c>
      <c r="Q130">
        <f t="shared" si="2"/>
        <v>724357</v>
      </c>
      <c r="R130">
        <f t="shared" si="1"/>
        <v>5.5221389452990719</v>
      </c>
      <c r="U130">
        <v>73</v>
      </c>
      <c r="V130">
        <v>2</v>
      </c>
      <c r="W130">
        <v>144</v>
      </c>
      <c r="X130">
        <v>137</v>
      </c>
      <c r="Y130">
        <v>34.799999999999997</v>
      </c>
      <c r="Z130">
        <v>13.1</v>
      </c>
      <c r="AA130">
        <v>56.4</v>
      </c>
    </row>
    <row r="131" spans="1:27" x14ac:dyDescent="0.25">
      <c r="A131" t="s">
        <v>224</v>
      </c>
      <c r="B131" t="s">
        <v>220</v>
      </c>
      <c r="C131" s="76">
        <v>43951</v>
      </c>
      <c r="D131">
        <v>495</v>
      </c>
      <c r="E131">
        <v>68</v>
      </c>
      <c r="F131">
        <v>921</v>
      </c>
      <c r="G131">
        <v>982</v>
      </c>
      <c r="H131">
        <v>33.5</v>
      </c>
      <c r="I131">
        <v>20.2</v>
      </c>
      <c r="J131">
        <v>46.8</v>
      </c>
      <c r="K131">
        <v>8</v>
      </c>
      <c r="L131">
        <v>0</v>
      </c>
      <c r="M131">
        <v>20</v>
      </c>
      <c r="N131">
        <v>0.5</v>
      </c>
      <c r="O131">
        <v>0</v>
      </c>
      <c r="P131">
        <v>1.3</v>
      </c>
      <c r="Q131">
        <f t="shared" si="2"/>
        <v>724357</v>
      </c>
      <c r="R131">
        <f t="shared" si="1"/>
        <v>1.1044277890598144</v>
      </c>
      <c r="U131">
        <v>64</v>
      </c>
      <c r="V131">
        <v>6</v>
      </c>
      <c r="W131">
        <v>121</v>
      </c>
      <c r="X131">
        <v>147</v>
      </c>
      <c r="Y131">
        <v>30.2</v>
      </c>
      <c r="Z131">
        <v>8.3000000000000007</v>
      </c>
      <c r="AA131">
        <v>52.2</v>
      </c>
    </row>
    <row r="132" spans="1:27" x14ac:dyDescent="0.25">
      <c r="A132" t="s">
        <v>224</v>
      </c>
      <c r="B132" t="s">
        <v>220</v>
      </c>
      <c r="C132" s="76">
        <v>43952</v>
      </c>
      <c r="D132">
        <v>623</v>
      </c>
      <c r="E132">
        <v>51</v>
      </c>
      <c r="F132">
        <v>1195</v>
      </c>
      <c r="G132">
        <v>814</v>
      </c>
      <c r="H132">
        <v>43.4</v>
      </c>
      <c r="I132">
        <v>33</v>
      </c>
      <c r="J132">
        <v>53.7</v>
      </c>
      <c r="K132">
        <v>19</v>
      </c>
      <c r="L132">
        <v>0</v>
      </c>
      <c r="M132">
        <v>44</v>
      </c>
      <c r="N132">
        <v>1.3</v>
      </c>
      <c r="O132">
        <v>0.1</v>
      </c>
      <c r="P132">
        <v>2.5</v>
      </c>
      <c r="Q132">
        <f t="shared" si="2"/>
        <v>724357</v>
      </c>
      <c r="R132">
        <f t="shared" si="1"/>
        <v>2.623015999017059</v>
      </c>
      <c r="U132">
        <v>75</v>
      </c>
      <c r="V132">
        <v>0</v>
      </c>
      <c r="W132">
        <v>151</v>
      </c>
      <c r="X132">
        <v>131</v>
      </c>
      <c r="Y132">
        <v>36.299999999999997</v>
      </c>
      <c r="Z132">
        <v>17</v>
      </c>
      <c r="AA132">
        <v>55.6</v>
      </c>
    </row>
    <row r="133" spans="1:27" x14ac:dyDescent="0.25">
      <c r="A133" t="s">
        <v>224</v>
      </c>
      <c r="B133" t="s">
        <v>220</v>
      </c>
      <c r="C133" s="76">
        <v>43953</v>
      </c>
      <c r="D133">
        <v>651</v>
      </c>
      <c r="E133">
        <v>43</v>
      </c>
      <c r="F133">
        <v>1258</v>
      </c>
      <c r="G133">
        <v>786</v>
      </c>
      <c r="H133">
        <v>45.3</v>
      </c>
      <c r="I133">
        <v>25.9</v>
      </c>
      <c r="J133">
        <v>64.599999999999994</v>
      </c>
      <c r="K133">
        <v>30</v>
      </c>
      <c r="L133">
        <v>0</v>
      </c>
      <c r="M133">
        <v>72</v>
      </c>
      <c r="N133">
        <v>2.1</v>
      </c>
      <c r="O133">
        <v>0</v>
      </c>
      <c r="P133">
        <v>4.2</v>
      </c>
      <c r="Q133">
        <f t="shared" si="2"/>
        <v>724357</v>
      </c>
      <c r="R133">
        <f t="shared" ref="R133:R196" si="3">K133/(Q133)*100000</f>
        <v>4.1416042089743037</v>
      </c>
      <c r="U133">
        <v>68</v>
      </c>
      <c r="V133">
        <v>2</v>
      </c>
      <c r="W133">
        <v>133</v>
      </c>
      <c r="X133">
        <v>138</v>
      </c>
      <c r="Y133">
        <v>32.9</v>
      </c>
      <c r="Z133">
        <v>13.9</v>
      </c>
      <c r="AA133">
        <v>51.8</v>
      </c>
    </row>
    <row r="134" spans="1:27" x14ac:dyDescent="0.25">
      <c r="A134" t="s">
        <v>224</v>
      </c>
      <c r="B134" t="s">
        <v>220</v>
      </c>
      <c r="C134" s="76">
        <v>43954</v>
      </c>
      <c r="D134">
        <v>520</v>
      </c>
      <c r="E134">
        <v>72</v>
      </c>
      <c r="F134">
        <v>967</v>
      </c>
      <c r="G134">
        <v>917</v>
      </c>
      <c r="H134">
        <v>36.200000000000003</v>
      </c>
      <c r="I134">
        <v>21.9</v>
      </c>
      <c r="J134">
        <v>50.4</v>
      </c>
      <c r="K134">
        <v>13</v>
      </c>
      <c r="L134">
        <v>0</v>
      </c>
      <c r="M134">
        <v>32</v>
      </c>
      <c r="N134">
        <v>0.9</v>
      </c>
      <c r="O134">
        <v>0</v>
      </c>
      <c r="P134">
        <v>2.1</v>
      </c>
      <c r="Q134">
        <f t="shared" si="2"/>
        <v>724357</v>
      </c>
      <c r="R134">
        <f t="shared" si="3"/>
        <v>1.7946951572221983</v>
      </c>
      <c r="U134">
        <v>56</v>
      </c>
      <c r="V134">
        <v>0</v>
      </c>
      <c r="W134">
        <v>112</v>
      </c>
      <c r="X134">
        <v>150</v>
      </c>
      <c r="Y134">
        <v>27.2</v>
      </c>
      <c r="Z134">
        <v>0</v>
      </c>
      <c r="AA134">
        <v>55.9</v>
      </c>
    </row>
    <row r="135" spans="1:27" x14ac:dyDescent="0.25">
      <c r="A135" t="s">
        <v>224</v>
      </c>
      <c r="B135" t="s">
        <v>220</v>
      </c>
      <c r="C135" s="76">
        <v>43955</v>
      </c>
      <c r="D135">
        <v>539</v>
      </c>
      <c r="E135">
        <v>74</v>
      </c>
      <c r="F135">
        <v>1003</v>
      </c>
      <c r="G135">
        <v>898</v>
      </c>
      <c r="H135">
        <v>37.5</v>
      </c>
      <c r="I135">
        <v>23.8</v>
      </c>
      <c r="J135">
        <v>51.2</v>
      </c>
      <c r="K135">
        <v>10</v>
      </c>
      <c r="L135">
        <v>0</v>
      </c>
      <c r="M135">
        <v>23</v>
      </c>
      <c r="N135">
        <v>0.7</v>
      </c>
      <c r="O135">
        <v>0</v>
      </c>
      <c r="P135">
        <v>1.5</v>
      </c>
      <c r="Q135">
        <f t="shared" si="2"/>
        <v>724357</v>
      </c>
      <c r="R135">
        <f t="shared" si="3"/>
        <v>1.380534736324768</v>
      </c>
      <c r="U135">
        <v>69</v>
      </c>
      <c r="V135">
        <v>4</v>
      </c>
      <c r="W135">
        <v>135</v>
      </c>
      <c r="X135">
        <v>136</v>
      </c>
      <c r="Y135">
        <v>33.700000000000003</v>
      </c>
      <c r="Z135">
        <v>9</v>
      </c>
      <c r="AA135">
        <v>58.4</v>
      </c>
    </row>
    <row r="136" spans="1:27" x14ac:dyDescent="0.25">
      <c r="A136" t="s">
        <v>224</v>
      </c>
      <c r="B136" t="s">
        <v>220</v>
      </c>
      <c r="C136" s="76">
        <v>43956</v>
      </c>
      <c r="D136">
        <v>570</v>
      </c>
      <c r="E136">
        <v>78</v>
      </c>
      <c r="F136">
        <v>1062</v>
      </c>
      <c r="G136">
        <v>867</v>
      </c>
      <c r="H136">
        <v>39.700000000000003</v>
      </c>
      <c r="I136">
        <v>24.9</v>
      </c>
      <c r="J136">
        <v>54.5</v>
      </c>
      <c r="K136">
        <v>7</v>
      </c>
      <c r="L136">
        <v>0</v>
      </c>
      <c r="M136">
        <v>21</v>
      </c>
      <c r="N136">
        <v>0.5</v>
      </c>
      <c r="O136">
        <v>0</v>
      </c>
      <c r="P136">
        <v>1.4</v>
      </c>
      <c r="Q136">
        <f t="shared" si="2"/>
        <v>724357</v>
      </c>
      <c r="R136">
        <f t="shared" si="3"/>
        <v>0.96637431542733765</v>
      </c>
      <c r="U136">
        <v>70</v>
      </c>
      <c r="V136">
        <v>0</v>
      </c>
      <c r="W136">
        <v>145</v>
      </c>
      <c r="X136">
        <v>135</v>
      </c>
      <c r="Y136">
        <v>34.299999999999997</v>
      </c>
      <c r="Z136">
        <v>0.8</v>
      </c>
      <c r="AA136">
        <v>67.7</v>
      </c>
    </row>
    <row r="137" spans="1:27" x14ac:dyDescent="0.25">
      <c r="A137" t="s">
        <v>224</v>
      </c>
      <c r="B137" t="s">
        <v>220</v>
      </c>
      <c r="C137" s="76">
        <v>43957</v>
      </c>
      <c r="D137">
        <v>619</v>
      </c>
      <c r="E137">
        <v>85</v>
      </c>
      <c r="F137">
        <v>1153</v>
      </c>
      <c r="G137">
        <v>818</v>
      </c>
      <c r="H137">
        <v>43.1</v>
      </c>
      <c r="I137">
        <v>26</v>
      </c>
      <c r="J137">
        <v>60.2</v>
      </c>
      <c r="K137">
        <v>11</v>
      </c>
      <c r="L137">
        <v>0</v>
      </c>
      <c r="M137">
        <v>25</v>
      </c>
      <c r="N137">
        <v>0.8</v>
      </c>
      <c r="O137">
        <v>0</v>
      </c>
      <c r="P137">
        <v>1.5</v>
      </c>
      <c r="Q137">
        <f t="shared" si="2"/>
        <v>724357</v>
      </c>
      <c r="R137">
        <f t="shared" si="3"/>
        <v>1.518588209957245</v>
      </c>
      <c r="U137">
        <v>64</v>
      </c>
      <c r="V137">
        <v>0</v>
      </c>
      <c r="W137">
        <v>129</v>
      </c>
      <c r="X137">
        <v>142</v>
      </c>
      <c r="Y137">
        <v>30.9</v>
      </c>
      <c r="Z137">
        <v>6.9</v>
      </c>
      <c r="AA137">
        <v>55</v>
      </c>
    </row>
    <row r="138" spans="1:27" x14ac:dyDescent="0.25">
      <c r="A138" t="s">
        <v>224</v>
      </c>
      <c r="B138" t="s">
        <v>220</v>
      </c>
      <c r="C138" s="76">
        <v>43958</v>
      </c>
      <c r="D138">
        <v>615</v>
      </c>
      <c r="E138">
        <v>72</v>
      </c>
      <c r="F138">
        <v>1159</v>
      </c>
      <c r="G138">
        <v>710</v>
      </c>
      <c r="H138">
        <v>46.4</v>
      </c>
      <c r="I138">
        <v>29.3</v>
      </c>
      <c r="J138">
        <v>63.6</v>
      </c>
      <c r="K138">
        <v>13</v>
      </c>
      <c r="L138">
        <v>0</v>
      </c>
      <c r="M138">
        <v>32</v>
      </c>
      <c r="N138">
        <v>1</v>
      </c>
      <c r="O138">
        <v>0</v>
      </c>
      <c r="P138">
        <v>2.2000000000000002</v>
      </c>
      <c r="Q138">
        <f t="shared" si="2"/>
        <v>724357</v>
      </c>
      <c r="R138">
        <f t="shared" si="3"/>
        <v>1.7946951572221983</v>
      </c>
      <c r="U138">
        <v>59</v>
      </c>
      <c r="V138">
        <v>0</v>
      </c>
      <c r="W138">
        <v>120</v>
      </c>
      <c r="X138">
        <v>128</v>
      </c>
      <c r="Y138">
        <v>31.5</v>
      </c>
      <c r="Z138">
        <v>2.7</v>
      </c>
      <c r="AA138">
        <v>60.3</v>
      </c>
    </row>
    <row r="139" spans="1:27" x14ac:dyDescent="0.25">
      <c r="A139" t="s">
        <v>224</v>
      </c>
      <c r="B139" t="s">
        <v>220</v>
      </c>
      <c r="C139" s="76">
        <v>43959</v>
      </c>
      <c r="D139">
        <v>642</v>
      </c>
      <c r="E139">
        <v>89</v>
      </c>
      <c r="F139">
        <v>1196</v>
      </c>
      <c r="G139">
        <v>795</v>
      </c>
      <c r="H139">
        <v>44.7</v>
      </c>
      <c r="I139">
        <v>25.9</v>
      </c>
      <c r="J139">
        <v>63.6</v>
      </c>
      <c r="K139">
        <v>8</v>
      </c>
      <c r="L139">
        <v>0</v>
      </c>
      <c r="M139">
        <v>20</v>
      </c>
      <c r="N139">
        <v>0.6</v>
      </c>
      <c r="O139">
        <v>0</v>
      </c>
      <c r="P139">
        <v>1.3</v>
      </c>
      <c r="Q139">
        <f t="shared" si="2"/>
        <v>724357</v>
      </c>
      <c r="R139">
        <f t="shared" si="3"/>
        <v>1.1044277890598144</v>
      </c>
      <c r="U139">
        <v>67</v>
      </c>
      <c r="V139">
        <v>5</v>
      </c>
      <c r="W139">
        <v>128</v>
      </c>
      <c r="X139">
        <v>139</v>
      </c>
      <c r="Y139">
        <v>32.5</v>
      </c>
      <c r="Z139">
        <v>2.7</v>
      </c>
      <c r="AA139">
        <v>62.3</v>
      </c>
    </row>
    <row r="140" spans="1:27" x14ac:dyDescent="0.25">
      <c r="A140" t="s">
        <v>224</v>
      </c>
      <c r="B140" t="s">
        <v>220</v>
      </c>
      <c r="C140" s="76">
        <v>43960</v>
      </c>
      <c r="D140">
        <v>709</v>
      </c>
      <c r="E140">
        <v>43</v>
      </c>
      <c r="F140">
        <v>1376</v>
      </c>
      <c r="G140">
        <v>615</v>
      </c>
      <c r="H140">
        <v>53.5</v>
      </c>
      <c r="I140">
        <v>39.6</v>
      </c>
      <c r="J140">
        <v>67.5</v>
      </c>
      <c r="K140">
        <v>16</v>
      </c>
      <c r="L140">
        <v>0</v>
      </c>
      <c r="M140">
        <v>40</v>
      </c>
      <c r="N140">
        <v>1.3</v>
      </c>
      <c r="O140">
        <v>0</v>
      </c>
      <c r="P140">
        <v>2.9</v>
      </c>
      <c r="Q140">
        <f t="shared" si="2"/>
        <v>724357</v>
      </c>
      <c r="R140">
        <f t="shared" si="3"/>
        <v>2.2088555781196288</v>
      </c>
      <c r="U140">
        <v>123</v>
      </c>
      <c r="V140">
        <v>0</v>
      </c>
      <c r="W140">
        <v>262</v>
      </c>
      <c r="X140">
        <v>65</v>
      </c>
      <c r="Y140">
        <v>65.5</v>
      </c>
      <c r="Z140">
        <v>45.3</v>
      </c>
      <c r="AA140">
        <v>85.7</v>
      </c>
    </row>
    <row r="141" spans="1:27" x14ac:dyDescent="0.25">
      <c r="A141" t="s">
        <v>224</v>
      </c>
      <c r="B141" t="s">
        <v>220</v>
      </c>
      <c r="C141" s="76">
        <v>43961</v>
      </c>
      <c r="D141">
        <v>730</v>
      </c>
      <c r="E141">
        <v>0</v>
      </c>
      <c r="F141">
        <v>1472</v>
      </c>
      <c r="G141">
        <v>594</v>
      </c>
      <c r="H141">
        <v>54.9</v>
      </c>
      <c r="I141">
        <v>27.8</v>
      </c>
      <c r="J141">
        <v>81.900000000000006</v>
      </c>
      <c r="K141">
        <v>12</v>
      </c>
      <c r="L141">
        <v>0</v>
      </c>
      <c r="M141">
        <v>32</v>
      </c>
      <c r="N141">
        <v>0.9</v>
      </c>
      <c r="O141">
        <v>0</v>
      </c>
      <c r="P141">
        <v>2.4</v>
      </c>
      <c r="Q141">
        <f t="shared" si="2"/>
        <v>724357</v>
      </c>
      <c r="R141">
        <f t="shared" si="3"/>
        <v>1.6566416835897217</v>
      </c>
      <c r="U141">
        <v>110</v>
      </c>
      <c r="V141">
        <v>0</v>
      </c>
      <c r="W141">
        <v>237</v>
      </c>
      <c r="X141">
        <v>77</v>
      </c>
      <c r="Y141">
        <v>58.9</v>
      </c>
      <c r="Z141">
        <v>41.2</v>
      </c>
      <c r="AA141">
        <v>76.599999999999994</v>
      </c>
    </row>
    <row r="142" spans="1:27" x14ac:dyDescent="0.25">
      <c r="A142" t="s">
        <v>224</v>
      </c>
      <c r="B142" t="s">
        <v>220</v>
      </c>
      <c r="C142" s="76">
        <v>43962</v>
      </c>
      <c r="D142">
        <v>737</v>
      </c>
      <c r="E142">
        <v>30</v>
      </c>
      <c r="F142">
        <v>1444</v>
      </c>
      <c r="G142">
        <v>588</v>
      </c>
      <c r="H142">
        <v>55.6</v>
      </c>
      <c r="I142">
        <v>40.299999999999997</v>
      </c>
      <c r="J142">
        <v>70.900000000000006</v>
      </c>
      <c r="K142">
        <v>16</v>
      </c>
      <c r="L142">
        <v>0</v>
      </c>
      <c r="M142">
        <v>37</v>
      </c>
      <c r="N142">
        <v>1.2</v>
      </c>
      <c r="O142">
        <v>0</v>
      </c>
      <c r="P142">
        <v>2.6</v>
      </c>
      <c r="Q142">
        <f t="shared" si="2"/>
        <v>724357</v>
      </c>
      <c r="R142">
        <f t="shared" si="3"/>
        <v>2.2088555781196288</v>
      </c>
      <c r="U142">
        <v>115</v>
      </c>
      <c r="V142">
        <v>0</v>
      </c>
      <c r="W142">
        <v>246</v>
      </c>
      <c r="X142">
        <v>73</v>
      </c>
      <c r="Y142">
        <v>61.2</v>
      </c>
      <c r="Z142">
        <v>45.4</v>
      </c>
      <c r="AA142">
        <v>77</v>
      </c>
    </row>
    <row r="143" spans="1:27" x14ac:dyDescent="0.25">
      <c r="A143" t="s">
        <v>224</v>
      </c>
      <c r="B143" t="s">
        <v>220</v>
      </c>
      <c r="C143" s="76">
        <v>43963</v>
      </c>
      <c r="D143">
        <v>750</v>
      </c>
      <c r="E143">
        <v>43</v>
      </c>
      <c r="F143">
        <v>1458</v>
      </c>
      <c r="G143">
        <v>575</v>
      </c>
      <c r="H143">
        <v>56.6</v>
      </c>
      <c r="I143">
        <v>42.1</v>
      </c>
      <c r="J143">
        <v>71.099999999999994</v>
      </c>
      <c r="K143">
        <v>12</v>
      </c>
      <c r="L143">
        <v>0</v>
      </c>
      <c r="M143">
        <v>38</v>
      </c>
      <c r="N143">
        <v>0.9</v>
      </c>
      <c r="O143">
        <v>0</v>
      </c>
      <c r="P143">
        <v>2.8</v>
      </c>
      <c r="Q143">
        <f t="shared" si="2"/>
        <v>724357</v>
      </c>
      <c r="R143">
        <f t="shared" si="3"/>
        <v>1.6566416835897217</v>
      </c>
      <c r="U143">
        <v>121</v>
      </c>
      <c r="V143">
        <v>0</v>
      </c>
      <c r="W143">
        <v>263</v>
      </c>
      <c r="X143">
        <v>66</v>
      </c>
      <c r="Y143">
        <v>64.599999999999994</v>
      </c>
      <c r="Z143">
        <v>48.4</v>
      </c>
      <c r="AA143">
        <v>80.8</v>
      </c>
    </row>
    <row r="144" spans="1:27" x14ac:dyDescent="0.25">
      <c r="A144" t="s">
        <v>224</v>
      </c>
      <c r="B144" t="s">
        <v>220</v>
      </c>
      <c r="C144" s="76">
        <v>43964</v>
      </c>
      <c r="D144">
        <v>824</v>
      </c>
      <c r="E144">
        <v>0</v>
      </c>
      <c r="F144">
        <v>1762</v>
      </c>
      <c r="G144">
        <v>608</v>
      </c>
      <c r="H144">
        <v>57.5</v>
      </c>
      <c r="I144">
        <v>41.1</v>
      </c>
      <c r="J144">
        <v>74</v>
      </c>
      <c r="K144">
        <v>19</v>
      </c>
      <c r="L144">
        <v>0</v>
      </c>
      <c r="M144">
        <v>45</v>
      </c>
      <c r="N144">
        <v>1.3</v>
      </c>
      <c r="O144">
        <v>0</v>
      </c>
      <c r="P144">
        <v>2.7</v>
      </c>
      <c r="Q144">
        <f t="shared" si="2"/>
        <v>724357</v>
      </c>
      <c r="R144">
        <f t="shared" si="3"/>
        <v>2.623015999017059</v>
      </c>
      <c r="U144">
        <v>142</v>
      </c>
      <c r="V144">
        <v>0</v>
      </c>
      <c r="W144">
        <v>317</v>
      </c>
      <c r="X144">
        <v>61</v>
      </c>
      <c r="Y144">
        <v>70</v>
      </c>
      <c r="Z144">
        <v>50.7</v>
      </c>
      <c r="AA144">
        <v>89.3</v>
      </c>
    </row>
    <row r="145" spans="1:27" x14ac:dyDescent="0.25">
      <c r="A145" t="s">
        <v>224</v>
      </c>
      <c r="B145" t="s">
        <v>220</v>
      </c>
      <c r="C145" s="76">
        <v>43965</v>
      </c>
      <c r="D145">
        <v>857</v>
      </c>
      <c r="E145">
        <v>0</v>
      </c>
      <c r="F145">
        <v>1843</v>
      </c>
      <c r="G145">
        <v>575</v>
      </c>
      <c r="H145">
        <v>59.9</v>
      </c>
      <c r="I145">
        <v>41.8</v>
      </c>
      <c r="J145">
        <v>77.900000000000006</v>
      </c>
      <c r="K145">
        <v>11</v>
      </c>
      <c r="L145">
        <v>0</v>
      </c>
      <c r="M145">
        <v>25</v>
      </c>
      <c r="N145">
        <v>0.8</v>
      </c>
      <c r="O145">
        <v>0.3</v>
      </c>
      <c r="P145">
        <v>1.3</v>
      </c>
      <c r="Q145">
        <f t="shared" si="2"/>
        <v>724357</v>
      </c>
      <c r="R145">
        <f t="shared" si="3"/>
        <v>1.518588209957245</v>
      </c>
      <c r="U145">
        <v>144</v>
      </c>
      <c r="V145">
        <v>0</v>
      </c>
      <c r="W145">
        <v>319</v>
      </c>
      <c r="X145">
        <v>58</v>
      </c>
      <c r="Y145">
        <v>71.3</v>
      </c>
      <c r="Z145">
        <v>46.7</v>
      </c>
      <c r="AA145">
        <v>96</v>
      </c>
    </row>
    <row r="146" spans="1:27" x14ac:dyDescent="0.25">
      <c r="A146" t="s">
        <v>224</v>
      </c>
      <c r="B146" t="s">
        <v>220</v>
      </c>
      <c r="C146" s="76">
        <v>43966</v>
      </c>
      <c r="D146">
        <v>756</v>
      </c>
      <c r="E146">
        <v>48</v>
      </c>
      <c r="F146">
        <v>1465</v>
      </c>
      <c r="G146">
        <v>569</v>
      </c>
      <c r="H146">
        <v>57.1</v>
      </c>
      <c r="I146">
        <v>42.1</v>
      </c>
      <c r="J146">
        <v>72.099999999999994</v>
      </c>
      <c r="K146">
        <v>8</v>
      </c>
      <c r="L146">
        <v>0</v>
      </c>
      <c r="M146">
        <v>19</v>
      </c>
      <c r="N146">
        <v>0.6</v>
      </c>
      <c r="O146">
        <v>0</v>
      </c>
      <c r="P146">
        <v>1.3</v>
      </c>
      <c r="Q146">
        <f t="shared" si="2"/>
        <v>724357</v>
      </c>
      <c r="R146">
        <f t="shared" si="3"/>
        <v>1.1044277890598144</v>
      </c>
      <c r="U146">
        <v>117</v>
      </c>
      <c r="V146">
        <v>0</v>
      </c>
      <c r="W146">
        <v>260</v>
      </c>
      <c r="X146">
        <v>71</v>
      </c>
      <c r="Y146">
        <v>62.2</v>
      </c>
      <c r="Z146">
        <v>45.9</v>
      </c>
      <c r="AA146">
        <v>78.5</v>
      </c>
    </row>
    <row r="147" spans="1:27" x14ac:dyDescent="0.25">
      <c r="A147" t="s">
        <v>224</v>
      </c>
      <c r="B147" t="s">
        <v>220</v>
      </c>
      <c r="C147" s="76">
        <v>43967</v>
      </c>
      <c r="D147">
        <v>585</v>
      </c>
      <c r="E147">
        <v>0</v>
      </c>
      <c r="F147">
        <v>1418</v>
      </c>
      <c r="G147">
        <v>445</v>
      </c>
      <c r="H147">
        <v>56.8</v>
      </c>
      <c r="I147">
        <v>30.5</v>
      </c>
      <c r="J147">
        <v>83.1</v>
      </c>
      <c r="K147">
        <v>10</v>
      </c>
      <c r="L147">
        <v>0</v>
      </c>
      <c r="M147">
        <v>24</v>
      </c>
      <c r="N147">
        <v>1</v>
      </c>
      <c r="O147">
        <v>0.5</v>
      </c>
      <c r="P147">
        <v>1.4</v>
      </c>
      <c r="Q147">
        <f t="shared" si="2"/>
        <v>724357</v>
      </c>
      <c r="R147">
        <f t="shared" si="3"/>
        <v>1.380534736324768</v>
      </c>
      <c r="U147">
        <v>68</v>
      </c>
      <c r="V147">
        <v>0</v>
      </c>
      <c r="W147">
        <v>177</v>
      </c>
      <c r="X147">
        <v>22</v>
      </c>
      <c r="Y147">
        <v>75.7</v>
      </c>
      <c r="Z147">
        <v>39</v>
      </c>
      <c r="AA147">
        <v>100</v>
      </c>
    </row>
    <row r="148" spans="1:27" x14ac:dyDescent="0.25">
      <c r="A148" t="s">
        <v>224</v>
      </c>
      <c r="B148" t="s">
        <v>220</v>
      </c>
      <c r="C148" s="76">
        <v>43968</v>
      </c>
      <c r="D148">
        <v>589</v>
      </c>
      <c r="E148">
        <v>0</v>
      </c>
      <c r="F148">
        <v>1421</v>
      </c>
      <c r="G148">
        <v>441</v>
      </c>
      <c r="H148">
        <v>57.2</v>
      </c>
      <c r="I148">
        <v>30.3</v>
      </c>
      <c r="J148">
        <v>84</v>
      </c>
      <c r="K148">
        <v>12</v>
      </c>
      <c r="L148">
        <v>0</v>
      </c>
      <c r="M148">
        <v>43</v>
      </c>
      <c r="N148">
        <v>1.1000000000000001</v>
      </c>
      <c r="O148">
        <v>0</v>
      </c>
      <c r="P148">
        <v>4.4000000000000004</v>
      </c>
      <c r="Q148">
        <f t="shared" si="2"/>
        <v>724357</v>
      </c>
      <c r="R148">
        <f t="shared" si="3"/>
        <v>1.6566416835897217</v>
      </c>
      <c r="U148">
        <v>65</v>
      </c>
      <c r="V148">
        <v>0</v>
      </c>
      <c r="W148">
        <v>173</v>
      </c>
      <c r="X148">
        <v>24</v>
      </c>
      <c r="Y148">
        <v>73.099999999999994</v>
      </c>
      <c r="Z148">
        <v>52.6</v>
      </c>
      <c r="AA148">
        <v>93.6</v>
      </c>
    </row>
    <row r="149" spans="1:27" x14ac:dyDescent="0.25">
      <c r="A149" t="s">
        <v>224</v>
      </c>
      <c r="B149" t="s">
        <v>220</v>
      </c>
      <c r="C149" s="76">
        <v>43969</v>
      </c>
      <c r="D149">
        <v>568</v>
      </c>
      <c r="E149">
        <v>0</v>
      </c>
      <c r="F149">
        <v>1438</v>
      </c>
      <c r="G149">
        <v>502</v>
      </c>
      <c r="H149">
        <v>53.1</v>
      </c>
      <c r="I149">
        <v>18.899999999999999</v>
      </c>
      <c r="J149">
        <v>87.2</v>
      </c>
      <c r="K149">
        <v>7</v>
      </c>
      <c r="L149">
        <v>0</v>
      </c>
      <c r="M149">
        <v>17</v>
      </c>
      <c r="N149">
        <v>0.7</v>
      </c>
      <c r="O149">
        <v>0.1</v>
      </c>
      <c r="P149">
        <v>1.2</v>
      </c>
      <c r="Q149">
        <f t="shared" si="2"/>
        <v>724357</v>
      </c>
      <c r="R149">
        <f t="shared" si="3"/>
        <v>0.96637431542733765</v>
      </c>
      <c r="U149">
        <v>65</v>
      </c>
      <c r="V149">
        <v>0</v>
      </c>
      <c r="W149">
        <v>173</v>
      </c>
      <c r="X149">
        <v>29</v>
      </c>
      <c r="Y149">
        <v>69.099999999999994</v>
      </c>
      <c r="Z149">
        <v>42.3</v>
      </c>
      <c r="AA149">
        <v>96</v>
      </c>
    </row>
    <row r="150" spans="1:27" x14ac:dyDescent="0.25">
      <c r="A150" t="s">
        <v>224</v>
      </c>
      <c r="B150" t="s">
        <v>220</v>
      </c>
      <c r="C150" s="76">
        <v>43970</v>
      </c>
      <c r="D150">
        <v>604</v>
      </c>
      <c r="E150">
        <v>0</v>
      </c>
      <c r="F150">
        <v>1452</v>
      </c>
      <c r="G150">
        <v>466</v>
      </c>
      <c r="H150">
        <v>56.4</v>
      </c>
      <c r="I150">
        <v>29.1</v>
      </c>
      <c r="J150">
        <v>83.8</v>
      </c>
      <c r="K150">
        <v>11</v>
      </c>
      <c r="L150">
        <v>0</v>
      </c>
      <c r="M150">
        <v>26</v>
      </c>
      <c r="N150">
        <v>1</v>
      </c>
      <c r="O150">
        <v>0.4</v>
      </c>
      <c r="P150">
        <v>1.6</v>
      </c>
      <c r="Q150">
        <f t="shared" si="2"/>
        <v>724357</v>
      </c>
      <c r="R150">
        <f t="shared" si="3"/>
        <v>1.518588209957245</v>
      </c>
      <c r="U150">
        <v>67</v>
      </c>
      <c r="V150">
        <v>0</v>
      </c>
      <c r="W150">
        <v>180</v>
      </c>
      <c r="X150">
        <v>27</v>
      </c>
      <c r="Y150">
        <v>71.3</v>
      </c>
      <c r="Z150">
        <v>41.9</v>
      </c>
      <c r="AA150">
        <v>100</v>
      </c>
    </row>
    <row r="151" spans="1:27" x14ac:dyDescent="0.25">
      <c r="A151" t="s">
        <v>224</v>
      </c>
      <c r="B151" t="s">
        <v>220</v>
      </c>
      <c r="C151" s="76">
        <v>43971</v>
      </c>
      <c r="D151">
        <v>640</v>
      </c>
      <c r="E151">
        <v>0</v>
      </c>
      <c r="F151">
        <v>1538</v>
      </c>
      <c r="G151">
        <v>430</v>
      </c>
      <c r="H151">
        <v>59.8</v>
      </c>
      <c r="I151">
        <v>31.2</v>
      </c>
      <c r="J151">
        <v>88.4</v>
      </c>
      <c r="K151">
        <v>11</v>
      </c>
      <c r="L151">
        <v>0</v>
      </c>
      <c r="M151">
        <v>29</v>
      </c>
      <c r="N151">
        <v>1</v>
      </c>
      <c r="O151">
        <v>0.2</v>
      </c>
      <c r="P151">
        <v>1.8</v>
      </c>
      <c r="Q151">
        <f t="shared" si="2"/>
        <v>724357</v>
      </c>
      <c r="R151">
        <f t="shared" si="3"/>
        <v>1.518588209957245</v>
      </c>
      <c r="U151">
        <v>70</v>
      </c>
      <c r="V151">
        <v>0</v>
      </c>
      <c r="W151">
        <v>189</v>
      </c>
      <c r="X151">
        <v>24</v>
      </c>
      <c r="Y151">
        <v>74.5</v>
      </c>
      <c r="Z151">
        <v>43.1</v>
      </c>
      <c r="AA151">
        <v>100</v>
      </c>
    </row>
    <row r="152" spans="1:27" x14ac:dyDescent="0.25">
      <c r="A152" t="s">
        <v>224</v>
      </c>
      <c r="B152" t="s">
        <v>220</v>
      </c>
      <c r="C152" s="76">
        <v>43972</v>
      </c>
      <c r="D152">
        <v>696</v>
      </c>
      <c r="E152">
        <v>0</v>
      </c>
      <c r="F152">
        <v>1652</v>
      </c>
      <c r="G152">
        <v>325</v>
      </c>
      <c r="H152">
        <v>68.2</v>
      </c>
      <c r="I152">
        <v>43.6</v>
      </c>
      <c r="J152">
        <v>92.8</v>
      </c>
      <c r="K152">
        <v>7</v>
      </c>
      <c r="L152">
        <v>0</v>
      </c>
      <c r="M152">
        <v>19</v>
      </c>
      <c r="N152">
        <v>0.7</v>
      </c>
      <c r="O152">
        <v>0.1</v>
      </c>
      <c r="P152">
        <v>1.3</v>
      </c>
      <c r="Q152">
        <f t="shared" si="2"/>
        <v>724357</v>
      </c>
      <c r="R152">
        <f t="shared" si="3"/>
        <v>0.96637431542733765</v>
      </c>
      <c r="U152">
        <v>68</v>
      </c>
      <c r="V152">
        <v>0</v>
      </c>
      <c r="W152">
        <v>182</v>
      </c>
      <c r="X152">
        <v>12</v>
      </c>
      <c r="Y152">
        <v>85</v>
      </c>
      <c r="Z152">
        <v>81.900000000000006</v>
      </c>
      <c r="AA152">
        <v>88.1</v>
      </c>
    </row>
    <row r="153" spans="1:27" x14ac:dyDescent="0.25">
      <c r="A153" t="s">
        <v>224</v>
      </c>
      <c r="B153" t="s">
        <v>220</v>
      </c>
      <c r="C153" s="76">
        <v>43973</v>
      </c>
      <c r="D153">
        <v>667</v>
      </c>
      <c r="E153">
        <v>0</v>
      </c>
      <c r="F153">
        <v>1587</v>
      </c>
      <c r="G153">
        <v>354</v>
      </c>
      <c r="H153">
        <v>65.3</v>
      </c>
      <c r="I153">
        <v>41.1</v>
      </c>
      <c r="J153">
        <v>89.5</v>
      </c>
      <c r="K153">
        <v>15</v>
      </c>
      <c r="L153">
        <v>0</v>
      </c>
      <c r="M153">
        <v>36</v>
      </c>
      <c r="N153">
        <v>1.5</v>
      </c>
      <c r="O153">
        <v>0.6</v>
      </c>
      <c r="P153">
        <v>2.2999999999999998</v>
      </c>
      <c r="Q153">
        <f t="shared" si="2"/>
        <v>724357</v>
      </c>
      <c r="R153">
        <f t="shared" si="3"/>
        <v>2.0708021044871519</v>
      </c>
      <c r="U153">
        <v>70</v>
      </c>
      <c r="V153">
        <v>0</v>
      </c>
      <c r="W153">
        <v>189</v>
      </c>
      <c r="X153">
        <v>10</v>
      </c>
      <c r="Y153">
        <v>87.5</v>
      </c>
      <c r="Z153">
        <v>79.7</v>
      </c>
      <c r="AA153">
        <v>95.3</v>
      </c>
    </row>
    <row r="154" spans="1:27" x14ac:dyDescent="0.25">
      <c r="A154" t="s">
        <v>224</v>
      </c>
      <c r="B154" t="s">
        <v>220</v>
      </c>
      <c r="C154" s="76">
        <v>43974</v>
      </c>
      <c r="D154">
        <v>654</v>
      </c>
      <c r="E154">
        <v>0</v>
      </c>
      <c r="F154">
        <v>1552</v>
      </c>
      <c r="G154">
        <v>367</v>
      </c>
      <c r="H154">
        <v>64.099999999999994</v>
      </c>
      <c r="I154">
        <v>41.1</v>
      </c>
      <c r="J154">
        <v>87</v>
      </c>
      <c r="K154">
        <v>12</v>
      </c>
      <c r="L154">
        <v>0</v>
      </c>
      <c r="M154">
        <v>31</v>
      </c>
      <c r="N154">
        <v>1.2</v>
      </c>
      <c r="O154">
        <v>0.4</v>
      </c>
      <c r="P154">
        <v>2</v>
      </c>
      <c r="Q154">
        <f t="shared" si="2"/>
        <v>724357</v>
      </c>
      <c r="R154">
        <f t="shared" si="3"/>
        <v>1.6566416835897217</v>
      </c>
      <c r="U154">
        <v>73</v>
      </c>
      <c r="V154">
        <v>0</v>
      </c>
      <c r="W154">
        <v>198</v>
      </c>
      <c r="X154">
        <v>7</v>
      </c>
      <c r="Y154">
        <v>91.3</v>
      </c>
      <c r="Z154">
        <v>81.599999999999994</v>
      </c>
      <c r="AA154">
        <v>100</v>
      </c>
    </row>
    <row r="155" spans="1:27" x14ac:dyDescent="0.25">
      <c r="A155" t="s">
        <v>224</v>
      </c>
      <c r="B155" t="s">
        <v>220</v>
      </c>
      <c r="C155" s="76">
        <v>43975</v>
      </c>
      <c r="D155">
        <v>568</v>
      </c>
      <c r="E155">
        <v>0</v>
      </c>
      <c r="F155">
        <v>1153</v>
      </c>
      <c r="G155">
        <v>347</v>
      </c>
      <c r="H155">
        <v>62.1</v>
      </c>
      <c r="I155">
        <v>45.2</v>
      </c>
      <c r="J155">
        <v>79</v>
      </c>
      <c r="K155">
        <v>18</v>
      </c>
      <c r="L155">
        <v>0</v>
      </c>
      <c r="M155">
        <v>40</v>
      </c>
      <c r="N155">
        <v>1.9</v>
      </c>
      <c r="O155">
        <v>0</v>
      </c>
      <c r="P155">
        <v>3.8</v>
      </c>
      <c r="Q155">
        <f t="shared" si="2"/>
        <v>724357</v>
      </c>
      <c r="R155">
        <f t="shared" si="3"/>
        <v>2.4849625253845824</v>
      </c>
      <c r="U155">
        <v>50</v>
      </c>
      <c r="V155">
        <v>0</v>
      </c>
      <c r="W155">
        <v>112</v>
      </c>
      <c r="X155">
        <v>15</v>
      </c>
      <c r="Y155">
        <v>76.900000000000006</v>
      </c>
      <c r="Z155">
        <v>69.5</v>
      </c>
      <c r="AA155">
        <v>84.4</v>
      </c>
    </row>
    <row r="156" spans="1:27" x14ac:dyDescent="0.25">
      <c r="A156" t="s">
        <v>224</v>
      </c>
      <c r="B156" t="s">
        <v>220</v>
      </c>
      <c r="C156" s="76">
        <v>43976</v>
      </c>
      <c r="D156">
        <v>509</v>
      </c>
      <c r="E156">
        <v>0</v>
      </c>
      <c r="F156">
        <v>1037</v>
      </c>
      <c r="G156">
        <v>406</v>
      </c>
      <c r="H156">
        <v>55.6</v>
      </c>
      <c r="I156">
        <v>37.700000000000003</v>
      </c>
      <c r="J156">
        <v>73.5</v>
      </c>
      <c r="K156">
        <v>14</v>
      </c>
      <c r="L156">
        <v>0</v>
      </c>
      <c r="M156">
        <v>37</v>
      </c>
      <c r="N156">
        <v>1.6</v>
      </c>
      <c r="O156">
        <v>0</v>
      </c>
      <c r="P156">
        <v>3.7</v>
      </c>
      <c r="Q156">
        <f t="shared" si="2"/>
        <v>724357</v>
      </c>
      <c r="R156">
        <f t="shared" si="3"/>
        <v>1.9327486308546753</v>
      </c>
      <c r="U156">
        <v>47</v>
      </c>
      <c r="V156">
        <v>0</v>
      </c>
      <c r="W156">
        <v>105</v>
      </c>
      <c r="X156">
        <v>18</v>
      </c>
      <c r="Y156">
        <v>72.7</v>
      </c>
      <c r="Z156">
        <v>58.1</v>
      </c>
      <c r="AA156">
        <v>87.3</v>
      </c>
    </row>
    <row r="157" spans="1:27" x14ac:dyDescent="0.25">
      <c r="A157" t="s">
        <v>224</v>
      </c>
      <c r="B157" t="s">
        <v>220</v>
      </c>
      <c r="C157" s="76">
        <v>43977</v>
      </c>
      <c r="D157">
        <v>526</v>
      </c>
      <c r="E157">
        <v>0</v>
      </c>
      <c r="F157">
        <v>1067</v>
      </c>
      <c r="G157">
        <v>389</v>
      </c>
      <c r="H157">
        <v>57.5</v>
      </c>
      <c r="I157">
        <v>38.4</v>
      </c>
      <c r="J157">
        <v>76.5</v>
      </c>
      <c r="K157">
        <v>15</v>
      </c>
      <c r="L157">
        <v>0</v>
      </c>
      <c r="M157">
        <v>34</v>
      </c>
      <c r="N157">
        <v>1.6</v>
      </c>
      <c r="O157">
        <v>0</v>
      </c>
      <c r="P157">
        <v>3.3</v>
      </c>
      <c r="Q157">
        <f t="shared" si="2"/>
        <v>724357</v>
      </c>
      <c r="R157">
        <f t="shared" si="3"/>
        <v>2.0708021044871519</v>
      </c>
      <c r="U157">
        <v>40</v>
      </c>
      <c r="V157">
        <v>0</v>
      </c>
      <c r="W157">
        <v>95</v>
      </c>
      <c r="X157">
        <v>25</v>
      </c>
      <c r="Y157">
        <v>61.5</v>
      </c>
      <c r="Z157">
        <v>40.5</v>
      </c>
      <c r="AA157">
        <v>82.6</v>
      </c>
    </row>
    <row r="158" spans="1:27" x14ac:dyDescent="0.25">
      <c r="A158" t="s">
        <v>224</v>
      </c>
      <c r="B158" t="s">
        <v>220</v>
      </c>
      <c r="C158" s="76">
        <v>43978</v>
      </c>
      <c r="D158">
        <v>575</v>
      </c>
      <c r="E158">
        <v>0</v>
      </c>
      <c r="F158">
        <v>1171</v>
      </c>
      <c r="G158">
        <v>340</v>
      </c>
      <c r="H158">
        <v>62.8</v>
      </c>
      <c r="I158">
        <v>41</v>
      </c>
      <c r="J158">
        <v>84.6</v>
      </c>
      <c r="K158">
        <v>15</v>
      </c>
      <c r="L158">
        <v>0</v>
      </c>
      <c r="M158">
        <v>36</v>
      </c>
      <c r="N158">
        <v>1.6</v>
      </c>
      <c r="O158">
        <v>0</v>
      </c>
      <c r="P158">
        <v>3.5</v>
      </c>
      <c r="Q158">
        <f t="shared" si="2"/>
        <v>724357</v>
      </c>
      <c r="R158">
        <f t="shared" si="3"/>
        <v>2.0708021044871519</v>
      </c>
      <c r="U158">
        <v>43</v>
      </c>
      <c r="V158">
        <v>0</v>
      </c>
      <c r="W158">
        <v>100</v>
      </c>
      <c r="X158">
        <v>22</v>
      </c>
      <c r="Y158">
        <v>66.2</v>
      </c>
      <c r="Z158">
        <v>47</v>
      </c>
      <c r="AA158">
        <v>85.3</v>
      </c>
    </row>
    <row r="159" spans="1:27" x14ac:dyDescent="0.25">
      <c r="A159" t="s">
        <v>224</v>
      </c>
      <c r="B159" t="s">
        <v>220</v>
      </c>
      <c r="C159" s="76">
        <v>43979</v>
      </c>
      <c r="D159">
        <v>523</v>
      </c>
      <c r="E159">
        <v>0</v>
      </c>
      <c r="F159">
        <v>1080</v>
      </c>
      <c r="G159">
        <v>490</v>
      </c>
      <c r="H159">
        <v>51.7</v>
      </c>
      <c r="I159">
        <v>22.2</v>
      </c>
      <c r="J159">
        <v>81.099999999999994</v>
      </c>
      <c r="K159">
        <v>17</v>
      </c>
      <c r="L159">
        <v>0</v>
      </c>
      <c r="M159">
        <v>41</v>
      </c>
      <c r="N159">
        <v>1.7</v>
      </c>
      <c r="O159">
        <v>0</v>
      </c>
      <c r="P159">
        <v>3.7</v>
      </c>
      <c r="Q159">
        <f t="shared" si="2"/>
        <v>724357</v>
      </c>
      <c r="R159">
        <f t="shared" si="3"/>
        <v>2.3469090517521054</v>
      </c>
      <c r="U159">
        <v>59</v>
      </c>
      <c r="V159">
        <v>0</v>
      </c>
      <c r="W159">
        <v>123</v>
      </c>
      <c r="X159">
        <v>35</v>
      </c>
      <c r="Y159">
        <v>62.9</v>
      </c>
      <c r="Z159">
        <v>47.1</v>
      </c>
      <c r="AA159">
        <v>78.7</v>
      </c>
    </row>
    <row r="160" spans="1:27" x14ac:dyDescent="0.25">
      <c r="A160" t="s">
        <v>224</v>
      </c>
      <c r="B160" t="s">
        <v>220</v>
      </c>
      <c r="C160" s="76">
        <v>43980</v>
      </c>
      <c r="D160">
        <v>561</v>
      </c>
      <c r="E160">
        <v>0</v>
      </c>
      <c r="F160">
        <v>1130</v>
      </c>
      <c r="G160">
        <v>403</v>
      </c>
      <c r="H160">
        <v>58.2</v>
      </c>
      <c r="I160">
        <v>34.200000000000003</v>
      </c>
      <c r="J160">
        <v>82.2</v>
      </c>
      <c r="K160">
        <v>19</v>
      </c>
      <c r="L160">
        <v>0</v>
      </c>
      <c r="M160">
        <v>44</v>
      </c>
      <c r="N160">
        <v>1.9</v>
      </c>
      <c r="O160">
        <v>0</v>
      </c>
      <c r="P160">
        <v>4</v>
      </c>
      <c r="Q160">
        <f t="shared" si="2"/>
        <v>724357</v>
      </c>
      <c r="R160">
        <f t="shared" si="3"/>
        <v>2.623015999017059</v>
      </c>
      <c r="U160">
        <v>51</v>
      </c>
      <c r="V160">
        <v>0</v>
      </c>
      <c r="W160">
        <v>110</v>
      </c>
      <c r="X160">
        <v>29</v>
      </c>
      <c r="Y160">
        <v>63.9</v>
      </c>
      <c r="Z160">
        <v>46.7</v>
      </c>
      <c r="AA160">
        <v>81.2</v>
      </c>
    </row>
    <row r="161" spans="1:27" x14ac:dyDescent="0.25">
      <c r="A161" t="s">
        <v>224</v>
      </c>
      <c r="B161" t="s">
        <v>220</v>
      </c>
      <c r="C161" s="76">
        <v>43981</v>
      </c>
      <c r="D161">
        <v>578</v>
      </c>
      <c r="E161">
        <v>29</v>
      </c>
      <c r="F161">
        <v>1127</v>
      </c>
      <c r="G161">
        <v>498</v>
      </c>
      <c r="H161">
        <v>53.7</v>
      </c>
      <c r="I161">
        <v>33</v>
      </c>
      <c r="J161">
        <v>74.400000000000006</v>
      </c>
      <c r="K161">
        <v>25</v>
      </c>
      <c r="L161">
        <v>0</v>
      </c>
      <c r="M161">
        <v>59</v>
      </c>
      <c r="N161">
        <v>2.2999999999999998</v>
      </c>
      <c r="O161">
        <v>0</v>
      </c>
      <c r="P161">
        <v>4.9000000000000004</v>
      </c>
      <c r="Q161">
        <f t="shared" si="2"/>
        <v>724357</v>
      </c>
      <c r="R161">
        <f t="shared" si="3"/>
        <v>3.4513368408119205</v>
      </c>
      <c r="U161">
        <v>54</v>
      </c>
      <c r="V161">
        <v>0</v>
      </c>
      <c r="W161">
        <v>113</v>
      </c>
      <c r="X161">
        <v>44</v>
      </c>
      <c r="Y161">
        <v>55.2</v>
      </c>
      <c r="Z161">
        <v>29.4</v>
      </c>
      <c r="AA161">
        <v>80.900000000000006</v>
      </c>
    </row>
    <row r="162" spans="1:27" x14ac:dyDescent="0.25">
      <c r="A162" t="s">
        <v>224</v>
      </c>
      <c r="B162" t="s">
        <v>220</v>
      </c>
      <c r="C162" s="76">
        <v>43982</v>
      </c>
      <c r="D162">
        <v>575</v>
      </c>
      <c r="E162">
        <v>38</v>
      </c>
      <c r="F162">
        <v>1111</v>
      </c>
      <c r="G162">
        <v>501</v>
      </c>
      <c r="H162">
        <v>53.4</v>
      </c>
      <c r="I162">
        <v>34.200000000000003</v>
      </c>
      <c r="J162">
        <v>72.599999999999994</v>
      </c>
      <c r="K162">
        <v>20</v>
      </c>
      <c r="L162">
        <v>0</v>
      </c>
      <c r="M162">
        <v>46</v>
      </c>
      <c r="N162">
        <v>1.8</v>
      </c>
      <c r="O162">
        <v>0</v>
      </c>
      <c r="P162">
        <v>4</v>
      </c>
      <c r="Q162">
        <f t="shared" si="2"/>
        <v>724357</v>
      </c>
      <c r="R162">
        <f t="shared" si="3"/>
        <v>2.7610694726495359</v>
      </c>
      <c r="U162">
        <v>54</v>
      </c>
      <c r="V162">
        <v>0</v>
      </c>
      <c r="W162">
        <v>115</v>
      </c>
      <c r="X162">
        <v>44</v>
      </c>
      <c r="Y162">
        <v>55.2</v>
      </c>
      <c r="Z162">
        <v>28.4</v>
      </c>
      <c r="AA162">
        <v>81.900000000000006</v>
      </c>
    </row>
    <row r="163" spans="1:27" x14ac:dyDescent="0.25">
      <c r="A163" t="s">
        <v>224</v>
      </c>
      <c r="B163" t="s">
        <v>220</v>
      </c>
      <c r="C163" s="76">
        <v>43983</v>
      </c>
      <c r="D163">
        <v>480</v>
      </c>
      <c r="E163">
        <v>55</v>
      </c>
      <c r="F163">
        <v>905</v>
      </c>
      <c r="G163">
        <v>596</v>
      </c>
      <c r="H163">
        <v>44.6</v>
      </c>
      <c r="I163">
        <v>32.6</v>
      </c>
      <c r="J163">
        <v>56.7</v>
      </c>
      <c r="K163">
        <v>18</v>
      </c>
      <c r="L163">
        <v>0</v>
      </c>
      <c r="M163">
        <v>41</v>
      </c>
      <c r="N163">
        <v>1.7</v>
      </c>
      <c r="O163">
        <v>0.1</v>
      </c>
      <c r="P163">
        <v>3.3</v>
      </c>
      <c r="Q163">
        <f t="shared" si="2"/>
        <v>724357</v>
      </c>
      <c r="R163">
        <f t="shared" si="3"/>
        <v>2.4849625253845824</v>
      </c>
      <c r="U163">
        <v>50</v>
      </c>
      <c r="V163">
        <v>0</v>
      </c>
      <c r="W163">
        <v>109</v>
      </c>
      <c r="X163">
        <v>48</v>
      </c>
      <c r="Y163">
        <v>51</v>
      </c>
      <c r="Z163">
        <v>23.6</v>
      </c>
      <c r="AA163">
        <v>78.400000000000006</v>
      </c>
    </row>
    <row r="164" spans="1:27" x14ac:dyDescent="0.25">
      <c r="A164" t="s">
        <v>224</v>
      </c>
      <c r="B164" t="s">
        <v>220</v>
      </c>
      <c r="C164" s="76">
        <v>43984</v>
      </c>
      <c r="D164">
        <v>592</v>
      </c>
      <c r="E164">
        <v>31</v>
      </c>
      <c r="F164">
        <v>1153</v>
      </c>
      <c r="G164">
        <v>484</v>
      </c>
      <c r="H164">
        <v>55</v>
      </c>
      <c r="I164">
        <v>32.700000000000003</v>
      </c>
      <c r="J164">
        <v>77.400000000000006</v>
      </c>
      <c r="K164">
        <v>18</v>
      </c>
      <c r="L164">
        <v>0</v>
      </c>
      <c r="M164">
        <v>41</v>
      </c>
      <c r="N164">
        <v>1.7</v>
      </c>
      <c r="O164">
        <v>0.1</v>
      </c>
      <c r="P164">
        <v>3.3</v>
      </c>
      <c r="Q164">
        <f t="shared" si="2"/>
        <v>724357</v>
      </c>
      <c r="R164">
        <f t="shared" si="3"/>
        <v>2.4849625253845824</v>
      </c>
      <c r="U164">
        <v>64</v>
      </c>
      <c r="V164">
        <v>0</v>
      </c>
      <c r="W164">
        <v>131</v>
      </c>
      <c r="X164">
        <v>34</v>
      </c>
      <c r="Y164">
        <v>65.5</v>
      </c>
      <c r="Z164">
        <v>41.6</v>
      </c>
      <c r="AA164">
        <v>89.3</v>
      </c>
    </row>
    <row r="165" spans="1:27" x14ac:dyDescent="0.25">
      <c r="A165" t="s">
        <v>224</v>
      </c>
      <c r="B165" t="s">
        <v>220</v>
      </c>
      <c r="C165" s="76">
        <v>43985</v>
      </c>
      <c r="D165">
        <v>249</v>
      </c>
      <c r="E165">
        <v>0</v>
      </c>
      <c r="F165">
        <v>508</v>
      </c>
      <c r="G165">
        <v>414</v>
      </c>
      <c r="H165">
        <v>37.6</v>
      </c>
      <c r="I165">
        <v>23</v>
      </c>
      <c r="J165">
        <v>52.1</v>
      </c>
      <c r="K165">
        <v>11</v>
      </c>
      <c r="L165">
        <v>0</v>
      </c>
      <c r="M165">
        <v>33</v>
      </c>
      <c r="N165">
        <v>1.7</v>
      </c>
      <c r="O165">
        <v>0</v>
      </c>
      <c r="P165">
        <v>4</v>
      </c>
      <c r="Q165">
        <f t="shared" si="2"/>
        <v>724357</v>
      </c>
      <c r="R165">
        <f t="shared" si="3"/>
        <v>1.518588209957245</v>
      </c>
      <c r="U165">
        <v>22</v>
      </c>
      <c r="V165">
        <v>0</v>
      </c>
      <c r="W165">
        <v>47</v>
      </c>
      <c r="X165">
        <v>24</v>
      </c>
      <c r="Y165">
        <v>47.8</v>
      </c>
      <c r="Z165">
        <v>32.9</v>
      </c>
      <c r="AA165">
        <v>62.7</v>
      </c>
    </row>
    <row r="166" spans="1:27" x14ac:dyDescent="0.25">
      <c r="A166" t="s">
        <v>224</v>
      </c>
      <c r="B166" t="s">
        <v>220</v>
      </c>
      <c r="C166" s="76">
        <v>43986</v>
      </c>
      <c r="D166">
        <v>615</v>
      </c>
      <c r="E166">
        <v>0</v>
      </c>
      <c r="F166">
        <v>1530</v>
      </c>
      <c r="G166">
        <v>455</v>
      </c>
      <c r="H166">
        <v>57.5</v>
      </c>
      <c r="I166">
        <v>23</v>
      </c>
      <c r="J166">
        <v>92</v>
      </c>
      <c r="K166">
        <v>10</v>
      </c>
      <c r="L166">
        <v>0</v>
      </c>
      <c r="M166">
        <v>30</v>
      </c>
      <c r="N166">
        <v>0.9</v>
      </c>
      <c r="O166">
        <v>0</v>
      </c>
      <c r="P166">
        <v>2.6</v>
      </c>
      <c r="Q166">
        <f t="shared" si="2"/>
        <v>724357</v>
      </c>
      <c r="R166">
        <f t="shared" si="3"/>
        <v>1.380534736324768</v>
      </c>
      <c r="U166">
        <v>64</v>
      </c>
      <c r="V166">
        <v>0</v>
      </c>
      <c r="W166">
        <v>167</v>
      </c>
      <c r="X166">
        <v>30</v>
      </c>
      <c r="Y166">
        <v>68.099999999999994</v>
      </c>
      <c r="Z166">
        <v>43.4</v>
      </c>
      <c r="AA166">
        <v>92.7</v>
      </c>
    </row>
    <row r="167" spans="1:27" x14ac:dyDescent="0.25">
      <c r="A167" t="s">
        <v>224</v>
      </c>
      <c r="B167" t="s">
        <v>220</v>
      </c>
      <c r="C167" s="76">
        <v>43987</v>
      </c>
      <c r="D167">
        <v>602</v>
      </c>
      <c r="E167">
        <v>0</v>
      </c>
      <c r="F167">
        <v>1490</v>
      </c>
      <c r="G167">
        <v>478</v>
      </c>
      <c r="H167">
        <v>55.7</v>
      </c>
      <c r="I167">
        <v>23</v>
      </c>
      <c r="J167">
        <v>88.4</v>
      </c>
      <c r="K167">
        <v>10</v>
      </c>
      <c r="L167">
        <v>0</v>
      </c>
      <c r="M167">
        <v>30</v>
      </c>
      <c r="N167">
        <v>0.9</v>
      </c>
      <c r="O167">
        <v>0</v>
      </c>
      <c r="P167">
        <v>2.6</v>
      </c>
      <c r="Q167">
        <f t="shared" ref="Q167:Q230" si="4">VLOOKUP(B167,$AE$4:$AF$55,2,FALSE)</f>
        <v>724357</v>
      </c>
      <c r="R167">
        <f t="shared" si="3"/>
        <v>1.380534736324768</v>
      </c>
      <c r="U167">
        <v>65</v>
      </c>
      <c r="V167">
        <v>0</v>
      </c>
      <c r="W167">
        <v>169</v>
      </c>
      <c r="X167">
        <v>39</v>
      </c>
      <c r="Y167">
        <v>62.5</v>
      </c>
      <c r="Z167">
        <v>37.700000000000003</v>
      </c>
      <c r="AA167">
        <v>87.3</v>
      </c>
    </row>
    <row r="168" spans="1:27" x14ac:dyDescent="0.25">
      <c r="A168" t="s">
        <v>224</v>
      </c>
      <c r="B168" t="s">
        <v>220</v>
      </c>
      <c r="C168" s="76">
        <v>43988</v>
      </c>
      <c r="D168">
        <v>896</v>
      </c>
      <c r="E168">
        <v>0</v>
      </c>
      <c r="F168">
        <v>1944</v>
      </c>
      <c r="G168">
        <v>585</v>
      </c>
      <c r="H168">
        <v>60.5</v>
      </c>
      <c r="I168">
        <v>37.200000000000003</v>
      </c>
      <c r="J168">
        <v>83.8</v>
      </c>
      <c r="K168">
        <v>8</v>
      </c>
      <c r="L168">
        <v>0</v>
      </c>
      <c r="M168">
        <v>19</v>
      </c>
      <c r="N168">
        <v>0.5</v>
      </c>
      <c r="O168">
        <v>0</v>
      </c>
      <c r="P168">
        <v>1.1000000000000001</v>
      </c>
      <c r="Q168">
        <f t="shared" si="4"/>
        <v>724357</v>
      </c>
      <c r="R168">
        <f t="shared" si="3"/>
        <v>1.1044277890598144</v>
      </c>
      <c r="U168">
        <v>135</v>
      </c>
      <c r="V168">
        <v>0</v>
      </c>
      <c r="W168">
        <v>310</v>
      </c>
      <c r="X168">
        <v>82</v>
      </c>
      <c r="Y168">
        <v>62.2</v>
      </c>
      <c r="Z168">
        <v>52.1</v>
      </c>
      <c r="AA168">
        <v>72.3</v>
      </c>
    </row>
    <row r="169" spans="1:27" x14ac:dyDescent="0.25">
      <c r="A169" t="s">
        <v>224</v>
      </c>
      <c r="B169" t="s">
        <v>220</v>
      </c>
      <c r="C169" s="76">
        <v>43989</v>
      </c>
      <c r="D169">
        <v>825</v>
      </c>
      <c r="E169">
        <v>68</v>
      </c>
      <c r="F169">
        <v>1582</v>
      </c>
      <c r="G169">
        <v>550</v>
      </c>
      <c r="H169">
        <v>60</v>
      </c>
      <c r="I169">
        <v>44</v>
      </c>
      <c r="J169">
        <v>76</v>
      </c>
      <c r="K169">
        <v>23</v>
      </c>
      <c r="L169">
        <v>0</v>
      </c>
      <c r="M169">
        <v>50</v>
      </c>
      <c r="N169">
        <v>1.6</v>
      </c>
      <c r="O169">
        <v>0</v>
      </c>
      <c r="P169">
        <v>3.3</v>
      </c>
      <c r="Q169">
        <f t="shared" si="4"/>
        <v>724357</v>
      </c>
      <c r="R169">
        <f t="shared" si="3"/>
        <v>3.1752298935469665</v>
      </c>
      <c r="U169">
        <v>138</v>
      </c>
      <c r="V169">
        <v>0</v>
      </c>
      <c r="W169">
        <v>308</v>
      </c>
      <c r="X169">
        <v>65</v>
      </c>
      <c r="Y169">
        <v>68.099999999999994</v>
      </c>
      <c r="Z169">
        <v>56.3</v>
      </c>
      <c r="AA169">
        <v>79.900000000000006</v>
      </c>
    </row>
    <row r="170" spans="1:27" x14ac:dyDescent="0.25">
      <c r="A170" t="s">
        <v>224</v>
      </c>
      <c r="B170" t="s">
        <v>220</v>
      </c>
      <c r="C170" s="76">
        <v>43990</v>
      </c>
      <c r="D170">
        <v>545</v>
      </c>
      <c r="E170">
        <v>0</v>
      </c>
      <c r="F170">
        <v>1098</v>
      </c>
      <c r="G170">
        <v>431</v>
      </c>
      <c r="H170">
        <v>55.8</v>
      </c>
      <c r="I170">
        <v>31.3</v>
      </c>
      <c r="J170">
        <v>80.3</v>
      </c>
      <c r="K170">
        <v>17</v>
      </c>
      <c r="L170">
        <v>0</v>
      </c>
      <c r="M170">
        <v>43</v>
      </c>
      <c r="N170">
        <v>1.7</v>
      </c>
      <c r="O170">
        <v>0</v>
      </c>
      <c r="P170">
        <v>3.9</v>
      </c>
      <c r="Q170">
        <f t="shared" si="4"/>
        <v>724357</v>
      </c>
      <c r="R170">
        <f t="shared" si="3"/>
        <v>2.3469090517521054</v>
      </c>
      <c r="U170">
        <v>57</v>
      </c>
      <c r="V170">
        <v>0</v>
      </c>
      <c r="W170">
        <v>126</v>
      </c>
      <c r="X170">
        <v>35</v>
      </c>
      <c r="Y170">
        <v>62</v>
      </c>
      <c r="Z170">
        <v>33.4</v>
      </c>
      <c r="AA170">
        <v>90.5</v>
      </c>
    </row>
    <row r="171" spans="1:27" x14ac:dyDescent="0.25">
      <c r="A171" t="s">
        <v>224</v>
      </c>
      <c r="B171" t="s">
        <v>220</v>
      </c>
      <c r="C171" s="76">
        <v>43991</v>
      </c>
      <c r="D171">
        <v>597</v>
      </c>
      <c r="E171">
        <v>19</v>
      </c>
      <c r="F171">
        <v>1174</v>
      </c>
      <c r="G171">
        <v>377</v>
      </c>
      <c r="H171">
        <v>61.3</v>
      </c>
      <c r="I171">
        <v>37.9</v>
      </c>
      <c r="J171">
        <v>84.6</v>
      </c>
      <c r="K171">
        <v>38</v>
      </c>
      <c r="L171">
        <v>0</v>
      </c>
      <c r="M171">
        <v>100</v>
      </c>
      <c r="N171">
        <v>3.9</v>
      </c>
      <c r="O171">
        <v>0</v>
      </c>
      <c r="P171">
        <v>9.6999999999999993</v>
      </c>
      <c r="Q171">
        <f t="shared" si="4"/>
        <v>724357</v>
      </c>
      <c r="R171">
        <f t="shared" si="3"/>
        <v>5.2460319980341179</v>
      </c>
      <c r="U171">
        <v>69</v>
      </c>
      <c r="V171">
        <v>0</v>
      </c>
      <c r="W171">
        <v>143</v>
      </c>
      <c r="X171">
        <v>23</v>
      </c>
      <c r="Y171">
        <v>75</v>
      </c>
      <c r="Z171">
        <v>59</v>
      </c>
      <c r="AA171">
        <v>91</v>
      </c>
    </row>
    <row r="172" spans="1:27" x14ac:dyDescent="0.25">
      <c r="A172" t="s">
        <v>224</v>
      </c>
      <c r="B172" t="s">
        <v>220</v>
      </c>
      <c r="C172" s="76">
        <v>43992</v>
      </c>
      <c r="D172">
        <v>659</v>
      </c>
      <c r="E172">
        <v>0</v>
      </c>
      <c r="F172">
        <v>1498</v>
      </c>
      <c r="G172">
        <v>421</v>
      </c>
      <c r="H172">
        <v>61</v>
      </c>
      <c r="I172">
        <v>40.700000000000003</v>
      </c>
      <c r="J172">
        <v>81.400000000000006</v>
      </c>
      <c r="K172">
        <v>10</v>
      </c>
      <c r="L172">
        <v>0</v>
      </c>
      <c r="M172">
        <v>30</v>
      </c>
      <c r="N172">
        <v>0.9</v>
      </c>
      <c r="O172">
        <v>0</v>
      </c>
      <c r="P172">
        <v>2.6</v>
      </c>
      <c r="Q172">
        <f t="shared" si="4"/>
        <v>724357</v>
      </c>
      <c r="R172">
        <f t="shared" si="3"/>
        <v>1.380534736324768</v>
      </c>
      <c r="U172">
        <v>64</v>
      </c>
      <c r="V172">
        <v>0</v>
      </c>
      <c r="W172">
        <v>167</v>
      </c>
      <c r="X172">
        <v>40</v>
      </c>
      <c r="Y172">
        <v>61.5</v>
      </c>
      <c r="Z172">
        <v>35.9</v>
      </c>
      <c r="AA172">
        <v>87.2</v>
      </c>
    </row>
    <row r="173" spans="1:27" x14ac:dyDescent="0.25">
      <c r="A173" t="s">
        <v>224</v>
      </c>
      <c r="B173" t="s">
        <v>220</v>
      </c>
      <c r="C173" s="76">
        <v>43993</v>
      </c>
      <c r="D173">
        <v>628</v>
      </c>
      <c r="E173">
        <v>30</v>
      </c>
      <c r="F173">
        <v>1225</v>
      </c>
      <c r="G173">
        <v>349</v>
      </c>
      <c r="H173">
        <v>64.3</v>
      </c>
      <c r="I173">
        <v>43.8</v>
      </c>
      <c r="J173">
        <v>84.8</v>
      </c>
      <c r="K173">
        <v>24</v>
      </c>
      <c r="L173">
        <v>0</v>
      </c>
      <c r="M173">
        <v>58</v>
      </c>
      <c r="N173">
        <v>2.5</v>
      </c>
      <c r="O173">
        <v>0</v>
      </c>
      <c r="P173">
        <v>5.3</v>
      </c>
      <c r="Q173">
        <f t="shared" si="4"/>
        <v>724357</v>
      </c>
      <c r="R173">
        <f t="shared" si="3"/>
        <v>3.3132833671794435</v>
      </c>
      <c r="U173">
        <v>58</v>
      </c>
      <c r="V173">
        <v>0</v>
      </c>
      <c r="W173">
        <v>128</v>
      </c>
      <c r="X173">
        <v>34</v>
      </c>
      <c r="Y173">
        <v>63</v>
      </c>
      <c r="Z173">
        <v>35.299999999999997</v>
      </c>
      <c r="AA173">
        <v>90.8</v>
      </c>
    </row>
    <row r="174" spans="1:27" x14ac:dyDescent="0.25">
      <c r="A174" t="s">
        <v>224</v>
      </c>
      <c r="B174" t="s">
        <v>220</v>
      </c>
      <c r="C174" s="76">
        <v>43994</v>
      </c>
      <c r="D174">
        <v>607</v>
      </c>
      <c r="E174">
        <v>16</v>
      </c>
      <c r="F174">
        <v>1197</v>
      </c>
      <c r="G174">
        <v>370</v>
      </c>
      <c r="H174">
        <v>62.1</v>
      </c>
      <c r="I174">
        <v>44.1</v>
      </c>
      <c r="J174">
        <v>80.2</v>
      </c>
      <c r="K174">
        <v>15</v>
      </c>
      <c r="L174">
        <v>0</v>
      </c>
      <c r="M174">
        <v>35</v>
      </c>
      <c r="N174">
        <v>1.5</v>
      </c>
      <c r="O174">
        <v>0</v>
      </c>
      <c r="P174">
        <v>3.1</v>
      </c>
      <c r="Q174">
        <f t="shared" si="4"/>
        <v>724357</v>
      </c>
      <c r="R174">
        <f t="shared" si="3"/>
        <v>2.0708021044871519</v>
      </c>
      <c r="U174">
        <v>63</v>
      </c>
      <c r="V174">
        <v>0</v>
      </c>
      <c r="W174">
        <v>131</v>
      </c>
      <c r="X174">
        <v>30</v>
      </c>
      <c r="Y174">
        <v>67.900000000000006</v>
      </c>
      <c r="Z174">
        <v>52.8</v>
      </c>
      <c r="AA174">
        <v>83</v>
      </c>
    </row>
    <row r="175" spans="1:27" x14ac:dyDescent="0.25">
      <c r="A175" t="s">
        <v>224</v>
      </c>
      <c r="B175" t="s">
        <v>220</v>
      </c>
      <c r="C175" s="76">
        <v>43995</v>
      </c>
      <c r="D175">
        <v>795</v>
      </c>
      <c r="E175">
        <v>55</v>
      </c>
      <c r="F175">
        <v>1535</v>
      </c>
      <c r="G175">
        <v>583</v>
      </c>
      <c r="H175">
        <v>57.7</v>
      </c>
      <c r="I175">
        <v>43.2</v>
      </c>
      <c r="J175">
        <v>72.2</v>
      </c>
      <c r="K175">
        <v>31</v>
      </c>
      <c r="L175">
        <v>3</v>
      </c>
      <c r="M175">
        <v>59</v>
      </c>
      <c r="N175">
        <v>2.2999999999999998</v>
      </c>
      <c r="O175">
        <v>0.8</v>
      </c>
      <c r="P175">
        <v>3.7</v>
      </c>
      <c r="Q175">
        <f t="shared" si="4"/>
        <v>724357</v>
      </c>
      <c r="R175">
        <f t="shared" si="3"/>
        <v>4.2796576826067811</v>
      </c>
      <c r="U175">
        <v>137</v>
      </c>
      <c r="V175">
        <v>0</v>
      </c>
      <c r="W175">
        <v>304</v>
      </c>
      <c r="X175">
        <v>62</v>
      </c>
      <c r="Y175">
        <v>68.900000000000006</v>
      </c>
      <c r="Z175">
        <v>58.8</v>
      </c>
      <c r="AA175">
        <v>79</v>
      </c>
    </row>
    <row r="176" spans="1:27" x14ac:dyDescent="0.25">
      <c r="A176" t="s">
        <v>224</v>
      </c>
      <c r="B176" t="s">
        <v>220</v>
      </c>
      <c r="C176" s="76">
        <v>43996</v>
      </c>
      <c r="D176">
        <v>789</v>
      </c>
      <c r="E176">
        <v>65</v>
      </c>
      <c r="F176">
        <v>1512</v>
      </c>
      <c r="G176">
        <v>589</v>
      </c>
      <c r="H176">
        <v>57.2</v>
      </c>
      <c r="I176">
        <v>42.8</v>
      </c>
      <c r="J176">
        <v>71.7</v>
      </c>
      <c r="K176">
        <v>33</v>
      </c>
      <c r="L176">
        <v>0</v>
      </c>
      <c r="M176">
        <v>68</v>
      </c>
      <c r="N176">
        <v>2.4</v>
      </c>
      <c r="O176">
        <v>0.6</v>
      </c>
      <c r="P176">
        <v>4.0999999999999996</v>
      </c>
      <c r="Q176">
        <f t="shared" si="4"/>
        <v>724357</v>
      </c>
      <c r="R176">
        <f t="shared" si="3"/>
        <v>4.5557646298717351</v>
      </c>
      <c r="U176">
        <v>132</v>
      </c>
      <c r="V176">
        <v>0</v>
      </c>
      <c r="W176">
        <v>293</v>
      </c>
      <c r="X176">
        <v>73</v>
      </c>
      <c r="Y176">
        <v>64.400000000000006</v>
      </c>
      <c r="Z176">
        <v>52</v>
      </c>
      <c r="AA176">
        <v>76.8</v>
      </c>
    </row>
    <row r="177" spans="1:27" x14ac:dyDescent="0.25">
      <c r="A177" t="s">
        <v>224</v>
      </c>
      <c r="B177" t="s">
        <v>220</v>
      </c>
      <c r="C177" s="76">
        <v>43997</v>
      </c>
      <c r="D177">
        <v>560</v>
      </c>
      <c r="E177">
        <v>10</v>
      </c>
      <c r="F177">
        <v>1110</v>
      </c>
      <c r="G177">
        <v>417</v>
      </c>
      <c r="H177">
        <v>57.3</v>
      </c>
      <c r="I177">
        <v>37.4</v>
      </c>
      <c r="J177">
        <v>77.3</v>
      </c>
      <c r="K177">
        <v>25</v>
      </c>
      <c r="L177">
        <v>0</v>
      </c>
      <c r="M177">
        <v>55</v>
      </c>
      <c r="N177">
        <v>2.6</v>
      </c>
      <c r="O177">
        <v>0.4</v>
      </c>
      <c r="P177">
        <v>4.7</v>
      </c>
      <c r="Q177">
        <f t="shared" si="4"/>
        <v>724357</v>
      </c>
      <c r="R177">
        <f t="shared" si="3"/>
        <v>3.4513368408119205</v>
      </c>
      <c r="U177">
        <v>55</v>
      </c>
      <c r="V177">
        <v>0</v>
      </c>
      <c r="W177">
        <v>124</v>
      </c>
      <c r="X177">
        <v>37</v>
      </c>
      <c r="Y177">
        <v>59.8</v>
      </c>
      <c r="Z177">
        <v>29.6</v>
      </c>
      <c r="AA177">
        <v>89.9</v>
      </c>
    </row>
    <row r="178" spans="1:27" x14ac:dyDescent="0.25">
      <c r="A178" t="s">
        <v>224</v>
      </c>
      <c r="B178" t="s">
        <v>220</v>
      </c>
      <c r="C178" s="76">
        <v>43998</v>
      </c>
      <c r="D178">
        <v>582</v>
      </c>
      <c r="E178">
        <v>22</v>
      </c>
      <c r="F178">
        <v>1141</v>
      </c>
      <c r="G178">
        <v>395</v>
      </c>
      <c r="H178">
        <v>59.5</v>
      </c>
      <c r="I178">
        <v>41.7</v>
      </c>
      <c r="J178">
        <v>77.400000000000006</v>
      </c>
      <c r="K178">
        <v>30</v>
      </c>
      <c r="L178">
        <v>0</v>
      </c>
      <c r="M178">
        <v>64</v>
      </c>
      <c r="N178">
        <v>3.1</v>
      </c>
      <c r="O178">
        <v>0.6</v>
      </c>
      <c r="P178">
        <v>5.6</v>
      </c>
      <c r="Q178">
        <f t="shared" si="4"/>
        <v>724357</v>
      </c>
      <c r="R178">
        <f t="shared" si="3"/>
        <v>4.1416042089743037</v>
      </c>
      <c r="U178">
        <v>57</v>
      </c>
      <c r="V178">
        <v>0</v>
      </c>
      <c r="W178">
        <v>125</v>
      </c>
      <c r="X178">
        <v>36</v>
      </c>
      <c r="Y178">
        <v>61.4</v>
      </c>
      <c r="Z178">
        <v>35.4</v>
      </c>
      <c r="AA178">
        <v>87.4</v>
      </c>
    </row>
    <row r="179" spans="1:27" x14ac:dyDescent="0.25">
      <c r="A179" t="s">
        <v>224</v>
      </c>
      <c r="B179" t="s">
        <v>220</v>
      </c>
      <c r="C179" s="76">
        <v>43999</v>
      </c>
      <c r="D179">
        <v>589</v>
      </c>
      <c r="E179">
        <v>20</v>
      </c>
      <c r="F179">
        <v>1157</v>
      </c>
      <c r="G179">
        <v>388</v>
      </c>
      <c r="H179">
        <v>60.3</v>
      </c>
      <c r="I179">
        <v>40.1</v>
      </c>
      <c r="J179">
        <v>80.400000000000006</v>
      </c>
      <c r="K179">
        <v>26</v>
      </c>
      <c r="L179">
        <v>0</v>
      </c>
      <c r="M179">
        <v>54</v>
      </c>
      <c r="N179">
        <v>2.6</v>
      </c>
      <c r="O179">
        <v>0.8</v>
      </c>
      <c r="P179">
        <v>4.5</v>
      </c>
      <c r="Q179">
        <f t="shared" si="4"/>
        <v>724357</v>
      </c>
      <c r="R179">
        <f t="shared" si="3"/>
        <v>3.5893903144443966</v>
      </c>
      <c r="U179">
        <v>54</v>
      </c>
      <c r="V179">
        <v>0</v>
      </c>
      <c r="W179">
        <v>119</v>
      </c>
      <c r="X179">
        <v>38</v>
      </c>
      <c r="Y179">
        <v>58.7</v>
      </c>
      <c r="Z179">
        <v>29.9</v>
      </c>
      <c r="AA179">
        <v>87.5</v>
      </c>
    </row>
    <row r="180" spans="1:27" x14ac:dyDescent="0.25">
      <c r="A180" t="s">
        <v>224</v>
      </c>
      <c r="B180" t="s">
        <v>220</v>
      </c>
      <c r="C180" s="76">
        <v>44000</v>
      </c>
      <c r="D180">
        <v>586</v>
      </c>
      <c r="E180">
        <v>18</v>
      </c>
      <c r="F180">
        <v>1154</v>
      </c>
      <c r="G180">
        <v>391</v>
      </c>
      <c r="H180">
        <v>60</v>
      </c>
      <c r="I180">
        <v>41.6</v>
      </c>
      <c r="J180">
        <v>78.400000000000006</v>
      </c>
      <c r="K180">
        <v>24</v>
      </c>
      <c r="L180">
        <v>0</v>
      </c>
      <c r="M180">
        <v>51</v>
      </c>
      <c r="N180">
        <v>2.5</v>
      </c>
      <c r="O180">
        <v>0.4</v>
      </c>
      <c r="P180">
        <v>4.5</v>
      </c>
      <c r="Q180">
        <f t="shared" si="4"/>
        <v>724357</v>
      </c>
      <c r="R180">
        <f t="shared" si="3"/>
        <v>3.3132833671794435</v>
      </c>
      <c r="U180">
        <v>57</v>
      </c>
      <c r="V180">
        <v>0</v>
      </c>
      <c r="W180">
        <v>124</v>
      </c>
      <c r="X180">
        <v>36</v>
      </c>
      <c r="Y180">
        <v>61.4</v>
      </c>
      <c r="Z180">
        <v>32.1</v>
      </c>
      <c r="AA180">
        <v>90.7</v>
      </c>
    </row>
    <row r="181" spans="1:27" x14ac:dyDescent="0.25">
      <c r="A181" t="s">
        <v>224</v>
      </c>
      <c r="B181" t="s">
        <v>220</v>
      </c>
      <c r="C181" s="76">
        <v>44001</v>
      </c>
      <c r="D181">
        <v>652</v>
      </c>
      <c r="E181">
        <v>51</v>
      </c>
      <c r="F181">
        <v>1252</v>
      </c>
      <c r="G181">
        <v>437</v>
      </c>
      <c r="H181">
        <v>59.9</v>
      </c>
      <c r="I181">
        <v>39.4</v>
      </c>
      <c r="J181">
        <v>80.3</v>
      </c>
      <c r="K181">
        <v>33</v>
      </c>
      <c r="L181">
        <v>0</v>
      </c>
      <c r="M181">
        <v>72</v>
      </c>
      <c r="N181">
        <v>3</v>
      </c>
      <c r="O181">
        <v>0.3</v>
      </c>
      <c r="P181">
        <v>5.8</v>
      </c>
      <c r="Q181">
        <f t="shared" si="4"/>
        <v>724357</v>
      </c>
      <c r="R181">
        <f t="shared" si="3"/>
        <v>4.5557646298717351</v>
      </c>
      <c r="U181">
        <v>68</v>
      </c>
      <c r="V181">
        <v>0</v>
      </c>
      <c r="W181">
        <v>137</v>
      </c>
      <c r="X181">
        <v>43</v>
      </c>
      <c r="Y181">
        <v>61.4</v>
      </c>
      <c r="Z181">
        <v>40.6</v>
      </c>
      <c r="AA181">
        <v>82.1</v>
      </c>
    </row>
    <row r="182" spans="1:27" x14ac:dyDescent="0.25">
      <c r="A182" t="s">
        <v>224</v>
      </c>
      <c r="B182" t="s">
        <v>220</v>
      </c>
      <c r="C182" s="76">
        <v>44002</v>
      </c>
      <c r="D182">
        <v>915</v>
      </c>
      <c r="E182">
        <v>125</v>
      </c>
      <c r="F182">
        <v>1705</v>
      </c>
      <c r="G182">
        <v>575</v>
      </c>
      <c r="H182">
        <v>61.4</v>
      </c>
      <c r="I182">
        <v>46.1</v>
      </c>
      <c r="J182">
        <v>76.7</v>
      </c>
      <c r="K182">
        <v>39</v>
      </c>
      <c r="L182">
        <v>0</v>
      </c>
      <c r="M182">
        <v>78</v>
      </c>
      <c r="N182">
        <v>2.6</v>
      </c>
      <c r="O182">
        <v>0.5</v>
      </c>
      <c r="P182">
        <v>4.7</v>
      </c>
      <c r="Q182">
        <f t="shared" si="4"/>
        <v>724357</v>
      </c>
      <c r="R182">
        <f t="shared" si="3"/>
        <v>5.3840854716665953</v>
      </c>
      <c r="U182">
        <v>136</v>
      </c>
      <c r="V182">
        <v>0</v>
      </c>
      <c r="W182">
        <v>290</v>
      </c>
      <c r="X182">
        <v>87</v>
      </c>
      <c r="Y182">
        <v>61</v>
      </c>
      <c r="Z182">
        <v>49</v>
      </c>
      <c r="AA182">
        <v>72.900000000000006</v>
      </c>
    </row>
    <row r="183" spans="1:27" x14ac:dyDescent="0.25">
      <c r="A183" t="s">
        <v>224</v>
      </c>
      <c r="B183" t="s">
        <v>220</v>
      </c>
      <c r="C183" s="76">
        <v>44003</v>
      </c>
      <c r="D183">
        <v>844</v>
      </c>
      <c r="E183">
        <v>93</v>
      </c>
      <c r="F183">
        <v>1595</v>
      </c>
      <c r="G183">
        <v>646</v>
      </c>
      <c r="H183">
        <v>56.7</v>
      </c>
      <c r="I183">
        <v>40.200000000000003</v>
      </c>
      <c r="J183">
        <v>73.099999999999994</v>
      </c>
      <c r="K183">
        <v>34</v>
      </c>
      <c r="L183">
        <v>0</v>
      </c>
      <c r="M183">
        <v>71</v>
      </c>
      <c r="N183">
        <v>2.2999999999999998</v>
      </c>
      <c r="O183">
        <v>0.4</v>
      </c>
      <c r="P183">
        <v>4.2</v>
      </c>
      <c r="Q183">
        <f t="shared" si="4"/>
        <v>724357</v>
      </c>
      <c r="R183">
        <f t="shared" si="3"/>
        <v>4.6938181035042108</v>
      </c>
      <c r="U183">
        <v>134</v>
      </c>
      <c r="V183">
        <v>0</v>
      </c>
      <c r="W183">
        <v>285</v>
      </c>
      <c r="X183">
        <v>90</v>
      </c>
      <c r="Y183">
        <v>59.9</v>
      </c>
      <c r="Z183">
        <v>50</v>
      </c>
      <c r="AA183">
        <v>69.7</v>
      </c>
    </row>
    <row r="184" spans="1:27" x14ac:dyDescent="0.25">
      <c r="A184" t="s">
        <v>224</v>
      </c>
      <c r="B184" t="s">
        <v>220</v>
      </c>
      <c r="C184" s="76">
        <v>44004</v>
      </c>
      <c r="D184">
        <v>606</v>
      </c>
      <c r="E184">
        <v>41</v>
      </c>
      <c r="F184">
        <v>1171</v>
      </c>
      <c r="G184">
        <v>483</v>
      </c>
      <c r="H184">
        <v>55.7</v>
      </c>
      <c r="I184">
        <v>33.700000000000003</v>
      </c>
      <c r="J184">
        <v>77.599999999999994</v>
      </c>
      <c r="K184">
        <v>22</v>
      </c>
      <c r="L184">
        <v>0</v>
      </c>
      <c r="M184">
        <v>54</v>
      </c>
      <c r="N184">
        <v>2</v>
      </c>
      <c r="O184">
        <v>0</v>
      </c>
      <c r="P184">
        <v>4.5</v>
      </c>
      <c r="Q184">
        <f t="shared" si="4"/>
        <v>724357</v>
      </c>
      <c r="R184">
        <f t="shared" si="3"/>
        <v>3.0371764199144899</v>
      </c>
      <c r="U184">
        <v>54</v>
      </c>
      <c r="V184">
        <v>0</v>
      </c>
      <c r="W184">
        <v>121</v>
      </c>
      <c r="X184">
        <v>56</v>
      </c>
      <c r="Y184">
        <v>49.1</v>
      </c>
      <c r="Z184">
        <v>17.5</v>
      </c>
      <c r="AA184">
        <v>80.599999999999994</v>
      </c>
    </row>
    <row r="185" spans="1:27" x14ac:dyDescent="0.25">
      <c r="A185" t="s">
        <v>224</v>
      </c>
      <c r="B185" t="s">
        <v>220</v>
      </c>
      <c r="C185" s="76">
        <v>44005</v>
      </c>
      <c r="D185">
        <v>189</v>
      </c>
      <c r="E185">
        <v>0</v>
      </c>
      <c r="F185">
        <v>426</v>
      </c>
      <c r="G185">
        <v>533</v>
      </c>
      <c r="H185">
        <v>26.2</v>
      </c>
      <c r="I185">
        <v>9</v>
      </c>
      <c r="J185">
        <v>43.3</v>
      </c>
      <c r="K185">
        <v>8</v>
      </c>
      <c r="L185">
        <v>0</v>
      </c>
      <c r="M185">
        <v>24</v>
      </c>
      <c r="N185">
        <v>1.1000000000000001</v>
      </c>
      <c r="O185">
        <v>0</v>
      </c>
      <c r="P185">
        <v>2.9</v>
      </c>
      <c r="Q185">
        <f t="shared" si="4"/>
        <v>724357</v>
      </c>
      <c r="R185">
        <f t="shared" si="3"/>
        <v>1.1044277890598144</v>
      </c>
      <c r="U185">
        <v>29</v>
      </c>
      <c r="V185">
        <v>0</v>
      </c>
      <c r="W185">
        <v>65</v>
      </c>
      <c r="X185">
        <v>41</v>
      </c>
      <c r="Y185">
        <v>41.4</v>
      </c>
      <c r="Z185">
        <v>29.3</v>
      </c>
      <c r="AA185">
        <v>53.6</v>
      </c>
    </row>
    <row r="186" spans="1:27" x14ac:dyDescent="0.25">
      <c r="A186" t="s">
        <v>224</v>
      </c>
      <c r="B186" t="s">
        <v>220</v>
      </c>
      <c r="C186" s="76">
        <v>44006</v>
      </c>
      <c r="D186">
        <v>659</v>
      </c>
      <c r="E186">
        <v>0</v>
      </c>
      <c r="F186">
        <v>1533</v>
      </c>
      <c r="G186">
        <v>582</v>
      </c>
      <c r="H186">
        <v>53.1</v>
      </c>
      <c r="I186">
        <v>23.1</v>
      </c>
      <c r="J186">
        <v>83.1</v>
      </c>
      <c r="K186">
        <v>6</v>
      </c>
      <c r="L186">
        <v>0</v>
      </c>
      <c r="M186">
        <v>18</v>
      </c>
      <c r="N186">
        <v>0.5</v>
      </c>
      <c r="O186">
        <v>0</v>
      </c>
      <c r="P186">
        <v>1.4</v>
      </c>
      <c r="Q186">
        <f t="shared" si="4"/>
        <v>724357</v>
      </c>
      <c r="R186">
        <f t="shared" si="3"/>
        <v>0.82832084179486087</v>
      </c>
      <c r="U186">
        <v>94</v>
      </c>
      <c r="V186">
        <v>0</v>
      </c>
      <c r="W186">
        <v>218</v>
      </c>
      <c r="X186">
        <v>42</v>
      </c>
      <c r="Y186">
        <v>69.099999999999994</v>
      </c>
      <c r="Z186">
        <v>43.8</v>
      </c>
      <c r="AA186">
        <v>94.5</v>
      </c>
    </row>
    <row r="187" spans="1:27" x14ac:dyDescent="0.25">
      <c r="A187" t="s">
        <v>224</v>
      </c>
      <c r="B187" t="s">
        <v>220</v>
      </c>
      <c r="C187" s="76">
        <v>44007</v>
      </c>
      <c r="D187">
        <v>539</v>
      </c>
      <c r="E187">
        <v>0</v>
      </c>
      <c r="F187">
        <v>1101</v>
      </c>
      <c r="G187">
        <v>487</v>
      </c>
      <c r="H187">
        <v>52.5</v>
      </c>
      <c r="I187">
        <v>30.4</v>
      </c>
      <c r="J187">
        <v>74.599999999999994</v>
      </c>
      <c r="K187">
        <v>11</v>
      </c>
      <c r="L187">
        <v>0</v>
      </c>
      <c r="M187">
        <v>26</v>
      </c>
      <c r="N187">
        <v>1.1000000000000001</v>
      </c>
      <c r="O187">
        <v>0</v>
      </c>
      <c r="P187">
        <v>2.4</v>
      </c>
      <c r="Q187">
        <f t="shared" si="4"/>
        <v>724357</v>
      </c>
      <c r="R187">
        <f t="shared" si="3"/>
        <v>1.518588209957245</v>
      </c>
      <c r="U187">
        <v>68</v>
      </c>
      <c r="V187">
        <v>0</v>
      </c>
      <c r="W187">
        <v>138</v>
      </c>
      <c r="X187">
        <v>39</v>
      </c>
      <c r="Y187">
        <v>63.7</v>
      </c>
      <c r="Z187">
        <v>46.3</v>
      </c>
      <c r="AA187">
        <v>81</v>
      </c>
    </row>
    <row r="188" spans="1:27" x14ac:dyDescent="0.25">
      <c r="A188" t="s">
        <v>224</v>
      </c>
      <c r="B188" t="s">
        <v>220</v>
      </c>
      <c r="C188" s="76">
        <v>44008</v>
      </c>
      <c r="D188">
        <v>543</v>
      </c>
      <c r="E188">
        <v>0</v>
      </c>
      <c r="F188">
        <v>1118</v>
      </c>
      <c r="G188">
        <v>483</v>
      </c>
      <c r="H188">
        <v>52.9</v>
      </c>
      <c r="I188">
        <v>29.4</v>
      </c>
      <c r="J188">
        <v>76.5</v>
      </c>
      <c r="K188">
        <v>14</v>
      </c>
      <c r="L188">
        <v>0</v>
      </c>
      <c r="M188">
        <v>32</v>
      </c>
      <c r="N188">
        <v>1.3</v>
      </c>
      <c r="O188">
        <v>0</v>
      </c>
      <c r="P188">
        <v>2.8</v>
      </c>
      <c r="Q188">
        <f t="shared" si="4"/>
        <v>724357</v>
      </c>
      <c r="R188">
        <f t="shared" si="3"/>
        <v>1.9327486308546753</v>
      </c>
      <c r="U188">
        <v>65</v>
      </c>
      <c r="V188">
        <v>0</v>
      </c>
      <c r="W188">
        <v>135</v>
      </c>
      <c r="X188">
        <v>42</v>
      </c>
      <c r="Y188">
        <v>60.8</v>
      </c>
      <c r="Z188">
        <v>38.700000000000003</v>
      </c>
      <c r="AA188">
        <v>83</v>
      </c>
    </row>
    <row r="189" spans="1:27" x14ac:dyDescent="0.25">
      <c r="A189" t="s">
        <v>224</v>
      </c>
      <c r="B189" t="s">
        <v>220</v>
      </c>
      <c r="C189" s="76">
        <v>44009</v>
      </c>
      <c r="D189">
        <v>788</v>
      </c>
      <c r="E189">
        <v>22</v>
      </c>
      <c r="F189">
        <v>1554</v>
      </c>
      <c r="G189">
        <v>639</v>
      </c>
      <c r="H189">
        <v>55.2</v>
      </c>
      <c r="I189">
        <v>36</v>
      </c>
      <c r="J189">
        <v>74.5</v>
      </c>
      <c r="K189">
        <v>13</v>
      </c>
      <c r="L189">
        <v>0</v>
      </c>
      <c r="M189">
        <v>28</v>
      </c>
      <c r="N189">
        <v>0.9</v>
      </c>
      <c r="O189">
        <v>0.1</v>
      </c>
      <c r="P189">
        <v>1.7</v>
      </c>
      <c r="Q189">
        <f t="shared" si="4"/>
        <v>724357</v>
      </c>
      <c r="R189">
        <f t="shared" si="3"/>
        <v>1.7946951572221983</v>
      </c>
      <c r="U189">
        <v>136</v>
      </c>
      <c r="V189">
        <v>0</v>
      </c>
      <c r="W189">
        <v>293</v>
      </c>
      <c r="X189">
        <v>69</v>
      </c>
      <c r="Y189">
        <v>66.3</v>
      </c>
      <c r="Z189">
        <v>55.8</v>
      </c>
      <c r="AA189">
        <v>76.900000000000006</v>
      </c>
    </row>
    <row r="190" spans="1:27" x14ac:dyDescent="0.25">
      <c r="A190" t="s">
        <v>224</v>
      </c>
      <c r="B190" t="s">
        <v>220</v>
      </c>
      <c r="C190" s="76">
        <v>44010</v>
      </c>
      <c r="D190">
        <v>761</v>
      </c>
      <c r="E190">
        <v>0</v>
      </c>
      <c r="F190">
        <v>1523</v>
      </c>
      <c r="G190">
        <v>666</v>
      </c>
      <c r="H190">
        <v>53.3</v>
      </c>
      <c r="I190">
        <v>30.3</v>
      </c>
      <c r="J190">
        <v>76.400000000000006</v>
      </c>
      <c r="K190">
        <v>15</v>
      </c>
      <c r="L190">
        <v>0</v>
      </c>
      <c r="M190">
        <v>31</v>
      </c>
      <c r="N190">
        <v>1</v>
      </c>
      <c r="O190">
        <v>0.2</v>
      </c>
      <c r="P190">
        <v>1.8</v>
      </c>
      <c r="Q190">
        <f t="shared" si="4"/>
        <v>724357</v>
      </c>
      <c r="R190">
        <f t="shared" si="3"/>
        <v>2.0708021044871519</v>
      </c>
      <c r="U190">
        <v>138</v>
      </c>
      <c r="V190">
        <v>0</v>
      </c>
      <c r="W190">
        <v>292</v>
      </c>
      <c r="X190">
        <v>67</v>
      </c>
      <c r="Y190">
        <v>67.3</v>
      </c>
      <c r="Z190">
        <v>55.7</v>
      </c>
      <c r="AA190">
        <v>79</v>
      </c>
    </row>
    <row r="191" spans="1:27" x14ac:dyDescent="0.25">
      <c r="A191" t="s">
        <v>224</v>
      </c>
      <c r="B191" t="s">
        <v>220</v>
      </c>
      <c r="C191" s="76">
        <v>44011</v>
      </c>
      <c r="D191">
        <v>512</v>
      </c>
      <c r="E191">
        <v>0</v>
      </c>
      <c r="F191">
        <v>1059</v>
      </c>
      <c r="G191">
        <v>514</v>
      </c>
      <c r="H191">
        <v>49.9</v>
      </c>
      <c r="I191">
        <v>24.8</v>
      </c>
      <c r="J191">
        <v>75</v>
      </c>
      <c r="K191">
        <v>12</v>
      </c>
      <c r="L191">
        <v>0</v>
      </c>
      <c r="M191">
        <v>27</v>
      </c>
      <c r="N191">
        <v>1.1000000000000001</v>
      </c>
      <c r="O191">
        <v>0</v>
      </c>
      <c r="P191">
        <v>2.2999999999999998</v>
      </c>
      <c r="Q191">
        <f t="shared" si="4"/>
        <v>724357</v>
      </c>
      <c r="R191">
        <f t="shared" si="3"/>
        <v>1.6566416835897217</v>
      </c>
      <c r="U191">
        <v>71</v>
      </c>
      <c r="V191">
        <v>0</v>
      </c>
      <c r="W191">
        <v>144</v>
      </c>
      <c r="X191">
        <v>36</v>
      </c>
      <c r="Y191">
        <v>66.5</v>
      </c>
      <c r="Z191">
        <v>46.9</v>
      </c>
      <c r="AA191">
        <v>86.2</v>
      </c>
    </row>
    <row r="192" spans="1:27" x14ac:dyDescent="0.25">
      <c r="A192" t="s">
        <v>224</v>
      </c>
      <c r="B192" t="s">
        <v>220</v>
      </c>
      <c r="C192" s="76">
        <v>44012</v>
      </c>
      <c r="D192">
        <v>562</v>
      </c>
      <c r="E192">
        <v>0</v>
      </c>
      <c r="F192">
        <v>1145</v>
      </c>
      <c r="G192">
        <v>464</v>
      </c>
      <c r="H192">
        <v>54.8</v>
      </c>
      <c r="I192">
        <v>32.200000000000003</v>
      </c>
      <c r="J192">
        <v>77.3</v>
      </c>
      <c r="K192">
        <v>29</v>
      </c>
      <c r="L192">
        <v>0</v>
      </c>
      <c r="M192">
        <v>66</v>
      </c>
      <c r="N192">
        <v>2.8</v>
      </c>
      <c r="O192">
        <v>0</v>
      </c>
      <c r="P192">
        <v>5.9</v>
      </c>
      <c r="Q192">
        <f t="shared" si="4"/>
        <v>724357</v>
      </c>
      <c r="R192">
        <f t="shared" si="3"/>
        <v>4.0035507353418271</v>
      </c>
      <c r="U192">
        <v>61</v>
      </c>
      <c r="V192">
        <v>0</v>
      </c>
      <c r="W192">
        <v>126</v>
      </c>
      <c r="X192">
        <v>46</v>
      </c>
      <c r="Y192">
        <v>57.1</v>
      </c>
      <c r="Z192">
        <v>39.1</v>
      </c>
      <c r="AA192">
        <v>75.099999999999994</v>
      </c>
    </row>
    <row r="193" spans="1:27" x14ac:dyDescent="0.25">
      <c r="A193" t="s">
        <v>224</v>
      </c>
      <c r="B193" t="s">
        <v>220</v>
      </c>
      <c r="C193" s="76">
        <v>44013</v>
      </c>
      <c r="D193">
        <v>431</v>
      </c>
      <c r="E193">
        <v>0</v>
      </c>
      <c r="F193">
        <v>956</v>
      </c>
      <c r="G193">
        <v>245</v>
      </c>
      <c r="H193">
        <v>63.7</v>
      </c>
      <c r="I193">
        <v>39.6</v>
      </c>
      <c r="J193">
        <v>87.8</v>
      </c>
      <c r="K193">
        <v>22</v>
      </c>
      <c r="L193">
        <v>0</v>
      </c>
      <c r="M193">
        <v>51</v>
      </c>
      <c r="N193">
        <v>3.3</v>
      </c>
      <c r="O193">
        <v>0.7</v>
      </c>
      <c r="P193">
        <v>5.9</v>
      </c>
      <c r="Q193">
        <f t="shared" si="4"/>
        <v>724357</v>
      </c>
      <c r="R193">
        <f t="shared" si="3"/>
        <v>3.0371764199144899</v>
      </c>
      <c r="U193">
        <v>51</v>
      </c>
      <c r="V193">
        <v>0</v>
      </c>
      <c r="W193">
        <v>114</v>
      </c>
      <c r="X193">
        <v>28</v>
      </c>
      <c r="Y193">
        <v>64.7</v>
      </c>
      <c r="Z193">
        <v>41.7</v>
      </c>
      <c r="AA193">
        <v>87.8</v>
      </c>
    </row>
    <row r="194" spans="1:27" x14ac:dyDescent="0.25">
      <c r="A194" t="s">
        <v>224</v>
      </c>
      <c r="B194" t="s">
        <v>220</v>
      </c>
      <c r="C194" s="76">
        <v>44014</v>
      </c>
      <c r="D194">
        <v>450</v>
      </c>
      <c r="E194">
        <v>0</v>
      </c>
      <c r="F194">
        <v>995</v>
      </c>
      <c r="G194">
        <v>226</v>
      </c>
      <c r="H194">
        <v>66.5</v>
      </c>
      <c r="I194">
        <v>41.7</v>
      </c>
      <c r="J194">
        <v>91.3</v>
      </c>
      <c r="K194">
        <v>20</v>
      </c>
      <c r="L194">
        <v>0</v>
      </c>
      <c r="M194">
        <v>47</v>
      </c>
      <c r="N194">
        <v>2.9</v>
      </c>
      <c r="O194">
        <v>0.2</v>
      </c>
      <c r="P194">
        <v>5.6</v>
      </c>
      <c r="Q194">
        <f t="shared" si="4"/>
        <v>724357</v>
      </c>
      <c r="R194">
        <f t="shared" si="3"/>
        <v>2.7610694726495359</v>
      </c>
      <c r="U194">
        <v>52</v>
      </c>
      <c r="V194">
        <v>0</v>
      </c>
      <c r="W194">
        <v>117</v>
      </c>
      <c r="X194">
        <v>27</v>
      </c>
      <c r="Y194">
        <v>66</v>
      </c>
      <c r="Z194">
        <v>40.6</v>
      </c>
      <c r="AA194">
        <v>91.5</v>
      </c>
    </row>
    <row r="195" spans="1:27" x14ac:dyDescent="0.25">
      <c r="A195" t="s">
        <v>224</v>
      </c>
      <c r="B195" t="s">
        <v>220</v>
      </c>
      <c r="C195" s="76">
        <v>44015</v>
      </c>
      <c r="D195">
        <v>420</v>
      </c>
      <c r="E195">
        <v>0</v>
      </c>
      <c r="F195">
        <v>932</v>
      </c>
      <c r="G195">
        <v>256</v>
      </c>
      <c r="H195">
        <v>62.2</v>
      </c>
      <c r="I195">
        <v>37.4</v>
      </c>
      <c r="J195">
        <v>86.9</v>
      </c>
      <c r="K195">
        <v>19</v>
      </c>
      <c r="L195">
        <v>0</v>
      </c>
      <c r="M195">
        <v>44</v>
      </c>
      <c r="N195">
        <v>2.8</v>
      </c>
      <c r="O195">
        <v>0.4</v>
      </c>
      <c r="P195">
        <v>5.3</v>
      </c>
      <c r="Q195">
        <f t="shared" si="4"/>
        <v>724357</v>
      </c>
      <c r="R195">
        <f t="shared" si="3"/>
        <v>2.623015999017059</v>
      </c>
      <c r="U195">
        <v>55</v>
      </c>
      <c r="V195">
        <v>0</v>
      </c>
      <c r="W195">
        <v>122</v>
      </c>
      <c r="X195">
        <v>24</v>
      </c>
      <c r="Y195">
        <v>69.900000000000006</v>
      </c>
      <c r="Z195">
        <v>47</v>
      </c>
      <c r="AA195">
        <v>92.8</v>
      </c>
    </row>
    <row r="196" spans="1:27" x14ac:dyDescent="0.25">
      <c r="A196" t="s">
        <v>224</v>
      </c>
      <c r="B196" t="s">
        <v>220</v>
      </c>
      <c r="C196" s="76">
        <v>44016</v>
      </c>
      <c r="D196">
        <v>408</v>
      </c>
      <c r="E196">
        <v>0</v>
      </c>
      <c r="F196">
        <v>910</v>
      </c>
      <c r="G196">
        <v>268</v>
      </c>
      <c r="H196">
        <v>60.3</v>
      </c>
      <c r="I196">
        <v>34</v>
      </c>
      <c r="J196">
        <v>86.7</v>
      </c>
      <c r="K196">
        <v>19</v>
      </c>
      <c r="L196">
        <v>0</v>
      </c>
      <c r="M196">
        <v>42</v>
      </c>
      <c r="N196">
        <v>2.7</v>
      </c>
      <c r="O196">
        <v>0.5</v>
      </c>
      <c r="P196">
        <v>5</v>
      </c>
      <c r="Q196">
        <f t="shared" si="4"/>
        <v>724357</v>
      </c>
      <c r="R196">
        <f t="shared" si="3"/>
        <v>2.623015999017059</v>
      </c>
      <c r="U196">
        <v>51</v>
      </c>
      <c r="V196">
        <v>0</v>
      </c>
      <c r="W196">
        <v>114</v>
      </c>
      <c r="X196">
        <v>27</v>
      </c>
      <c r="Y196">
        <v>65.400000000000006</v>
      </c>
      <c r="Z196">
        <v>43.5</v>
      </c>
      <c r="AA196">
        <v>87.3</v>
      </c>
    </row>
    <row r="197" spans="1:27" x14ac:dyDescent="0.25">
      <c r="A197" t="s">
        <v>224</v>
      </c>
      <c r="B197" t="s">
        <v>220</v>
      </c>
      <c r="C197" s="76">
        <v>44017</v>
      </c>
      <c r="D197">
        <v>422</v>
      </c>
      <c r="E197">
        <v>0</v>
      </c>
      <c r="F197">
        <v>951</v>
      </c>
      <c r="G197">
        <v>254</v>
      </c>
      <c r="H197">
        <v>62.4</v>
      </c>
      <c r="I197">
        <v>32.700000000000003</v>
      </c>
      <c r="J197">
        <v>92.2</v>
      </c>
      <c r="K197">
        <v>18</v>
      </c>
      <c r="L197">
        <v>0</v>
      </c>
      <c r="M197">
        <v>43</v>
      </c>
      <c r="N197">
        <v>2.6</v>
      </c>
      <c r="O197">
        <v>0.1</v>
      </c>
      <c r="P197">
        <v>5.0999999999999996</v>
      </c>
      <c r="Q197">
        <f t="shared" si="4"/>
        <v>724357</v>
      </c>
      <c r="R197">
        <f t="shared" ref="R197:R260" si="5">K197/(Q197)*100000</f>
        <v>2.4849625253845824</v>
      </c>
      <c r="U197">
        <v>52</v>
      </c>
      <c r="V197">
        <v>0</v>
      </c>
      <c r="W197">
        <v>119</v>
      </c>
      <c r="X197">
        <v>26</v>
      </c>
      <c r="Y197">
        <v>67</v>
      </c>
      <c r="Z197">
        <v>37.799999999999997</v>
      </c>
      <c r="AA197">
        <v>96.1</v>
      </c>
    </row>
    <row r="198" spans="1:27" x14ac:dyDescent="0.25">
      <c r="A198" t="s">
        <v>224</v>
      </c>
      <c r="B198" t="s">
        <v>220</v>
      </c>
      <c r="C198" s="76">
        <v>44018</v>
      </c>
      <c r="D198">
        <v>406</v>
      </c>
      <c r="E198">
        <v>0</v>
      </c>
      <c r="F198">
        <v>908</v>
      </c>
      <c r="G198">
        <v>270</v>
      </c>
      <c r="H198">
        <v>60</v>
      </c>
      <c r="I198">
        <v>31.1</v>
      </c>
      <c r="J198">
        <v>89</v>
      </c>
      <c r="K198">
        <v>21</v>
      </c>
      <c r="L198">
        <v>0</v>
      </c>
      <c r="M198">
        <v>47</v>
      </c>
      <c r="N198">
        <v>3.1</v>
      </c>
      <c r="O198">
        <v>0.9</v>
      </c>
      <c r="P198">
        <v>5.3</v>
      </c>
      <c r="Q198">
        <f t="shared" si="4"/>
        <v>724357</v>
      </c>
      <c r="R198">
        <f t="shared" si="5"/>
        <v>2.8991229462820129</v>
      </c>
      <c r="U198">
        <v>47</v>
      </c>
      <c r="V198">
        <v>0</v>
      </c>
      <c r="W198">
        <v>107</v>
      </c>
      <c r="X198">
        <v>32</v>
      </c>
      <c r="Y198">
        <v>59.6</v>
      </c>
      <c r="Z198">
        <v>31.7</v>
      </c>
      <c r="AA198">
        <v>87.6</v>
      </c>
    </row>
    <row r="199" spans="1:27" x14ac:dyDescent="0.25">
      <c r="A199" t="s">
        <v>224</v>
      </c>
      <c r="B199" t="s">
        <v>220</v>
      </c>
      <c r="C199" s="76">
        <v>44019</v>
      </c>
      <c r="D199">
        <v>428</v>
      </c>
      <c r="E199">
        <v>0</v>
      </c>
      <c r="F199">
        <v>942</v>
      </c>
      <c r="G199">
        <v>248</v>
      </c>
      <c r="H199">
        <v>63.3</v>
      </c>
      <c r="I199">
        <v>37.200000000000003</v>
      </c>
      <c r="J199">
        <v>89.4</v>
      </c>
      <c r="K199">
        <v>22</v>
      </c>
      <c r="L199">
        <v>0</v>
      </c>
      <c r="M199">
        <v>50</v>
      </c>
      <c r="N199">
        <v>3.3</v>
      </c>
      <c r="O199">
        <v>2</v>
      </c>
      <c r="P199">
        <v>4.5</v>
      </c>
      <c r="Q199">
        <f t="shared" si="4"/>
        <v>724357</v>
      </c>
      <c r="R199">
        <f t="shared" si="5"/>
        <v>3.0371764199144899</v>
      </c>
      <c r="U199">
        <v>47</v>
      </c>
      <c r="V199">
        <v>0</v>
      </c>
      <c r="W199">
        <v>104</v>
      </c>
      <c r="X199">
        <v>32</v>
      </c>
      <c r="Y199">
        <v>59.6</v>
      </c>
      <c r="Z199">
        <v>39.799999999999997</v>
      </c>
      <c r="AA199">
        <v>79.5</v>
      </c>
    </row>
    <row r="200" spans="1:27" x14ac:dyDescent="0.25">
      <c r="A200" t="s">
        <v>225</v>
      </c>
      <c r="B200" t="s">
        <v>195</v>
      </c>
      <c r="C200" s="76">
        <v>43936</v>
      </c>
      <c r="D200">
        <v>8889</v>
      </c>
      <c r="E200">
        <v>5127</v>
      </c>
      <c r="F200">
        <v>12650</v>
      </c>
      <c r="G200">
        <v>7149</v>
      </c>
      <c r="H200">
        <v>55.4</v>
      </c>
      <c r="I200">
        <v>50.6</v>
      </c>
      <c r="J200">
        <v>60.2</v>
      </c>
      <c r="K200">
        <v>850</v>
      </c>
      <c r="L200">
        <v>473</v>
      </c>
      <c r="M200">
        <v>1228</v>
      </c>
      <c r="N200">
        <v>5.3</v>
      </c>
      <c r="O200">
        <v>3.8</v>
      </c>
      <c r="P200">
        <v>6.8</v>
      </c>
      <c r="Q200">
        <f t="shared" si="4"/>
        <v>4934193</v>
      </c>
      <c r="R200">
        <f t="shared" si="5"/>
        <v>17.226727856004011</v>
      </c>
      <c r="U200">
        <v>1474</v>
      </c>
      <c r="V200">
        <v>713</v>
      </c>
      <c r="W200">
        <v>2235</v>
      </c>
      <c r="X200">
        <v>814</v>
      </c>
      <c r="Y200">
        <v>64.400000000000006</v>
      </c>
      <c r="Z200">
        <v>57.7</v>
      </c>
      <c r="AA200">
        <v>71.099999999999994</v>
      </c>
    </row>
    <row r="201" spans="1:27" x14ac:dyDescent="0.25">
      <c r="A201" t="s">
        <v>225</v>
      </c>
      <c r="B201" t="s">
        <v>195</v>
      </c>
      <c r="C201" s="76">
        <v>43937</v>
      </c>
      <c r="D201">
        <v>8973</v>
      </c>
      <c r="E201">
        <v>5229</v>
      </c>
      <c r="F201">
        <v>12717</v>
      </c>
      <c r="G201">
        <v>6635</v>
      </c>
      <c r="H201">
        <v>57.5</v>
      </c>
      <c r="I201">
        <v>51.3</v>
      </c>
      <c r="J201">
        <v>63.7</v>
      </c>
      <c r="K201">
        <v>780</v>
      </c>
      <c r="L201">
        <v>425</v>
      </c>
      <c r="M201">
        <v>1135</v>
      </c>
      <c r="N201">
        <v>5</v>
      </c>
      <c r="O201">
        <v>3.7</v>
      </c>
      <c r="P201">
        <v>6.3</v>
      </c>
      <c r="Q201">
        <f t="shared" si="4"/>
        <v>4934193</v>
      </c>
      <c r="R201">
        <f t="shared" si="5"/>
        <v>15.808056150215446</v>
      </c>
      <c r="U201">
        <v>1458</v>
      </c>
      <c r="V201">
        <v>719</v>
      </c>
      <c r="W201">
        <v>2196</v>
      </c>
      <c r="X201">
        <v>754</v>
      </c>
      <c r="Y201">
        <v>65.900000000000006</v>
      </c>
      <c r="Z201">
        <v>58.5</v>
      </c>
      <c r="AA201">
        <v>73.3</v>
      </c>
    </row>
    <row r="202" spans="1:27" x14ac:dyDescent="0.25">
      <c r="A202" t="s">
        <v>225</v>
      </c>
      <c r="B202" t="s">
        <v>195</v>
      </c>
      <c r="C202" s="76">
        <v>43938</v>
      </c>
      <c r="D202">
        <v>8925</v>
      </c>
      <c r="E202">
        <v>5194</v>
      </c>
      <c r="F202">
        <v>12657</v>
      </c>
      <c r="G202">
        <v>6728</v>
      </c>
      <c r="H202">
        <v>57</v>
      </c>
      <c r="I202">
        <v>51.7</v>
      </c>
      <c r="J202">
        <v>62.3</v>
      </c>
      <c r="K202">
        <v>749</v>
      </c>
      <c r="L202">
        <v>421</v>
      </c>
      <c r="M202">
        <v>1077</v>
      </c>
      <c r="N202">
        <v>4.8</v>
      </c>
      <c r="O202">
        <v>3.5</v>
      </c>
      <c r="P202">
        <v>6.1</v>
      </c>
      <c r="Q202">
        <f t="shared" si="4"/>
        <v>4934193</v>
      </c>
      <c r="R202">
        <f t="shared" si="5"/>
        <v>15.179787251937652</v>
      </c>
      <c r="U202">
        <v>1460</v>
      </c>
      <c r="V202">
        <v>713</v>
      </c>
      <c r="W202">
        <v>2206</v>
      </c>
      <c r="X202">
        <v>756</v>
      </c>
      <c r="Y202">
        <v>65.900000000000006</v>
      </c>
      <c r="Z202">
        <v>59.2</v>
      </c>
      <c r="AA202">
        <v>72.5</v>
      </c>
    </row>
    <row r="203" spans="1:27" x14ac:dyDescent="0.25">
      <c r="A203" t="s">
        <v>225</v>
      </c>
      <c r="B203" t="s">
        <v>195</v>
      </c>
      <c r="C203" s="76">
        <v>43939</v>
      </c>
      <c r="D203">
        <v>8766</v>
      </c>
      <c r="E203">
        <v>5065</v>
      </c>
      <c r="F203">
        <v>12467</v>
      </c>
      <c r="G203">
        <v>7077</v>
      </c>
      <c r="H203">
        <v>55.3</v>
      </c>
      <c r="I203">
        <v>49.8</v>
      </c>
      <c r="J203">
        <v>60.9</v>
      </c>
      <c r="K203">
        <v>733</v>
      </c>
      <c r="L203">
        <v>417</v>
      </c>
      <c r="M203">
        <v>1049</v>
      </c>
      <c r="N203">
        <v>4.5999999999999996</v>
      </c>
      <c r="O203">
        <v>3.3</v>
      </c>
      <c r="P203">
        <v>5.9</v>
      </c>
      <c r="Q203">
        <f t="shared" si="4"/>
        <v>4934193</v>
      </c>
      <c r="R203">
        <f t="shared" si="5"/>
        <v>14.855519433471693</v>
      </c>
      <c r="U203">
        <v>1506</v>
      </c>
      <c r="V203">
        <v>734</v>
      </c>
      <c r="W203">
        <v>2279</v>
      </c>
      <c r="X203">
        <v>793</v>
      </c>
      <c r="Y203">
        <v>65.5</v>
      </c>
      <c r="Z203">
        <v>57.8</v>
      </c>
      <c r="AA203">
        <v>73.2</v>
      </c>
    </row>
    <row r="204" spans="1:27" x14ac:dyDescent="0.25">
      <c r="A204" t="s">
        <v>225</v>
      </c>
      <c r="B204" t="s">
        <v>195</v>
      </c>
      <c r="C204" s="76">
        <v>43940</v>
      </c>
      <c r="D204">
        <v>8451</v>
      </c>
      <c r="E204">
        <v>4739</v>
      </c>
      <c r="F204">
        <v>12163</v>
      </c>
      <c r="G204">
        <v>6685</v>
      </c>
      <c r="H204">
        <v>55.8</v>
      </c>
      <c r="I204">
        <v>49.7</v>
      </c>
      <c r="J204">
        <v>62</v>
      </c>
      <c r="K204">
        <v>752</v>
      </c>
      <c r="L204">
        <v>399</v>
      </c>
      <c r="M204">
        <v>1106</v>
      </c>
      <c r="N204">
        <v>5</v>
      </c>
      <c r="O204">
        <v>3.5</v>
      </c>
      <c r="P204">
        <v>6.4</v>
      </c>
      <c r="Q204">
        <f t="shared" si="4"/>
        <v>4934193</v>
      </c>
      <c r="R204">
        <f t="shared" si="5"/>
        <v>15.240587467900019</v>
      </c>
      <c r="U204">
        <v>1347</v>
      </c>
      <c r="V204">
        <v>649</v>
      </c>
      <c r="W204">
        <v>2045</v>
      </c>
      <c r="X204">
        <v>763</v>
      </c>
      <c r="Y204">
        <v>63.9</v>
      </c>
      <c r="Z204">
        <v>56.4</v>
      </c>
      <c r="AA204">
        <v>71.3</v>
      </c>
    </row>
    <row r="205" spans="1:27" x14ac:dyDescent="0.25">
      <c r="A205" t="s">
        <v>225</v>
      </c>
      <c r="B205" t="s">
        <v>195</v>
      </c>
      <c r="C205" s="76">
        <v>43941</v>
      </c>
      <c r="D205">
        <v>8527</v>
      </c>
      <c r="E205">
        <v>4850</v>
      </c>
      <c r="F205">
        <v>12203</v>
      </c>
      <c r="G205">
        <v>6624</v>
      </c>
      <c r="H205">
        <v>56.3</v>
      </c>
      <c r="I205">
        <v>51.2</v>
      </c>
      <c r="J205">
        <v>61.3</v>
      </c>
      <c r="K205">
        <v>846</v>
      </c>
      <c r="L205">
        <v>439</v>
      </c>
      <c r="M205">
        <v>1252</v>
      </c>
      <c r="N205">
        <v>5.6</v>
      </c>
      <c r="O205">
        <v>3.9</v>
      </c>
      <c r="P205">
        <v>7.2</v>
      </c>
      <c r="Q205">
        <f t="shared" si="4"/>
        <v>4934193</v>
      </c>
      <c r="R205">
        <f t="shared" si="5"/>
        <v>17.145660901387522</v>
      </c>
      <c r="U205">
        <v>1435</v>
      </c>
      <c r="V205">
        <v>662</v>
      </c>
      <c r="W205">
        <v>2208</v>
      </c>
      <c r="X205">
        <v>665</v>
      </c>
      <c r="Y205">
        <v>68.3</v>
      </c>
      <c r="Z205">
        <v>58.6</v>
      </c>
      <c r="AA205">
        <v>78.099999999999994</v>
      </c>
    </row>
    <row r="206" spans="1:27" x14ac:dyDescent="0.25">
      <c r="A206" t="s">
        <v>225</v>
      </c>
      <c r="B206" t="s">
        <v>195</v>
      </c>
      <c r="C206" s="76">
        <v>43942</v>
      </c>
      <c r="D206">
        <v>9072</v>
      </c>
      <c r="E206">
        <v>5067</v>
      </c>
      <c r="F206">
        <v>13077</v>
      </c>
      <c r="G206">
        <v>6055</v>
      </c>
      <c r="H206">
        <v>60</v>
      </c>
      <c r="I206">
        <v>53.7</v>
      </c>
      <c r="J206">
        <v>66.3</v>
      </c>
      <c r="K206">
        <v>816</v>
      </c>
      <c r="L206">
        <v>394</v>
      </c>
      <c r="M206">
        <v>1238</v>
      </c>
      <c r="N206">
        <v>5.4</v>
      </c>
      <c r="O206">
        <v>3.6</v>
      </c>
      <c r="P206">
        <v>7.2</v>
      </c>
      <c r="Q206">
        <f t="shared" si="4"/>
        <v>4934193</v>
      </c>
      <c r="R206">
        <f t="shared" si="5"/>
        <v>16.537658741763849</v>
      </c>
      <c r="U206">
        <v>1374</v>
      </c>
      <c r="V206">
        <v>654</v>
      </c>
      <c r="W206">
        <v>2093</v>
      </c>
      <c r="X206">
        <v>684</v>
      </c>
      <c r="Y206">
        <v>66.8</v>
      </c>
      <c r="Z206">
        <v>61</v>
      </c>
      <c r="AA206">
        <v>72.5</v>
      </c>
    </row>
    <row r="207" spans="1:27" x14ac:dyDescent="0.25">
      <c r="A207" t="s">
        <v>225</v>
      </c>
      <c r="B207" t="s">
        <v>195</v>
      </c>
      <c r="C207" s="76">
        <v>43943</v>
      </c>
      <c r="D207">
        <v>9313</v>
      </c>
      <c r="E207">
        <v>5227</v>
      </c>
      <c r="F207">
        <v>13399</v>
      </c>
      <c r="G207">
        <v>5985</v>
      </c>
      <c r="H207">
        <v>60.9</v>
      </c>
      <c r="I207">
        <v>54.7</v>
      </c>
      <c r="J207">
        <v>67.099999999999994</v>
      </c>
      <c r="K207">
        <v>831</v>
      </c>
      <c r="L207">
        <v>407</v>
      </c>
      <c r="M207">
        <v>1255</v>
      </c>
      <c r="N207">
        <v>5.4</v>
      </c>
      <c r="O207">
        <v>3.5</v>
      </c>
      <c r="P207">
        <v>7.3</v>
      </c>
      <c r="Q207">
        <f t="shared" si="4"/>
        <v>4934193</v>
      </c>
      <c r="R207">
        <f t="shared" si="5"/>
        <v>16.841659821575686</v>
      </c>
      <c r="U207">
        <v>1420</v>
      </c>
      <c r="V207">
        <v>625</v>
      </c>
      <c r="W207">
        <v>2215</v>
      </c>
      <c r="X207">
        <v>672</v>
      </c>
      <c r="Y207">
        <v>67.900000000000006</v>
      </c>
      <c r="Z207">
        <v>61.8</v>
      </c>
      <c r="AA207">
        <v>73.900000000000006</v>
      </c>
    </row>
    <row r="208" spans="1:27" x14ac:dyDescent="0.25">
      <c r="A208" t="s">
        <v>225</v>
      </c>
      <c r="B208" t="s">
        <v>195</v>
      </c>
      <c r="C208" s="76">
        <v>43944</v>
      </c>
      <c r="D208">
        <v>9325</v>
      </c>
      <c r="E208">
        <v>5197</v>
      </c>
      <c r="F208">
        <v>13453</v>
      </c>
      <c r="G208">
        <v>5932</v>
      </c>
      <c r="H208">
        <v>61.1</v>
      </c>
      <c r="I208">
        <v>54.7</v>
      </c>
      <c r="J208">
        <v>67.5</v>
      </c>
      <c r="K208">
        <v>828</v>
      </c>
      <c r="L208">
        <v>409</v>
      </c>
      <c r="M208">
        <v>1248</v>
      </c>
      <c r="N208">
        <v>5.4</v>
      </c>
      <c r="O208">
        <v>3.7</v>
      </c>
      <c r="P208">
        <v>7.2</v>
      </c>
      <c r="Q208">
        <f t="shared" si="4"/>
        <v>4934193</v>
      </c>
      <c r="R208">
        <f t="shared" si="5"/>
        <v>16.780859605613319</v>
      </c>
      <c r="U208">
        <v>1475</v>
      </c>
      <c r="V208">
        <v>641</v>
      </c>
      <c r="W208">
        <v>2309</v>
      </c>
      <c r="X208">
        <v>614</v>
      </c>
      <c r="Y208">
        <v>70.599999999999994</v>
      </c>
      <c r="Z208">
        <v>63.4</v>
      </c>
      <c r="AA208">
        <v>77.8</v>
      </c>
    </row>
    <row r="209" spans="1:27" x14ac:dyDescent="0.25">
      <c r="A209" t="s">
        <v>225</v>
      </c>
      <c r="B209" t="s">
        <v>195</v>
      </c>
      <c r="C209" s="76">
        <v>43945</v>
      </c>
      <c r="D209">
        <v>9339</v>
      </c>
      <c r="E209">
        <v>5189</v>
      </c>
      <c r="F209">
        <v>13489</v>
      </c>
      <c r="G209">
        <v>5919</v>
      </c>
      <c r="H209">
        <v>61.2</v>
      </c>
      <c r="I209">
        <v>55.1</v>
      </c>
      <c r="J209">
        <v>67.3</v>
      </c>
      <c r="K209">
        <v>809</v>
      </c>
      <c r="L209">
        <v>387</v>
      </c>
      <c r="M209">
        <v>1232</v>
      </c>
      <c r="N209">
        <v>5.3</v>
      </c>
      <c r="O209">
        <v>3.4</v>
      </c>
      <c r="P209">
        <v>7.2</v>
      </c>
      <c r="Q209">
        <f t="shared" si="4"/>
        <v>4934193</v>
      </c>
      <c r="R209">
        <f t="shared" si="5"/>
        <v>16.395791571184994</v>
      </c>
      <c r="U209">
        <v>1448</v>
      </c>
      <c r="V209">
        <v>626</v>
      </c>
      <c r="W209">
        <v>2271</v>
      </c>
      <c r="X209">
        <v>637</v>
      </c>
      <c r="Y209">
        <v>69.400000000000006</v>
      </c>
      <c r="Z209">
        <v>59</v>
      </c>
      <c r="AA209">
        <v>79.900000000000006</v>
      </c>
    </row>
    <row r="210" spans="1:27" x14ac:dyDescent="0.25">
      <c r="A210" t="s">
        <v>225</v>
      </c>
      <c r="B210" t="s">
        <v>195</v>
      </c>
      <c r="C210" s="76">
        <v>43946</v>
      </c>
      <c r="D210">
        <v>9149</v>
      </c>
      <c r="E210">
        <v>5018</v>
      </c>
      <c r="F210">
        <v>13280</v>
      </c>
      <c r="G210">
        <v>6047</v>
      </c>
      <c r="H210">
        <v>60.2</v>
      </c>
      <c r="I210">
        <v>53.9</v>
      </c>
      <c r="J210">
        <v>66.5</v>
      </c>
      <c r="K210">
        <v>832</v>
      </c>
      <c r="L210">
        <v>442</v>
      </c>
      <c r="M210">
        <v>1222</v>
      </c>
      <c r="N210">
        <v>5.5</v>
      </c>
      <c r="O210">
        <v>3.9</v>
      </c>
      <c r="P210">
        <v>7.1</v>
      </c>
      <c r="Q210">
        <f t="shared" si="4"/>
        <v>4934193</v>
      </c>
      <c r="R210">
        <f t="shared" si="5"/>
        <v>16.861926560229808</v>
      </c>
      <c r="U210">
        <v>1456</v>
      </c>
      <c r="V210">
        <v>626</v>
      </c>
      <c r="W210">
        <v>2287</v>
      </c>
      <c r="X210">
        <v>600</v>
      </c>
      <c r="Y210">
        <v>70.8</v>
      </c>
      <c r="Z210">
        <v>63.1</v>
      </c>
      <c r="AA210">
        <v>78.5</v>
      </c>
    </row>
    <row r="211" spans="1:27" x14ac:dyDescent="0.25">
      <c r="A211" t="s">
        <v>225</v>
      </c>
      <c r="B211" t="s">
        <v>195</v>
      </c>
      <c r="C211" s="76">
        <v>43947</v>
      </c>
      <c r="D211">
        <v>8697</v>
      </c>
      <c r="E211">
        <v>4802</v>
      </c>
      <c r="F211">
        <v>12591</v>
      </c>
      <c r="G211">
        <v>6378</v>
      </c>
      <c r="H211">
        <v>57.7</v>
      </c>
      <c r="I211">
        <v>50.8</v>
      </c>
      <c r="J211">
        <v>64.599999999999994</v>
      </c>
      <c r="K211">
        <v>811</v>
      </c>
      <c r="L211">
        <v>440</v>
      </c>
      <c r="M211">
        <v>1182</v>
      </c>
      <c r="N211">
        <v>5.4</v>
      </c>
      <c r="O211">
        <v>3.8</v>
      </c>
      <c r="P211">
        <v>6.9</v>
      </c>
      <c r="Q211">
        <f t="shared" si="4"/>
        <v>4934193</v>
      </c>
      <c r="R211">
        <f t="shared" si="5"/>
        <v>16.436325048493238</v>
      </c>
      <c r="U211">
        <v>1348</v>
      </c>
      <c r="V211">
        <v>577</v>
      </c>
      <c r="W211">
        <v>2118</v>
      </c>
      <c r="X211">
        <v>718</v>
      </c>
      <c r="Y211">
        <v>65.2</v>
      </c>
      <c r="Z211">
        <v>55.6</v>
      </c>
      <c r="AA211">
        <v>74.900000000000006</v>
      </c>
    </row>
    <row r="212" spans="1:27" x14ac:dyDescent="0.25">
      <c r="A212" t="s">
        <v>225</v>
      </c>
      <c r="B212" t="s">
        <v>195</v>
      </c>
      <c r="C212" s="76">
        <v>43948</v>
      </c>
      <c r="D212">
        <v>8703</v>
      </c>
      <c r="E212">
        <v>4878</v>
      </c>
      <c r="F212">
        <v>12529</v>
      </c>
      <c r="G212">
        <v>6301</v>
      </c>
      <c r="H212">
        <v>58</v>
      </c>
      <c r="I212">
        <v>51.1</v>
      </c>
      <c r="J212">
        <v>64.900000000000006</v>
      </c>
      <c r="K212">
        <v>954</v>
      </c>
      <c r="L212">
        <v>498</v>
      </c>
      <c r="M212">
        <v>1409</v>
      </c>
      <c r="N212">
        <v>6.4</v>
      </c>
      <c r="O212">
        <v>4.4000000000000004</v>
      </c>
      <c r="P212">
        <v>8.3000000000000007</v>
      </c>
      <c r="Q212">
        <f t="shared" si="4"/>
        <v>4934193</v>
      </c>
      <c r="R212">
        <f t="shared" si="5"/>
        <v>19.334468676032738</v>
      </c>
      <c r="U212">
        <v>1478</v>
      </c>
      <c r="V212">
        <v>628</v>
      </c>
      <c r="W212">
        <v>2328</v>
      </c>
      <c r="X212">
        <v>580</v>
      </c>
      <c r="Y212">
        <v>71.8</v>
      </c>
      <c r="Z212">
        <v>63</v>
      </c>
      <c r="AA212">
        <v>80.599999999999994</v>
      </c>
    </row>
    <row r="213" spans="1:27" x14ac:dyDescent="0.25">
      <c r="A213" t="s">
        <v>225</v>
      </c>
      <c r="B213" t="s">
        <v>195</v>
      </c>
      <c r="C213" s="76">
        <v>43949</v>
      </c>
      <c r="D213">
        <v>8814</v>
      </c>
      <c r="E213">
        <v>4969</v>
      </c>
      <c r="F213">
        <v>12659</v>
      </c>
      <c r="G213">
        <v>6199</v>
      </c>
      <c r="H213">
        <v>58.7</v>
      </c>
      <c r="I213">
        <v>52.3</v>
      </c>
      <c r="J213">
        <v>65.099999999999994</v>
      </c>
      <c r="K213">
        <v>863</v>
      </c>
      <c r="L213">
        <v>454</v>
      </c>
      <c r="M213">
        <v>1273</v>
      </c>
      <c r="N213">
        <v>5.8</v>
      </c>
      <c r="O213">
        <v>4</v>
      </c>
      <c r="P213">
        <v>7.5</v>
      </c>
      <c r="Q213">
        <f t="shared" si="4"/>
        <v>4934193</v>
      </c>
      <c r="R213">
        <f t="shared" si="5"/>
        <v>17.4901954585076</v>
      </c>
      <c r="U213">
        <v>1450</v>
      </c>
      <c r="V213">
        <v>671</v>
      </c>
      <c r="W213">
        <v>2230</v>
      </c>
      <c r="X213">
        <v>614</v>
      </c>
      <c r="Y213">
        <v>70.2</v>
      </c>
      <c r="Z213">
        <v>61.1</v>
      </c>
      <c r="AA213">
        <v>79.400000000000006</v>
      </c>
    </row>
    <row r="214" spans="1:27" x14ac:dyDescent="0.25">
      <c r="A214" t="s">
        <v>225</v>
      </c>
      <c r="B214" t="s">
        <v>195</v>
      </c>
      <c r="C214" s="76">
        <v>43950</v>
      </c>
      <c r="D214">
        <v>9246</v>
      </c>
      <c r="E214">
        <v>5171</v>
      </c>
      <c r="F214">
        <v>13321</v>
      </c>
      <c r="G214">
        <v>5985</v>
      </c>
      <c r="H214">
        <v>60.7</v>
      </c>
      <c r="I214">
        <v>53.9</v>
      </c>
      <c r="J214">
        <v>67.599999999999994</v>
      </c>
      <c r="K214">
        <v>952</v>
      </c>
      <c r="L214">
        <v>472</v>
      </c>
      <c r="M214">
        <v>1432</v>
      </c>
      <c r="N214">
        <v>6.3</v>
      </c>
      <c r="O214">
        <v>4.2</v>
      </c>
      <c r="P214">
        <v>8.3000000000000007</v>
      </c>
      <c r="Q214">
        <f t="shared" si="4"/>
        <v>4934193</v>
      </c>
      <c r="R214">
        <f t="shared" si="5"/>
        <v>19.293935198724494</v>
      </c>
      <c r="U214">
        <v>1477</v>
      </c>
      <c r="V214">
        <v>679</v>
      </c>
      <c r="W214">
        <v>2274</v>
      </c>
      <c r="X214">
        <v>601</v>
      </c>
      <c r="Y214">
        <v>71.099999999999994</v>
      </c>
      <c r="Z214">
        <v>61.8</v>
      </c>
      <c r="AA214">
        <v>80.400000000000006</v>
      </c>
    </row>
    <row r="215" spans="1:27" x14ac:dyDescent="0.25">
      <c r="A215" t="s">
        <v>225</v>
      </c>
      <c r="B215" t="s">
        <v>195</v>
      </c>
      <c r="C215" s="76">
        <v>43951</v>
      </c>
      <c r="D215">
        <v>9190</v>
      </c>
      <c r="E215">
        <v>4974</v>
      </c>
      <c r="F215">
        <v>13407</v>
      </c>
      <c r="G215">
        <v>5849</v>
      </c>
      <c r="H215">
        <v>61.1</v>
      </c>
      <c r="I215">
        <v>53.4</v>
      </c>
      <c r="J215">
        <v>68.8</v>
      </c>
      <c r="K215">
        <v>1032</v>
      </c>
      <c r="L215">
        <v>412</v>
      </c>
      <c r="M215">
        <v>1653</v>
      </c>
      <c r="N215">
        <v>6.9</v>
      </c>
      <c r="O215">
        <v>3.9</v>
      </c>
      <c r="P215">
        <v>9.9</v>
      </c>
      <c r="Q215">
        <f t="shared" si="4"/>
        <v>4934193</v>
      </c>
      <c r="R215">
        <f t="shared" si="5"/>
        <v>20.915274291054281</v>
      </c>
      <c r="U215">
        <v>1457</v>
      </c>
      <c r="V215">
        <v>649</v>
      </c>
      <c r="W215">
        <v>2265</v>
      </c>
      <c r="X215">
        <v>589</v>
      </c>
      <c r="Y215">
        <v>71.2</v>
      </c>
      <c r="Z215">
        <v>63.9</v>
      </c>
      <c r="AA215">
        <v>78.5</v>
      </c>
    </row>
    <row r="216" spans="1:27" x14ac:dyDescent="0.25">
      <c r="A216" t="s">
        <v>225</v>
      </c>
      <c r="B216" t="s">
        <v>195</v>
      </c>
      <c r="C216" s="76">
        <v>43952</v>
      </c>
      <c r="D216">
        <v>9175</v>
      </c>
      <c r="E216">
        <v>4936</v>
      </c>
      <c r="F216">
        <v>13414</v>
      </c>
      <c r="G216">
        <v>5922</v>
      </c>
      <c r="H216">
        <v>60.8</v>
      </c>
      <c r="I216">
        <v>53.2</v>
      </c>
      <c r="J216">
        <v>68.3</v>
      </c>
      <c r="K216">
        <v>1086</v>
      </c>
      <c r="L216">
        <v>448</v>
      </c>
      <c r="M216">
        <v>1725</v>
      </c>
      <c r="N216">
        <v>7.2</v>
      </c>
      <c r="O216">
        <v>4.0999999999999996</v>
      </c>
      <c r="P216">
        <v>10.3</v>
      </c>
      <c r="Q216">
        <f t="shared" si="4"/>
        <v>4934193</v>
      </c>
      <c r="R216">
        <f t="shared" si="5"/>
        <v>22.009678178376891</v>
      </c>
      <c r="U216">
        <v>1457</v>
      </c>
      <c r="V216">
        <v>636</v>
      </c>
      <c r="W216">
        <v>2277</v>
      </c>
      <c r="X216">
        <v>582</v>
      </c>
      <c r="Y216">
        <v>71.5</v>
      </c>
      <c r="Z216">
        <v>63.8</v>
      </c>
      <c r="AA216">
        <v>79.2</v>
      </c>
    </row>
    <row r="217" spans="1:27" x14ac:dyDescent="0.25">
      <c r="A217" t="s">
        <v>225</v>
      </c>
      <c r="B217" t="s">
        <v>195</v>
      </c>
      <c r="C217" s="76">
        <v>43953</v>
      </c>
      <c r="D217">
        <v>8744</v>
      </c>
      <c r="E217">
        <v>4627</v>
      </c>
      <c r="F217">
        <v>12862</v>
      </c>
      <c r="G217">
        <v>6265</v>
      </c>
      <c r="H217">
        <v>58.3</v>
      </c>
      <c r="I217">
        <v>49.7</v>
      </c>
      <c r="J217">
        <v>66.8</v>
      </c>
      <c r="K217">
        <v>1076</v>
      </c>
      <c r="L217">
        <v>456</v>
      </c>
      <c r="M217">
        <v>1696</v>
      </c>
      <c r="N217">
        <v>7.2</v>
      </c>
      <c r="O217">
        <v>4.2</v>
      </c>
      <c r="P217">
        <v>10.199999999999999</v>
      </c>
      <c r="Q217">
        <f t="shared" si="4"/>
        <v>4934193</v>
      </c>
      <c r="R217">
        <f t="shared" si="5"/>
        <v>21.807010791835665</v>
      </c>
      <c r="U217">
        <v>1413</v>
      </c>
      <c r="V217">
        <v>598</v>
      </c>
      <c r="W217">
        <v>2228</v>
      </c>
      <c r="X217">
        <v>625</v>
      </c>
      <c r="Y217">
        <v>69.3</v>
      </c>
      <c r="Z217">
        <v>58.6</v>
      </c>
      <c r="AA217">
        <v>80.099999999999994</v>
      </c>
    </row>
    <row r="218" spans="1:27" x14ac:dyDescent="0.25">
      <c r="A218" t="s">
        <v>225</v>
      </c>
      <c r="B218" t="s">
        <v>195</v>
      </c>
      <c r="C218" s="76">
        <v>43954</v>
      </c>
      <c r="D218">
        <v>8897</v>
      </c>
      <c r="E218">
        <v>4578</v>
      </c>
      <c r="F218">
        <v>13215</v>
      </c>
      <c r="G218">
        <v>6096</v>
      </c>
      <c r="H218">
        <v>59.3</v>
      </c>
      <c r="I218">
        <v>49.6</v>
      </c>
      <c r="J218">
        <v>69.099999999999994</v>
      </c>
      <c r="K218">
        <v>1099</v>
      </c>
      <c r="L218">
        <v>473</v>
      </c>
      <c r="M218">
        <v>1726</v>
      </c>
      <c r="N218">
        <v>7.3</v>
      </c>
      <c r="O218">
        <v>4.3</v>
      </c>
      <c r="P218">
        <v>10.4</v>
      </c>
      <c r="Q218">
        <f t="shared" si="4"/>
        <v>4934193</v>
      </c>
      <c r="R218">
        <f t="shared" si="5"/>
        <v>22.27314578088048</v>
      </c>
      <c r="U218">
        <v>1428</v>
      </c>
      <c r="V218">
        <v>625</v>
      </c>
      <c r="W218">
        <v>2232</v>
      </c>
      <c r="X218">
        <v>634</v>
      </c>
      <c r="Y218">
        <v>69.3</v>
      </c>
      <c r="Z218">
        <v>59.5</v>
      </c>
      <c r="AA218">
        <v>79.099999999999994</v>
      </c>
    </row>
    <row r="219" spans="1:27" x14ac:dyDescent="0.25">
      <c r="A219" t="s">
        <v>225</v>
      </c>
      <c r="B219" t="s">
        <v>195</v>
      </c>
      <c r="C219" s="76">
        <v>43955</v>
      </c>
      <c r="D219">
        <v>9163</v>
      </c>
      <c r="E219">
        <v>4982</v>
      </c>
      <c r="F219">
        <v>13344</v>
      </c>
      <c r="G219">
        <v>5993</v>
      </c>
      <c r="H219">
        <v>60.5</v>
      </c>
      <c r="I219">
        <v>52.8</v>
      </c>
      <c r="J219">
        <v>68.2</v>
      </c>
      <c r="K219">
        <v>1147</v>
      </c>
      <c r="L219">
        <v>463</v>
      </c>
      <c r="M219">
        <v>1832</v>
      </c>
      <c r="N219">
        <v>7.6</v>
      </c>
      <c r="O219">
        <v>4.2</v>
      </c>
      <c r="P219">
        <v>10.9</v>
      </c>
      <c r="Q219">
        <f t="shared" si="4"/>
        <v>4934193</v>
      </c>
      <c r="R219">
        <f t="shared" si="5"/>
        <v>23.245949236278353</v>
      </c>
      <c r="U219">
        <v>1471</v>
      </c>
      <c r="V219">
        <v>640</v>
      </c>
      <c r="W219">
        <v>2302</v>
      </c>
      <c r="X219">
        <v>582</v>
      </c>
      <c r="Y219">
        <v>71.7</v>
      </c>
      <c r="Z219">
        <v>61.3</v>
      </c>
      <c r="AA219">
        <v>82</v>
      </c>
    </row>
    <row r="220" spans="1:27" x14ac:dyDescent="0.25">
      <c r="A220" t="s">
        <v>225</v>
      </c>
      <c r="B220" t="s">
        <v>195</v>
      </c>
      <c r="C220" s="76">
        <v>43956</v>
      </c>
      <c r="D220">
        <v>9845</v>
      </c>
      <c r="E220">
        <v>5101</v>
      </c>
      <c r="F220">
        <v>14590</v>
      </c>
      <c r="G220">
        <v>5534</v>
      </c>
      <c r="H220">
        <v>64</v>
      </c>
      <c r="I220">
        <v>56.1</v>
      </c>
      <c r="J220">
        <v>72</v>
      </c>
      <c r="K220">
        <v>1113</v>
      </c>
      <c r="L220">
        <v>438</v>
      </c>
      <c r="M220">
        <v>1787</v>
      </c>
      <c r="N220">
        <v>7.2</v>
      </c>
      <c r="O220">
        <v>4</v>
      </c>
      <c r="P220">
        <v>10.5</v>
      </c>
      <c r="Q220">
        <f t="shared" si="4"/>
        <v>4934193</v>
      </c>
      <c r="R220">
        <f t="shared" si="5"/>
        <v>22.556880122038194</v>
      </c>
      <c r="U220">
        <v>1477</v>
      </c>
      <c r="V220">
        <v>582</v>
      </c>
      <c r="W220">
        <v>2373</v>
      </c>
      <c r="X220">
        <v>547</v>
      </c>
      <c r="Y220">
        <v>73</v>
      </c>
      <c r="Z220">
        <v>62.9</v>
      </c>
      <c r="AA220">
        <v>83.1</v>
      </c>
    </row>
    <row r="221" spans="1:27" x14ac:dyDescent="0.25">
      <c r="A221" t="s">
        <v>225</v>
      </c>
      <c r="B221" t="s">
        <v>195</v>
      </c>
      <c r="C221" s="76">
        <v>43957</v>
      </c>
      <c r="D221">
        <v>10071</v>
      </c>
      <c r="E221">
        <v>5176</v>
      </c>
      <c r="F221">
        <v>14965</v>
      </c>
      <c r="G221">
        <v>5311</v>
      </c>
      <c r="H221">
        <v>65.5</v>
      </c>
      <c r="I221">
        <v>56.8</v>
      </c>
      <c r="J221">
        <v>74.2</v>
      </c>
      <c r="K221">
        <v>1016</v>
      </c>
      <c r="L221">
        <v>471</v>
      </c>
      <c r="M221">
        <v>1561</v>
      </c>
      <c r="N221">
        <v>6.6</v>
      </c>
      <c r="O221">
        <v>4.2</v>
      </c>
      <c r="P221">
        <v>9</v>
      </c>
      <c r="Q221">
        <f t="shared" si="4"/>
        <v>4934193</v>
      </c>
      <c r="R221">
        <f t="shared" si="5"/>
        <v>20.591006472588326</v>
      </c>
      <c r="U221">
        <v>1502</v>
      </c>
      <c r="V221">
        <v>577</v>
      </c>
      <c r="W221">
        <v>2426</v>
      </c>
      <c r="X221">
        <v>550</v>
      </c>
      <c r="Y221">
        <v>73.2</v>
      </c>
      <c r="Z221">
        <v>65</v>
      </c>
      <c r="AA221">
        <v>81.400000000000006</v>
      </c>
    </row>
    <row r="222" spans="1:27" x14ac:dyDescent="0.25">
      <c r="A222" t="s">
        <v>225</v>
      </c>
      <c r="B222" t="s">
        <v>195</v>
      </c>
      <c r="C222" s="76">
        <v>43958</v>
      </c>
      <c r="D222">
        <v>10094</v>
      </c>
      <c r="E222">
        <v>5159</v>
      </c>
      <c r="F222">
        <v>15029</v>
      </c>
      <c r="G222">
        <v>5253</v>
      </c>
      <c r="H222">
        <v>65.8</v>
      </c>
      <c r="I222">
        <v>57.4</v>
      </c>
      <c r="J222">
        <v>74.2</v>
      </c>
      <c r="K222">
        <v>1019</v>
      </c>
      <c r="L222">
        <v>443</v>
      </c>
      <c r="M222">
        <v>1594</v>
      </c>
      <c r="N222">
        <v>6.6</v>
      </c>
      <c r="O222">
        <v>3.9</v>
      </c>
      <c r="P222">
        <v>9.4</v>
      </c>
      <c r="Q222">
        <f t="shared" si="4"/>
        <v>4934193</v>
      </c>
      <c r="R222">
        <f t="shared" si="5"/>
        <v>20.651806688550693</v>
      </c>
      <c r="U222">
        <v>1463</v>
      </c>
      <c r="V222">
        <v>534</v>
      </c>
      <c r="W222">
        <v>2393</v>
      </c>
      <c r="X222">
        <v>575</v>
      </c>
      <c r="Y222">
        <v>71.8</v>
      </c>
      <c r="Z222">
        <v>63.3</v>
      </c>
      <c r="AA222">
        <v>80.3</v>
      </c>
    </row>
    <row r="223" spans="1:27" x14ac:dyDescent="0.25">
      <c r="A223" t="s">
        <v>225</v>
      </c>
      <c r="B223" t="s">
        <v>195</v>
      </c>
      <c r="C223" s="76">
        <v>43959</v>
      </c>
      <c r="D223">
        <v>9963</v>
      </c>
      <c r="E223">
        <v>5199</v>
      </c>
      <c r="F223">
        <v>14728</v>
      </c>
      <c r="G223">
        <v>5395</v>
      </c>
      <c r="H223">
        <v>64.900000000000006</v>
      </c>
      <c r="I223">
        <v>56.4</v>
      </c>
      <c r="J223">
        <v>73.3</v>
      </c>
      <c r="K223">
        <v>938</v>
      </c>
      <c r="L223">
        <v>466</v>
      </c>
      <c r="M223">
        <v>1410</v>
      </c>
      <c r="N223">
        <v>6.1</v>
      </c>
      <c r="O223">
        <v>3.9</v>
      </c>
      <c r="P223">
        <v>8.3000000000000007</v>
      </c>
      <c r="Q223">
        <f t="shared" si="4"/>
        <v>4934193</v>
      </c>
      <c r="R223">
        <f t="shared" si="5"/>
        <v>19.01020085756678</v>
      </c>
      <c r="U223">
        <v>1489</v>
      </c>
      <c r="V223">
        <v>601</v>
      </c>
      <c r="W223">
        <v>2376</v>
      </c>
      <c r="X223">
        <v>569</v>
      </c>
      <c r="Y223">
        <v>72.400000000000006</v>
      </c>
      <c r="Z223">
        <v>63.7</v>
      </c>
      <c r="AA223">
        <v>81</v>
      </c>
    </row>
    <row r="224" spans="1:27" x14ac:dyDescent="0.25">
      <c r="A224" t="s">
        <v>225</v>
      </c>
      <c r="B224" t="s">
        <v>195</v>
      </c>
      <c r="C224" s="76">
        <v>43960</v>
      </c>
      <c r="D224">
        <v>8936</v>
      </c>
      <c r="E224">
        <v>4849</v>
      </c>
      <c r="F224">
        <v>13023</v>
      </c>
      <c r="G224">
        <v>6306</v>
      </c>
      <c r="H224">
        <v>58.6</v>
      </c>
      <c r="I224">
        <v>51.8</v>
      </c>
      <c r="J224">
        <v>65.400000000000006</v>
      </c>
      <c r="K224">
        <v>893</v>
      </c>
      <c r="L224">
        <v>410</v>
      </c>
      <c r="M224">
        <v>1375</v>
      </c>
      <c r="N224">
        <v>5.9</v>
      </c>
      <c r="O224">
        <v>3.6</v>
      </c>
      <c r="P224">
        <v>8.1</v>
      </c>
      <c r="Q224">
        <f t="shared" si="4"/>
        <v>4934193</v>
      </c>
      <c r="R224">
        <f t="shared" si="5"/>
        <v>18.098197618131273</v>
      </c>
      <c r="U224">
        <v>1481</v>
      </c>
      <c r="V224">
        <v>595</v>
      </c>
      <c r="W224">
        <v>2367</v>
      </c>
      <c r="X224">
        <v>579</v>
      </c>
      <c r="Y224">
        <v>71.900000000000006</v>
      </c>
      <c r="Z224">
        <v>62.7</v>
      </c>
      <c r="AA224">
        <v>81.099999999999994</v>
      </c>
    </row>
    <row r="225" spans="1:27" x14ac:dyDescent="0.25">
      <c r="A225" t="s">
        <v>225</v>
      </c>
      <c r="B225" t="s">
        <v>195</v>
      </c>
      <c r="C225" s="76">
        <v>43961</v>
      </c>
      <c r="D225">
        <v>9087</v>
      </c>
      <c r="E225">
        <v>4663</v>
      </c>
      <c r="F225">
        <v>13511</v>
      </c>
      <c r="G225">
        <v>6138</v>
      </c>
      <c r="H225">
        <v>59.7</v>
      </c>
      <c r="I225">
        <v>50.8</v>
      </c>
      <c r="J225">
        <v>68.599999999999994</v>
      </c>
      <c r="K225">
        <v>890</v>
      </c>
      <c r="L225">
        <v>395</v>
      </c>
      <c r="M225">
        <v>1385</v>
      </c>
      <c r="N225">
        <v>5.8</v>
      </c>
      <c r="O225">
        <v>3.6</v>
      </c>
      <c r="P225">
        <v>8.1</v>
      </c>
      <c r="Q225">
        <f t="shared" si="4"/>
        <v>4934193</v>
      </c>
      <c r="R225">
        <f t="shared" si="5"/>
        <v>18.037397402168907</v>
      </c>
      <c r="U225">
        <v>1437</v>
      </c>
      <c r="V225">
        <v>569</v>
      </c>
      <c r="W225">
        <v>2304</v>
      </c>
      <c r="X225">
        <v>622</v>
      </c>
      <c r="Y225">
        <v>69.8</v>
      </c>
      <c r="Z225">
        <v>60.2</v>
      </c>
      <c r="AA225">
        <v>79.400000000000006</v>
      </c>
    </row>
    <row r="226" spans="1:27" x14ac:dyDescent="0.25">
      <c r="A226" t="s">
        <v>225</v>
      </c>
      <c r="B226" t="s">
        <v>195</v>
      </c>
      <c r="C226" s="76">
        <v>43962</v>
      </c>
      <c r="D226">
        <v>9440</v>
      </c>
      <c r="E226">
        <v>4905</v>
      </c>
      <c r="F226">
        <v>13975</v>
      </c>
      <c r="G226">
        <v>5818</v>
      </c>
      <c r="H226">
        <v>61.9</v>
      </c>
      <c r="I226">
        <v>53.9</v>
      </c>
      <c r="J226">
        <v>69.8</v>
      </c>
      <c r="K226">
        <v>898</v>
      </c>
      <c r="L226">
        <v>426</v>
      </c>
      <c r="M226">
        <v>1370</v>
      </c>
      <c r="N226">
        <v>5.9</v>
      </c>
      <c r="O226">
        <v>3.6</v>
      </c>
      <c r="P226">
        <v>8.1999999999999993</v>
      </c>
      <c r="Q226">
        <f t="shared" si="4"/>
        <v>4934193</v>
      </c>
      <c r="R226">
        <f t="shared" si="5"/>
        <v>18.199531311401884</v>
      </c>
      <c r="U226">
        <v>1539</v>
      </c>
      <c r="V226">
        <v>619</v>
      </c>
      <c r="W226">
        <v>2459</v>
      </c>
      <c r="X226">
        <v>530</v>
      </c>
      <c r="Y226">
        <v>74.400000000000006</v>
      </c>
      <c r="Z226">
        <v>65.8</v>
      </c>
      <c r="AA226">
        <v>83</v>
      </c>
    </row>
    <row r="227" spans="1:27" x14ac:dyDescent="0.25">
      <c r="A227" t="s">
        <v>225</v>
      </c>
      <c r="B227" t="s">
        <v>195</v>
      </c>
      <c r="C227" s="76">
        <v>43963</v>
      </c>
      <c r="D227">
        <v>9848</v>
      </c>
      <c r="E227">
        <v>5210</v>
      </c>
      <c r="F227">
        <v>14486</v>
      </c>
      <c r="G227">
        <v>5416</v>
      </c>
      <c r="H227">
        <v>64.5</v>
      </c>
      <c r="I227">
        <v>57.5</v>
      </c>
      <c r="J227">
        <v>71.599999999999994</v>
      </c>
      <c r="K227">
        <v>958</v>
      </c>
      <c r="L227">
        <v>450</v>
      </c>
      <c r="M227">
        <v>1465</v>
      </c>
      <c r="N227">
        <v>6.3</v>
      </c>
      <c r="O227">
        <v>3.7</v>
      </c>
      <c r="P227">
        <v>8.9</v>
      </c>
      <c r="Q227">
        <f t="shared" si="4"/>
        <v>4934193</v>
      </c>
      <c r="R227">
        <f t="shared" si="5"/>
        <v>19.415535630649227</v>
      </c>
      <c r="U227">
        <v>1537</v>
      </c>
      <c r="V227">
        <v>622</v>
      </c>
      <c r="W227">
        <v>2453</v>
      </c>
      <c r="X227">
        <v>560</v>
      </c>
      <c r="Y227">
        <v>73.3</v>
      </c>
      <c r="Z227">
        <v>65.400000000000006</v>
      </c>
      <c r="AA227">
        <v>81.2</v>
      </c>
    </row>
    <row r="228" spans="1:27" x14ac:dyDescent="0.25">
      <c r="A228" t="s">
        <v>225</v>
      </c>
      <c r="B228" t="s">
        <v>195</v>
      </c>
      <c r="C228" s="76">
        <v>43964</v>
      </c>
      <c r="D228">
        <v>10154</v>
      </c>
      <c r="E228">
        <v>5308</v>
      </c>
      <c r="F228">
        <v>14999</v>
      </c>
      <c r="G228">
        <v>5131</v>
      </c>
      <c r="H228">
        <v>66.400000000000006</v>
      </c>
      <c r="I228">
        <v>59.1</v>
      </c>
      <c r="J228">
        <v>73.7</v>
      </c>
      <c r="K228">
        <v>937</v>
      </c>
      <c r="L228">
        <v>452</v>
      </c>
      <c r="M228">
        <v>1422</v>
      </c>
      <c r="N228">
        <v>6.1</v>
      </c>
      <c r="O228">
        <v>3.7</v>
      </c>
      <c r="P228">
        <v>8.5</v>
      </c>
      <c r="Q228">
        <f t="shared" si="4"/>
        <v>4934193</v>
      </c>
      <c r="R228">
        <f t="shared" si="5"/>
        <v>18.989934118912657</v>
      </c>
      <c r="U228">
        <v>1557</v>
      </c>
      <c r="V228">
        <v>655</v>
      </c>
      <c r="W228">
        <v>2458</v>
      </c>
      <c r="X228">
        <v>551</v>
      </c>
      <c r="Y228">
        <v>73.900000000000006</v>
      </c>
      <c r="Z228">
        <v>67.599999999999994</v>
      </c>
      <c r="AA228">
        <v>80.2</v>
      </c>
    </row>
    <row r="229" spans="1:27" x14ac:dyDescent="0.25">
      <c r="A229" t="s">
        <v>225</v>
      </c>
      <c r="B229" t="s">
        <v>195</v>
      </c>
      <c r="C229" s="76">
        <v>43965</v>
      </c>
      <c r="D229">
        <v>10120</v>
      </c>
      <c r="E229">
        <v>5190</v>
      </c>
      <c r="F229">
        <v>15049</v>
      </c>
      <c r="G229">
        <v>5217</v>
      </c>
      <c r="H229">
        <v>66</v>
      </c>
      <c r="I229">
        <v>58.4</v>
      </c>
      <c r="J229">
        <v>73.599999999999994</v>
      </c>
      <c r="K229">
        <v>943</v>
      </c>
      <c r="L229">
        <v>383</v>
      </c>
      <c r="M229">
        <v>1504</v>
      </c>
      <c r="N229">
        <v>6.2</v>
      </c>
      <c r="O229">
        <v>3.3</v>
      </c>
      <c r="P229">
        <v>9</v>
      </c>
      <c r="Q229">
        <f t="shared" si="4"/>
        <v>4934193</v>
      </c>
      <c r="R229">
        <f t="shared" si="5"/>
        <v>19.111534550837391</v>
      </c>
      <c r="U229">
        <v>1569</v>
      </c>
      <c r="V229">
        <v>627</v>
      </c>
      <c r="W229">
        <v>2510</v>
      </c>
      <c r="X229">
        <v>500</v>
      </c>
      <c r="Y229">
        <v>75.8</v>
      </c>
      <c r="Z229">
        <v>68.599999999999994</v>
      </c>
      <c r="AA229">
        <v>83.1</v>
      </c>
    </row>
    <row r="230" spans="1:27" x14ac:dyDescent="0.25">
      <c r="A230" t="s">
        <v>225</v>
      </c>
      <c r="B230" t="s">
        <v>195</v>
      </c>
      <c r="C230" s="76">
        <v>43966</v>
      </c>
      <c r="D230">
        <v>10027</v>
      </c>
      <c r="E230">
        <v>5075</v>
      </c>
      <c r="F230">
        <v>14980</v>
      </c>
      <c r="G230">
        <v>5324</v>
      </c>
      <c r="H230">
        <v>65.3</v>
      </c>
      <c r="I230">
        <v>57.1</v>
      </c>
      <c r="J230">
        <v>73.5</v>
      </c>
      <c r="K230">
        <v>959</v>
      </c>
      <c r="L230">
        <v>380</v>
      </c>
      <c r="M230">
        <v>1538</v>
      </c>
      <c r="N230">
        <v>6.2</v>
      </c>
      <c r="O230">
        <v>3.4</v>
      </c>
      <c r="P230">
        <v>9.1</v>
      </c>
      <c r="Q230">
        <f t="shared" si="4"/>
        <v>4934193</v>
      </c>
      <c r="R230">
        <f t="shared" si="5"/>
        <v>19.435802369303349</v>
      </c>
      <c r="U230">
        <v>1520</v>
      </c>
      <c r="V230">
        <v>613</v>
      </c>
      <c r="W230">
        <v>2427</v>
      </c>
      <c r="X230">
        <v>552</v>
      </c>
      <c r="Y230">
        <v>73.3</v>
      </c>
      <c r="Z230">
        <v>66.7</v>
      </c>
      <c r="AA230">
        <v>80</v>
      </c>
    </row>
    <row r="231" spans="1:27" x14ac:dyDescent="0.25">
      <c r="A231" t="s">
        <v>225</v>
      </c>
      <c r="B231" t="s">
        <v>195</v>
      </c>
      <c r="C231" s="76">
        <v>43967</v>
      </c>
      <c r="D231">
        <v>9537</v>
      </c>
      <c r="E231">
        <v>4871</v>
      </c>
      <c r="F231">
        <v>14204</v>
      </c>
      <c r="G231">
        <v>5769</v>
      </c>
      <c r="H231">
        <v>62.3</v>
      </c>
      <c r="I231">
        <v>55.5</v>
      </c>
      <c r="J231">
        <v>69.2</v>
      </c>
      <c r="K231">
        <v>886</v>
      </c>
      <c r="L231">
        <v>409</v>
      </c>
      <c r="M231">
        <v>1363</v>
      </c>
      <c r="N231">
        <v>5.8</v>
      </c>
      <c r="O231">
        <v>3.6</v>
      </c>
      <c r="P231">
        <v>8</v>
      </c>
      <c r="Q231">
        <f t="shared" ref="Q231:Q294" si="6">VLOOKUP(B231,$AE$4:$AF$55,2,FALSE)</f>
        <v>4934193</v>
      </c>
      <c r="R231">
        <f t="shared" si="5"/>
        <v>17.956330447552414</v>
      </c>
      <c r="U231">
        <v>1501</v>
      </c>
      <c r="V231">
        <v>585</v>
      </c>
      <c r="W231">
        <v>2417</v>
      </c>
      <c r="X231">
        <v>573</v>
      </c>
      <c r="Y231">
        <v>72.400000000000006</v>
      </c>
      <c r="Z231">
        <v>63.7</v>
      </c>
      <c r="AA231">
        <v>81.099999999999994</v>
      </c>
    </row>
    <row r="232" spans="1:27" x14ac:dyDescent="0.25">
      <c r="A232" t="s">
        <v>225</v>
      </c>
      <c r="B232" t="s">
        <v>195</v>
      </c>
      <c r="C232" s="76">
        <v>43968</v>
      </c>
      <c r="D232">
        <v>9147</v>
      </c>
      <c r="E232">
        <v>4640</v>
      </c>
      <c r="F232">
        <v>13654</v>
      </c>
      <c r="G232">
        <v>6034</v>
      </c>
      <c r="H232">
        <v>60.3</v>
      </c>
      <c r="I232">
        <v>52.9</v>
      </c>
      <c r="J232">
        <v>67.599999999999994</v>
      </c>
      <c r="K232">
        <v>960</v>
      </c>
      <c r="L232">
        <v>435</v>
      </c>
      <c r="M232">
        <v>1485</v>
      </c>
      <c r="N232">
        <v>6.3</v>
      </c>
      <c r="O232">
        <v>3.8</v>
      </c>
      <c r="P232">
        <v>8.8000000000000007</v>
      </c>
      <c r="Q232">
        <f t="shared" si="6"/>
        <v>4934193</v>
      </c>
      <c r="R232">
        <f t="shared" si="5"/>
        <v>19.456069107957472</v>
      </c>
      <c r="U232">
        <v>1375</v>
      </c>
      <c r="V232">
        <v>535</v>
      </c>
      <c r="W232">
        <v>2215</v>
      </c>
      <c r="X232">
        <v>673</v>
      </c>
      <c r="Y232">
        <v>67.099999999999994</v>
      </c>
      <c r="Z232">
        <v>60</v>
      </c>
      <c r="AA232">
        <v>74.3</v>
      </c>
    </row>
    <row r="233" spans="1:27" x14ac:dyDescent="0.25">
      <c r="A233" t="s">
        <v>225</v>
      </c>
      <c r="B233" t="s">
        <v>195</v>
      </c>
      <c r="C233" s="76">
        <v>43969</v>
      </c>
      <c r="D233">
        <v>9547</v>
      </c>
      <c r="E233">
        <v>4786</v>
      </c>
      <c r="F233">
        <v>14308</v>
      </c>
      <c r="G233">
        <v>5684</v>
      </c>
      <c r="H233">
        <v>62.7</v>
      </c>
      <c r="I233">
        <v>54.7</v>
      </c>
      <c r="J233">
        <v>70.599999999999994</v>
      </c>
      <c r="K233">
        <v>967</v>
      </c>
      <c r="L233">
        <v>426</v>
      </c>
      <c r="M233">
        <v>1507</v>
      </c>
      <c r="N233">
        <v>6.3</v>
      </c>
      <c r="O233">
        <v>3.7</v>
      </c>
      <c r="P233">
        <v>8.9</v>
      </c>
      <c r="Q233">
        <f t="shared" si="6"/>
        <v>4934193</v>
      </c>
      <c r="R233">
        <f t="shared" si="5"/>
        <v>19.597936278536331</v>
      </c>
      <c r="U233">
        <v>1425</v>
      </c>
      <c r="V233">
        <v>551</v>
      </c>
      <c r="W233">
        <v>2298</v>
      </c>
      <c r="X233">
        <v>616</v>
      </c>
      <c r="Y233">
        <v>69.8</v>
      </c>
      <c r="Z233">
        <v>61.9</v>
      </c>
      <c r="AA233">
        <v>77.7</v>
      </c>
    </row>
    <row r="234" spans="1:27" x14ac:dyDescent="0.25">
      <c r="A234" t="s">
        <v>225</v>
      </c>
      <c r="B234" t="s">
        <v>195</v>
      </c>
      <c r="C234" s="76">
        <v>43970</v>
      </c>
      <c r="D234">
        <v>9997</v>
      </c>
      <c r="E234">
        <v>4999</v>
      </c>
      <c r="F234">
        <v>14995</v>
      </c>
      <c r="G234">
        <v>5308</v>
      </c>
      <c r="H234">
        <v>65.3</v>
      </c>
      <c r="I234">
        <v>56.5</v>
      </c>
      <c r="J234">
        <v>74.2</v>
      </c>
      <c r="K234">
        <v>920</v>
      </c>
      <c r="L234">
        <v>442</v>
      </c>
      <c r="M234">
        <v>1397</v>
      </c>
      <c r="N234">
        <v>6</v>
      </c>
      <c r="O234">
        <v>3.8</v>
      </c>
      <c r="P234">
        <v>8.1999999999999993</v>
      </c>
      <c r="Q234">
        <f t="shared" si="6"/>
        <v>4934193</v>
      </c>
      <c r="R234">
        <f t="shared" si="5"/>
        <v>18.645399561792576</v>
      </c>
      <c r="U234">
        <v>1515</v>
      </c>
      <c r="V234">
        <v>559</v>
      </c>
      <c r="W234">
        <v>2472</v>
      </c>
      <c r="X234">
        <v>535</v>
      </c>
      <c r="Y234">
        <v>73.900000000000006</v>
      </c>
      <c r="Z234">
        <v>65</v>
      </c>
      <c r="AA234">
        <v>82.9</v>
      </c>
    </row>
    <row r="235" spans="1:27" x14ac:dyDescent="0.25">
      <c r="A235" t="s">
        <v>225</v>
      </c>
      <c r="B235" t="s">
        <v>195</v>
      </c>
      <c r="C235" s="76">
        <v>43971</v>
      </c>
      <c r="D235">
        <v>10304</v>
      </c>
      <c r="E235">
        <v>5129</v>
      </c>
      <c r="F235">
        <v>15479</v>
      </c>
      <c r="G235">
        <v>4992</v>
      </c>
      <c r="H235">
        <v>67.400000000000006</v>
      </c>
      <c r="I235">
        <v>58.6</v>
      </c>
      <c r="J235">
        <v>76.099999999999994</v>
      </c>
      <c r="K235">
        <v>907</v>
      </c>
      <c r="L235">
        <v>423</v>
      </c>
      <c r="M235">
        <v>1391</v>
      </c>
      <c r="N235">
        <v>5.9</v>
      </c>
      <c r="O235">
        <v>3.8</v>
      </c>
      <c r="P235">
        <v>8</v>
      </c>
      <c r="Q235">
        <f t="shared" si="6"/>
        <v>4934193</v>
      </c>
      <c r="R235">
        <f t="shared" si="5"/>
        <v>18.381931959288984</v>
      </c>
      <c r="U235">
        <v>1588</v>
      </c>
      <c r="V235">
        <v>613</v>
      </c>
      <c r="W235">
        <v>2563</v>
      </c>
      <c r="X235">
        <v>465</v>
      </c>
      <c r="Y235">
        <v>77.3</v>
      </c>
      <c r="Z235">
        <v>69.2</v>
      </c>
      <c r="AA235">
        <v>85.5</v>
      </c>
    </row>
    <row r="236" spans="1:27" x14ac:dyDescent="0.25">
      <c r="A236" t="s">
        <v>225</v>
      </c>
      <c r="B236" t="s">
        <v>195</v>
      </c>
      <c r="C236" s="76">
        <v>43972</v>
      </c>
      <c r="D236">
        <v>10589</v>
      </c>
      <c r="E236">
        <v>5323</v>
      </c>
      <c r="F236">
        <v>15854</v>
      </c>
      <c r="G236">
        <v>4693</v>
      </c>
      <c r="H236">
        <v>69.3</v>
      </c>
      <c r="I236">
        <v>60.2</v>
      </c>
      <c r="J236">
        <v>78.3</v>
      </c>
      <c r="K236">
        <v>1017</v>
      </c>
      <c r="L236">
        <v>477</v>
      </c>
      <c r="M236">
        <v>1557</v>
      </c>
      <c r="N236">
        <v>6.7</v>
      </c>
      <c r="O236">
        <v>4.2</v>
      </c>
      <c r="P236">
        <v>9.1</v>
      </c>
      <c r="Q236">
        <f t="shared" si="6"/>
        <v>4934193</v>
      </c>
      <c r="R236">
        <f t="shared" si="5"/>
        <v>20.611273211242448</v>
      </c>
      <c r="U236">
        <v>1572</v>
      </c>
      <c r="V236">
        <v>608</v>
      </c>
      <c r="W236">
        <v>2535</v>
      </c>
      <c r="X236">
        <v>476</v>
      </c>
      <c r="Y236">
        <v>76.8</v>
      </c>
      <c r="Z236">
        <v>69.400000000000006</v>
      </c>
      <c r="AA236">
        <v>84.2</v>
      </c>
    </row>
    <row r="237" spans="1:27" x14ac:dyDescent="0.25">
      <c r="A237" t="s">
        <v>225</v>
      </c>
      <c r="B237" t="s">
        <v>195</v>
      </c>
      <c r="C237" s="76">
        <v>43973</v>
      </c>
      <c r="D237">
        <v>10308</v>
      </c>
      <c r="E237">
        <v>5048</v>
      </c>
      <c r="F237">
        <v>15569</v>
      </c>
      <c r="G237">
        <v>4908</v>
      </c>
      <c r="H237">
        <v>67.7</v>
      </c>
      <c r="I237">
        <v>58.4</v>
      </c>
      <c r="J237">
        <v>77.099999999999994</v>
      </c>
      <c r="K237">
        <v>1002</v>
      </c>
      <c r="L237">
        <v>434</v>
      </c>
      <c r="M237">
        <v>1570</v>
      </c>
      <c r="N237">
        <v>6.6</v>
      </c>
      <c r="O237">
        <v>4</v>
      </c>
      <c r="P237">
        <v>9.1999999999999993</v>
      </c>
      <c r="Q237">
        <f t="shared" si="6"/>
        <v>4934193</v>
      </c>
      <c r="R237">
        <f t="shared" si="5"/>
        <v>20.307272131430611</v>
      </c>
      <c r="U237">
        <v>1485</v>
      </c>
      <c r="V237">
        <v>566</v>
      </c>
      <c r="W237">
        <v>2403</v>
      </c>
      <c r="X237">
        <v>539</v>
      </c>
      <c r="Y237">
        <v>73.400000000000006</v>
      </c>
      <c r="Z237">
        <v>66.3</v>
      </c>
      <c r="AA237">
        <v>80.5</v>
      </c>
    </row>
    <row r="238" spans="1:27" x14ac:dyDescent="0.25">
      <c r="A238" t="s">
        <v>225</v>
      </c>
      <c r="B238" t="s">
        <v>195</v>
      </c>
      <c r="C238" s="76">
        <v>43974</v>
      </c>
      <c r="D238">
        <v>9534</v>
      </c>
      <c r="E238">
        <v>4842</v>
      </c>
      <c r="F238">
        <v>14226</v>
      </c>
      <c r="G238">
        <v>5486</v>
      </c>
      <c r="H238">
        <v>63.5</v>
      </c>
      <c r="I238">
        <v>56.2</v>
      </c>
      <c r="J238">
        <v>70.7</v>
      </c>
      <c r="K238">
        <v>939</v>
      </c>
      <c r="L238">
        <v>481</v>
      </c>
      <c r="M238">
        <v>1397</v>
      </c>
      <c r="N238">
        <v>6.3</v>
      </c>
      <c r="O238">
        <v>4.0999999999999996</v>
      </c>
      <c r="P238">
        <v>8.4</v>
      </c>
      <c r="Q238">
        <f t="shared" si="6"/>
        <v>4934193</v>
      </c>
      <c r="R238">
        <f t="shared" si="5"/>
        <v>19.030467596220902</v>
      </c>
      <c r="U238">
        <v>1407</v>
      </c>
      <c r="V238">
        <v>560</v>
      </c>
      <c r="W238">
        <v>2255</v>
      </c>
      <c r="X238">
        <v>590</v>
      </c>
      <c r="Y238">
        <v>70.400000000000006</v>
      </c>
      <c r="Z238">
        <v>63.8</v>
      </c>
      <c r="AA238">
        <v>77.099999999999994</v>
      </c>
    </row>
    <row r="239" spans="1:27" x14ac:dyDescent="0.25">
      <c r="A239" t="s">
        <v>225</v>
      </c>
      <c r="B239" t="s">
        <v>195</v>
      </c>
      <c r="C239" s="76">
        <v>43975</v>
      </c>
      <c r="D239">
        <v>9607</v>
      </c>
      <c r="E239">
        <v>4895</v>
      </c>
      <c r="F239">
        <v>14319</v>
      </c>
      <c r="G239">
        <v>5594</v>
      </c>
      <c r="H239">
        <v>63.2</v>
      </c>
      <c r="I239">
        <v>56.7</v>
      </c>
      <c r="J239">
        <v>69.7</v>
      </c>
      <c r="K239">
        <v>1000</v>
      </c>
      <c r="L239">
        <v>482</v>
      </c>
      <c r="M239">
        <v>1518</v>
      </c>
      <c r="N239">
        <v>6.6</v>
      </c>
      <c r="O239">
        <v>4.0999999999999996</v>
      </c>
      <c r="P239">
        <v>9</v>
      </c>
      <c r="Q239">
        <f t="shared" si="6"/>
        <v>4934193</v>
      </c>
      <c r="R239">
        <f t="shared" si="5"/>
        <v>20.266738654122367</v>
      </c>
      <c r="U239">
        <v>1440</v>
      </c>
      <c r="V239">
        <v>517</v>
      </c>
      <c r="W239">
        <v>2362</v>
      </c>
      <c r="X239">
        <v>583</v>
      </c>
      <c r="Y239">
        <v>71.2</v>
      </c>
      <c r="Z239">
        <v>58.1</v>
      </c>
      <c r="AA239">
        <v>84.2</v>
      </c>
    </row>
    <row r="240" spans="1:27" x14ac:dyDescent="0.25">
      <c r="A240" t="s">
        <v>225</v>
      </c>
      <c r="B240" t="s">
        <v>195</v>
      </c>
      <c r="C240" s="76">
        <v>43976</v>
      </c>
      <c r="D240">
        <v>9542</v>
      </c>
      <c r="E240">
        <v>4861</v>
      </c>
      <c r="F240">
        <v>14223</v>
      </c>
      <c r="G240">
        <v>5420</v>
      </c>
      <c r="H240">
        <v>63.8</v>
      </c>
      <c r="I240">
        <v>56.7</v>
      </c>
      <c r="J240">
        <v>70.900000000000006</v>
      </c>
      <c r="K240">
        <v>1026</v>
      </c>
      <c r="L240">
        <v>446</v>
      </c>
      <c r="M240">
        <v>1605</v>
      </c>
      <c r="N240">
        <v>6.9</v>
      </c>
      <c r="O240">
        <v>3.8</v>
      </c>
      <c r="P240">
        <v>9.9</v>
      </c>
      <c r="Q240">
        <f t="shared" si="6"/>
        <v>4934193</v>
      </c>
      <c r="R240">
        <f t="shared" si="5"/>
        <v>20.793673859129548</v>
      </c>
      <c r="U240">
        <v>1451</v>
      </c>
      <c r="V240">
        <v>537</v>
      </c>
      <c r="W240">
        <v>2366</v>
      </c>
      <c r="X240">
        <v>535</v>
      </c>
      <c r="Y240">
        <v>73.099999999999994</v>
      </c>
      <c r="Z240">
        <v>66</v>
      </c>
      <c r="AA240">
        <v>80.2</v>
      </c>
    </row>
    <row r="241" spans="1:27" x14ac:dyDescent="0.25">
      <c r="A241" t="s">
        <v>225</v>
      </c>
      <c r="B241" t="s">
        <v>195</v>
      </c>
      <c r="C241" s="76">
        <v>43977</v>
      </c>
      <c r="D241">
        <v>9910</v>
      </c>
      <c r="E241">
        <v>5029</v>
      </c>
      <c r="F241">
        <v>14792</v>
      </c>
      <c r="G241">
        <v>5240</v>
      </c>
      <c r="H241">
        <v>65.400000000000006</v>
      </c>
      <c r="I241">
        <v>58</v>
      </c>
      <c r="J241">
        <v>72.8</v>
      </c>
      <c r="K241">
        <v>1057</v>
      </c>
      <c r="L241">
        <v>381</v>
      </c>
      <c r="M241">
        <v>1733</v>
      </c>
      <c r="N241">
        <v>7</v>
      </c>
      <c r="O241">
        <v>3.4</v>
      </c>
      <c r="P241">
        <v>10.5</v>
      </c>
      <c r="Q241">
        <f t="shared" si="6"/>
        <v>4934193</v>
      </c>
      <c r="R241">
        <f t="shared" si="5"/>
        <v>21.42194275740734</v>
      </c>
      <c r="U241">
        <v>1415</v>
      </c>
      <c r="V241">
        <v>524</v>
      </c>
      <c r="W241">
        <v>2307</v>
      </c>
      <c r="X241">
        <v>596</v>
      </c>
      <c r="Y241">
        <v>70.400000000000006</v>
      </c>
      <c r="Z241">
        <v>63.1</v>
      </c>
      <c r="AA241">
        <v>77.599999999999994</v>
      </c>
    </row>
    <row r="242" spans="1:27" x14ac:dyDescent="0.25">
      <c r="A242" t="s">
        <v>225</v>
      </c>
      <c r="B242" t="s">
        <v>195</v>
      </c>
      <c r="C242" s="76">
        <v>43978</v>
      </c>
      <c r="D242">
        <v>10285</v>
      </c>
      <c r="E242">
        <v>4824</v>
      </c>
      <c r="F242">
        <v>15746</v>
      </c>
      <c r="G242">
        <v>4463</v>
      </c>
      <c r="H242">
        <v>69.7</v>
      </c>
      <c r="I242">
        <v>60.5</v>
      </c>
      <c r="J242">
        <v>79</v>
      </c>
      <c r="K242">
        <v>1145</v>
      </c>
      <c r="L242">
        <v>538</v>
      </c>
      <c r="M242">
        <v>1752</v>
      </c>
      <c r="N242">
        <v>7.8</v>
      </c>
      <c r="O242">
        <v>5</v>
      </c>
      <c r="P242">
        <v>10.5</v>
      </c>
      <c r="Q242">
        <f t="shared" si="6"/>
        <v>4934193</v>
      </c>
      <c r="R242">
        <f t="shared" si="5"/>
        <v>23.205415758970108</v>
      </c>
      <c r="U242">
        <v>1422</v>
      </c>
      <c r="V242">
        <v>440</v>
      </c>
      <c r="W242">
        <v>2405</v>
      </c>
      <c r="X242">
        <v>510</v>
      </c>
      <c r="Y242">
        <v>73.599999999999994</v>
      </c>
      <c r="Z242">
        <v>62.7</v>
      </c>
      <c r="AA242">
        <v>84.5</v>
      </c>
    </row>
    <row r="243" spans="1:27" x14ac:dyDescent="0.25">
      <c r="A243" t="s">
        <v>225</v>
      </c>
      <c r="B243" t="s">
        <v>195</v>
      </c>
      <c r="C243" s="76">
        <v>43979</v>
      </c>
      <c r="D243">
        <v>9943</v>
      </c>
      <c r="E243">
        <v>4237</v>
      </c>
      <c r="F243">
        <v>15650</v>
      </c>
      <c r="G243">
        <v>4267</v>
      </c>
      <c r="H243">
        <v>70</v>
      </c>
      <c r="I243">
        <v>60.1</v>
      </c>
      <c r="J243">
        <v>79.900000000000006</v>
      </c>
      <c r="K243">
        <v>1126</v>
      </c>
      <c r="L243">
        <v>536</v>
      </c>
      <c r="M243">
        <v>1716</v>
      </c>
      <c r="N243">
        <v>7.9</v>
      </c>
      <c r="O243">
        <v>4.9000000000000004</v>
      </c>
      <c r="P243">
        <v>10.9</v>
      </c>
      <c r="Q243">
        <f t="shared" si="6"/>
        <v>4934193</v>
      </c>
      <c r="R243">
        <f t="shared" si="5"/>
        <v>22.820347724541783</v>
      </c>
      <c r="U243">
        <v>1384</v>
      </c>
      <c r="V243">
        <v>443</v>
      </c>
      <c r="W243">
        <v>2324</v>
      </c>
      <c r="X243">
        <v>507</v>
      </c>
      <c r="Y243">
        <v>73.2</v>
      </c>
      <c r="Z243">
        <v>61</v>
      </c>
      <c r="AA243">
        <v>85.3</v>
      </c>
    </row>
    <row r="244" spans="1:27" x14ac:dyDescent="0.25">
      <c r="A244" t="s">
        <v>225</v>
      </c>
      <c r="B244" t="s">
        <v>195</v>
      </c>
      <c r="C244" s="76">
        <v>43980</v>
      </c>
      <c r="D244">
        <v>10017</v>
      </c>
      <c r="E244">
        <v>4553</v>
      </c>
      <c r="F244">
        <v>15482</v>
      </c>
      <c r="G244">
        <v>4393</v>
      </c>
      <c r="H244">
        <v>69.5</v>
      </c>
      <c r="I244">
        <v>60.2</v>
      </c>
      <c r="J244">
        <v>78.8</v>
      </c>
      <c r="K244">
        <v>1043</v>
      </c>
      <c r="L244">
        <v>419</v>
      </c>
      <c r="M244">
        <v>1668</v>
      </c>
      <c r="N244">
        <v>7.2</v>
      </c>
      <c r="O244">
        <v>4.2</v>
      </c>
      <c r="P244">
        <v>10.3</v>
      </c>
      <c r="Q244">
        <f t="shared" si="6"/>
        <v>4934193</v>
      </c>
      <c r="R244">
        <f t="shared" si="5"/>
        <v>21.138208416249629</v>
      </c>
      <c r="U244">
        <v>1320</v>
      </c>
      <c r="V244">
        <v>395</v>
      </c>
      <c r="W244">
        <v>2245</v>
      </c>
      <c r="X244">
        <v>443</v>
      </c>
      <c r="Y244">
        <v>74.900000000000006</v>
      </c>
      <c r="Z244">
        <v>64.900000000000006</v>
      </c>
      <c r="AA244">
        <v>84.9</v>
      </c>
    </row>
    <row r="245" spans="1:27" x14ac:dyDescent="0.25">
      <c r="A245" t="s">
        <v>225</v>
      </c>
      <c r="B245" t="s">
        <v>195</v>
      </c>
      <c r="C245" s="76">
        <v>43981</v>
      </c>
      <c r="D245">
        <v>10167</v>
      </c>
      <c r="E245">
        <v>5166</v>
      </c>
      <c r="F245">
        <v>15167</v>
      </c>
      <c r="G245">
        <v>5101</v>
      </c>
      <c r="H245">
        <v>66.599999999999994</v>
      </c>
      <c r="I245">
        <v>59.4</v>
      </c>
      <c r="J245">
        <v>73.8</v>
      </c>
      <c r="K245">
        <v>987</v>
      </c>
      <c r="L245">
        <v>473</v>
      </c>
      <c r="M245">
        <v>1501</v>
      </c>
      <c r="N245">
        <v>6.5</v>
      </c>
      <c r="O245">
        <v>4.0999999999999996</v>
      </c>
      <c r="P245">
        <v>8.9</v>
      </c>
      <c r="Q245">
        <f t="shared" si="6"/>
        <v>4934193</v>
      </c>
      <c r="R245">
        <f t="shared" si="5"/>
        <v>20.003271051618775</v>
      </c>
      <c r="U245">
        <v>1498</v>
      </c>
      <c r="V245">
        <v>569</v>
      </c>
      <c r="W245">
        <v>2427</v>
      </c>
      <c r="X245">
        <v>544</v>
      </c>
      <c r="Y245">
        <v>73.3</v>
      </c>
      <c r="Z245">
        <v>64.5</v>
      </c>
      <c r="AA245">
        <v>82.2</v>
      </c>
    </row>
    <row r="246" spans="1:27" x14ac:dyDescent="0.25">
      <c r="A246" t="s">
        <v>225</v>
      </c>
      <c r="B246" t="s">
        <v>195</v>
      </c>
      <c r="C246" s="76">
        <v>43982</v>
      </c>
      <c r="D246">
        <v>9849</v>
      </c>
      <c r="E246">
        <v>4960</v>
      </c>
      <c r="F246">
        <v>14739</v>
      </c>
      <c r="G246">
        <v>5649</v>
      </c>
      <c r="H246">
        <v>63.6</v>
      </c>
      <c r="I246">
        <v>56.4</v>
      </c>
      <c r="J246">
        <v>70.7</v>
      </c>
      <c r="K246">
        <v>1018</v>
      </c>
      <c r="L246">
        <v>482</v>
      </c>
      <c r="M246">
        <v>1555</v>
      </c>
      <c r="N246">
        <v>6.6</v>
      </c>
      <c r="O246">
        <v>4.2</v>
      </c>
      <c r="P246">
        <v>8.9</v>
      </c>
      <c r="Q246">
        <f t="shared" si="6"/>
        <v>4934193</v>
      </c>
      <c r="R246">
        <f t="shared" si="5"/>
        <v>20.63153994989657</v>
      </c>
      <c r="U246">
        <v>1462</v>
      </c>
      <c r="V246">
        <v>538</v>
      </c>
      <c r="W246">
        <v>2386</v>
      </c>
      <c r="X246">
        <v>541</v>
      </c>
      <c r="Y246">
        <v>73</v>
      </c>
      <c r="Z246">
        <v>65</v>
      </c>
      <c r="AA246">
        <v>81</v>
      </c>
    </row>
    <row r="247" spans="1:27" x14ac:dyDescent="0.25">
      <c r="A247" t="s">
        <v>225</v>
      </c>
      <c r="B247" t="s">
        <v>195</v>
      </c>
      <c r="C247" s="76">
        <v>43983</v>
      </c>
      <c r="D247">
        <v>9843</v>
      </c>
      <c r="E247">
        <v>4938</v>
      </c>
      <c r="F247">
        <v>14747</v>
      </c>
      <c r="G247">
        <v>5521</v>
      </c>
      <c r="H247">
        <v>64.099999999999994</v>
      </c>
      <c r="I247">
        <v>55.8</v>
      </c>
      <c r="J247">
        <v>72.3</v>
      </c>
      <c r="K247">
        <v>1073</v>
      </c>
      <c r="L247">
        <v>495</v>
      </c>
      <c r="M247">
        <v>1651</v>
      </c>
      <c r="N247">
        <v>7</v>
      </c>
      <c r="O247">
        <v>4.3</v>
      </c>
      <c r="P247">
        <v>9.6999999999999993</v>
      </c>
      <c r="Q247">
        <f t="shared" si="6"/>
        <v>4934193</v>
      </c>
      <c r="R247">
        <f t="shared" si="5"/>
        <v>21.746210575873299</v>
      </c>
      <c r="U247">
        <v>1454</v>
      </c>
      <c r="V247">
        <v>500</v>
      </c>
      <c r="W247">
        <v>2409</v>
      </c>
      <c r="X247">
        <v>533</v>
      </c>
      <c r="Y247">
        <v>73.2</v>
      </c>
      <c r="Z247">
        <v>63.8</v>
      </c>
      <c r="AA247">
        <v>82.6</v>
      </c>
    </row>
    <row r="248" spans="1:27" x14ac:dyDescent="0.25">
      <c r="A248" t="s">
        <v>225</v>
      </c>
      <c r="B248" t="s">
        <v>195</v>
      </c>
      <c r="C248" s="76">
        <v>43984</v>
      </c>
      <c r="D248">
        <v>10500</v>
      </c>
      <c r="E248">
        <v>5307</v>
      </c>
      <c r="F248">
        <v>15694</v>
      </c>
      <c r="G248">
        <v>5036</v>
      </c>
      <c r="H248">
        <v>67.599999999999994</v>
      </c>
      <c r="I248">
        <v>59.6</v>
      </c>
      <c r="J248">
        <v>75.599999999999994</v>
      </c>
      <c r="K248">
        <v>1112</v>
      </c>
      <c r="L248">
        <v>516</v>
      </c>
      <c r="M248">
        <v>1708</v>
      </c>
      <c r="N248">
        <v>7.2</v>
      </c>
      <c r="O248">
        <v>4.4000000000000004</v>
      </c>
      <c r="P248">
        <v>9.9</v>
      </c>
      <c r="Q248">
        <f t="shared" si="6"/>
        <v>4934193</v>
      </c>
      <c r="R248">
        <f t="shared" si="5"/>
        <v>22.536613383384072</v>
      </c>
      <c r="U248">
        <v>1518</v>
      </c>
      <c r="V248">
        <v>571</v>
      </c>
      <c r="W248">
        <v>2465</v>
      </c>
      <c r="X248">
        <v>503</v>
      </c>
      <c r="Y248">
        <v>75.099999999999994</v>
      </c>
      <c r="Z248">
        <v>67.900000000000006</v>
      </c>
      <c r="AA248">
        <v>82.4</v>
      </c>
    </row>
    <row r="249" spans="1:27" x14ac:dyDescent="0.25">
      <c r="A249" t="s">
        <v>225</v>
      </c>
      <c r="B249" t="s">
        <v>195</v>
      </c>
      <c r="C249" s="76">
        <v>43985</v>
      </c>
      <c r="D249">
        <v>10841</v>
      </c>
      <c r="E249">
        <v>4997</v>
      </c>
      <c r="F249">
        <v>16684</v>
      </c>
      <c r="G249">
        <v>4586</v>
      </c>
      <c r="H249">
        <v>70.3</v>
      </c>
      <c r="I249">
        <v>61.9</v>
      </c>
      <c r="J249">
        <v>78.599999999999994</v>
      </c>
      <c r="K249">
        <v>1054</v>
      </c>
      <c r="L249">
        <v>441</v>
      </c>
      <c r="M249">
        <v>1667</v>
      </c>
      <c r="N249">
        <v>6.8</v>
      </c>
      <c r="O249">
        <v>4.0999999999999996</v>
      </c>
      <c r="P249">
        <v>9.6</v>
      </c>
      <c r="Q249">
        <f t="shared" si="6"/>
        <v>4934193</v>
      </c>
      <c r="R249">
        <f t="shared" si="5"/>
        <v>21.361142541444973</v>
      </c>
      <c r="U249">
        <v>1654</v>
      </c>
      <c r="V249">
        <v>552</v>
      </c>
      <c r="W249">
        <v>2757</v>
      </c>
      <c r="X249">
        <v>376</v>
      </c>
      <c r="Y249">
        <v>81.5</v>
      </c>
      <c r="Z249">
        <v>76.099999999999994</v>
      </c>
      <c r="AA249">
        <v>86.8</v>
      </c>
    </row>
    <row r="250" spans="1:27" x14ac:dyDescent="0.25">
      <c r="A250" t="s">
        <v>225</v>
      </c>
      <c r="B250" t="s">
        <v>195</v>
      </c>
      <c r="C250" s="76">
        <v>43986</v>
      </c>
      <c r="D250">
        <v>11215</v>
      </c>
      <c r="E250">
        <v>5569</v>
      </c>
      <c r="F250">
        <v>16862</v>
      </c>
      <c r="G250">
        <v>4369</v>
      </c>
      <c r="H250">
        <v>72</v>
      </c>
      <c r="I250">
        <v>63.8</v>
      </c>
      <c r="J250">
        <v>80.2</v>
      </c>
      <c r="K250">
        <v>957</v>
      </c>
      <c r="L250">
        <v>503</v>
      </c>
      <c r="M250">
        <v>1411</v>
      </c>
      <c r="N250">
        <v>6.1</v>
      </c>
      <c r="O250">
        <v>4.0999999999999996</v>
      </c>
      <c r="P250">
        <v>8.1999999999999993</v>
      </c>
      <c r="Q250">
        <f t="shared" si="6"/>
        <v>4934193</v>
      </c>
      <c r="R250">
        <f t="shared" si="5"/>
        <v>19.395268891995105</v>
      </c>
      <c r="U250">
        <v>1552</v>
      </c>
      <c r="V250">
        <v>584</v>
      </c>
      <c r="W250">
        <v>2519</v>
      </c>
      <c r="X250">
        <v>549</v>
      </c>
      <c r="Y250">
        <v>73.900000000000006</v>
      </c>
      <c r="Z250">
        <v>63.4</v>
      </c>
      <c r="AA250">
        <v>84.4</v>
      </c>
    </row>
    <row r="251" spans="1:27" x14ac:dyDescent="0.25">
      <c r="A251" t="s">
        <v>225</v>
      </c>
      <c r="B251" t="s">
        <v>195</v>
      </c>
      <c r="C251" s="76">
        <v>43987</v>
      </c>
      <c r="D251">
        <v>11041</v>
      </c>
      <c r="E251">
        <v>5517</v>
      </c>
      <c r="F251">
        <v>16564</v>
      </c>
      <c r="G251">
        <v>4883</v>
      </c>
      <c r="H251">
        <v>69.3</v>
      </c>
      <c r="I251">
        <v>60.8</v>
      </c>
      <c r="J251">
        <v>77.900000000000006</v>
      </c>
      <c r="K251">
        <v>915</v>
      </c>
      <c r="L251">
        <v>512</v>
      </c>
      <c r="M251">
        <v>1318</v>
      </c>
      <c r="N251">
        <v>5.7</v>
      </c>
      <c r="O251">
        <v>4.0999999999999996</v>
      </c>
      <c r="P251">
        <v>7.4</v>
      </c>
      <c r="Q251">
        <f t="shared" si="6"/>
        <v>4934193</v>
      </c>
      <c r="R251">
        <f t="shared" si="5"/>
        <v>18.544065868521965</v>
      </c>
      <c r="U251">
        <v>1726</v>
      </c>
      <c r="V251">
        <v>626</v>
      </c>
      <c r="W251">
        <v>2827</v>
      </c>
      <c r="X251">
        <v>557</v>
      </c>
      <c r="Y251">
        <v>75.599999999999994</v>
      </c>
      <c r="Z251">
        <v>69.3</v>
      </c>
      <c r="AA251">
        <v>81.900000000000006</v>
      </c>
    </row>
    <row r="252" spans="1:27" x14ac:dyDescent="0.25">
      <c r="A252" t="s">
        <v>225</v>
      </c>
      <c r="B252" t="s">
        <v>195</v>
      </c>
      <c r="C252" s="76">
        <v>43988</v>
      </c>
      <c r="D252">
        <v>10544</v>
      </c>
      <c r="E252">
        <v>5281</v>
      </c>
      <c r="F252">
        <v>15808</v>
      </c>
      <c r="G252">
        <v>5145</v>
      </c>
      <c r="H252">
        <v>67.2</v>
      </c>
      <c r="I252">
        <v>59.3</v>
      </c>
      <c r="J252">
        <v>75.2</v>
      </c>
      <c r="K252">
        <v>955</v>
      </c>
      <c r="L252">
        <v>524</v>
      </c>
      <c r="M252">
        <v>1386</v>
      </c>
      <c r="N252">
        <v>6.1</v>
      </c>
      <c r="O252">
        <v>4</v>
      </c>
      <c r="P252">
        <v>8.1999999999999993</v>
      </c>
      <c r="Q252">
        <f t="shared" si="6"/>
        <v>4934193</v>
      </c>
      <c r="R252">
        <f t="shared" si="5"/>
        <v>19.354735414686861</v>
      </c>
      <c r="U252">
        <v>1684</v>
      </c>
      <c r="V252">
        <v>594</v>
      </c>
      <c r="W252">
        <v>2775</v>
      </c>
      <c r="X252">
        <v>583</v>
      </c>
      <c r="Y252">
        <v>74.3</v>
      </c>
      <c r="Z252">
        <v>67.8</v>
      </c>
      <c r="AA252">
        <v>80.8</v>
      </c>
    </row>
    <row r="253" spans="1:27" x14ac:dyDescent="0.25">
      <c r="A253" t="s">
        <v>225</v>
      </c>
      <c r="B253" t="s">
        <v>195</v>
      </c>
      <c r="C253" s="76">
        <v>43989</v>
      </c>
      <c r="D253">
        <v>10435</v>
      </c>
      <c r="E253">
        <v>5345</v>
      </c>
      <c r="F253">
        <v>15526</v>
      </c>
      <c r="G253">
        <v>5186</v>
      </c>
      <c r="H253">
        <v>66.8</v>
      </c>
      <c r="I253">
        <v>59.2</v>
      </c>
      <c r="J253">
        <v>74.400000000000006</v>
      </c>
      <c r="K253">
        <v>932</v>
      </c>
      <c r="L253">
        <v>511</v>
      </c>
      <c r="M253">
        <v>1353</v>
      </c>
      <c r="N253">
        <v>6</v>
      </c>
      <c r="O253">
        <v>4</v>
      </c>
      <c r="P253">
        <v>7.9</v>
      </c>
      <c r="Q253">
        <f t="shared" si="6"/>
        <v>4934193</v>
      </c>
      <c r="R253">
        <f t="shared" si="5"/>
        <v>18.888600425642046</v>
      </c>
      <c r="U253">
        <v>1634</v>
      </c>
      <c r="V253">
        <v>595</v>
      </c>
      <c r="W253">
        <v>2674</v>
      </c>
      <c r="X253">
        <v>615</v>
      </c>
      <c r="Y253">
        <v>72.7</v>
      </c>
      <c r="Z253">
        <v>66.400000000000006</v>
      </c>
      <c r="AA253">
        <v>79</v>
      </c>
    </row>
    <row r="254" spans="1:27" x14ac:dyDescent="0.25">
      <c r="A254" t="s">
        <v>225</v>
      </c>
      <c r="B254" t="s">
        <v>195</v>
      </c>
      <c r="C254" s="76">
        <v>43990</v>
      </c>
      <c r="D254">
        <v>10217</v>
      </c>
      <c r="E254">
        <v>5163</v>
      </c>
      <c r="F254">
        <v>15270</v>
      </c>
      <c r="G254">
        <v>4844</v>
      </c>
      <c r="H254">
        <v>67.8</v>
      </c>
      <c r="I254">
        <v>60</v>
      </c>
      <c r="J254">
        <v>75.7</v>
      </c>
      <c r="K254">
        <v>996</v>
      </c>
      <c r="L254">
        <v>547</v>
      </c>
      <c r="M254">
        <v>1446</v>
      </c>
      <c r="N254">
        <v>6.6</v>
      </c>
      <c r="O254">
        <v>4.4000000000000004</v>
      </c>
      <c r="P254">
        <v>8.8000000000000007</v>
      </c>
      <c r="Q254">
        <f t="shared" si="6"/>
        <v>4934193</v>
      </c>
      <c r="R254">
        <f t="shared" si="5"/>
        <v>20.185671699505878</v>
      </c>
      <c r="U254">
        <v>1535</v>
      </c>
      <c r="V254">
        <v>523</v>
      </c>
      <c r="W254">
        <v>2547</v>
      </c>
      <c r="X254">
        <v>500</v>
      </c>
      <c r="Y254">
        <v>75.400000000000006</v>
      </c>
      <c r="Z254">
        <v>68.8</v>
      </c>
      <c r="AA254">
        <v>82.1</v>
      </c>
    </row>
    <row r="255" spans="1:27" x14ac:dyDescent="0.25">
      <c r="A255" t="s">
        <v>225</v>
      </c>
      <c r="B255" t="s">
        <v>195</v>
      </c>
      <c r="C255" s="76">
        <v>43991</v>
      </c>
      <c r="D255">
        <v>10764</v>
      </c>
      <c r="E255">
        <v>5432</v>
      </c>
      <c r="F255">
        <v>16096</v>
      </c>
      <c r="G255">
        <v>4320</v>
      </c>
      <c r="H255">
        <v>71.400000000000006</v>
      </c>
      <c r="I255">
        <v>64.099999999999994</v>
      </c>
      <c r="J255">
        <v>78.599999999999994</v>
      </c>
      <c r="K255">
        <v>1033</v>
      </c>
      <c r="L255">
        <v>578</v>
      </c>
      <c r="M255">
        <v>1488</v>
      </c>
      <c r="N255">
        <v>6.8</v>
      </c>
      <c r="O255">
        <v>4.5</v>
      </c>
      <c r="P255">
        <v>9.1999999999999993</v>
      </c>
      <c r="Q255">
        <f t="shared" si="6"/>
        <v>4934193</v>
      </c>
      <c r="R255">
        <f t="shared" si="5"/>
        <v>20.935541029708403</v>
      </c>
      <c r="U255">
        <v>1546</v>
      </c>
      <c r="V255">
        <v>503</v>
      </c>
      <c r="W255">
        <v>2589</v>
      </c>
      <c r="X255">
        <v>484</v>
      </c>
      <c r="Y255">
        <v>76.2</v>
      </c>
      <c r="Z255">
        <v>67.900000000000006</v>
      </c>
      <c r="AA255">
        <v>84.4</v>
      </c>
    </row>
    <row r="256" spans="1:27" x14ac:dyDescent="0.25">
      <c r="A256" t="s">
        <v>225</v>
      </c>
      <c r="B256" t="s">
        <v>195</v>
      </c>
      <c r="C256" s="76">
        <v>43992</v>
      </c>
      <c r="D256">
        <v>11157</v>
      </c>
      <c r="E256">
        <v>5406</v>
      </c>
      <c r="F256">
        <v>16907</v>
      </c>
      <c r="G256">
        <v>3974</v>
      </c>
      <c r="H256">
        <v>73.7</v>
      </c>
      <c r="I256">
        <v>66.3</v>
      </c>
      <c r="J256">
        <v>81.2</v>
      </c>
      <c r="K256">
        <v>1047</v>
      </c>
      <c r="L256">
        <v>521</v>
      </c>
      <c r="M256">
        <v>1573</v>
      </c>
      <c r="N256">
        <v>6.9</v>
      </c>
      <c r="O256">
        <v>4.4000000000000004</v>
      </c>
      <c r="P256">
        <v>9.5</v>
      </c>
      <c r="Q256">
        <f t="shared" si="6"/>
        <v>4934193</v>
      </c>
      <c r="R256">
        <f t="shared" si="5"/>
        <v>21.219275370866118</v>
      </c>
      <c r="U256">
        <v>1563</v>
      </c>
      <c r="V256">
        <v>467</v>
      </c>
      <c r="W256">
        <v>2658</v>
      </c>
      <c r="X256">
        <v>422</v>
      </c>
      <c r="Y256">
        <v>78.7</v>
      </c>
      <c r="Z256">
        <v>71.5</v>
      </c>
      <c r="AA256">
        <v>85.9</v>
      </c>
    </row>
    <row r="257" spans="1:27" x14ac:dyDescent="0.25">
      <c r="A257" t="s">
        <v>225</v>
      </c>
      <c r="B257" t="s">
        <v>195</v>
      </c>
      <c r="C257" s="76">
        <v>43993</v>
      </c>
      <c r="D257">
        <v>12205</v>
      </c>
      <c r="E257">
        <v>5715</v>
      </c>
      <c r="F257">
        <v>18696</v>
      </c>
      <c r="G257">
        <v>3959</v>
      </c>
      <c r="H257">
        <v>75.5</v>
      </c>
      <c r="I257">
        <v>68.3</v>
      </c>
      <c r="J257">
        <v>82.7</v>
      </c>
      <c r="K257">
        <v>1068</v>
      </c>
      <c r="L257">
        <v>564</v>
      </c>
      <c r="M257">
        <v>1573</v>
      </c>
      <c r="N257">
        <v>6.6</v>
      </c>
      <c r="O257">
        <v>4.4000000000000004</v>
      </c>
      <c r="P257">
        <v>8.8000000000000007</v>
      </c>
      <c r="Q257">
        <f t="shared" si="6"/>
        <v>4934193</v>
      </c>
      <c r="R257">
        <f t="shared" si="5"/>
        <v>21.644876882602688</v>
      </c>
      <c r="U257">
        <v>1874</v>
      </c>
      <c r="V257">
        <v>580</v>
      </c>
      <c r="W257">
        <v>3167</v>
      </c>
      <c r="X257">
        <v>517</v>
      </c>
      <c r="Y257">
        <v>78.400000000000006</v>
      </c>
      <c r="Z257">
        <v>70.2</v>
      </c>
      <c r="AA257">
        <v>86.5</v>
      </c>
    </row>
    <row r="258" spans="1:27" x14ac:dyDescent="0.25">
      <c r="A258" t="s">
        <v>225</v>
      </c>
      <c r="B258" t="s">
        <v>195</v>
      </c>
      <c r="C258" s="76">
        <v>43994</v>
      </c>
      <c r="D258">
        <v>11509</v>
      </c>
      <c r="E258">
        <v>5403</v>
      </c>
      <c r="F258">
        <v>17616</v>
      </c>
      <c r="G258">
        <v>4259</v>
      </c>
      <c r="H258">
        <v>73</v>
      </c>
      <c r="I258">
        <v>64.5</v>
      </c>
      <c r="J258">
        <v>81.5</v>
      </c>
      <c r="K258">
        <v>1050</v>
      </c>
      <c r="L258">
        <v>566</v>
      </c>
      <c r="M258">
        <v>1533</v>
      </c>
      <c r="N258">
        <v>6.7</v>
      </c>
      <c r="O258">
        <v>4.5</v>
      </c>
      <c r="P258">
        <v>8.8000000000000007</v>
      </c>
      <c r="Q258">
        <f t="shared" si="6"/>
        <v>4934193</v>
      </c>
      <c r="R258">
        <f t="shared" si="5"/>
        <v>21.280075586828485</v>
      </c>
      <c r="U258">
        <v>1741</v>
      </c>
      <c r="V258">
        <v>503</v>
      </c>
      <c r="W258">
        <v>2978</v>
      </c>
      <c r="X258">
        <v>502</v>
      </c>
      <c r="Y258">
        <v>77.599999999999994</v>
      </c>
      <c r="Z258">
        <v>69.099999999999994</v>
      </c>
      <c r="AA258">
        <v>86.2</v>
      </c>
    </row>
    <row r="259" spans="1:27" x14ac:dyDescent="0.25">
      <c r="A259" t="s">
        <v>225</v>
      </c>
      <c r="B259" t="s">
        <v>195</v>
      </c>
      <c r="C259" s="76">
        <v>43995</v>
      </c>
      <c r="D259">
        <v>10643</v>
      </c>
      <c r="E259">
        <v>5754</v>
      </c>
      <c r="F259">
        <v>15533</v>
      </c>
      <c r="G259">
        <v>4782</v>
      </c>
      <c r="H259">
        <v>69</v>
      </c>
      <c r="I259">
        <v>61.9</v>
      </c>
      <c r="J259">
        <v>76.099999999999994</v>
      </c>
      <c r="K259">
        <v>954</v>
      </c>
      <c r="L259">
        <v>514</v>
      </c>
      <c r="M259">
        <v>1394</v>
      </c>
      <c r="N259">
        <v>6.2</v>
      </c>
      <c r="O259">
        <v>4.0999999999999996</v>
      </c>
      <c r="P259">
        <v>8.3000000000000007</v>
      </c>
      <c r="Q259">
        <f t="shared" si="6"/>
        <v>4934193</v>
      </c>
      <c r="R259">
        <f t="shared" si="5"/>
        <v>19.334468676032738</v>
      </c>
      <c r="U259">
        <v>1743</v>
      </c>
      <c r="V259">
        <v>697</v>
      </c>
      <c r="W259">
        <v>2789</v>
      </c>
      <c r="X259">
        <v>587</v>
      </c>
      <c r="Y259">
        <v>74.8</v>
      </c>
      <c r="Z259">
        <v>63.6</v>
      </c>
      <c r="AA259">
        <v>86.1</v>
      </c>
    </row>
    <row r="260" spans="1:27" x14ac:dyDescent="0.25">
      <c r="A260" t="s">
        <v>225</v>
      </c>
      <c r="B260" t="s">
        <v>195</v>
      </c>
      <c r="C260" s="76">
        <v>43996</v>
      </c>
      <c r="D260">
        <v>9980</v>
      </c>
      <c r="E260">
        <v>5233</v>
      </c>
      <c r="F260">
        <v>14727</v>
      </c>
      <c r="G260">
        <v>4949</v>
      </c>
      <c r="H260">
        <v>66.900000000000006</v>
      </c>
      <c r="I260">
        <v>59.4</v>
      </c>
      <c r="J260">
        <v>74.3</v>
      </c>
      <c r="K260">
        <v>977</v>
      </c>
      <c r="L260">
        <v>535</v>
      </c>
      <c r="M260">
        <v>1419</v>
      </c>
      <c r="N260">
        <v>6.5</v>
      </c>
      <c r="O260">
        <v>4.4000000000000004</v>
      </c>
      <c r="P260">
        <v>8.6999999999999993</v>
      </c>
      <c r="Q260">
        <f t="shared" si="6"/>
        <v>4934193</v>
      </c>
      <c r="R260">
        <f t="shared" si="5"/>
        <v>19.800603665077553</v>
      </c>
      <c r="U260">
        <v>1528</v>
      </c>
      <c r="V260">
        <v>549</v>
      </c>
      <c r="W260">
        <v>2507</v>
      </c>
      <c r="X260">
        <v>505</v>
      </c>
      <c r="Y260">
        <v>75.099999999999994</v>
      </c>
      <c r="Z260">
        <v>64.8</v>
      </c>
      <c r="AA260">
        <v>85.5</v>
      </c>
    </row>
    <row r="261" spans="1:27" x14ac:dyDescent="0.25">
      <c r="A261" t="s">
        <v>225</v>
      </c>
      <c r="B261" t="s">
        <v>195</v>
      </c>
      <c r="C261" s="76">
        <v>43997</v>
      </c>
      <c r="D261">
        <v>10114</v>
      </c>
      <c r="E261">
        <v>5459</v>
      </c>
      <c r="F261">
        <v>14769</v>
      </c>
      <c r="G261">
        <v>4736</v>
      </c>
      <c r="H261">
        <v>68.099999999999994</v>
      </c>
      <c r="I261">
        <v>61.2</v>
      </c>
      <c r="J261">
        <v>75</v>
      </c>
      <c r="K261">
        <v>1117</v>
      </c>
      <c r="L261">
        <v>590</v>
      </c>
      <c r="M261">
        <v>1644</v>
      </c>
      <c r="N261">
        <v>7.5</v>
      </c>
      <c r="O261">
        <v>4.9000000000000004</v>
      </c>
      <c r="P261">
        <v>10.1</v>
      </c>
      <c r="Q261">
        <f t="shared" si="6"/>
        <v>4934193</v>
      </c>
      <c r="R261">
        <f t="shared" ref="R261:R324" si="7">K261/(Q261)*100000</f>
        <v>22.637947076654683</v>
      </c>
      <c r="U261">
        <v>1555</v>
      </c>
      <c r="V261">
        <v>611</v>
      </c>
      <c r="W261">
        <v>2499</v>
      </c>
      <c r="X261">
        <v>470</v>
      </c>
      <c r="Y261">
        <v>76.8</v>
      </c>
      <c r="Z261">
        <v>69</v>
      </c>
      <c r="AA261">
        <v>84.5</v>
      </c>
    </row>
    <row r="262" spans="1:27" x14ac:dyDescent="0.25">
      <c r="A262" t="s">
        <v>225</v>
      </c>
      <c r="B262" t="s">
        <v>195</v>
      </c>
      <c r="C262" s="76">
        <v>43998</v>
      </c>
      <c r="D262">
        <v>10709</v>
      </c>
      <c r="E262">
        <v>5727</v>
      </c>
      <c r="F262">
        <v>15692</v>
      </c>
      <c r="G262">
        <v>4042</v>
      </c>
      <c r="H262">
        <v>72.599999999999994</v>
      </c>
      <c r="I262">
        <v>65.7</v>
      </c>
      <c r="J262">
        <v>79.5</v>
      </c>
      <c r="K262">
        <v>1163</v>
      </c>
      <c r="L262">
        <v>585</v>
      </c>
      <c r="M262">
        <v>1740</v>
      </c>
      <c r="N262">
        <v>7.9</v>
      </c>
      <c r="O262">
        <v>5</v>
      </c>
      <c r="P262">
        <v>10.8</v>
      </c>
      <c r="Q262">
        <f t="shared" si="6"/>
        <v>4934193</v>
      </c>
      <c r="R262">
        <f t="shared" si="7"/>
        <v>23.570217054744312</v>
      </c>
      <c r="U262">
        <v>1509</v>
      </c>
      <c r="V262">
        <v>575</v>
      </c>
      <c r="W262">
        <v>2443</v>
      </c>
      <c r="X262">
        <v>424</v>
      </c>
      <c r="Y262">
        <v>78.099999999999994</v>
      </c>
      <c r="Z262">
        <v>69</v>
      </c>
      <c r="AA262">
        <v>87.2</v>
      </c>
    </row>
    <row r="263" spans="1:27" x14ac:dyDescent="0.25">
      <c r="A263" t="s">
        <v>225</v>
      </c>
      <c r="B263" t="s">
        <v>195</v>
      </c>
      <c r="C263" s="76">
        <v>43999</v>
      </c>
      <c r="D263">
        <v>9587</v>
      </c>
      <c r="E263">
        <v>4529</v>
      </c>
      <c r="F263">
        <v>14646</v>
      </c>
      <c r="G263">
        <v>3642</v>
      </c>
      <c r="H263">
        <v>72.5</v>
      </c>
      <c r="I263">
        <v>64.599999999999994</v>
      </c>
      <c r="J263">
        <v>80.400000000000006</v>
      </c>
      <c r="K263">
        <v>1070</v>
      </c>
      <c r="L263">
        <v>488</v>
      </c>
      <c r="M263">
        <v>1652</v>
      </c>
      <c r="N263">
        <v>8.1</v>
      </c>
      <c r="O263">
        <v>4.7</v>
      </c>
      <c r="P263">
        <v>11.5</v>
      </c>
      <c r="Q263">
        <f t="shared" si="6"/>
        <v>4934193</v>
      </c>
      <c r="R263">
        <f t="shared" si="7"/>
        <v>21.685410359910932</v>
      </c>
      <c r="U263">
        <v>1465</v>
      </c>
      <c r="V263">
        <v>559</v>
      </c>
      <c r="W263">
        <v>2372</v>
      </c>
      <c r="X263">
        <v>447</v>
      </c>
      <c r="Y263">
        <v>76.599999999999994</v>
      </c>
      <c r="Z263">
        <v>68.599999999999994</v>
      </c>
      <c r="AA263">
        <v>84.7</v>
      </c>
    </row>
    <row r="264" spans="1:27" x14ac:dyDescent="0.25">
      <c r="A264" t="s">
        <v>225</v>
      </c>
      <c r="B264" t="s">
        <v>195</v>
      </c>
      <c r="C264" s="76">
        <v>44000</v>
      </c>
      <c r="D264">
        <v>10294</v>
      </c>
      <c r="E264">
        <v>5248</v>
      </c>
      <c r="F264">
        <v>15340</v>
      </c>
      <c r="G264">
        <v>4076</v>
      </c>
      <c r="H264">
        <v>71.599999999999994</v>
      </c>
      <c r="I264">
        <v>63.3</v>
      </c>
      <c r="J264">
        <v>79.900000000000006</v>
      </c>
      <c r="K264">
        <v>1045</v>
      </c>
      <c r="L264">
        <v>496</v>
      </c>
      <c r="M264">
        <v>1593</v>
      </c>
      <c r="N264">
        <v>7.3</v>
      </c>
      <c r="O264">
        <v>4.7</v>
      </c>
      <c r="P264">
        <v>9.9</v>
      </c>
      <c r="Q264">
        <f t="shared" si="6"/>
        <v>4934193</v>
      </c>
      <c r="R264">
        <f t="shared" si="7"/>
        <v>21.178741893557874</v>
      </c>
      <c r="U264">
        <v>1416</v>
      </c>
      <c r="V264">
        <v>491</v>
      </c>
      <c r="W264">
        <v>2341</v>
      </c>
      <c r="X264">
        <v>488</v>
      </c>
      <c r="Y264">
        <v>74.400000000000006</v>
      </c>
      <c r="Z264">
        <v>64.2</v>
      </c>
      <c r="AA264">
        <v>84.5</v>
      </c>
    </row>
    <row r="265" spans="1:27" x14ac:dyDescent="0.25">
      <c r="A265" t="s">
        <v>225</v>
      </c>
      <c r="B265" t="s">
        <v>195</v>
      </c>
      <c r="C265" s="76">
        <v>44001</v>
      </c>
      <c r="D265">
        <v>10197</v>
      </c>
      <c r="E265">
        <v>5193</v>
      </c>
      <c r="F265">
        <v>15201</v>
      </c>
      <c r="G265">
        <v>4078</v>
      </c>
      <c r="H265">
        <v>71.400000000000006</v>
      </c>
      <c r="I265">
        <v>63.5</v>
      </c>
      <c r="J265">
        <v>79.400000000000006</v>
      </c>
      <c r="K265">
        <v>1102</v>
      </c>
      <c r="L265">
        <v>518</v>
      </c>
      <c r="M265">
        <v>1686</v>
      </c>
      <c r="N265">
        <v>7.7</v>
      </c>
      <c r="O265">
        <v>5</v>
      </c>
      <c r="P265">
        <v>10.4</v>
      </c>
      <c r="Q265">
        <f t="shared" si="6"/>
        <v>4934193</v>
      </c>
      <c r="R265">
        <f t="shared" si="7"/>
        <v>22.333945996842846</v>
      </c>
      <c r="U265">
        <v>1437</v>
      </c>
      <c r="V265">
        <v>506</v>
      </c>
      <c r="W265">
        <v>2368</v>
      </c>
      <c r="X265">
        <v>559</v>
      </c>
      <c r="Y265">
        <v>72</v>
      </c>
      <c r="Z265">
        <v>58.9</v>
      </c>
      <c r="AA265">
        <v>85.1</v>
      </c>
    </row>
    <row r="266" spans="1:27" x14ac:dyDescent="0.25">
      <c r="A266" t="s">
        <v>225</v>
      </c>
      <c r="B266" t="s">
        <v>195</v>
      </c>
      <c r="C266" s="76">
        <v>44002</v>
      </c>
      <c r="D266">
        <v>9616</v>
      </c>
      <c r="E266">
        <v>4786</v>
      </c>
      <c r="F266">
        <v>14447</v>
      </c>
      <c r="G266">
        <v>4635</v>
      </c>
      <c r="H266">
        <v>67.5</v>
      </c>
      <c r="I266">
        <v>58.1</v>
      </c>
      <c r="J266">
        <v>76.8</v>
      </c>
      <c r="K266">
        <v>1070</v>
      </c>
      <c r="L266">
        <v>549</v>
      </c>
      <c r="M266">
        <v>1592</v>
      </c>
      <c r="N266">
        <v>7.5</v>
      </c>
      <c r="O266">
        <v>5.0999999999999996</v>
      </c>
      <c r="P266">
        <v>9.9</v>
      </c>
      <c r="Q266">
        <f t="shared" si="6"/>
        <v>4934193</v>
      </c>
      <c r="R266">
        <f t="shared" si="7"/>
        <v>21.685410359910932</v>
      </c>
      <c r="U266">
        <v>1347</v>
      </c>
      <c r="V266">
        <v>453</v>
      </c>
      <c r="W266">
        <v>2240</v>
      </c>
      <c r="X266">
        <v>552</v>
      </c>
      <c r="Y266">
        <v>70.900000000000006</v>
      </c>
      <c r="Z266">
        <v>59.4</v>
      </c>
      <c r="AA266">
        <v>82.5</v>
      </c>
    </row>
    <row r="267" spans="1:27" x14ac:dyDescent="0.25">
      <c r="A267" t="s">
        <v>225</v>
      </c>
      <c r="B267" t="s">
        <v>195</v>
      </c>
      <c r="C267" s="76">
        <v>44003</v>
      </c>
      <c r="D267">
        <v>9328</v>
      </c>
      <c r="E267">
        <v>4673</v>
      </c>
      <c r="F267">
        <v>13982</v>
      </c>
      <c r="G267">
        <v>4874</v>
      </c>
      <c r="H267">
        <v>65.7</v>
      </c>
      <c r="I267">
        <v>56.8</v>
      </c>
      <c r="J267">
        <v>74.5</v>
      </c>
      <c r="K267">
        <v>1122</v>
      </c>
      <c r="L267">
        <v>594</v>
      </c>
      <c r="M267">
        <v>1651</v>
      </c>
      <c r="N267">
        <v>7.9</v>
      </c>
      <c r="O267">
        <v>5.5</v>
      </c>
      <c r="P267">
        <v>10.3</v>
      </c>
      <c r="Q267">
        <f t="shared" si="6"/>
        <v>4934193</v>
      </c>
      <c r="R267">
        <f t="shared" si="7"/>
        <v>22.739280769925294</v>
      </c>
      <c r="U267">
        <v>1328</v>
      </c>
      <c r="V267">
        <v>468</v>
      </c>
      <c r="W267">
        <v>2188</v>
      </c>
      <c r="X267">
        <v>572</v>
      </c>
      <c r="Y267">
        <v>69.900000000000006</v>
      </c>
      <c r="Z267">
        <v>59.3</v>
      </c>
      <c r="AA267">
        <v>80.5</v>
      </c>
    </row>
    <row r="268" spans="1:27" x14ac:dyDescent="0.25">
      <c r="A268" t="s">
        <v>225</v>
      </c>
      <c r="B268" t="s">
        <v>195</v>
      </c>
      <c r="C268" s="76">
        <v>44004</v>
      </c>
      <c r="D268">
        <v>10567</v>
      </c>
      <c r="E268">
        <v>5828</v>
      </c>
      <c r="F268">
        <v>15306</v>
      </c>
      <c r="G268">
        <v>4745</v>
      </c>
      <c r="H268">
        <v>69</v>
      </c>
      <c r="I268">
        <v>62.3</v>
      </c>
      <c r="J268">
        <v>75.7</v>
      </c>
      <c r="K268">
        <v>1120</v>
      </c>
      <c r="L268">
        <v>618</v>
      </c>
      <c r="M268">
        <v>1621</v>
      </c>
      <c r="N268">
        <v>7.3</v>
      </c>
      <c r="O268">
        <v>5</v>
      </c>
      <c r="P268">
        <v>9.6</v>
      </c>
      <c r="Q268">
        <f t="shared" si="6"/>
        <v>4934193</v>
      </c>
      <c r="R268">
        <f t="shared" si="7"/>
        <v>22.69874729261705</v>
      </c>
      <c r="U268">
        <v>1685</v>
      </c>
      <c r="V268">
        <v>770</v>
      </c>
      <c r="W268">
        <v>2601</v>
      </c>
      <c r="X268">
        <v>627</v>
      </c>
      <c r="Y268">
        <v>72.900000000000006</v>
      </c>
      <c r="Z268">
        <v>64.5</v>
      </c>
      <c r="AA268">
        <v>81.3</v>
      </c>
    </row>
    <row r="269" spans="1:27" x14ac:dyDescent="0.25">
      <c r="A269" t="s">
        <v>225</v>
      </c>
      <c r="B269" t="s">
        <v>195</v>
      </c>
      <c r="C269" s="76">
        <v>44005</v>
      </c>
      <c r="D269">
        <v>11182</v>
      </c>
      <c r="E269">
        <v>6163</v>
      </c>
      <c r="F269">
        <v>16202</v>
      </c>
      <c r="G269">
        <v>4147</v>
      </c>
      <c r="H269">
        <v>72.900000000000006</v>
      </c>
      <c r="I269">
        <v>66</v>
      </c>
      <c r="J269">
        <v>79.900000000000006</v>
      </c>
      <c r="K269">
        <v>1082</v>
      </c>
      <c r="L269">
        <v>605</v>
      </c>
      <c r="M269">
        <v>1559</v>
      </c>
      <c r="N269">
        <v>7.1</v>
      </c>
      <c r="O269">
        <v>4.9000000000000004</v>
      </c>
      <c r="P269">
        <v>9.1999999999999993</v>
      </c>
      <c r="Q269">
        <f t="shared" si="6"/>
        <v>4934193</v>
      </c>
      <c r="R269">
        <f t="shared" si="7"/>
        <v>21.928611223760399</v>
      </c>
      <c r="U269">
        <v>1771</v>
      </c>
      <c r="V269">
        <v>786</v>
      </c>
      <c r="W269">
        <v>2756</v>
      </c>
      <c r="X269">
        <v>539</v>
      </c>
      <c r="Y269">
        <v>76.7</v>
      </c>
      <c r="Z269">
        <v>69.5</v>
      </c>
      <c r="AA269">
        <v>83.9</v>
      </c>
    </row>
    <row r="270" spans="1:27" x14ac:dyDescent="0.25">
      <c r="A270" t="s">
        <v>225</v>
      </c>
      <c r="B270" t="s">
        <v>195</v>
      </c>
      <c r="C270" s="76">
        <v>44006</v>
      </c>
      <c r="D270">
        <v>11338</v>
      </c>
      <c r="E270">
        <v>6136</v>
      </c>
      <c r="F270">
        <v>16541</v>
      </c>
      <c r="G270">
        <v>3925</v>
      </c>
      <c r="H270">
        <v>74.3</v>
      </c>
      <c r="I270">
        <v>67.599999999999994</v>
      </c>
      <c r="J270">
        <v>80.900000000000006</v>
      </c>
      <c r="K270">
        <v>1085</v>
      </c>
      <c r="L270">
        <v>574</v>
      </c>
      <c r="M270">
        <v>1596</v>
      </c>
      <c r="N270">
        <v>7.1</v>
      </c>
      <c r="O270">
        <v>5.0999999999999996</v>
      </c>
      <c r="P270">
        <v>9.1</v>
      </c>
      <c r="Q270">
        <f t="shared" si="6"/>
        <v>4934193</v>
      </c>
      <c r="R270">
        <f t="shared" si="7"/>
        <v>21.989411439722769</v>
      </c>
      <c r="U270">
        <v>1844</v>
      </c>
      <c r="V270">
        <v>766</v>
      </c>
      <c r="W270">
        <v>2922</v>
      </c>
      <c r="X270">
        <v>448</v>
      </c>
      <c r="Y270">
        <v>80.400000000000006</v>
      </c>
      <c r="Z270">
        <v>74.3</v>
      </c>
      <c r="AA270">
        <v>86.6</v>
      </c>
    </row>
    <row r="271" spans="1:27" x14ac:dyDescent="0.25">
      <c r="A271" t="s">
        <v>225</v>
      </c>
      <c r="B271" t="s">
        <v>195</v>
      </c>
      <c r="C271" s="76">
        <v>44007</v>
      </c>
      <c r="D271">
        <v>10606</v>
      </c>
      <c r="E271">
        <v>5685</v>
      </c>
      <c r="F271">
        <v>15527</v>
      </c>
      <c r="G271">
        <v>3579</v>
      </c>
      <c r="H271">
        <v>74.8</v>
      </c>
      <c r="I271">
        <v>68.400000000000006</v>
      </c>
      <c r="J271">
        <v>81.2</v>
      </c>
      <c r="K271">
        <v>1094</v>
      </c>
      <c r="L271">
        <v>567</v>
      </c>
      <c r="M271">
        <v>1621</v>
      </c>
      <c r="N271">
        <v>7.7</v>
      </c>
      <c r="O271">
        <v>5.6</v>
      </c>
      <c r="P271">
        <v>9.9</v>
      </c>
      <c r="Q271">
        <f t="shared" si="6"/>
        <v>4934193</v>
      </c>
      <c r="R271">
        <f t="shared" si="7"/>
        <v>22.171812087609869</v>
      </c>
      <c r="U271">
        <v>1437</v>
      </c>
      <c r="V271">
        <v>528</v>
      </c>
      <c r="W271">
        <v>2345</v>
      </c>
      <c r="X271">
        <v>508</v>
      </c>
      <c r="Y271">
        <v>73.900000000000006</v>
      </c>
      <c r="Z271">
        <v>63.6</v>
      </c>
      <c r="AA271">
        <v>84.2</v>
      </c>
    </row>
    <row r="272" spans="1:27" x14ac:dyDescent="0.25">
      <c r="A272" t="s">
        <v>225</v>
      </c>
      <c r="B272" t="s">
        <v>195</v>
      </c>
      <c r="C272" s="76">
        <v>44008</v>
      </c>
      <c r="D272">
        <v>11006</v>
      </c>
      <c r="E272">
        <v>6055</v>
      </c>
      <c r="F272">
        <v>15958</v>
      </c>
      <c r="G272">
        <v>3907</v>
      </c>
      <c r="H272">
        <v>73.8</v>
      </c>
      <c r="I272">
        <v>67.599999999999994</v>
      </c>
      <c r="J272">
        <v>80</v>
      </c>
      <c r="K272">
        <v>1099</v>
      </c>
      <c r="L272">
        <v>567</v>
      </c>
      <c r="M272">
        <v>1630</v>
      </c>
      <c r="N272">
        <v>7.4</v>
      </c>
      <c r="O272">
        <v>5.0999999999999996</v>
      </c>
      <c r="P272">
        <v>9.6</v>
      </c>
      <c r="Q272">
        <f t="shared" si="6"/>
        <v>4934193</v>
      </c>
      <c r="R272">
        <f t="shared" si="7"/>
        <v>22.27314578088048</v>
      </c>
      <c r="U272">
        <v>1669</v>
      </c>
      <c r="V272">
        <v>633</v>
      </c>
      <c r="W272">
        <v>2705</v>
      </c>
      <c r="X272">
        <v>440</v>
      </c>
      <c r="Y272">
        <v>79.099999999999994</v>
      </c>
      <c r="Z272">
        <v>68.3</v>
      </c>
      <c r="AA272">
        <v>90</v>
      </c>
    </row>
    <row r="273" spans="1:27" x14ac:dyDescent="0.25">
      <c r="A273" t="s">
        <v>225</v>
      </c>
      <c r="B273" t="s">
        <v>195</v>
      </c>
      <c r="C273" s="76">
        <v>44009</v>
      </c>
      <c r="D273">
        <v>10661</v>
      </c>
      <c r="E273">
        <v>5712</v>
      </c>
      <c r="F273">
        <v>15611</v>
      </c>
      <c r="G273">
        <v>4153</v>
      </c>
      <c r="H273">
        <v>72</v>
      </c>
      <c r="I273">
        <v>64.2</v>
      </c>
      <c r="J273">
        <v>79.7</v>
      </c>
      <c r="K273">
        <v>1062</v>
      </c>
      <c r="L273">
        <v>560</v>
      </c>
      <c r="M273">
        <v>1564</v>
      </c>
      <c r="N273">
        <v>7.2</v>
      </c>
      <c r="O273">
        <v>5.2</v>
      </c>
      <c r="P273">
        <v>9.1999999999999993</v>
      </c>
      <c r="Q273">
        <f t="shared" si="6"/>
        <v>4934193</v>
      </c>
      <c r="R273">
        <f t="shared" si="7"/>
        <v>21.523276450677955</v>
      </c>
      <c r="U273">
        <v>1616</v>
      </c>
      <c r="V273">
        <v>659</v>
      </c>
      <c r="W273">
        <v>2572</v>
      </c>
      <c r="X273">
        <v>496</v>
      </c>
      <c r="Y273">
        <v>76.5</v>
      </c>
      <c r="Z273">
        <v>68</v>
      </c>
      <c r="AA273">
        <v>85</v>
      </c>
    </row>
    <row r="274" spans="1:27" x14ac:dyDescent="0.25">
      <c r="A274" t="s">
        <v>225</v>
      </c>
      <c r="B274" t="s">
        <v>195</v>
      </c>
      <c r="C274" s="76">
        <v>44010</v>
      </c>
      <c r="D274">
        <v>10495</v>
      </c>
      <c r="E274">
        <v>5209</v>
      </c>
      <c r="F274">
        <v>15781</v>
      </c>
      <c r="G274">
        <v>4496</v>
      </c>
      <c r="H274">
        <v>70</v>
      </c>
      <c r="I274">
        <v>61.4</v>
      </c>
      <c r="J274">
        <v>78.599999999999994</v>
      </c>
      <c r="K274">
        <v>1102</v>
      </c>
      <c r="L274">
        <v>570</v>
      </c>
      <c r="M274">
        <v>1634</v>
      </c>
      <c r="N274">
        <v>7.4</v>
      </c>
      <c r="O274">
        <v>5.3</v>
      </c>
      <c r="P274">
        <v>9.4</v>
      </c>
      <c r="Q274">
        <f t="shared" si="6"/>
        <v>4934193</v>
      </c>
      <c r="R274">
        <f t="shared" si="7"/>
        <v>22.333945996842846</v>
      </c>
      <c r="U274">
        <v>1597</v>
      </c>
      <c r="V274">
        <v>572</v>
      </c>
      <c r="W274">
        <v>2623</v>
      </c>
      <c r="X274">
        <v>499</v>
      </c>
      <c r="Y274">
        <v>76.2</v>
      </c>
      <c r="Z274">
        <v>68.400000000000006</v>
      </c>
      <c r="AA274">
        <v>84</v>
      </c>
    </row>
    <row r="275" spans="1:27" x14ac:dyDescent="0.25">
      <c r="A275" t="s">
        <v>225</v>
      </c>
      <c r="B275" t="s">
        <v>195</v>
      </c>
      <c r="C275" s="76">
        <v>44011</v>
      </c>
      <c r="D275">
        <v>9770</v>
      </c>
      <c r="E275">
        <v>4600</v>
      </c>
      <c r="F275">
        <v>14940</v>
      </c>
      <c r="G275">
        <v>4084</v>
      </c>
      <c r="H275">
        <v>70.5</v>
      </c>
      <c r="I275">
        <v>61.3</v>
      </c>
      <c r="J275">
        <v>79.8</v>
      </c>
      <c r="K275">
        <v>1123</v>
      </c>
      <c r="L275">
        <v>557</v>
      </c>
      <c r="M275">
        <v>1689</v>
      </c>
      <c r="N275">
        <v>8.1</v>
      </c>
      <c r="O275">
        <v>6</v>
      </c>
      <c r="P275">
        <v>10.199999999999999</v>
      </c>
      <c r="Q275">
        <f t="shared" si="6"/>
        <v>4934193</v>
      </c>
      <c r="R275">
        <f t="shared" si="7"/>
        <v>22.759547508579416</v>
      </c>
      <c r="U275">
        <v>1492</v>
      </c>
      <c r="V275">
        <v>509</v>
      </c>
      <c r="W275">
        <v>2476</v>
      </c>
      <c r="X275">
        <v>466</v>
      </c>
      <c r="Y275">
        <v>76.2</v>
      </c>
      <c r="Z275">
        <v>69.8</v>
      </c>
      <c r="AA275">
        <v>82.6</v>
      </c>
    </row>
    <row r="276" spans="1:27" x14ac:dyDescent="0.25">
      <c r="A276" t="s">
        <v>225</v>
      </c>
      <c r="B276" t="s">
        <v>195</v>
      </c>
      <c r="C276" s="76">
        <v>44012</v>
      </c>
      <c r="D276">
        <v>10462</v>
      </c>
      <c r="E276">
        <v>5037</v>
      </c>
      <c r="F276">
        <v>15887</v>
      </c>
      <c r="G276">
        <v>3388</v>
      </c>
      <c r="H276">
        <v>75.5</v>
      </c>
      <c r="I276">
        <v>67</v>
      </c>
      <c r="J276">
        <v>84.1</v>
      </c>
      <c r="K276">
        <v>1307</v>
      </c>
      <c r="L276">
        <v>649</v>
      </c>
      <c r="M276">
        <v>1965</v>
      </c>
      <c r="N276">
        <v>9.4</v>
      </c>
      <c r="O276">
        <v>6.7</v>
      </c>
      <c r="P276">
        <v>12.1</v>
      </c>
      <c r="Q276">
        <f t="shared" si="6"/>
        <v>4934193</v>
      </c>
      <c r="R276">
        <f t="shared" si="7"/>
        <v>26.488627420937931</v>
      </c>
      <c r="U276">
        <v>1507</v>
      </c>
      <c r="V276">
        <v>480</v>
      </c>
      <c r="W276">
        <v>2533</v>
      </c>
      <c r="X276">
        <v>431</v>
      </c>
      <c r="Y276">
        <v>77.7</v>
      </c>
      <c r="Z276">
        <v>68.400000000000006</v>
      </c>
      <c r="AA276">
        <v>87.1</v>
      </c>
    </row>
    <row r="277" spans="1:27" x14ac:dyDescent="0.25">
      <c r="A277" t="s">
        <v>225</v>
      </c>
      <c r="B277" t="s">
        <v>195</v>
      </c>
      <c r="C277" s="76">
        <v>44013</v>
      </c>
      <c r="D277">
        <v>10854</v>
      </c>
      <c r="E277">
        <v>4418</v>
      </c>
      <c r="F277">
        <v>17291</v>
      </c>
      <c r="G277">
        <v>3420</v>
      </c>
      <c r="H277">
        <v>76</v>
      </c>
      <c r="I277">
        <v>66.3</v>
      </c>
      <c r="J277">
        <v>85.8</v>
      </c>
      <c r="K277">
        <v>1152</v>
      </c>
      <c r="L277">
        <v>497</v>
      </c>
      <c r="M277">
        <v>1806</v>
      </c>
      <c r="N277">
        <v>8.1</v>
      </c>
      <c r="O277">
        <v>5.7</v>
      </c>
      <c r="P277">
        <v>10.4</v>
      </c>
      <c r="Q277">
        <f t="shared" si="6"/>
        <v>4934193</v>
      </c>
      <c r="R277">
        <f t="shared" si="7"/>
        <v>23.347282929548964</v>
      </c>
      <c r="U277">
        <v>1589</v>
      </c>
      <c r="V277">
        <v>339</v>
      </c>
      <c r="W277">
        <v>2839</v>
      </c>
      <c r="X277">
        <v>448</v>
      </c>
      <c r="Y277">
        <v>78</v>
      </c>
      <c r="Z277">
        <v>67.2</v>
      </c>
      <c r="AA277">
        <v>88.8</v>
      </c>
    </row>
    <row r="278" spans="1:27" x14ac:dyDescent="0.25">
      <c r="A278" t="s">
        <v>225</v>
      </c>
      <c r="B278" t="s">
        <v>195</v>
      </c>
      <c r="C278" s="76">
        <v>44014</v>
      </c>
      <c r="D278">
        <v>10759</v>
      </c>
      <c r="E278">
        <v>4221</v>
      </c>
      <c r="F278">
        <v>17297</v>
      </c>
      <c r="G278">
        <v>3707</v>
      </c>
      <c r="H278">
        <v>74.400000000000006</v>
      </c>
      <c r="I278">
        <v>64</v>
      </c>
      <c r="J278">
        <v>84.8</v>
      </c>
      <c r="K278">
        <v>1120</v>
      </c>
      <c r="L278">
        <v>495</v>
      </c>
      <c r="M278">
        <v>1746</v>
      </c>
      <c r="N278">
        <v>7.7</v>
      </c>
      <c r="O278">
        <v>5.9</v>
      </c>
      <c r="P278">
        <v>9.5</v>
      </c>
      <c r="Q278">
        <f t="shared" si="6"/>
        <v>4934193</v>
      </c>
      <c r="R278">
        <f t="shared" si="7"/>
        <v>22.69874729261705</v>
      </c>
      <c r="U278">
        <v>1588</v>
      </c>
      <c r="V278">
        <v>232</v>
      </c>
      <c r="W278">
        <v>2943</v>
      </c>
      <c r="X278">
        <v>419</v>
      </c>
      <c r="Y278">
        <v>79.099999999999994</v>
      </c>
      <c r="Z278">
        <v>67.5</v>
      </c>
      <c r="AA278">
        <v>90.8</v>
      </c>
    </row>
    <row r="279" spans="1:27" x14ac:dyDescent="0.25">
      <c r="A279" t="s">
        <v>225</v>
      </c>
      <c r="B279" t="s">
        <v>195</v>
      </c>
      <c r="C279" s="76">
        <v>44015</v>
      </c>
      <c r="D279">
        <v>9952</v>
      </c>
      <c r="E279">
        <v>4420</v>
      </c>
      <c r="F279">
        <v>15485</v>
      </c>
      <c r="G279">
        <v>4071</v>
      </c>
      <c r="H279">
        <v>71</v>
      </c>
      <c r="I279">
        <v>61.3</v>
      </c>
      <c r="J279">
        <v>80.7</v>
      </c>
      <c r="K279">
        <v>1179</v>
      </c>
      <c r="L279">
        <v>594</v>
      </c>
      <c r="M279">
        <v>1764</v>
      </c>
      <c r="N279">
        <v>8.4</v>
      </c>
      <c r="O279">
        <v>6.8</v>
      </c>
      <c r="P279">
        <v>10</v>
      </c>
      <c r="Q279">
        <f t="shared" si="6"/>
        <v>4934193</v>
      </c>
      <c r="R279">
        <f t="shared" si="7"/>
        <v>23.894484873210267</v>
      </c>
      <c r="U279">
        <v>1493</v>
      </c>
      <c r="V279">
        <v>425</v>
      </c>
      <c r="W279">
        <v>2560</v>
      </c>
      <c r="X279">
        <v>420</v>
      </c>
      <c r="Y279">
        <v>78.099999999999994</v>
      </c>
      <c r="Z279">
        <v>70.5</v>
      </c>
      <c r="AA279">
        <v>85.6</v>
      </c>
    </row>
    <row r="280" spans="1:27" x14ac:dyDescent="0.25">
      <c r="A280" t="s">
        <v>225</v>
      </c>
      <c r="B280" t="s">
        <v>195</v>
      </c>
      <c r="C280" s="76">
        <v>44016</v>
      </c>
      <c r="D280">
        <v>9208</v>
      </c>
      <c r="E280">
        <v>4060</v>
      </c>
      <c r="F280">
        <v>14356</v>
      </c>
      <c r="G280">
        <v>4748</v>
      </c>
      <c r="H280">
        <v>66</v>
      </c>
      <c r="I280">
        <v>56.1</v>
      </c>
      <c r="J280">
        <v>75.900000000000006</v>
      </c>
      <c r="K280">
        <v>1188</v>
      </c>
      <c r="L280">
        <v>597</v>
      </c>
      <c r="M280">
        <v>1780</v>
      </c>
      <c r="N280">
        <v>8.5</v>
      </c>
      <c r="O280">
        <v>6.6</v>
      </c>
      <c r="P280">
        <v>10.4</v>
      </c>
      <c r="Q280">
        <f t="shared" si="6"/>
        <v>4934193</v>
      </c>
      <c r="R280">
        <f t="shared" si="7"/>
        <v>24.07688552109737</v>
      </c>
      <c r="U280">
        <v>1428</v>
      </c>
      <c r="V280">
        <v>351</v>
      </c>
      <c r="W280">
        <v>2505</v>
      </c>
      <c r="X280">
        <v>484</v>
      </c>
      <c r="Y280">
        <v>74.7</v>
      </c>
      <c r="Z280">
        <v>65</v>
      </c>
      <c r="AA280">
        <v>84.4</v>
      </c>
    </row>
    <row r="281" spans="1:27" x14ac:dyDescent="0.25">
      <c r="A281" t="s">
        <v>225</v>
      </c>
      <c r="B281" t="s">
        <v>195</v>
      </c>
      <c r="C281" s="76">
        <v>44017</v>
      </c>
      <c r="D281">
        <v>9232</v>
      </c>
      <c r="E281">
        <v>4156</v>
      </c>
      <c r="F281">
        <v>14309</v>
      </c>
      <c r="G281">
        <v>4734</v>
      </c>
      <c r="H281">
        <v>66.099999999999994</v>
      </c>
      <c r="I281">
        <v>56.8</v>
      </c>
      <c r="J281">
        <v>75.400000000000006</v>
      </c>
      <c r="K281">
        <v>1329</v>
      </c>
      <c r="L281">
        <v>658</v>
      </c>
      <c r="M281">
        <v>2000</v>
      </c>
      <c r="N281">
        <v>9.5</v>
      </c>
      <c r="O281">
        <v>7.4</v>
      </c>
      <c r="P281">
        <v>11.6</v>
      </c>
      <c r="Q281">
        <f t="shared" si="6"/>
        <v>4934193</v>
      </c>
      <c r="R281">
        <f t="shared" si="7"/>
        <v>26.934495671328627</v>
      </c>
      <c r="U281">
        <v>1424</v>
      </c>
      <c r="V281">
        <v>407</v>
      </c>
      <c r="W281">
        <v>2441</v>
      </c>
      <c r="X281">
        <v>494</v>
      </c>
      <c r="Y281">
        <v>74.3</v>
      </c>
      <c r="Z281">
        <v>65.900000000000006</v>
      </c>
      <c r="AA281">
        <v>82.6</v>
      </c>
    </row>
    <row r="282" spans="1:27" x14ac:dyDescent="0.25">
      <c r="A282" t="s">
        <v>225</v>
      </c>
      <c r="B282" t="s">
        <v>195</v>
      </c>
      <c r="C282" s="76">
        <v>44018</v>
      </c>
      <c r="D282">
        <v>9661</v>
      </c>
      <c r="E282">
        <v>4408</v>
      </c>
      <c r="F282">
        <v>14914</v>
      </c>
      <c r="G282">
        <v>4337</v>
      </c>
      <c r="H282">
        <v>69</v>
      </c>
      <c r="I282">
        <v>59.8</v>
      </c>
      <c r="J282">
        <v>78.3</v>
      </c>
      <c r="K282">
        <v>1419</v>
      </c>
      <c r="L282">
        <v>709</v>
      </c>
      <c r="M282">
        <v>2129</v>
      </c>
      <c r="N282">
        <v>10.1</v>
      </c>
      <c r="O282">
        <v>7.7</v>
      </c>
      <c r="P282">
        <v>12.6</v>
      </c>
      <c r="Q282">
        <f t="shared" si="6"/>
        <v>4934193</v>
      </c>
      <c r="R282">
        <f t="shared" si="7"/>
        <v>28.758502150199639</v>
      </c>
      <c r="U282">
        <v>1445</v>
      </c>
      <c r="V282">
        <v>419</v>
      </c>
      <c r="W282">
        <v>2471</v>
      </c>
      <c r="X282">
        <v>473</v>
      </c>
      <c r="Y282">
        <v>75.3</v>
      </c>
      <c r="Z282">
        <v>67.7</v>
      </c>
      <c r="AA282">
        <v>83</v>
      </c>
    </row>
    <row r="283" spans="1:27" x14ac:dyDescent="0.25">
      <c r="A283" t="s">
        <v>225</v>
      </c>
      <c r="B283" t="s">
        <v>195</v>
      </c>
      <c r="C283" s="76">
        <v>44019</v>
      </c>
      <c r="D283">
        <v>10401</v>
      </c>
      <c r="E283">
        <v>4753</v>
      </c>
      <c r="F283">
        <v>16049</v>
      </c>
      <c r="G283">
        <v>3667</v>
      </c>
      <c r="H283">
        <v>73.900000000000006</v>
      </c>
      <c r="I283">
        <v>64.7</v>
      </c>
      <c r="J283">
        <v>83.2</v>
      </c>
      <c r="K283">
        <v>1470</v>
      </c>
      <c r="L283">
        <v>728</v>
      </c>
      <c r="M283">
        <v>2211</v>
      </c>
      <c r="N283">
        <v>10.4</v>
      </c>
      <c r="O283">
        <v>8</v>
      </c>
      <c r="P283">
        <v>12.9</v>
      </c>
      <c r="Q283">
        <f t="shared" si="6"/>
        <v>4934193</v>
      </c>
      <c r="R283">
        <f t="shared" si="7"/>
        <v>29.792105821559879</v>
      </c>
      <c r="U283">
        <v>1588</v>
      </c>
      <c r="V283">
        <v>411</v>
      </c>
      <c r="W283">
        <v>2765</v>
      </c>
      <c r="X283">
        <v>335</v>
      </c>
      <c r="Y283">
        <v>82.6</v>
      </c>
      <c r="Z283">
        <v>73.400000000000006</v>
      </c>
      <c r="AA283">
        <v>91.7</v>
      </c>
    </row>
    <row r="284" spans="1:27" x14ac:dyDescent="0.25">
      <c r="A284" t="s">
        <v>226</v>
      </c>
      <c r="B284" t="s">
        <v>205</v>
      </c>
      <c r="C284" s="76">
        <v>43922</v>
      </c>
      <c r="D284">
        <v>4885</v>
      </c>
      <c r="E284">
        <v>2126</v>
      </c>
      <c r="F284">
        <v>7643</v>
      </c>
      <c r="G284">
        <v>5114</v>
      </c>
      <c r="H284">
        <v>48.9</v>
      </c>
      <c r="I284">
        <v>42.4</v>
      </c>
      <c r="J284">
        <v>55.3</v>
      </c>
      <c r="K284">
        <v>354</v>
      </c>
      <c r="L284">
        <v>148</v>
      </c>
      <c r="M284">
        <v>560</v>
      </c>
      <c r="N284">
        <v>3.5</v>
      </c>
      <c r="O284">
        <v>2.4</v>
      </c>
      <c r="P284">
        <v>4.7</v>
      </c>
      <c r="Q284">
        <f t="shared" si="6"/>
        <v>3033946</v>
      </c>
      <c r="R284">
        <f t="shared" si="7"/>
        <v>11.6679729962234</v>
      </c>
      <c r="U284">
        <v>959</v>
      </c>
      <c r="V284">
        <v>201</v>
      </c>
      <c r="W284">
        <v>1717</v>
      </c>
      <c r="X284">
        <v>732</v>
      </c>
      <c r="Y284">
        <v>56.7</v>
      </c>
      <c r="Z284">
        <v>35.9</v>
      </c>
      <c r="AA284">
        <v>77.5</v>
      </c>
    </row>
    <row r="285" spans="1:27" x14ac:dyDescent="0.25">
      <c r="A285" t="s">
        <v>226</v>
      </c>
      <c r="B285" t="s">
        <v>205</v>
      </c>
      <c r="C285" s="76">
        <v>43923</v>
      </c>
      <c r="D285">
        <v>5435</v>
      </c>
      <c r="E285">
        <v>2297</v>
      </c>
      <c r="F285">
        <v>8573</v>
      </c>
      <c r="G285">
        <v>5858</v>
      </c>
      <c r="H285">
        <v>48.1</v>
      </c>
      <c r="I285">
        <v>43.1</v>
      </c>
      <c r="J285">
        <v>53.1</v>
      </c>
      <c r="K285">
        <v>331</v>
      </c>
      <c r="L285">
        <v>133</v>
      </c>
      <c r="M285">
        <v>530</v>
      </c>
      <c r="N285">
        <v>2.9</v>
      </c>
      <c r="O285">
        <v>1.6</v>
      </c>
      <c r="P285">
        <v>4.3</v>
      </c>
      <c r="Q285">
        <f t="shared" si="6"/>
        <v>3033946</v>
      </c>
      <c r="R285">
        <f t="shared" si="7"/>
        <v>10.909884355225834</v>
      </c>
      <c r="U285">
        <v>1271</v>
      </c>
      <c r="V285">
        <v>108</v>
      </c>
      <c r="W285">
        <v>2433</v>
      </c>
      <c r="X285">
        <v>1265</v>
      </c>
      <c r="Y285">
        <v>50.1</v>
      </c>
      <c r="Z285">
        <v>37</v>
      </c>
      <c r="AA285">
        <v>63.3</v>
      </c>
    </row>
    <row r="286" spans="1:27" x14ac:dyDescent="0.25">
      <c r="A286" t="s">
        <v>226</v>
      </c>
      <c r="B286" t="s">
        <v>205</v>
      </c>
      <c r="C286" s="76">
        <v>43924</v>
      </c>
      <c r="D286">
        <v>5069</v>
      </c>
      <c r="E286">
        <v>2209</v>
      </c>
      <c r="F286">
        <v>7929</v>
      </c>
      <c r="G286">
        <v>5812</v>
      </c>
      <c r="H286">
        <v>46.6</v>
      </c>
      <c r="I286">
        <v>41.4</v>
      </c>
      <c r="J286">
        <v>51.8</v>
      </c>
      <c r="K286">
        <v>321</v>
      </c>
      <c r="L286">
        <v>152</v>
      </c>
      <c r="M286">
        <v>491</v>
      </c>
      <c r="N286">
        <v>3</v>
      </c>
      <c r="O286">
        <v>1.6</v>
      </c>
      <c r="P286">
        <v>4.3</v>
      </c>
      <c r="Q286">
        <f t="shared" si="6"/>
        <v>3033946</v>
      </c>
      <c r="R286">
        <f t="shared" si="7"/>
        <v>10.580280598270372</v>
      </c>
      <c r="U286">
        <v>1215</v>
      </c>
      <c r="V286">
        <v>118</v>
      </c>
      <c r="W286">
        <v>2313</v>
      </c>
      <c r="X286">
        <v>1232</v>
      </c>
      <c r="Y286">
        <v>49.7</v>
      </c>
      <c r="Z286">
        <v>37.799999999999997</v>
      </c>
      <c r="AA286">
        <v>61.5</v>
      </c>
    </row>
    <row r="287" spans="1:27" x14ac:dyDescent="0.25">
      <c r="A287" t="s">
        <v>226</v>
      </c>
      <c r="B287" t="s">
        <v>205</v>
      </c>
      <c r="C287" s="76">
        <v>43925</v>
      </c>
      <c r="D287">
        <v>4807</v>
      </c>
      <c r="E287">
        <v>2033</v>
      </c>
      <c r="F287">
        <v>7582</v>
      </c>
      <c r="G287">
        <v>6072</v>
      </c>
      <c r="H287">
        <v>44.2</v>
      </c>
      <c r="I287">
        <v>38.799999999999997</v>
      </c>
      <c r="J287">
        <v>49.6</v>
      </c>
      <c r="K287">
        <v>345</v>
      </c>
      <c r="L287">
        <v>158</v>
      </c>
      <c r="M287">
        <v>532</v>
      </c>
      <c r="N287">
        <v>3.2</v>
      </c>
      <c r="O287">
        <v>1.9</v>
      </c>
      <c r="P287">
        <v>4.4000000000000004</v>
      </c>
      <c r="Q287">
        <f t="shared" si="6"/>
        <v>3033946</v>
      </c>
      <c r="R287">
        <f t="shared" si="7"/>
        <v>11.371329614963484</v>
      </c>
      <c r="U287">
        <v>1203</v>
      </c>
      <c r="V287">
        <v>127</v>
      </c>
      <c r="W287">
        <v>2278</v>
      </c>
      <c r="X287">
        <v>1238</v>
      </c>
      <c r="Y287">
        <v>49.3</v>
      </c>
      <c r="Z287">
        <v>37.9</v>
      </c>
      <c r="AA287">
        <v>60.7</v>
      </c>
    </row>
    <row r="288" spans="1:27" x14ac:dyDescent="0.25">
      <c r="A288" t="s">
        <v>226</v>
      </c>
      <c r="B288" t="s">
        <v>205</v>
      </c>
      <c r="C288" s="76">
        <v>43926</v>
      </c>
      <c r="D288">
        <v>4765</v>
      </c>
      <c r="E288">
        <v>1991</v>
      </c>
      <c r="F288">
        <v>7539</v>
      </c>
      <c r="G288">
        <v>6090</v>
      </c>
      <c r="H288">
        <v>43.9</v>
      </c>
      <c r="I288">
        <v>38.6</v>
      </c>
      <c r="J288">
        <v>49.2</v>
      </c>
      <c r="K288">
        <v>382</v>
      </c>
      <c r="L288">
        <v>159</v>
      </c>
      <c r="M288">
        <v>605</v>
      </c>
      <c r="N288">
        <v>3.5</v>
      </c>
      <c r="O288">
        <v>2.1</v>
      </c>
      <c r="P288">
        <v>5</v>
      </c>
      <c r="Q288">
        <f t="shared" si="6"/>
        <v>3033946</v>
      </c>
      <c r="R288">
        <f t="shared" si="7"/>
        <v>12.590863515698697</v>
      </c>
      <c r="U288">
        <v>1190</v>
      </c>
      <c r="V288">
        <v>140</v>
      </c>
      <c r="W288">
        <v>2241</v>
      </c>
      <c r="X288">
        <v>1256</v>
      </c>
      <c r="Y288">
        <v>48.7</v>
      </c>
      <c r="Z288">
        <v>38</v>
      </c>
      <c r="AA288">
        <v>59.4</v>
      </c>
    </row>
    <row r="289" spans="1:27" x14ac:dyDescent="0.25">
      <c r="A289" t="s">
        <v>226</v>
      </c>
      <c r="B289" t="s">
        <v>205</v>
      </c>
      <c r="C289" s="76">
        <v>43927</v>
      </c>
      <c r="D289">
        <v>4103</v>
      </c>
      <c r="E289">
        <v>1808</v>
      </c>
      <c r="F289">
        <v>6398</v>
      </c>
      <c r="G289">
        <v>5155</v>
      </c>
      <c r="H289">
        <v>44.3</v>
      </c>
      <c r="I289">
        <v>37.5</v>
      </c>
      <c r="J289">
        <v>51.1</v>
      </c>
      <c r="K289">
        <v>318</v>
      </c>
      <c r="L289">
        <v>126</v>
      </c>
      <c r="M289">
        <v>511</v>
      </c>
      <c r="N289">
        <v>3.4</v>
      </c>
      <c r="O289">
        <v>2.4</v>
      </c>
      <c r="P289">
        <v>4.5</v>
      </c>
      <c r="Q289">
        <f t="shared" si="6"/>
        <v>3033946</v>
      </c>
      <c r="R289">
        <f t="shared" si="7"/>
        <v>10.481399471183733</v>
      </c>
      <c r="U289">
        <v>749</v>
      </c>
      <c r="V289">
        <v>250</v>
      </c>
      <c r="W289">
        <v>1248</v>
      </c>
      <c r="X289">
        <v>812</v>
      </c>
      <c r="Y289">
        <v>48</v>
      </c>
      <c r="Z289">
        <v>31.3</v>
      </c>
      <c r="AA289">
        <v>64.599999999999994</v>
      </c>
    </row>
    <row r="290" spans="1:27" x14ac:dyDescent="0.25">
      <c r="A290" t="s">
        <v>226</v>
      </c>
      <c r="B290" t="s">
        <v>205</v>
      </c>
      <c r="C290" s="76">
        <v>43928</v>
      </c>
      <c r="D290">
        <v>4486</v>
      </c>
      <c r="E290">
        <v>1723</v>
      </c>
      <c r="F290">
        <v>7250</v>
      </c>
      <c r="G290">
        <v>5132</v>
      </c>
      <c r="H290">
        <v>46.6</v>
      </c>
      <c r="I290">
        <v>39.200000000000003</v>
      </c>
      <c r="J290">
        <v>54.1</v>
      </c>
      <c r="K290">
        <v>316</v>
      </c>
      <c r="L290">
        <v>106</v>
      </c>
      <c r="M290">
        <v>526</v>
      </c>
      <c r="N290">
        <v>3.3</v>
      </c>
      <c r="O290">
        <v>2.1</v>
      </c>
      <c r="P290">
        <v>4.4000000000000004</v>
      </c>
      <c r="Q290">
        <f t="shared" si="6"/>
        <v>3033946</v>
      </c>
      <c r="R290">
        <f t="shared" si="7"/>
        <v>10.41547871979264</v>
      </c>
      <c r="U290">
        <v>790</v>
      </c>
      <c r="V290">
        <v>231</v>
      </c>
      <c r="W290">
        <v>1348</v>
      </c>
      <c r="X290">
        <v>866</v>
      </c>
      <c r="Y290">
        <v>47.7</v>
      </c>
      <c r="Z290">
        <v>32.4</v>
      </c>
      <c r="AA290">
        <v>63</v>
      </c>
    </row>
    <row r="291" spans="1:27" x14ac:dyDescent="0.25">
      <c r="A291" t="s">
        <v>226</v>
      </c>
      <c r="B291" t="s">
        <v>205</v>
      </c>
      <c r="C291" s="76">
        <v>43929</v>
      </c>
      <c r="D291">
        <v>4324</v>
      </c>
      <c r="E291">
        <v>1965</v>
      </c>
      <c r="F291">
        <v>6684</v>
      </c>
      <c r="G291">
        <v>4946</v>
      </c>
      <c r="H291">
        <v>46.6</v>
      </c>
      <c r="I291">
        <v>40.1</v>
      </c>
      <c r="J291">
        <v>53.2</v>
      </c>
      <c r="K291">
        <v>340</v>
      </c>
      <c r="L291">
        <v>144</v>
      </c>
      <c r="M291">
        <v>536</v>
      </c>
      <c r="N291">
        <v>3.7</v>
      </c>
      <c r="O291">
        <v>2.5</v>
      </c>
      <c r="P291">
        <v>4.9000000000000004</v>
      </c>
      <c r="Q291">
        <f t="shared" si="6"/>
        <v>3033946</v>
      </c>
      <c r="R291">
        <f t="shared" si="7"/>
        <v>11.206527736485752</v>
      </c>
      <c r="U291">
        <v>779</v>
      </c>
      <c r="V291">
        <v>271</v>
      </c>
      <c r="W291">
        <v>1286</v>
      </c>
      <c r="X291">
        <v>731</v>
      </c>
      <c r="Y291">
        <v>51.6</v>
      </c>
      <c r="Z291">
        <v>35.1</v>
      </c>
      <c r="AA291">
        <v>68.2</v>
      </c>
    </row>
    <row r="292" spans="1:27" x14ac:dyDescent="0.25">
      <c r="A292" t="s">
        <v>226</v>
      </c>
      <c r="B292" t="s">
        <v>205</v>
      </c>
      <c r="C292" s="76">
        <v>43930</v>
      </c>
      <c r="D292">
        <v>4502</v>
      </c>
      <c r="E292">
        <v>1872</v>
      </c>
      <c r="F292">
        <v>7131</v>
      </c>
      <c r="G292">
        <v>4949</v>
      </c>
      <c r="H292">
        <v>47.6</v>
      </c>
      <c r="I292">
        <v>40.5</v>
      </c>
      <c r="J292">
        <v>54.8</v>
      </c>
      <c r="K292">
        <v>336</v>
      </c>
      <c r="L292">
        <v>128</v>
      </c>
      <c r="M292">
        <v>545</v>
      </c>
      <c r="N292">
        <v>3.6</v>
      </c>
      <c r="O292">
        <v>2.5</v>
      </c>
      <c r="P292">
        <v>4.5999999999999996</v>
      </c>
      <c r="Q292">
        <f t="shared" si="6"/>
        <v>3033946</v>
      </c>
      <c r="R292">
        <f t="shared" si="7"/>
        <v>11.074686233703567</v>
      </c>
      <c r="U292">
        <v>780</v>
      </c>
      <c r="V292">
        <v>253</v>
      </c>
      <c r="W292">
        <v>1308</v>
      </c>
      <c r="X292">
        <v>781</v>
      </c>
      <c r="Y292">
        <v>50</v>
      </c>
      <c r="Z292">
        <v>31.9</v>
      </c>
      <c r="AA292">
        <v>68</v>
      </c>
    </row>
    <row r="293" spans="1:27" x14ac:dyDescent="0.25">
      <c r="A293" t="s">
        <v>226</v>
      </c>
      <c r="B293" t="s">
        <v>205</v>
      </c>
      <c r="C293" s="76">
        <v>43931</v>
      </c>
      <c r="D293">
        <v>4147</v>
      </c>
      <c r="E293">
        <v>1541</v>
      </c>
      <c r="F293">
        <v>6753</v>
      </c>
      <c r="G293">
        <v>5284</v>
      </c>
      <c r="H293">
        <v>44</v>
      </c>
      <c r="I293">
        <v>35.5</v>
      </c>
      <c r="J293">
        <v>52.4</v>
      </c>
      <c r="K293">
        <v>304</v>
      </c>
      <c r="L293">
        <v>129</v>
      </c>
      <c r="M293">
        <v>478</v>
      </c>
      <c r="N293">
        <v>3.2</v>
      </c>
      <c r="O293">
        <v>2.2999999999999998</v>
      </c>
      <c r="P293">
        <v>4.2</v>
      </c>
      <c r="Q293">
        <f t="shared" si="6"/>
        <v>3033946</v>
      </c>
      <c r="R293">
        <f t="shared" si="7"/>
        <v>10.019954211446084</v>
      </c>
      <c r="U293">
        <v>754</v>
      </c>
      <c r="V293">
        <v>225</v>
      </c>
      <c r="W293">
        <v>1282</v>
      </c>
      <c r="X293">
        <v>787</v>
      </c>
      <c r="Y293">
        <v>48.9</v>
      </c>
      <c r="Z293">
        <v>31.4</v>
      </c>
      <c r="AA293">
        <v>66.400000000000006</v>
      </c>
    </row>
    <row r="294" spans="1:27" x14ac:dyDescent="0.25">
      <c r="A294" t="s">
        <v>226</v>
      </c>
      <c r="B294" t="s">
        <v>205</v>
      </c>
      <c r="C294" s="76">
        <v>43932</v>
      </c>
      <c r="D294">
        <v>4182</v>
      </c>
      <c r="E294">
        <v>1645</v>
      </c>
      <c r="F294">
        <v>6719</v>
      </c>
      <c r="G294">
        <v>5434</v>
      </c>
      <c r="H294">
        <v>43.5</v>
      </c>
      <c r="I294">
        <v>36.1</v>
      </c>
      <c r="J294">
        <v>50.9</v>
      </c>
      <c r="K294">
        <v>177</v>
      </c>
      <c r="L294">
        <v>64</v>
      </c>
      <c r="M294">
        <v>290</v>
      </c>
      <c r="N294">
        <v>1.8</v>
      </c>
      <c r="O294">
        <v>1</v>
      </c>
      <c r="P294">
        <v>2.7</v>
      </c>
      <c r="Q294">
        <f t="shared" si="6"/>
        <v>3033946</v>
      </c>
      <c r="R294">
        <f t="shared" si="7"/>
        <v>5.8339864981116998</v>
      </c>
      <c r="U294">
        <v>662</v>
      </c>
      <c r="V294">
        <v>178</v>
      </c>
      <c r="W294">
        <v>1145</v>
      </c>
      <c r="X294">
        <v>902</v>
      </c>
      <c r="Y294">
        <v>42.3</v>
      </c>
      <c r="Z294">
        <v>24.9</v>
      </c>
      <c r="AA294">
        <v>59.8</v>
      </c>
    </row>
    <row r="295" spans="1:27" x14ac:dyDescent="0.25">
      <c r="A295" t="s">
        <v>226</v>
      </c>
      <c r="B295" t="s">
        <v>205</v>
      </c>
      <c r="C295" s="76">
        <v>43933</v>
      </c>
      <c r="D295">
        <v>4142</v>
      </c>
      <c r="E295">
        <v>1813</v>
      </c>
      <c r="F295">
        <v>6470</v>
      </c>
      <c r="G295">
        <v>5561</v>
      </c>
      <c r="H295">
        <v>42.7</v>
      </c>
      <c r="I295">
        <v>35.4</v>
      </c>
      <c r="J295">
        <v>50</v>
      </c>
      <c r="K295">
        <v>174</v>
      </c>
      <c r="L295">
        <v>56</v>
      </c>
      <c r="M295">
        <v>292</v>
      </c>
      <c r="N295">
        <v>1.8</v>
      </c>
      <c r="O295">
        <v>0.8</v>
      </c>
      <c r="P295">
        <v>2.7</v>
      </c>
      <c r="Q295">
        <f t="shared" ref="Q295:Q358" si="8">VLOOKUP(B295,$AE$4:$AF$55,2,FALSE)</f>
        <v>3033946</v>
      </c>
      <c r="R295">
        <f t="shared" si="7"/>
        <v>5.7351053710250612</v>
      </c>
      <c r="U295">
        <v>687</v>
      </c>
      <c r="V295">
        <v>221</v>
      </c>
      <c r="W295">
        <v>1152</v>
      </c>
      <c r="X295">
        <v>832</v>
      </c>
      <c r="Y295">
        <v>45.2</v>
      </c>
      <c r="Z295">
        <v>27.8</v>
      </c>
      <c r="AA295">
        <v>62.6</v>
      </c>
    </row>
    <row r="296" spans="1:27" x14ac:dyDescent="0.25">
      <c r="A296" t="s">
        <v>226</v>
      </c>
      <c r="B296" t="s">
        <v>205</v>
      </c>
      <c r="C296" s="76">
        <v>43934</v>
      </c>
      <c r="D296">
        <v>4550</v>
      </c>
      <c r="E296">
        <v>2146</v>
      </c>
      <c r="F296">
        <v>6955</v>
      </c>
      <c r="G296">
        <v>5796</v>
      </c>
      <c r="H296">
        <v>44</v>
      </c>
      <c r="I296">
        <v>37.700000000000003</v>
      </c>
      <c r="J296">
        <v>50.2</v>
      </c>
      <c r="K296">
        <v>158</v>
      </c>
      <c r="L296">
        <v>76</v>
      </c>
      <c r="M296">
        <v>240</v>
      </c>
      <c r="N296">
        <v>1.5</v>
      </c>
      <c r="O296">
        <v>1</v>
      </c>
      <c r="P296">
        <v>2</v>
      </c>
      <c r="Q296">
        <f t="shared" si="8"/>
        <v>3033946</v>
      </c>
      <c r="R296">
        <f t="shared" si="7"/>
        <v>5.20773935989632</v>
      </c>
      <c r="U296">
        <v>615</v>
      </c>
      <c r="V296">
        <v>240</v>
      </c>
      <c r="W296">
        <v>991</v>
      </c>
      <c r="X296">
        <v>931</v>
      </c>
      <c r="Y296">
        <v>39.799999999999997</v>
      </c>
      <c r="Z296">
        <v>26.8</v>
      </c>
      <c r="AA296">
        <v>52.9</v>
      </c>
    </row>
    <row r="297" spans="1:27" x14ac:dyDescent="0.25">
      <c r="A297" t="s">
        <v>226</v>
      </c>
      <c r="B297" t="s">
        <v>205</v>
      </c>
      <c r="C297" s="76">
        <v>43935</v>
      </c>
      <c r="D297">
        <v>4674</v>
      </c>
      <c r="E297">
        <v>2494</v>
      </c>
      <c r="F297">
        <v>6854</v>
      </c>
      <c r="G297">
        <v>5401</v>
      </c>
      <c r="H297">
        <v>46.4</v>
      </c>
      <c r="I297">
        <v>39.299999999999997</v>
      </c>
      <c r="J297">
        <v>53.5</v>
      </c>
      <c r="K297">
        <v>163</v>
      </c>
      <c r="L297">
        <v>78</v>
      </c>
      <c r="M297">
        <v>248</v>
      </c>
      <c r="N297">
        <v>1.6</v>
      </c>
      <c r="O297">
        <v>1</v>
      </c>
      <c r="P297">
        <v>2.2000000000000002</v>
      </c>
      <c r="Q297">
        <f t="shared" si="8"/>
        <v>3033946</v>
      </c>
      <c r="R297">
        <f t="shared" si="7"/>
        <v>5.3725412383740521</v>
      </c>
      <c r="U297">
        <v>675</v>
      </c>
      <c r="V297">
        <v>314</v>
      </c>
      <c r="W297">
        <v>1035</v>
      </c>
      <c r="X297">
        <v>860</v>
      </c>
      <c r="Y297">
        <v>44</v>
      </c>
      <c r="Z297">
        <v>31.6</v>
      </c>
      <c r="AA297">
        <v>56.4</v>
      </c>
    </row>
    <row r="298" spans="1:27" x14ac:dyDescent="0.25">
      <c r="A298" t="s">
        <v>226</v>
      </c>
      <c r="B298" t="s">
        <v>205</v>
      </c>
      <c r="C298" s="76">
        <v>43936</v>
      </c>
      <c r="D298">
        <v>4783</v>
      </c>
      <c r="E298">
        <v>2767</v>
      </c>
      <c r="F298">
        <v>6799</v>
      </c>
      <c r="G298">
        <v>5410</v>
      </c>
      <c r="H298">
        <v>46.9</v>
      </c>
      <c r="I298">
        <v>40.200000000000003</v>
      </c>
      <c r="J298">
        <v>53.6</v>
      </c>
      <c r="K298">
        <v>163</v>
      </c>
      <c r="L298">
        <v>86</v>
      </c>
      <c r="M298">
        <v>239</v>
      </c>
      <c r="N298">
        <v>1.6</v>
      </c>
      <c r="O298">
        <v>1.1000000000000001</v>
      </c>
      <c r="P298">
        <v>2.1</v>
      </c>
      <c r="Q298">
        <f t="shared" si="8"/>
        <v>3033946</v>
      </c>
      <c r="R298">
        <f t="shared" si="7"/>
        <v>5.3725412383740521</v>
      </c>
      <c r="U298">
        <v>695</v>
      </c>
      <c r="V298">
        <v>342</v>
      </c>
      <c r="W298">
        <v>1048</v>
      </c>
      <c r="X298">
        <v>890</v>
      </c>
      <c r="Y298">
        <v>43.8</v>
      </c>
      <c r="Z298">
        <v>32.799999999999997</v>
      </c>
      <c r="AA298">
        <v>54.9</v>
      </c>
    </row>
    <row r="299" spans="1:27" x14ac:dyDescent="0.25">
      <c r="A299" t="s">
        <v>226</v>
      </c>
      <c r="B299" t="s">
        <v>205</v>
      </c>
      <c r="C299" s="76">
        <v>43937</v>
      </c>
      <c r="D299">
        <v>4781</v>
      </c>
      <c r="E299">
        <v>2798</v>
      </c>
      <c r="F299">
        <v>6765</v>
      </c>
      <c r="G299">
        <v>5445</v>
      </c>
      <c r="H299">
        <v>46.8</v>
      </c>
      <c r="I299">
        <v>40.4</v>
      </c>
      <c r="J299">
        <v>53.1</v>
      </c>
      <c r="K299">
        <v>159</v>
      </c>
      <c r="L299">
        <v>84</v>
      </c>
      <c r="M299">
        <v>235</v>
      </c>
      <c r="N299">
        <v>1.6</v>
      </c>
      <c r="O299">
        <v>1.1000000000000001</v>
      </c>
      <c r="P299">
        <v>2</v>
      </c>
      <c r="Q299">
        <f t="shared" si="8"/>
        <v>3033946</v>
      </c>
      <c r="R299">
        <f t="shared" si="7"/>
        <v>5.2406997355918667</v>
      </c>
      <c r="U299">
        <v>657</v>
      </c>
      <c r="V299">
        <v>322</v>
      </c>
      <c r="W299">
        <v>992</v>
      </c>
      <c r="X299">
        <v>936</v>
      </c>
      <c r="Y299">
        <v>41.3</v>
      </c>
      <c r="Z299">
        <v>30.8</v>
      </c>
      <c r="AA299">
        <v>51.7</v>
      </c>
    </row>
    <row r="300" spans="1:27" x14ac:dyDescent="0.25">
      <c r="A300" t="s">
        <v>226</v>
      </c>
      <c r="B300" t="s">
        <v>205</v>
      </c>
      <c r="C300" s="76">
        <v>43938</v>
      </c>
      <c r="D300">
        <v>5085</v>
      </c>
      <c r="E300">
        <v>2963</v>
      </c>
      <c r="F300">
        <v>7207</v>
      </c>
      <c r="G300">
        <v>5820</v>
      </c>
      <c r="H300">
        <v>46.6</v>
      </c>
      <c r="I300">
        <v>40.299999999999997</v>
      </c>
      <c r="J300">
        <v>53</v>
      </c>
      <c r="K300">
        <v>184</v>
      </c>
      <c r="L300">
        <v>74</v>
      </c>
      <c r="M300">
        <v>294</v>
      </c>
      <c r="N300">
        <v>1.7</v>
      </c>
      <c r="O300">
        <v>1</v>
      </c>
      <c r="P300">
        <v>2.4</v>
      </c>
      <c r="Q300">
        <f t="shared" si="8"/>
        <v>3033946</v>
      </c>
      <c r="R300">
        <f t="shared" si="7"/>
        <v>6.0647091279805245</v>
      </c>
      <c r="U300">
        <v>824</v>
      </c>
      <c r="V300">
        <v>330</v>
      </c>
      <c r="W300">
        <v>1318</v>
      </c>
      <c r="X300">
        <v>1186</v>
      </c>
      <c r="Y300">
        <v>41</v>
      </c>
      <c r="Z300">
        <v>32</v>
      </c>
      <c r="AA300">
        <v>50</v>
      </c>
    </row>
    <row r="301" spans="1:27" x14ac:dyDescent="0.25">
      <c r="A301" t="s">
        <v>226</v>
      </c>
      <c r="B301" t="s">
        <v>205</v>
      </c>
      <c r="C301" s="76">
        <v>43939</v>
      </c>
      <c r="D301">
        <v>4976</v>
      </c>
      <c r="E301">
        <v>2882</v>
      </c>
      <c r="F301">
        <v>7070</v>
      </c>
      <c r="G301">
        <v>5925</v>
      </c>
      <c r="H301">
        <v>45.6</v>
      </c>
      <c r="I301">
        <v>39.200000000000003</v>
      </c>
      <c r="J301">
        <v>52.1</v>
      </c>
      <c r="K301">
        <v>196</v>
      </c>
      <c r="L301">
        <v>102</v>
      </c>
      <c r="M301">
        <v>290</v>
      </c>
      <c r="N301">
        <v>1.8</v>
      </c>
      <c r="O301">
        <v>1.3</v>
      </c>
      <c r="P301">
        <v>2.2999999999999998</v>
      </c>
      <c r="Q301">
        <f t="shared" si="8"/>
        <v>3033946</v>
      </c>
      <c r="R301">
        <f t="shared" si="7"/>
        <v>6.4602336363270805</v>
      </c>
      <c r="U301">
        <v>861</v>
      </c>
      <c r="V301">
        <v>335</v>
      </c>
      <c r="W301">
        <v>1387</v>
      </c>
      <c r="X301">
        <v>1165</v>
      </c>
      <c r="Y301">
        <v>42.5</v>
      </c>
      <c r="Z301">
        <v>32.299999999999997</v>
      </c>
      <c r="AA301">
        <v>52.7</v>
      </c>
    </row>
    <row r="302" spans="1:27" x14ac:dyDescent="0.25">
      <c r="A302" t="s">
        <v>226</v>
      </c>
      <c r="B302" t="s">
        <v>205</v>
      </c>
      <c r="C302" s="76">
        <v>43940</v>
      </c>
      <c r="D302">
        <v>4927</v>
      </c>
      <c r="E302">
        <v>2857</v>
      </c>
      <c r="F302">
        <v>6997</v>
      </c>
      <c r="G302">
        <v>5990</v>
      </c>
      <c r="H302">
        <v>45.1</v>
      </c>
      <c r="I302">
        <v>38.6</v>
      </c>
      <c r="J302">
        <v>51.7</v>
      </c>
      <c r="K302">
        <v>184</v>
      </c>
      <c r="L302">
        <v>101</v>
      </c>
      <c r="M302">
        <v>268</v>
      </c>
      <c r="N302">
        <v>1.7</v>
      </c>
      <c r="O302">
        <v>1.2</v>
      </c>
      <c r="P302">
        <v>2.2000000000000002</v>
      </c>
      <c r="Q302">
        <f t="shared" si="8"/>
        <v>3033946</v>
      </c>
      <c r="R302">
        <f t="shared" si="7"/>
        <v>6.0647091279805245</v>
      </c>
      <c r="U302">
        <v>876</v>
      </c>
      <c r="V302">
        <v>343</v>
      </c>
      <c r="W302">
        <v>1409</v>
      </c>
      <c r="X302">
        <v>1077</v>
      </c>
      <c r="Y302">
        <v>44.9</v>
      </c>
      <c r="Z302">
        <v>34.299999999999997</v>
      </c>
      <c r="AA302">
        <v>55.4</v>
      </c>
    </row>
    <row r="303" spans="1:27" x14ac:dyDescent="0.25">
      <c r="A303" t="s">
        <v>226</v>
      </c>
      <c r="B303" t="s">
        <v>205</v>
      </c>
      <c r="C303" s="76">
        <v>43941</v>
      </c>
      <c r="D303">
        <v>4774</v>
      </c>
      <c r="E303">
        <v>2776</v>
      </c>
      <c r="F303">
        <v>6771</v>
      </c>
      <c r="G303">
        <v>5912</v>
      </c>
      <c r="H303">
        <v>44.7</v>
      </c>
      <c r="I303">
        <v>38.5</v>
      </c>
      <c r="J303">
        <v>50.8</v>
      </c>
      <c r="K303">
        <v>159</v>
      </c>
      <c r="L303">
        <v>83</v>
      </c>
      <c r="M303">
        <v>236</v>
      </c>
      <c r="N303">
        <v>1.5</v>
      </c>
      <c r="O303">
        <v>1</v>
      </c>
      <c r="P303">
        <v>1.9</v>
      </c>
      <c r="Q303">
        <f t="shared" si="8"/>
        <v>3033946</v>
      </c>
      <c r="R303">
        <f t="shared" si="7"/>
        <v>5.2406997355918667</v>
      </c>
      <c r="U303">
        <v>904</v>
      </c>
      <c r="V303">
        <v>377</v>
      </c>
      <c r="W303">
        <v>1432</v>
      </c>
      <c r="X303">
        <v>1016</v>
      </c>
      <c r="Y303">
        <v>47.1</v>
      </c>
      <c r="Z303">
        <v>37.4</v>
      </c>
      <c r="AA303">
        <v>56.8</v>
      </c>
    </row>
    <row r="304" spans="1:27" x14ac:dyDescent="0.25">
      <c r="A304" t="s">
        <v>226</v>
      </c>
      <c r="B304" t="s">
        <v>205</v>
      </c>
      <c r="C304" s="76">
        <v>43942</v>
      </c>
      <c r="D304">
        <v>4911</v>
      </c>
      <c r="E304">
        <v>2913</v>
      </c>
      <c r="F304">
        <v>6909</v>
      </c>
      <c r="G304">
        <v>5643</v>
      </c>
      <c r="H304">
        <v>46.5</v>
      </c>
      <c r="I304">
        <v>41.3</v>
      </c>
      <c r="J304">
        <v>51.8</v>
      </c>
      <c r="K304">
        <v>162</v>
      </c>
      <c r="L304">
        <v>75</v>
      </c>
      <c r="M304">
        <v>248</v>
      </c>
      <c r="N304">
        <v>1.5</v>
      </c>
      <c r="O304">
        <v>0.9</v>
      </c>
      <c r="P304">
        <v>2.1</v>
      </c>
      <c r="Q304">
        <f t="shared" si="8"/>
        <v>3033946</v>
      </c>
      <c r="R304">
        <f t="shared" si="7"/>
        <v>5.3395808626785053</v>
      </c>
      <c r="U304">
        <v>925</v>
      </c>
      <c r="V304">
        <v>342</v>
      </c>
      <c r="W304">
        <v>1507</v>
      </c>
      <c r="X304">
        <v>1009</v>
      </c>
      <c r="Y304">
        <v>47.8</v>
      </c>
      <c r="Z304">
        <v>37.4</v>
      </c>
      <c r="AA304">
        <v>58.2</v>
      </c>
    </row>
    <row r="305" spans="1:27" x14ac:dyDescent="0.25">
      <c r="A305" t="s">
        <v>226</v>
      </c>
      <c r="B305" t="s">
        <v>205</v>
      </c>
      <c r="C305" s="76">
        <v>43943</v>
      </c>
      <c r="D305">
        <v>4981</v>
      </c>
      <c r="E305">
        <v>2687</v>
      </c>
      <c r="F305">
        <v>7276</v>
      </c>
      <c r="G305">
        <v>5559</v>
      </c>
      <c r="H305">
        <v>47.3</v>
      </c>
      <c r="I305">
        <v>40.200000000000003</v>
      </c>
      <c r="J305">
        <v>54.3</v>
      </c>
      <c r="K305">
        <v>139</v>
      </c>
      <c r="L305">
        <v>63</v>
      </c>
      <c r="M305">
        <v>216</v>
      </c>
      <c r="N305">
        <v>1.3</v>
      </c>
      <c r="O305">
        <v>0.9</v>
      </c>
      <c r="P305">
        <v>1.8</v>
      </c>
      <c r="Q305">
        <f t="shared" si="8"/>
        <v>3033946</v>
      </c>
      <c r="R305">
        <f t="shared" si="7"/>
        <v>4.5814922216809393</v>
      </c>
      <c r="U305">
        <v>883</v>
      </c>
      <c r="V305">
        <v>276</v>
      </c>
      <c r="W305">
        <v>1490</v>
      </c>
      <c r="X305">
        <v>1004</v>
      </c>
      <c r="Y305">
        <v>46.8</v>
      </c>
      <c r="Z305">
        <v>35.200000000000003</v>
      </c>
      <c r="AA305">
        <v>58.4</v>
      </c>
    </row>
    <row r="306" spans="1:27" x14ac:dyDescent="0.25">
      <c r="A306" t="s">
        <v>226</v>
      </c>
      <c r="B306" t="s">
        <v>205</v>
      </c>
      <c r="C306" s="76">
        <v>43944</v>
      </c>
      <c r="D306">
        <v>4970</v>
      </c>
      <c r="E306">
        <v>2719</v>
      </c>
      <c r="F306">
        <v>7221</v>
      </c>
      <c r="G306">
        <v>5504</v>
      </c>
      <c r="H306">
        <v>47.5</v>
      </c>
      <c r="I306">
        <v>40.5</v>
      </c>
      <c r="J306">
        <v>54.4</v>
      </c>
      <c r="K306">
        <v>267</v>
      </c>
      <c r="L306">
        <v>31</v>
      </c>
      <c r="M306">
        <v>502</v>
      </c>
      <c r="N306">
        <v>2.5</v>
      </c>
      <c r="O306">
        <v>0.5</v>
      </c>
      <c r="P306">
        <v>4.5999999999999996</v>
      </c>
      <c r="Q306">
        <f t="shared" si="8"/>
        <v>3033946</v>
      </c>
      <c r="R306">
        <f t="shared" si="7"/>
        <v>8.8004203107108694</v>
      </c>
      <c r="U306">
        <v>871</v>
      </c>
      <c r="V306">
        <v>292</v>
      </c>
      <c r="W306">
        <v>1450</v>
      </c>
      <c r="X306">
        <v>691</v>
      </c>
      <c r="Y306">
        <v>55.8</v>
      </c>
      <c r="Z306">
        <v>48.2</v>
      </c>
      <c r="AA306">
        <v>63.4</v>
      </c>
    </row>
    <row r="307" spans="1:27" x14ac:dyDescent="0.25">
      <c r="A307" t="s">
        <v>226</v>
      </c>
      <c r="B307" t="s">
        <v>205</v>
      </c>
      <c r="C307" s="76">
        <v>43945</v>
      </c>
      <c r="D307">
        <v>4851</v>
      </c>
      <c r="E307">
        <v>2636</v>
      </c>
      <c r="F307">
        <v>7066</v>
      </c>
      <c r="G307">
        <v>5712</v>
      </c>
      <c r="H307">
        <v>45.9</v>
      </c>
      <c r="I307">
        <v>38.799999999999997</v>
      </c>
      <c r="J307">
        <v>53.1</v>
      </c>
      <c r="K307">
        <v>187</v>
      </c>
      <c r="L307">
        <v>91</v>
      </c>
      <c r="M307">
        <v>283</v>
      </c>
      <c r="N307">
        <v>1.8</v>
      </c>
      <c r="O307">
        <v>1.2</v>
      </c>
      <c r="P307">
        <v>2.2999999999999998</v>
      </c>
      <c r="Q307">
        <f t="shared" si="8"/>
        <v>3033946</v>
      </c>
      <c r="R307">
        <f t="shared" si="7"/>
        <v>6.163590255067164</v>
      </c>
      <c r="U307">
        <v>876</v>
      </c>
      <c r="V307">
        <v>268</v>
      </c>
      <c r="W307">
        <v>1485</v>
      </c>
      <c r="X307">
        <v>709</v>
      </c>
      <c r="Y307">
        <v>55.3</v>
      </c>
      <c r="Z307">
        <v>47.5</v>
      </c>
      <c r="AA307">
        <v>63.1</v>
      </c>
    </row>
    <row r="308" spans="1:27" x14ac:dyDescent="0.25">
      <c r="A308" t="s">
        <v>226</v>
      </c>
      <c r="B308" t="s">
        <v>205</v>
      </c>
      <c r="C308" s="76">
        <v>43946</v>
      </c>
      <c r="D308">
        <v>4726</v>
      </c>
      <c r="E308">
        <v>2620</v>
      </c>
      <c r="F308">
        <v>6833</v>
      </c>
      <c r="G308">
        <v>5738</v>
      </c>
      <c r="H308">
        <v>45.2</v>
      </c>
      <c r="I308">
        <v>38.299999999999997</v>
      </c>
      <c r="J308">
        <v>52</v>
      </c>
      <c r="K308">
        <v>173</v>
      </c>
      <c r="L308">
        <v>85</v>
      </c>
      <c r="M308">
        <v>261</v>
      </c>
      <c r="N308">
        <v>1.7</v>
      </c>
      <c r="O308">
        <v>1.1000000000000001</v>
      </c>
      <c r="P308">
        <v>2.2000000000000002</v>
      </c>
      <c r="Q308">
        <f t="shared" si="8"/>
        <v>3033946</v>
      </c>
      <c r="R308">
        <f t="shared" si="7"/>
        <v>5.7021449953295145</v>
      </c>
      <c r="U308">
        <v>838</v>
      </c>
      <c r="V308">
        <v>285</v>
      </c>
      <c r="W308">
        <v>1390</v>
      </c>
      <c r="X308">
        <v>723</v>
      </c>
      <c r="Y308">
        <v>53.7</v>
      </c>
      <c r="Z308">
        <v>45.8</v>
      </c>
      <c r="AA308">
        <v>61.5</v>
      </c>
    </row>
    <row r="309" spans="1:27" x14ac:dyDescent="0.25">
      <c r="A309" t="s">
        <v>226</v>
      </c>
      <c r="B309" t="s">
        <v>205</v>
      </c>
      <c r="C309" s="76">
        <v>43947</v>
      </c>
      <c r="D309">
        <v>4710</v>
      </c>
      <c r="E309">
        <v>2575</v>
      </c>
      <c r="F309">
        <v>6846</v>
      </c>
      <c r="G309">
        <v>5745</v>
      </c>
      <c r="H309">
        <v>45.1</v>
      </c>
      <c r="I309">
        <v>38.200000000000003</v>
      </c>
      <c r="J309">
        <v>51.9</v>
      </c>
      <c r="K309">
        <v>139</v>
      </c>
      <c r="L309">
        <v>64</v>
      </c>
      <c r="M309">
        <v>213</v>
      </c>
      <c r="N309">
        <v>1.3</v>
      </c>
      <c r="O309">
        <v>0.9</v>
      </c>
      <c r="P309">
        <v>1.8</v>
      </c>
      <c r="Q309">
        <f t="shared" si="8"/>
        <v>3033946</v>
      </c>
      <c r="R309">
        <f t="shared" si="7"/>
        <v>4.5814922216809393</v>
      </c>
      <c r="U309">
        <v>842</v>
      </c>
      <c r="V309">
        <v>290</v>
      </c>
      <c r="W309">
        <v>1393</v>
      </c>
      <c r="X309">
        <v>720</v>
      </c>
      <c r="Y309">
        <v>53.9</v>
      </c>
      <c r="Z309">
        <v>44.4</v>
      </c>
      <c r="AA309">
        <v>63.4</v>
      </c>
    </row>
    <row r="310" spans="1:27" x14ac:dyDescent="0.25">
      <c r="A310" t="s">
        <v>226</v>
      </c>
      <c r="B310" t="s">
        <v>205</v>
      </c>
      <c r="C310" s="76">
        <v>43948</v>
      </c>
      <c r="D310">
        <v>4877</v>
      </c>
      <c r="E310">
        <v>2628</v>
      </c>
      <c r="F310">
        <v>7126</v>
      </c>
      <c r="G310">
        <v>5636</v>
      </c>
      <c r="H310">
        <v>46.4</v>
      </c>
      <c r="I310">
        <v>39.4</v>
      </c>
      <c r="J310">
        <v>53.4</v>
      </c>
      <c r="K310">
        <v>155</v>
      </c>
      <c r="L310">
        <v>67</v>
      </c>
      <c r="M310">
        <v>243</v>
      </c>
      <c r="N310">
        <v>1.5</v>
      </c>
      <c r="O310">
        <v>0.9</v>
      </c>
      <c r="P310">
        <v>2.1</v>
      </c>
      <c r="Q310">
        <f t="shared" si="8"/>
        <v>3033946</v>
      </c>
      <c r="R310">
        <f t="shared" si="7"/>
        <v>5.1088582328096814</v>
      </c>
      <c r="U310">
        <v>902</v>
      </c>
      <c r="V310">
        <v>325</v>
      </c>
      <c r="W310">
        <v>1479</v>
      </c>
      <c r="X310">
        <v>746</v>
      </c>
      <c r="Y310">
        <v>54.7</v>
      </c>
      <c r="Z310">
        <v>44.4</v>
      </c>
      <c r="AA310">
        <v>65</v>
      </c>
    </row>
    <row r="311" spans="1:27" x14ac:dyDescent="0.25">
      <c r="A311" t="s">
        <v>226</v>
      </c>
      <c r="B311" t="s">
        <v>205</v>
      </c>
      <c r="C311" s="76">
        <v>43949</v>
      </c>
      <c r="D311">
        <v>5174</v>
      </c>
      <c r="E311">
        <v>2892</v>
      </c>
      <c r="F311">
        <v>7457</v>
      </c>
      <c r="G311">
        <v>5441</v>
      </c>
      <c r="H311">
        <v>48.7</v>
      </c>
      <c r="I311">
        <v>41.9</v>
      </c>
      <c r="J311">
        <v>55.6</v>
      </c>
      <c r="K311">
        <v>182</v>
      </c>
      <c r="L311">
        <v>99</v>
      </c>
      <c r="M311">
        <v>265</v>
      </c>
      <c r="N311">
        <v>1.7</v>
      </c>
      <c r="O311">
        <v>1.2</v>
      </c>
      <c r="P311">
        <v>2.2000000000000002</v>
      </c>
      <c r="Q311">
        <f t="shared" si="8"/>
        <v>3033946</v>
      </c>
      <c r="R311">
        <f t="shared" si="7"/>
        <v>5.9987883765894319</v>
      </c>
      <c r="U311">
        <v>929</v>
      </c>
      <c r="V311">
        <v>390</v>
      </c>
      <c r="W311">
        <v>1467</v>
      </c>
      <c r="X311">
        <v>655</v>
      </c>
      <c r="Y311">
        <v>58.6</v>
      </c>
      <c r="Z311">
        <v>48.6</v>
      </c>
      <c r="AA311">
        <v>68.7</v>
      </c>
    </row>
    <row r="312" spans="1:27" x14ac:dyDescent="0.25">
      <c r="A312" t="s">
        <v>226</v>
      </c>
      <c r="B312" t="s">
        <v>205</v>
      </c>
      <c r="C312" s="76">
        <v>43950</v>
      </c>
      <c r="D312">
        <v>5174</v>
      </c>
      <c r="E312">
        <v>2914</v>
      </c>
      <c r="F312">
        <v>7434</v>
      </c>
      <c r="G312">
        <v>5452</v>
      </c>
      <c r="H312">
        <v>48.7</v>
      </c>
      <c r="I312">
        <v>41.8</v>
      </c>
      <c r="J312">
        <v>55.5</v>
      </c>
      <c r="K312">
        <v>163</v>
      </c>
      <c r="L312">
        <v>77</v>
      </c>
      <c r="M312">
        <v>248</v>
      </c>
      <c r="N312">
        <v>1.5</v>
      </c>
      <c r="O312">
        <v>0.9</v>
      </c>
      <c r="P312">
        <v>2.1</v>
      </c>
      <c r="Q312">
        <f t="shared" si="8"/>
        <v>3033946</v>
      </c>
      <c r="R312">
        <f t="shared" si="7"/>
        <v>5.3725412383740521</v>
      </c>
      <c r="U312">
        <v>922</v>
      </c>
      <c r="V312">
        <v>420</v>
      </c>
      <c r="W312">
        <v>1424</v>
      </c>
      <c r="X312">
        <v>669</v>
      </c>
      <c r="Y312">
        <v>58</v>
      </c>
      <c r="Z312">
        <v>47</v>
      </c>
      <c r="AA312">
        <v>68.900000000000006</v>
      </c>
    </row>
    <row r="313" spans="1:27" x14ac:dyDescent="0.25">
      <c r="A313" t="s">
        <v>226</v>
      </c>
      <c r="B313" t="s">
        <v>205</v>
      </c>
      <c r="C313" s="76">
        <v>43951</v>
      </c>
      <c r="D313">
        <v>5280</v>
      </c>
      <c r="E313">
        <v>2957</v>
      </c>
      <c r="F313">
        <v>7603</v>
      </c>
      <c r="G313">
        <v>5305</v>
      </c>
      <c r="H313">
        <v>49.9</v>
      </c>
      <c r="I313">
        <v>42.6</v>
      </c>
      <c r="J313">
        <v>57.2</v>
      </c>
      <c r="K313">
        <v>172</v>
      </c>
      <c r="L313">
        <v>97</v>
      </c>
      <c r="M313">
        <v>247</v>
      </c>
      <c r="N313">
        <v>1.6</v>
      </c>
      <c r="O313">
        <v>1.1000000000000001</v>
      </c>
      <c r="P313">
        <v>2.1</v>
      </c>
      <c r="Q313">
        <f t="shared" si="8"/>
        <v>3033946</v>
      </c>
      <c r="R313">
        <f t="shared" si="7"/>
        <v>5.6691846196339686</v>
      </c>
      <c r="U313">
        <v>908</v>
      </c>
      <c r="V313">
        <v>380</v>
      </c>
      <c r="W313">
        <v>1435</v>
      </c>
      <c r="X313">
        <v>655</v>
      </c>
      <c r="Y313">
        <v>58.1</v>
      </c>
      <c r="Z313">
        <v>49.5</v>
      </c>
      <c r="AA313">
        <v>66.7</v>
      </c>
    </row>
    <row r="314" spans="1:27" x14ac:dyDescent="0.25">
      <c r="A314" t="s">
        <v>226</v>
      </c>
      <c r="B314" t="s">
        <v>205</v>
      </c>
      <c r="C314" s="76">
        <v>43952</v>
      </c>
      <c r="D314">
        <v>5155</v>
      </c>
      <c r="E314">
        <v>2973</v>
      </c>
      <c r="F314">
        <v>7337</v>
      </c>
      <c r="G314">
        <v>5320</v>
      </c>
      <c r="H314">
        <v>49.2</v>
      </c>
      <c r="I314">
        <v>42</v>
      </c>
      <c r="J314">
        <v>56.4</v>
      </c>
      <c r="K314">
        <v>156</v>
      </c>
      <c r="L314">
        <v>81</v>
      </c>
      <c r="M314">
        <v>230</v>
      </c>
      <c r="N314">
        <v>1.5</v>
      </c>
      <c r="O314">
        <v>1</v>
      </c>
      <c r="P314">
        <v>2</v>
      </c>
      <c r="Q314">
        <f t="shared" si="8"/>
        <v>3033946</v>
      </c>
      <c r="R314">
        <f t="shared" si="7"/>
        <v>5.1418186085052273</v>
      </c>
      <c r="U314">
        <v>887</v>
      </c>
      <c r="V314">
        <v>372</v>
      </c>
      <c r="W314">
        <v>1402</v>
      </c>
      <c r="X314">
        <v>669</v>
      </c>
      <c r="Y314">
        <v>57</v>
      </c>
      <c r="Z314">
        <v>48.1</v>
      </c>
      <c r="AA314">
        <v>65.900000000000006</v>
      </c>
    </row>
    <row r="315" spans="1:27" x14ac:dyDescent="0.25">
      <c r="A315" t="s">
        <v>226</v>
      </c>
      <c r="B315" t="s">
        <v>205</v>
      </c>
      <c r="C315" s="76">
        <v>43953</v>
      </c>
      <c r="D315">
        <v>4995</v>
      </c>
      <c r="E315">
        <v>2886</v>
      </c>
      <c r="F315">
        <v>7104</v>
      </c>
      <c r="G315">
        <v>5665</v>
      </c>
      <c r="H315">
        <v>46.9</v>
      </c>
      <c r="I315">
        <v>39.700000000000003</v>
      </c>
      <c r="J315">
        <v>54</v>
      </c>
      <c r="K315">
        <v>150</v>
      </c>
      <c r="L315">
        <v>80</v>
      </c>
      <c r="M315">
        <v>221</v>
      </c>
      <c r="N315">
        <v>1.4</v>
      </c>
      <c r="O315">
        <v>1</v>
      </c>
      <c r="P315">
        <v>1.9</v>
      </c>
      <c r="Q315">
        <f t="shared" si="8"/>
        <v>3033946</v>
      </c>
      <c r="R315">
        <f t="shared" si="7"/>
        <v>4.9440563543319493</v>
      </c>
      <c r="U315">
        <v>912</v>
      </c>
      <c r="V315">
        <v>352</v>
      </c>
      <c r="W315">
        <v>1472</v>
      </c>
      <c r="X315">
        <v>706</v>
      </c>
      <c r="Y315">
        <v>56.4</v>
      </c>
      <c r="Z315">
        <v>48.2</v>
      </c>
      <c r="AA315">
        <v>64.5</v>
      </c>
    </row>
    <row r="316" spans="1:27" x14ac:dyDescent="0.25">
      <c r="A316" t="s">
        <v>226</v>
      </c>
      <c r="B316" t="s">
        <v>205</v>
      </c>
      <c r="C316" s="76">
        <v>43954</v>
      </c>
      <c r="D316">
        <v>5049</v>
      </c>
      <c r="E316">
        <v>3031</v>
      </c>
      <c r="F316">
        <v>7068</v>
      </c>
      <c r="G316">
        <v>5704</v>
      </c>
      <c r="H316">
        <v>47</v>
      </c>
      <c r="I316">
        <v>40.700000000000003</v>
      </c>
      <c r="J316">
        <v>53.2</v>
      </c>
      <c r="K316">
        <v>179</v>
      </c>
      <c r="L316">
        <v>97</v>
      </c>
      <c r="M316">
        <v>261</v>
      </c>
      <c r="N316">
        <v>1.7</v>
      </c>
      <c r="O316">
        <v>1.1000000000000001</v>
      </c>
      <c r="P316">
        <v>2.2000000000000002</v>
      </c>
      <c r="Q316">
        <f t="shared" si="8"/>
        <v>3033946</v>
      </c>
      <c r="R316">
        <f t="shared" si="7"/>
        <v>5.8999072495027924</v>
      </c>
      <c r="U316">
        <v>919</v>
      </c>
      <c r="V316">
        <v>376</v>
      </c>
      <c r="W316">
        <v>1462</v>
      </c>
      <c r="X316">
        <v>805</v>
      </c>
      <c r="Y316">
        <v>53.3</v>
      </c>
      <c r="Z316">
        <v>43.2</v>
      </c>
      <c r="AA316">
        <v>63.4</v>
      </c>
    </row>
    <row r="317" spans="1:27" x14ac:dyDescent="0.25">
      <c r="A317" t="s">
        <v>226</v>
      </c>
      <c r="B317" t="s">
        <v>205</v>
      </c>
      <c r="C317" s="76">
        <v>43955</v>
      </c>
      <c r="D317">
        <v>5185</v>
      </c>
      <c r="E317">
        <v>3113</v>
      </c>
      <c r="F317">
        <v>7258</v>
      </c>
      <c r="G317">
        <v>5469</v>
      </c>
      <c r="H317">
        <v>48.7</v>
      </c>
      <c r="I317">
        <v>42.1</v>
      </c>
      <c r="J317">
        <v>55.2</v>
      </c>
      <c r="K317">
        <v>192</v>
      </c>
      <c r="L317">
        <v>110</v>
      </c>
      <c r="M317">
        <v>275</v>
      </c>
      <c r="N317">
        <v>1.8</v>
      </c>
      <c r="O317">
        <v>1.3</v>
      </c>
      <c r="P317">
        <v>2.2999999999999998</v>
      </c>
      <c r="Q317">
        <f t="shared" si="8"/>
        <v>3033946</v>
      </c>
      <c r="R317">
        <f t="shared" si="7"/>
        <v>6.3283921335448943</v>
      </c>
      <c r="U317">
        <v>916</v>
      </c>
      <c r="V317">
        <v>387</v>
      </c>
      <c r="W317">
        <v>1445</v>
      </c>
      <c r="X317">
        <v>772</v>
      </c>
      <c r="Y317">
        <v>54.2</v>
      </c>
      <c r="Z317">
        <v>44.1</v>
      </c>
      <c r="AA317">
        <v>64.3</v>
      </c>
    </row>
    <row r="318" spans="1:27" x14ac:dyDescent="0.25">
      <c r="A318" t="s">
        <v>226</v>
      </c>
      <c r="B318" t="s">
        <v>205</v>
      </c>
      <c r="C318" s="76">
        <v>43956</v>
      </c>
      <c r="D318">
        <v>5453</v>
      </c>
      <c r="E318">
        <v>3290</v>
      </c>
      <c r="F318">
        <v>7617</v>
      </c>
      <c r="G318">
        <v>5338</v>
      </c>
      <c r="H318">
        <v>50.5</v>
      </c>
      <c r="I318">
        <v>44.5</v>
      </c>
      <c r="J318">
        <v>56.6</v>
      </c>
      <c r="K318">
        <v>204</v>
      </c>
      <c r="L318">
        <v>114</v>
      </c>
      <c r="M318">
        <v>294</v>
      </c>
      <c r="N318">
        <v>1.9</v>
      </c>
      <c r="O318">
        <v>1.3</v>
      </c>
      <c r="P318">
        <v>2.5</v>
      </c>
      <c r="Q318">
        <f t="shared" si="8"/>
        <v>3033946</v>
      </c>
      <c r="R318">
        <f t="shared" si="7"/>
        <v>6.7239166418914511</v>
      </c>
      <c r="U318">
        <v>942</v>
      </c>
      <c r="V318">
        <v>409</v>
      </c>
      <c r="W318">
        <v>1475</v>
      </c>
      <c r="X318">
        <v>751</v>
      </c>
      <c r="Y318">
        <v>55.6</v>
      </c>
      <c r="Z318">
        <v>44.9</v>
      </c>
      <c r="AA318">
        <v>66.400000000000006</v>
      </c>
    </row>
    <row r="319" spans="1:27" x14ac:dyDescent="0.25">
      <c r="A319" t="s">
        <v>226</v>
      </c>
      <c r="B319" t="s">
        <v>205</v>
      </c>
      <c r="C319" s="76">
        <v>43957</v>
      </c>
      <c r="D319">
        <v>5450</v>
      </c>
      <c r="E319">
        <v>3312</v>
      </c>
      <c r="F319">
        <v>7588</v>
      </c>
      <c r="G319">
        <v>5280</v>
      </c>
      <c r="H319">
        <v>50.8</v>
      </c>
      <c r="I319">
        <v>44.6</v>
      </c>
      <c r="J319">
        <v>56.9</v>
      </c>
      <c r="K319">
        <v>171</v>
      </c>
      <c r="L319">
        <v>94</v>
      </c>
      <c r="M319">
        <v>248</v>
      </c>
      <c r="N319">
        <v>1.6</v>
      </c>
      <c r="O319">
        <v>1.1000000000000001</v>
      </c>
      <c r="P319">
        <v>2.1</v>
      </c>
      <c r="Q319">
        <f t="shared" si="8"/>
        <v>3033946</v>
      </c>
      <c r="R319">
        <f t="shared" si="7"/>
        <v>5.6362242439384218</v>
      </c>
      <c r="U319">
        <v>929</v>
      </c>
      <c r="V319">
        <v>402</v>
      </c>
      <c r="W319">
        <v>1457</v>
      </c>
      <c r="X319">
        <v>755</v>
      </c>
      <c r="Y319">
        <v>55.2</v>
      </c>
      <c r="Z319">
        <v>45.8</v>
      </c>
      <c r="AA319">
        <v>64.5</v>
      </c>
    </row>
    <row r="320" spans="1:27" x14ac:dyDescent="0.25">
      <c r="A320" t="s">
        <v>226</v>
      </c>
      <c r="B320" t="s">
        <v>205</v>
      </c>
      <c r="C320" s="76">
        <v>43958</v>
      </c>
      <c r="D320">
        <v>5598</v>
      </c>
      <c r="E320">
        <v>3388</v>
      </c>
      <c r="F320">
        <v>7808</v>
      </c>
      <c r="G320">
        <v>5124</v>
      </c>
      <c r="H320">
        <v>52.2</v>
      </c>
      <c r="I320">
        <v>45.5</v>
      </c>
      <c r="J320">
        <v>58.9</v>
      </c>
      <c r="K320">
        <v>350</v>
      </c>
      <c r="L320">
        <v>0</v>
      </c>
      <c r="M320">
        <v>716</v>
      </c>
      <c r="N320">
        <v>3.3</v>
      </c>
      <c r="O320">
        <v>0</v>
      </c>
      <c r="P320">
        <v>6.5</v>
      </c>
      <c r="Q320">
        <f t="shared" si="8"/>
        <v>3033946</v>
      </c>
      <c r="R320">
        <f t="shared" si="7"/>
        <v>11.536131493441214</v>
      </c>
      <c r="U320">
        <v>939</v>
      </c>
      <c r="V320">
        <v>399</v>
      </c>
      <c r="W320">
        <v>1479</v>
      </c>
      <c r="X320">
        <v>745</v>
      </c>
      <c r="Y320">
        <v>55.8</v>
      </c>
      <c r="Z320">
        <v>46.3</v>
      </c>
      <c r="AA320">
        <v>65.2</v>
      </c>
    </row>
    <row r="321" spans="1:27" x14ac:dyDescent="0.25">
      <c r="A321" t="s">
        <v>226</v>
      </c>
      <c r="B321" t="s">
        <v>205</v>
      </c>
      <c r="C321" s="76">
        <v>43959</v>
      </c>
      <c r="D321">
        <v>5547</v>
      </c>
      <c r="E321">
        <v>3373</v>
      </c>
      <c r="F321">
        <v>7722</v>
      </c>
      <c r="G321">
        <v>5223</v>
      </c>
      <c r="H321">
        <v>51.5</v>
      </c>
      <c r="I321">
        <v>45.3</v>
      </c>
      <c r="J321">
        <v>57.7</v>
      </c>
      <c r="K321">
        <v>179</v>
      </c>
      <c r="L321">
        <v>82</v>
      </c>
      <c r="M321">
        <v>276</v>
      </c>
      <c r="N321">
        <v>1.7</v>
      </c>
      <c r="O321">
        <v>1</v>
      </c>
      <c r="P321">
        <v>2.2999999999999998</v>
      </c>
      <c r="Q321">
        <f t="shared" si="8"/>
        <v>3033946</v>
      </c>
      <c r="R321">
        <f t="shared" si="7"/>
        <v>5.8999072495027924</v>
      </c>
      <c r="U321">
        <v>916</v>
      </c>
      <c r="V321">
        <v>390</v>
      </c>
      <c r="W321">
        <v>1442</v>
      </c>
      <c r="X321">
        <v>782</v>
      </c>
      <c r="Y321">
        <v>54</v>
      </c>
      <c r="Z321">
        <v>44.3</v>
      </c>
      <c r="AA321">
        <v>63.6</v>
      </c>
    </row>
    <row r="322" spans="1:27" x14ac:dyDescent="0.25">
      <c r="A322" t="s">
        <v>226</v>
      </c>
      <c r="B322" t="s">
        <v>205</v>
      </c>
      <c r="C322" s="76">
        <v>43960</v>
      </c>
      <c r="D322">
        <v>5198</v>
      </c>
      <c r="E322">
        <v>3105</v>
      </c>
      <c r="F322">
        <v>7290</v>
      </c>
      <c r="G322">
        <v>5347</v>
      </c>
      <c r="H322">
        <v>49.3</v>
      </c>
      <c r="I322">
        <v>42.5</v>
      </c>
      <c r="J322">
        <v>56.1</v>
      </c>
      <c r="K322">
        <v>186</v>
      </c>
      <c r="L322">
        <v>80</v>
      </c>
      <c r="M322">
        <v>293</v>
      </c>
      <c r="N322">
        <v>1.8</v>
      </c>
      <c r="O322">
        <v>1</v>
      </c>
      <c r="P322">
        <v>2.5</v>
      </c>
      <c r="Q322">
        <f t="shared" si="8"/>
        <v>3033946</v>
      </c>
      <c r="R322">
        <f t="shared" si="7"/>
        <v>6.1306298793716172</v>
      </c>
      <c r="U322">
        <v>867</v>
      </c>
      <c r="V322">
        <v>354</v>
      </c>
      <c r="W322">
        <v>1380</v>
      </c>
      <c r="X322">
        <v>773</v>
      </c>
      <c r="Y322">
        <v>52.9</v>
      </c>
      <c r="Z322">
        <v>41.3</v>
      </c>
      <c r="AA322">
        <v>64.400000000000006</v>
      </c>
    </row>
    <row r="323" spans="1:27" x14ac:dyDescent="0.25">
      <c r="A323" t="s">
        <v>226</v>
      </c>
      <c r="B323" t="s">
        <v>205</v>
      </c>
      <c r="C323" s="76">
        <v>43961</v>
      </c>
      <c r="D323">
        <v>5278</v>
      </c>
      <c r="E323">
        <v>3184</v>
      </c>
      <c r="F323">
        <v>7372</v>
      </c>
      <c r="G323">
        <v>5387</v>
      </c>
      <c r="H323">
        <v>49.5</v>
      </c>
      <c r="I323">
        <v>43</v>
      </c>
      <c r="J323">
        <v>55.9</v>
      </c>
      <c r="K323">
        <v>186</v>
      </c>
      <c r="L323">
        <v>89</v>
      </c>
      <c r="M323">
        <v>284</v>
      </c>
      <c r="N323">
        <v>1.7</v>
      </c>
      <c r="O323">
        <v>1.1000000000000001</v>
      </c>
      <c r="P323">
        <v>2.4</v>
      </c>
      <c r="Q323">
        <f t="shared" si="8"/>
        <v>3033946</v>
      </c>
      <c r="R323">
        <f t="shared" si="7"/>
        <v>6.1306298793716172</v>
      </c>
      <c r="U323">
        <v>863</v>
      </c>
      <c r="V323">
        <v>364</v>
      </c>
      <c r="W323">
        <v>1362</v>
      </c>
      <c r="X323">
        <v>774</v>
      </c>
      <c r="Y323">
        <v>52.7</v>
      </c>
      <c r="Z323">
        <v>43.2</v>
      </c>
      <c r="AA323">
        <v>62.3</v>
      </c>
    </row>
    <row r="324" spans="1:27" x14ac:dyDescent="0.25">
      <c r="A324" t="s">
        <v>226</v>
      </c>
      <c r="B324" t="s">
        <v>205</v>
      </c>
      <c r="C324" s="76">
        <v>43962</v>
      </c>
      <c r="D324">
        <v>5229</v>
      </c>
      <c r="E324">
        <v>3130</v>
      </c>
      <c r="F324">
        <v>7327</v>
      </c>
      <c r="G324">
        <v>5513</v>
      </c>
      <c r="H324">
        <v>48.7</v>
      </c>
      <c r="I324">
        <v>42.8</v>
      </c>
      <c r="J324">
        <v>54.5</v>
      </c>
      <c r="K324">
        <v>147</v>
      </c>
      <c r="L324">
        <v>65</v>
      </c>
      <c r="M324">
        <v>229</v>
      </c>
      <c r="N324">
        <v>1.4</v>
      </c>
      <c r="O324">
        <v>0.9</v>
      </c>
      <c r="P324">
        <v>1.9</v>
      </c>
      <c r="Q324">
        <f t="shared" si="8"/>
        <v>3033946</v>
      </c>
      <c r="R324">
        <f t="shared" si="7"/>
        <v>4.8451752272453108</v>
      </c>
      <c r="U324">
        <v>890</v>
      </c>
      <c r="V324">
        <v>371</v>
      </c>
      <c r="W324">
        <v>1410</v>
      </c>
      <c r="X324">
        <v>751</v>
      </c>
      <c r="Y324">
        <v>54.2</v>
      </c>
      <c r="Z324">
        <v>45.2</v>
      </c>
      <c r="AA324">
        <v>63.3</v>
      </c>
    </row>
    <row r="325" spans="1:27" x14ac:dyDescent="0.25">
      <c r="A325" t="s">
        <v>226</v>
      </c>
      <c r="B325" t="s">
        <v>205</v>
      </c>
      <c r="C325" s="76">
        <v>43963</v>
      </c>
      <c r="D325">
        <v>5475</v>
      </c>
      <c r="E325">
        <v>3295</v>
      </c>
      <c r="F325">
        <v>7656</v>
      </c>
      <c r="G325">
        <v>5284</v>
      </c>
      <c r="H325">
        <v>50.9</v>
      </c>
      <c r="I325">
        <v>45.3</v>
      </c>
      <c r="J325">
        <v>56.5</v>
      </c>
      <c r="K325">
        <v>175</v>
      </c>
      <c r="L325">
        <v>86</v>
      </c>
      <c r="M325">
        <v>263</v>
      </c>
      <c r="N325">
        <v>1.6</v>
      </c>
      <c r="O325">
        <v>1.1000000000000001</v>
      </c>
      <c r="P325">
        <v>2.2000000000000002</v>
      </c>
      <c r="Q325">
        <f t="shared" si="8"/>
        <v>3033946</v>
      </c>
      <c r="R325">
        <f t="shared" ref="R325:R388" si="9">K325/(Q325)*100000</f>
        <v>5.7680657467206071</v>
      </c>
      <c r="U325">
        <v>877</v>
      </c>
      <c r="V325">
        <v>377</v>
      </c>
      <c r="W325">
        <v>1378</v>
      </c>
      <c r="X325">
        <v>736</v>
      </c>
      <c r="Y325">
        <v>54.4</v>
      </c>
      <c r="Z325">
        <v>45.9</v>
      </c>
      <c r="AA325">
        <v>62.9</v>
      </c>
    </row>
    <row r="326" spans="1:27" x14ac:dyDescent="0.25">
      <c r="A326" t="s">
        <v>226</v>
      </c>
      <c r="B326" t="s">
        <v>205</v>
      </c>
      <c r="C326" s="76">
        <v>43964</v>
      </c>
      <c r="D326">
        <v>5826</v>
      </c>
      <c r="E326">
        <v>3292</v>
      </c>
      <c r="F326">
        <v>8360</v>
      </c>
      <c r="G326">
        <v>5016</v>
      </c>
      <c r="H326">
        <v>53.7</v>
      </c>
      <c r="I326">
        <v>47.7</v>
      </c>
      <c r="J326">
        <v>59.7</v>
      </c>
      <c r="K326">
        <v>187</v>
      </c>
      <c r="L326">
        <v>80</v>
      </c>
      <c r="M326">
        <v>294</v>
      </c>
      <c r="N326">
        <v>1.7</v>
      </c>
      <c r="O326">
        <v>1.1000000000000001</v>
      </c>
      <c r="P326">
        <v>2.4</v>
      </c>
      <c r="Q326">
        <f t="shared" si="8"/>
        <v>3033946</v>
      </c>
      <c r="R326">
        <f t="shared" si="9"/>
        <v>6.163590255067164</v>
      </c>
      <c r="U326">
        <v>900</v>
      </c>
      <c r="V326">
        <v>392</v>
      </c>
      <c r="W326">
        <v>1409</v>
      </c>
      <c r="X326">
        <v>774</v>
      </c>
      <c r="Y326">
        <v>53.8</v>
      </c>
      <c r="Z326">
        <v>44.7</v>
      </c>
      <c r="AA326">
        <v>62.8</v>
      </c>
    </row>
    <row r="327" spans="1:27" x14ac:dyDescent="0.25">
      <c r="A327" t="s">
        <v>226</v>
      </c>
      <c r="B327" t="s">
        <v>205</v>
      </c>
      <c r="C327" s="76">
        <v>43965</v>
      </c>
      <c r="D327">
        <v>5726</v>
      </c>
      <c r="E327">
        <v>3244</v>
      </c>
      <c r="F327">
        <v>8208</v>
      </c>
      <c r="G327">
        <v>5098</v>
      </c>
      <c r="H327">
        <v>52.9</v>
      </c>
      <c r="I327">
        <v>46.2</v>
      </c>
      <c r="J327">
        <v>59.6</v>
      </c>
      <c r="K327">
        <v>189</v>
      </c>
      <c r="L327">
        <v>83</v>
      </c>
      <c r="M327">
        <v>295</v>
      </c>
      <c r="N327">
        <v>1.7</v>
      </c>
      <c r="O327">
        <v>1.2</v>
      </c>
      <c r="P327">
        <v>2.2999999999999998</v>
      </c>
      <c r="Q327">
        <f t="shared" si="8"/>
        <v>3033946</v>
      </c>
      <c r="R327">
        <f t="shared" si="9"/>
        <v>6.2295110064582557</v>
      </c>
      <c r="U327">
        <v>909</v>
      </c>
      <c r="V327">
        <v>395</v>
      </c>
      <c r="W327">
        <v>1423</v>
      </c>
      <c r="X327">
        <v>854</v>
      </c>
      <c r="Y327">
        <v>51.6</v>
      </c>
      <c r="Z327">
        <v>42.5</v>
      </c>
      <c r="AA327">
        <v>60.6</v>
      </c>
    </row>
    <row r="328" spans="1:27" x14ac:dyDescent="0.25">
      <c r="A328" t="s">
        <v>226</v>
      </c>
      <c r="B328" t="s">
        <v>205</v>
      </c>
      <c r="C328" s="76">
        <v>43966</v>
      </c>
      <c r="D328">
        <v>5793</v>
      </c>
      <c r="E328">
        <v>3323</v>
      </c>
      <c r="F328">
        <v>8263</v>
      </c>
      <c r="G328">
        <v>4999</v>
      </c>
      <c r="H328">
        <v>53.7</v>
      </c>
      <c r="I328">
        <v>46.9</v>
      </c>
      <c r="J328">
        <v>60.4</v>
      </c>
      <c r="K328">
        <v>201</v>
      </c>
      <c r="L328">
        <v>91</v>
      </c>
      <c r="M328">
        <v>311</v>
      </c>
      <c r="N328">
        <v>1.9</v>
      </c>
      <c r="O328">
        <v>1.3</v>
      </c>
      <c r="P328">
        <v>2.5</v>
      </c>
      <c r="Q328">
        <f t="shared" si="8"/>
        <v>3033946</v>
      </c>
      <c r="R328">
        <f t="shared" si="9"/>
        <v>6.6250355148048117</v>
      </c>
      <c r="U328">
        <v>890</v>
      </c>
      <c r="V328">
        <v>372</v>
      </c>
      <c r="W328">
        <v>1408</v>
      </c>
      <c r="X328">
        <v>866</v>
      </c>
      <c r="Y328">
        <v>50.7</v>
      </c>
      <c r="Z328">
        <v>42.1</v>
      </c>
      <c r="AA328">
        <v>59.3</v>
      </c>
    </row>
    <row r="329" spans="1:27" x14ac:dyDescent="0.25">
      <c r="A329" t="s">
        <v>226</v>
      </c>
      <c r="B329" t="s">
        <v>205</v>
      </c>
      <c r="C329" s="76">
        <v>43967</v>
      </c>
      <c r="D329">
        <v>5481</v>
      </c>
      <c r="E329">
        <v>3054</v>
      </c>
      <c r="F329">
        <v>7908</v>
      </c>
      <c r="G329">
        <v>5289</v>
      </c>
      <c r="H329">
        <v>50.9</v>
      </c>
      <c r="I329">
        <v>43.9</v>
      </c>
      <c r="J329">
        <v>57.9</v>
      </c>
      <c r="K329">
        <v>213</v>
      </c>
      <c r="L329">
        <v>99</v>
      </c>
      <c r="M329">
        <v>327</v>
      </c>
      <c r="N329">
        <v>2</v>
      </c>
      <c r="O329">
        <v>1.3</v>
      </c>
      <c r="P329">
        <v>2.6</v>
      </c>
      <c r="Q329">
        <f t="shared" si="8"/>
        <v>3033946</v>
      </c>
      <c r="R329">
        <f t="shared" si="9"/>
        <v>7.0205600231513685</v>
      </c>
      <c r="U329">
        <v>879</v>
      </c>
      <c r="V329">
        <v>377</v>
      </c>
      <c r="W329">
        <v>1381</v>
      </c>
      <c r="X329">
        <v>873</v>
      </c>
      <c r="Y329">
        <v>50.2</v>
      </c>
      <c r="Z329">
        <v>42.2</v>
      </c>
      <c r="AA329">
        <v>58.2</v>
      </c>
    </row>
    <row r="330" spans="1:27" x14ac:dyDescent="0.25">
      <c r="A330" t="s">
        <v>226</v>
      </c>
      <c r="B330" t="s">
        <v>205</v>
      </c>
      <c r="C330" s="76">
        <v>43968</v>
      </c>
      <c r="D330">
        <v>5382</v>
      </c>
      <c r="E330">
        <v>3015</v>
      </c>
      <c r="F330">
        <v>7749</v>
      </c>
      <c r="G330">
        <v>5390</v>
      </c>
      <c r="H330">
        <v>50</v>
      </c>
      <c r="I330">
        <v>43.1</v>
      </c>
      <c r="J330">
        <v>56.8</v>
      </c>
      <c r="K330">
        <v>195</v>
      </c>
      <c r="L330">
        <v>85</v>
      </c>
      <c r="M330">
        <v>306</v>
      </c>
      <c r="N330">
        <v>1.8</v>
      </c>
      <c r="O330">
        <v>1.1000000000000001</v>
      </c>
      <c r="P330">
        <v>2.5</v>
      </c>
      <c r="Q330">
        <f t="shared" si="8"/>
        <v>3033946</v>
      </c>
      <c r="R330">
        <f t="shared" si="9"/>
        <v>6.4272732606315346</v>
      </c>
      <c r="U330">
        <v>889</v>
      </c>
      <c r="V330">
        <v>381</v>
      </c>
      <c r="W330">
        <v>1396</v>
      </c>
      <c r="X330">
        <v>861</v>
      </c>
      <c r="Y330">
        <v>50.8</v>
      </c>
      <c r="Z330">
        <v>41.5</v>
      </c>
      <c r="AA330">
        <v>60.1</v>
      </c>
    </row>
    <row r="331" spans="1:27" x14ac:dyDescent="0.25">
      <c r="A331" t="s">
        <v>226</v>
      </c>
      <c r="B331" t="s">
        <v>205</v>
      </c>
      <c r="C331" s="76">
        <v>43969</v>
      </c>
      <c r="D331">
        <v>5563</v>
      </c>
      <c r="E331">
        <v>3084</v>
      </c>
      <c r="F331">
        <v>8042</v>
      </c>
      <c r="G331">
        <v>5216</v>
      </c>
      <c r="H331">
        <v>51.6</v>
      </c>
      <c r="I331">
        <v>44.2</v>
      </c>
      <c r="J331">
        <v>59</v>
      </c>
      <c r="K331">
        <v>222</v>
      </c>
      <c r="L331">
        <v>99</v>
      </c>
      <c r="M331">
        <v>345</v>
      </c>
      <c r="N331">
        <v>2.1</v>
      </c>
      <c r="O331">
        <v>1.4</v>
      </c>
      <c r="P331">
        <v>2.8</v>
      </c>
      <c r="Q331">
        <f t="shared" si="8"/>
        <v>3033946</v>
      </c>
      <c r="R331">
        <f t="shared" si="9"/>
        <v>7.317203404411285</v>
      </c>
      <c r="U331">
        <v>915</v>
      </c>
      <c r="V331">
        <v>394</v>
      </c>
      <c r="W331">
        <v>1437</v>
      </c>
      <c r="X331">
        <v>752</v>
      </c>
      <c r="Y331">
        <v>54.9</v>
      </c>
      <c r="Z331">
        <v>45.3</v>
      </c>
      <c r="AA331">
        <v>64.5</v>
      </c>
    </row>
    <row r="332" spans="1:27" x14ac:dyDescent="0.25">
      <c r="A332" t="s">
        <v>226</v>
      </c>
      <c r="B332" t="s">
        <v>205</v>
      </c>
      <c r="C332" s="76">
        <v>43970</v>
      </c>
      <c r="D332">
        <v>5786</v>
      </c>
      <c r="E332">
        <v>3232</v>
      </c>
      <c r="F332">
        <v>8340</v>
      </c>
      <c r="G332">
        <v>5034</v>
      </c>
      <c r="H332">
        <v>53.5</v>
      </c>
      <c r="I332">
        <v>46.5</v>
      </c>
      <c r="J332">
        <v>60.4</v>
      </c>
      <c r="K332">
        <v>255</v>
      </c>
      <c r="L332">
        <v>110</v>
      </c>
      <c r="M332">
        <v>400</v>
      </c>
      <c r="N332">
        <v>2.4</v>
      </c>
      <c r="O332">
        <v>1.5</v>
      </c>
      <c r="P332">
        <v>3.2</v>
      </c>
      <c r="Q332">
        <f t="shared" si="8"/>
        <v>3033946</v>
      </c>
      <c r="R332">
        <f t="shared" si="9"/>
        <v>8.4048958023643134</v>
      </c>
      <c r="U332">
        <v>926</v>
      </c>
      <c r="V332">
        <v>409</v>
      </c>
      <c r="W332">
        <v>1444</v>
      </c>
      <c r="X332">
        <v>744</v>
      </c>
      <c r="Y332">
        <v>55.5</v>
      </c>
      <c r="Z332">
        <v>44.6</v>
      </c>
      <c r="AA332">
        <v>66.400000000000006</v>
      </c>
    </row>
    <row r="333" spans="1:27" x14ac:dyDescent="0.25">
      <c r="A333" t="s">
        <v>226</v>
      </c>
      <c r="B333" t="s">
        <v>205</v>
      </c>
      <c r="C333" s="76">
        <v>43971</v>
      </c>
      <c r="D333">
        <v>5952</v>
      </c>
      <c r="E333">
        <v>3347</v>
      </c>
      <c r="F333">
        <v>8558</v>
      </c>
      <c r="G333">
        <v>4868</v>
      </c>
      <c r="H333">
        <v>55</v>
      </c>
      <c r="I333">
        <v>47.6</v>
      </c>
      <c r="J333">
        <v>62.4</v>
      </c>
      <c r="K333">
        <v>234</v>
      </c>
      <c r="L333">
        <v>95</v>
      </c>
      <c r="M333">
        <v>373</v>
      </c>
      <c r="N333">
        <v>2.2000000000000002</v>
      </c>
      <c r="O333">
        <v>1.4</v>
      </c>
      <c r="P333">
        <v>3</v>
      </c>
      <c r="Q333">
        <f t="shared" si="8"/>
        <v>3033946</v>
      </c>
      <c r="R333">
        <f t="shared" si="9"/>
        <v>7.712727912757841</v>
      </c>
      <c r="U333">
        <v>912</v>
      </c>
      <c r="V333">
        <v>411</v>
      </c>
      <c r="W333">
        <v>1413</v>
      </c>
      <c r="X333">
        <v>611</v>
      </c>
      <c r="Y333">
        <v>59.9</v>
      </c>
      <c r="Z333">
        <v>45.8</v>
      </c>
      <c r="AA333">
        <v>74</v>
      </c>
    </row>
    <row r="334" spans="1:27" x14ac:dyDescent="0.25">
      <c r="A334" t="s">
        <v>226</v>
      </c>
      <c r="B334" t="s">
        <v>205</v>
      </c>
      <c r="C334" s="76">
        <v>43972</v>
      </c>
      <c r="D334">
        <v>6260</v>
      </c>
      <c r="E334">
        <v>3432</v>
      </c>
      <c r="F334">
        <v>9089</v>
      </c>
      <c r="G334">
        <v>4669</v>
      </c>
      <c r="H334">
        <v>57.3</v>
      </c>
      <c r="I334">
        <v>49.2</v>
      </c>
      <c r="J334">
        <v>65.400000000000006</v>
      </c>
      <c r="K334">
        <v>204</v>
      </c>
      <c r="L334">
        <v>85</v>
      </c>
      <c r="M334">
        <v>324</v>
      </c>
      <c r="N334">
        <v>1.9</v>
      </c>
      <c r="O334">
        <v>1.2</v>
      </c>
      <c r="P334">
        <v>2.5</v>
      </c>
      <c r="Q334">
        <f t="shared" si="8"/>
        <v>3033946</v>
      </c>
      <c r="R334">
        <f t="shared" si="9"/>
        <v>6.7239166418914511</v>
      </c>
      <c r="U334">
        <v>968</v>
      </c>
      <c r="V334">
        <v>388</v>
      </c>
      <c r="W334">
        <v>1549</v>
      </c>
      <c r="X334">
        <v>626</v>
      </c>
      <c r="Y334">
        <v>60.8</v>
      </c>
      <c r="Z334">
        <v>48</v>
      </c>
      <c r="AA334">
        <v>73.5</v>
      </c>
    </row>
    <row r="335" spans="1:27" x14ac:dyDescent="0.25">
      <c r="A335" t="s">
        <v>226</v>
      </c>
      <c r="B335" t="s">
        <v>205</v>
      </c>
      <c r="C335" s="76">
        <v>43973</v>
      </c>
      <c r="D335">
        <v>6128</v>
      </c>
      <c r="E335">
        <v>3366</v>
      </c>
      <c r="F335">
        <v>8890</v>
      </c>
      <c r="G335">
        <v>4842</v>
      </c>
      <c r="H335">
        <v>55.9</v>
      </c>
      <c r="I335">
        <v>48.1</v>
      </c>
      <c r="J335">
        <v>63.6</v>
      </c>
      <c r="K335">
        <v>217</v>
      </c>
      <c r="L335">
        <v>89</v>
      </c>
      <c r="M335">
        <v>346</v>
      </c>
      <c r="N335">
        <v>2</v>
      </c>
      <c r="O335">
        <v>1.3</v>
      </c>
      <c r="P335">
        <v>2.7</v>
      </c>
      <c r="Q335">
        <f t="shared" si="8"/>
        <v>3033946</v>
      </c>
      <c r="R335">
        <f t="shared" si="9"/>
        <v>7.1524015259335529</v>
      </c>
      <c r="U335">
        <v>967</v>
      </c>
      <c r="V335">
        <v>375</v>
      </c>
      <c r="W335">
        <v>1560</v>
      </c>
      <c r="X335">
        <v>626</v>
      </c>
      <c r="Y335">
        <v>60.7</v>
      </c>
      <c r="Z335">
        <v>48</v>
      </c>
      <c r="AA335">
        <v>73.400000000000006</v>
      </c>
    </row>
    <row r="336" spans="1:27" x14ac:dyDescent="0.25">
      <c r="A336" t="s">
        <v>226</v>
      </c>
      <c r="B336" t="s">
        <v>205</v>
      </c>
      <c r="C336" s="76">
        <v>43974</v>
      </c>
      <c r="D336">
        <v>5787</v>
      </c>
      <c r="E336">
        <v>3174</v>
      </c>
      <c r="F336">
        <v>8401</v>
      </c>
      <c r="G336">
        <v>5322</v>
      </c>
      <c r="H336">
        <v>52.1</v>
      </c>
      <c r="I336">
        <v>44.4</v>
      </c>
      <c r="J336">
        <v>59.8</v>
      </c>
      <c r="K336">
        <v>204</v>
      </c>
      <c r="L336">
        <v>89</v>
      </c>
      <c r="M336">
        <v>320</v>
      </c>
      <c r="N336">
        <v>1.8</v>
      </c>
      <c r="O336">
        <v>1.2</v>
      </c>
      <c r="P336">
        <v>2.5</v>
      </c>
      <c r="Q336">
        <f t="shared" si="8"/>
        <v>3033946</v>
      </c>
      <c r="R336">
        <f t="shared" si="9"/>
        <v>6.7239166418914511</v>
      </c>
      <c r="U336">
        <v>945</v>
      </c>
      <c r="V336">
        <v>375</v>
      </c>
      <c r="W336">
        <v>1515</v>
      </c>
      <c r="X336">
        <v>652</v>
      </c>
      <c r="Y336">
        <v>59.2</v>
      </c>
      <c r="Z336">
        <v>46.3</v>
      </c>
      <c r="AA336">
        <v>72.099999999999994</v>
      </c>
    </row>
    <row r="337" spans="1:27" x14ac:dyDescent="0.25">
      <c r="A337" t="s">
        <v>226</v>
      </c>
      <c r="B337" t="s">
        <v>205</v>
      </c>
      <c r="C337" s="76">
        <v>43975</v>
      </c>
      <c r="D337">
        <v>5583</v>
      </c>
      <c r="E337">
        <v>3034</v>
      </c>
      <c r="F337">
        <v>8131</v>
      </c>
      <c r="G337">
        <v>5465</v>
      </c>
      <c r="H337">
        <v>50.5</v>
      </c>
      <c r="I337">
        <v>42.9</v>
      </c>
      <c r="J337">
        <v>58.1</v>
      </c>
      <c r="K337">
        <v>213</v>
      </c>
      <c r="L337">
        <v>74</v>
      </c>
      <c r="M337">
        <v>351</v>
      </c>
      <c r="N337">
        <v>1.9</v>
      </c>
      <c r="O337">
        <v>1.1000000000000001</v>
      </c>
      <c r="P337">
        <v>2.8</v>
      </c>
      <c r="Q337">
        <f t="shared" si="8"/>
        <v>3033946</v>
      </c>
      <c r="R337">
        <f t="shared" si="9"/>
        <v>7.0205600231513685</v>
      </c>
      <c r="U337">
        <v>913</v>
      </c>
      <c r="V337">
        <v>339</v>
      </c>
      <c r="W337">
        <v>1488</v>
      </c>
      <c r="X337">
        <v>677</v>
      </c>
      <c r="Y337">
        <v>57.4</v>
      </c>
      <c r="Z337">
        <v>44.4</v>
      </c>
      <c r="AA337">
        <v>70.400000000000006</v>
      </c>
    </row>
    <row r="338" spans="1:27" x14ac:dyDescent="0.25">
      <c r="A338" t="s">
        <v>226</v>
      </c>
      <c r="B338" t="s">
        <v>205</v>
      </c>
      <c r="C338" s="76">
        <v>43976</v>
      </c>
      <c r="D338">
        <v>5485</v>
      </c>
      <c r="E338">
        <v>2908</v>
      </c>
      <c r="F338">
        <v>8062</v>
      </c>
      <c r="G338">
        <v>5249</v>
      </c>
      <c r="H338">
        <v>51.1</v>
      </c>
      <c r="I338">
        <v>43.6</v>
      </c>
      <c r="J338">
        <v>58.6</v>
      </c>
      <c r="K338">
        <v>213</v>
      </c>
      <c r="L338">
        <v>75</v>
      </c>
      <c r="M338">
        <v>350</v>
      </c>
      <c r="N338">
        <v>2</v>
      </c>
      <c r="O338">
        <v>1.1000000000000001</v>
      </c>
      <c r="P338">
        <v>2.8</v>
      </c>
      <c r="Q338">
        <f t="shared" si="8"/>
        <v>3033946</v>
      </c>
      <c r="R338">
        <f t="shared" si="9"/>
        <v>7.0205600231513685</v>
      </c>
      <c r="U338">
        <v>875</v>
      </c>
      <c r="V338">
        <v>287</v>
      </c>
      <c r="W338">
        <v>1462</v>
      </c>
      <c r="X338">
        <v>659</v>
      </c>
      <c r="Y338">
        <v>57</v>
      </c>
      <c r="Z338">
        <v>44.1</v>
      </c>
      <c r="AA338">
        <v>70</v>
      </c>
    </row>
    <row r="339" spans="1:27" x14ac:dyDescent="0.25">
      <c r="A339" t="s">
        <v>226</v>
      </c>
      <c r="B339" t="s">
        <v>205</v>
      </c>
      <c r="C339" s="76">
        <v>43977</v>
      </c>
      <c r="D339">
        <v>5604</v>
      </c>
      <c r="E339">
        <v>2942</v>
      </c>
      <c r="F339">
        <v>8266</v>
      </c>
      <c r="G339">
        <v>5080</v>
      </c>
      <c r="H339">
        <v>52.5</v>
      </c>
      <c r="I339">
        <v>44.7</v>
      </c>
      <c r="J339">
        <v>60.2</v>
      </c>
      <c r="K339">
        <v>266</v>
      </c>
      <c r="L339">
        <v>92</v>
      </c>
      <c r="M339">
        <v>440</v>
      </c>
      <c r="N339">
        <v>2.5</v>
      </c>
      <c r="O339">
        <v>1.3</v>
      </c>
      <c r="P339">
        <v>3.6</v>
      </c>
      <c r="Q339">
        <f t="shared" si="8"/>
        <v>3033946</v>
      </c>
      <c r="R339">
        <f t="shared" si="9"/>
        <v>8.7674599350153244</v>
      </c>
      <c r="U339">
        <v>882</v>
      </c>
      <c r="V339">
        <v>323</v>
      </c>
      <c r="W339">
        <v>1441</v>
      </c>
      <c r="X339">
        <v>635</v>
      </c>
      <c r="Y339">
        <v>58.1</v>
      </c>
      <c r="Z339">
        <v>46.4</v>
      </c>
      <c r="AA339">
        <v>69.900000000000006</v>
      </c>
    </row>
    <row r="340" spans="1:27" x14ac:dyDescent="0.25">
      <c r="A340" t="s">
        <v>226</v>
      </c>
      <c r="B340" t="s">
        <v>205</v>
      </c>
      <c r="C340" s="76">
        <v>43978</v>
      </c>
      <c r="D340">
        <v>6106</v>
      </c>
      <c r="E340">
        <v>3242</v>
      </c>
      <c r="F340">
        <v>8970</v>
      </c>
      <c r="G340">
        <v>4619</v>
      </c>
      <c r="H340">
        <v>56.9</v>
      </c>
      <c r="I340">
        <v>48.8</v>
      </c>
      <c r="J340">
        <v>65</v>
      </c>
      <c r="K340">
        <v>216</v>
      </c>
      <c r="L340">
        <v>65</v>
      </c>
      <c r="M340">
        <v>366</v>
      </c>
      <c r="N340">
        <v>2</v>
      </c>
      <c r="O340">
        <v>1</v>
      </c>
      <c r="P340">
        <v>3.1</v>
      </c>
      <c r="Q340">
        <f t="shared" si="8"/>
        <v>3033946</v>
      </c>
      <c r="R340">
        <f t="shared" si="9"/>
        <v>7.1194411502380071</v>
      </c>
      <c r="U340">
        <v>898</v>
      </c>
      <c r="V340">
        <v>352</v>
      </c>
      <c r="W340">
        <v>1444</v>
      </c>
      <c r="X340">
        <v>611</v>
      </c>
      <c r="Y340">
        <v>59.5</v>
      </c>
      <c r="Z340">
        <v>47.7</v>
      </c>
      <c r="AA340">
        <v>71.3</v>
      </c>
    </row>
    <row r="341" spans="1:27" x14ac:dyDescent="0.25">
      <c r="A341" t="s">
        <v>226</v>
      </c>
      <c r="B341" t="s">
        <v>205</v>
      </c>
      <c r="C341" s="76">
        <v>43979</v>
      </c>
      <c r="D341">
        <v>5785</v>
      </c>
      <c r="E341">
        <v>2883</v>
      </c>
      <c r="F341">
        <v>8687</v>
      </c>
      <c r="G341">
        <v>4684</v>
      </c>
      <c r="H341">
        <v>55.3</v>
      </c>
      <c r="I341">
        <v>47.4</v>
      </c>
      <c r="J341">
        <v>63.1</v>
      </c>
      <c r="K341">
        <v>265</v>
      </c>
      <c r="L341">
        <v>19</v>
      </c>
      <c r="M341">
        <v>510</v>
      </c>
      <c r="N341">
        <v>2.5</v>
      </c>
      <c r="O341">
        <v>0.6</v>
      </c>
      <c r="P341">
        <v>4.5</v>
      </c>
      <c r="Q341">
        <f t="shared" si="8"/>
        <v>3033946</v>
      </c>
      <c r="R341">
        <f t="shared" si="9"/>
        <v>8.7344995593197758</v>
      </c>
      <c r="U341">
        <v>1072</v>
      </c>
      <c r="V341">
        <v>172</v>
      </c>
      <c r="W341">
        <v>1972</v>
      </c>
      <c r="X341">
        <v>695</v>
      </c>
      <c r="Y341">
        <v>60.7</v>
      </c>
      <c r="Z341">
        <v>48.2</v>
      </c>
      <c r="AA341">
        <v>73.099999999999994</v>
      </c>
    </row>
    <row r="342" spans="1:27" x14ac:dyDescent="0.25">
      <c r="A342" t="s">
        <v>226</v>
      </c>
      <c r="B342" t="s">
        <v>205</v>
      </c>
      <c r="C342" s="76">
        <v>43980</v>
      </c>
      <c r="D342">
        <v>6168</v>
      </c>
      <c r="E342">
        <v>3343</v>
      </c>
      <c r="F342">
        <v>8992</v>
      </c>
      <c r="G342">
        <v>4725</v>
      </c>
      <c r="H342">
        <v>56.6</v>
      </c>
      <c r="I342">
        <v>48.3</v>
      </c>
      <c r="J342">
        <v>64.900000000000006</v>
      </c>
      <c r="K342">
        <v>259</v>
      </c>
      <c r="L342">
        <v>66</v>
      </c>
      <c r="M342">
        <v>452</v>
      </c>
      <c r="N342">
        <v>2.4</v>
      </c>
      <c r="O342">
        <v>1</v>
      </c>
      <c r="P342">
        <v>3.8</v>
      </c>
      <c r="Q342">
        <f t="shared" si="8"/>
        <v>3033946</v>
      </c>
      <c r="R342">
        <f t="shared" si="9"/>
        <v>8.5367373051464988</v>
      </c>
      <c r="U342">
        <v>972</v>
      </c>
      <c r="V342">
        <v>409</v>
      </c>
      <c r="W342">
        <v>1536</v>
      </c>
      <c r="X342">
        <v>597</v>
      </c>
      <c r="Y342">
        <v>62</v>
      </c>
      <c r="Z342">
        <v>49</v>
      </c>
      <c r="AA342">
        <v>74.900000000000006</v>
      </c>
    </row>
    <row r="343" spans="1:27" x14ac:dyDescent="0.25">
      <c r="A343" t="s">
        <v>226</v>
      </c>
      <c r="B343" t="s">
        <v>205</v>
      </c>
      <c r="C343" s="76">
        <v>43981</v>
      </c>
      <c r="D343">
        <v>5504</v>
      </c>
      <c r="E343">
        <v>3173</v>
      </c>
      <c r="F343">
        <v>7835</v>
      </c>
      <c r="G343">
        <v>5013</v>
      </c>
      <c r="H343">
        <v>52.3</v>
      </c>
      <c r="I343">
        <v>44.5</v>
      </c>
      <c r="J343">
        <v>60.1</v>
      </c>
      <c r="K343">
        <v>226</v>
      </c>
      <c r="L343">
        <v>76</v>
      </c>
      <c r="M343">
        <v>376</v>
      </c>
      <c r="N343">
        <v>2.2000000000000002</v>
      </c>
      <c r="O343">
        <v>1</v>
      </c>
      <c r="P343">
        <v>3.3</v>
      </c>
      <c r="Q343">
        <f t="shared" si="8"/>
        <v>3033946</v>
      </c>
      <c r="R343">
        <f t="shared" si="9"/>
        <v>7.4490449071934695</v>
      </c>
      <c r="U343">
        <v>858</v>
      </c>
      <c r="V343">
        <v>391</v>
      </c>
      <c r="W343">
        <v>1326</v>
      </c>
      <c r="X343">
        <v>573</v>
      </c>
      <c r="Y343">
        <v>60</v>
      </c>
      <c r="Z343">
        <v>48.6</v>
      </c>
      <c r="AA343">
        <v>71.400000000000006</v>
      </c>
    </row>
    <row r="344" spans="1:27" x14ac:dyDescent="0.25">
      <c r="A344" t="s">
        <v>226</v>
      </c>
      <c r="B344" t="s">
        <v>205</v>
      </c>
      <c r="C344" s="76">
        <v>43982</v>
      </c>
      <c r="D344">
        <v>5251</v>
      </c>
      <c r="E344">
        <v>3035</v>
      </c>
      <c r="F344">
        <v>7467</v>
      </c>
      <c r="G344">
        <v>5108</v>
      </c>
      <c r="H344">
        <v>50.7</v>
      </c>
      <c r="I344">
        <v>43.8</v>
      </c>
      <c r="J344">
        <v>57.5</v>
      </c>
      <c r="K344">
        <v>224</v>
      </c>
      <c r="L344">
        <v>76</v>
      </c>
      <c r="M344">
        <v>372</v>
      </c>
      <c r="N344">
        <v>2.2000000000000002</v>
      </c>
      <c r="O344">
        <v>1</v>
      </c>
      <c r="P344">
        <v>3.3</v>
      </c>
      <c r="Q344">
        <f t="shared" si="8"/>
        <v>3033946</v>
      </c>
      <c r="R344">
        <f t="shared" si="9"/>
        <v>7.3831241558023777</v>
      </c>
      <c r="U344">
        <v>814</v>
      </c>
      <c r="V344">
        <v>335</v>
      </c>
      <c r="W344">
        <v>1293</v>
      </c>
      <c r="X344">
        <v>613</v>
      </c>
      <c r="Y344">
        <v>57.1</v>
      </c>
      <c r="Z344">
        <v>44.9</v>
      </c>
      <c r="AA344">
        <v>69.2</v>
      </c>
    </row>
    <row r="345" spans="1:27" x14ac:dyDescent="0.25">
      <c r="A345" t="s">
        <v>226</v>
      </c>
      <c r="B345" t="s">
        <v>205</v>
      </c>
      <c r="C345" s="76">
        <v>43983</v>
      </c>
      <c r="D345">
        <v>5183</v>
      </c>
      <c r="E345">
        <v>2896</v>
      </c>
      <c r="F345">
        <v>7469</v>
      </c>
      <c r="G345">
        <v>4747</v>
      </c>
      <c r="H345">
        <v>52.2</v>
      </c>
      <c r="I345">
        <v>44.8</v>
      </c>
      <c r="J345">
        <v>59.6</v>
      </c>
      <c r="K345">
        <v>239</v>
      </c>
      <c r="L345">
        <v>84</v>
      </c>
      <c r="M345">
        <v>395</v>
      </c>
      <c r="N345">
        <v>2.4</v>
      </c>
      <c r="O345">
        <v>1.2</v>
      </c>
      <c r="P345">
        <v>3.6</v>
      </c>
      <c r="Q345">
        <f t="shared" si="8"/>
        <v>3033946</v>
      </c>
      <c r="R345">
        <f t="shared" si="9"/>
        <v>7.8775297912355722</v>
      </c>
      <c r="U345">
        <v>681</v>
      </c>
      <c r="V345">
        <v>311</v>
      </c>
      <c r="W345">
        <v>1050</v>
      </c>
      <c r="X345">
        <v>459</v>
      </c>
      <c r="Y345">
        <v>59.7</v>
      </c>
      <c r="Z345">
        <v>45.4</v>
      </c>
      <c r="AA345">
        <v>74</v>
      </c>
    </row>
    <row r="346" spans="1:27" x14ac:dyDescent="0.25">
      <c r="A346" t="s">
        <v>226</v>
      </c>
      <c r="B346" t="s">
        <v>205</v>
      </c>
      <c r="C346" s="76">
        <v>43984</v>
      </c>
      <c r="D346">
        <v>5111</v>
      </c>
      <c r="E346">
        <v>2599</v>
      </c>
      <c r="F346">
        <v>7624</v>
      </c>
      <c r="G346">
        <v>4454</v>
      </c>
      <c r="H346">
        <v>53.4</v>
      </c>
      <c r="I346">
        <v>44.6</v>
      </c>
      <c r="J346">
        <v>62.3</v>
      </c>
      <c r="K346">
        <v>297</v>
      </c>
      <c r="L346">
        <v>27</v>
      </c>
      <c r="M346">
        <v>567</v>
      </c>
      <c r="N346">
        <v>3.1</v>
      </c>
      <c r="O346">
        <v>1.1000000000000001</v>
      </c>
      <c r="P346">
        <v>5.0999999999999996</v>
      </c>
      <c r="Q346">
        <f t="shared" si="8"/>
        <v>3033946</v>
      </c>
      <c r="R346">
        <f t="shared" si="9"/>
        <v>9.7892315815772601</v>
      </c>
      <c r="U346">
        <v>663</v>
      </c>
      <c r="V346">
        <v>238</v>
      </c>
      <c r="W346">
        <v>1088</v>
      </c>
      <c r="X346">
        <v>328</v>
      </c>
      <c r="Y346">
        <v>66.900000000000006</v>
      </c>
      <c r="Z346">
        <v>58.1</v>
      </c>
      <c r="AA346">
        <v>75.8</v>
      </c>
    </row>
    <row r="347" spans="1:27" x14ac:dyDescent="0.25">
      <c r="A347" t="s">
        <v>226</v>
      </c>
      <c r="B347" t="s">
        <v>205</v>
      </c>
      <c r="C347" s="76">
        <v>43985</v>
      </c>
      <c r="D347">
        <v>5726</v>
      </c>
      <c r="E347">
        <v>1224</v>
      </c>
      <c r="F347">
        <v>10228</v>
      </c>
      <c r="G347">
        <v>2928</v>
      </c>
      <c r="H347">
        <v>66.2</v>
      </c>
      <c r="I347">
        <v>54.2</v>
      </c>
      <c r="J347">
        <v>78.099999999999994</v>
      </c>
      <c r="K347">
        <v>268</v>
      </c>
      <c r="L347">
        <v>0</v>
      </c>
      <c r="M347">
        <v>604</v>
      </c>
      <c r="N347">
        <v>3.1</v>
      </c>
      <c r="O347">
        <v>0.9</v>
      </c>
      <c r="P347">
        <v>5.3</v>
      </c>
      <c r="Q347">
        <f t="shared" si="8"/>
        <v>3033946</v>
      </c>
      <c r="R347">
        <f t="shared" si="9"/>
        <v>8.8333806864064162</v>
      </c>
      <c r="U347">
        <v>774</v>
      </c>
      <c r="V347">
        <v>0</v>
      </c>
      <c r="W347">
        <v>1594</v>
      </c>
      <c r="X347">
        <v>250</v>
      </c>
      <c r="Y347">
        <v>75.599999999999994</v>
      </c>
      <c r="Z347">
        <v>63</v>
      </c>
      <c r="AA347">
        <v>88.2</v>
      </c>
    </row>
    <row r="348" spans="1:27" x14ac:dyDescent="0.25">
      <c r="A348" t="s">
        <v>226</v>
      </c>
      <c r="B348" t="s">
        <v>205</v>
      </c>
      <c r="C348" s="76">
        <v>43986</v>
      </c>
      <c r="D348">
        <v>5515</v>
      </c>
      <c r="E348">
        <v>2946</v>
      </c>
      <c r="F348">
        <v>8084</v>
      </c>
      <c r="G348">
        <v>4164</v>
      </c>
      <c r="H348">
        <v>57</v>
      </c>
      <c r="I348">
        <v>49.5</v>
      </c>
      <c r="J348">
        <v>64.5</v>
      </c>
      <c r="K348">
        <v>342</v>
      </c>
      <c r="L348">
        <v>92</v>
      </c>
      <c r="M348">
        <v>591</v>
      </c>
      <c r="N348">
        <v>3.5</v>
      </c>
      <c r="O348">
        <v>1.8</v>
      </c>
      <c r="P348">
        <v>5.3</v>
      </c>
      <c r="Q348">
        <f t="shared" si="8"/>
        <v>3033946</v>
      </c>
      <c r="R348">
        <f t="shared" si="9"/>
        <v>11.272448487876844</v>
      </c>
      <c r="U348">
        <v>666</v>
      </c>
      <c r="V348">
        <v>279</v>
      </c>
      <c r="W348">
        <v>1052</v>
      </c>
      <c r="X348">
        <v>463</v>
      </c>
      <c r="Y348">
        <v>59</v>
      </c>
      <c r="Z348">
        <v>41.2</v>
      </c>
      <c r="AA348">
        <v>76.7</v>
      </c>
    </row>
    <row r="349" spans="1:27" x14ac:dyDescent="0.25">
      <c r="A349" t="s">
        <v>226</v>
      </c>
      <c r="B349" t="s">
        <v>205</v>
      </c>
      <c r="C349" s="76">
        <v>43987</v>
      </c>
      <c r="D349">
        <v>5971</v>
      </c>
      <c r="E349">
        <v>3245</v>
      </c>
      <c r="F349">
        <v>8696</v>
      </c>
      <c r="G349">
        <v>4352</v>
      </c>
      <c r="H349">
        <v>57.8</v>
      </c>
      <c r="I349">
        <v>49.9</v>
      </c>
      <c r="J349">
        <v>65.7</v>
      </c>
      <c r="K349">
        <v>327</v>
      </c>
      <c r="L349">
        <v>117</v>
      </c>
      <c r="M349">
        <v>537</v>
      </c>
      <c r="N349">
        <v>3.2</v>
      </c>
      <c r="O349">
        <v>1.7</v>
      </c>
      <c r="P349">
        <v>4.5999999999999996</v>
      </c>
      <c r="Q349">
        <f t="shared" si="8"/>
        <v>3033946</v>
      </c>
      <c r="R349">
        <f t="shared" si="9"/>
        <v>10.778042852443649</v>
      </c>
      <c r="U349">
        <v>956</v>
      </c>
      <c r="V349">
        <v>335</v>
      </c>
      <c r="W349">
        <v>1577</v>
      </c>
      <c r="X349">
        <v>477</v>
      </c>
      <c r="Y349">
        <v>66.7</v>
      </c>
      <c r="Z349">
        <v>49.8</v>
      </c>
      <c r="AA349">
        <v>83.7</v>
      </c>
    </row>
    <row r="350" spans="1:27" x14ac:dyDescent="0.25">
      <c r="A350" t="s">
        <v>226</v>
      </c>
      <c r="B350" t="s">
        <v>205</v>
      </c>
      <c r="C350" s="76">
        <v>43988</v>
      </c>
      <c r="D350">
        <v>5621</v>
      </c>
      <c r="E350">
        <v>2797</v>
      </c>
      <c r="F350">
        <v>8444</v>
      </c>
      <c r="G350">
        <v>4769</v>
      </c>
      <c r="H350">
        <v>54.1</v>
      </c>
      <c r="I350">
        <v>45.5</v>
      </c>
      <c r="J350">
        <v>62.7</v>
      </c>
      <c r="K350">
        <v>374</v>
      </c>
      <c r="L350">
        <v>64</v>
      </c>
      <c r="M350">
        <v>684</v>
      </c>
      <c r="N350">
        <v>3.6</v>
      </c>
      <c r="O350">
        <v>1</v>
      </c>
      <c r="P350">
        <v>6.2</v>
      </c>
      <c r="Q350">
        <f t="shared" si="8"/>
        <v>3033946</v>
      </c>
      <c r="R350">
        <f t="shared" si="9"/>
        <v>12.327180510134328</v>
      </c>
      <c r="U350">
        <v>961</v>
      </c>
      <c r="V350">
        <v>255</v>
      </c>
      <c r="W350">
        <v>1667</v>
      </c>
      <c r="X350">
        <v>367</v>
      </c>
      <c r="Y350">
        <v>72.3</v>
      </c>
      <c r="Z350">
        <v>62.8</v>
      </c>
      <c r="AA350">
        <v>81.900000000000006</v>
      </c>
    </row>
    <row r="351" spans="1:27" x14ac:dyDescent="0.25">
      <c r="A351" t="s">
        <v>226</v>
      </c>
      <c r="B351" t="s">
        <v>205</v>
      </c>
      <c r="C351" s="76">
        <v>43989</v>
      </c>
      <c r="D351">
        <v>5325</v>
      </c>
      <c r="E351">
        <v>3066</v>
      </c>
      <c r="F351">
        <v>7585</v>
      </c>
      <c r="G351">
        <v>4852</v>
      </c>
      <c r="H351">
        <v>52.3</v>
      </c>
      <c r="I351">
        <v>45.5</v>
      </c>
      <c r="J351">
        <v>59.1</v>
      </c>
      <c r="K351">
        <v>346</v>
      </c>
      <c r="L351">
        <v>112</v>
      </c>
      <c r="M351">
        <v>579</v>
      </c>
      <c r="N351">
        <v>3.4</v>
      </c>
      <c r="O351">
        <v>1.5</v>
      </c>
      <c r="P351">
        <v>5.3</v>
      </c>
      <c r="Q351">
        <f t="shared" si="8"/>
        <v>3033946</v>
      </c>
      <c r="R351">
        <f t="shared" si="9"/>
        <v>11.404289990659029</v>
      </c>
      <c r="U351">
        <v>827</v>
      </c>
      <c r="V351">
        <v>336</v>
      </c>
      <c r="W351">
        <v>1318</v>
      </c>
      <c r="X351">
        <v>525</v>
      </c>
      <c r="Y351">
        <v>61.2</v>
      </c>
      <c r="Z351">
        <v>46.9</v>
      </c>
      <c r="AA351">
        <v>75.5</v>
      </c>
    </row>
    <row r="352" spans="1:27" x14ac:dyDescent="0.25">
      <c r="A352" t="s">
        <v>226</v>
      </c>
      <c r="B352" t="s">
        <v>205</v>
      </c>
      <c r="C352" s="76">
        <v>43990</v>
      </c>
      <c r="D352">
        <v>5298</v>
      </c>
      <c r="E352">
        <v>2841</v>
      </c>
      <c r="F352">
        <v>7755</v>
      </c>
      <c r="G352">
        <v>4509</v>
      </c>
      <c r="H352">
        <v>54</v>
      </c>
      <c r="I352">
        <v>46.1</v>
      </c>
      <c r="J352">
        <v>62</v>
      </c>
      <c r="K352">
        <v>283</v>
      </c>
      <c r="L352">
        <v>90</v>
      </c>
      <c r="M352">
        <v>476</v>
      </c>
      <c r="N352">
        <v>2.9</v>
      </c>
      <c r="O352">
        <v>1.5</v>
      </c>
      <c r="P352">
        <v>4.3</v>
      </c>
      <c r="Q352">
        <f t="shared" si="8"/>
        <v>3033946</v>
      </c>
      <c r="R352">
        <f t="shared" si="9"/>
        <v>9.3277863218396107</v>
      </c>
      <c r="U352">
        <v>875</v>
      </c>
      <c r="V352">
        <v>294</v>
      </c>
      <c r="W352">
        <v>1456</v>
      </c>
      <c r="X352">
        <v>333</v>
      </c>
      <c r="Y352">
        <v>72.400000000000006</v>
      </c>
      <c r="Z352">
        <v>62.4</v>
      </c>
      <c r="AA352">
        <v>82.4</v>
      </c>
    </row>
    <row r="353" spans="1:27" x14ac:dyDescent="0.25">
      <c r="A353" t="s">
        <v>226</v>
      </c>
      <c r="B353" t="s">
        <v>205</v>
      </c>
      <c r="C353" s="76">
        <v>43991</v>
      </c>
      <c r="D353">
        <v>5780</v>
      </c>
      <c r="E353">
        <v>3112</v>
      </c>
      <c r="F353">
        <v>8447</v>
      </c>
      <c r="G353">
        <v>4199</v>
      </c>
      <c r="H353">
        <v>57.9</v>
      </c>
      <c r="I353">
        <v>50.2</v>
      </c>
      <c r="J353">
        <v>65.599999999999994</v>
      </c>
      <c r="K353">
        <v>307</v>
      </c>
      <c r="L353">
        <v>95</v>
      </c>
      <c r="M353">
        <v>519</v>
      </c>
      <c r="N353">
        <v>3.1</v>
      </c>
      <c r="O353">
        <v>1.5</v>
      </c>
      <c r="P353">
        <v>4.5999999999999996</v>
      </c>
      <c r="Q353">
        <f t="shared" si="8"/>
        <v>3033946</v>
      </c>
      <c r="R353">
        <f t="shared" si="9"/>
        <v>10.118835338532723</v>
      </c>
      <c r="U353">
        <v>933</v>
      </c>
      <c r="V353">
        <v>328</v>
      </c>
      <c r="W353">
        <v>1539</v>
      </c>
      <c r="X353">
        <v>285</v>
      </c>
      <c r="Y353">
        <v>76.599999999999994</v>
      </c>
      <c r="Z353">
        <v>67.900000000000006</v>
      </c>
      <c r="AA353">
        <v>85.3</v>
      </c>
    </row>
    <row r="354" spans="1:27" x14ac:dyDescent="0.25">
      <c r="A354" t="s">
        <v>226</v>
      </c>
      <c r="B354" t="s">
        <v>205</v>
      </c>
      <c r="C354" s="76">
        <v>43992</v>
      </c>
      <c r="D354">
        <v>6847</v>
      </c>
      <c r="E354">
        <v>1779</v>
      </c>
      <c r="F354">
        <v>11915</v>
      </c>
      <c r="G354">
        <v>3252</v>
      </c>
      <c r="H354">
        <v>67.8</v>
      </c>
      <c r="I354">
        <v>59.8</v>
      </c>
      <c r="J354">
        <v>75.8</v>
      </c>
      <c r="K354">
        <v>249</v>
      </c>
      <c r="L354">
        <v>16</v>
      </c>
      <c r="M354">
        <v>482</v>
      </c>
      <c r="N354">
        <v>2.5</v>
      </c>
      <c r="O354">
        <v>1</v>
      </c>
      <c r="P354">
        <v>4</v>
      </c>
      <c r="Q354">
        <f t="shared" si="8"/>
        <v>3033946</v>
      </c>
      <c r="R354">
        <f t="shared" si="9"/>
        <v>8.2071335481910346</v>
      </c>
      <c r="U354">
        <v>1260</v>
      </c>
      <c r="V354">
        <v>0</v>
      </c>
      <c r="W354">
        <v>2626</v>
      </c>
      <c r="X354">
        <v>271</v>
      </c>
      <c r="Y354">
        <v>82.3</v>
      </c>
      <c r="Z354">
        <v>72.7</v>
      </c>
      <c r="AA354">
        <v>91.9</v>
      </c>
    </row>
    <row r="355" spans="1:27" x14ac:dyDescent="0.25">
      <c r="A355" t="s">
        <v>226</v>
      </c>
      <c r="B355" t="s">
        <v>205</v>
      </c>
      <c r="C355" s="76">
        <v>43993</v>
      </c>
      <c r="D355">
        <v>5530</v>
      </c>
      <c r="E355">
        <v>2831</v>
      </c>
      <c r="F355">
        <v>8229</v>
      </c>
      <c r="G355">
        <v>4122</v>
      </c>
      <c r="H355">
        <v>57.3</v>
      </c>
      <c r="I355">
        <v>48</v>
      </c>
      <c r="J355">
        <v>66.599999999999994</v>
      </c>
      <c r="K355">
        <v>358</v>
      </c>
      <c r="L355">
        <v>23</v>
      </c>
      <c r="M355">
        <v>693</v>
      </c>
      <c r="N355">
        <v>3.7</v>
      </c>
      <c r="O355">
        <v>1.1000000000000001</v>
      </c>
      <c r="P355">
        <v>6.3</v>
      </c>
      <c r="Q355">
        <f t="shared" si="8"/>
        <v>3033946</v>
      </c>
      <c r="R355">
        <f t="shared" si="9"/>
        <v>11.799814499005585</v>
      </c>
      <c r="U355">
        <v>732</v>
      </c>
      <c r="V355">
        <v>281</v>
      </c>
      <c r="W355">
        <v>1184</v>
      </c>
      <c r="X355">
        <v>304</v>
      </c>
      <c r="Y355">
        <v>70.7</v>
      </c>
      <c r="Z355">
        <v>60.6</v>
      </c>
      <c r="AA355">
        <v>80.8</v>
      </c>
    </row>
    <row r="356" spans="1:27" x14ac:dyDescent="0.25">
      <c r="A356" t="s">
        <v>226</v>
      </c>
      <c r="B356" t="s">
        <v>205</v>
      </c>
      <c r="C356" s="76">
        <v>43994</v>
      </c>
      <c r="D356">
        <v>5526</v>
      </c>
      <c r="E356">
        <v>2818</v>
      </c>
      <c r="F356">
        <v>8234</v>
      </c>
      <c r="G356">
        <v>4273</v>
      </c>
      <c r="H356">
        <v>56.4</v>
      </c>
      <c r="I356">
        <v>47</v>
      </c>
      <c r="J356">
        <v>65.8</v>
      </c>
      <c r="K356">
        <v>340</v>
      </c>
      <c r="L356">
        <v>44</v>
      </c>
      <c r="M356">
        <v>636</v>
      </c>
      <c r="N356">
        <v>3.5</v>
      </c>
      <c r="O356">
        <v>1.4</v>
      </c>
      <c r="P356">
        <v>5.6</v>
      </c>
      <c r="Q356">
        <f t="shared" si="8"/>
        <v>3033946</v>
      </c>
      <c r="R356">
        <f t="shared" si="9"/>
        <v>11.206527736485752</v>
      </c>
      <c r="U356">
        <v>728</v>
      </c>
      <c r="V356">
        <v>280</v>
      </c>
      <c r="W356">
        <v>1176</v>
      </c>
      <c r="X356">
        <v>302</v>
      </c>
      <c r="Y356">
        <v>70.7</v>
      </c>
      <c r="Z356">
        <v>60.5</v>
      </c>
      <c r="AA356">
        <v>81</v>
      </c>
    </row>
    <row r="357" spans="1:27" x14ac:dyDescent="0.25">
      <c r="A357" t="s">
        <v>226</v>
      </c>
      <c r="B357" t="s">
        <v>205</v>
      </c>
      <c r="C357" s="76">
        <v>43995</v>
      </c>
      <c r="D357">
        <v>5882</v>
      </c>
      <c r="E357">
        <v>3006</v>
      </c>
      <c r="F357">
        <v>8757</v>
      </c>
      <c r="G357">
        <v>4964</v>
      </c>
      <c r="H357">
        <v>54.2</v>
      </c>
      <c r="I357">
        <v>45.8</v>
      </c>
      <c r="J357">
        <v>62.7</v>
      </c>
      <c r="K357">
        <v>360</v>
      </c>
      <c r="L357">
        <v>135</v>
      </c>
      <c r="M357">
        <v>586</v>
      </c>
      <c r="N357">
        <v>3.3</v>
      </c>
      <c r="O357">
        <v>1.9</v>
      </c>
      <c r="P357">
        <v>4.7</v>
      </c>
      <c r="Q357">
        <f t="shared" si="8"/>
        <v>3033946</v>
      </c>
      <c r="R357">
        <f t="shared" si="9"/>
        <v>11.865735250396678</v>
      </c>
      <c r="U357">
        <v>1157</v>
      </c>
      <c r="V357">
        <v>315</v>
      </c>
      <c r="W357">
        <v>1998</v>
      </c>
      <c r="X357">
        <v>517</v>
      </c>
      <c r="Y357">
        <v>69.099999999999994</v>
      </c>
      <c r="Z357">
        <v>56.7</v>
      </c>
      <c r="AA357">
        <v>81.5</v>
      </c>
    </row>
    <row r="358" spans="1:27" x14ac:dyDescent="0.25">
      <c r="A358" t="s">
        <v>226</v>
      </c>
      <c r="B358" t="s">
        <v>205</v>
      </c>
      <c r="C358" s="76">
        <v>43996</v>
      </c>
      <c r="D358">
        <v>5665</v>
      </c>
      <c r="E358">
        <v>2843</v>
      </c>
      <c r="F358">
        <v>8487</v>
      </c>
      <c r="G358">
        <v>5182</v>
      </c>
      <c r="H358">
        <v>52.2</v>
      </c>
      <c r="I358">
        <v>43.7</v>
      </c>
      <c r="J358">
        <v>60.8</v>
      </c>
      <c r="K358">
        <v>345</v>
      </c>
      <c r="L358">
        <v>111</v>
      </c>
      <c r="M358">
        <v>579</v>
      </c>
      <c r="N358">
        <v>3.2</v>
      </c>
      <c r="O358">
        <v>1.7</v>
      </c>
      <c r="P358">
        <v>4.7</v>
      </c>
      <c r="Q358">
        <f t="shared" si="8"/>
        <v>3033946</v>
      </c>
      <c r="R358">
        <f t="shared" si="9"/>
        <v>11.371329614963484</v>
      </c>
      <c r="U358">
        <v>1148</v>
      </c>
      <c r="V358">
        <v>325</v>
      </c>
      <c r="W358">
        <v>1971</v>
      </c>
      <c r="X358">
        <v>540</v>
      </c>
      <c r="Y358">
        <v>68</v>
      </c>
      <c r="Z358">
        <v>56.9</v>
      </c>
      <c r="AA358">
        <v>79.099999999999994</v>
      </c>
    </row>
    <row r="359" spans="1:27" x14ac:dyDescent="0.25">
      <c r="A359" t="s">
        <v>226</v>
      </c>
      <c r="B359" t="s">
        <v>205</v>
      </c>
      <c r="C359" s="76">
        <v>43997</v>
      </c>
      <c r="D359">
        <v>6651</v>
      </c>
      <c r="E359">
        <v>2027</v>
      </c>
      <c r="F359">
        <v>11276</v>
      </c>
      <c r="G359">
        <v>4262</v>
      </c>
      <c r="H359">
        <v>60.9</v>
      </c>
      <c r="I359">
        <v>53.3</v>
      </c>
      <c r="J359">
        <v>68.599999999999994</v>
      </c>
      <c r="K359">
        <v>330</v>
      </c>
      <c r="L359">
        <v>52</v>
      </c>
      <c r="M359">
        <v>607</v>
      </c>
      <c r="N359">
        <v>3</v>
      </c>
      <c r="O359">
        <v>1.7</v>
      </c>
      <c r="P359">
        <v>4.3</v>
      </c>
      <c r="Q359">
        <f t="shared" ref="Q359:Q422" si="10">VLOOKUP(B359,$AE$4:$AF$55,2,FALSE)</f>
        <v>3033946</v>
      </c>
      <c r="R359">
        <f t="shared" si="9"/>
        <v>10.876923979530288</v>
      </c>
      <c r="U359">
        <v>1473</v>
      </c>
      <c r="V359">
        <v>78</v>
      </c>
      <c r="W359">
        <v>2867</v>
      </c>
      <c r="X359">
        <v>504</v>
      </c>
      <c r="Y359">
        <v>74.5</v>
      </c>
      <c r="Z359">
        <v>61.9</v>
      </c>
      <c r="AA359">
        <v>87.1</v>
      </c>
    </row>
    <row r="360" spans="1:27" x14ac:dyDescent="0.25">
      <c r="A360" t="s">
        <v>226</v>
      </c>
      <c r="B360" t="s">
        <v>205</v>
      </c>
      <c r="C360" s="76">
        <v>43998</v>
      </c>
      <c r="D360">
        <v>6154</v>
      </c>
      <c r="E360">
        <v>1665</v>
      </c>
      <c r="F360">
        <v>10644</v>
      </c>
      <c r="G360">
        <v>3613</v>
      </c>
      <c r="H360">
        <v>63</v>
      </c>
      <c r="I360">
        <v>53.7</v>
      </c>
      <c r="J360">
        <v>72.400000000000006</v>
      </c>
      <c r="K360">
        <v>321</v>
      </c>
      <c r="L360">
        <v>0</v>
      </c>
      <c r="M360">
        <v>648</v>
      </c>
      <c r="N360">
        <v>3.3</v>
      </c>
      <c r="O360">
        <v>1.5</v>
      </c>
      <c r="P360">
        <v>5.0999999999999996</v>
      </c>
      <c r="Q360">
        <f t="shared" si="10"/>
        <v>3033946</v>
      </c>
      <c r="R360">
        <f t="shared" si="9"/>
        <v>10.580280598270372</v>
      </c>
      <c r="U360">
        <v>1101</v>
      </c>
      <c r="V360">
        <v>50</v>
      </c>
      <c r="W360">
        <v>2152</v>
      </c>
      <c r="X360">
        <v>488</v>
      </c>
      <c r="Y360">
        <v>69.3</v>
      </c>
      <c r="Z360">
        <v>57.9</v>
      </c>
      <c r="AA360">
        <v>80.7</v>
      </c>
    </row>
    <row r="361" spans="1:27" x14ac:dyDescent="0.25">
      <c r="A361" t="s">
        <v>226</v>
      </c>
      <c r="B361" t="s">
        <v>205</v>
      </c>
      <c r="C361" s="76">
        <v>43999</v>
      </c>
      <c r="D361">
        <v>6549</v>
      </c>
      <c r="E361">
        <v>943</v>
      </c>
      <c r="F361">
        <v>12155</v>
      </c>
      <c r="G361">
        <v>4088</v>
      </c>
      <c r="H361">
        <v>61.6</v>
      </c>
      <c r="I361">
        <v>52</v>
      </c>
      <c r="J361">
        <v>71.099999999999994</v>
      </c>
      <c r="K361">
        <v>315</v>
      </c>
      <c r="L361">
        <v>0</v>
      </c>
      <c r="M361">
        <v>640</v>
      </c>
      <c r="N361">
        <v>3</v>
      </c>
      <c r="O361">
        <v>0.7</v>
      </c>
      <c r="P361">
        <v>5.2</v>
      </c>
      <c r="Q361">
        <f t="shared" si="10"/>
        <v>3033946</v>
      </c>
      <c r="R361">
        <f t="shared" si="9"/>
        <v>10.382518344097093</v>
      </c>
      <c r="U361">
        <v>1798</v>
      </c>
      <c r="V361">
        <v>0</v>
      </c>
      <c r="W361">
        <v>3980</v>
      </c>
      <c r="X361">
        <v>809</v>
      </c>
      <c r="Y361">
        <v>69</v>
      </c>
      <c r="Z361">
        <v>59.2</v>
      </c>
      <c r="AA361">
        <v>78.7</v>
      </c>
    </row>
    <row r="362" spans="1:27" x14ac:dyDescent="0.25">
      <c r="A362" t="s">
        <v>226</v>
      </c>
      <c r="B362" t="s">
        <v>205</v>
      </c>
      <c r="C362" s="76">
        <v>44000</v>
      </c>
      <c r="D362">
        <v>5748</v>
      </c>
      <c r="E362">
        <v>2996</v>
      </c>
      <c r="F362">
        <v>8501</v>
      </c>
      <c r="G362">
        <v>4665</v>
      </c>
      <c r="H362">
        <v>55.2</v>
      </c>
      <c r="I362">
        <v>46</v>
      </c>
      <c r="J362">
        <v>64.400000000000006</v>
      </c>
      <c r="K362">
        <v>423</v>
      </c>
      <c r="L362">
        <v>74</v>
      </c>
      <c r="M362">
        <v>773</v>
      </c>
      <c r="N362">
        <v>4.0999999999999996</v>
      </c>
      <c r="O362">
        <v>1.7</v>
      </c>
      <c r="P362">
        <v>6.4</v>
      </c>
      <c r="Q362">
        <f t="shared" si="10"/>
        <v>3033946</v>
      </c>
      <c r="R362">
        <f t="shared" si="9"/>
        <v>13.942238919216097</v>
      </c>
      <c r="U362">
        <v>1017</v>
      </c>
      <c r="V362">
        <v>317</v>
      </c>
      <c r="W362">
        <v>1717</v>
      </c>
      <c r="X362">
        <v>551</v>
      </c>
      <c r="Y362">
        <v>64.900000000000006</v>
      </c>
      <c r="Z362">
        <v>53</v>
      </c>
      <c r="AA362">
        <v>76.8</v>
      </c>
    </row>
    <row r="363" spans="1:27" x14ac:dyDescent="0.25">
      <c r="A363" t="s">
        <v>226</v>
      </c>
      <c r="B363" t="s">
        <v>205</v>
      </c>
      <c r="C363" s="76">
        <v>44001</v>
      </c>
      <c r="D363">
        <v>5513</v>
      </c>
      <c r="E363">
        <v>2866</v>
      </c>
      <c r="F363">
        <v>8160</v>
      </c>
      <c r="G363">
        <v>4752</v>
      </c>
      <c r="H363">
        <v>53.7</v>
      </c>
      <c r="I363">
        <v>44.5</v>
      </c>
      <c r="J363">
        <v>62.9</v>
      </c>
      <c r="K363">
        <v>437</v>
      </c>
      <c r="L363">
        <v>78</v>
      </c>
      <c r="M363">
        <v>796</v>
      </c>
      <c r="N363">
        <v>4.3</v>
      </c>
      <c r="O363">
        <v>1.7</v>
      </c>
      <c r="P363">
        <v>6.8</v>
      </c>
      <c r="Q363">
        <f t="shared" si="10"/>
        <v>3033946</v>
      </c>
      <c r="R363">
        <f t="shared" si="9"/>
        <v>14.403684178953746</v>
      </c>
      <c r="U363">
        <v>961</v>
      </c>
      <c r="V363">
        <v>298</v>
      </c>
      <c r="W363">
        <v>1623</v>
      </c>
      <c r="X363">
        <v>604</v>
      </c>
      <c r="Y363">
        <v>61.4</v>
      </c>
      <c r="Z363">
        <v>50</v>
      </c>
      <c r="AA363">
        <v>72.8</v>
      </c>
    </row>
    <row r="364" spans="1:27" x14ac:dyDescent="0.25">
      <c r="A364" t="s">
        <v>226</v>
      </c>
      <c r="B364" t="s">
        <v>205</v>
      </c>
      <c r="C364" s="76">
        <v>44002</v>
      </c>
      <c r="D364">
        <v>5166</v>
      </c>
      <c r="E364">
        <v>2667</v>
      </c>
      <c r="F364">
        <v>7664</v>
      </c>
      <c r="G364">
        <v>5036</v>
      </c>
      <c r="H364">
        <v>50.6</v>
      </c>
      <c r="I364">
        <v>42</v>
      </c>
      <c r="J364">
        <v>59.3</v>
      </c>
      <c r="K364">
        <v>387</v>
      </c>
      <c r="L364">
        <v>80</v>
      </c>
      <c r="M364">
        <v>694</v>
      </c>
      <c r="N364">
        <v>3.8</v>
      </c>
      <c r="O364">
        <v>1.7</v>
      </c>
      <c r="P364">
        <v>5.9</v>
      </c>
      <c r="Q364">
        <f t="shared" si="10"/>
        <v>3033946</v>
      </c>
      <c r="R364">
        <f t="shared" si="9"/>
        <v>12.755665394176429</v>
      </c>
      <c r="U364">
        <v>980</v>
      </c>
      <c r="V364">
        <v>307</v>
      </c>
      <c r="W364">
        <v>1652</v>
      </c>
      <c r="X364">
        <v>539</v>
      </c>
      <c r="Y364">
        <v>64.5</v>
      </c>
      <c r="Z364">
        <v>53.1</v>
      </c>
      <c r="AA364">
        <v>76</v>
      </c>
    </row>
    <row r="365" spans="1:27" x14ac:dyDescent="0.25">
      <c r="A365" t="s">
        <v>226</v>
      </c>
      <c r="B365" t="s">
        <v>205</v>
      </c>
      <c r="C365" s="76">
        <v>44003</v>
      </c>
      <c r="D365">
        <v>4880</v>
      </c>
      <c r="E365">
        <v>2476</v>
      </c>
      <c r="F365">
        <v>7284</v>
      </c>
      <c r="G365">
        <v>4754</v>
      </c>
      <c r="H365">
        <v>50.7</v>
      </c>
      <c r="I365">
        <v>41.3</v>
      </c>
      <c r="J365">
        <v>60</v>
      </c>
      <c r="K365">
        <v>430</v>
      </c>
      <c r="L365">
        <v>94</v>
      </c>
      <c r="M365">
        <v>766</v>
      </c>
      <c r="N365">
        <v>4.5</v>
      </c>
      <c r="O365">
        <v>2.2000000000000002</v>
      </c>
      <c r="P365">
        <v>6.8</v>
      </c>
      <c r="Q365">
        <f t="shared" si="10"/>
        <v>3033946</v>
      </c>
      <c r="R365">
        <f t="shared" si="9"/>
        <v>14.172961549084921</v>
      </c>
      <c r="U365">
        <v>712</v>
      </c>
      <c r="V365">
        <v>247</v>
      </c>
      <c r="W365">
        <v>1176</v>
      </c>
      <c r="X365">
        <v>430</v>
      </c>
      <c r="Y365">
        <v>62.3</v>
      </c>
      <c r="Z365">
        <v>47.4</v>
      </c>
      <c r="AA365">
        <v>77.3</v>
      </c>
    </row>
    <row r="366" spans="1:27" x14ac:dyDescent="0.25">
      <c r="A366" t="s">
        <v>226</v>
      </c>
      <c r="B366" t="s">
        <v>205</v>
      </c>
      <c r="C366" s="76">
        <v>44004</v>
      </c>
      <c r="D366">
        <v>5181</v>
      </c>
      <c r="E366">
        <v>2804</v>
      </c>
      <c r="F366">
        <v>7557</v>
      </c>
      <c r="G366">
        <v>4573</v>
      </c>
      <c r="H366">
        <v>53.1</v>
      </c>
      <c r="I366">
        <v>46</v>
      </c>
      <c r="J366">
        <v>60.3</v>
      </c>
      <c r="K366">
        <v>381</v>
      </c>
      <c r="L366">
        <v>154</v>
      </c>
      <c r="M366">
        <v>607</v>
      </c>
      <c r="N366">
        <v>3.9</v>
      </c>
      <c r="O366">
        <v>2.4</v>
      </c>
      <c r="P366">
        <v>5.4</v>
      </c>
      <c r="Q366">
        <f t="shared" si="10"/>
        <v>3033946</v>
      </c>
      <c r="R366">
        <f t="shared" si="9"/>
        <v>12.557903140003152</v>
      </c>
      <c r="U366">
        <v>795</v>
      </c>
      <c r="V366">
        <v>288</v>
      </c>
      <c r="W366">
        <v>1303</v>
      </c>
      <c r="X366">
        <v>430</v>
      </c>
      <c r="Y366">
        <v>64.900000000000006</v>
      </c>
      <c r="Z366">
        <v>55.1</v>
      </c>
      <c r="AA366">
        <v>74.7</v>
      </c>
    </row>
    <row r="367" spans="1:27" x14ac:dyDescent="0.25">
      <c r="A367" t="s">
        <v>226</v>
      </c>
      <c r="B367" t="s">
        <v>205</v>
      </c>
      <c r="C367" s="76">
        <v>44005</v>
      </c>
      <c r="D367">
        <v>5939</v>
      </c>
      <c r="E367">
        <v>2537</v>
      </c>
      <c r="F367">
        <v>9342</v>
      </c>
      <c r="G367">
        <v>3579</v>
      </c>
      <c r="H367">
        <v>62.4</v>
      </c>
      <c r="I367">
        <v>54.4</v>
      </c>
      <c r="J367">
        <v>70.400000000000006</v>
      </c>
      <c r="K367">
        <v>356</v>
      </c>
      <c r="L367">
        <v>145</v>
      </c>
      <c r="M367">
        <v>566</v>
      </c>
      <c r="N367">
        <v>3.7</v>
      </c>
      <c r="O367">
        <v>2.6</v>
      </c>
      <c r="P367">
        <v>4.9000000000000004</v>
      </c>
      <c r="Q367">
        <f t="shared" si="10"/>
        <v>3033946</v>
      </c>
      <c r="R367">
        <f t="shared" si="9"/>
        <v>11.733893747614493</v>
      </c>
      <c r="U367">
        <v>950</v>
      </c>
      <c r="V367">
        <v>193</v>
      </c>
      <c r="W367">
        <v>1707</v>
      </c>
      <c r="X367">
        <v>319</v>
      </c>
      <c r="Y367">
        <v>74.900000000000006</v>
      </c>
      <c r="Z367">
        <v>66</v>
      </c>
      <c r="AA367">
        <v>83.8</v>
      </c>
    </row>
    <row r="368" spans="1:27" x14ac:dyDescent="0.25">
      <c r="A368" t="s">
        <v>226</v>
      </c>
      <c r="B368" t="s">
        <v>205</v>
      </c>
      <c r="C368" s="76">
        <v>44006</v>
      </c>
      <c r="D368">
        <v>6735</v>
      </c>
      <c r="E368">
        <v>1861</v>
      </c>
      <c r="F368">
        <v>11609</v>
      </c>
      <c r="G368">
        <v>3134</v>
      </c>
      <c r="H368">
        <v>68.2</v>
      </c>
      <c r="I368">
        <v>62.5</v>
      </c>
      <c r="J368">
        <v>74</v>
      </c>
      <c r="K368">
        <v>358</v>
      </c>
      <c r="L368">
        <v>76</v>
      </c>
      <c r="M368">
        <v>639</v>
      </c>
      <c r="N368">
        <v>3.6</v>
      </c>
      <c r="O368">
        <v>2.2000000000000002</v>
      </c>
      <c r="P368">
        <v>5</v>
      </c>
      <c r="Q368">
        <f t="shared" si="10"/>
        <v>3033946</v>
      </c>
      <c r="R368">
        <f t="shared" si="9"/>
        <v>11.799814499005585</v>
      </c>
      <c r="U368">
        <v>1035</v>
      </c>
      <c r="V368">
        <v>0</v>
      </c>
      <c r="W368">
        <v>2088</v>
      </c>
      <c r="X368">
        <v>401</v>
      </c>
      <c r="Y368">
        <v>72.099999999999994</v>
      </c>
      <c r="Z368">
        <v>63.1</v>
      </c>
      <c r="AA368">
        <v>81.099999999999994</v>
      </c>
    </row>
    <row r="369" spans="1:27" x14ac:dyDescent="0.25">
      <c r="A369" t="s">
        <v>226</v>
      </c>
      <c r="B369" t="s">
        <v>205</v>
      </c>
      <c r="C369" s="76">
        <v>44007</v>
      </c>
      <c r="D369">
        <v>5896</v>
      </c>
      <c r="E369">
        <v>3015</v>
      </c>
      <c r="F369">
        <v>8776</v>
      </c>
      <c r="G369">
        <v>4363</v>
      </c>
      <c r="H369">
        <v>57.5</v>
      </c>
      <c r="I369">
        <v>49.3</v>
      </c>
      <c r="J369">
        <v>65.7</v>
      </c>
      <c r="K369">
        <v>531</v>
      </c>
      <c r="L369">
        <v>138</v>
      </c>
      <c r="M369">
        <v>924</v>
      </c>
      <c r="N369">
        <v>5.2</v>
      </c>
      <c r="O369">
        <v>2.8</v>
      </c>
      <c r="P369">
        <v>7.5</v>
      </c>
      <c r="Q369">
        <f t="shared" si="10"/>
        <v>3033946</v>
      </c>
      <c r="R369">
        <f t="shared" si="9"/>
        <v>17.5019594943351</v>
      </c>
      <c r="U369">
        <v>997</v>
      </c>
      <c r="V369">
        <v>258</v>
      </c>
      <c r="W369">
        <v>1736</v>
      </c>
      <c r="X369">
        <v>473</v>
      </c>
      <c r="Y369">
        <v>67.8</v>
      </c>
      <c r="Z369">
        <v>60.1</v>
      </c>
      <c r="AA369">
        <v>75.599999999999994</v>
      </c>
    </row>
    <row r="370" spans="1:27" x14ac:dyDescent="0.25">
      <c r="A370" t="s">
        <v>226</v>
      </c>
      <c r="B370" t="s">
        <v>205</v>
      </c>
      <c r="C370" s="76">
        <v>44008</v>
      </c>
      <c r="D370">
        <v>5681</v>
      </c>
      <c r="E370">
        <v>2996</v>
      </c>
      <c r="F370">
        <v>8365</v>
      </c>
      <c r="G370">
        <v>4568</v>
      </c>
      <c r="H370">
        <v>55.4</v>
      </c>
      <c r="I370">
        <v>46.4</v>
      </c>
      <c r="J370">
        <v>64.5</v>
      </c>
      <c r="K370">
        <v>527</v>
      </c>
      <c r="L370">
        <v>171</v>
      </c>
      <c r="M370">
        <v>884</v>
      </c>
      <c r="N370">
        <v>5.0999999999999996</v>
      </c>
      <c r="O370">
        <v>3.1</v>
      </c>
      <c r="P370">
        <v>7.2</v>
      </c>
      <c r="Q370">
        <f t="shared" si="10"/>
        <v>3033946</v>
      </c>
      <c r="R370">
        <f t="shared" si="9"/>
        <v>17.370117991552917</v>
      </c>
      <c r="U370">
        <v>996</v>
      </c>
      <c r="V370">
        <v>260</v>
      </c>
      <c r="W370">
        <v>1732</v>
      </c>
      <c r="X370">
        <v>490</v>
      </c>
      <c r="Y370">
        <v>67</v>
      </c>
      <c r="Z370">
        <v>60.7</v>
      </c>
      <c r="AA370">
        <v>73.400000000000006</v>
      </c>
    </row>
    <row r="371" spans="1:27" x14ac:dyDescent="0.25">
      <c r="A371" t="s">
        <v>226</v>
      </c>
      <c r="B371" t="s">
        <v>205</v>
      </c>
      <c r="C371" s="76">
        <v>44009</v>
      </c>
      <c r="D371">
        <v>5347</v>
      </c>
      <c r="E371">
        <v>2802</v>
      </c>
      <c r="F371">
        <v>7893</v>
      </c>
      <c r="G371">
        <v>4689</v>
      </c>
      <c r="H371">
        <v>53.3</v>
      </c>
      <c r="I371">
        <v>44</v>
      </c>
      <c r="J371">
        <v>62.5</v>
      </c>
      <c r="K371">
        <v>467</v>
      </c>
      <c r="L371">
        <v>155</v>
      </c>
      <c r="M371">
        <v>779</v>
      </c>
      <c r="N371">
        <v>4.7</v>
      </c>
      <c r="O371">
        <v>2.8</v>
      </c>
      <c r="P371">
        <v>6.5</v>
      </c>
      <c r="Q371">
        <f t="shared" si="10"/>
        <v>3033946</v>
      </c>
      <c r="R371">
        <f t="shared" si="9"/>
        <v>15.392495449820133</v>
      </c>
      <c r="U371">
        <v>974</v>
      </c>
      <c r="V371">
        <v>278</v>
      </c>
      <c r="W371">
        <v>1669</v>
      </c>
      <c r="X371">
        <v>457</v>
      </c>
      <c r="Y371">
        <v>68</v>
      </c>
      <c r="Z371">
        <v>60.3</v>
      </c>
      <c r="AA371">
        <v>75.8</v>
      </c>
    </row>
    <row r="372" spans="1:27" x14ac:dyDescent="0.25">
      <c r="A372" t="s">
        <v>226</v>
      </c>
      <c r="B372" t="s">
        <v>205</v>
      </c>
      <c r="C372" s="76">
        <v>44010</v>
      </c>
      <c r="D372">
        <v>5535</v>
      </c>
      <c r="E372">
        <v>2993</v>
      </c>
      <c r="F372">
        <v>8078</v>
      </c>
      <c r="G372">
        <v>4359</v>
      </c>
      <c r="H372">
        <v>55.9</v>
      </c>
      <c r="I372">
        <v>47.7</v>
      </c>
      <c r="J372">
        <v>64.2</v>
      </c>
      <c r="K372">
        <v>553</v>
      </c>
      <c r="L372">
        <v>239</v>
      </c>
      <c r="M372">
        <v>867</v>
      </c>
      <c r="N372">
        <v>5.6</v>
      </c>
      <c r="O372">
        <v>3.2</v>
      </c>
      <c r="P372">
        <v>8</v>
      </c>
      <c r="Q372">
        <f t="shared" si="10"/>
        <v>3033946</v>
      </c>
      <c r="R372">
        <f t="shared" si="9"/>
        <v>18.227087759637119</v>
      </c>
      <c r="U372">
        <v>886</v>
      </c>
      <c r="V372">
        <v>345</v>
      </c>
      <c r="W372">
        <v>1428</v>
      </c>
      <c r="X372">
        <v>529</v>
      </c>
      <c r="Y372">
        <v>62.6</v>
      </c>
      <c r="Z372">
        <v>48.9</v>
      </c>
      <c r="AA372">
        <v>76.3</v>
      </c>
    </row>
    <row r="373" spans="1:27" x14ac:dyDescent="0.25">
      <c r="A373" t="s">
        <v>226</v>
      </c>
      <c r="B373" t="s">
        <v>205</v>
      </c>
      <c r="C373" s="76">
        <v>44011</v>
      </c>
      <c r="D373">
        <v>5790</v>
      </c>
      <c r="E373">
        <v>3239</v>
      </c>
      <c r="F373">
        <v>8341</v>
      </c>
      <c r="G373">
        <v>4744</v>
      </c>
      <c r="H373">
        <v>55</v>
      </c>
      <c r="I373">
        <v>47.9</v>
      </c>
      <c r="J373">
        <v>62</v>
      </c>
      <c r="K373">
        <v>512</v>
      </c>
      <c r="L373">
        <v>240</v>
      </c>
      <c r="M373">
        <v>784</v>
      </c>
      <c r="N373">
        <v>4.9000000000000004</v>
      </c>
      <c r="O373">
        <v>3.2</v>
      </c>
      <c r="P373">
        <v>6.5</v>
      </c>
      <c r="Q373">
        <f t="shared" si="10"/>
        <v>3033946</v>
      </c>
      <c r="R373">
        <f t="shared" si="9"/>
        <v>16.87571235611972</v>
      </c>
      <c r="U373">
        <v>1151</v>
      </c>
      <c r="V373">
        <v>458</v>
      </c>
      <c r="W373">
        <v>1843</v>
      </c>
      <c r="X373">
        <v>640</v>
      </c>
      <c r="Y373">
        <v>64.3</v>
      </c>
      <c r="Z373">
        <v>53</v>
      </c>
      <c r="AA373">
        <v>75.5</v>
      </c>
    </row>
    <row r="374" spans="1:27" x14ac:dyDescent="0.25">
      <c r="A374" t="s">
        <v>226</v>
      </c>
      <c r="B374" t="s">
        <v>205</v>
      </c>
      <c r="C374" s="76">
        <v>44012</v>
      </c>
      <c r="D374">
        <v>6110</v>
      </c>
      <c r="E374">
        <v>3254</v>
      </c>
      <c r="F374">
        <v>8966</v>
      </c>
      <c r="G374">
        <v>4438</v>
      </c>
      <c r="H374">
        <v>57.9</v>
      </c>
      <c r="I374">
        <v>50.9</v>
      </c>
      <c r="J374">
        <v>64.900000000000006</v>
      </c>
      <c r="K374">
        <v>545</v>
      </c>
      <c r="L374">
        <v>245</v>
      </c>
      <c r="M374">
        <v>845</v>
      </c>
      <c r="N374">
        <v>5.2</v>
      </c>
      <c r="O374">
        <v>3.6</v>
      </c>
      <c r="P374">
        <v>6.8</v>
      </c>
      <c r="Q374">
        <f t="shared" si="10"/>
        <v>3033946</v>
      </c>
      <c r="R374">
        <f t="shared" si="9"/>
        <v>17.963404754072748</v>
      </c>
      <c r="U374">
        <v>1229</v>
      </c>
      <c r="V374">
        <v>433</v>
      </c>
      <c r="W374">
        <v>2026</v>
      </c>
      <c r="X374">
        <v>499</v>
      </c>
      <c r="Y374">
        <v>71.099999999999994</v>
      </c>
      <c r="Z374">
        <v>65.400000000000006</v>
      </c>
      <c r="AA374">
        <v>76.8</v>
      </c>
    </row>
    <row r="375" spans="1:27" x14ac:dyDescent="0.25">
      <c r="A375" t="s">
        <v>226</v>
      </c>
      <c r="B375" t="s">
        <v>205</v>
      </c>
      <c r="C375" s="76">
        <v>44013</v>
      </c>
      <c r="D375">
        <v>5870</v>
      </c>
      <c r="E375">
        <v>3136</v>
      </c>
      <c r="F375">
        <v>8604</v>
      </c>
      <c r="G375">
        <v>4198</v>
      </c>
      <c r="H375">
        <v>58.3</v>
      </c>
      <c r="I375">
        <v>49.8</v>
      </c>
      <c r="J375">
        <v>66.8</v>
      </c>
      <c r="K375">
        <v>571</v>
      </c>
      <c r="L375">
        <v>221</v>
      </c>
      <c r="M375">
        <v>921</v>
      </c>
      <c r="N375">
        <v>5.7</v>
      </c>
      <c r="O375">
        <v>3.8</v>
      </c>
      <c r="P375">
        <v>7.6</v>
      </c>
      <c r="Q375">
        <f t="shared" si="10"/>
        <v>3033946</v>
      </c>
      <c r="R375">
        <f t="shared" si="9"/>
        <v>18.820374522156953</v>
      </c>
      <c r="U375">
        <v>1055</v>
      </c>
      <c r="V375">
        <v>328</v>
      </c>
      <c r="W375">
        <v>1782</v>
      </c>
      <c r="X375">
        <v>433</v>
      </c>
      <c r="Y375">
        <v>70.900000000000006</v>
      </c>
      <c r="Z375">
        <v>63.9</v>
      </c>
      <c r="AA375">
        <v>77.900000000000006</v>
      </c>
    </row>
    <row r="376" spans="1:27" x14ac:dyDescent="0.25">
      <c r="A376" t="s">
        <v>226</v>
      </c>
      <c r="B376" t="s">
        <v>205</v>
      </c>
      <c r="C376" s="76">
        <v>44014</v>
      </c>
      <c r="D376">
        <v>5898</v>
      </c>
      <c r="E376">
        <v>3156</v>
      </c>
      <c r="F376">
        <v>8640</v>
      </c>
      <c r="G376">
        <v>4239</v>
      </c>
      <c r="H376">
        <v>58.2</v>
      </c>
      <c r="I376">
        <v>49.1</v>
      </c>
      <c r="J376">
        <v>67.2</v>
      </c>
      <c r="K376">
        <v>578</v>
      </c>
      <c r="L376">
        <v>239</v>
      </c>
      <c r="M376">
        <v>917</v>
      </c>
      <c r="N376">
        <v>5.7</v>
      </c>
      <c r="O376">
        <v>3.6</v>
      </c>
      <c r="P376">
        <v>7.8</v>
      </c>
      <c r="Q376">
        <f t="shared" si="10"/>
        <v>3033946</v>
      </c>
      <c r="R376">
        <f t="shared" si="9"/>
        <v>19.051097152025779</v>
      </c>
      <c r="U376">
        <v>1082</v>
      </c>
      <c r="V376">
        <v>358</v>
      </c>
      <c r="W376">
        <v>1805</v>
      </c>
      <c r="X376">
        <v>444</v>
      </c>
      <c r="Y376">
        <v>70.900000000000006</v>
      </c>
      <c r="Z376">
        <v>63.8</v>
      </c>
      <c r="AA376">
        <v>78</v>
      </c>
    </row>
    <row r="377" spans="1:27" x14ac:dyDescent="0.25">
      <c r="A377" t="s">
        <v>226</v>
      </c>
      <c r="B377" t="s">
        <v>205</v>
      </c>
      <c r="C377" s="76">
        <v>44015</v>
      </c>
      <c r="D377">
        <v>5637</v>
      </c>
      <c r="E377">
        <v>2948</v>
      </c>
      <c r="F377">
        <v>8326</v>
      </c>
      <c r="G377">
        <v>4534</v>
      </c>
      <c r="H377">
        <v>55.4</v>
      </c>
      <c r="I377">
        <v>46</v>
      </c>
      <c r="J377">
        <v>64.8</v>
      </c>
      <c r="K377">
        <v>604</v>
      </c>
      <c r="L377">
        <v>238</v>
      </c>
      <c r="M377">
        <v>971</v>
      </c>
      <c r="N377">
        <v>5.9</v>
      </c>
      <c r="O377">
        <v>3.6</v>
      </c>
      <c r="P377">
        <v>8.3000000000000007</v>
      </c>
      <c r="Q377">
        <f t="shared" si="10"/>
        <v>3033946</v>
      </c>
      <c r="R377">
        <f t="shared" si="9"/>
        <v>19.908066920109984</v>
      </c>
      <c r="U377">
        <v>1038</v>
      </c>
      <c r="V377">
        <v>321</v>
      </c>
      <c r="W377">
        <v>1756</v>
      </c>
      <c r="X377">
        <v>622</v>
      </c>
      <c r="Y377">
        <v>62.5</v>
      </c>
      <c r="Z377">
        <v>52</v>
      </c>
      <c r="AA377">
        <v>73.099999999999994</v>
      </c>
    </row>
    <row r="378" spans="1:27" x14ac:dyDescent="0.25">
      <c r="A378" t="s">
        <v>226</v>
      </c>
      <c r="B378" t="s">
        <v>205</v>
      </c>
      <c r="C378" s="76">
        <v>44016</v>
      </c>
      <c r="D378">
        <v>5423</v>
      </c>
      <c r="E378">
        <v>2778</v>
      </c>
      <c r="F378">
        <v>8069</v>
      </c>
      <c r="G378">
        <v>4760</v>
      </c>
      <c r="H378">
        <v>53.3</v>
      </c>
      <c r="I378">
        <v>43.6</v>
      </c>
      <c r="J378">
        <v>62.9</v>
      </c>
      <c r="K378">
        <v>616</v>
      </c>
      <c r="L378">
        <v>230</v>
      </c>
      <c r="M378">
        <v>1002</v>
      </c>
      <c r="N378">
        <v>6.1</v>
      </c>
      <c r="O378">
        <v>3.6</v>
      </c>
      <c r="P378">
        <v>8.5</v>
      </c>
      <c r="Q378">
        <f t="shared" si="10"/>
        <v>3033946</v>
      </c>
      <c r="R378">
        <f t="shared" si="9"/>
        <v>20.303591428456539</v>
      </c>
      <c r="U378">
        <v>1053</v>
      </c>
      <c r="V378">
        <v>333</v>
      </c>
      <c r="W378">
        <v>1773</v>
      </c>
      <c r="X378">
        <v>617</v>
      </c>
      <c r="Y378">
        <v>63</v>
      </c>
      <c r="Z378">
        <v>53.5</v>
      </c>
      <c r="AA378">
        <v>72.599999999999994</v>
      </c>
    </row>
    <row r="379" spans="1:27" x14ac:dyDescent="0.25">
      <c r="A379" t="s">
        <v>226</v>
      </c>
      <c r="B379" t="s">
        <v>205</v>
      </c>
      <c r="C379" s="76">
        <v>44017</v>
      </c>
      <c r="D379">
        <v>5528</v>
      </c>
      <c r="E379">
        <v>2871</v>
      </c>
      <c r="F379">
        <v>8186</v>
      </c>
      <c r="G379">
        <v>4881</v>
      </c>
      <c r="H379">
        <v>53.1</v>
      </c>
      <c r="I379">
        <v>43.9</v>
      </c>
      <c r="J379">
        <v>62.3</v>
      </c>
      <c r="K379">
        <v>625</v>
      </c>
      <c r="L379">
        <v>235</v>
      </c>
      <c r="M379">
        <v>1014</v>
      </c>
      <c r="N379">
        <v>6</v>
      </c>
      <c r="O379">
        <v>3.7</v>
      </c>
      <c r="P379">
        <v>8.3000000000000007</v>
      </c>
      <c r="Q379">
        <f t="shared" si="10"/>
        <v>3033946</v>
      </c>
      <c r="R379">
        <f t="shared" si="9"/>
        <v>20.600234809716458</v>
      </c>
      <c r="U379">
        <v>1103</v>
      </c>
      <c r="V379">
        <v>369</v>
      </c>
      <c r="W379">
        <v>1837</v>
      </c>
      <c r="X379">
        <v>591</v>
      </c>
      <c r="Y379">
        <v>65.099999999999994</v>
      </c>
      <c r="Z379">
        <v>54.9</v>
      </c>
      <c r="AA379">
        <v>75.3</v>
      </c>
    </row>
    <row r="380" spans="1:27" x14ac:dyDescent="0.25">
      <c r="A380" t="s">
        <v>226</v>
      </c>
      <c r="B380" t="s">
        <v>205</v>
      </c>
      <c r="C380" s="76">
        <v>44018</v>
      </c>
      <c r="D380">
        <v>5454</v>
      </c>
      <c r="E380">
        <v>2788</v>
      </c>
      <c r="F380">
        <v>8119</v>
      </c>
      <c r="G380">
        <v>4617</v>
      </c>
      <c r="H380">
        <v>54.2</v>
      </c>
      <c r="I380">
        <v>45.5</v>
      </c>
      <c r="J380">
        <v>62.8</v>
      </c>
      <c r="K380">
        <v>644</v>
      </c>
      <c r="L380">
        <v>242</v>
      </c>
      <c r="M380">
        <v>1046</v>
      </c>
      <c r="N380">
        <v>6.4</v>
      </c>
      <c r="O380">
        <v>4.0999999999999996</v>
      </c>
      <c r="P380">
        <v>8.6999999999999993</v>
      </c>
      <c r="Q380">
        <f t="shared" si="10"/>
        <v>3033946</v>
      </c>
      <c r="R380">
        <f t="shared" si="9"/>
        <v>21.226481947931834</v>
      </c>
      <c r="U380">
        <v>1088</v>
      </c>
      <c r="V380">
        <v>356</v>
      </c>
      <c r="W380">
        <v>1821</v>
      </c>
      <c r="X380">
        <v>571</v>
      </c>
      <c r="Y380">
        <v>65.599999999999994</v>
      </c>
      <c r="Z380">
        <v>55.1</v>
      </c>
      <c r="AA380">
        <v>76.099999999999994</v>
      </c>
    </row>
    <row r="381" spans="1:27" x14ac:dyDescent="0.25">
      <c r="A381" t="s">
        <v>226</v>
      </c>
      <c r="B381" t="s">
        <v>205</v>
      </c>
      <c r="C381" s="76">
        <v>44019</v>
      </c>
      <c r="D381">
        <v>6044</v>
      </c>
      <c r="E381">
        <v>3047</v>
      </c>
      <c r="F381">
        <v>9041</v>
      </c>
      <c r="G381">
        <v>4200</v>
      </c>
      <c r="H381">
        <v>59</v>
      </c>
      <c r="I381">
        <v>50.4</v>
      </c>
      <c r="J381">
        <v>67.599999999999994</v>
      </c>
      <c r="K381">
        <v>662</v>
      </c>
      <c r="L381">
        <v>256</v>
      </c>
      <c r="M381">
        <v>1067</v>
      </c>
      <c r="N381">
        <v>6.5</v>
      </c>
      <c r="O381">
        <v>4.2</v>
      </c>
      <c r="P381">
        <v>8.6999999999999993</v>
      </c>
      <c r="Q381">
        <f t="shared" si="10"/>
        <v>3033946</v>
      </c>
      <c r="R381">
        <f t="shared" si="9"/>
        <v>21.819768710451669</v>
      </c>
      <c r="U381">
        <v>1158</v>
      </c>
      <c r="V381">
        <v>372</v>
      </c>
      <c r="W381">
        <v>1945</v>
      </c>
      <c r="X381">
        <v>496</v>
      </c>
      <c r="Y381">
        <v>70</v>
      </c>
      <c r="Z381">
        <v>60.7</v>
      </c>
      <c r="AA381">
        <v>79.3</v>
      </c>
    </row>
    <row r="382" spans="1:27" x14ac:dyDescent="0.25">
      <c r="A382" t="s">
        <v>227</v>
      </c>
      <c r="B382" t="s">
        <v>185</v>
      </c>
      <c r="C382" s="76">
        <v>43936</v>
      </c>
      <c r="D382">
        <v>8581</v>
      </c>
      <c r="E382">
        <v>5690</v>
      </c>
      <c r="F382">
        <v>11471</v>
      </c>
      <c r="G382">
        <v>4884</v>
      </c>
      <c r="H382">
        <v>63.7</v>
      </c>
      <c r="I382">
        <v>57.8</v>
      </c>
      <c r="J382">
        <v>69.7</v>
      </c>
      <c r="K382">
        <v>723</v>
      </c>
      <c r="L382">
        <v>339</v>
      </c>
      <c r="M382">
        <v>1108</v>
      </c>
      <c r="N382">
        <v>5.4</v>
      </c>
      <c r="O382">
        <v>3.1</v>
      </c>
      <c r="P382">
        <v>7.6</v>
      </c>
      <c r="Q382">
        <f t="shared" si="10"/>
        <v>7520103</v>
      </c>
      <c r="R382">
        <f t="shared" si="9"/>
        <v>9.6142300178601268</v>
      </c>
      <c r="U382">
        <v>930</v>
      </c>
      <c r="V382">
        <v>541</v>
      </c>
      <c r="W382">
        <v>1318</v>
      </c>
      <c r="X382">
        <v>1176</v>
      </c>
      <c r="Y382">
        <v>44.1</v>
      </c>
      <c r="Z382">
        <v>35.6</v>
      </c>
      <c r="AA382">
        <v>52.7</v>
      </c>
    </row>
    <row r="383" spans="1:27" x14ac:dyDescent="0.25">
      <c r="A383" t="s">
        <v>227</v>
      </c>
      <c r="B383" t="s">
        <v>185</v>
      </c>
      <c r="C383" s="76">
        <v>43937</v>
      </c>
      <c r="D383">
        <v>8782</v>
      </c>
      <c r="E383">
        <v>5777</v>
      </c>
      <c r="F383">
        <v>11788</v>
      </c>
      <c r="G383">
        <v>5097</v>
      </c>
      <c r="H383">
        <v>63.3</v>
      </c>
      <c r="I383">
        <v>57.5</v>
      </c>
      <c r="J383">
        <v>69.099999999999994</v>
      </c>
      <c r="K383">
        <v>750</v>
      </c>
      <c r="L383">
        <v>382</v>
      </c>
      <c r="M383">
        <v>1117</v>
      </c>
      <c r="N383">
        <v>5.4</v>
      </c>
      <c r="O383">
        <v>3.4</v>
      </c>
      <c r="P383">
        <v>7.4</v>
      </c>
      <c r="Q383">
        <f t="shared" si="10"/>
        <v>7520103</v>
      </c>
      <c r="R383">
        <f t="shared" si="9"/>
        <v>9.9732676533818747</v>
      </c>
      <c r="U383">
        <v>937</v>
      </c>
      <c r="V383">
        <v>562</v>
      </c>
      <c r="W383">
        <v>1312</v>
      </c>
      <c r="X383">
        <v>1208</v>
      </c>
      <c r="Y383">
        <v>43.7</v>
      </c>
      <c r="Z383">
        <v>35.9</v>
      </c>
      <c r="AA383">
        <v>51.5</v>
      </c>
    </row>
    <row r="384" spans="1:27" x14ac:dyDescent="0.25">
      <c r="A384" t="s">
        <v>227</v>
      </c>
      <c r="B384" t="s">
        <v>185</v>
      </c>
      <c r="C384" s="76">
        <v>43938</v>
      </c>
      <c r="D384">
        <v>8679</v>
      </c>
      <c r="E384">
        <v>5707</v>
      </c>
      <c r="F384">
        <v>11650</v>
      </c>
      <c r="G384">
        <v>5068</v>
      </c>
      <c r="H384">
        <v>63.1</v>
      </c>
      <c r="I384">
        <v>57.3</v>
      </c>
      <c r="J384">
        <v>68.900000000000006</v>
      </c>
      <c r="K384">
        <v>698</v>
      </c>
      <c r="L384">
        <v>382</v>
      </c>
      <c r="M384">
        <v>1014</v>
      </c>
      <c r="N384">
        <v>5.0999999999999996</v>
      </c>
      <c r="O384">
        <v>3.4</v>
      </c>
      <c r="P384">
        <v>6.7</v>
      </c>
      <c r="Q384">
        <f t="shared" si="10"/>
        <v>7520103</v>
      </c>
      <c r="R384">
        <f t="shared" si="9"/>
        <v>9.2817877627473973</v>
      </c>
      <c r="U384">
        <v>908</v>
      </c>
      <c r="V384">
        <v>537</v>
      </c>
      <c r="W384">
        <v>1278</v>
      </c>
      <c r="X384">
        <v>1237</v>
      </c>
      <c r="Y384">
        <v>42.3</v>
      </c>
      <c r="Z384">
        <v>33.799999999999997</v>
      </c>
      <c r="AA384">
        <v>50.8</v>
      </c>
    </row>
    <row r="385" spans="1:27" x14ac:dyDescent="0.25">
      <c r="A385" t="s">
        <v>227</v>
      </c>
      <c r="B385" t="s">
        <v>185</v>
      </c>
      <c r="C385" s="76">
        <v>43939</v>
      </c>
      <c r="D385">
        <v>8499</v>
      </c>
      <c r="E385">
        <v>5584</v>
      </c>
      <c r="F385">
        <v>11414</v>
      </c>
      <c r="G385">
        <v>5298</v>
      </c>
      <c r="H385">
        <v>61.6</v>
      </c>
      <c r="I385">
        <v>55.8</v>
      </c>
      <c r="J385">
        <v>67.400000000000006</v>
      </c>
      <c r="K385">
        <v>743</v>
      </c>
      <c r="L385">
        <v>406</v>
      </c>
      <c r="M385">
        <v>1079</v>
      </c>
      <c r="N385">
        <v>5.4</v>
      </c>
      <c r="O385">
        <v>3.7</v>
      </c>
      <c r="P385">
        <v>7.1</v>
      </c>
      <c r="Q385">
        <f t="shared" si="10"/>
        <v>7520103</v>
      </c>
      <c r="R385">
        <f t="shared" si="9"/>
        <v>9.8801838219503111</v>
      </c>
      <c r="U385">
        <v>916</v>
      </c>
      <c r="V385">
        <v>542</v>
      </c>
      <c r="W385">
        <v>1291</v>
      </c>
      <c r="X385">
        <v>1232</v>
      </c>
      <c r="Y385">
        <v>42.7</v>
      </c>
      <c r="Z385">
        <v>33</v>
      </c>
      <c r="AA385">
        <v>52.3</v>
      </c>
    </row>
    <row r="386" spans="1:27" x14ac:dyDescent="0.25">
      <c r="A386" t="s">
        <v>227</v>
      </c>
      <c r="B386" t="s">
        <v>185</v>
      </c>
      <c r="C386" s="76">
        <v>43940</v>
      </c>
      <c r="D386">
        <v>8263</v>
      </c>
      <c r="E386">
        <v>5447</v>
      </c>
      <c r="F386">
        <v>11079</v>
      </c>
      <c r="G386">
        <v>5350</v>
      </c>
      <c r="H386">
        <v>60.7</v>
      </c>
      <c r="I386">
        <v>54.9</v>
      </c>
      <c r="J386">
        <v>66.5</v>
      </c>
      <c r="K386">
        <v>785</v>
      </c>
      <c r="L386">
        <v>444</v>
      </c>
      <c r="M386">
        <v>1126</v>
      </c>
      <c r="N386">
        <v>5.8</v>
      </c>
      <c r="O386">
        <v>4.0999999999999996</v>
      </c>
      <c r="P386">
        <v>7.5</v>
      </c>
      <c r="Q386">
        <f t="shared" si="10"/>
        <v>7520103</v>
      </c>
      <c r="R386">
        <f t="shared" si="9"/>
        <v>10.438686810539696</v>
      </c>
      <c r="U386">
        <v>865</v>
      </c>
      <c r="V386">
        <v>525</v>
      </c>
      <c r="W386">
        <v>1205</v>
      </c>
      <c r="X386">
        <v>1288</v>
      </c>
      <c r="Y386">
        <v>40.200000000000003</v>
      </c>
      <c r="Z386">
        <v>31.6</v>
      </c>
      <c r="AA386">
        <v>48.7</v>
      </c>
    </row>
    <row r="387" spans="1:27" x14ac:dyDescent="0.25">
      <c r="A387" t="s">
        <v>227</v>
      </c>
      <c r="B387" t="s">
        <v>185</v>
      </c>
      <c r="C387" s="76">
        <v>43941</v>
      </c>
      <c r="D387">
        <v>8132</v>
      </c>
      <c r="E387">
        <v>5371</v>
      </c>
      <c r="F387">
        <v>10894</v>
      </c>
      <c r="G387">
        <v>5459</v>
      </c>
      <c r="H387">
        <v>59.8</v>
      </c>
      <c r="I387">
        <v>54.1</v>
      </c>
      <c r="J387">
        <v>65.599999999999994</v>
      </c>
      <c r="K387">
        <v>754</v>
      </c>
      <c r="L387">
        <v>464</v>
      </c>
      <c r="M387">
        <v>1044</v>
      </c>
      <c r="N387">
        <v>5.5</v>
      </c>
      <c r="O387">
        <v>4.2</v>
      </c>
      <c r="P387">
        <v>6.9</v>
      </c>
      <c r="Q387">
        <f t="shared" si="10"/>
        <v>7520103</v>
      </c>
      <c r="R387">
        <f t="shared" si="9"/>
        <v>10.026458414199912</v>
      </c>
      <c r="U387">
        <v>834</v>
      </c>
      <c r="V387">
        <v>523</v>
      </c>
      <c r="W387">
        <v>1144</v>
      </c>
      <c r="X387">
        <v>1329</v>
      </c>
      <c r="Y387">
        <v>38.5</v>
      </c>
      <c r="Z387">
        <v>30.3</v>
      </c>
      <c r="AA387">
        <v>46.8</v>
      </c>
    </row>
    <row r="388" spans="1:27" x14ac:dyDescent="0.25">
      <c r="A388" t="s">
        <v>227</v>
      </c>
      <c r="B388" t="s">
        <v>185</v>
      </c>
      <c r="C388" s="76">
        <v>43942</v>
      </c>
      <c r="D388">
        <v>8136</v>
      </c>
      <c r="E388">
        <v>5384</v>
      </c>
      <c r="F388">
        <v>10888</v>
      </c>
      <c r="G388">
        <v>5047</v>
      </c>
      <c r="H388">
        <v>61.7</v>
      </c>
      <c r="I388">
        <v>56.4</v>
      </c>
      <c r="J388">
        <v>67.099999999999994</v>
      </c>
      <c r="K388">
        <v>792</v>
      </c>
      <c r="L388">
        <v>478</v>
      </c>
      <c r="M388">
        <v>1106</v>
      </c>
      <c r="N388">
        <v>6</v>
      </c>
      <c r="O388">
        <v>4.5</v>
      </c>
      <c r="P388">
        <v>7.5</v>
      </c>
      <c r="Q388">
        <f t="shared" si="10"/>
        <v>7520103</v>
      </c>
      <c r="R388">
        <f t="shared" si="9"/>
        <v>10.53177064197126</v>
      </c>
      <c r="U388">
        <v>791</v>
      </c>
      <c r="V388">
        <v>479</v>
      </c>
      <c r="W388">
        <v>1104</v>
      </c>
      <c r="X388">
        <v>1311</v>
      </c>
      <c r="Y388">
        <v>37.6</v>
      </c>
      <c r="Z388">
        <v>28.9</v>
      </c>
      <c r="AA388">
        <v>46.4</v>
      </c>
    </row>
    <row r="389" spans="1:27" x14ac:dyDescent="0.25">
      <c r="A389" t="s">
        <v>227</v>
      </c>
      <c r="B389" t="s">
        <v>185</v>
      </c>
      <c r="C389" s="76">
        <v>43943</v>
      </c>
      <c r="D389">
        <v>8133</v>
      </c>
      <c r="E389">
        <v>5383</v>
      </c>
      <c r="F389">
        <v>10884</v>
      </c>
      <c r="G389">
        <v>5141</v>
      </c>
      <c r="H389">
        <v>61.3</v>
      </c>
      <c r="I389">
        <v>56.3</v>
      </c>
      <c r="J389">
        <v>66.3</v>
      </c>
      <c r="K389">
        <v>755</v>
      </c>
      <c r="L389">
        <v>459</v>
      </c>
      <c r="M389">
        <v>1051</v>
      </c>
      <c r="N389">
        <v>5.7</v>
      </c>
      <c r="O389">
        <v>4.4000000000000004</v>
      </c>
      <c r="P389">
        <v>7</v>
      </c>
      <c r="Q389">
        <f t="shared" si="10"/>
        <v>7520103</v>
      </c>
      <c r="R389">
        <f t="shared" ref="R389:R452" si="11">K389/(Q389)*100000</f>
        <v>10.039756104404422</v>
      </c>
      <c r="U389">
        <v>820</v>
      </c>
      <c r="V389">
        <v>449</v>
      </c>
      <c r="W389">
        <v>1191</v>
      </c>
      <c r="X389">
        <v>1286</v>
      </c>
      <c r="Y389">
        <v>39</v>
      </c>
      <c r="Z389">
        <v>27.8</v>
      </c>
      <c r="AA389">
        <v>50.1</v>
      </c>
    </row>
    <row r="390" spans="1:27" x14ac:dyDescent="0.25">
      <c r="A390" t="s">
        <v>227</v>
      </c>
      <c r="B390" t="s">
        <v>185</v>
      </c>
      <c r="C390" s="76">
        <v>43944</v>
      </c>
      <c r="D390">
        <v>7889</v>
      </c>
      <c r="E390">
        <v>5208</v>
      </c>
      <c r="F390">
        <v>10570</v>
      </c>
      <c r="G390">
        <v>5361</v>
      </c>
      <c r="H390">
        <v>59.5</v>
      </c>
      <c r="I390">
        <v>54.8</v>
      </c>
      <c r="J390">
        <v>64.3</v>
      </c>
      <c r="K390">
        <v>746</v>
      </c>
      <c r="L390">
        <v>454</v>
      </c>
      <c r="M390">
        <v>1037</v>
      </c>
      <c r="N390">
        <v>5.6</v>
      </c>
      <c r="O390">
        <v>4.4000000000000004</v>
      </c>
      <c r="P390">
        <v>6.9</v>
      </c>
      <c r="Q390">
        <f t="shared" si="10"/>
        <v>7520103</v>
      </c>
      <c r="R390">
        <f t="shared" si="11"/>
        <v>9.9200768925638378</v>
      </c>
      <c r="U390">
        <v>786</v>
      </c>
      <c r="V390">
        <v>419</v>
      </c>
      <c r="W390">
        <v>1152</v>
      </c>
      <c r="X390">
        <v>1325</v>
      </c>
      <c r="Y390">
        <v>37.200000000000003</v>
      </c>
      <c r="Z390">
        <v>26.5</v>
      </c>
      <c r="AA390">
        <v>48</v>
      </c>
    </row>
    <row r="391" spans="1:27" x14ac:dyDescent="0.25">
      <c r="A391" t="s">
        <v>227</v>
      </c>
      <c r="B391" t="s">
        <v>185</v>
      </c>
      <c r="C391" s="76">
        <v>43945</v>
      </c>
      <c r="D391">
        <v>7447</v>
      </c>
      <c r="E391">
        <v>4933</v>
      </c>
      <c r="F391">
        <v>9962</v>
      </c>
      <c r="G391">
        <v>5780</v>
      </c>
      <c r="H391">
        <v>56.3</v>
      </c>
      <c r="I391">
        <v>51.8</v>
      </c>
      <c r="J391">
        <v>60.8</v>
      </c>
      <c r="K391">
        <v>736</v>
      </c>
      <c r="L391">
        <v>443</v>
      </c>
      <c r="M391">
        <v>1030</v>
      </c>
      <c r="N391">
        <v>5.6</v>
      </c>
      <c r="O391">
        <v>4.4000000000000004</v>
      </c>
      <c r="P391">
        <v>6.8</v>
      </c>
      <c r="Q391">
        <f t="shared" si="10"/>
        <v>7520103</v>
      </c>
      <c r="R391">
        <f t="shared" si="11"/>
        <v>9.7870999905187475</v>
      </c>
      <c r="U391">
        <v>742</v>
      </c>
      <c r="V391">
        <v>428</v>
      </c>
      <c r="W391">
        <v>1057</v>
      </c>
      <c r="X391">
        <v>1312</v>
      </c>
      <c r="Y391">
        <v>36.1</v>
      </c>
      <c r="Z391">
        <v>25.7</v>
      </c>
      <c r="AA391">
        <v>46.5</v>
      </c>
    </row>
    <row r="392" spans="1:27" x14ac:dyDescent="0.25">
      <c r="A392" t="s">
        <v>227</v>
      </c>
      <c r="B392" t="s">
        <v>185</v>
      </c>
      <c r="C392" s="76">
        <v>43946</v>
      </c>
      <c r="D392">
        <v>6668</v>
      </c>
      <c r="E392">
        <v>4399</v>
      </c>
      <c r="F392">
        <v>8938</v>
      </c>
      <c r="G392">
        <v>6523</v>
      </c>
      <c r="H392">
        <v>50.5</v>
      </c>
      <c r="I392">
        <v>46</v>
      </c>
      <c r="J392">
        <v>55.1</v>
      </c>
      <c r="K392">
        <v>717</v>
      </c>
      <c r="L392">
        <v>433</v>
      </c>
      <c r="M392">
        <v>1002</v>
      </c>
      <c r="N392">
        <v>5.4</v>
      </c>
      <c r="O392">
        <v>4.2</v>
      </c>
      <c r="P392">
        <v>6.6</v>
      </c>
      <c r="Q392">
        <f t="shared" si="10"/>
        <v>7520103</v>
      </c>
      <c r="R392">
        <f t="shared" si="11"/>
        <v>9.5344438766330715</v>
      </c>
      <c r="U392">
        <v>724</v>
      </c>
      <c r="V392">
        <v>363</v>
      </c>
      <c r="W392">
        <v>1085</v>
      </c>
      <c r="X392">
        <v>1432</v>
      </c>
      <c r="Y392">
        <v>33.6</v>
      </c>
      <c r="Z392">
        <v>22.9</v>
      </c>
      <c r="AA392">
        <v>44.2</v>
      </c>
    </row>
    <row r="393" spans="1:27" x14ac:dyDescent="0.25">
      <c r="A393" t="s">
        <v>227</v>
      </c>
      <c r="B393" t="s">
        <v>185</v>
      </c>
      <c r="C393" s="76">
        <v>43947</v>
      </c>
      <c r="D393">
        <v>5798</v>
      </c>
      <c r="E393">
        <v>3712</v>
      </c>
      <c r="F393">
        <v>7884</v>
      </c>
      <c r="G393">
        <v>7360</v>
      </c>
      <c r="H393">
        <v>44.1</v>
      </c>
      <c r="I393">
        <v>37.700000000000003</v>
      </c>
      <c r="J393">
        <v>50.5</v>
      </c>
      <c r="K393">
        <v>713</v>
      </c>
      <c r="L393">
        <v>432</v>
      </c>
      <c r="M393">
        <v>994</v>
      </c>
      <c r="N393">
        <v>5.4</v>
      </c>
      <c r="O393">
        <v>4.3</v>
      </c>
      <c r="P393">
        <v>6.6</v>
      </c>
      <c r="Q393">
        <f t="shared" si="10"/>
        <v>7520103</v>
      </c>
      <c r="R393">
        <f t="shared" si="11"/>
        <v>9.4812531158150346</v>
      </c>
      <c r="U393">
        <v>654</v>
      </c>
      <c r="V393">
        <v>324</v>
      </c>
      <c r="W393">
        <v>985</v>
      </c>
      <c r="X393">
        <v>1524</v>
      </c>
      <c r="Y393">
        <v>30</v>
      </c>
      <c r="Z393">
        <v>19.7</v>
      </c>
      <c r="AA393">
        <v>40.299999999999997</v>
      </c>
    </row>
    <row r="394" spans="1:27" x14ac:dyDescent="0.25">
      <c r="A394" t="s">
        <v>227</v>
      </c>
      <c r="B394" t="s">
        <v>185</v>
      </c>
      <c r="C394" s="76">
        <v>43948</v>
      </c>
      <c r="D394">
        <v>8240</v>
      </c>
      <c r="E394">
        <v>5479</v>
      </c>
      <c r="F394">
        <v>11001</v>
      </c>
      <c r="G394">
        <v>4967</v>
      </c>
      <c r="H394">
        <v>62.4</v>
      </c>
      <c r="I394">
        <v>56.5</v>
      </c>
      <c r="J394">
        <v>68.2</v>
      </c>
      <c r="K394">
        <v>800</v>
      </c>
      <c r="L394">
        <v>499</v>
      </c>
      <c r="M394">
        <v>1101</v>
      </c>
      <c r="N394">
        <v>6.1</v>
      </c>
      <c r="O394">
        <v>4.7</v>
      </c>
      <c r="P394">
        <v>7.4</v>
      </c>
      <c r="Q394">
        <f t="shared" si="10"/>
        <v>7520103</v>
      </c>
      <c r="R394">
        <f t="shared" si="11"/>
        <v>10.638152163607334</v>
      </c>
      <c r="U394">
        <v>818</v>
      </c>
      <c r="V394">
        <v>470</v>
      </c>
      <c r="W394">
        <v>1166</v>
      </c>
      <c r="X394">
        <v>1327</v>
      </c>
      <c r="Y394">
        <v>38.1</v>
      </c>
      <c r="Z394">
        <v>30.5</v>
      </c>
      <c r="AA394">
        <v>45.7</v>
      </c>
    </row>
    <row r="395" spans="1:27" x14ac:dyDescent="0.25">
      <c r="A395" t="s">
        <v>227</v>
      </c>
      <c r="B395" t="s">
        <v>185</v>
      </c>
      <c r="C395" s="76">
        <v>43949</v>
      </c>
      <c r="D395">
        <v>8489</v>
      </c>
      <c r="E395">
        <v>5664</v>
      </c>
      <c r="F395">
        <v>11315</v>
      </c>
      <c r="G395">
        <v>5058</v>
      </c>
      <c r="H395">
        <v>62.7</v>
      </c>
      <c r="I395">
        <v>56.4</v>
      </c>
      <c r="J395">
        <v>69</v>
      </c>
      <c r="K395">
        <v>811</v>
      </c>
      <c r="L395">
        <v>512</v>
      </c>
      <c r="M395">
        <v>1110</v>
      </c>
      <c r="N395">
        <v>6</v>
      </c>
      <c r="O395">
        <v>4.7</v>
      </c>
      <c r="P395">
        <v>7.2</v>
      </c>
      <c r="Q395">
        <f t="shared" si="10"/>
        <v>7520103</v>
      </c>
      <c r="R395">
        <f t="shared" si="11"/>
        <v>10.784426755856934</v>
      </c>
      <c r="U395">
        <v>813</v>
      </c>
      <c r="V395">
        <v>507</v>
      </c>
      <c r="W395">
        <v>1119</v>
      </c>
      <c r="X395">
        <v>1298</v>
      </c>
      <c r="Y395">
        <v>38.5</v>
      </c>
      <c r="Z395">
        <v>30.8</v>
      </c>
      <c r="AA395">
        <v>46.2</v>
      </c>
    </row>
    <row r="396" spans="1:27" x14ac:dyDescent="0.25">
      <c r="A396" t="s">
        <v>227</v>
      </c>
      <c r="B396" t="s">
        <v>185</v>
      </c>
      <c r="C396" s="76">
        <v>43950</v>
      </c>
      <c r="D396">
        <v>8567</v>
      </c>
      <c r="E396">
        <v>5781</v>
      </c>
      <c r="F396">
        <v>11352</v>
      </c>
      <c r="G396">
        <v>5000</v>
      </c>
      <c r="H396">
        <v>63.1</v>
      </c>
      <c r="I396">
        <v>57.7</v>
      </c>
      <c r="J396">
        <v>68.5</v>
      </c>
      <c r="K396">
        <v>887</v>
      </c>
      <c r="L396">
        <v>557</v>
      </c>
      <c r="M396">
        <v>1218</v>
      </c>
      <c r="N396">
        <v>6.5</v>
      </c>
      <c r="O396">
        <v>5.0999999999999996</v>
      </c>
      <c r="P396">
        <v>8</v>
      </c>
      <c r="Q396">
        <f t="shared" si="10"/>
        <v>7520103</v>
      </c>
      <c r="R396">
        <f t="shared" si="11"/>
        <v>11.795051211399631</v>
      </c>
      <c r="U396">
        <v>865</v>
      </c>
      <c r="V396">
        <v>516</v>
      </c>
      <c r="W396">
        <v>1213</v>
      </c>
      <c r="X396">
        <v>1318</v>
      </c>
      <c r="Y396">
        <v>39.6</v>
      </c>
      <c r="Z396">
        <v>31.5</v>
      </c>
      <c r="AA396">
        <v>47.8</v>
      </c>
    </row>
    <row r="397" spans="1:27" x14ac:dyDescent="0.25">
      <c r="A397" t="s">
        <v>227</v>
      </c>
      <c r="B397" t="s">
        <v>185</v>
      </c>
      <c r="C397" s="76">
        <v>43951</v>
      </c>
      <c r="D397">
        <v>8198</v>
      </c>
      <c r="E397">
        <v>5533</v>
      </c>
      <c r="F397">
        <v>10862</v>
      </c>
      <c r="G397">
        <v>5316</v>
      </c>
      <c r="H397">
        <v>60.7</v>
      </c>
      <c r="I397">
        <v>55.8</v>
      </c>
      <c r="J397">
        <v>65.5</v>
      </c>
      <c r="K397">
        <v>858</v>
      </c>
      <c r="L397">
        <v>547</v>
      </c>
      <c r="M397">
        <v>1169</v>
      </c>
      <c r="N397">
        <v>6.3</v>
      </c>
      <c r="O397">
        <v>5</v>
      </c>
      <c r="P397">
        <v>7.7</v>
      </c>
      <c r="Q397">
        <f t="shared" si="10"/>
        <v>7520103</v>
      </c>
      <c r="R397">
        <f t="shared" si="11"/>
        <v>11.409418195468866</v>
      </c>
      <c r="U397">
        <v>825</v>
      </c>
      <c r="V397">
        <v>485</v>
      </c>
      <c r="W397">
        <v>1165</v>
      </c>
      <c r="X397">
        <v>1350</v>
      </c>
      <c r="Y397">
        <v>37.9</v>
      </c>
      <c r="Z397">
        <v>29.4</v>
      </c>
      <c r="AA397">
        <v>46.5</v>
      </c>
    </row>
    <row r="398" spans="1:27" x14ac:dyDescent="0.25">
      <c r="A398" t="s">
        <v>227</v>
      </c>
      <c r="B398" t="s">
        <v>185</v>
      </c>
      <c r="C398" s="76">
        <v>43952</v>
      </c>
      <c r="D398">
        <v>7744</v>
      </c>
      <c r="E398">
        <v>5245</v>
      </c>
      <c r="F398">
        <v>10244</v>
      </c>
      <c r="G398">
        <v>5431</v>
      </c>
      <c r="H398">
        <v>58.8</v>
      </c>
      <c r="I398">
        <v>53.9</v>
      </c>
      <c r="J398">
        <v>63.6</v>
      </c>
      <c r="K398">
        <v>900</v>
      </c>
      <c r="L398">
        <v>572</v>
      </c>
      <c r="M398">
        <v>1228</v>
      </c>
      <c r="N398">
        <v>6.8</v>
      </c>
      <c r="O398">
        <v>5.2</v>
      </c>
      <c r="P398">
        <v>8.4</v>
      </c>
      <c r="Q398">
        <f t="shared" si="10"/>
        <v>7520103</v>
      </c>
      <c r="R398">
        <f t="shared" si="11"/>
        <v>11.96792118405825</v>
      </c>
      <c r="U398">
        <v>820</v>
      </c>
      <c r="V398">
        <v>461</v>
      </c>
      <c r="W398">
        <v>1180</v>
      </c>
      <c r="X398">
        <v>1353</v>
      </c>
      <c r="Y398">
        <v>37.700000000000003</v>
      </c>
      <c r="Z398">
        <v>28.1</v>
      </c>
      <c r="AA398">
        <v>47.4</v>
      </c>
    </row>
    <row r="399" spans="1:27" x14ac:dyDescent="0.25">
      <c r="A399" t="s">
        <v>227</v>
      </c>
      <c r="B399" t="s">
        <v>185</v>
      </c>
      <c r="C399" s="76">
        <v>43953</v>
      </c>
      <c r="D399">
        <v>6955</v>
      </c>
      <c r="E399">
        <v>4674</v>
      </c>
      <c r="F399">
        <v>9236</v>
      </c>
      <c r="G399">
        <v>6231</v>
      </c>
      <c r="H399">
        <v>52.7</v>
      </c>
      <c r="I399">
        <v>47.5</v>
      </c>
      <c r="J399">
        <v>58</v>
      </c>
      <c r="K399">
        <v>878</v>
      </c>
      <c r="L399">
        <v>557</v>
      </c>
      <c r="M399">
        <v>1199</v>
      </c>
      <c r="N399">
        <v>6.7</v>
      </c>
      <c r="O399">
        <v>5.3</v>
      </c>
      <c r="P399">
        <v>8</v>
      </c>
      <c r="Q399">
        <f t="shared" si="10"/>
        <v>7520103</v>
      </c>
      <c r="R399">
        <f t="shared" si="11"/>
        <v>11.675371999559049</v>
      </c>
      <c r="U399">
        <v>755</v>
      </c>
      <c r="V399">
        <v>417</v>
      </c>
      <c r="W399">
        <v>1093</v>
      </c>
      <c r="X399">
        <v>1430</v>
      </c>
      <c r="Y399">
        <v>34.6</v>
      </c>
      <c r="Z399">
        <v>24.7</v>
      </c>
      <c r="AA399">
        <v>44.4</v>
      </c>
    </row>
    <row r="400" spans="1:27" x14ac:dyDescent="0.25">
      <c r="A400" t="s">
        <v>227</v>
      </c>
      <c r="B400" t="s">
        <v>185</v>
      </c>
      <c r="C400" s="76">
        <v>43954</v>
      </c>
      <c r="D400">
        <v>7865</v>
      </c>
      <c r="E400">
        <v>5269</v>
      </c>
      <c r="F400">
        <v>10460</v>
      </c>
      <c r="G400">
        <v>5362</v>
      </c>
      <c r="H400">
        <v>59.5</v>
      </c>
      <c r="I400">
        <v>53.8</v>
      </c>
      <c r="J400">
        <v>65.099999999999994</v>
      </c>
      <c r="K400">
        <v>984</v>
      </c>
      <c r="L400">
        <v>614</v>
      </c>
      <c r="M400">
        <v>1353</v>
      </c>
      <c r="N400">
        <v>7.4</v>
      </c>
      <c r="O400">
        <v>5.8</v>
      </c>
      <c r="P400">
        <v>9</v>
      </c>
      <c r="Q400">
        <f t="shared" si="10"/>
        <v>7520103</v>
      </c>
      <c r="R400">
        <f t="shared" si="11"/>
        <v>13.084927161237021</v>
      </c>
      <c r="U400">
        <v>858</v>
      </c>
      <c r="V400">
        <v>494</v>
      </c>
      <c r="W400">
        <v>1221</v>
      </c>
      <c r="X400">
        <v>1325</v>
      </c>
      <c r="Y400">
        <v>39.299999999999997</v>
      </c>
      <c r="Z400">
        <v>30.9</v>
      </c>
      <c r="AA400">
        <v>47.7</v>
      </c>
    </row>
    <row r="401" spans="1:27" x14ac:dyDescent="0.25">
      <c r="A401" t="s">
        <v>227</v>
      </c>
      <c r="B401" t="s">
        <v>185</v>
      </c>
      <c r="C401" s="76">
        <v>43955</v>
      </c>
      <c r="D401">
        <v>7789</v>
      </c>
      <c r="E401">
        <v>5216</v>
      </c>
      <c r="F401">
        <v>10362</v>
      </c>
      <c r="G401">
        <v>5418</v>
      </c>
      <c r="H401">
        <v>59</v>
      </c>
      <c r="I401">
        <v>53.3</v>
      </c>
      <c r="J401">
        <v>64.7</v>
      </c>
      <c r="K401">
        <v>804</v>
      </c>
      <c r="L401">
        <v>492</v>
      </c>
      <c r="M401">
        <v>1117</v>
      </c>
      <c r="N401">
        <v>6.1</v>
      </c>
      <c r="O401">
        <v>4.5999999999999996</v>
      </c>
      <c r="P401">
        <v>7.6</v>
      </c>
      <c r="Q401">
        <f t="shared" si="10"/>
        <v>7520103</v>
      </c>
      <c r="R401">
        <f t="shared" si="11"/>
        <v>10.691342924425371</v>
      </c>
      <c r="U401">
        <v>819</v>
      </c>
      <c r="V401">
        <v>460</v>
      </c>
      <c r="W401">
        <v>1178</v>
      </c>
      <c r="X401">
        <v>1353</v>
      </c>
      <c r="Y401">
        <v>37.700000000000003</v>
      </c>
      <c r="Z401">
        <v>29.3</v>
      </c>
      <c r="AA401">
        <v>46.1</v>
      </c>
    </row>
    <row r="402" spans="1:27" x14ac:dyDescent="0.25">
      <c r="A402" t="s">
        <v>227</v>
      </c>
      <c r="B402" t="s">
        <v>185</v>
      </c>
      <c r="C402" s="76">
        <v>43956</v>
      </c>
      <c r="D402">
        <v>8025</v>
      </c>
      <c r="E402">
        <v>5447</v>
      </c>
      <c r="F402">
        <v>10603</v>
      </c>
      <c r="G402">
        <v>5424</v>
      </c>
      <c r="H402">
        <v>59.7</v>
      </c>
      <c r="I402">
        <v>54.9</v>
      </c>
      <c r="J402">
        <v>64.400000000000006</v>
      </c>
      <c r="K402">
        <v>899</v>
      </c>
      <c r="L402">
        <v>560</v>
      </c>
      <c r="M402">
        <v>1237</v>
      </c>
      <c r="N402">
        <v>6.7</v>
      </c>
      <c r="O402">
        <v>5.2</v>
      </c>
      <c r="P402">
        <v>8.1999999999999993</v>
      </c>
      <c r="Q402">
        <f t="shared" si="10"/>
        <v>7520103</v>
      </c>
      <c r="R402">
        <f t="shared" si="11"/>
        <v>11.954623493853742</v>
      </c>
      <c r="U402">
        <v>809</v>
      </c>
      <c r="V402">
        <v>444</v>
      </c>
      <c r="W402">
        <v>1174</v>
      </c>
      <c r="X402">
        <v>1368</v>
      </c>
      <c r="Y402">
        <v>37.200000000000003</v>
      </c>
      <c r="Z402">
        <v>28</v>
      </c>
      <c r="AA402">
        <v>46.3</v>
      </c>
    </row>
    <row r="403" spans="1:27" x14ac:dyDescent="0.25">
      <c r="A403" t="s">
        <v>227</v>
      </c>
      <c r="B403" t="s">
        <v>185</v>
      </c>
      <c r="C403" s="76">
        <v>43957</v>
      </c>
      <c r="D403">
        <v>7672</v>
      </c>
      <c r="E403">
        <v>5212</v>
      </c>
      <c r="F403">
        <v>10133</v>
      </c>
      <c r="G403">
        <v>5751</v>
      </c>
      <c r="H403">
        <v>57.2</v>
      </c>
      <c r="I403">
        <v>52.3</v>
      </c>
      <c r="J403">
        <v>62</v>
      </c>
      <c r="K403">
        <v>933</v>
      </c>
      <c r="L403">
        <v>580</v>
      </c>
      <c r="M403">
        <v>1287</v>
      </c>
      <c r="N403">
        <v>7</v>
      </c>
      <c r="O403">
        <v>5.4</v>
      </c>
      <c r="P403">
        <v>8.5</v>
      </c>
      <c r="Q403">
        <f t="shared" si="10"/>
        <v>7520103</v>
      </c>
      <c r="R403">
        <f t="shared" si="11"/>
        <v>12.406744960807053</v>
      </c>
      <c r="U403">
        <v>824</v>
      </c>
      <c r="V403">
        <v>448</v>
      </c>
      <c r="W403">
        <v>1199</v>
      </c>
      <c r="X403">
        <v>1360</v>
      </c>
      <c r="Y403">
        <v>37.700000000000003</v>
      </c>
      <c r="Z403">
        <v>27.8</v>
      </c>
      <c r="AA403">
        <v>47.7</v>
      </c>
    </row>
    <row r="404" spans="1:27" x14ac:dyDescent="0.25">
      <c r="A404" t="s">
        <v>227</v>
      </c>
      <c r="B404" t="s">
        <v>185</v>
      </c>
      <c r="C404" s="76">
        <v>43958</v>
      </c>
      <c r="D404">
        <v>6837</v>
      </c>
      <c r="E404">
        <v>4611</v>
      </c>
      <c r="F404">
        <v>9063</v>
      </c>
      <c r="G404">
        <v>6592</v>
      </c>
      <c r="H404">
        <v>50.9</v>
      </c>
      <c r="I404">
        <v>45.4</v>
      </c>
      <c r="J404">
        <v>56.5</v>
      </c>
      <c r="K404">
        <v>981</v>
      </c>
      <c r="L404">
        <v>608</v>
      </c>
      <c r="M404">
        <v>1354</v>
      </c>
      <c r="N404">
        <v>7.3</v>
      </c>
      <c r="O404">
        <v>5.7</v>
      </c>
      <c r="P404">
        <v>8.9</v>
      </c>
      <c r="Q404">
        <f t="shared" si="10"/>
        <v>7520103</v>
      </c>
      <c r="R404">
        <f t="shared" si="11"/>
        <v>13.045034090623494</v>
      </c>
      <c r="U404">
        <v>744</v>
      </c>
      <c r="V404">
        <v>402</v>
      </c>
      <c r="W404">
        <v>1087</v>
      </c>
      <c r="X404">
        <v>1429</v>
      </c>
      <c r="Y404">
        <v>34.299999999999997</v>
      </c>
      <c r="Z404">
        <v>24.2</v>
      </c>
      <c r="AA404">
        <v>44.3</v>
      </c>
    </row>
    <row r="405" spans="1:27" x14ac:dyDescent="0.25">
      <c r="A405" t="s">
        <v>227</v>
      </c>
      <c r="B405" t="s">
        <v>185</v>
      </c>
      <c r="C405" s="76">
        <v>43959</v>
      </c>
      <c r="D405">
        <v>8610</v>
      </c>
      <c r="E405">
        <v>5871</v>
      </c>
      <c r="F405">
        <v>11349</v>
      </c>
      <c r="G405">
        <v>4972</v>
      </c>
      <c r="H405">
        <v>63.4</v>
      </c>
      <c r="I405">
        <v>58</v>
      </c>
      <c r="J405">
        <v>68.8</v>
      </c>
      <c r="K405">
        <v>847</v>
      </c>
      <c r="L405">
        <v>520</v>
      </c>
      <c r="M405">
        <v>1174</v>
      </c>
      <c r="N405">
        <v>6.2</v>
      </c>
      <c r="O405">
        <v>4.9000000000000004</v>
      </c>
      <c r="P405">
        <v>7.6</v>
      </c>
      <c r="Q405">
        <f t="shared" si="10"/>
        <v>7520103</v>
      </c>
      <c r="R405">
        <f t="shared" si="11"/>
        <v>11.263143603219264</v>
      </c>
      <c r="U405">
        <v>832</v>
      </c>
      <c r="V405">
        <v>481</v>
      </c>
      <c r="W405">
        <v>1184</v>
      </c>
      <c r="X405">
        <v>1351</v>
      </c>
      <c r="Y405">
        <v>38.1</v>
      </c>
      <c r="Z405">
        <v>29</v>
      </c>
      <c r="AA405">
        <v>47.2</v>
      </c>
    </row>
    <row r="406" spans="1:27" x14ac:dyDescent="0.25">
      <c r="A406" t="s">
        <v>227</v>
      </c>
      <c r="B406" t="s">
        <v>185</v>
      </c>
      <c r="C406" s="76">
        <v>43960</v>
      </c>
      <c r="D406">
        <v>7866</v>
      </c>
      <c r="E406">
        <v>5355</v>
      </c>
      <c r="F406">
        <v>10378</v>
      </c>
      <c r="G406">
        <v>5644</v>
      </c>
      <c r="H406">
        <v>58.2</v>
      </c>
      <c r="I406">
        <v>53.4</v>
      </c>
      <c r="J406">
        <v>63</v>
      </c>
      <c r="K406">
        <v>827</v>
      </c>
      <c r="L406">
        <v>510</v>
      </c>
      <c r="M406">
        <v>1145</v>
      </c>
      <c r="N406">
        <v>6.1</v>
      </c>
      <c r="O406">
        <v>4.8</v>
      </c>
      <c r="P406">
        <v>7.5</v>
      </c>
      <c r="Q406">
        <f t="shared" si="10"/>
        <v>7520103</v>
      </c>
      <c r="R406">
        <f t="shared" si="11"/>
        <v>10.99718979912908</v>
      </c>
      <c r="U406">
        <v>797</v>
      </c>
      <c r="V406">
        <v>438</v>
      </c>
      <c r="W406">
        <v>1156</v>
      </c>
      <c r="X406">
        <v>1385</v>
      </c>
      <c r="Y406">
        <v>36.5</v>
      </c>
      <c r="Z406">
        <v>26.4</v>
      </c>
      <c r="AA406">
        <v>46.6</v>
      </c>
    </row>
    <row r="407" spans="1:27" x14ac:dyDescent="0.25">
      <c r="A407" t="s">
        <v>227</v>
      </c>
      <c r="B407" t="s">
        <v>185</v>
      </c>
      <c r="C407" s="76">
        <v>43961</v>
      </c>
      <c r="D407">
        <v>7073</v>
      </c>
      <c r="E407">
        <v>4788</v>
      </c>
      <c r="F407">
        <v>9358</v>
      </c>
      <c r="G407">
        <v>6349</v>
      </c>
      <c r="H407">
        <v>52.7</v>
      </c>
      <c r="I407">
        <v>47.9</v>
      </c>
      <c r="J407">
        <v>57.5</v>
      </c>
      <c r="K407">
        <v>858</v>
      </c>
      <c r="L407">
        <v>536</v>
      </c>
      <c r="M407">
        <v>1180</v>
      </c>
      <c r="N407">
        <v>6.4</v>
      </c>
      <c r="O407">
        <v>5.0999999999999996</v>
      </c>
      <c r="P407">
        <v>7.7</v>
      </c>
      <c r="Q407">
        <f t="shared" si="10"/>
        <v>7520103</v>
      </c>
      <c r="R407">
        <f t="shared" si="11"/>
        <v>11.409418195468866</v>
      </c>
      <c r="U407">
        <v>766</v>
      </c>
      <c r="V407">
        <v>371</v>
      </c>
      <c r="W407">
        <v>1161</v>
      </c>
      <c r="X407">
        <v>1403</v>
      </c>
      <c r="Y407">
        <v>35.299999999999997</v>
      </c>
      <c r="Z407">
        <v>23.3</v>
      </c>
      <c r="AA407">
        <v>47.4</v>
      </c>
    </row>
    <row r="408" spans="1:27" x14ac:dyDescent="0.25">
      <c r="A408" t="s">
        <v>227</v>
      </c>
      <c r="B408" t="s">
        <v>185</v>
      </c>
      <c r="C408" s="76">
        <v>43962</v>
      </c>
      <c r="D408">
        <v>6481</v>
      </c>
      <c r="E408">
        <v>4303</v>
      </c>
      <c r="F408">
        <v>8659</v>
      </c>
      <c r="G408">
        <v>7022</v>
      </c>
      <c r="H408">
        <v>48</v>
      </c>
      <c r="I408">
        <v>41.7</v>
      </c>
      <c r="J408">
        <v>54.3</v>
      </c>
      <c r="K408">
        <v>913</v>
      </c>
      <c r="L408">
        <v>566</v>
      </c>
      <c r="M408">
        <v>1260</v>
      </c>
      <c r="N408">
        <v>6.8</v>
      </c>
      <c r="O408">
        <v>5.4</v>
      </c>
      <c r="P408">
        <v>8.1</v>
      </c>
      <c r="Q408">
        <f t="shared" si="10"/>
        <v>7520103</v>
      </c>
      <c r="R408">
        <f t="shared" si="11"/>
        <v>12.140791156716869</v>
      </c>
      <c r="U408">
        <v>744</v>
      </c>
      <c r="V408">
        <v>372</v>
      </c>
      <c r="W408">
        <v>1116</v>
      </c>
      <c r="X408">
        <v>1440</v>
      </c>
      <c r="Y408">
        <v>34.1</v>
      </c>
      <c r="Z408">
        <v>22.8</v>
      </c>
      <c r="AA408">
        <v>45.4</v>
      </c>
    </row>
    <row r="409" spans="1:27" x14ac:dyDescent="0.25">
      <c r="A409" t="s">
        <v>227</v>
      </c>
      <c r="B409" t="s">
        <v>185</v>
      </c>
      <c r="C409" s="76">
        <v>43963</v>
      </c>
      <c r="D409">
        <v>7751</v>
      </c>
      <c r="E409">
        <v>5250</v>
      </c>
      <c r="F409">
        <v>10251</v>
      </c>
      <c r="G409">
        <v>5725</v>
      </c>
      <c r="H409">
        <v>57.5</v>
      </c>
      <c r="I409">
        <v>52.7</v>
      </c>
      <c r="J409">
        <v>62.3</v>
      </c>
      <c r="K409">
        <v>937</v>
      </c>
      <c r="L409">
        <v>590</v>
      </c>
      <c r="M409">
        <v>1285</v>
      </c>
      <c r="N409">
        <v>7</v>
      </c>
      <c r="O409">
        <v>5.6</v>
      </c>
      <c r="P409">
        <v>8.4</v>
      </c>
      <c r="Q409">
        <f t="shared" si="10"/>
        <v>7520103</v>
      </c>
      <c r="R409">
        <f t="shared" si="11"/>
        <v>12.459935721625088</v>
      </c>
      <c r="U409">
        <v>849</v>
      </c>
      <c r="V409">
        <v>437</v>
      </c>
      <c r="W409">
        <v>1260</v>
      </c>
      <c r="X409">
        <v>1345</v>
      </c>
      <c r="Y409">
        <v>38.700000000000003</v>
      </c>
      <c r="Z409">
        <v>27.2</v>
      </c>
      <c r="AA409">
        <v>50.1</v>
      </c>
    </row>
    <row r="410" spans="1:27" x14ac:dyDescent="0.25">
      <c r="A410" t="s">
        <v>227</v>
      </c>
      <c r="B410" t="s">
        <v>185</v>
      </c>
      <c r="C410" s="76">
        <v>43964</v>
      </c>
      <c r="D410">
        <v>6993</v>
      </c>
      <c r="E410">
        <v>4650</v>
      </c>
      <c r="F410">
        <v>9336</v>
      </c>
      <c r="G410">
        <v>6483</v>
      </c>
      <c r="H410">
        <v>51.9</v>
      </c>
      <c r="I410">
        <v>45.7</v>
      </c>
      <c r="J410">
        <v>58.1</v>
      </c>
      <c r="K410">
        <v>1000</v>
      </c>
      <c r="L410">
        <v>630</v>
      </c>
      <c r="M410">
        <v>1370</v>
      </c>
      <c r="N410">
        <v>7.4</v>
      </c>
      <c r="O410">
        <v>6</v>
      </c>
      <c r="P410">
        <v>8.8000000000000007</v>
      </c>
      <c r="Q410">
        <f t="shared" si="10"/>
        <v>7520103</v>
      </c>
      <c r="R410">
        <f t="shared" si="11"/>
        <v>13.297690204509168</v>
      </c>
      <c r="U410">
        <v>800</v>
      </c>
      <c r="V410">
        <v>395</v>
      </c>
      <c r="W410">
        <v>1205</v>
      </c>
      <c r="X410">
        <v>1397</v>
      </c>
      <c r="Y410">
        <v>36.4</v>
      </c>
      <c r="Z410">
        <v>24.1</v>
      </c>
      <c r="AA410">
        <v>48.8</v>
      </c>
    </row>
    <row r="411" spans="1:27" x14ac:dyDescent="0.25">
      <c r="A411" t="s">
        <v>227</v>
      </c>
      <c r="B411" t="s">
        <v>185</v>
      </c>
      <c r="C411" s="76">
        <v>43965</v>
      </c>
      <c r="D411">
        <v>8865</v>
      </c>
      <c r="E411">
        <v>5986</v>
      </c>
      <c r="F411">
        <v>11745</v>
      </c>
      <c r="G411">
        <v>4732</v>
      </c>
      <c r="H411">
        <v>65.2</v>
      </c>
      <c r="I411">
        <v>60.1</v>
      </c>
      <c r="J411">
        <v>70.3</v>
      </c>
      <c r="K411">
        <v>951</v>
      </c>
      <c r="L411">
        <v>600</v>
      </c>
      <c r="M411">
        <v>1303</v>
      </c>
      <c r="N411">
        <v>7</v>
      </c>
      <c r="O411">
        <v>5.6</v>
      </c>
      <c r="P411">
        <v>8.4</v>
      </c>
      <c r="Q411">
        <f t="shared" si="10"/>
        <v>7520103</v>
      </c>
      <c r="R411">
        <f t="shared" si="11"/>
        <v>12.646103384488219</v>
      </c>
      <c r="U411">
        <v>872</v>
      </c>
      <c r="V411">
        <v>512</v>
      </c>
      <c r="W411">
        <v>1232</v>
      </c>
      <c r="X411">
        <v>1323</v>
      </c>
      <c r="Y411">
        <v>39.700000000000003</v>
      </c>
      <c r="Z411">
        <v>30.3</v>
      </c>
      <c r="AA411">
        <v>49.2</v>
      </c>
    </row>
    <row r="412" spans="1:27" x14ac:dyDescent="0.25">
      <c r="A412" t="s">
        <v>227</v>
      </c>
      <c r="B412" t="s">
        <v>185</v>
      </c>
      <c r="C412" s="76">
        <v>43966</v>
      </c>
      <c r="D412">
        <v>8921</v>
      </c>
      <c r="E412">
        <v>6014</v>
      </c>
      <c r="F412">
        <v>11827</v>
      </c>
      <c r="G412">
        <v>4722</v>
      </c>
      <c r="H412">
        <v>65.400000000000006</v>
      </c>
      <c r="I412">
        <v>59.9</v>
      </c>
      <c r="J412">
        <v>70.900000000000006</v>
      </c>
      <c r="K412">
        <v>1167</v>
      </c>
      <c r="L412">
        <v>720</v>
      </c>
      <c r="M412">
        <v>1614</v>
      </c>
      <c r="N412">
        <v>8.6</v>
      </c>
      <c r="O412">
        <v>6.7</v>
      </c>
      <c r="P412">
        <v>10.4</v>
      </c>
      <c r="Q412">
        <f t="shared" si="10"/>
        <v>7520103</v>
      </c>
      <c r="R412">
        <f t="shared" si="11"/>
        <v>15.518404468662197</v>
      </c>
      <c r="U412">
        <v>921</v>
      </c>
      <c r="V412">
        <v>535</v>
      </c>
      <c r="W412">
        <v>1307</v>
      </c>
      <c r="X412">
        <v>1312</v>
      </c>
      <c r="Y412">
        <v>41.2</v>
      </c>
      <c r="Z412">
        <v>31.4</v>
      </c>
      <c r="AA412">
        <v>51.1</v>
      </c>
    </row>
    <row r="413" spans="1:27" x14ac:dyDescent="0.25">
      <c r="A413" t="s">
        <v>227</v>
      </c>
      <c r="B413" t="s">
        <v>185</v>
      </c>
      <c r="C413" s="76">
        <v>43967</v>
      </c>
      <c r="D413">
        <v>8673</v>
      </c>
      <c r="E413">
        <v>5868</v>
      </c>
      <c r="F413">
        <v>11479</v>
      </c>
      <c r="G413">
        <v>4792</v>
      </c>
      <c r="H413">
        <v>64.400000000000006</v>
      </c>
      <c r="I413">
        <v>59.2</v>
      </c>
      <c r="J413">
        <v>69.7</v>
      </c>
      <c r="K413">
        <v>1186</v>
      </c>
      <c r="L413">
        <v>735</v>
      </c>
      <c r="M413">
        <v>1638</v>
      </c>
      <c r="N413">
        <v>8.8000000000000007</v>
      </c>
      <c r="O413">
        <v>6.9</v>
      </c>
      <c r="P413">
        <v>10.7</v>
      </c>
      <c r="Q413">
        <f t="shared" si="10"/>
        <v>7520103</v>
      </c>
      <c r="R413">
        <f t="shared" si="11"/>
        <v>15.771060582547872</v>
      </c>
      <c r="U413">
        <v>886</v>
      </c>
      <c r="V413">
        <v>521</v>
      </c>
      <c r="W413">
        <v>1252</v>
      </c>
      <c r="X413">
        <v>1276</v>
      </c>
      <c r="Y413">
        <v>41</v>
      </c>
      <c r="Z413">
        <v>31.3</v>
      </c>
      <c r="AA413">
        <v>50.7</v>
      </c>
    </row>
    <row r="414" spans="1:27" x14ac:dyDescent="0.25">
      <c r="A414" t="s">
        <v>227</v>
      </c>
      <c r="B414" t="s">
        <v>185</v>
      </c>
      <c r="C414" s="76">
        <v>43968</v>
      </c>
      <c r="D414">
        <v>8521</v>
      </c>
      <c r="E414">
        <v>5751</v>
      </c>
      <c r="F414">
        <v>11291</v>
      </c>
      <c r="G414">
        <v>4908</v>
      </c>
      <c r="H414">
        <v>63.5</v>
      </c>
      <c r="I414">
        <v>58</v>
      </c>
      <c r="J414">
        <v>68.900000000000006</v>
      </c>
      <c r="K414">
        <v>1230</v>
      </c>
      <c r="L414">
        <v>775</v>
      </c>
      <c r="M414">
        <v>1684</v>
      </c>
      <c r="N414">
        <v>9.1999999999999993</v>
      </c>
      <c r="O414">
        <v>7.3</v>
      </c>
      <c r="P414">
        <v>11</v>
      </c>
      <c r="Q414">
        <f t="shared" si="10"/>
        <v>7520103</v>
      </c>
      <c r="R414">
        <f t="shared" si="11"/>
        <v>16.356158951546277</v>
      </c>
      <c r="U414">
        <v>878</v>
      </c>
      <c r="V414">
        <v>533</v>
      </c>
      <c r="W414">
        <v>1223</v>
      </c>
      <c r="X414">
        <v>1281</v>
      </c>
      <c r="Y414">
        <v>40.700000000000003</v>
      </c>
      <c r="Z414">
        <v>31.1</v>
      </c>
      <c r="AA414">
        <v>50.2</v>
      </c>
    </row>
    <row r="415" spans="1:27" x14ac:dyDescent="0.25">
      <c r="A415" t="s">
        <v>227</v>
      </c>
      <c r="B415" t="s">
        <v>185</v>
      </c>
      <c r="C415" s="76">
        <v>43969</v>
      </c>
      <c r="D415">
        <v>8406</v>
      </c>
      <c r="E415">
        <v>5632</v>
      </c>
      <c r="F415">
        <v>11180</v>
      </c>
      <c r="G415">
        <v>5170</v>
      </c>
      <c r="H415">
        <v>61.9</v>
      </c>
      <c r="I415">
        <v>56</v>
      </c>
      <c r="J415">
        <v>67.8</v>
      </c>
      <c r="K415">
        <v>1230</v>
      </c>
      <c r="L415">
        <v>766</v>
      </c>
      <c r="M415">
        <v>1694</v>
      </c>
      <c r="N415">
        <v>9.1</v>
      </c>
      <c r="O415">
        <v>7.2</v>
      </c>
      <c r="P415">
        <v>10.9</v>
      </c>
      <c r="Q415">
        <f t="shared" si="10"/>
        <v>7520103</v>
      </c>
      <c r="R415">
        <f t="shared" si="11"/>
        <v>16.356158951546277</v>
      </c>
      <c r="U415">
        <v>868</v>
      </c>
      <c r="V415">
        <v>499</v>
      </c>
      <c r="W415">
        <v>1237</v>
      </c>
      <c r="X415">
        <v>1344</v>
      </c>
      <c r="Y415">
        <v>39.299999999999997</v>
      </c>
      <c r="Z415">
        <v>29.9</v>
      </c>
      <c r="AA415">
        <v>48.6</v>
      </c>
    </row>
    <row r="416" spans="1:27" x14ac:dyDescent="0.25">
      <c r="A416" t="s">
        <v>227</v>
      </c>
      <c r="B416" t="s">
        <v>185</v>
      </c>
      <c r="C416" s="76">
        <v>43970</v>
      </c>
      <c r="D416">
        <v>9090</v>
      </c>
      <c r="E416">
        <v>6136</v>
      </c>
      <c r="F416">
        <v>12044</v>
      </c>
      <c r="G416">
        <v>4536</v>
      </c>
      <c r="H416">
        <v>66.7</v>
      </c>
      <c r="I416">
        <v>61.5</v>
      </c>
      <c r="J416">
        <v>71.900000000000006</v>
      </c>
      <c r="K416">
        <v>1259</v>
      </c>
      <c r="L416">
        <v>802</v>
      </c>
      <c r="M416">
        <v>1717</v>
      </c>
      <c r="N416">
        <v>9.1999999999999993</v>
      </c>
      <c r="O416">
        <v>7.5</v>
      </c>
      <c r="P416">
        <v>11</v>
      </c>
      <c r="Q416">
        <f t="shared" si="10"/>
        <v>7520103</v>
      </c>
      <c r="R416">
        <f t="shared" si="11"/>
        <v>16.741791967477042</v>
      </c>
      <c r="U416">
        <v>963</v>
      </c>
      <c r="V416">
        <v>546</v>
      </c>
      <c r="W416">
        <v>1381</v>
      </c>
      <c r="X416">
        <v>1212</v>
      </c>
      <c r="Y416">
        <v>44.3</v>
      </c>
      <c r="Z416">
        <v>33.1</v>
      </c>
      <c r="AA416">
        <v>55.4</v>
      </c>
    </row>
    <row r="417" spans="1:27" x14ac:dyDescent="0.25">
      <c r="A417" t="s">
        <v>227</v>
      </c>
      <c r="B417" t="s">
        <v>185</v>
      </c>
      <c r="C417" s="76">
        <v>43971</v>
      </c>
      <c r="D417">
        <v>9862</v>
      </c>
      <c r="E417">
        <v>6570</v>
      </c>
      <c r="F417">
        <v>13154</v>
      </c>
      <c r="G417">
        <v>4863</v>
      </c>
      <c r="H417">
        <v>67</v>
      </c>
      <c r="I417">
        <v>61.6</v>
      </c>
      <c r="J417">
        <v>72.3</v>
      </c>
      <c r="K417">
        <v>1243</v>
      </c>
      <c r="L417">
        <v>776</v>
      </c>
      <c r="M417">
        <v>1709</v>
      </c>
      <c r="N417">
        <v>8.4</v>
      </c>
      <c r="O417">
        <v>6.9</v>
      </c>
      <c r="P417">
        <v>10</v>
      </c>
      <c r="Q417">
        <f t="shared" si="10"/>
        <v>7520103</v>
      </c>
      <c r="R417">
        <f t="shared" si="11"/>
        <v>16.529028924204894</v>
      </c>
      <c r="U417">
        <v>1038</v>
      </c>
      <c r="V417">
        <v>631</v>
      </c>
      <c r="W417">
        <v>1446</v>
      </c>
      <c r="X417">
        <v>1161</v>
      </c>
      <c r="Y417">
        <v>47.2</v>
      </c>
      <c r="Z417">
        <v>38.4</v>
      </c>
      <c r="AA417">
        <v>56</v>
      </c>
    </row>
    <row r="418" spans="1:27" x14ac:dyDescent="0.25">
      <c r="A418" t="s">
        <v>227</v>
      </c>
      <c r="B418" t="s">
        <v>185</v>
      </c>
      <c r="C418" s="76">
        <v>43972</v>
      </c>
      <c r="D418">
        <v>9875</v>
      </c>
      <c r="E418">
        <v>6634</v>
      </c>
      <c r="F418">
        <v>13117</v>
      </c>
      <c r="G418">
        <v>4956</v>
      </c>
      <c r="H418">
        <v>66.599999999999994</v>
      </c>
      <c r="I418">
        <v>61.7</v>
      </c>
      <c r="J418">
        <v>71.5</v>
      </c>
      <c r="K418">
        <v>1261</v>
      </c>
      <c r="L418">
        <v>805</v>
      </c>
      <c r="M418">
        <v>1717</v>
      </c>
      <c r="N418">
        <v>8.5</v>
      </c>
      <c r="O418">
        <v>7.1</v>
      </c>
      <c r="P418">
        <v>9.9</v>
      </c>
      <c r="Q418">
        <f t="shared" si="10"/>
        <v>7520103</v>
      </c>
      <c r="R418">
        <f t="shared" si="11"/>
        <v>16.768387347886058</v>
      </c>
      <c r="U418">
        <v>1054</v>
      </c>
      <c r="V418">
        <v>646</v>
      </c>
      <c r="W418">
        <v>1463</v>
      </c>
      <c r="X418">
        <v>1151</v>
      </c>
      <c r="Y418">
        <v>47.8</v>
      </c>
      <c r="Z418">
        <v>39.200000000000003</v>
      </c>
      <c r="AA418">
        <v>56.4</v>
      </c>
    </row>
    <row r="419" spans="1:27" x14ac:dyDescent="0.25">
      <c r="A419" t="s">
        <v>227</v>
      </c>
      <c r="B419" t="s">
        <v>185</v>
      </c>
      <c r="C419" s="76">
        <v>43973</v>
      </c>
      <c r="D419">
        <v>10029</v>
      </c>
      <c r="E419">
        <v>6771</v>
      </c>
      <c r="F419">
        <v>13286</v>
      </c>
      <c r="G419">
        <v>4033</v>
      </c>
      <c r="H419">
        <v>71.3</v>
      </c>
      <c r="I419">
        <v>65.900000000000006</v>
      </c>
      <c r="J419">
        <v>76.8</v>
      </c>
      <c r="K419">
        <v>1212</v>
      </c>
      <c r="L419">
        <v>757</v>
      </c>
      <c r="M419">
        <v>1668</v>
      </c>
      <c r="N419">
        <v>8.6</v>
      </c>
      <c r="O419">
        <v>7</v>
      </c>
      <c r="P419">
        <v>10.3</v>
      </c>
      <c r="Q419">
        <f t="shared" si="10"/>
        <v>7520103</v>
      </c>
      <c r="R419">
        <f t="shared" si="11"/>
        <v>16.116800527865109</v>
      </c>
      <c r="U419">
        <v>1041</v>
      </c>
      <c r="V419">
        <v>595</v>
      </c>
      <c r="W419">
        <v>1487</v>
      </c>
      <c r="X419">
        <v>1136</v>
      </c>
      <c r="Y419">
        <v>47.8</v>
      </c>
      <c r="Z419">
        <v>36.9</v>
      </c>
      <c r="AA419">
        <v>58.7</v>
      </c>
    </row>
    <row r="420" spans="1:27" x14ac:dyDescent="0.25">
      <c r="A420" t="s">
        <v>227</v>
      </c>
      <c r="B420" t="s">
        <v>185</v>
      </c>
      <c r="C420" s="76">
        <v>43974</v>
      </c>
      <c r="D420">
        <v>9183</v>
      </c>
      <c r="E420">
        <v>6236</v>
      </c>
      <c r="F420">
        <v>12130</v>
      </c>
      <c r="G420">
        <v>4325</v>
      </c>
      <c r="H420">
        <v>68</v>
      </c>
      <c r="I420">
        <v>62.6</v>
      </c>
      <c r="J420">
        <v>73.3</v>
      </c>
      <c r="K420">
        <v>1264</v>
      </c>
      <c r="L420">
        <v>796</v>
      </c>
      <c r="M420">
        <v>1732</v>
      </c>
      <c r="N420">
        <v>9.4</v>
      </c>
      <c r="O420">
        <v>7.5</v>
      </c>
      <c r="P420">
        <v>11.2</v>
      </c>
      <c r="Q420">
        <f t="shared" si="10"/>
        <v>7520103</v>
      </c>
      <c r="R420">
        <f t="shared" si="11"/>
        <v>16.808280418499585</v>
      </c>
      <c r="U420">
        <v>988</v>
      </c>
      <c r="V420">
        <v>570</v>
      </c>
      <c r="W420">
        <v>1405</v>
      </c>
      <c r="X420">
        <v>1141</v>
      </c>
      <c r="Y420">
        <v>46.4</v>
      </c>
      <c r="Z420">
        <v>35.700000000000003</v>
      </c>
      <c r="AA420">
        <v>57.1</v>
      </c>
    </row>
    <row r="421" spans="1:27" x14ac:dyDescent="0.25">
      <c r="A421" t="s">
        <v>227</v>
      </c>
      <c r="B421" t="s">
        <v>185</v>
      </c>
      <c r="C421" s="76">
        <v>43975</v>
      </c>
      <c r="D421">
        <v>8939</v>
      </c>
      <c r="E421">
        <v>6042</v>
      </c>
      <c r="F421">
        <v>11836</v>
      </c>
      <c r="G421">
        <v>4517</v>
      </c>
      <c r="H421">
        <v>66.400000000000006</v>
      </c>
      <c r="I421">
        <v>61</v>
      </c>
      <c r="J421">
        <v>71.900000000000006</v>
      </c>
      <c r="K421">
        <v>1172</v>
      </c>
      <c r="L421">
        <v>729</v>
      </c>
      <c r="M421">
        <v>1615</v>
      </c>
      <c r="N421">
        <v>8.6999999999999993</v>
      </c>
      <c r="O421">
        <v>6.9</v>
      </c>
      <c r="P421">
        <v>10.5</v>
      </c>
      <c r="Q421">
        <f t="shared" si="10"/>
        <v>7520103</v>
      </c>
      <c r="R421">
        <f t="shared" si="11"/>
        <v>15.584892919684744</v>
      </c>
      <c r="U421">
        <v>902</v>
      </c>
      <c r="V421">
        <v>544</v>
      </c>
      <c r="W421">
        <v>1260</v>
      </c>
      <c r="X421">
        <v>1233</v>
      </c>
      <c r="Y421">
        <v>42.3</v>
      </c>
      <c r="Z421">
        <v>32.9</v>
      </c>
      <c r="AA421">
        <v>51.6</v>
      </c>
    </row>
    <row r="422" spans="1:27" x14ac:dyDescent="0.25">
      <c r="A422" t="s">
        <v>227</v>
      </c>
      <c r="B422" t="s">
        <v>185</v>
      </c>
      <c r="C422" s="76">
        <v>43976</v>
      </c>
      <c r="D422">
        <v>7904</v>
      </c>
      <c r="E422">
        <v>5351</v>
      </c>
      <c r="F422">
        <v>10458</v>
      </c>
      <c r="G422">
        <v>5287</v>
      </c>
      <c r="H422">
        <v>59.9</v>
      </c>
      <c r="I422">
        <v>55.7</v>
      </c>
      <c r="J422">
        <v>64.099999999999994</v>
      </c>
      <c r="K422">
        <v>1213</v>
      </c>
      <c r="L422">
        <v>755</v>
      </c>
      <c r="M422">
        <v>1670</v>
      </c>
      <c r="N422">
        <v>9.1999999999999993</v>
      </c>
      <c r="O422">
        <v>7.3</v>
      </c>
      <c r="P422">
        <v>11.1</v>
      </c>
      <c r="Q422">
        <f t="shared" si="10"/>
        <v>7520103</v>
      </c>
      <c r="R422">
        <f t="shared" si="11"/>
        <v>16.13009821806962</v>
      </c>
      <c r="U422">
        <v>822</v>
      </c>
      <c r="V422">
        <v>476</v>
      </c>
      <c r="W422">
        <v>1169</v>
      </c>
      <c r="X422">
        <v>1291</v>
      </c>
      <c r="Y422">
        <v>38.9</v>
      </c>
      <c r="Z422">
        <v>29.2</v>
      </c>
      <c r="AA422">
        <v>48.6</v>
      </c>
    </row>
    <row r="423" spans="1:27" x14ac:dyDescent="0.25">
      <c r="A423" t="s">
        <v>227</v>
      </c>
      <c r="B423" t="s">
        <v>185</v>
      </c>
      <c r="C423" s="76">
        <v>43977</v>
      </c>
      <c r="D423">
        <v>7624</v>
      </c>
      <c r="E423">
        <v>5160</v>
      </c>
      <c r="F423">
        <v>10088</v>
      </c>
      <c r="G423">
        <v>5594</v>
      </c>
      <c r="H423">
        <v>57.7</v>
      </c>
      <c r="I423">
        <v>53.4</v>
      </c>
      <c r="J423">
        <v>62</v>
      </c>
      <c r="K423">
        <v>1285</v>
      </c>
      <c r="L423">
        <v>803</v>
      </c>
      <c r="M423">
        <v>1766</v>
      </c>
      <c r="N423">
        <v>9.6999999999999993</v>
      </c>
      <c r="O423">
        <v>7.7</v>
      </c>
      <c r="P423">
        <v>11.7</v>
      </c>
      <c r="Q423">
        <f t="shared" ref="Q423:Q486" si="12">VLOOKUP(B423,$AE$4:$AF$55,2,FALSE)</f>
        <v>7520103</v>
      </c>
      <c r="R423">
        <f t="shared" si="11"/>
        <v>17.08753191279428</v>
      </c>
      <c r="U423">
        <v>823</v>
      </c>
      <c r="V423">
        <v>474</v>
      </c>
      <c r="W423">
        <v>1172</v>
      </c>
      <c r="X423">
        <v>1297</v>
      </c>
      <c r="Y423">
        <v>38.799999999999997</v>
      </c>
      <c r="Z423">
        <v>28.6</v>
      </c>
      <c r="AA423">
        <v>49</v>
      </c>
    </row>
    <row r="424" spans="1:27" x14ac:dyDescent="0.25">
      <c r="A424" t="s">
        <v>227</v>
      </c>
      <c r="B424" t="s">
        <v>185</v>
      </c>
      <c r="C424" s="76">
        <v>43978</v>
      </c>
      <c r="D424">
        <v>8607</v>
      </c>
      <c r="E424">
        <v>4925</v>
      </c>
      <c r="F424">
        <v>12288</v>
      </c>
      <c r="G424">
        <v>5289</v>
      </c>
      <c r="H424">
        <v>61.9</v>
      </c>
      <c r="I424">
        <v>56.9</v>
      </c>
      <c r="J424">
        <v>67</v>
      </c>
      <c r="K424">
        <v>958</v>
      </c>
      <c r="L424">
        <v>519</v>
      </c>
      <c r="M424">
        <v>1397</v>
      </c>
      <c r="N424">
        <v>6.9</v>
      </c>
      <c r="O424">
        <v>5.4</v>
      </c>
      <c r="P424">
        <v>8.4</v>
      </c>
      <c r="Q424">
        <f t="shared" si="12"/>
        <v>7520103</v>
      </c>
      <c r="R424">
        <f t="shared" si="11"/>
        <v>12.739187215919781</v>
      </c>
      <c r="U424">
        <v>1205</v>
      </c>
      <c r="V424">
        <v>535</v>
      </c>
      <c r="W424">
        <v>1876</v>
      </c>
      <c r="X424">
        <v>698</v>
      </c>
      <c r="Y424">
        <v>63.3</v>
      </c>
      <c r="Z424">
        <v>56.2</v>
      </c>
      <c r="AA424">
        <v>70.5</v>
      </c>
    </row>
    <row r="425" spans="1:27" x14ac:dyDescent="0.25">
      <c r="A425" t="s">
        <v>227</v>
      </c>
      <c r="B425" t="s">
        <v>185</v>
      </c>
      <c r="C425" s="76">
        <v>43979</v>
      </c>
      <c r="D425">
        <v>8517</v>
      </c>
      <c r="E425">
        <v>4739</v>
      </c>
      <c r="F425">
        <v>12294</v>
      </c>
      <c r="G425">
        <v>4949</v>
      </c>
      <c r="H425">
        <v>63.2</v>
      </c>
      <c r="I425">
        <v>57.7</v>
      </c>
      <c r="J425">
        <v>68.8</v>
      </c>
      <c r="K425">
        <v>855</v>
      </c>
      <c r="L425">
        <v>461</v>
      </c>
      <c r="M425">
        <v>1250</v>
      </c>
      <c r="N425">
        <v>6.4</v>
      </c>
      <c r="O425">
        <v>4.8</v>
      </c>
      <c r="P425">
        <v>7.9</v>
      </c>
      <c r="Q425">
        <f t="shared" si="12"/>
        <v>7520103</v>
      </c>
      <c r="R425">
        <f t="shared" si="11"/>
        <v>11.369525124855338</v>
      </c>
      <c r="U425">
        <v>1249</v>
      </c>
      <c r="V425">
        <v>572</v>
      </c>
      <c r="W425">
        <v>1927</v>
      </c>
      <c r="X425">
        <v>731</v>
      </c>
      <c r="Y425">
        <v>63.1</v>
      </c>
      <c r="Z425">
        <v>57.5</v>
      </c>
      <c r="AA425">
        <v>68.7</v>
      </c>
    </row>
    <row r="426" spans="1:27" x14ac:dyDescent="0.25">
      <c r="A426" t="s">
        <v>227</v>
      </c>
      <c r="B426" t="s">
        <v>185</v>
      </c>
      <c r="C426" s="76">
        <v>43980</v>
      </c>
      <c r="D426">
        <v>8990</v>
      </c>
      <c r="E426">
        <v>5183</v>
      </c>
      <c r="F426">
        <v>12796</v>
      </c>
      <c r="G426">
        <v>5365</v>
      </c>
      <c r="H426">
        <v>62.6</v>
      </c>
      <c r="I426">
        <v>56.6</v>
      </c>
      <c r="J426">
        <v>68.7</v>
      </c>
      <c r="K426">
        <v>970</v>
      </c>
      <c r="L426">
        <v>558</v>
      </c>
      <c r="M426">
        <v>1382</v>
      </c>
      <c r="N426">
        <v>6.8</v>
      </c>
      <c r="O426">
        <v>5.4</v>
      </c>
      <c r="P426">
        <v>8.1</v>
      </c>
      <c r="Q426">
        <f t="shared" si="12"/>
        <v>7520103</v>
      </c>
      <c r="R426">
        <f t="shared" si="11"/>
        <v>12.898759498373893</v>
      </c>
      <c r="U426">
        <v>1199</v>
      </c>
      <c r="V426">
        <v>618</v>
      </c>
      <c r="W426">
        <v>1781</v>
      </c>
      <c r="X426">
        <v>768</v>
      </c>
      <c r="Y426">
        <v>61</v>
      </c>
      <c r="Z426">
        <v>52.9</v>
      </c>
      <c r="AA426">
        <v>69</v>
      </c>
    </row>
    <row r="427" spans="1:27" x14ac:dyDescent="0.25">
      <c r="A427" t="s">
        <v>227</v>
      </c>
      <c r="B427" t="s">
        <v>185</v>
      </c>
      <c r="C427" s="76">
        <v>43981</v>
      </c>
      <c r="D427">
        <v>8799</v>
      </c>
      <c r="E427">
        <v>5025</v>
      </c>
      <c r="F427">
        <v>12573</v>
      </c>
      <c r="G427">
        <v>5537</v>
      </c>
      <c r="H427">
        <v>61.4</v>
      </c>
      <c r="I427">
        <v>55</v>
      </c>
      <c r="J427">
        <v>67.7</v>
      </c>
      <c r="K427">
        <v>1012</v>
      </c>
      <c r="L427">
        <v>599</v>
      </c>
      <c r="M427">
        <v>1425</v>
      </c>
      <c r="N427">
        <v>7.1</v>
      </c>
      <c r="O427">
        <v>5.6</v>
      </c>
      <c r="P427">
        <v>8.5</v>
      </c>
      <c r="Q427">
        <f t="shared" si="12"/>
        <v>7520103</v>
      </c>
      <c r="R427">
        <f t="shared" si="11"/>
        <v>13.457262486963277</v>
      </c>
      <c r="U427">
        <v>1136</v>
      </c>
      <c r="V427">
        <v>622</v>
      </c>
      <c r="W427">
        <v>1650</v>
      </c>
      <c r="X427">
        <v>675</v>
      </c>
      <c r="Y427">
        <v>62.7</v>
      </c>
      <c r="Z427">
        <v>55.3</v>
      </c>
      <c r="AA427">
        <v>70.099999999999994</v>
      </c>
    </row>
    <row r="428" spans="1:27" x14ac:dyDescent="0.25">
      <c r="A428" t="s">
        <v>227</v>
      </c>
      <c r="B428" t="s">
        <v>185</v>
      </c>
      <c r="C428" s="76">
        <v>43982</v>
      </c>
      <c r="D428">
        <v>8227</v>
      </c>
      <c r="E428">
        <v>4671</v>
      </c>
      <c r="F428">
        <v>11783</v>
      </c>
      <c r="G428">
        <v>5741</v>
      </c>
      <c r="H428">
        <v>58.9</v>
      </c>
      <c r="I428">
        <v>53.1</v>
      </c>
      <c r="J428">
        <v>64.7</v>
      </c>
      <c r="K428">
        <v>992</v>
      </c>
      <c r="L428">
        <v>567</v>
      </c>
      <c r="M428">
        <v>1418</v>
      </c>
      <c r="N428">
        <v>7.1</v>
      </c>
      <c r="O428">
        <v>5.6</v>
      </c>
      <c r="P428">
        <v>8.6</v>
      </c>
      <c r="Q428">
        <f t="shared" si="12"/>
        <v>7520103</v>
      </c>
      <c r="R428">
        <f t="shared" si="11"/>
        <v>13.191308682873094</v>
      </c>
      <c r="U428">
        <v>1110</v>
      </c>
      <c r="V428">
        <v>550</v>
      </c>
      <c r="W428">
        <v>1670</v>
      </c>
      <c r="X428">
        <v>637</v>
      </c>
      <c r="Y428">
        <v>63.5</v>
      </c>
      <c r="Z428">
        <v>55.5</v>
      </c>
      <c r="AA428">
        <v>71.599999999999994</v>
      </c>
    </row>
    <row r="429" spans="1:27" x14ac:dyDescent="0.25">
      <c r="A429" t="s">
        <v>227</v>
      </c>
      <c r="B429" t="s">
        <v>185</v>
      </c>
      <c r="C429" s="76">
        <v>43983</v>
      </c>
      <c r="D429">
        <v>8706</v>
      </c>
      <c r="E429">
        <v>4255</v>
      </c>
      <c r="F429">
        <v>13157</v>
      </c>
      <c r="G429">
        <v>5632</v>
      </c>
      <c r="H429">
        <v>60.7</v>
      </c>
      <c r="I429">
        <v>53.6</v>
      </c>
      <c r="J429">
        <v>67.8</v>
      </c>
      <c r="K429">
        <v>997</v>
      </c>
      <c r="L429">
        <v>498</v>
      </c>
      <c r="M429">
        <v>1496</v>
      </c>
      <c r="N429">
        <v>7</v>
      </c>
      <c r="O429">
        <v>5.2</v>
      </c>
      <c r="P429">
        <v>8.6999999999999993</v>
      </c>
      <c r="Q429">
        <f t="shared" si="12"/>
        <v>7520103</v>
      </c>
      <c r="R429">
        <f t="shared" si="11"/>
        <v>13.257797133895638</v>
      </c>
      <c r="U429">
        <v>1147</v>
      </c>
      <c r="V429">
        <v>377</v>
      </c>
      <c r="W429">
        <v>1917</v>
      </c>
      <c r="X429">
        <v>773</v>
      </c>
      <c r="Y429">
        <v>59.7</v>
      </c>
      <c r="Z429">
        <v>52.5</v>
      </c>
      <c r="AA429">
        <v>67</v>
      </c>
    </row>
    <row r="430" spans="1:27" x14ac:dyDescent="0.25">
      <c r="A430" t="s">
        <v>227</v>
      </c>
      <c r="B430" t="s">
        <v>185</v>
      </c>
      <c r="C430" s="76">
        <v>43984</v>
      </c>
      <c r="D430">
        <v>9082</v>
      </c>
      <c r="E430">
        <v>4475</v>
      </c>
      <c r="F430">
        <v>13689</v>
      </c>
      <c r="G430">
        <v>5344</v>
      </c>
      <c r="H430">
        <v>63</v>
      </c>
      <c r="I430">
        <v>55.4</v>
      </c>
      <c r="J430">
        <v>70.599999999999994</v>
      </c>
      <c r="K430">
        <v>959</v>
      </c>
      <c r="L430">
        <v>465</v>
      </c>
      <c r="M430">
        <v>1453</v>
      </c>
      <c r="N430">
        <v>6.6</v>
      </c>
      <c r="O430">
        <v>5</v>
      </c>
      <c r="P430">
        <v>8.3000000000000007</v>
      </c>
      <c r="Q430">
        <f t="shared" si="12"/>
        <v>7520103</v>
      </c>
      <c r="R430">
        <f t="shared" si="11"/>
        <v>12.752484906124289</v>
      </c>
      <c r="U430">
        <v>1191</v>
      </c>
      <c r="V430">
        <v>370</v>
      </c>
      <c r="W430">
        <v>2013</v>
      </c>
      <c r="X430">
        <v>729</v>
      </c>
      <c r="Y430">
        <v>62</v>
      </c>
      <c r="Z430">
        <v>52.7</v>
      </c>
      <c r="AA430">
        <v>71.400000000000006</v>
      </c>
    </row>
    <row r="431" spans="1:27" x14ac:dyDescent="0.25">
      <c r="A431" t="s">
        <v>227</v>
      </c>
      <c r="B431" t="s">
        <v>185</v>
      </c>
      <c r="C431" s="76">
        <v>43985</v>
      </c>
      <c r="D431">
        <v>9736</v>
      </c>
      <c r="E431">
        <v>4385</v>
      </c>
      <c r="F431">
        <v>15087</v>
      </c>
      <c r="G431">
        <v>4999</v>
      </c>
      <c r="H431">
        <v>66.099999999999994</v>
      </c>
      <c r="I431">
        <v>59.3</v>
      </c>
      <c r="J431">
        <v>72.8</v>
      </c>
      <c r="K431">
        <v>1024</v>
      </c>
      <c r="L431">
        <v>459</v>
      </c>
      <c r="M431">
        <v>1589</v>
      </c>
      <c r="N431">
        <v>6.9</v>
      </c>
      <c r="O431">
        <v>5.0999999999999996</v>
      </c>
      <c r="P431">
        <v>8.8000000000000007</v>
      </c>
      <c r="Q431">
        <f t="shared" si="12"/>
        <v>7520103</v>
      </c>
      <c r="R431">
        <f t="shared" si="11"/>
        <v>13.616834769417387</v>
      </c>
      <c r="U431">
        <v>1339</v>
      </c>
      <c r="V431">
        <v>315</v>
      </c>
      <c r="W431">
        <v>2362</v>
      </c>
      <c r="X431">
        <v>660</v>
      </c>
      <c r="Y431">
        <v>67</v>
      </c>
      <c r="Z431">
        <v>57.8</v>
      </c>
      <c r="AA431">
        <v>76.099999999999994</v>
      </c>
    </row>
    <row r="432" spans="1:27" x14ac:dyDescent="0.25">
      <c r="A432" t="s">
        <v>227</v>
      </c>
      <c r="B432" t="s">
        <v>185</v>
      </c>
      <c r="C432" s="76">
        <v>43986</v>
      </c>
      <c r="D432">
        <v>9714</v>
      </c>
      <c r="E432">
        <v>4142</v>
      </c>
      <c r="F432">
        <v>15285</v>
      </c>
      <c r="G432">
        <v>4267</v>
      </c>
      <c r="H432">
        <v>69.5</v>
      </c>
      <c r="I432">
        <v>60.7</v>
      </c>
      <c r="J432">
        <v>78.3</v>
      </c>
      <c r="K432">
        <v>1110</v>
      </c>
      <c r="L432">
        <v>473</v>
      </c>
      <c r="M432">
        <v>1747</v>
      </c>
      <c r="N432">
        <v>7.9</v>
      </c>
      <c r="O432">
        <v>6.3</v>
      </c>
      <c r="P432">
        <v>9.6</v>
      </c>
      <c r="Q432">
        <f t="shared" si="12"/>
        <v>7520103</v>
      </c>
      <c r="R432">
        <f t="shared" si="11"/>
        <v>14.760436127005176</v>
      </c>
      <c r="U432">
        <v>1446</v>
      </c>
      <c r="V432">
        <v>200</v>
      </c>
      <c r="W432">
        <v>2692</v>
      </c>
      <c r="X432">
        <v>612</v>
      </c>
      <c r="Y432">
        <v>70.3</v>
      </c>
      <c r="Z432">
        <v>60.8</v>
      </c>
      <c r="AA432">
        <v>79.7</v>
      </c>
    </row>
    <row r="433" spans="1:27" x14ac:dyDescent="0.25">
      <c r="A433" t="s">
        <v>227</v>
      </c>
      <c r="B433" t="s">
        <v>185</v>
      </c>
      <c r="C433" s="76">
        <v>43987</v>
      </c>
      <c r="D433">
        <v>9553</v>
      </c>
      <c r="E433">
        <v>4775</v>
      </c>
      <c r="F433">
        <v>14330</v>
      </c>
      <c r="G433">
        <v>4339</v>
      </c>
      <c r="H433">
        <v>68.8</v>
      </c>
      <c r="I433">
        <v>62.1</v>
      </c>
      <c r="J433">
        <v>75.400000000000006</v>
      </c>
      <c r="K433">
        <v>1091</v>
      </c>
      <c r="L433">
        <v>556</v>
      </c>
      <c r="M433">
        <v>1627</v>
      </c>
      <c r="N433">
        <v>7.9</v>
      </c>
      <c r="O433">
        <v>6.1</v>
      </c>
      <c r="P433">
        <v>9.6</v>
      </c>
      <c r="Q433">
        <f t="shared" si="12"/>
        <v>7520103</v>
      </c>
      <c r="R433">
        <f t="shared" si="11"/>
        <v>14.507780013119502</v>
      </c>
      <c r="U433">
        <v>1284</v>
      </c>
      <c r="V433">
        <v>426</v>
      </c>
      <c r="W433">
        <v>2143</v>
      </c>
      <c r="X433">
        <v>629</v>
      </c>
      <c r="Y433">
        <v>67.099999999999994</v>
      </c>
      <c r="Z433">
        <v>59.4</v>
      </c>
      <c r="AA433">
        <v>74.900000000000006</v>
      </c>
    </row>
    <row r="434" spans="1:27" x14ac:dyDescent="0.25">
      <c r="A434" t="s">
        <v>227</v>
      </c>
      <c r="B434" t="s">
        <v>185</v>
      </c>
      <c r="C434" s="76">
        <v>43988</v>
      </c>
      <c r="D434">
        <v>9485</v>
      </c>
      <c r="E434">
        <v>4672</v>
      </c>
      <c r="F434">
        <v>14298</v>
      </c>
      <c r="G434">
        <v>4367</v>
      </c>
      <c r="H434">
        <v>68.5</v>
      </c>
      <c r="I434">
        <v>61.5</v>
      </c>
      <c r="J434">
        <v>75.400000000000006</v>
      </c>
      <c r="K434">
        <v>1112</v>
      </c>
      <c r="L434">
        <v>553</v>
      </c>
      <c r="M434">
        <v>1671</v>
      </c>
      <c r="N434">
        <v>8</v>
      </c>
      <c r="O434">
        <v>6.5</v>
      </c>
      <c r="P434">
        <v>9.6</v>
      </c>
      <c r="Q434">
        <f t="shared" si="12"/>
        <v>7520103</v>
      </c>
      <c r="R434">
        <f t="shared" si="11"/>
        <v>14.787031507414193</v>
      </c>
      <c r="U434">
        <v>1326</v>
      </c>
      <c r="V434">
        <v>484</v>
      </c>
      <c r="W434">
        <v>2169</v>
      </c>
      <c r="X434">
        <v>637</v>
      </c>
      <c r="Y434">
        <v>67.599999999999994</v>
      </c>
      <c r="Z434">
        <v>61</v>
      </c>
      <c r="AA434">
        <v>74.2</v>
      </c>
    </row>
    <row r="435" spans="1:27" x14ac:dyDescent="0.25">
      <c r="A435" t="s">
        <v>227</v>
      </c>
      <c r="B435" t="s">
        <v>185</v>
      </c>
      <c r="C435" s="76">
        <v>43989</v>
      </c>
      <c r="D435">
        <v>8895</v>
      </c>
      <c r="E435">
        <v>4492</v>
      </c>
      <c r="F435">
        <v>13299</v>
      </c>
      <c r="G435">
        <v>5150</v>
      </c>
      <c r="H435">
        <v>63.3</v>
      </c>
      <c r="I435">
        <v>57.9</v>
      </c>
      <c r="J435">
        <v>68.8</v>
      </c>
      <c r="K435">
        <v>1127</v>
      </c>
      <c r="L435">
        <v>569</v>
      </c>
      <c r="M435">
        <v>1685</v>
      </c>
      <c r="N435">
        <v>8</v>
      </c>
      <c r="O435">
        <v>6.1</v>
      </c>
      <c r="P435">
        <v>9.9</v>
      </c>
      <c r="Q435">
        <f t="shared" si="12"/>
        <v>7520103</v>
      </c>
      <c r="R435">
        <f t="shared" si="11"/>
        <v>14.98649686048183</v>
      </c>
      <c r="U435">
        <v>1247</v>
      </c>
      <c r="V435">
        <v>429</v>
      </c>
      <c r="W435">
        <v>2065</v>
      </c>
      <c r="X435">
        <v>720</v>
      </c>
      <c r="Y435">
        <v>63.4</v>
      </c>
      <c r="Z435">
        <v>56.1</v>
      </c>
      <c r="AA435">
        <v>70.7</v>
      </c>
    </row>
    <row r="436" spans="1:27" x14ac:dyDescent="0.25">
      <c r="A436" t="s">
        <v>227</v>
      </c>
      <c r="B436" t="s">
        <v>185</v>
      </c>
      <c r="C436" s="76">
        <v>43990</v>
      </c>
      <c r="D436">
        <v>8821</v>
      </c>
      <c r="E436">
        <v>4428</v>
      </c>
      <c r="F436">
        <v>13214</v>
      </c>
      <c r="G436">
        <v>5012</v>
      </c>
      <c r="H436">
        <v>63.8</v>
      </c>
      <c r="I436">
        <v>58.1</v>
      </c>
      <c r="J436">
        <v>69.400000000000006</v>
      </c>
      <c r="K436">
        <v>1204</v>
      </c>
      <c r="L436">
        <v>621</v>
      </c>
      <c r="M436">
        <v>1786</v>
      </c>
      <c r="N436">
        <v>8.6999999999999993</v>
      </c>
      <c r="O436">
        <v>6.6</v>
      </c>
      <c r="P436">
        <v>10.8</v>
      </c>
      <c r="Q436">
        <f t="shared" si="12"/>
        <v>7520103</v>
      </c>
      <c r="R436">
        <f t="shared" si="11"/>
        <v>16.010419006229036</v>
      </c>
      <c r="U436">
        <v>1247</v>
      </c>
      <c r="V436">
        <v>442</v>
      </c>
      <c r="W436">
        <v>2052</v>
      </c>
      <c r="X436">
        <v>670</v>
      </c>
      <c r="Y436">
        <v>65.099999999999994</v>
      </c>
      <c r="Z436">
        <v>58.7</v>
      </c>
      <c r="AA436">
        <v>71.400000000000006</v>
      </c>
    </row>
    <row r="437" spans="1:27" x14ac:dyDescent="0.25">
      <c r="A437" t="s">
        <v>227</v>
      </c>
      <c r="B437" t="s">
        <v>185</v>
      </c>
      <c r="C437" s="76">
        <v>43991</v>
      </c>
      <c r="D437">
        <v>9316</v>
      </c>
      <c r="E437">
        <v>4705</v>
      </c>
      <c r="F437">
        <v>13927</v>
      </c>
      <c r="G437">
        <v>4441</v>
      </c>
      <c r="H437">
        <v>67.7</v>
      </c>
      <c r="I437">
        <v>61.7</v>
      </c>
      <c r="J437">
        <v>73.8</v>
      </c>
      <c r="K437">
        <v>1202</v>
      </c>
      <c r="L437">
        <v>621</v>
      </c>
      <c r="M437">
        <v>1783</v>
      </c>
      <c r="N437">
        <v>8.6999999999999993</v>
      </c>
      <c r="O437">
        <v>6.8</v>
      </c>
      <c r="P437">
        <v>10.7</v>
      </c>
      <c r="Q437">
        <f t="shared" si="12"/>
        <v>7520103</v>
      </c>
      <c r="R437">
        <f t="shared" si="11"/>
        <v>15.983823625820019</v>
      </c>
      <c r="U437">
        <v>1380</v>
      </c>
      <c r="V437">
        <v>505</v>
      </c>
      <c r="W437">
        <v>2254</v>
      </c>
      <c r="X437">
        <v>550</v>
      </c>
      <c r="Y437">
        <v>71.5</v>
      </c>
      <c r="Z437">
        <v>64.5</v>
      </c>
      <c r="AA437">
        <v>78.5</v>
      </c>
    </row>
    <row r="438" spans="1:27" x14ac:dyDescent="0.25">
      <c r="A438" t="s">
        <v>227</v>
      </c>
      <c r="B438" t="s">
        <v>185</v>
      </c>
      <c r="C438" s="76">
        <v>43992</v>
      </c>
      <c r="D438">
        <v>8911</v>
      </c>
      <c r="E438">
        <v>4369</v>
      </c>
      <c r="F438">
        <v>13453</v>
      </c>
      <c r="G438">
        <v>4156</v>
      </c>
      <c r="H438">
        <v>68.2</v>
      </c>
      <c r="I438">
        <v>63.3</v>
      </c>
      <c r="J438">
        <v>73.099999999999994</v>
      </c>
      <c r="K438">
        <v>1220</v>
      </c>
      <c r="L438">
        <v>612</v>
      </c>
      <c r="M438">
        <v>1828</v>
      </c>
      <c r="N438">
        <v>9.3000000000000007</v>
      </c>
      <c r="O438">
        <v>7.3</v>
      </c>
      <c r="P438">
        <v>11.4</v>
      </c>
      <c r="Q438">
        <f t="shared" si="12"/>
        <v>7520103</v>
      </c>
      <c r="R438">
        <f t="shared" si="11"/>
        <v>16.223182049501183</v>
      </c>
      <c r="U438">
        <v>1255</v>
      </c>
      <c r="V438">
        <v>405</v>
      </c>
      <c r="W438">
        <v>2106</v>
      </c>
      <c r="X438">
        <v>547</v>
      </c>
      <c r="Y438">
        <v>69.7</v>
      </c>
      <c r="Z438">
        <v>63.1</v>
      </c>
      <c r="AA438">
        <v>76.2</v>
      </c>
    </row>
    <row r="439" spans="1:27" x14ac:dyDescent="0.25">
      <c r="A439" t="s">
        <v>227</v>
      </c>
      <c r="B439" t="s">
        <v>185</v>
      </c>
      <c r="C439" s="76">
        <v>43993</v>
      </c>
      <c r="D439">
        <v>9450</v>
      </c>
      <c r="E439">
        <v>5562</v>
      </c>
      <c r="F439">
        <v>13339</v>
      </c>
      <c r="G439">
        <v>4041</v>
      </c>
      <c r="H439">
        <v>70</v>
      </c>
      <c r="I439">
        <v>64.099999999999994</v>
      </c>
      <c r="J439">
        <v>75.900000000000006</v>
      </c>
      <c r="K439">
        <v>1355</v>
      </c>
      <c r="L439">
        <v>792</v>
      </c>
      <c r="M439">
        <v>1918</v>
      </c>
      <c r="N439">
        <v>10</v>
      </c>
      <c r="O439">
        <v>8.1</v>
      </c>
      <c r="P439">
        <v>11.9</v>
      </c>
      <c r="Q439">
        <f t="shared" si="12"/>
        <v>7520103</v>
      </c>
      <c r="R439">
        <f t="shared" si="11"/>
        <v>18.018370227109919</v>
      </c>
      <c r="U439">
        <v>1325</v>
      </c>
      <c r="V439">
        <v>636</v>
      </c>
      <c r="W439">
        <v>2014</v>
      </c>
      <c r="X439">
        <v>526</v>
      </c>
      <c r="Y439">
        <v>71.599999999999994</v>
      </c>
      <c r="Z439">
        <v>66.400000000000006</v>
      </c>
      <c r="AA439">
        <v>76.7</v>
      </c>
    </row>
    <row r="440" spans="1:27" x14ac:dyDescent="0.25">
      <c r="A440" t="s">
        <v>227</v>
      </c>
      <c r="B440" t="s">
        <v>185</v>
      </c>
      <c r="C440" s="76">
        <v>43994</v>
      </c>
      <c r="D440">
        <v>9410</v>
      </c>
      <c r="E440">
        <v>5550</v>
      </c>
      <c r="F440">
        <v>13270</v>
      </c>
      <c r="G440">
        <v>4054</v>
      </c>
      <c r="H440">
        <v>69.900000000000006</v>
      </c>
      <c r="I440">
        <v>64.5</v>
      </c>
      <c r="J440">
        <v>75.3</v>
      </c>
      <c r="K440">
        <v>1280</v>
      </c>
      <c r="L440">
        <v>730</v>
      </c>
      <c r="M440">
        <v>1830</v>
      </c>
      <c r="N440">
        <v>9.5</v>
      </c>
      <c r="O440">
        <v>7.7</v>
      </c>
      <c r="P440">
        <v>11.3</v>
      </c>
      <c r="Q440">
        <f t="shared" si="12"/>
        <v>7520103</v>
      </c>
      <c r="R440">
        <f t="shared" si="11"/>
        <v>17.021043461771733</v>
      </c>
      <c r="U440">
        <v>1326</v>
      </c>
      <c r="V440">
        <v>632</v>
      </c>
      <c r="W440">
        <v>2020</v>
      </c>
      <c r="X440">
        <v>545</v>
      </c>
      <c r="Y440">
        <v>70.900000000000006</v>
      </c>
      <c r="Z440">
        <v>65.2</v>
      </c>
      <c r="AA440">
        <v>76.599999999999994</v>
      </c>
    </row>
    <row r="441" spans="1:27" x14ac:dyDescent="0.25">
      <c r="A441" t="s">
        <v>227</v>
      </c>
      <c r="B441" t="s">
        <v>185</v>
      </c>
      <c r="C441" s="76">
        <v>43995</v>
      </c>
      <c r="D441">
        <v>9119</v>
      </c>
      <c r="E441">
        <v>5362</v>
      </c>
      <c r="F441">
        <v>12876</v>
      </c>
      <c r="G441">
        <v>4205</v>
      </c>
      <c r="H441">
        <v>68.400000000000006</v>
      </c>
      <c r="I441">
        <v>63.2</v>
      </c>
      <c r="J441">
        <v>73.7</v>
      </c>
      <c r="K441">
        <v>1203</v>
      </c>
      <c r="L441">
        <v>674</v>
      </c>
      <c r="M441">
        <v>1733</v>
      </c>
      <c r="N441">
        <v>9</v>
      </c>
      <c r="O441">
        <v>7.3</v>
      </c>
      <c r="P441">
        <v>10.7</v>
      </c>
      <c r="Q441">
        <f t="shared" si="12"/>
        <v>7520103</v>
      </c>
      <c r="R441">
        <f t="shared" si="11"/>
        <v>15.997121316024527</v>
      </c>
      <c r="U441">
        <v>1318</v>
      </c>
      <c r="V441">
        <v>613</v>
      </c>
      <c r="W441">
        <v>2022</v>
      </c>
      <c r="X441">
        <v>594</v>
      </c>
      <c r="Y441">
        <v>68.900000000000006</v>
      </c>
      <c r="Z441">
        <v>62.9</v>
      </c>
      <c r="AA441">
        <v>75</v>
      </c>
    </row>
    <row r="442" spans="1:27" x14ac:dyDescent="0.25">
      <c r="A442" t="s">
        <v>227</v>
      </c>
      <c r="B442" t="s">
        <v>185</v>
      </c>
      <c r="C442" s="76">
        <v>43996</v>
      </c>
      <c r="D442">
        <v>8786</v>
      </c>
      <c r="E442">
        <v>5174</v>
      </c>
      <c r="F442">
        <v>12398</v>
      </c>
      <c r="G442">
        <v>4467</v>
      </c>
      <c r="H442">
        <v>66.3</v>
      </c>
      <c r="I442">
        <v>61.2</v>
      </c>
      <c r="J442">
        <v>71.3</v>
      </c>
      <c r="K442">
        <v>1205</v>
      </c>
      <c r="L442">
        <v>682</v>
      </c>
      <c r="M442">
        <v>1728</v>
      </c>
      <c r="N442">
        <v>9.1</v>
      </c>
      <c r="O442">
        <v>7.4</v>
      </c>
      <c r="P442">
        <v>10.8</v>
      </c>
      <c r="Q442">
        <f t="shared" si="12"/>
        <v>7520103</v>
      </c>
      <c r="R442">
        <f t="shared" si="11"/>
        <v>16.023716696433546</v>
      </c>
      <c r="U442">
        <v>1356</v>
      </c>
      <c r="V442">
        <v>648</v>
      </c>
      <c r="W442">
        <v>2065</v>
      </c>
      <c r="X442">
        <v>542</v>
      </c>
      <c r="Y442">
        <v>71.5</v>
      </c>
      <c r="Z442">
        <v>65.5</v>
      </c>
      <c r="AA442">
        <v>77.5</v>
      </c>
    </row>
    <row r="443" spans="1:27" x14ac:dyDescent="0.25">
      <c r="A443" t="s">
        <v>227</v>
      </c>
      <c r="B443" t="s">
        <v>185</v>
      </c>
      <c r="C443" s="76">
        <v>43997</v>
      </c>
      <c r="D443">
        <v>9433</v>
      </c>
      <c r="E443">
        <v>5421</v>
      </c>
      <c r="F443">
        <v>13445</v>
      </c>
      <c r="G443">
        <v>4439</v>
      </c>
      <c r="H443">
        <v>68</v>
      </c>
      <c r="I443">
        <v>63.4</v>
      </c>
      <c r="J443">
        <v>72.7</v>
      </c>
      <c r="K443">
        <v>1344</v>
      </c>
      <c r="L443">
        <v>749</v>
      </c>
      <c r="M443">
        <v>1939</v>
      </c>
      <c r="N443">
        <v>9.6999999999999993</v>
      </c>
      <c r="O443">
        <v>8.1</v>
      </c>
      <c r="P443">
        <v>11.3</v>
      </c>
      <c r="Q443">
        <f t="shared" si="12"/>
        <v>7520103</v>
      </c>
      <c r="R443">
        <f t="shared" si="11"/>
        <v>17.872095634860319</v>
      </c>
      <c r="U443">
        <v>1439</v>
      </c>
      <c r="V443">
        <v>646</v>
      </c>
      <c r="W443">
        <v>2232</v>
      </c>
      <c r="X443">
        <v>570</v>
      </c>
      <c r="Y443">
        <v>71.599999999999994</v>
      </c>
      <c r="Z443">
        <v>65.099999999999994</v>
      </c>
      <c r="AA443">
        <v>78.099999999999994</v>
      </c>
    </row>
    <row r="444" spans="1:27" x14ac:dyDescent="0.25">
      <c r="A444" t="s">
        <v>227</v>
      </c>
      <c r="B444" t="s">
        <v>185</v>
      </c>
      <c r="C444" s="76">
        <v>43998</v>
      </c>
      <c r="D444">
        <v>9826</v>
      </c>
      <c r="E444">
        <v>5630</v>
      </c>
      <c r="F444">
        <v>14022</v>
      </c>
      <c r="G444">
        <v>3879</v>
      </c>
      <c r="H444">
        <v>71.7</v>
      </c>
      <c r="I444">
        <v>67</v>
      </c>
      <c r="J444">
        <v>76.400000000000006</v>
      </c>
      <c r="K444">
        <v>1468</v>
      </c>
      <c r="L444">
        <v>829</v>
      </c>
      <c r="M444">
        <v>2107</v>
      </c>
      <c r="N444">
        <v>10.7</v>
      </c>
      <c r="O444">
        <v>9</v>
      </c>
      <c r="P444">
        <v>12.4</v>
      </c>
      <c r="Q444">
        <f t="shared" si="12"/>
        <v>7520103</v>
      </c>
      <c r="R444">
        <f t="shared" si="11"/>
        <v>19.521009220219458</v>
      </c>
      <c r="U444">
        <v>1410</v>
      </c>
      <c r="V444">
        <v>611</v>
      </c>
      <c r="W444">
        <v>2209</v>
      </c>
      <c r="X444">
        <v>499</v>
      </c>
      <c r="Y444">
        <v>73.900000000000006</v>
      </c>
      <c r="Z444">
        <v>68.400000000000006</v>
      </c>
      <c r="AA444">
        <v>79.3</v>
      </c>
    </row>
    <row r="445" spans="1:27" x14ac:dyDescent="0.25">
      <c r="A445" t="s">
        <v>227</v>
      </c>
      <c r="B445" t="s">
        <v>185</v>
      </c>
      <c r="C445" s="76">
        <v>43999</v>
      </c>
      <c r="D445">
        <v>9456</v>
      </c>
      <c r="E445">
        <v>5139</v>
      </c>
      <c r="F445">
        <v>13773</v>
      </c>
      <c r="G445">
        <v>3563</v>
      </c>
      <c r="H445">
        <v>72.599999999999994</v>
      </c>
      <c r="I445">
        <v>66.900000000000006</v>
      </c>
      <c r="J445">
        <v>78.400000000000006</v>
      </c>
      <c r="K445">
        <v>1386</v>
      </c>
      <c r="L445">
        <v>758</v>
      </c>
      <c r="M445">
        <v>2015</v>
      </c>
      <c r="N445">
        <v>10.6</v>
      </c>
      <c r="O445">
        <v>8.6999999999999993</v>
      </c>
      <c r="P445">
        <v>12.6</v>
      </c>
      <c r="Q445">
        <f t="shared" si="12"/>
        <v>7520103</v>
      </c>
      <c r="R445">
        <f t="shared" si="11"/>
        <v>18.430598623449704</v>
      </c>
      <c r="U445">
        <v>1435</v>
      </c>
      <c r="V445">
        <v>629</v>
      </c>
      <c r="W445">
        <v>2241</v>
      </c>
      <c r="X445">
        <v>465</v>
      </c>
      <c r="Y445">
        <v>75.5</v>
      </c>
      <c r="Z445">
        <v>68.900000000000006</v>
      </c>
      <c r="AA445">
        <v>82.2</v>
      </c>
    </row>
    <row r="446" spans="1:27" x14ac:dyDescent="0.25">
      <c r="A446" t="s">
        <v>227</v>
      </c>
      <c r="B446" t="s">
        <v>185</v>
      </c>
      <c r="C446" s="76">
        <v>44000</v>
      </c>
      <c r="D446">
        <v>10097</v>
      </c>
      <c r="E446">
        <v>5846</v>
      </c>
      <c r="F446">
        <v>14349</v>
      </c>
      <c r="G446">
        <v>3885</v>
      </c>
      <c r="H446">
        <v>72.2</v>
      </c>
      <c r="I446">
        <v>66.8</v>
      </c>
      <c r="J446">
        <v>77.599999999999994</v>
      </c>
      <c r="K446">
        <v>1574</v>
      </c>
      <c r="L446">
        <v>913</v>
      </c>
      <c r="M446">
        <v>2235</v>
      </c>
      <c r="N446">
        <v>11.3</v>
      </c>
      <c r="O446">
        <v>9.6999999999999993</v>
      </c>
      <c r="P446">
        <v>12.8</v>
      </c>
      <c r="Q446">
        <f t="shared" si="12"/>
        <v>7520103</v>
      </c>
      <c r="R446">
        <f t="shared" si="11"/>
        <v>20.930564381897426</v>
      </c>
      <c r="U446">
        <v>1515</v>
      </c>
      <c r="V446">
        <v>720</v>
      </c>
      <c r="W446">
        <v>2310</v>
      </c>
      <c r="X446">
        <v>544</v>
      </c>
      <c r="Y446">
        <v>73.599999999999994</v>
      </c>
      <c r="Z446">
        <v>66.599999999999994</v>
      </c>
      <c r="AA446">
        <v>80.599999999999994</v>
      </c>
    </row>
    <row r="447" spans="1:27" x14ac:dyDescent="0.25">
      <c r="A447" t="s">
        <v>227</v>
      </c>
      <c r="B447" t="s">
        <v>185</v>
      </c>
      <c r="C447" s="76">
        <v>44001</v>
      </c>
      <c r="D447">
        <v>10016</v>
      </c>
      <c r="E447">
        <v>5727</v>
      </c>
      <c r="F447">
        <v>14305</v>
      </c>
      <c r="G447">
        <v>4155</v>
      </c>
      <c r="H447">
        <v>70.7</v>
      </c>
      <c r="I447">
        <v>64.900000000000006</v>
      </c>
      <c r="J447">
        <v>76.5</v>
      </c>
      <c r="K447">
        <v>1625</v>
      </c>
      <c r="L447">
        <v>920</v>
      </c>
      <c r="M447">
        <v>2329</v>
      </c>
      <c r="N447">
        <v>11.5</v>
      </c>
      <c r="O447">
        <v>9.6</v>
      </c>
      <c r="P447">
        <v>13.3</v>
      </c>
      <c r="Q447">
        <f t="shared" si="12"/>
        <v>7520103</v>
      </c>
      <c r="R447">
        <f t="shared" si="11"/>
        <v>21.608746582327399</v>
      </c>
      <c r="U447">
        <v>1495</v>
      </c>
      <c r="V447">
        <v>707</v>
      </c>
      <c r="W447">
        <v>2283</v>
      </c>
      <c r="X447">
        <v>546</v>
      </c>
      <c r="Y447">
        <v>73.3</v>
      </c>
      <c r="Z447">
        <v>67.900000000000006</v>
      </c>
      <c r="AA447">
        <v>78.599999999999994</v>
      </c>
    </row>
    <row r="448" spans="1:27" x14ac:dyDescent="0.25">
      <c r="A448" t="s">
        <v>227</v>
      </c>
      <c r="B448" t="s">
        <v>185</v>
      </c>
      <c r="C448" s="76">
        <v>44002</v>
      </c>
      <c r="D448">
        <v>9544</v>
      </c>
      <c r="E448">
        <v>5444</v>
      </c>
      <c r="F448">
        <v>13644</v>
      </c>
      <c r="G448">
        <v>4451</v>
      </c>
      <c r="H448">
        <v>68.2</v>
      </c>
      <c r="I448">
        <v>63.1</v>
      </c>
      <c r="J448">
        <v>73.3</v>
      </c>
      <c r="K448">
        <v>1698</v>
      </c>
      <c r="L448">
        <v>968</v>
      </c>
      <c r="M448">
        <v>2428</v>
      </c>
      <c r="N448">
        <v>12.1</v>
      </c>
      <c r="O448">
        <v>10.3</v>
      </c>
      <c r="P448">
        <v>13.9</v>
      </c>
      <c r="Q448">
        <f t="shared" si="12"/>
        <v>7520103</v>
      </c>
      <c r="R448">
        <f t="shared" si="11"/>
        <v>22.579477967256565</v>
      </c>
      <c r="U448">
        <v>1404</v>
      </c>
      <c r="V448">
        <v>661</v>
      </c>
      <c r="W448">
        <v>2147</v>
      </c>
      <c r="X448">
        <v>597</v>
      </c>
      <c r="Y448">
        <v>70.099999999999994</v>
      </c>
      <c r="Z448">
        <v>64.2</v>
      </c>
      <c r="AA448">
        <v>76.099999999999994</v>
      </c>
    </row>
    <row r="449" spans="1:27" x14ac:dyDescent="0.25">
      <c r="A449" t="s">
        <v>227</v>
      </c>
      <c r="B449" t="s">
        <v>185</v>
      </c>
      <c r="C449" s="76">
        <v>44003</v>
      </c>
      <c r="D449">
        <v>9442</v>
      </c>
      <c r="E449">
        <v>5394</v>
      </c>
      <c r="F449">
        <v>13490</v>
      </c>
      <c r="G449">
        <v>4650</v>
      </c>
      <c r="H449">
        <v>67</v>
      </c>
      <c r="I449">
        <v>61.9</v>
      </c>
      <c r="J449">
        <v>72.099999999999994</v>
      </c>
      <c r="K449">
        <v>1793</v>
      </c>
      <c r="L449">
        <v>1022</v>
      </c>
      <c r="M449">
        <v>2564</v>
      </c>
      <c r="N449">
        <v>12.7</v>
      </c>
      <c r="O449">
        <v>10.9</v>
      </c>
      <c r="P449">
        <v>14.5</v>
      </c>
      <c r="Q449">
        <f t="shared" si="12"/>
        <v>7520103</v>
      </c>
      <c r="R449">
        <f t="shared" si="11"/>
        <v>23.842758536684936</v>
      </c>
      <c r="U449">
        <v>1461</v>
      </c>
      <c r="V449">
        <v>688</v>
      </c>
      <c r="W449">
        <v>2233</v>
      </c>
      <c r="X449">
        <v>545</v>
      </c>
      <c r="Y449">
        <v>72.8</v>
      </c>
      <c r="Z449">
        <v>66.8</v>
      </c>
      <c r="AA449">
        <v>78.8</v>
      </c>
    </row>
    <row r="450" spans="1:27" x14ac:dyDescent="0.25">
      <c r="A450" t="s">
        <v>227</v>
      </c>
      <c r="B450" t="s">
        <v>185</v>
      </c>
      <c r="C450" s="76">
        <v>44004</v>
      </c>
      <c r="D450">
        <v>9621</v>
      </c>
      <c r="E450">
        <v>5502</v>
      </c>
      <c r="F450">
        <v>13740</v>
      </c>
      <c r="G450">
        <v>4314</v>
      </c>
      <c r="H450">
        <v>69</v>
      </c>
      <c r="I450">
        <v>64.2</v>
      </c>
      <c r="J450">
        <v>73.900000000000006</v>
      </c>
      <c r="K450">
        <v>1964</v>
      </c>
      <c r="L450">
        <v>1123</v>
      </c>
      <c r="M450">
        <v>2805</v>
      </c>
      <c r="N450">
        <v>14.1</v>
      </c>
      <c r="O450">
        <v>12.1</v>
      </c>
      <c r="P450">
        <v>16.100000000000001</v>
      </c>
      <c r="Q450">
        <f t="shared" si="12"/>
        <v>7520103</v>
      </c>
      <c r="R450">
        <f t="shared" si="11"/>
        <v>26.116663561656004</v>
      </c>
      <c r="U450">
        <v>1469</v>
      </c>
      <c r="V450">
        <v>700</v>
      </c>
      <c r="W450">
        <v>2238</v>
      </c>
      <c r="X450">
        <v>520</v>
      </c>
      <c r="Y450">
        <v>73.900000000000006</v>
      </c>
      <c r="Z450">
        <v>67.900000000000006</v>
      </c>
      <c r="AA450">
        <v>79.8</v>
      </c>
    </row>
    <row r="451" spans="1:27" x14ac:dyDescent="0.25">
      <c r="A451" t="s">
        <v>227</v>
      </c>
      <c r="B451" t="s">
        <v>185</v>
      </c>
      <c r="C451" s="76">
        <v>44005</v>
      </c>
      <c r="D451">
        <v>10159</v>
      </c>
      <c r="E451">
        <v>5870</v>
      </c>
      <c r="F451">
        <v>14449</v>
      </c>
      <c r="G451">
        <v>3775</v>
      </c>
      <c r="H451">
        <v>72.900000000000006</v>
      </c>
      <c r="I451">
        <v>68.099999999999994</v>
      </c>
      <c r="J451">
        <v>77.7</v>
      </c>
      <c r="K451">
        <v>2135</v>
      </c>
      <c r="L451">
        <v>1233</v>
      </c>
      <c r="M451">
        <v>3036</v>
      </c>
      <c r="N451">
        <v>15.3</v>
      </c>
      <c r="O451">
        <v>13</v>
      </c>
      <c r="P451">
        <v>17.600000000000001</v>
      </c>
      <c r="Q451">
        <f t="shared" si="12"/>
        <v>7520103</v>
      </c>
      <c r="R451">
        <f t="shared" si="11"/>
        <v>28.390568586627072</v>
      </c>
      <c r="U451">
        <v>1540</v>
      </c>
      <c r="V451">
        <v>720</v>
      </c>
      <c r="W451">
        <v>2360</v>
      </c>
      <c r="X451">
        <v>463</v>
      </c>
      <c r="Y451">
        <v>76.900000000000006</v>
      </c>
      <c r="Z451">
        <v>71.099999999999994</v>
      </c>
      <c r="AA451">
        <v>82.6</v>
      </c>
    </row>
    <row r="452" spans="1:27" x14ac:dyDescent="0.25">
      <c r="A452" t="s">
        <v>227</v>
      </c>
      <c r="B452" t="s">
        <v>185</v>
      </c>
      <c r="C452" s="76">
        <v>44006</v>
      </c>
      <c r="D452">
        <v>10403</v>
      </c>
      <c r="E452">
        <v>4986</v>
      </c>
      <c r="F452">
        <v>15821</v>
      </c>
      <c r="G452">
        <v>3679</v>
      </c>
      <c r="H452">
        <v>73.900000000000006</v>
      </c>
      <c r="I452">
        <v>66.900000000000006</v>
      </c>
      <c r="J452">
        <v>80.900000000000006</v>
      </c>
      <c r="K452">
        <v>2203</v>
      </c>
      <c r="L452">
        <v>1083</v>
      </c>
      <c r="M452">
        <v>3322</v>
      </c>
      <c r="N452">
        <v>15.6</v>
      </c>
      <c r="O452">
        <v>12.6</v>
      </c>
      <c r="P452">
        <v>18.600000000000001</v>
      </c>
      <c r="Q452">
        <f t="shared" si="12"/>
        <v>7520103</v>
      </c>
      <c r="R452">
        <f t="shared" si="11"/>
        <v>29.294811520533692</v>
      </c>
      <c r="U452">
        <v>1701</v>
      </c>
      <c r="V452">
        <v>537</v>
      </c>
      <c r="W452">
        <v>2865</v>
      </c>
      <c r="X452">
        <v>356</v>
      </c>
      <c r="Y452">
        <v>82.7</v>
      </c>
      <c r="Z452">
        <v>77</v>
      </c>
      <c r="AA452">
        <v>88.4</v>
      </c>
    </row>
    <row r="453" spans="1:27" x14ac:dyDescent="0.25">
      <c r="A453" t="s">
        <v>227</v>
      </c>
      <c r="B453" t="s">
        <v>185</v>
      </c>
      <c r="C453" s="76">
        <v>44007</v>
      </c>
      <c r="D453">
        <v>10696</v>
      </c>
      <c r="E453">
        <v>6187</v>
      </c>
      <c r="F453">
        <v>15205</v>
      </c>
      <c r="G453">
        <v>3347</v>
      </c>
      <c r="H453">
        <v>76.2</v>
      </c>
      <c r="I453">
        <v>70.7</v>
      </c>
      <c r="J453">
        <v>81.599999999999994</v>
      </c>
      <c r="K453">
        <v>2297</v>
      </c>
      <c r="L453">
        <v>1344</v>
      </c>
      <c r="M453">
        <v>3249</v>
      </c>
      <c r="N453">
        <v>16.399999999999999</v>
      </c>
      <c r="O453">
        <v>13.8</v>
      </c>
      <c r="P453">
        <v>18.899999999999999</v>
      </c>
      <c r="Q453">
        <f t="shared" si="12"/>
        <v>7520103</v>
      </c>
      <c r="R453">
        <f t="shared" ref="R453:R516" si="13">K453/(Q453)*100000</f>
        <v>30.544794399757556</v>
      </c>
      <c r="U453">
        <v>1657</v>
      </c>
      <c r="V453">
        <v>739</v>
      </c>
      <c r="W453">
        <v>2575</v>
      </c>
      <c r="X453">
        <v>434</v>
      </c>
      <c r="Y453">
        <v>79.2</v>
      </c>
      <c r="Z453">
        <v>73.900000000000006</v>
      </c>
      <c r="AA453">
        <v>84.6</v>
      </c>
    </row>
    <row r="454" spans="1:27" x14ac:dyDescent="0.25">
      <c r="A454" t="s">
        <v>227</v>
      </c>
      <c r="B454" t="s">
        <v>185</v>
      </c>
      <c r="C454" s="76">
        <v>44008</v>
      </c>
      <c r="D454">
        <v>10275</v>
      </c>
      <c r="E454">
        <v>5912</v>
      </c>
      <c r="F454">
        <v>14638</v>
      </c>
      <c r="G454">
        <v>3870</v>
      </c>
      <c r="H454">
        <v>72.599999999999994</v>
      </c>
      <c r="I454">
        <v>66.900000000000006</v>
      </c>
      <c r="J454">
        <v>78.400000000000006</v>
      </c>
      <c r="K454">
        <v>2390</v>
      </c>
      <c r="L454">
        <v>1385</v>
      </c>
      <c r="M454">
        <v>3395</v>
      </c>
      <c r="N454">
        <v>16.899999999999999</v>
      </c>
      <c r="O454">
        <v>14.2</v>
      </c>
      <c r="P454">
        <v>19.600000000000001</v>
      </c>
      <c r="Q454">
        <f t="shared" si="12"/>
        <v>7520103</v>
      </c>
      <c r="R454">
        <f t="shared" si="13"/>
        <v>31.781479588776907</v>
      </c>
      <c r="U454">
        <v>1649</v>
      </c>
      <c r="V454">
        <v>733</v>
      </c>
      <c r="W454">
        <v>2565</v>
      </c>
      <c r="X454">
        <v>443</v>
      </c>
      <c r="Y454">
        <v>78.8</v>
      </c>
      <c r="Z454">
        <v>73.3</v>
      </c>
      <c r="AA454">
        <v>84.4</v>
      </c>
    </row>
    <row r="455" spans="1:27" x14ac:dyDescent="0.25">
      <c r="A455" t="s">
        <v>227</v>
      </c>
      <c r="B455" t="s">
        <v>185</v>
      </c>
      <c r="C455" s="76">
        <v>44009</v>
      </c>
      <c r="D455">
        <v>10081</v>
      </c>
      <c r="E455">
        <v>5704</v>
      </c>
      <c r="F455">
        <v>14458</v>
      </c>
      <c r="G455">
        <v>4214</v>
      </c>
      <c r="H455">
        <v>70.5</v>
      </c>
      <c r="I455">
        <v>63.9</v>
      </c>
      <c r="J455">
        <v>77.099999999999994</v>
      </c>
      <c r="K455">
        <v>2466</v>
      </c>
      <c r="L455">
        <v>1423</v>
      </c>
      <c r="M455">
        <v>3509</v>
      </c>
      <c r="N455">
        <v>17.3</v>
      </c>
      <c r="O455">
        <v>14.3</v>
      </c>
      <c r="P455">
        <v>20.2</v>
      </c>
      <c r="Q455">
        <f t="shared" si="12"/>
        <v>7520103</v>
      </c>
      <c r="R455">
        <f t="shared" si="13"/>
        <v>32.792104044319608</v>
      </c>
      <c r="U455">
        <v>1633</v>
      </c>
      <c r="V455">
        <v>803</v>
      </c>
      <c r="W455">
        <v>2463</v>
      </c>
      <c r="X455">
        <v>462</v>
      </c>
      <c r="Y455">
        <v>78</v>
      </c>
      <c r="Z455">
        <v>72</v>
      </c>
      <c r="AA455">
        <v>83.9</v>
      </c>
    </row>
    <row r="456" spans="1:27" x14ac:dyDescent="0.25">
      <c r="A456" t="s">
        <v>227</v>
      </c>
      <c r="B456" t="s">
        <v>185</v>
      </c>
      <c r="C456" s="76">
        <v>44010</v>
      </c>
      <c r="D456">
        <v>9969</v>
      </c>
      <c r="E456">
        <v>5724</v>
      </c>
      <c r="F456">
        <v>14214</v>
      </c>
      <c r="G456">
        <v>4355</v>
      </c>
      <c r="H456">
        <v>69.599999999999994</v>
      </c>
      <c r="I456">
        <v>63.7</v>
      </c>
      <c r="J456">
        <v>75.5</v>
      </c>
      <c r="K456">
        <v>2584</v>
      </c>
      <c r="L456">
        <v>1511</v>
      </c>
      <c r="M456">
        <v>3658</v>
      </c>
      <c r="N456">
        <v>18</v>
      </c>
      <c r="O456">
        <v>14.8</v>
      </c>
      <c r="P456">
        <v>21.3</v>
      </c>
      <c r="Q456">
        <f t="shared" si="12"/>
        <v>7520103</v>
      </c>
      <c r="R456">
        <f t="shared" si="13"/>
        <v>34.361231488451686</v>
      </c>
      <c r="U456">
        <v>1556</v>
      </c>
      <c r="V456">
        <v>804</v>
      </c>
      <c r="W456">
        <v>2309</v>
      </c>
      <c r="X456">
        <v>513</v>
      </c>
      <c r="Y456">
        <v>75.2</v>
      </c>
      <c r="Z456">
        <v>67.8</v>
      </c>
      <c r="AA456">
        <v>82.6</v>
      </c>
    </row>
    <row r="457" spans="1:27" x14ac:dyDescent="0.25">
      <c r="A457" t="s">
        <v>227</v>
      </c>
      <c r="B457" t="s">
        <v>185</v>
      </c>
      <c r="C457" s="76">
        <v>44011</v>
      </c>
      <c r="D457">
        <v>10435</v>
      </c>
      <c r="E457">
        <v>7056</v>
      </c>
      <c r="F457">
        <v>13813</v>
      </c>
      <c r="G457">
        <v>3063</v>
      </c>
      <c r="H457">
        <v>77.3</v>
      </c>
      <c r="I457">
        <v>72.400000000000006</v>
      </c>
      <c r="J457">
        <v>82.3</v>
      </c>
      <c r="K457">
        <v>3485</v>
      </c>
      <c r="L457">
        <v>2224</v>
      </c>
      <c r="M457">
        <v>4746</v>
      </c>
      <c r="N457">
        <v>25.8</v>
      </c>
      <c r="O457">
        <v>20.8</v>
      </c>
      <c r="P457">
        <v>30.8</v>
      </c>
      <c r="Q457">
        <f t="shared" si="12"/>
        <v>7520103</v>
      </c>
      <c r="R457">
        <f t="shared" si="13"/>
        <v>46.342450362714445</v>
      </c>
      <c r="U457">
        <v>1672</v>
      </c>
      <c r="V457">
        <v>1020</v>
      </c>
      <c r="W457">
        <v>2325</v>
      </c>
      <c r="X457">
        <v>418</v>
      </c>
      <c r="Y457">
        <v>80</v>
      </c>
      <c r="Z457">
        <v>74.8</v>
      </c>
      <c r="AA457">
        <v>85.3</v>
      </c>
    </row>
    <row r="458" spans="1:27" x14ac:dyDescent="0.25">
      <c r="A458" t="s">
        <v>227</v>
      </c>
      <c r="B458" t="s">
        <v>185</v>
      </c>
      <c r="C458" s="76">
        <v>44012</v>
      </c>
      <c r="D458">
        <v>10635</v>
      </c>
      <c r="E458">
        <v>7182</v>
      </c>
      <c r="F458">
        <v>14088</v>
      </c>
      <c r="G458">
        <v>2993</v>
      </c>
      <c r="H458">
        <v>78</v>
      </c>
      <c r="I458">
        <v>73.099999999999994</v>
      </c>
      <c r="J458">
        <v>83</v>
      </c>
      <c r="K458">
        <v>3487</v>
      </c>
      <c r="L458">
        <v>2216</v>
      </c>
      <c r="M458">
        <v>4758</v>
      </c>
      <c r="N458">
        <v>25.6</v>
      </c>
      <c r="O458">
        <v>20.6</v>
      </c>
      <c r="P458">
        <v>30.6</v>
      </c>
      <c r="Q458">
        <f t="shared" si="12"/>
        <v>7520103</v>
      </c>
      <c r="R458">
        <f t="shared" si="13"/>
        <v>46.369045743123465</v>
      </c>
      <c r="U458">
        <v>1695</v>
      </c>
      <c r="V458">
        <v>1019</v>
      </c>
      <c r="W458">
        <v>2370</v>
      </c>
      <c r="X458">
        <v>413</v>
      </c>
      <c r="Y458">
        <v>80.400000000000006</v>
      </c>
      <c r="Z458">
        <v>74.8</v>
      </c>
      <c r="AA458">
        <v>86</v>
      </c>
    </row>
    <row r="459" spans="1:27" x14ac:dyDescent="0.25">
      <c r="A459" t="s">
        <v>227</v>
      </c>
      <c r="B459" t="s">
        <v>185</v>
      </c>
      <c r="C459" s="76">
        <v>44013</v>
      </c>
      <c r="D459">
        <v>10940</v>
      </c>
      <c r="E459">
        <v>7409</v>
      </c>
      <c r="F459">
        <v>14471</v>
      </c>
      <c r="G459">
        <v>2678</v>
      </c>
      <c r="H459">
        <v>80.3</v>
      </c>
      <c r="I459">
        <v>75.8</v>
      </c>
      <c r="J459">
        <v>84.9</v>
      </c>
      <c r="K459">
        <v>3619</v>
      </c>
      <c r="L459">
        <v>2321</v>
      </c>
      <c r="M459">
        <v>4918</v>
      </c>
      <c r="N459">
        <v>26.6</v>
      </c>
      <c r="O459">
        <v>21.8</v>
      </c>
      <c r="P459">
        <v>31.4</v>
      </c>
      <c r="Q459">
        <f t="shared" si="12"/>
        <v>7520103</v>
      </c>
      <c r="R459">
        <f t="shared" si="13"/>
        <v>48.124340850118678</v>
      </c>
      <c r="U459">
        <v>1684</v>
      </c>
      <c r="V459">
        <v>1036</v>
      </c>
      <c r="W459">
        <v>2333</v>
      </c>
      <c r="X459">
        <v>463</v>
      </c>
      <c r="Y459">
        <v>78.400000000000006</v>
      </c>
      <c r="Z459">
        <v>72</v>
      </c>
      <c r="AA459">
        <v>84.8</v>
      </c>
    </row>
    <row r="460" spans="1:27" x14ac:dyDescent="0.25">
      <c r="A460" t="s">
        <v>227</v>
      </c>
      <c r="B460" t="s">
        <v>185</v>
      </c>
      <c r="C460" s="76">
        <v>44014</v>
      </c>
      <c r="D460">
        <v>10304</v>
      </c>
      <c r="E460">
        <v>6114</v>
      </c>
      <c r="F460">
        <v>14493</v>
      </c>
      <c r="G460">
        <v>3361</v>
      </c>
      <c r="H460">
        <v>75.400000000000006</v>
      </c>
      <c r="I460">
        <v>69.8</v>
      </c>
      <c r="J460">
        <v>81</v>
      </c>
      <c r="K460">
        <v>2883</v>
      </c>
      <c r="L460">
        <v>1687</v>
      </c>
      <c r="M460">
        <v>4079</v>
      </c>
      <c r="N460">
        <v>21.1</v>
      </c>
      <c r="O460">
        <v>17.399999999999999</v>
      </c>
      <c r="P460">
        <v>24.8</v>
      </c>
      <c r="Q460">
        <f t="shared" si="12"/>
        <v>7520103</v>
      </c>
      <c r="R460">
        <f t="shared" si="13"/>
        <v>38.33724085959993</v>
      </c>
      <c r="U460">
        <v>1579</v>
      </c>
      <c r="V460">
        <v>777</v>
      </c>
      <c r="W460">
        <v>2381</v>
      </c>
      <c r="X460">
        <v>410</v>
      </c>
      <c r="Y460">
        <v>79.400000000000006</v>
      </c>
      <c r="Z460">
        <v>73.5</v>
      </c>
      <c r="AA460">
        <v>85.2</v>
      </c>
    </row>
    <row r="461" spans="1:27" x14ac:dyDescent="0.25">
      <c r="A461" t="s">
        <v>227</v>
      </c>
      <c r="B461" t="s">
        <v>185</v>
      </c>
      <c r="C461" s="76">
        <v>44015</v>
      </c>
      <c r="D461">
        <v>10004</v>
      </c>
      <c r="E461">
        <v>5903</v>
      </c>
      <c r="F461">
        <v>14105</v>
      </c>
      <c r="G461">
        <v>3422</v>
      </c>
      <c r="H461">
        <v>74.5</v>
      </c>
      <c r="I461">
        <v>69.2</v>
      </c>
      <c r="J461">
        <v>79.8</v>
      </c>
      <c r="K461">
        <v>2889</v>
      </c>
      <c r="L461">
        <v>1661</v>
      </c>
      <c r="M461">
        <v>4116</v>
      </c>
      <c r="N461">
        <v>21.5</v>
      </c>
      <c r="O461">
        <v>18</v>
      </c>
      <c r="P461">
        <v>25.1</v>
      </c>
      <c r="Q461">
        <f t="shared" si="12"/>
        <v>7520103</v>
      </c>
      <c r="R461">
        <f t="shared" si="13"/>
        <v>38.417027000826984</v>
      </c>
      <c r="U461">
        <v>1528</v>
      </c>
      <c r="V461">
        <v>738</v>
      </c>
      <c r="W461">
        <v>2319</v>
      </c>
      <c r="X461">
        <v>427</v>
      </c>
      <c r="Y461">
        <v>78.099999999999994</v>
      </c>
      <c r="Z461">
        <v>72.400000000000006</v>
      </c>
      <c r="AA461">
        <v>83.9</v>
      </c>
    </row>
    <row r="462" spans="1:27" x14ac:dyDescent="0.25">
      <c r="A462" t="s">
        <v>227</v>
      </c>
      <c r="B462" t="s">
        <v>185</v>
      </c>
      <c r="C462" s="76">
        <v>44016</v>
      </c>
      <c r="D462">
        <v>9765</v>
      </c>
      <c r="E462">
        <v>5688</v>
      </c>
      <c r="F462">
        <v>13842</v>
      </c>
      <c r="G462">
        <v>3644</v>
      </c>
      <c r="H462">
        <v>72.8</v>
      </c>
      <c r="I462">
        <v>67</v>
      </c>
      <c r="J462">
        <v>78.7</v>
      </c>
      <c r="K462">
        <v>2899</v>
      </c>
      <c r="L462">
        <v>1657</v>
      </c>
      <c r="M462">
        <v>4140</v>
      </c>
      <c r="N462">
        <v>21.6</v>
      </c>
      <c r="O462">
        <v>18</v>
      </c>
      <c r="P462">
        <v>25.2</v>
      </c>
      <c r="Q462">
        <f t="shared" si="12"/>
        <v>7520103</v>
      </c>
      <c r="R462">
        <f t="shared" si="13"/>
        <v>38.550003902872071</v>
      </c>
      <c r="U462">
        <v>1564</v>
      </c>
      <c r="V462">
        <v>765</v>
      </c>
      <c r="W462">
        <v>2362</v>
      </c>
      <c r="X462">
        <v>399</v>
      </c>
      <c r="Y462">
        <v>79.7</v>
      </c>
      <c r="Z462">
        <v>74.599999999999994</v>
      </c>
      <c r="AA462">
        <v>84.7</v>
      </c>
    </row>
    <row r="463" spans="1:27" x14ac:dyDescent="0.25">
      <c r="A463" t="s">
        <v>227</v>
      </c>
      <c r="B463" t="s">
        <v>185</v>
      </c>
      <c r="C463" s="76">
        <v>44017</v>
      </c>
      <c r="D463">
        <v>9700</v>
      </c>
      <c r="E463">
        <v>5629</v>
      </c>
      <c r="F463">
        <v>13771</v>
      </c>
      <c r="G463">
        <v>3669</v>
      </c>
      <c r="H463">
        <v>72.599999999999994</v>
      </c>
      <c r="I463">
        <v>66.7</v>
      </c>
      <c r="J463">
        <v>78.400000000000006</v>
      </c>
      <c r="K463">
        <v>2913</v>
      </c>
      <c r="L463">
        <v>1662</v>
      </c>
      <c r="M463">
        <v>4165</v>
      </c>
      <c r="N463">
        <v>21.8</v>
      </c>
      <c r="O463">
        <v>17.899999999999999</v>
      </c>
      <c r="P463">
        <v>25.6</v>
      </c>
      <c r="Q463">
        <f t="shared" si="12"/>
        <v>7520103</v>
      </c>
      <c r="R463">
        <f t="shared" si="13"/>
        <v>38.736171565735205</v>
      </c>
      <c r="U463">
        <v>1546</v>
      </c>
      <c r="V463">
        <v>759</v>
      </c>
      <c r="W463">
        <v>2333</v>
      </c>
      <c r="X463">
        <v>409</v>
      </c>
      <c r="Y463">
        <v>79.099999999999994</v>
      </c>
      <c r="Z463">
        <v>73.599999999999994</v>
      </c>
      <c r="AA463">
        <v>84.5</v>
      </c>
    </row>
    <row r="464" spans="1:27" x14ac:dyDescent="0.25">
      <c r="A464" t="s">
        <v>227</v>
      </c>
      <c r="B464" t="s">
        <v>185</v>
      </c>
      <c r="C464" s="76">
        <v>44018</v>
      </c>
      <c r="D464">
        <v>10047</v>
      </c>
      <c r="E464">
        <v>5836</v>
      </c>
      <c r="F464">
        <v>14257</v>
      </c>
      <c r="G464">
        <v>3371</v>
      </c>
      <c r="H464">
        <v>74.900000000000006</v>
      </c>
      <c r="I464">
        <v>68.900000000000006</v>
      </c>
      <c r="J464">
        <v>80.8</v>
      </c>
      <c r="K464">
        <v>3114</v>
      </c>
      <c r="L464">
        <v>1796</v>
      </c>
      <c r="M464">
        <v>4433</v>
      </c>
      <c r="N464">
        <v>23.2</v>
      </c>
      <c r="O464">
        <v>19.2</v>
      </c>
      <c r="P464">
        <v>27.2</v>
      </c>
      <c r="Q464">
        <f t="shared" si="12"/>
        <v>7520103</v>
      </c>
      <c r="R464">
        <f t="shared" si="13"/>
        <v>41.409007296841551</v>
      </c>
      <c r="U464">
        <v>1559</v>
      </c>
      <c r="V464">
        <v>763</v>
      </c>
      <c r="W464">
        <v>2354</v>
      </c>
      <c r="X464">
        <v>402</v>
      </c>
      <c r="Y464">
        <v>79.5</v>
      </c>
      <c r="Z464">
        <v>74.099999999999994</v>
      </c>
      <c r="AA464">
        <v>84.9</v>
      </c>
    </row>
    <row r="465" spans="1:27" x14ac:dyDescent="0.25">
      <c r="A465" t="s">
        <v>227</v>
      </c>
      <c r="B465" t="s">
        <v>185</v>
      </c>
      <c r="C465" s="76">
        <v>44019</v>
      </c>
      <c r="D465">
        <v>10340</v>
      </c>
      <c r="E465">
        <v>6000</v>
      </c>
      <c r="F465">
        <v>14681</v>
      </c>
      <c r="G465">
        <v>3122</v>
      </c>
      <c r="H465">
        <v>76.8</v>
      </c>
      <c r="I465">
        <v>70.099999999999994</v>
      </c>
      <c r="J465">
        <v>83.6</v>
      </c>
      <c r="K465">
        <v>3174</v>
      </c>
      <c r="L465">
        <v>1805</v>
      </c>
      <c r="M465">
        <v>4542</v>
      </c>
      <c r="N465">
        <v>23.6</v>
      </c>
      <c r="O465">
        <v>19.100000000000001</v>
      </c>
      <c r="P465">
        <v>28</v>
      </c>
      <c r="Q465">
        <f t="shared" si="12"/>
        <v>7520103</v>
      </c>
      <c r="R465">
        <f t="shared" si="13"/>
        <v>42.206868709112101</v>
      </c>
      <c r="U465">
        <v>1573</v>
      </c>
      <c r="V465">
        <v>759</v>
      </c>
      <c r="W465">
        <v>2386</v>
      </c>
      <c r="X465">
        <v>390</v>
      </c>
      <c r="Y465">
        <v>80.099999999999994</v>
      </c>
      <c r="Z465">
        <v>73.8</v>
      </c>
      <c r="AA465">
        <v>86.4</v>
      </c>
    </row>
    <row r="466" spans="1:27" x14ac:dyDescent="0.25">
      <c r="A466" t="s">
        <v>228</v>
      </c>
      <c r="B466" t="s">
        <v>164</v>
      </c>
      <c r="C466" s="76">
        <v>43922</v>
      </c>
      <c r="D466">
        <v>40657</v>
      </c>
      <c r="E466">
        <v>30508</v>
      </c>
      <c r="F466">
        <v>50805</v>
      </c>
      <c r="G466">
        <v>36827</v>
      </c>
      <c r="H466">
        <v>52.5</v>
      </c>
      <c r="I466">
        <v>48</v>
      </c>
      <c r="J466">
        <v>56.9</v>
      </c>
      <c r="K466">
        <v>4716</v>
      </c>
      <c r="L466">
        <v>3456</v>
      </c>
      <c r="M466">
        <v>5975</v>
      </c>
      <c r="N466">
        <v>6.1</v>
      </c>
      <c r="O466">
        <v>5</v>
      </c>
      <c r="P466">
        <v>7.1</v>
      </c>
      <c r="Q466">
        <f t="shared" si="12"/>
        <v>39613493</v>
      </c>
      <c r="R466">
        <f t="shared" si="13"/>
        <v>11.905034479034706</v>
      </c>
      <c r="U466">
        <v>5885</v>
      </c>
      <c r="V466">
        <v>4076</v>
      </c>
      <c r="W466">
        <v>7693</v>
      </c>
      <c r="X466">
        <v>3429</v>
      </c>
      <c r="Y466">
        <v>63.2</v>
      </c>
      <c r="Z466">
        <v>56.8</v>
      </c>
      <c r="AA466">
        <v>69.599999999999994</v>
      </c>
    </row>
    <row r="467" spans="1:27" x14ac:dyDescent="0.25">
      <c r="A467" t="s">
        <v>228</v>
      </c>
      <c r="B467" t="s">
        <v>164</v>
      </c>
      <c r="C467" s="76">
        <v>43923</v>
      </c>
      <c r="D467">
        <v>42475</v>
      </c>
      <c r="E467">
        <v>32183</v>
      </c>
      <c r="F467">
        <v>52766</v>
      </c>
      <c r="G467">
        <v>34923</v>
      </c>
      <c r="H467">
        <v>54.9</v>
      </c>
      <c r="I467">
        <v>50.9</v>
      </c>
      <c r="J467">
        <v>58.9</v>
      </c>
      <c r="K467">
        <v>4800</v>
      </c>
      <c r="L467">
        <v>3571</v>
      </c>
      <c r="M467">
        <v>6028</v>
      </c>
      <c r="N467">
        <v>6.2</v>
      </c>
      <c r="O467">
        <v>5</v>
      </c>
      <c r="P467">
        <v>7.4</v>
      </c>
      <c r="Q467">
        <f t="shared" si="12"/>
        <v>39613493</v>
      </c>
      <c r="R467">
        <f t="shared" si="13"/>
        <v>12.117083439221075</v>
      </c>
      <c r="U467">
        <v>6377</v>
      </c>
      <c r="V467">
        <v>4480</v>
      </c>
      <c r="W467">
        <v>8275</v>
      </c>
      <c r="X467">
        <v>3395</v>
      </c>
      <c r="Y467">
        <v>65.3</v>
      </c>
      <c r="Z467">
        <v>59.2</v>
      </c>
      <c r="AA467">
        <v>71.3</v>
      </c>
    </row>
    <row r="468" spans="1:27" x14ac:dyDescent="0.25">
      <c r="A468" t="s">
        <v>228</v>
      </c>
      <c r="B468" t="s">
        <v>164</v>
      </c>
      <c r="C468" s="76">
        <v>43924</v>
      </c>
      <c r="D468">
        <v>40246</v>
      </c>
      <c r="E468">
        <v>31360</v>
      </c>
      <c r="F468">
        <v>49132</v>
      </c>
      <c r="G468">
        <v>37092</v>
      </c>
      <c r="H468">
        <v>52</v>
      </c>
      <c r="I468">
        <v>47.8</v>
      </c>
      <c r="J468">
        <v>56.3</v>
      </c>
      <c r="K468">
        <v>5012</v>
      </c>
      <c r="L468">
        <v>3739</v>
      </c>
      <c r="M468">
        <v>6286</v>
      </c>
      <c r="N468">
        <v>6.5</v>
      </c>
      <c r="O468">
        <v>5.2</v>
      </c>
      <c r="P468">
        <v>7.7</v>
      </c>
      <c r="Q468">
        <f t="shared" si="12"/>
        <v>39613493</v>
      </c>
      <c r="R468">
        <f t="shared" si="13"/>
        <v>12.65225462445334</v>
      </c>
      <c r="U468">
        <v>6258</v>
      </c>
      <c r="V468">
        <v>4530</v>
      </c>
      <c r="W468">
        <v>7987</v>
      </c>
      <c r="X468">
        <v>3462</v>
      </c>
      <c r="Y468">
        <v>64.400000000000006</v>
      </c>
      <c r="Z468">
        <v>59.1</v>
      </c>
      <c r="AA468">
        <v>69.7</v>
      </c>
    </row>
    <row r="469" spans="1:27" x14ac:dyDescent="0.25">
      <c r="A469" t="s">
        <v>228</v>
      </c>
      <c r="B469" t="s">
        <v>164</v>
      </c>
      <c r="C469" s="76">
        <v>43925</v>
      </c>
      <c r="D469">
        <v>39945</v>
      </c>
      <c r="E469">
        <v>30963</v>
      </c>
      <c r="F469">
        <v>48927</v>
      </c>
      <c r="G469">
        <v>36475</v>
      </c>
      <c r="H469">
        <v>52.3</v>
      </c>
      <c r="I469">
        <v>47.8</v>
      </c>
      <c r="J469">
        <v>56.7</v>
      </c>
      <c r="K469">
        <v>5126</v>
      </c>
      <c r="L469">
        <v>3808</v>
      </c>
      <c r="M469">
        <v>6445</v>
      </c>
      <c r="N469">
        <v>6.7</v>
      </c>
      <c r="O469">
        <v>5.3</v>
      </c>
      <c r="P469">
        <v>8.1</v>
      </c>
      <c r="Q469">
        <f t="shared" si="12"/>
        <v>39613493</v>
      </c>
      <c r="R469">
        <f t="shared" si="13"/>
        <v>12.940035356134841</v>
      </c>
      <c r="U469">
        <v>6106</v>
      </c>
      <c r="V469">
        <v>4443</v>
      </c>
      <c r="W469">
        <v>7769</v>
      </c>
      <c r="X469">
        <v>3587</v>
      </c>
      <c r="Y469">
        <v>63</v>
      </c>
      <c r="Z469">
        <v>57.2</v>
      </c>
      <c r="AA469">
        <v>68.8</v>
      </c>
    </row>
    <row r="470" spans="1:27" x14ac:dyDescent="0.25">
      <c r="A470" t="s">
        <v>228</v>
      </c>
      <c r="B470" t="s">
        <v>164</v>
      </c>
      <c r="C470" s="76">
        <v>43926</v>
      </c>
      <c r="D470">
        <v>39893</v>
      </c>
      <c r="E470">
        <v>30903</v>
      </c>
      <c r="F470">
        <v>48884</v>
      </c>
      <c r="G470">
        <v>39293</v>
      </c>
      <c r="H470">
        <v>50.4</v>
      </c>
      <c r="I470">
        <v>46.3</v>
      </c>
      <c r="J470">
        <v>54.5</v>
      </c>
      <c r="K470">
        <v>4810</v>
      </c>
      <c r="L470">
        <v>3590</v>
      </c>
      <c r="M470">
        <v>6031</v>
      </c>
      <c r="N470">
        <v>6.1</v>
      </c>
      <c r="O470">
        <v>4.8</v>
      </c>
      <c r="P470">
        <v>7.4</v>
      </c>
      <c r="Q470">
        <f t="shared" si="12"/>
        <v>39613493</v>
      </c>
      <c r="R470">
        <f t="shared" si="13"/>
        <v>12.142327363052786</v>
      </c>
      <c r="U470">
        <v>6851</v>
      </c>
      <c r="V470">
        <v>4378</v>
      </c>
      <c r="W470">
        <v>9325</v>
      </c>
      <c r="X470">
        <v>4359</v>
      </c>
      <c r="Y470">
        <v>61.1</v>
      </c>
      <c r="Z470">
        <v>53.5</v>
      </c>
      <c r="AA470">
        <v>68.7</v>
      </c>
    </row>
    <row r="471" spans="1:27" x14ac:dyDescent="0.25">
      <c r="A471" t="s">
        <v>228</v>
      </c>
      <c r="B471" t="s">
        <v>164</v>
      </c>
      <c r="C471" s="76">
        <v>43927</v>
      </c>
      <c r="D471">
        <v>40272</v>
      </c>
      <c r="E471">
        <v>31499</v>
      </c>
      <c r="F471">
        <v>49045</v>
      </c>
      <c r="G471">
        <v>39127</v>
      </c>
      <c r="H471">
        <v>50.7</v>
      </c>
      <c r="I471">
        <v>46.4</v>
      </c>
      <c r="J471">
        <v>55.1</v>
      </c>
      <c r="K471">
        <v>4708</v>
      </c>
      <c r="L471">
        <v>3585</v>
      </c>
      <c r="M471">
        <v>5830</v>
      </c>
      <c r="N471">
        <v>5.9</v>
      </c>
      <c r="O471">
        <v>4.7</v>
      </c>
      <c r="P471">
        <v>7.1</v>
      </c>
      <c r="Q471">
        <f t="shared" si="12"/>
        <v>39613493</v>
      </c>
      <c r="R471">
        <f t="shared" si="13"/>
        <v>11.884839339969338</v>
      </c>
      <c r="U471">
        <v>6577</v>
      </c>
      <c r="V471">
        <v>4336</v>
      </c>
      <c r="W471">
        <v>8818</v>
      </c>
      <c r="X471">
        <v>4442</v>
      </c>
      <c r="Y471">
        <v>59.7</v>
      </c>
      <c r="Z471">
        <v>53.1</v>
      </c>
      <c r="AA471">
        <v>66.3</v>
      </c>
    </row>
    <row r="472" spans="1:27" x14ac:dyDescent="0.25">
      <c r="A472" t="s">
        <v>228</v>
      </c>
      <c r="B472" t="s">
        <v>164</v>
      </c>
      <c r="C472" s="76">
        <v>43928</v>
      </c>
      <c r="D472">
        <v>40247</v>
      </c>
      <c r="E472">
        <v>32491</v>
      </c>
      <c r="F472">
        <v>48003</v>
      </c>
      <c r="G472">
        <v>34963</v>
      </c>
      <c r="H472">
        <v>53.5</v>
      </c>
      <c r="I472">
        <v>49.6</v>
      </c>
      <c r="J472">
        <v>57.4</v>
      </c>
      <c r="K472">
        <v>4848</v>
      </c>
      <c r="L472">
        <v>3548</v>
      </c>
      <c r="M472">
        <v>6148</v>
      </c>
      <c r="N472">
        <v>6.4</v>
      </c>
      <c r="O472">
        <v>5.0999999999999996</v>
      </c>
      <c r="P472">
        <v>7.8</v>
      </c>
      <c r="Q472">
        <f t="shared" si="12"/>
        <v>39613493</v>
      </c>
      <c r="R472">
        <f t="shared" si="13"/>
        <v>12.238254273613288</v>
      </c>
      <c r="U472">
        <v>6244</v>
      </c>
      <c r="V472">
        <v>4707</v>
      </c>
      <c r="W472">
        <v>7781</v>
      </c>
      <c r="X472">
        <v>3579</v>
      </c>
      <c r="Y472">
        <v>63.6</v>
      </c>
      <c r="Z472">
        <v>58.7</v>
      </c>
      <c r="AA472">
        <v>68.400000000000006</v>
      </c>
    </row>
    <row r="473" spans="1:27" x14ac:dyDescent="0.25">
      <c r="A473" t="s">
        <v>228</v>
      </c>
      <c r="B473" t="s">
        <v>164</v>
      </c>
      <c r="C473" s="76">
        <v>43929</v>
      </c>
      <c r="D473">
        <v>40522</v>
      </c>
      <c r="E473">
        <v>32774</v>
      </c>
      <c r="F473">
        <v>48271</v>
      </c>
      <c r="G473">
        <v>34868</v>
      </c>
      <c r="H473">
        <v>53.8</v>
      </c>
      <c r="I473">
        <v>49.9</v>
      </c>
      <c r="J473">
        <v>57.6</v>
      </c>
      <c r="K473">
        <v>4482</v>
      </c>
      <c r="L473">
        <v>3414</v>
      </c>
      <c r="M473">
        <v>5550</v>
      </c>
      <c r="N473">
        <v>5.9</v>
      </c>
      <c r="O473">
        <v>5</v>
      </c>
      <c r="P473">
        <v>6.9</v>
      </c>
      <c r="Q473">
        <f t="shared" si="12"/>
        <v>39613493</v>
      </c>
      <c r="R473">
        <f t="shared" si="13"/>
        <v>11.314326661372679</v>
      </c>
      <c r="U473">
        <v>6105</v>
      </c>
      <c r="V473">
        <v>4646</v>
      </c>
      <c r="W473">
        <v>7564</v>
      </c>
      <c r="X473">
        <v>3509</v>
      </c>
      <c r="Y473">
        <v>63.5</v>
      </c>
      <c r="Z473">
        <v>58.8</v>
      </c>
      <c r="AA473">
        <v>68.2</v>
      </c>
    </row>
    <row r="474" spans="1:27" x14ac:dyDescent="0.25">
      <c r="A474" t="s">
        <v>228</v>
      </c>
      <c r="B474" t="s">
        <v>164</v>
      </c>
      <c r="C474" s="76">
        <v>43930</v>
      </c>
      <c r="D474">
        <v>40318</v>
      </c>
      <c r="E474">
        <v>32619</v>
      </c>
      <c r="F474">
        <v>48018</v>
      </c>
      <c r="G474">
        <v>34255</v>
      </c>
      <c r="H474">
        <v>54.1</v>
      </c>
      <c r="I474">
        <v>50.2</v>
      </c>
      <c r="J474">
        <v>57.9</v>
      </c>
      <c r="K474">
        <v>4386</v>
      </c>
      <c r="L474">
        <v>3338</v>
      </c>
      <c r="M474">
        <v>5435</v>
      </c>
      <c r="N474">
        <v>5.9</v>
      </c>
      <c r="O474">
        <v>5</v>
      </c>
      <c r="P474">
        <v>6.8</v>
      </c>
      <c r="Q474">
        <f t="shared" si="12"/>
        <v>39613493</v>
      </c>
      <c r="R474">
        <f t="shared" si="13"/>
        <v>11.071984992588257</v>
      </c>
      <c r="U474">
        <v>5972</v>
      </c>
      <c r="V474">
        <v>4556</v>
      </c>
      <c r="W474">
        <v>7388</v>
      </c>
      <c r="X474">
        <v>3453</v>
      </c>
      <c r="Y474">
        <v>63.4</v>
      </c>
      <c r="Z474">
        <v>58.4</v>
      </c>
      <c r="AA474">
        <v>68.3</v>
      </c>
    </row>
    <row r="475" spans="1:27" x14ac:dyDescent="0.25">
      <c r="A475" t="s">
        <v>228</v>
      </c>
      <c r="B475" t="s">
        <v>164</v>
      </c>
      <c r="C475" s="76">
        <v>43931</v>
      </c>
      <c r="D475">
        <v>39779</v>
      </c>
      <c r="E475">
        <v>32371</v>
      </c>
      <c r="F475">
        <v>47188</v>
      </c>
      <c r="G475">
        <v>34680</v>
      </c>
      <c r="H475">
        <v>53.4</v>
      </c>
      <c r="I475">
        <v>49.7</v>
      </c>
      <c r="J475">
        <v>57.1</v>
      </c>
      <c r="K475">
        <v>4361</v>
      </c>
      <c r="L475">
        <v>3308</v>
      </c>
      <c r="M475">
        <v>5415</v>
      </c>
      <c r="N475">
        <v>5.9</v>
      </c>
      <c r="O475">
        <v>4.9000000000000004</v>
      </c>
      <c r="P475">
        <v>6.8</v>
      </c>
      <c r="Q475">
        <f t="shared" si="12"/>
        <v>39613493</v>
      </c>
      <c r="R475">
        <f t="shared" si="13"/>
        <v>11.00887518300898</v>
      </c>
      <c r="U475">
        <v>6092</v>
      </c>
      <c r="V475">
        <v>4696</v>
      </c>
      <c r="W475">
        <v>7489</v>
      </c>
      <c r="X475">
        <v>3454</v>
      </c>
      <c r="Y475">
        <v>63.8</v>
      </c>
      <c r="Z475">
        <v>59</v>
      </c>
      <c r="AA475">
        <v>68.7</v>
      </c>
    </row>
    <row r="476" spans="1:27" x14ac:dyDescent="0.25">
      <c r="A476" t="s">
        <v>228</v>
      </c>
      <c r="B476" t="s">
        <v>164</v>
      </c>
      <c r="C476" s="76">
        <v>43932</v>
      </c>
      <c r="D476">
        <v>38791</v>
      </c>
      <c r="E476">
        <v>31466</v>
      </c>
      <c r="F476">
        <v>46116</v>
      </c>
      <c r="G476">
        <v>35858</v>
      </c>
      <c r="H476">
        <v>52</v>
      </c>
      <c r="I476">
        <v>48.3</v>
      </c>
      <c r="J476">
        <v>55.6</v>
      </c>
      <c r="K476">
        <v>4300</v>
      </c>
      <c r="L476">
        <v>3227</v>
      </c>
      <c r="M476">
        <v>5373</v>
      </c>
      <c r="N476">
        <v>5.8</v>
      </c>
      <c r="O476">
        <v>4.8</v>
      </c>
      <c r="P476">
        <v>6.7</v>
      </c>
      <c r="Q476">
        <f t="shared" si="12"/>
        <v>39613493</v>
      </c>
      <c r="R476">
        <f t="shared" si="13"/>
        <v>10.854887247635546</v>
      </c>
      <c r="U476">
        <v>5960</v>
      </c>
      <c r="V476">
        <v>4594</v>
      </c>
      <c r="W476">
        <v>7326</v>
      </c>
      <c r="X476">
        <v>3464</v>
      </c>
      <c r="Y476">
        <v>63.2</v>
      </c>
      <c r="Z476">
        <v>58.6</v>
      </c>
      <c r="AA476">
        <v>67.900000000000006</v>
      </c>
    </row>
    <row r="477" spans="1:27" x14ac:dyDescent="0.25">
      <c r="A477" t="s">
        <v>228</v>
      </c>
      <c r="B477" t="s">
        <v>164</v>
      </c>
      <c r="C477" s="76">
        <v>43933</v>
      </c>
      <c r="D477">
        <v>39086</v>
      </c>
      <c r="E477">
        <v>31567</v>
      </c>
      <c r="F477">
        <v>46605</v>
      </c>
      <c r="G477">
        <v>34959</v>
      </c>
      <c r="H477">
        <v>52.8</v>
      </c>
      <c r="I477">
        <v>49.2</v>
      </c>
      <c r="J477">
        <v>56.4</v>
      </c>
      <c r="K477">
        <v>4407</v>
      </c>
      <c r="L477">
        <v>3268</v>
      </c>
      <c r="M477">
        <v>5547</v>
      </c>
      <c r="N477">
        <v>6</v>
      </c>
      <c r="O477">
        <v>4.9000000000000004</v>
      </c>
      <c r="P477">
        <v>7</v>
      </c>
      <c r="Q477">
        <f t="shared" si="12"/>
        <v>39613493</v>
      </c>
      <c r="R477">
        <f t="shared" si="13"/>
        <v>11.124997232634851</v>
      </c>
      <c r="U477">
        <v>5931</v>
      </c>
      <c r="V477">
        <v>4533</v>
      </c>
      <c r="W477">
        <v>7329</v>
      </c>
      <c r="X477">
        <v>3494</v>
      </c>
      <c r="Y477">
        <v>62.9</v>
      </c>
      <c r="Z477">
        <v>58.2</v>
      </c>
      <c r="AA477">
        <v>67.599999999999994</v>
      </c>
    </row>
    <row r="478" spans="1:27" x14ac:dyDescent="0.25">
      <c r="A478" t="s">
        <v>228</v>
      </c>
      <c r="B478" t="s">
        <v>164</v>
      </c>
      <c r="C478" s="76">
        <v>43934</v>
      </c>
      <c r="D478">
        <v>39922</v>
      </c>
      <c r="E478">
        <v>32512</v>
      </c>
      <c r="F478">
        <v>47332</v>
      </c>
      <c r="G478">
        <v>36215</v>
      </c>
      <c r="H478">
        <v>52.4</v>
      </c>
      <c r="I478">
        <v>49</v>
      </c>
      <c r="J478">
        <v>55.8</v>
      </c>
      <c r="K478">
        <v>4685</v>
      </c>
      <c r="L478">
        <v>3482</v>
      </c>
      <c r="M478">
        <v>5887</v>
      </c>
      <c r="N478">
        <v>6.2</v>
      </c>
      <c r="O478">
        <v>5</v>
      </c>
      <c r="P478">
        <v>7.3</v>
      </c>
      <c r="Q478">
        <f t="shared" si="12"/>
        <v>39613493</v>
      </c>
      <c r="R478">
        <f t="shared" si="13"/>
        <v>11.826778315156403</v>
      </c>
      <c r="U478">
        <v>5968</v>
      </c>
      <c r="V478">
        <v>4657</v>
      </c>
      <c r="W478">
        <v>7279</v>
      </c>
      <c r="X478">
        <v>3468</v>
      </c>
      <c r="Y478">
        <v>63.2</v>
      </c>
      <c r="Z478">
        <v>58.8</v>
      </c>
      <c r="AA478">
        <v>67.7</v>
      </c>
    </row>
    <row r="479" spans="1:27" x14ac:dyDescent="0.25">
      <c r="A479" t="s">
        <v>228</v>
      </c>
      <c r="B479" t="s">
        <v>164</v>
      </c>
      <c r="C479" s="76">
        <v>43935</v>
      </c>
      <c r="D479">
        <v>41585</v>
      </c>
      <c r="E479">
        <v>34101</v>
      </c>
      <c r="F479">
        <v>49068</v>
      </c>
      <c r="G479">
        <v>35408</v>
      </c>
      <c r="H479">
        <v>54</v>
      </c>
      <c r="I479">
        <v>50.6</v>
      </c>
      <c r="J479">
        <v>57.4</v>
      </c>
      <c r="K479">
        <v>4777</v>
      </c>
      <c r="L479">
        <v>3604</v>
      </c>
      <c r="M479">
        <v>5949</v>
      </c>
      <c r="N479">
        <v>6.2</v>
      </c>
      <c r="O479">
        <v>5.0999999999999996</v>
      </c>
      <c r="P479">
        <v>7.3</v>
      </c>
      <c r="Q479">
        <f t="shared" si="12"/>
        <v>39613493</v>
      </c>
      <c r="R479">
        <f t="shared" si="13"/>
        <v>12.05902241440814</v>
      </c>
      <c r="U479">
        <v>6248</v>
      </c>
      <c r="V479">
        <v>4900</v>
      </c>
      <c r="W479">
        <v>7597</v>
      </c>
      <c r="X479">
        <v>3371</v>
      </c>
      <c r="Y479">
        <v>65</v>
      </c>
      <c r="Z479">
        <v>60.4</v>
      </c>
      <c r="AA479">
        <v>69.5</v>
      </c>
    </row>
    <row r="480" spans="1:27" x14ac:dyDescent="0.25">
      <c r="A480" t="s">
        <v>228</v>
      </c>
      <c r="B480" t="s">
        <v>164</v>
      </c>
      <c r="C480" s="76">
        <v>43936</v>
      </c>
      <c r="D480">
        <v>40967</v>
      </c>
      <c r="E480">
        <v>33689</v>
      </c>
      <c r="F480">
        <v>48245</v>
      </c>
      <c r="G480">
        <v>35862</v>
      </c>
      <c r="H480">
        <v>53.3</v>
      </c>
      <c r="I480">
        <v>49.9</v>
      </c>
      <c r="J480">
        <v>56.8</v>
      </c>
      <c r="K480">
        <v>4824</v>
      </c>
      <c r="L480">
        <v>3706</v>
      </c>
      <c r="M480">
        <v>5942</v>
      </c>
      <c r="N480">
        <v>6.3</v>
      </c>
      <c r="O480">
        <v>5.3</v>
      </c>
      <c r="P480">
        <v>7.3</v>
      </c>
      <c r="Q480">
        <f t="shared" si="12"/>
        <v>39613493</v>
      </c>
      <c r="R480">
        <f t="shared" si="13"/>
        <v>12.177668856417181</v>
      </c>
      <c r="U480">
        <v>6302</v>
      </c>
      <c r="V480">
        <v>4973</v>
      </c>
      <c r="W480">
        <v>7632</v>
      </c>
      <c r="X480">
        <v>3486</v>
      </c>
      <c r="Y480">
        <v>64.400000000000006</v>
      </c>
      <c r="Z480">
        <v>59.6</v>
      </c>
      <c r="AA480">
        <v>69.099999999999994</v>
      </c>
    </row>
    <row r="481" spans="1:27" x14ac:dyDescent="0.25">
      <c r="A481" t="s">
        <v>228</v>
      </c>
      <c r="B481" t="s">
        <v>164</v>
      </c>
      <c r="C481" s="76">
        <v>43937</v>
      </c>
      <c r="D481">
        <v>40740</v>
      </c>
      <c r="E481">
        <v>33413</v>
      </c>
      <c r="F481">
        <v>48067</v>
      </c>
      <c r="G481">
        <v>36217</v>
      </c>
      <c r="H481">
        <v>52.9</v>
      </c>
      <c r="I481">
        <v>49.3</v>
      </c>
      <c r="J481">
        <v>56.5</v>
      </c>
      <c r="K481">
        <v>4808</v>
      </c>
      <c r="L481">
        <v>3685</v>
      </c>
      <c r="M481">
        <v>5931</v>
      </c>
      <c r="N481">
        <v>6.2</v>
      </c>
      <c r="O481">
        <v>5.2</v>
      </c>
      <c r="P481">
        <v>7.3</v>
      </c>
      <c r="Q481">
        <f t="shared" si="12"/>
        <v>39613493</v>
      </c>
      <c r="R481">
        <f t="shared" si="13"/>
        <v>12.137278578286443</v>
      </c>
      <c r="U481">
        <v>6328</v>
      </c>
      <c r="V481">
        <v>5002</v>
      </c>
      <c r="W481">
        <v>7654</v>
      </c>
      <c r="X481">
        <v>3502</v>
      </c>
      <c r="Y481">
        <v>64.400000000000006</v>
      </c>
      <c r="Z481">
        <v>59.9</v>
      </c>
      <c r="AA481">
        <v>68.900000000000006</v>
      </c>
    </row>
    <row r="482" spans="1:27" x14ac:dyDescent="0.25">
      <c r="A482" t="s">
        <v>228</v>
      </c>
      <c r="B482" t="s">
        <v>164</v>
      </c>
      <c r="C482" s="76">
        <v>43938</v>
      </c>
      <c r="D482">
        <v>41418</v>
      </c>
      <c r="E482">
        <v>34045</v>
      </c>
      <c r="F482">
        <v>48792</v>
      </c>
      <c r="G482">
        <v>34533</v>
      </c>
      <c r="H482">
        <v>54.5</v>
      </c>
      <c r="I482">
        <v>50.7</v>
      </c>
      <c r="J482">
        <v>58.4</v>
      </c>
      <c r="K482">
        <v>4859</v>
      </c>
      <c r="L482">
        <v>3744</v>
      </c>
      <c r="M482">
        <v>5974</v>
      </c>
      <c r="N482">
        <v>6.4</v>
      </c>
      <c r="O482">
        <v>5.4</v>
      </c>
      <c r="P482">
        <v>7.4</v>
      </c>
      <c r="Q482">
        <f t="shared" si="12"/>
        <v>39613493</v>
      </c>
      <c r="R482">
        <f t="shared" si="13"/>
        <v>12.266022589828168</v>
      </c>
      <c r="U482">
        <v>6395</v>
      </c>
      <c r="V482">
        <v>5095</v>
      </c>
      <c r="W482">
        <v>7695</v>
      </c>
      <c r="X482">
        <v>3554</v>
      </c>
      <c r="Y482">
        <v>64.3</v>
      </c>
      <c r="Z482">
        <v>59.9</v>
      </c>
      <c r="AA482">
        <v>68.7</v>
      </c>
    </row>
    <row r="483" spans="1:27" x14ac:dyDescent="0.25">
      <c r="A483" t="s">
        <v>228</v>
      </c>
      <c r="B483" t="s">
        <v>164</v>
      </c>
      <c r="C483" s="76">
        <v>43939</v>
      </c>
      <c r="D483">
        <v>40543</v>
      </c>
      <c r="E483">
        <v>33244</v>
      </c>
      <c r="F483">
        <v>47843</v>
      </c>
      <c r="G483">
        <v>34776</v>
      </c>
      <c r="H483">
        <v>53.8</v>
      </c>
      <c r="I483">
        <v>50.2</v>
      </c>
      <c r="J483">
        <v>57.5</v>
      </c>
      <c r="K483">
        <v>4740</v>
      </c>
      <c r="L483">
        <v>3586</v>
      </c>
      <c r="M483">
        <v>5895</v>
      </c>
      <c r="N483">
        <v>6.3</v>
      </c>
      <c r="O483">
        <v>5.2</v>
      </c>
      <c r="P483">
        <v>7.4</v>
      </c>
      <c r="Q483">
        <f t="shared" si="12"/>
        <v>39613493</v>
      </c>
      <c r="R483">
        <f t="shared" si="13"/>
        <v>11.965619896230812</v>
      </c>
      <c r="U483">
        <v>6216</v>
      </c>
      <c r="V483">
        <v>4900</v>
      </c>
      <c r="W483">
        <v>7533</v>
      </c>
      <c r="X483">
        <v>3690</v>
      </c>
      <c r="Y483">
        <v>62.8</v>
      </c>
      <c r="Z483">
        <v>57.9</v>
      </c>
      <c r="AA483">
        <v>67.599999999999994</v>
      </c>
    </row>
    <row r="484" spans="1:27" x14ac:dyDescent="0.25">
      <c r="A484" t="s">
        <v>228</v>
      </c>
      <c r="B484" t="s">
        <v>164</v>
      </c>
      <c r="C484" s="76">
        <v>43940</v>
      </c>
      <c r="D484">
        <v>38547</v>
      </c>
      <c r="E484">
        <v>31921</v>
      </c>
      <c r="F484">
        <v>45173</v>
      </c>
      <c r="G484">
        <v>34688</v>
      </c>
      <c r="H484">
        <v>52.6</v>
      </c>
      <c r="I484">
        <v>49.3</v>
      </c>
      <c r="J484">
        <v>56</v>
      </c>
      <c r="K484">
        <v>4768</v>
      </c>
      <c r="L484">
        <v>3583</v>
      </c>
      <c r="M484">
        <v>5954</v>
      </c>
      <c r="N484">
        <v>6.5</v>
      </c>
      <c r="O484">
        <v>5.3</v>
      </c>
      <c r="P484">
        <v>7.7</v>
      </c>
      <c r="Q484">
        <f t="shared" si="12"/>
        <v>39613493</v>
      </c>
      <c r="R484">
        <f t="shared" si="13"/>
        <v>12.036302882959601</v>
      </c>
      <c r="U484">
        <v>5798</v>
      </c>
      <c r="V484">
        <v>4600</v>
      </c>
      <c r="W484">
        <v>6996</v>
      </c>
      <c r="X484">
        <v>3579</v>
      </c>
      <c r="Y484">
        <v>61.8</v>
      </c>
      <c r="Z484">
        <v>57.2</v>
      </c>
      <c r="AA484">
        <v>66.400000000000006</v>
      </c>
    </row>
    <row r="485" spans="1:27" x14ac:dyDescent="0.25">
      <c r="A485" t="s">
        <v>228</v>
      </c>
      <c r="B485" t="s">
        <v>164</v>
      </c>
      <c r="C485" s="76">
        <v>43941</v>
      </c>
      <c r="D485">
        <v>38449</v>
      </c>
      <c r="E485">
        <v>31870</v>
      </c>
      <c r="F485">
        <v>45028</v>
      </c>
      <c r="G485">
        <v>33457</v>
      </c>
      <c r="H485">
        <v>53.5</v>
      </c>
      <c r="I485">
        <v>50</v>
      </c>
      <c r="J485">
        <v>56.9</v>
      </c>
      <c r="K485">
        <v>4597</v>
      </c>
      <c r="L485">
        <v>3513</v>
      </c>
      <c r="M485">
        <v>5682</v>
      </c>
      <c r="N485">
        <v>6.4</v>
      </c>
      <c r="O485">
        <v>5.3</v>
      </c>
      <c r="P485">
        <v>7.5</v>
      </c>
      <c r="Q485">
        <f t="shared" si="12"/>
        <v>39613493</v>
      </c>
      <c r="R485">
        <f t="shared" si="13"/>
        <v>11.604631785437352</v>
      </c>
      <c r="U485">
        <v>5592</v>
      </c>
      <c r="V485">
        <v>4460</v>
      </c>
      <c r="W485">
        <v>6724</v>
      </c>
      <c r="X485">
        <v>3637</v>
      </c>
      <c r="Y485">
        <v>60.6</v>
      </c>
      <c r="Z485">
        <v>56</v>
      </c>
      <c r="AA485">
        <v>65.2</v>
      </c>
    </row>
    <row r="486" spans="1:27" x14ac:dyDescent="0.25">
      <c r="A486" t="s">
        <v>228</v>
      </c>
      <c r="B486" t="s">
        <v>164</v>
      </c>
      <c r="C486" s="76">
        <v>43942</v>
      </c>
      <c r="D486">
        <v>39108</v>
      </c>
      <c r="E486">
        <v>32299</v>
      </c>
      <c r="F486">
        <v>45918</v>
      </c>
      <c r="G486">
        <v>31959</v>
      </c>
      <c r="H486">
        <v>55</v>
      </c>
      <c r="I486">
        <v>51.7</v>
      </c>
      <c r="J486">
        <v>58.3</v>
      </c>
      <c r="K486">
        <v>4700</v>
      </c>
      <c r="L486">
        <v>3580</v>
      </c>
      <c r="M486">
        <v>5821</v>
      </c>
      <c r="N486">
        <v>6.6</v>
      </c>
      <c r="O486">
        <v>5.5</v>
      </c>
      <c r="P486">
        <v>7.8</v>
      </c>
      <c r="Q486">
        <f t="shared" si="12"/>
        <v>39613493</v>
      </c>
      <c r="R486">
        <f t="shared" si="13"/>
        <v>11.864644200903969</v>
      </c>
      <c r="U486">
        <v>5785</v>
      </c>
      <c r="V486">
        <v>4560</v>
      </c>
      <c r="W486">
        <v>7009</v>
      </c>
      <c r="X486">
        <v>3965</v>
      </c>
      <c r="Y486">
        <v>59.3</v>
      </c>
      <c r="Z486">
        <v>54.2</v>
      </c>
      <c r="AA486">
        <v>64.400000000000006</v>
      </c>
    </row>
    <row r="487" spans="1:27" x14ac:dyDescent="0.25">
      <c r="A487" t="s">
        <v>228</v>
      </c>
      <c r="B487" t="s">
        <v>164</v>
      </c>
      <c r="C487" s="76">
        <v>43943</v>
      </c>
      <c r="D487">
        <v>38973</v>
      </c>
      <c r="E487">
        <v>32159</v>
      </c>
      <c r="F487">
        <v>45786</v>
      </c>
      <c r="G487">
        <v>32240</v>
      </c>
      <c r="H487">
        <v>54.7</v>
      </c>
      <c r="I487">
        <v>51.1</v>
      </c>
      <c r="J487">
        <v>58.3</v>
      </c>
      <c r="K487">
        <v>4725</v>
      </c>
      <c r="L487">
        <v>3611</v>
      </c>
      <c r="M487">
        <v>5839</v>
      </c>
      <c r="N487">
        <v>6.6</v>
      </c>
      <c r="O487">
        <v>5.5</v>
      </c>
      <c r="P487">
        <v>7.8</v>
      </c>
      <c r="Q487">
        <f t="shared" ref="Q487:Q550" si="14">VLOOKUP(B487,$AE$4:$AF$55,2,FALSE)</f>
        <v>39613493</v>
      </c>
      <c r="R487">
        <f t="shared" si="13"/>
        <v>11.927754010483246</v>
      </c>
      <c r="U487">
        <v>5879</v>
      </c>
      <c r="V487">
        <v>4633</v>
      </c>
      <c r="W487">
        <v>7124</v>
      </c>
      <c r="X487">
        <v>3975</v>
      </c>
      <c r="Y487">
        <v>59.7</v>
      </c>
      <c r="Z487">
        <v>54.3</v>
      </c>
      <c r="AA487">
        <v>65</v>
      </c>
    </row>
    <row r="488" spans="1:27" x14ac:dyDescent="0.25">
      <c r="A488" t="s">
        <v>228</v>
      </c>
      <c r="B488" t="s">
        <v>164</v>
      </c>
      <c r="C488" s="76">
        <v>43944</v>
      </c>
      <c r="D488">
        <v>42142</v>
      </c>
      <c r="E488">
        <v>36273</v>
      </c>
      <c r="F488">
        <v>48010</v>
      </c>
      <c r="G488">
        <v>31659</v>
      </c>
      <c r="H488">
        <v>57.1</v>
      </c>
      <c r="I488">
        <v>54.6</v>
      </c>
      <c r="J488">
        <v>59.6</v>
      </c>
      <c r="K488">
        <v>5029</v>
      </c>
      <c r="L488">
        <v>4120</v>
      </c>
      <c r="M488">
        <v>5938</v>
      </c>
      <c r="N488">
        <v>6.8</v>
      </c>
      <c r="O488">
        <v>5.9</v>
      </c>
      <c r="P488">
        <v>7.7</v>
      </c>
      <c r="Q488">
        <f t="shared" si="14"/>
        <v>39613493</v>
      </c>
      <c r="R488">
        <f t="shared" si="13"/>
        <v>12.695169294967249</v>
      </c>
      <c r="U488">
        <v>6900</v>
      </c>
      <c r="V488">
        <v>5597</v>
      </c>
      <c r="W488">
        <v>8203</v>
      </c>
      <c r="X488">
        <v>4286</v>
      </c>
      <c r="Y488">
        <v>61.7</v>
      </c>
      <c r="Z488">
        <v>57.7</v>
      </c>
      <c r="AA488">
        <v>65.7</v>
      </c>
    </row>
    <row r="489" spans="1:27" x14ac:dyDescent="0.25">
      <c r="A489" t="s">
        <v>228</v>
      </c>
      <c r="B489" t="s">
        <v>164</v>
      </c>
      <c r="C489" s="76">
        <v>43945</v>
      </c>
      <c r="D489">
        <v>42305</v>
      </c>
      <c r="E489">
        <v>36419</v>
      </c>
      <c r="F489">
        <v>48192</v>
      </c>
      <c r="G489">
        <v>31136</v>
      </c>
      <c r="H489">
        <v>57.6</v>
      </c>
      <c r="I489">
        <v>55.1</v>
      </c>
      <c r="J489">
        <v>60.2</v>
      </c>
      <c r="K489">
        <v>5177</v>
      </c>
      <c r="L489">
        <v>4244</v>
      </c>
      <c r="M489">
        <v>6109</v>
      </c>
      <c r="N489">
        <v>7</v>
      </c>
      <c r="O489">
        <v>6.1</v>
      </c>
      <c r="P489">
        <v>8</v>
      </c>
      <c r="Q489">
        <f t="shared" si="14"/>
        <v>39613493</v>
      </c>
      <c r="R489">
        <f t="shared" si="13"/>
        <v>13.068779367676562</v>
      </c>
      <c r="U489">
        <v>6888</v>
      </c>
      <c r="V489">
        <v>5590</v>
      </c>
      <c r="W489">
        <v>8187</v>
      </c>
      <c r="X489">
        <v>4569</v>
      </c>
      <c r="Y489">
        <v>60.1</v>
      </c>
      <c r="Z489">
        <v>56.3</v>
      </c>
      <c r="AA489">
        <v>64</v>
      </c>
    </row>
    <row r="490" spans="1:27" x14ac:dyDescent="0.25">
      <c r="A490" t="s">
        <v>228</v>
      </c>
      <c r="B490" t="s">
        <v>164</v>
      </c>
      <c r="C490" s="76">
        <v>43946</v>
      </c>
      <c r="D490">
        <v>42128</v>
      </c>
      <c r="E490">
        <v>36337</v>
      </c>
      <c r="F490">
        <v>47919</v>
      </c>
      <c r="G490">
        <v>31092</v>
      </c>
      <c r="H490">
        <v>57.5</v>
      </c>
      <c r="I490">
        <v>55.1</v>
      </c>
      <c r="J490">
        <v>60</v>
      </c>
      <c r="K490">
        <v>5114</v>
      </c>
      <c r="L490">
        <v>4225</v>
      </c>
      <c r="M490">
        <v>6003</v>
      </c>
      <c r="N490">
        <v>7</v>
      </c>
      <c r="O490">
        <v>6.1</v>
      </c>
      <c r="P490">
        <v>7.9</v>
      </c>
      <c r="Q490">
        <f t="shared" si="14"/>
        <v>39613493</v>
      </c>
      <c r="R490">
        <f t="shared" si="13"/>
        <v>12.909742647536788</v>
      </c>
      <c r="U490">
        <v>6872</v>
      </c>
      <c r="V490">
        <v>5603</v>
      </c>
      <c r="W490">
        <v>8141</v>
      </c>
      <c r="X490">
        <v>4767</v>
      </c>
      <c r="Y490">
        <v>59</v>
      </c>
      <c r="Z490">
        <v>55.1</v>
      </c>
      <c r="AA490">
        <v>63</v>
      </c>
    </row>
    <row r="491" spans="1:27" x14ac:dyDescent="0.25">
      <c r="A491" t="s">
        <v>228</v>
      </c>
      <c r="B491" t="s">
        <v>164</v>
      </c>
      <c r="C491" s="76">
        <v>43947</v>
      </c>
      <c r="D491">
        <v>41859</v>
      </c>
      <c r="E491">
        <v>36118</v>
      </c>
      <c r="F491">
        <v>47601</v>
      </c>
      <c r="G491">
        <v>31065</v>
      </c>
      <c r="H491">
        <v>57.4</v>
      </c>
      <c r="I491">
        <v>54.9</v>
      </c>
      <c r="J491">
        <v>59.9</v>
      </c>
      <c r="K491">
        <v>5161</v>
      </c>
      <c r="L491">
        <v>4245</v>
      </c>
      <c r="M491">
        <v>6076</v>
      </c>
      <c r="N491">
        <v>7.1</v>
      </c>
      <c r="O491">
        <v>6.1</v>
      </c>
      <c r="P491">
        <v>8</v>
      </c>
      <c r="Q491">
        <f t="shared" si="14"/>
        <v>39613493</v>
      </c>
      <c r="R491">
        <f t="shared" si="13"/>
        <v>13.028389089545826</v>
      </c>
      <c r="U491">
        <v>6868</v>
      </c>
      <c r="V491">
        <v>5609</v>
      </c>
      <c r="W491">
        <v>8127</v>
      </c>
      <c r="X491">
        <v>4687</v>
      </c>
      <c r="Y491">
        <v>59.4</v>
      </c>
      <c r="Z491">
        <v>55.6</v>
      </c>
      <c r="AA491">
        <v>63.3</v>
      </c>
    </row>
    <row r="492" spans="1:27" x14ac:dyDescent="0.25">
      <c r="A492" t="s">
        <v>228</v>
      </c>
      <c r="B492" t="s">
        <v>164</v>
      </c>
      <c r="C492" s="76">
        <v>43948</v>
      </c>
      <c r="D492">
        <v>42096</v>
      </c>
      <c r="E492">
        <v>36402</v>
      </c>
      <c r="F492">
        <v>47789</v>
      </c>
      <c r="G492">
        <v>30669</v>
      </c>
      <c r="H492">
        <v>57.8</v>
      </c>
      <c r="I492">
        <v>55.5</v>
      </c>
      <c r="J492">
        <v>60.2</v>
      </c>
      <c r="K492">
        <v>5199</v>
      </c>
      <c r="L492">
        <v>4266</v>
      </c>
      <c r="M492">
        <v>6131</v>
      </c>
      <c r="N492">
        <v>7.1</v>
      </c>
      <c r="O492">
        <v>6.2</v>
      </c>
      <c r="P492">
        <v>8.1</v>
      </c>
      <c r="Q492">
        <f t="shared" si="14"/>
        <v>39613493</v>
      </c>
      <c r="R492">
        <f t="shared" si="13"/>
        <v>13.124316000106328</v>
      </c>
      <c r="U492">
        <v>6710</v>
      </c>
      <c r="V492">
        <v>5475</v>
      </c>
      <c r="W492">
        <v>7944</v>
      </c>
      <c r="X492">
        <v>4503</v>
      </c>
      <c r="Y492">
        <v>59.8</v>
      </c>
      <c r="Z492">
        <v>55.9</v>
      </c>
      <c r="AA492">
        <v>63.7</v>
      </c>
    </row>
    <row r="493" spans="1:27" x14ac:dyDescent="0.25">
      <c r="A493" t="s">
        <v>228</v>
      </c>
      <c r="B493" t="s">
        <v>164</v>
      </c>
      <c r="C493" s="76">
        <v>43949</v>
      </c>
      <c r="D493">
        <v>42893</v>
      </c>
      <c r="E493">
        <v>36898</v>
      </c>
      <c r="F493">
        <v>48889</v>
      </c>
      <c r="G493">
        <v>29516</v>
      </c>
      <c r="H493">
        <v>59.2</v>
      </c>
      <c r="I493">
        <v>56.7</v>
      </c>
      <c r="J493">
        <v>61.8</v>
      </c>
      <c r="K493">
        <v>5547</v>
      </c>
      <c r="L493">
        <v>4486</v>
      </c>
      <c r="M493">
        <v>6609</v>
      </c>
      <c r="N493">
        <v>7.7</v>
      </c>
      <c r="O493">
        <v>6.6</v>
      </c>
      <c r="P493">
        <v>8.8000000000000007</v>
      </c>
      <c r="Q493">
        <f t="shared" si="14"/>
        <v>39613493</v>
      </c>
      <c r="R493">
        <f t="shared" si="13"/>
        <v>14.002804549449854</v>
      </c>
      <c r="U493">
        <v>6599</v>
      </c>
      <c r="V493">
        <v>5414</v>
      </c>
      <c r="W493">
        <v>7785</v>
      </c>
      <c r="X493">
        <v>4424</v>
      </c>
      <c r="Y493">
        <v>59.9</v>
      </c>
      <c r="Z493">
        <v>56</v>
      </c>
      <c r="AA493">
        <v>63.8</v>
      </c>
    </row>
    <row r="494" spans="1:27" x14ac:dyDescent="0.25">
      <c r="A494" t="s">
        <v>228</v>
      </c>
      <c r="B494" t="s">
        <v>164</v>
      </c>
      <c r="C494" s="76">
        <v>43950</v>
      </c>
      <c r="D494">
        <v>42918</v>
      </c>
      <c r="E494">
        <v>36993</v>
      </c>
      <c r="F494">
        <v>48842</v>
      </c>
      <c r="G494">
        <v>29266</v>
      </c>
      <c r="H494">
        <v>59.5</v>
      </c>
      <c r="I494">
        <v>56.9</v>
      </c>
      <c r="J494">
        <v>62</v>
      </c>
      <c r="K494">
        <v>5215</v>
      </c>
      <c r="L494">
        <v>4253</v>
      </c>
      <c r="M494">
        <v>6177</v>
      </c>
      <c r="N494">
        <v>7.2</v>
      </c>
      <c r="O494">
        <v>6.3</v>
      </c>
      <c r="P494">
        <v>8.1999999999999993</v>
      </c>
      <c r="Q494">
        <f t="shared" si="14"/>
        <v>39613493</v>
      </c>
      <c r="R494">
        <f t="shared" si="13"/>
        <v>13.164706278237064</v>
      </c>
      <c r="U494">
        <v>6579</v>
      </c>
      <c r="V494">
        <v>5415</v>
      </c>
      <c r="W494">
        <v>7743</v>
      </c>
      <c r="X494">
        <v>4255</v>
      </c>
      <c r="Y494">
        <v>60.7</v>
      </c>
      <c r="Z494">
        <v>56.9</v>
      </c>
      <c r="AA494">
        <v>64.5</v>
      </c>
    </row>
    <row r="495" spans="1:27" x14ac:dyDescent="0.25">
      <c r="A495" t="s">
        <v>228</v>
      </c>
      <c r="B495" t="s">
        <v>164</v>
      </c>
      <c r="C495" s="76">
        <v>43951</v>
      </c>
      <c r="D495">
        <v>42682</v>
      </c>
      <c r="E495">
        <v>36719</v>
      </c>
      <c r="F495">
        <v>48646</v>
      </c>
      <c r="G495">
        <v>30022</v>
      </c>
      <c r="H495">
        <v>58.7</v>
      </c>
      <c r="I495">
        <v>56.1</v>
      </c>
      <c r="J495">
        <v>61.3</v>
      </c>
      <c r="K495">
        <v>5083</v>
      </c>
      <c r="L495">
        <v>4154</v>
      </c>
      <c r="M495">
        <v>6012</v>
      </c>
      <c r="N495">
        <v>7</v>
      </c>
      <c r="O495">
        <v>6.1</v>
      </c>
      <c r="P495">
        <v>7.9</v>
      </c>
      <c r="Q495">
        <f t="shared" si="14"/>
        <v>39613493</v>
      </c>
      <c r="R495">
        <f t="shared" si="13"/>
        <v>12.831486483658484</v>
      </c>
      <c r="U495">
        <v>6668</v>
      </c>
      <c r="V495">
        <v>5475</v>
      </c>
      <c r="W495">
        <v>7861</v>
      </c>
      <c r="X495">
        <v>4263</v>
      </c>
      <c r="Y495">
        <v>61</v>
      </c>
      <c r="Z495">
        <v>57.2</v>
      </c>
      <c r="AA495">
        <v>64.8</v>
      </c>
    </row>
    <row r="496" spans="1:27" x14ac:dyDescent="0.25">
      <c r="A496" t="s">
        <v>228</v>
      </c>
      <c r="B496" t="s">
        <v>164</v>
      </c>
      <c r="C496" s="76">
        <v>43952</v>
      </c>
      <c r="D496">
        <v>42779</v>
      </c>
      <c r="E496">
        <v>36817</v>
      </c>
      <c r="F496">
        <v>48741</v>
      </c>
      <c r="G496">
        <v>30767</v>
      </c>
      <c r="H496">
        <v>58.2</v>
      </c>
      <c r="I496">
        <v>55.6</v>
      </c>
      <c r="J496">
        <v>60.7</v>
      </c>
      <c r="K496">
        <v>5095</v>
      </c>
      <c r="L496">
        <v>4170</v>
      </c>
      <c r="M496">
        <v>6020</v>
      </c>
      <c r="N496">
        <v>6.9</v>
      </c>
      <c r="O496">
        <v>6</v>
      </c>
      <c r="P496">
        <v>7.8</v>
      </c>
      <c r="Q496">
        <f t="shared" si="14"/>
        <v>39613493</v>
      </c>
      <c r="R496">
        <f t="shared" si="13"/>
        <v>12.861779192256536</v>
      </c>
      <c r="U496">
        <v>6757</v>
      </c>
      <c r="V496">
        <v>5546</v>
      </c>
      <c r="W496">
        <v>7968</v>
      </c>
      <c r="X496">
        <v>4344</v>
      </c>
      <c r="Y496">
        <v>60.9</v>
      </c>
      <c r="Z496">
        <v>56.8</v>
      </c>
      <c r="AA496">
        <v>64.900000000000006</v>
      </c>
    </row>
    <row r="497" spans="1:27" x14ac:dyDescent="0.25">
      <c r="A497" t="s">
        <v>228</v>
      </c>
      <c r="B497" t="s">
        <v>164</v>
      </c>
      <c r="C497" s="76">
        <v>43953</v>
      </c>
      <c r="D497">
        <v>42080</v>
      </c>
      <c r="E497">
        <v>36162</v>
      </c>
      <c r="F497">
        <v>47998</v>
      </c>
      <c r="G497">
        <v>31910</v>
      </c>
      <c r="H497">
        <v>56.9</v>
      </c>
      <c r="I497">
        <v>54.3</v>
      </c>
      <c r="J497">
        <v>59.5</v>
      </c>
      <c r="K497">
        <v>5186</v>
      </c>
      <c r="L497">
        <v>4247</v>
      </c>
      <c r="M497">
        <v>6125</v>
      </c>
      <c r="N497">
        <v>7</v>
      </c>
      <c r="O497">
        <v>6.1</v>
      </c>
      <c r="P497">
        <v>7.9</v>
      </c>
      <c r="Q497">
        <f t="shared" si="14"/>
        <v>39613493</v>
      </c>
      <c r="R497">
        <f t="shared" si="13"/>
        <v>13.091498899125105</v>
      </c>
      <c r="U497">
        <v>6902</v>
      </c>
      <c r="V497">
        <v>5673</v>
      </c>
      <c r="W497">
        <v>8132</v>
      </c>
      <c r="X497">
        <v>4326</v>
      </c>
      <c r="Y497">
        <v>61.5</v>
      </c>
      <c r="Z497">
        <v>57.4</v>
      </c>
      <c r="AA497">
        <v>65.599999999999994</v>
      </c>
    </row>
    <row r="498" spans="1:27" x14ac:dyDescent="0.25">
      <c r="A498" t="s">
        <v>228</v>
      </c>
      <c r="B498" t="s">
        <v>164</v>
      </c>
      <c r="C498" s="76">
        <v>43954</v>
      </c>
      <c r="D498">
        <v>41089</v>
      </c>
      <c r="E498">
        <v>35316</v>
      </c>
      <c r="F498">
        <v>46862</v>
      </c>
      <c r="G498">
        <v>34552</v>
      </c>
      <c r="H498">
        <v>54.3</v>
      </c>
      <c r="I498">
        <v>51.9</v>
      </c>
      <c r="J498">
        <v>56.8</v>
      </c>
      <c r="K498">
        <v>4968</v>
      </c>
      <c r="L498">
        <v>4065</v>
      </c>
      <c r="M498">
        <v>5871</v>
      </c>
      <c r="N498">
        <v>6.6</v>
      </c>
      <c r="O498">
        <v>5.8</v>
      </c>
      <c r="P498">
        <v>7.4</v>
      </c>
      <c r="Q498">
        <f t="shared" si="14"/>
        <v>39613493</v>
      </c>
      <c r="R498">
        <f t="shared" si="13"/>
        <v>12.541181359593812</v>
      </c>
      <c r="U498">
        <v>6880</v>
      </c>
      <c r="V498">
        <v>5647</v>
      </c>
      <c r="W498">
        <v>8112</v>
      </c>
      <c r="X498">
        <v>4315</v>
      </c>
      <c r="Y498">
        <v>61.5</v>
      </c>
      <c r="Z498">
        <v>57.4</v>
      </c>
      <c r="AA498">
        <v>65.5</v>
      </c>
    </row>
    <row r="499" spans="1:27" x14ac:dyDescent="0.25">
      <c r="A499" t="s">
        <v>228</v>
      </c>
      <c r="B499" t="s">
        <v>164</v>
      </c>
      <c r="C499" s="76">
        <v>43955</v>
      </c>
      <c r="D499">
        <v>41205</v>
      </c>
      <c r="E499">
        <v>35693</v>
      </c>
      <c r="F499">
        <v>46717</v>
      </c>
      <c r="G499">
        <v>34781</v>
      </c>
      <c r="H499">
        <v>54.2</v>
      </c>
      <c r="I499">
        <v>51.9</v>
      </c>
      <c r="J499">
        <v>56.5</v>
      </c>
      <c r="K499">
        <v>4977</v>
      </c>
      <c r="L499">
        <v>4128</v>
      </c>
      <c r="M499">
        <v>5827</v>
      </c>
      <c r="N499">
        <v>6.6</v>
      </c>
      <c r="O499">
        <v>5.8</v>
      </c>
      <c r="P499">
        <v>7.3</v>
      </c>
      <c r="Q499">
        <f t="shared" si="14"/>
        <v>39613493</v>
      </c>
      <c r="R499">
        <f t="shared" si="13"/>
        <v>12.563900891042351</v>
      </c>
      <c r="U499">
        <v>7295</v>
      </c>
      <c r="V499">
        <v>6032</v>
      </c>
      <c r="W499">
        <v>8557</v>
      </c>
      <c r="X499">
        <v>4443</v>
      </c>
      <c r="Y499">
        <v>62.1</v>
      </c>
      <c r="Z499">
        <v>58.2</v>
      </c>
      <c r="AA499">
        <v>66.099999999999994</v>
      </c>
    </row>
    <row r="500" spans="1:27" x14ac:dyDescent="0.25">
      <c r="A500" t="s">
        <v>228</v>
      </c>
      <c r="B500" t="s">
        <v>164</v>
      </c>
      <c r="C500" s="76">
        <v>43956</v>
      </c>
      <c r="D500">
        <v>43245</v>
      </c>
      <c r="E500">
        <v>37580</v>
      </c>
      <c r="F500">
        <v>48911</v>
      </c>
      <c r="G500">
        <v>32418</v>
      </c>
      <c r="H500">
        <v>57.2</v>
      </c>
      <c r="I500">
        <v>54.8</v>
      </c>
      <c r="J500">
        <v>59.5</v>
      </c>
      <c r="K500">
        <v>4892</v>
      </c>
      <c r="L500">
        <v>4075</v>
      </c>
      <c r="M500">
        <v>5709</v>
      </c>
      <c r="N500">
        <v>6.5</v>
      </c>
      <c r="O500">
        <v>5.7</v>
      </c>
      <c r="P500">
        <v>7.2</v>
      </c>
      <c r="Q500">
        <f t="shared" si="14"/>
        <v>39613493</v>
      </c>
      <c r="R500">
        <f t="shared" si="13"/>
        <v>12.349327538472812</v>
      </c>
      <c r="U500">
        <v>7566</v>
      </c>
      <c r="V500">
        <v>6279</v>
      </c>
      <c r="W500">
        <v>8853</v>
      </c>
      <c r="X500">
        <v>4240</v>
      </c>
      <c r="Y500">
        <v>64.099999999999994</v>
      </c>
      <c r="Z500">
        <v>60.1</v>
      </c>
      <c r="AA500">
        <v>68.099999999999994</v>
      </c>
    </row>
    <row r="501" spans="1:27" x14ac:dyDescent="0.25">
      <c r="A501" t="s">
        <v>228</v>
      </c>
      <c r="B501" t="s">
        <v>164</v>
      </c>
      <c r="C501" s="76">
        <v>43957</v>
      </c>
      <c r="D501">
        <v>43727</v>
      </c>
      <c r="E501">
        <v>38000</v>
      </c>
      <c r="F501">
        <v>49454</v>
      </c>
      <c r="G501">
        <v>30904</v>
      </c>
      <c r="H501">
        <v>58.6</v>
      </c>
      <c r="I501">
        <v>56.2</v>
      </c>
      <c r="J501">
        <v>61</v>
      </c>
      <c r="K501">
        <v>4752</v>
      </c>
      <c r="L501">
        <v>3952</v>
      </c>
      <c r="M501">
        <v>5552</v>
      </c>
      <c r="N501">
        <v>6.4</v>
      </c>
      <c r="O501">
        <v>5.6</v>
      </c>
      <c r="P501">
        <v>7.1</v>
      </c>
      <c r="Q501">
        <f t="shared" si="14"/>
        <v>39613493</v>
      </c>
      <c r="R501">
        <f t="shared" si="13"/>
        <v>11.995912604828865</v>
      </c>
      <c r="U501">
        <v>7725</v>
      </c>
      <c r="V501">
        <v>6430</v>
      </c>
      <c r="W501">
        <v>9021</v>
      </c>
      <c r="X501">
        <v>4062</v>
      </c>
      <c r="Y501">
        <v>65.5</v>
      </c>
      <c r="Z501">
        <v>61.8</v>
      </c>
      <c r="AA501">
        <v>69.2</v>
      </c>
    </row>
    <row r="502" spans="1:27" x14ac:dyDescent="0.25">
      <c r="A502" t="s">
        <v>228</v>
      </c>
      <c r="B502" t="s">
        <v>164</v>
      </c>
      <c r="C502" s="76">
        <v>43958</v>
      </c>
      <c r="D502">
        <v>44037</v>
      </c>
      <c r="E502">
        <v>38484</v>
      </c>
      <c r="F502">
        <v>49589</v>
      </c>
      <c r="G502">
        <v>31551</v>
      </c>
      <c r="H502">
        <v>58.3</v>
      </c>
      <c r="I502">
        <v>56</v>
      </c>
      <c r="J502">
        <v>60.5</v>
      </c>
      <c r="K502">
        <v>4684</v>
      </c>
      <c r="L502">
        <v>3932</v>
      </c>
      <c r="M502">
        <v>5435</v>
      </c>
      <c r="N502">
        <v>6.2</v>
      </c>
      <c r="O502">
        <v>5.5</v>
      </c>
      <c r="P502">
        <v>6.9</v>
      </c>
      <c r="Q502">
        <f t="shared" si="14"/>
        <v>39613493</v>
      </c>
      <c r="R502">
        <f t="shared" si="13"/>
        <v>11.824253922773233</v>
      </c>
      <c r="U502">
        <v>7533</v>
      </c>
      <c r="V502">
        <v>6302</v>
      </c>
      <c r="W502">
        <v>8764</v>
      </c>
      <c r="X502">
        <v>4369</v>
      </c>
      <c r="Y502">
        <v>63.3</v>
      </c>
      <c r="Z502">
        <v>59.7</v>
      </c>
      <c r="AA502">
        <v>66.900000000000006</v>
      </c>
    </row>
    <row r="503" spans="1:27" x14ac:dyDescent="0.25">
      <c r="A503" t="s">
        <v>228</v>
      </c>
      <c r="B503" t="s">
        <v>164</v>
      </c>
      <c r="C503" s="76">
        <v>43959</v>
      </c>
      <c r="D503">
        <v>43968</v>
      </c>
      <c r="E503">
        <v>38439</v>
      </c>
      <c r="F503">
        <v>49496</v>
      </c>
      <c r="G503">
        <v>31436</v>
      </c>
      <c r="H503">
        <v>58.3</v>
      </c>
      <c r="I503">
        <v>56.1</v>
      </c>
      <c r="J503">
        <v>60.5</v>
      </c>
      <c r="K503">
        <v>4707</v>
      </c>
      <c r="L503">
        <v>3966</v>
      </c>
      <c r="M503">
        <v>5448</v>
      </c>
      <c r="N503">
        <v>6.2</v>
      </c>
      <c r="O503">
        <v>5.6</v>
      </c>
      <c r="P503">
        <v>6.9</v>
      </c>
      <c r="Q503">
        <f t="shared" si="14"/>
        <v>39613493</v>
      </c>
      <c r="R503">
        <f t="shared" si="13"/>
        <v>11.882314947586167</v>
      </c>
      <c r="U503">
        <v>7605</v>
      </c>
      <c r="V503">
        <v>6363</v>
      </c>
      <c r="W503">
        <v>8847</v>
      </c>
      <c r="X503">
        <v>4228</v>
      </c>
      <c r="Y503">
        <v>64.3</v>
      </c>
      <c r="Z503">
        <v>60.5</v>
      </c>
      <c r="AA503">
        <v>68</v>
      </c>
    </row>
    <row r="504" spans="1:27" x14ac:dyDescent="0.25">
      <c r="A504" t="s">
        <v>228</v>
      </c>
      <c r="B504" t="s">
        <v>164</v>
      </c>
      <c r="C504" s="76">
        <v>43960</v>
      </c>
      <c r="D504">
        <v>43509</v>
      </c>
      <c r="E504">
        <v>38056</v>
      </c>
      <c r="F504">
        <v>48961</v>
      </c>
      <c r="G504">
        <v>31845</v>
      </c>
      <c r="H504">
        <v>57.7</v>
      </c>
      <c r="I504">
        <v>55.6</v>
      </c>
      <c r="J504">
        <v>59.9</v>
      </c>
      <c r="K504">
        <v>4760</v>
      </c>
      <c r="L504">
        <v>4011</v>
      </c>
      <c r="M504">
        <v>5509</v>
      </c>
      <c r="N504">
        <v>6.3</v>
      </c>
      <c r="O504">
        <v>5.6</v>
      </c>
      <c r="P504">
        <v>7</v>
      </c>
      <c r="Q504">
        <f t="shared" si="14"/>
        <v>39613493</v>
      </c>
      <c r="R504">
        <f t="shared" si="13"/>
        <v>12.016107743894233</v>
      </c>
      <c r="U504">
        <v>7571</v>
      </c>
      <c r="V504">
        <v>6337</v>
      </c>
      <c r="W504">
        <v>8806</v>
      </c>
      <c r="X504">
        <v>4321</v>
      </c>
      <c r="Y504">
        <v>63.7</v>
      </c>
      <c r="Z504">
        <v>59.9</v>
      </c>
      <c r="AA504">
        <v>67.5</v>
      </c>
    </row>
    <row r="505" spans="1:27" x14ac:dyDescent="0.25">
      <c r="A505" t="s">
        <v>228</v>
      </c>
      <c r="B505" t="s">
        <v>164</v>
      </c>
      <c r="C505" s="76">
        <v>43961</v>
      </c>
      <c r="D505">
        <v>42434</v>
      </c>
      <c r="E505">
        <v>37118</v>
      </c>
      <c r="F505">
        <v>47750</v>
      </c>
      <c r="G505">
        <v>32721</v>
      </c>
      <c r="H505">
        <v>56.5</v>
      </c>
      <c r="I505">
        <v>54.3</v>
      </c>
      <c r="J505">
        <v>58.6</v>
      </c>
      <c r="K505">
        <v>4797</v>
      </c>
      <c r="L505">
        <v>4045</v>
      </c>
      <c r="M505">
        <v>5548</v>
      </c>
      <c r="N505">
        <v>6.4</v>
      </c>
      <c r="O505">
        <v>5.7</v>
      </c>
      <c r="P505">
        <v>7.1</v>
      </c>
      <c r="Q505">
        <f t="shared" si="14"/>
        <v>39613493</v>
      </c>
      <c r="R505">
        <f t="shared" si="13"/>
        <v>12.109510262071563</v>
      </c>
      <c r="U505">
        <v>7418</v>
      </c>
      <c r="V505">
        <v>6210</v>
      </c>
      <c r="W505">
        <v>8627</v>
      </c>
      <c r="X505">
        <v>4433</v>
      </c>
      <c r="Y505">
        <v>62.6</v>
      </c>
      <c r="Z505">
        <v>58.9</v>
      </c>
      <c r="AA505">
        <v>66.3</v>
      </c>
    </row>
    <row r="506" spans="1:27" x14ac:dyDescent="0.25">
      <c r="A506" t="s">
        <v>228</v>
      </c>
      <c r="B506" t="s">
        <v>164</v>
      </c>
      <c r="C506" s="76">
        <v>43962</v>
      </c>
      <c r="D506">
        <v>42168</v>
      </c>
      <c r="E506">
        <v>36889</v>
      </c>
      <c r="F506">
        <v>47446</v>
      </c>
      <c r="G506">
        <v>33012</v>
      </c>
      <c r="H506">
        <v>56.1</v>
      </c>
      <c r="I506">
        <v>54</v>
      </c>
      <c r="J506">
        <v>58.2</v>
      </c>
      <c r="K506">
        <v>4774</v>
      </c>
      <c r="L506">
        <v>4024</v>
      </c>
      <c r="M506">
        <v>5525</v>
      </c>
      <c r="N506">
        <v>6.4</v>
      </c>
      <c r="O506">
        <v>5.6</v>
      </c>
      <c r="P506">
        <v>7.1</v>
      </c>
      <c r="Q506">
        <f t="shared" si="14"/>
        <v>39613493</v>
      </c>
      <c r="R506">
        <f t="shared" si="13"/>
        <v>12.051449237258629</v>
      </c>
      <c r="U506">
        <v>7433</v>
      </c>
      <c r="V506">
        <v>6221</v>
      </c>
      <c r="W506">
        <v>8644</v>
      </c>
      <c r="X506">
        <v>4430</v>
      </c>
      <c r="Y506">
        <v>62.7</v>
      </c>
      <c r="Z506">
        <v>59.3</v>
      </c>
      <c r="AA506">
        <v>66</v>
      </c>
    </row>
    <row r="507" spans="1:27" x14ac:dyDescent="0.25">
      <c r="A507" t="s">
        <v>228</v>
      </c>
      <c r="B507" t="s">
        <v>164</v>
      </c>
      <c r="C507" s="76">
        <v>43963</v>
      </c>
      <c r="D507">
        <v>44358</v>
      </c>
      <c r="E507">
        <v>38823</v>
      </c>
      <c r="F507">
        <v>49893</v>
      </c>
      <c r="G507">
        <v>30975</v>
      </c>
      <c r="H507">
        <v>58.9</v>
      </c>
      <c r="I507">
        <v>56.8</v>
      </c>
      <c r="J507">
        <v>61</v>
      </c>
      <c r="K507">
        <v>4774</v>
      </c>
      <c r="L507">
        <v>4024</v>
      </c>
      <c r="M507">
        <v>5523</v>
      </c>
      <c r="N507">
        <v>6.3</v>
      </c>
      <c r="O507">
        <v>5.6</v>
      </c>
      <c r="P507">
        <v>7</v>
      </c>
      <c r="Q507">
        <f t="shared" si="14"/>
        <v>39613493</v>
      </c>
      <c r="R507">
        <f t="shared" si="13"/>
        <v>12.051449237258629</v>
      </c>
      <c r="U507">
        <v>7539</v>
      </c>
      <c r="V507">
        <v>6318</v>
      </c>
      <c r="W507">
        <v>8759</v>
      </c>
      <c r="X507">
        <v>4363</v>
      </c>
      <c r="Y507">
        <v>63.3</v>
      </c>
      <c r="Z507">
        <v>59.5</v>
      </c>
      <c r="AA507">
        <v>67.2</v>
      </c>
    </row>
    <row r="508" spans="1:27" x14ac:dyDescent="0.25">
      <c r="A508" t="s">
        <v>228</v>
      </c>
      <c r="B508" t="s">
        <v>164</v>
      </c>
      <c r="C508" s="76">
        <v>43964</v>
      </c>
      <c r="D508">
        <v>44812</v>
      </c>
      <c r="E508">
        <v>39246</v>
      </c>
      <c r="F508">
        <v>50379</v>
      </c>
      <c r="G508">
        <v>30331</v>
      </c>
      <c r="H508">
        <v>59.6</v>
      </c>
      <c r="I508">
        <v>57.5</v>
      </c>
      <c r="J508">
        <v>61.7</v>
      </c>
      <c r="K508">
        <v>4878</v>
      </c>
      <c r="L508">
        <v>4128</v>
      </c>
      <c r="M508">
        <v>5627</v>
      </c>
      <c r="N508">
        <v>6.5</v>
      </c>
      <c r="O508">
        <v>5.8</v>
      </c>
      <c r="P508">
        <v>7.2</v>
      </c>
      <c r="Q508">
        <f t="shared" si="14"/>
        <v>39613493</v>
      </c>
      <c r="R508">
        <f t="shared" si="13"/>
        <v>12.31398604510842</v>
      </c>
      <c r="U508">
        <v>7507</v>
      </c>
      <c r="V508">
        <v>6298</v>
      </c>
      <c r="W508">
        <v>8716</v>
      </c>
      <c r="X508">
        <v>4351</v>
      </c>
      <c r="Y508">
        <v>63.3</v>
      </c>
      <c r="Z508">
        <v>59.8</v>
      </c>
      <c r="AA508">
        <v>66.8</v>
      </c>
    </row>
    <row r="509" spans="1:27" x14ac:dyDescent="0.25">
      <c r="A509" t="s">
        <v>228</v>
      </c>
      <c r="B509" t="s">
        <v>164</v>
      </c>
      <c r="C509" s="76">
        <v>43965</v>
      </c>
      <c r="D509">
        <v>45026</v>
      </c>
      <c r="E509">
        <v>39421</v>
      </c>
      <c r="F509">
        <v>50631</v>
      </c>
      <c r="G509">
        <v>30305</v>
      </c>
      <c r="H509">
        <v>59.8</v>
      </c>
      <c r="I509">
        <v>57.6</v>
      </c>
      <c r="J509">
        <v>61.9</v>
      </c>
      <c r="K509">
        <v>4765</v>
      </c>
      <c r="L509">
        <v>4031</v>
      </c>
      <c r="M509">
        <v>5500</v>
      </c>
      <c r="N509">
        <v>6.3</v>
      </c>
      <c r="O509">
        <v>5.6</v>
      </c>
      <c r="P509">
        <v>7</v>
      </c>
      <c r="Q509">
        <f t="shared" si="14"/>
        <v>39613493</v>
      </c>
      <c r="R509">
        <f t="shared" si="13"/>
        <v>12.02872970581009</v>
      </c>
      <c r="U509">
        <v>7603</v>
      </c>
      <c r="V509">
        <v>6370</v>
      </c>
      <c r="W509">
        <v>8835</v>
      </c>
      <c r="X509">
        <v>4318</v>
      </c>
      <c r="Y509">
        <v>63.8</v>
      </c>
      <c r="Z509">
        <v>60.4</v>
      </c>
      <c r="AA509">
        <v>67.099999999999994</v>
      </c>
    </row>
    <row r="510" spans="1:27" x14ac:dyDescent="0.25">
      <c r="A510" t="s">
        <v>228</v>
      </c>
      <c r="B510" t="s">
        <v>164</v>
      </c>
      <c r="C510" s="76">
        <v>43966</v>
      </c>
      <c r="D510">
        <v>45002</v>
      </c>
      <c r="E510">
        <v>39364</v>
      </c>
      <c r="F510">
        <v>50641</v>
      </c>
      <c r="G510">
        <v>30433</v>
      </c>
      <c r="H510">
        <v>59.7</v>
      </c>
      <c r="I510">
        <v>57.4</v>
      </c>
      <c r="J510">
        <v>61.9</v>
      </c>
      <c r="K510">
        <v>4621</v>
      </c>
      <c r="L510">
        <v>3909</v>
      </c>
      <c r="M510">
        <v>5334</v>
      </c>
      <c r="N510">
        <v>6.1</v>
      </c>
      <c r="O510">
        <v>5.5</v>
      </c>
      <c r="P510">
        <v>6.8</v>
      </c>
      <c r="Q510">
        <f t="shared" si="14"/>
        <v>39613493</v>
      </c>
      <c r="R510">
        <f t="shared" si="13"/>
        <v>11.665217202633457</v>
      </c>
      <c r="U510">
        <v>7629</v>
      </c>
      <c r="V510">
        <v>6389</v>
      </c>
      <c r="W510">
        <v>8869</v>
      </c>
      <c r="X510">
        <v>4249</v>
      </c>
      <c r="Y510">
        <v>64.2</v>
      </c>
      <c r="Z510">
        <v>60.8</v>
      </c>
      <c r="AA510">
        <v>67.599999999999994</v>
      </c>
    </row>
    <row r="511" spans="1:27" x14ac:dyDescent="0.25">
      <c r="A511" t="s">
        <v>228</v>
      </c>
      <c r="B511" t="s">
        <v>164</v>
      </c>
      <c r="C511" s="76">
        <v>43967</v>
      </c>
      <c r="D511">
        <v>44115</v>
      </c>
      <c r="E511">
        <v>38579</v>
      </c>
      <c r="F511">
        <v>49652</v>
      </c>
      <c r="G511">
        <v>31383</v>
      </c>
      <c r="H511">
        <v>58.4</v>
      </c>
      <c r="I511">
        <v>56.2</v>
      </c>
      <c r="J511">
        <v>60.6</v>
      </c>
      <c r="K511">
        <v>4504</v>
      </c>
      <c r="L511">
        <v>3823</v>
      </c>
      <c r="M511">
        <v>5185</v>
      </c>
      <c r="N511">
        <v>6</v>
      </c>
      <c r="O511">
        <v>5.3</v>
      </c>
      <c r="P511">
        <v>6.6</v>
      </c>
      <c r="Q511">
        <f t="shared" si="14"/>
        <v>39613493</v>
      </c>
      <c r="R511">
        <f t="shared" si="13"/>
        <v>11.369863293802442</v>
      </c>
      <c r="U511">
        <v>7601</v>
      </c>
      <c r="V511">
        <v>6371</v>
      </c>
      <c r="W511">
        <v>8831</v>
      </c>
      <c r="X511">
        <v>4168</v>
      </c>
      <c r="Y511">
        <v>64.599999999999994</v>
      </c>
      <c r="Z511">
        <v>61.1</v>
      </c>
      <c r="AA511">
        <v>68.099999999999994</v>
      </c>
    </row>
    <row r="512" spans="1:27" x14ac:dyDescent="0.25">
      <c r="A512" t="s">
        <v>228</v>
      </c>
      <c r="B512" t="s">
        <v>164</v>
      </c>
      <c r="C512" s="76">
        <v>43968</v>
      </c>
      <c r="D512">
        <v>42957</v>
      </c>
      <c r="E512">
        <v>37573</v>
      </c>
      <c r="F512">
        <v>48340</v>
      </c>
      <c r="G512">
        <v>32269</v>
      </c>
      <c r="H512">
        <v>57.1</v>
      </c>
      <c r="I512">
        <v>55</v>
      </c>
      <c r="J512">
        <v>59.2</v>
      </c>
      <c r="K512">
        <v>4539</v>
      </c>
      <c r="L512">
        <v>3854</v>
      </c>
      <c r="M512">
        <v>5225</v>
      </c>
      <c r="N512">
        <v>6</v>
      </c>
      <c r="O512">
        <v>5.4</v>
      </c>
      <c r="P512">
        <v>6.7</v>
      </c>
      <c r="Q512">
        <f t="shared" si="14"/>
        <v>39613493</v>
      </c>
      <c r="R512">
        <f t="shared" si="13"/>
        <v>11.458217027213429</v>
      </c>
      <c r="U512">
        <v>7400</v>
      </c>
      <c r="V512">
        <v>6192</v>
      </c>
      <c r="W512">
        <v>8608</v>
      </c>
      <c r="X512">
        <v>4351</v>
      </c>
      <c r="Y512">
        <v>63</v>
      </c>
      <c r="Z512">
        <v>59.6</v>
      </c>
      <c r="AA512">
        <v>66.400000000000006</v>
      </c>
    </row>
    <row r="513" spans="1:27" x14ac:dyDescent="0.25">
      <c r="A513" t="s">
        <v>228</v>
      </c>
      <c r="B513" t="s">
        <v>164</v>
      </c>
      <c r="C513" s="76">
        <v>43969</v>
      </c>
      <c r="D513">
        <v>42989</v>
      </c>
      <c r="E513">
        <v>37584</v>
      </c>
      <c r="F513">
        <v>48394</v>
      </c>
      <c r="G513">
        <v>32244</v>
      </c>
      <c r="H513">
        <v>57.1</v>
      </c>
      <c r="I513">
        <v>54.9</v>
      </c>
      <c r="J513">
        <v>59.4</v>
      </c>
      <c r="K513">
        <v>4539</v>
      </c>
      <c r="L513">
        <v>3857</v>
      </c>
      <c r="M513">
        <v>5222</v>
      </c>
      <c r="N513">
        <v>6</v>
      </c>
      <c r="O513">
        <v>5.4</v>
      </c>
      <c r="P513">
        <v>6.7</v>
      </c>
      <c r="Q513">
        <f t="shared" si="14"/>
        <v>39613493</v>
      </c>
      <c r="R513">
        <f t="shared" si="13"/>
        <v>11.458217027213429</v>
      </c>
      <c r="U513">
        <v>7333</v>
      </c>
      <c r="V513">
        <v>6129</v>
      </c>
      <c r="W513">
        <v>8538</v>
      </c>
      <c r="X513">
        <v>4503</v>
      </c>
      <c r="Y513">
        <v>62</v>
      </c>
      <c r="Z513">
        <v>58.5</v>
      </c>
      <c r="AA513">
        <v>65.5</v>
      </c>
    </row>
    <row r="514" spans="1:27" x14ac:dyDescent="0.25">
      <c r="A514" t="s">
        <v>228</v>
      </c>
      <c r="B514" t="s">
        <v>164</v>
      </c>
      <c r="C514" s="76">
        <v>43970</v>
      </c>
      <c r="D514">
        <v>45010</v>
      </c>
      <c r="E514">
        <v>39354</v>
      </c>
      <c r="F514">
        <v>50665</v>
      </c>
      <c r="G514">
        <v>30338</v>
      </c>
      <c r="H514">
        <v>59.7</v>
      </c>
      <c r="I514">
        <v>57.4</v>
      </c>
      <c r="J514">
        <v>62.1</v>
      </c>
      <c r="K514">
        <v>4858</v>
      </c>
      <c r="L514">
        <v>4132</v>
      </c>
      <c r="M514">
        <v>5584</v>
      </c>
      <c r="N514">
        <v>6.4</v>
      </c>
      <c r="O514">
        <v>5.8</v>
      </c>
      <c r="P514">
        <v>7.1</v>
      </c>
      <c r="Q514">
        <f t="shared" si="14"/>
        <v>39613493</v>
      </c>
      <c r="R514">
        <f t="shared" si="13"/>
        <v>12.263498197444996</v>
      </c>
      <c r="U514">
        <v>7569</v>
      </c>
      <c r="V514">
        <v>6336</v>
      </c>
      <c r="W514">
        <v>8803</v>
      </c>
      <c r="X514">
        <v>4355</v>
      </c>
      <c r="Y514">
        <v>63.5</v>
      </c>
      <c r="Z514">
        <v>60</v>
      </c>
      <c r="AA514">
        <v>66.900000000000006</v>
      </c>
    </row>
    <row r="515" spans="1:27" x14ac:dyDescent="0.25">
      <c r="A515" t="s">
        <v>228</v>
      </c>
      <c r="B515" t="s">
        <v>164</v>
      </c>
      <c r="C515" s="76">
        <v>43971</v>
      </c>
      <c r="D515">
        <v>45721</v>
      </c>
      <c r="E515">
        <v>39972</v>
      </c>
      <c r="F515">
        <v>51470</v>
      </c>
      <c r="G515">
        <v>29854</v>
      </c>
      <c r="H515">
        <v>60.5</v>
      </c>
      <c r="I515">
        <v>58.2</v>
      </c>
      <c r="J515">
        <v>62.8</v>
      </c>
      <c r="K515">
        <v>4972</v>
      </c>
      <c r="L515">
        <v>4235</v>
      </c>
      <c r="M515">
        <v>5710</v>
      </c>
      <c r="N515">
        <v>6.6</v>
      </c>
      <c r="O515">
        <v>5.9</v>
      </c>
      <c r="P515">
        <v>7.3</v>
      </c>
      <c r="Q515">
        <f t="shared" si="14"/>
        <v>39613493</v>
      </c>
      <c r="R515">
        <f t="shared" si="13"/>
        <v>12.551278929126498</v>
      </c>
      <c r="U515">
        <v>7528</v>
      </c>
      <c r="V515">
        <v>6293</v>
      </c>
      <c r="W515">
        <v>8763</v>
      </c>
      <c r="X515">
        <v>4335</v>
      </c>
      <c r="Y515">
        <v>63.5</v>
      </c>
      <c r="Z515">
        <v>60</v>
      </c>
      <c r="AA515">
        <v>66.900000000000006</v>
      </c>
    </row>
    <row r="516" spans="1:27" x14ac:dyDescent="0.25">
      <c r="A516" t="s">
        <v>228</v>
      </c>
      <c r="B516" t="s">
        <v>164</v>
      </c>
      <c r="C516" s="76">
        <v>43972</v>
      </c>
      <c r="D516">
        <v>45729</v>
      </c>
      <c r="E516">
        <v>39966</v>
      </c>
      <c r="F516">
        <v>51491</v>
      </c>
      <c r="G516">
        <v>29777</v>
      </c>
      <c r="H516">
        <v>60.6</v>
      </c>
      <c r="I516">
        <v>58.3</v>
      </c>
      <c r="J516">
        <v>62.9</v>
      </c>
      <c r="K516">
        <v>4932</v>
      </c>
      <c r="L516">
        <v>4186</v>
      </c>
      <c r="M516">
        <v>5677</v>
      </c>
      <c r="N516">
        <v>6.5</v>
      </c>
      <c r="O516">
        <v>5.8</v>
      </c>
      <c r="P516">
        <v>7.2</v>
      </c>
      <c r="Q516">
        <f t="shared" si="14"/>
        <v>39613493</v>
      </c>
      <c r="R516">
        <f t="shared" si="13"/>
        <v>12.450303233799655</v>
      </c>
      <c r="U516">
        <v>7602</v>
      </c>
      <c r="V516">
        <v>6357</v>
      </c>
      <c r="W516">
        <v>8847</v>
      </c>
      <c r="X516">
        <v>4262</v>
      </c>
      <c r="Y516">
        <v>64.099999999999994</v>
      </c>
      <c r="Z516">
        <v>60.5</v>
      </c>
      <c r="AA516">
        <v>67.599999999999994</v>
      </c>
    </row>
    <row r="517" spans="1:27" x14ac:dyDescent="0.25">
      <c r="A517" t="s">
        <v>228</v>
      </c>
      <c r="B517" t="s">
        <v>164</v>
      </c>
      <c r="C517" s="76">
        <v>43973</v>
      </c>
      <c r="D517">
        <v>46160</v>
      </c>
      <c r="E517">
        <v>40350</v>
      </c>
      <c r="F517">
        <v>51971</v>
      </c>
      <c r="G517">
        <v>29520</v>
      </c>
      <c r="H517">
        <v>61</v>
      </c>
      <c r="I517">
        <v>58.7</v>
      </c>
      <c r="J517">
        <v>63.3</v>
      </c>
      <c r="K517">
        <v>4573</v>
      </c>
      <c r="L517">
        <v>3893</v>
      </c>
      <c r="M517">
        <v>5253</v>
      </c>
      <c r="N517">
        <v>6</v>
      </c>
      <c r="O517">
        <v>5.4</v>
      </c>
      <c r="P517">
        <v>6.7</v>
      </c>
      <c r="Q517">
        <f t="shared" si="14"/>
        <v>39613493</v>
      </c>
      <c r="R517">
        <f t="shared" ref="R517:R580" si="15">K517/(Q517)*100000</f>
        <v>11.544046368241245</v>
      </c>
      <c r="U517">
        <v>7626</v>
      </c>
      <c r="V517">
        <v>6384</v>
      </c>
      <c r="W517">
        <v>8868</v>
      </c>
      <c r="X517">
        <v>4265</v>
      </c>
      <c r="Y517">
        <v>64.099999999999994</v>
      </c>
      <c r="Z517">
        <v>60.5</v>
      </c>
      <c r="AA517">
        <v>67.7</v>
      </c>
    </row>
    <row r="518" spans="1:27" x14ac:dyDescent="0.25">
      <c r="A518" t="s">
        <v>228</v>
      </c>
      <c r="B518" t="s">
        <v>164</v>
      </c>
      <c r="C518" s="76">
        <v>43974</v>
      </c>
      <c r="D518">
        <v>44885</v>
      </c>
      <c r="E518">
        <v>39245</v>
      </c>
      <c r="F518">
        <v>50525</v>
      </c>
      <c r="G518">
        <v>29766</v>
      </c>
      <c r="H518">
        <v>60.1</v>
      </c>
      <c r="I518">
        <v>57.9</v>
      </c>
      <c r="J518">
        <v>62.4</v>
      </c>
      <c r="K518">
        <v>4493</v>
      </c>
      <c r="L518">
        <v>3823</v>
      </c>
      <c r="M518">
        <v>5164</v>
      </c>
      <c r="N518">
        <v>6</v>
      </c>
      <c r="O518">
        <v>5.4</v>
      </c>
      <c r="P518">
        <v>6.6</v>
      </c>
      <c r="Q518">
        <f t="shared" si="14"/>
        <v>39613493</v>
      </c>
      <c r="R518">
        <f t="shared" si="15"/>
        <v>11.342094977587561</v>
      </c>
      <c r="U518">
        <v>7636</v>
      </c>
      <c r="V518">
        <v>6391</v>
      </c>
      <c r="W518">
        <v>8882</v>
      </c>
      <c r="X518">
        <v>4202</v>
      </c>
      <c r="Y518">
        <v>64.5</v>
      </c>
      <c r="Z518">
        <v>61</v>
      </c>
      <c r="AA518">
        <v>68</v>
      </c>
    </row>
    <row r="519" spans="1:27" x14ac:dyDescent="0.25">
      <c r="A519" t="s">
        <v>228</v>
      </c>
      <c r="B519" t="s">
        <v>164</v>
      </c>
      <c r="C519" s="76">
        <v>43975</v>
      </c>
      <c r="D519">
        <v>43454</v>
      </c>
      <c r="E519">
        <v>37983</v>
      </c>
      <c r="F519">
        <v>48924</v>
      </c>
      <c r="G519">
        <v>31019</v>
      </c>
      <c r="H519">
        <v>58.3</v>
      </c>
      <c r="I519">
        <v>56.1</v>
      </c>
      <c r="J519">
        <v>60.6</v>
      </c>
      <c r="K519">
        <v>4499</v>
      </c>
      <c r="L519">
        <v>3835</v>
      </c>
      <c r="M519">
        <v>5162</v>
      </c>
      <c r="N519">
        <v>6</v>
      </c>
      <c r="O519">
        <v>5.4</v>
      </c>
      <c r="P519">
        <v>6.6</v>
      </c>
      <c r="Q519">
        <f t="shared" si="14"/>
        <v>39613493</v>
      </c>
      <c r="R519">
        <f t="shared" si="15"/>
        <v>11.357241331886588</v>
      </c>
      <c r="U519">
        <v>7536</v>
      </c>
      <c r="V519">
        <v>6305</v>
      </c>
      <c r="W519">
        <v>8767</v>
      </c>
      <c r="X519">
        <v>4213</v>
      </c>
      <c r="Y519">
        <v>64.099999999999994</v>
      </c>
      <c r="Z519">
        <v>60.6</v>
      </c>
      <c r="AA519">
        <v>67.599999999999994</v>
      </c>
    </row>
    <row r="520" spans="1:27" x14ac:dyDescent="0.25">
      <c r="A520" t="s">
        <v>228</v>
      </c>
      <c r="B520" t="s">
        <v>164</v>
      </c>
      <c r="C520" s="76">
        <v>43976</v>
      </c>
      <c r="D520">
        <v>42884</v>
      </c>
      <c r="E520">
        <v>37443</v>
      </c>
      <c r="F520">
        <v>48325</v>
      </c>
      <c r="G520">
        <v>31121</v>
      </c>
      <c r="H520">
        <v>57.9</v>
      </c>
      <c r="I520">
        <v>55.7</v>
      </c>
      <c r="J520">
        <v>60.2</v>
      </c>
      <c r="K520">
        <v>4507</v>
      </c>
      <c r="L520">
        <v>3840</v>
      </c>
      <c r="M520">
        <v>5174</v>
      </c>
      <c r="N520">
        <v>6.1</v>
      </c>
      <c r="O520">
        <v>5.5</v>
      </c>
      <c r="P520">
        <v>6.7</v>
      </c>
      <c r="Q520">
        <f t="shared" si="14"/>
        <v>39613493</v>
      </c>
      <c r="R520">
        <f t="shared" si="15"/>
        <v>11.377436470951956</v>
      </c>
      <c r="U520">
        <v>7045</v>
      </c>
      <c r="V520">
        <v>5846</v>
      </c>
      <c r="W520">
        <v>8245</v>
      </c>
      <c r="X520">
        <v>4792</v>
      </c>
      <c r="Y520">
        <v>59.5</v>
      </c>
      <c r="Z520">
        <v>55.8</v>
      </c>
      <c r="AA520">
        <v>63.3</v>
      </c>
    </row>
    <row r="521" spans="1:27" x14ac:dyDescent="0.25">
      <c r="A521" t="s">
        <v>228</v>
      </c>
      <c r="B521" t="s">
        <v>164</v>
      </c>
      <c r="C521" s="76">
        <v>43977</v>
      </c>
      <c r="D521">
        <v>43910</v>
      </c>
      <c r="E521">
        <v>38411</v>
      </c>
      <c r="F521">
        <v>49410</v>
      </c>
      <c r="G521">
        <v>31056</v>
      </c>
      <c r="H521">
        <v>58.6</v>
      </c>
      <c r="I521">
        <v>56.3</v>
      </c>
      <c r="J521">
        <v>60.8</v>
      </c>
      <c r="K521">
        <v>4803</v>
      </c>
      <c r="L521">
        <v>4096</v>
      </c>
      <c r="M521">
        <v>5509</v>
      </c>
      <c r="N521">
        <v>6.4</v>
      </c>
      <c r="O521">
        <v>5.7</v>
      </c>
      <c r="P521">
        <v>7.1</v>
      </c>
      <c r="Q521">
        <f t="shared" si="14"/>
        <v>39613493</v>
      </c>
      <c r="R521">
        <f t="shared" si="15"/>
        <v>12.124656616370588</v>
      </c>
      <c r="U521">
        <v>7113</v>
      </c>
      <c r="V521">
        <v>5917</v>
      </c>
      <c r="W521">
        <v>8310</v>
      </c>
      <c r="X521">
        <v>4899</v>
      </c>
      <c r="Y521">
        <v>59.2</v>
      </c>
      <c r="Z521">
        <v>55.5</v>
      </c>
      <c r="AA521">
        <v>62.9</v>
      </c>
    </row>
    <row r="522" spans="1:27" x14ac:dyDescent="0.25">
      <c r="A522" t="s">
        <v>228</v>
      </c>
      <c r="B522" t="s">
        <v>164</v>
      </c>
      <c r="C522" s="76">
        <v>43978</v>
      </c>
      <c r="D522">
        <v>45350</v>
      </c>
      <c r="E522">
        <v>39655</v>
      </c>
      <c r="F522">
        <v>51046</v>
      </c>
      <c r="G522">
        <v>29678</v>
      </c>
      <c r="H522">
        <v>60.4</v>
      </c>
      <c r="I522">
        <v>58.2</v>
      </c>
      <c r="J522">
        <v>62.7</v>
      </c>
      <c r="K522">
        <v>4770</v>
      </c>
      <c r="L522">
        <v>4045</v>
      </c>
      <c r="M522">
        <v>5495</v>
      </c>
      <c r="N522">
        <v>6.4</v>
      </c>
      <c r="O522">
        <v>5.7</v>
      </c>
      <c r="P522">
        <v>7.1</v>
      </c>
      <c r="Q522">
        <f t="shared" si="14"/>
        <v>39613493</v>
      </c>
      <c r="R522">
        <f t="shared" si="15"/>
        <v>12.041351667725943</v>
      </c>
      <c r="U522">
        <v>7114</v>
      </c>
      <c r="V522">
        <v>5922</v>
      </c>
      <c r="W522">
        <v>8306</v>
      </c>
      <c r="X522">
        <v>4466</v>
      </c>
      <c r="Y522">
        <v>61.4</v>
      </c>
      <c r="Z522">
        <v>57.8</v>
      </c>
      <c r="AA522">
        <v>65</v>
      </c>
    </row>
    <row r="523" spans="1:27" x14ac:dyDescent="0.25">
      <c r="A523" t="s">
        <v>228</v>
      </c>
      <c r="B523" t="s">
        <v>164</v>
      </c>
      <c r="C523" s="76">
        <v>43979</v>
      </c>
      <c r="D523">
        <v>46546</v>
      </c>
      <c r="E523">
        <v>40604</v>
      </c>
      <c r="F523">
        <v>52488</v>
      </c>
      <c r="G523">
        <v>29125</v>
      </c>
      <c r="H523">
        <v>61.5</v>
      </c>
      <c r="I523">
        <v>59.2</v>
      </c>
      <c r="J523">
        <v>63.8</v>
      </c>
      <c r="K523">
        <v>4643</v>
      </c>
      <c r="L523">
        <v>3900</v>
      </c>
      <c r="M523">
        <v>5386</v>
      </c>
      <c r="N523">
        <v>6.1</v>
      </c>
      <c r="O523">
        <v>5.4</v>
      </c>
      <c r="P523">
        <v>6.9</v>
      </c>
      <c r="Q523">
        <f t="shared" si="14"/>
        <v>39613493</v>
      </c>
      <c r="R523">
        <f t="shared" si="15"/>
        <v>11.720753835063221</v>
      </c>
      <c r="U523">
        <v>7379</v>
      </c>
      <c r="V523">
        <v>6125</v>
      </c>
      <c r="W523">
        <v>8633</v>
      </c>
      <c r="X523">
        <v>4356</v>
      </c>
      <c r="Y523">
        <v>62.9</v>
      </c>
      <c r="Z523">
        <v>59</v>
      </c>
      <c r="AA523">
        <v>66.7</v>
      </c>
    </row>
    <row r="524" spans="1:27" x14ac:dyDescent="0.25">
      <c r="A524" t="s">
        <v>228</v>
      </c>
      <c r="B524" t="s">
        <v>164</v>
      </c>
      <c r="C524" s="76">
        <v>43980</v>
      </c>
      <c r="D524">
        <v>47010</v>
      </c>
      <c r="E524">
        <v>41046</v>
      </c>
      <c r="F524">
        <v>52975</v>
      </c>
      <c r="G524">
        <v>28552</v>
      </c>
      <c r="H524">
        <v>62.2</v>
      </c>
      <c r="I524">
        <v>59.9</v>
      </c>
      <c r="J524">
        <v>64.5</v>
      </c>
      <c r="K524">
        <v>4375</v>
      </c>
      <c r="L524">
        <v>3727</v>
      </c>
      <c r="M524">
        <v>5023</v>
      </c>
      <c r="N524">
        <v>5.8</v>
      </c>
      <c r="O524">
        <v>5.2</v>
      </c>
      <c r="P524">
        <v>6.4</v>
      </c>
      <c r="Q524">
        <f t="shared" si="14"/>
        <v>39613493</v>
      </c>
      <c r="R524">
        <f t="shared" si="15"/>
        <v>11.044216676373376</v>
      </c>
      <c r="U524">
        <v>7315</v>
      </c>
      <c r="V524">
        <v>6112</v>
      </c>
      <c r="W524">
        <v>8518</v>
      </c>
      <c r="X524">
        <v>4282</v>
      </c>
      <c r="Y524">
        <v>63.1</v>
      </c>
      <c r="Z524">
        <v>59.7</v>
      </c>
      <c r="AA524">
        <v>66.5</v>
      </c>
    </row>
    <row r="525" spans="1:27" x14ac:dyDescent="0.25">
      <c r="A525" t="s">
        <v>228</v>
      </c>
      <c r="B525" t="s">
        <v>164</v>
      </c>
      <c r="C525" s="76">
        <v>43981</v>
      </c>
      <c r="D525">
        <v>46034</v>
      </c>
      <c r="E525">
        <v>40254</v>
      </c>
      <c r="F525">
        <v>51814</v>
      </c>
      <c r="G525">
        <v>29437</v>
      </c>
      <c r="H525">
        <v>61</v>
      </c>
      <c r="I525">
        <v>58.7</v>
      </c>
      <c r="J525">
        <v>63.3</v>
      </c>
      <c r="K525">
        <v>4485</v>
      </c>
      <c r="L525">
        <v>3831</v>
      </c>
      <c r="M525">
        <v>5138</v>
      </c>
      <c r="N525">
        <v>5.9</v>
      </c>
      <c r="O525">
        <v>5.4</v>
      </c>
      <c r="P525">
        <v>6.5</v>
      </c>
      <c r="Q525">
        <f t="shared" si="14"/>
        <v>39613493</v>
      </c>
      <c r="R525">
        <f t="shared" si="15"/>
        <v>11.321899838522192</v>
      </c>
      <c r="U525">
        <v>7131</v>
      </c>
      <c r="V525">
        <v>5972</v>
      </c>
      <c r="W525">
        <v>8290</v>
      </c>
      <c r="X525">
        <v>4266</v>
      </c>
      <c r="Y525">
        <v>62.6</v>
      </c>
      <c r="Z525">
        <v>59.1</v>
      </c>
      <c r="AA525">
        <v>66</v>
      </c>
    </row>
    <row r="526" spans="1:27" x14ac:dyDescent="0.25">
      <c r="A526" t="s">
        <v>228</v>
      </c>
      <c r="B526" t="s">
        <v>164</v>
      </c>
      <c r="C526" s="76">
        <v>43982</v>
      </c>
      <c r="D526">
        <v>44347</v>
      </c>
      <c r="E526">
        <v>38713</v>
      </c>
      <c r="F526">
        <v>49981</v>
      </c>
      <c r="G526">
        <v>30134</v>
      </c>
      <c r="H526">
        <v>59.5</v>
      </c>
      <c r="I526">
        <v>57.3</v>
      </c>
      <c r="J526">
        <v>61.8</v>
      </c>
      <c r="K526">
        <v>4389</v>
      </c>
      <c r="L526">
        <v>3732</v>
      </c>
      <c r="M526">
        <v>5047</v>
      </c>
      <c r="N526">
        <v>5.9</v>
      </c>
      <c r="O526">
        <v>5.3</v>
      </c>
      <c r="P526">
        <v>6.5</v>
      </c>
      <c r="Q526">
        <f t="shared" si="14"/>
        <v>39613493</v>
      </c>
      <c r="R526">
        <f t="shared" si="15"/>
        <v>11.079558169737771</v>
      </c>
      <c r="U526">
        <v>6970</v>
      </c>
      <c r="V526">
        <v>5789</v>
      </c>
      <c r="W526">
        <v>8152</v>
      </c>
      <c r="X526">
        <v>4404</v>
      </c>
      <c r="Y526">
        <v>61.3</v>
      </c>
      <c r="Z526">
        <v>57.9</v>
      </c>
      <c r="AA526">
        <v>64.7</v>
      </c>
    </row>
    <row r="527" spans="1:27" x14ac:dyDescent="0.25">
      <c r="A527" t="s">
        <v>228</v>
      </c>
      <c r="B527" t="s">
        <v>164</v>
      </c>
      <c r="C527" s="76">
        <v>43983</v>
      </c>
      <c r="D527">
        <v>43903</v>
      </c>
      <c r="E527">
        <v>38328</v>
      </c>
      <c r="F527">
        <v>49477</v>
      </c>
      <c r="G527">
        <v>30433</v>
      </c>
      <c r="H527">
        <v>59.1</v>
      </c>
      <c r="I527">
        <v>56.8</v>
      </c>
      <c r="J527">
        <v>61.3</v>
      </c>
      <c r="K527">
        <v>4540</v>
      </c>
      <c r="L527">
        <v>3859</v>
      </c>
      <c r="M527">
        <v>5220</v>
      </c>
      <c r="N527">
        <v>6.1</v>
      </c>
      <c r="O527">
        <v>5.5</v>
      </c>
      <c r="P527">
        <v>6.7</v>
      </c>
      <c r="Q527">
        <f t="shared" si="14"/>
        <v>39613493</v>
      </c>
      <c r="R527">
        <f t="shared" si="15"/>
        <v>11.4607414195966</v>
      </c>
      <c r="U527">
        <v>7042</v>
      </c>
      <c r="V527">
        <v>5849</v>
      </c>
      <c r="W527">
        <v>8235</v>
      </c>
      <c r="X527">
        <v>4459</v>
      </c>
      <c r="Y527">
        <v>61.2</v>
      </c>
      <c r="Z527">
        <v>57.7</v>
      </c>
      <c r="AA527">
        <v>64.7</v>
      </c>
    </row>
    <row r="528" spans="1:27" x14ac:dyDescent="0.25">
      <c r="A528" t="s">
        <v>228</v>
      </c>
      <c r="B528" t="s">
        <v>164</v>
      </c>
      <c r="C528" s="76">
        <v>43984</v>
      </c>
      <c r="D528">
        <v>45969</v>
      </c>
      <c r="E528">
        <v>40110</v>
      </c>
      <c r="F528">
        <v>51828</v>
      </c>
      <c r="G528">
        <v>28631</v>
      </c>
      <c r="H528">
        <v>61.6</v>
      </c>
      <c r="I528">
        <v>59.4</v>
      </c>
      <c r="J528">
        <v>63.9</v>
      </c>
      <c r="K528">
        <v>4549</v>
      </c>
      <c r="L528">
        <v>3870</v>
      </c>
      <c r="M528">
        <v>5228</v>
      </c>
      <c r="N528">
        <v>6.1</v>
      </c>
      <c r="O528">
        <v>5.5</v>
      </c>
      <c r="P528">
        <v>6.7</v>
      </c>
      <c r="Q528">
        <f t="shared" si="14"/>
        <v>39613493</v>
      </c>
      <c r="R528">
        <f t="shared" si="15"/>
        <v>11.48346095104514</v>
      </c>
      <c r="U528">
        <v>7306</v>
      </c>
      <c r="V528">
        <v>6062</v>
      </c>
      <c r="W528">
        <v>8549</v>
      </c>
      <c r="X528">
        <v>4289</v>
      </c>
      <c r="Y528">
        <v>63</v>
      </c>
      <c r="Z528">
        <v>59.6</v>
      </c>
      <c r="AA528">
        <v>66.400000000000006</v>
      </c>
    </row>
    <row r="529" spans="1:27" x14ac:dyDescent="0.25">
      <c r="A529" t="s">
        <v>228</v>
      </c>
      <c r="B529" t="s">
        <v>164</v>
      </c>
      <c r="C529" s="76">
        <v>43985</v>
      </c>
      <c r="D529">
        <v>46566</v>
      </c>
      <c r="E529">
        <v>33063</v>
      </c>
      <c r="F529">
        <v>60069</v>
      </c>
      <c r="G529">
        <v>30612</v>
      </c>
      <c r="H529">
        <v>60.3</v>
      </c>
      <c r="I529">
        <v>55.9</v>
      </c>
      <c r="J529">
        <v>64.8</v>
      </c>
      <c r="K529">
        <v>4445</v>
      </c>
      <c r="L529">
        <v>3013</v>
      </c>
      <c r="M529">
        <v>5876</v>
      </c>
      <c r="N529">
        <v>5.8</v>
      </c>
      <c r="O529">
        <v>4.5</v>
      </c>
      <c r="P529">
        <v>7</v>
      </c>
      <c r="Q529">
        <f t="shared" si="14"/>
        <v>39613493</v>
      </c>
      <c r="R529">
        <f t="shared" si="15"/>
        <v>11.220924143195351</v>
      </c>
      <c r="U529">
        <v>7445</v>
      </c>
      <c r="V529">
        <v>4219</v>
      </c>
      <c r="W529">
        <v>10670</v>
      </c>
      <c r="X529">
        <v>3625</v>
      </c>
      <c r="Y529">
        <v>67.3</v>
      </c>
      <c r="Z529">
        <v>61.9</v>
      </c>
      <c r="AA529">
        <v>72.599999999999994</v>
      </c>
    </row>
    <row r="530" spans="1:27" x14ac:dyDescent="0.25">
      <c r="A530" t="s">
        <v>228</v>
      </c>
      <c r="B530" t="s">
        <v>164</v>
      </c>
      <c r="C530" s="76">
        <v>43986</v>
      </c>
      <c r="D530">
        <v>45946</v>
      </c>
      <c r="E530">
        <v>40071</v>
      </c>
      <c r="F530">
        <v>51821</v>
      </c>
      <c r="G530">
        <v>28143</v>
      </c>
      <c r="H530">
        <v>62</v>
      </c>
      <c r="I530">
        <v>59.7</v>
      </c>
      <c r="J530">
        <v>64.3</v>
      </c>
      <c r="K530">
        <v>4805</v>
      </c>
      <c r="L530">
        <v>4104</v>
      </c>
      <c r="M530">
        <v>5506</v>
      </c>
      <c r="N530">
        <v>6.5</v>
      </c>
      <c r="O530">
        <v>5.8</v>
      </c>
      <c r="P530">
        <v>7.1</v>
      </c>
      <c r="Q530">
        <f t="shared" si="14"/>
        <v>39613493</v>
      </c>
      <c r="R530">
        <f t="shared" si="15"/>
        <v>12.129705401136931</v>
      </c>
      <c r="U530">
        <v>7397</v>
      </c>
      <c r="V530">
        <v>6143</v>
      </c>
      <c r="W530">
        <v>8650</v>
      </c>
      <c r="X530">
        <v>4298</v>
      </c>
      <c r="Y530">
        <v>63.2</v>
      </c>
      <c r="Z530">
        <v>59.8</v>
      </c>
      <c r="AA530">
        <v>66.7</v>
      </c>
    </row>
    <row r="531" spans="1:27" x14ac:dyDescent="0.25">
      <c r="A531" t="s">
        <v>228</v>
      </c>
      <c r="B531" t="s">
        <v>164</v>
      </c>
      <c r="C531" s="76">
        <v>43987</v>
      </c>
      <c r="D531">
        <v>46810</v>
      </c>
      <c r="E531">
        <v>40912</v>
      </c>
      <c r="F531">
        <v>52708</v>
      </c>
      <c r="G531">
        <v>27980</v>
      </c>
      <c r="H531">
        <v>62.6</v>
      </c>
      <c r="I531">
        <v>60.3</v>
      </c>
      <c r="J531">
        <v>64.900000000000006</v>
      </c>
      <c r="K531">
        <v>4775</v>
      </c>
      <c r="L531">
        <v>4081</v>
      </c>
      <c r="M531">
        <v>5470</v>
      </c>
      <c r="N531">
        <v>6.4</v>
      </c>
      <c r="O531">
        <v>5.8</v>
      </c>
      <c r="P531">
        <v>7</v>
      </c>
      <c r="Q531">
        <f t="shared" si="14"/>
        <v>39613493</v>
      </c>
      <c r="R531">
        <f t="shared" si="15"/>
        <v>12.053973629641799</v>
      </c>
      <c r="U531">
        <v>7420</v>
      </c>
      <c r="V531">
        <v>6202</v>
      </c>
      <c r="W531">
        <v>8637</v>
      </c>
      <c r="X531">
        <v>4238</v>
      </c>
      <c r="Y531">
        <v>63.6</v>
      </c>
      <c r="Z531">
        <v>60.2</v>
      </c>
      <c r="AA531">
        <v>67</v>
      </c>
    </row>
    <row r="532" spans="1:27" x14ac:dyDescent="0.25">
      <c r="A532" t="s">
        <v>228</v>
      </c>
      <c r="B532" t="s">
        <v>164</v>
      </c>
      <c r="C532" s="76">
        <v>43988</v>
      </c>
      <c r="D532">
        <v>45406</v>
      </c>
      <c r="E532">
        <v>39720</v>
      </c>
      <c r="F532">
        <v>51092</v>
      </c>
      <c r="G532">
        <v>29230</v>
      </c>
      <c r="H532">
        <v>60.8</v>
      </c>
      <c r="I532">
        <v>58.6</v>
      </c>
      <c r="J532">
        <v>63.1</v>
      </c>
      <c r="K532">
        <v>4701</v>
      </c>
      <c r="L532">
        <v>4017</v>
      </c>
      <c r="M532">
        <v>5384</v>
      </c>
      <c r="N532">
        <v>6.3</v>
      </c>
      <c r="O532">
        <v>5.7</v>
      </c>
      <c r="P532">
        <v>6.9</v>
      </c>
      <c r="Q532">
        <f t="shared" si="14"/>
        <v>39613493</v>
      </c>
      <c r="R532">
        <f t="shared" si="15"/>
        <v>11.86716859328714</v>
      </c>
      <c r="U532">
        <v>7274</v>
      </c>
      <c r="V532">
        <v>6090</v>
      </c>
      <c r="W532">
        <v>8459</v>
      </c>
      <c r="X532">
        <v>4293</v>
      </c>
      <c r="Y532">
        <v>62.9</v>
      </c>
      <c r="Z532">
        <v>59.5</v>
      </c>
      <c r="AA532">
        <v>66.3</v>
      </c>
    </row>
    <row r="533" spans="1:27" x14ac:dyDescent="0.25">
      <c r="A533" t="s">
        <v>228</v>
      </c>
      <c r="B533" t="s">
        <v>164</v>
      </c>
      <c r="C533" s="76">
        <v>43989</v>
      </c>
      <c r="D533">
        <v>44279</v>
      </c>
      <c r="E533">
        <v>38745</v>
      </c>
      <c r="F533">
        <v>49813</v>
      </c>
      <c r="G533">
        <v>30268</v>
      </c>
      <c r="H533">
        <v>59.4</v>
      </c>
      <c r="I533">
        <v>57.2</v>
      </c>
      <c r="J533">
        <v>61.6</v>
      </c>
      <c r="K533">
        <v>4762</v>
      </c>
      <c r="L533">
        <v>4065</v>
      </c>
      <c r="M533">
        <v>5459</v>
      </c>
      <c r="N533">
        <v>6.4</v>
      </c>
      <c r="O533">
        <v>5.8</v>
      </c>
      <c r="P533">
        <v>7</v>
      </c>
      <c r="Q533">
        <f t="shared" si="14"/>
        <v>39613493</v>
      </c>
      <c r="R533">
        <f t="shared" si="15"/>
        <v>12.021156528660574</v>
      </c>
      <c r="U533">
        <v>7143</v>
      </c>
      <c r="V533">
        <v>5989</v>
      </c>
      <c r="W533">
        <v>8297</v>
      </c>
      <c r="X533">
        <v>4379</v>
      </c>
      <c r="Y533">
        <v>62</v>
      </c>
      <c r="Z533">
        <v>58.6</v>
      </c>
      <c r="AA533">
        <v>65.400000000000006</v>
      </c>
    </row>
    <row r="534" spans="1:27" x14ac:dyDescent="0.25">
      <c r="A534" t="s">
        <v>228</v>
      </c>
      <c r="B534" t="s">
        <v>164</v>
      </c>
      <c r="C534" s="76">
        <v>43990</v>
      </c>
      <c r="D534">
        <v>44543</v>
      </c>
      <c r="E534">
        <v>38923</v>
      </c>
      <c r="F534">
        <v>50163</v>
      </c>
      <c r="G534">
        <v>29940</v>
      </c>
      <c r="H534">
        <v>59.8</v>
      </c>
      <c r="I534">
        <v>57.4</v>
      </c>
      <c r="J534">
        <v>62.2</v>
      </c>
      <c r="K534">
        <v>4747</v>
      </c>
      <c r="L534">
        <v>4044</v>
      </c>
      <c r="M534">
        <v>5451</v>
      </c>
      <c r="N534">
        <v>6.4</v>
      </c>
      <c r="O534">
        <v>5.7</v>
      </c>
      <c r="P534">
        <v>7</v>
      </c>
      <c r="Q534">
        <f t="shared" si="14"/>
        <v>39613493</v>
      </c>
      <c r="R534">
        <f t="shared" si="15"/>
        <v>11.983290642913008</v>
      </c>
      <c r="U534">
        <v>7110</v>
      </c>
      <c r="V534">
        <v>5950</v>
      </c>
      <c r="W534">
        <v>8270</v>
      </c>
      <c r="X534">
        <v>4494</v>
      </c>
      <c r="Y534">
        <v>61.3</v>
      </c>
      <c r="Z534">
        <v>57.7</v>
      </c>
      <c r="AA534">
        <v>64.8</v>
      </c>
    </row>
    <row r="535" spans="1:27" x14ac:dyDescent="0.25">
      <c r="A535" t="s">
        <v>228</v>
      </c>
      <c r="B535" t="s">
        <v>164</v>
      </c>
      <c r="C535" s="76">
        <v>43991</v>
      </c>
      <c r="D535">
        <v>46077</v>
      </c>
      <c r="E535">
        <v>40187</v>
      </c>
      <c r="F535">
        <v>51966</v>
      </c>
      <c r="G535">
        <v>28665</v>
      </c>
      <c r="H535">
        <v>61.6</v>
      </c>
      <c r="I535">
        <v>59.4</v>
      </c>
      <c r="J535">
        <v>63.9</v>
      </c>
      <c r="K535">
        <v>4927</v>
      </c>
      <c r="L535">
        <v>4192</v>
      </c>
      <c r="M535">
        <v>5662</v>
      </c>
      <c r="N535">
        <v>6.6</v>
      </c>
      <c r="O535">
        <v>5.9</v>
      </c>
      <c r="P535">
        <v>7.3</v>
      </c>
      <c r="Q535">
        <f t="shared" si="14"/>
        <v>39613493</v>
      </c>
      <c r="R535">
        <f t="shared" si="15"/>
        <v>12.437681271883799</v>
      </c>
      <c r="U535">
        <v>7321</v>
      </c>
      <c r="V535">
        <v>6116</v>
      </c>
      <c r="W535">
        <v>8526</v>
      </c>
      <c r="X535">
        <v>4300</v>
      </c>
      <c r="Y535">
        <v>63</v>
      </c>
      <c r="Z535">
        <v>59.4</v>
      </c>
      <c r="AA535">
        <v>66.599999999999994</v>
      </c>
    </row>
    <row r="536" spans="1:27" x14ac:dyDescent="0.25">
      <c r="A536" t="s">
        <v>228</v>
      </c>
      <c r="B536" t="s">
        <v>164</v>
      </c>
      <c r="C536" s="76">
        <v>43992</v>
      </c>
      <c r="D536">
        <v>47737</v>
      </c>
      <c r="E536">
        <v>33807</v>
      </c>
      <c r="F536">
        <v>61666</v>
      </c>
      <c r="G536">
        <v>28638</v>
      </c>
      <c r="H536">
        <v>62.5</v>
      </c>
      <c r="I536">
        <v>57.6</v>
      </c>
      <c r="J536">
        <v>67.400000000000006</v>
      </c>
      <c r="K536">
        <v>4483</v>
      </c>
      <c r="L536">
        <v>2997</v>
      </c>
      <c r="M536">
        <v>5968</v>
      </c>
      <c r="N536">
        <v>5.9</v>
      </c>
      <c r="O536">
        <v>4.4000000000000004</v>
      </c>
      <c r="P536">
        <v>7.4</v>
      </c>
      <c r="Q536">
        <f t="shared" si="14"/>
        <v>39613493</v>
      </c>
      <c r="R536">
        <f t="shared" si="15"/>
        <v>11.316851053755851</v>
      </c>
      <c r="U536">
        <v>7814</v>
      </c>
      <c r="V536">
        <v>4553</v>
      </c>
      <c r="W536">
        <v>11075</v>
      </c>
      <c r="X536">
        <v>4297</v>
      </c>
      <c r="Y536">
        <v>64.5</v>
      </c>
      <c r="Z536">
        <v>56.6</v>
      </c>
      <c r="AA536">
        <v>72.400000000000006</v>
      </c>
    </row>
    <row r="537" spans="1:27" x14ac:dyDescent="0.25">
      <c r="A537" t="s">
        <v>228</v>
      </c>
      <c r="B537" t="s">
        <v>164</v>
      </c>
      <c r="C537" s="76">
        <v>43993</v>
      </c>
      <c r="D537">
        <v>47606</v>
      </c>
      <c r="E537">
        <v>41600</v>
      </c>
      <c r="F537">
        <v>53612</v>
      </c>
      <c r="G537">
        <v>27730</v>
      </c>
      <c r="H537">
        <v>63.2</v>
      </c>
      <c r="I537">
        <v>61</v>
      </c>
      <c r="J537">
        <v>65.400000000000006</v>
      </c>
      <c r="K537">
        <v>4709</v>
      </c>
      <c r="L537">
        <v>4028</v>
      </c>
      <c r="M537">
        <v>5389</v>
      </c>
      <c r="N537">
        <v>6.3</v>
      </c>
      <c r="O537">
        <v>5.7</v>
      </c>
      <c r="P537">
        <v>6.8</v>
      </c>
      <c r="Q537">
        <f t="shared" si="14"/>
        <v>39613493</v>
      </c>
      <c r="R537">
        <f t="shared" si="15"/>
        <v>11.887363732352508</v>
      </c>
      <c r="U537">
        <v>7619</v>
      </c>
      <c r="V537">
        <v>6373</v>
      </c>
      <c r="W537">
        <v>8865</v>
      </c>
      <c r="X537">
        <v>4062</v>
      </c>
      <c r="Y537">
        <v>65.2</v>
      </c>
      <c r="Z537">
        <v>61.5</v>
      </c>
      <c r="AA537">
        <v>69</v>
      </c>
    </row>
    <row r="538" spans="1:27" x14ac:dyDescent="0.25">
      <c r="A538" t="s">
        <v>228</v>
      </c>
      <c r="B538" t="s">
        <v>164</v>
      </c>
      <c r="C538" s="76">
        <v>43994</v>
      </c>
      <c r="D538">
        <v>47927</v>
      </c>
      <c r="E538">
        <v>41833</v>
      </c>
      <c r="F538">
        <v>54022</v>
      </c>
      <c r="G538">
        <v>27443</v>
      </c>
      <c r="H538">
        <v>63.6</v>
      </c>
      <c r="I538">
        <v>61.2</v>
      </c>
      <c r="J538">
        <v>65.900000000000006</v>
      </c>
      <c r="K538">
        <v>4691</v>
      </c>
      <c r="L538">
        <v>4010</v>
      </c>
      <c r="M538">
        <v>5373</v>
      </c>
      <c r="N538">
        <v>6.2</v>
      </c>
      <c r="O538">
        <v>5.6</v>
      </c>
      <c r="P538">
        <v>6.8</v>
      </c>
      <c r="Q538">
        <f t="shared" si="14"/>
        <v>39613493</v>
      </c>
      <c r="R538">
        <f t="shared" si="15"/>
        <v>11.84192466945543</v>
      </c>
      <c r="U538">
        <v>7504</v>
      </c>
      <c r="V538">
        <v>6266</v>
      </c>
      <c r="W538">
        <v>8742</v>
      </c>
      <c r="X538">
        <v>4123</v>
      </c>
      <c r="Y538">
        <v>64.5</v>
      </c>
      <c r="Z538">
        <v>61.1</v>
      </c>
      <c r="AA538">
        <v>68</v>
      </c>
    </row>
    <row r="539" spans="1:27" x14ac:dyDescent="0.25">
      <c r="A539" t="s">
        <v>228</v>
      </c>
      <c r="B539" t="s">
        <v>164</v>
      </c>
      <c r="C539" s="76">
        <v>43995</v>
      </c>
      <c r="D539">
        <v>46727</v>
      </c>
      <c r="E539">
        <v>40772</v>
      </c>
      <c r="F539">
        <v>52681</v>
      </c>
      <c r="G539">
        <v>28507</v>
      </c>
      <c r="H539">
        <v>62.1</v>
      </c>
      <c r="I539">
        <v>59.8</v>
      </c>
      <c r="J539">
        <v>64.400000000000006</v>
      </c>
      <c r="K539">
        <v>4501</v>
      </c>
      <c r="L539">
        <v>3842</v>
      </c>
      <c r="M539">
        <v>5161</v>
      </c>
      <c r="N539">
        <v>6</v>
      </c>
      <c r="O539">
        <v>5.4</v>
      </c>
      <c r="P539">
        <v>6.6</v>
      </c>
      <c r="Q539">
        <f t="shared" si="14"/>
        <v>39613493</v>
      </c>
      <c r="R539">
        <f t="shared" si="15"/>
        <v>11.362290116652929</v>
      </c>
      <c r="U539">
        <v>7450</v>
      </c>
      <c r="V539">
        <v>6196</v>
      </c>
      <c r="W539">
        <v>8704</v>
      </c>
      <c r="X539">
        <v>4245</v>
      </c>
      <c r="Y539">
        <v>63.7</v>
      </c>
      <c r="Z539">
        <v>60</v>
      </c>
      <c r="AA539">
        <v>67.400000000000006</v>
      </c>
    </row>
    <row r="540" spans="1:27" x14ac:dyDescent="0.25">
      <c r="A540" t="s">
        <v>228</v>
      </c>
      <c r="B540" t="s">
        <v>164</v>
      </c>
      <c r="C540" s="76">
        <v>43996</v>
      </c>
      <c r="D540">
        <v>45960</v>
      </c>
      <c r="E540">
        <v>40171</v>
      </c>
      <c r="F540">
        <v>51750</v>
      </c>
      <c r="G540">
        <v>28944</v>
      </c>
      <c r="H540">
        <v>61.4</v>
      </c>
      <c r="I540">
        <v>59.1</v>
      </c>
      <c r="J540">
        <v>63.6</v>
      </c>
      <c r="K540">
        <v>4589</v>
      </c>
      <c r="L540">
        <v>3927</v>
      </c>
      <c r="M540">
        <v>5251</v>
      </c>
      <c r="N540">
        <v>6.1</v>
      </c>
      <c r="O540">
        <v>5.5</v>
      </c>
      <c r="P540">
        <v>6.7</v>
      </c>
      <c r="Q540">
        <f t="shared" si="14"/>
        <v>39613493</v>
      </c>
      <c r="R540">
        <f t="shared" si="15"/>
        <v>11.584436646371982</v>
      </c>
      <c r="U540">
        <v>7423</v>
      </c>
      <c r="V540">
        <v>6194</v>
      </c>
      <c r="W540">
        <v>8651</v>
      </c>
      <c r="X540">
        <v>4221</v>
      </c>
      <c r="Y540">
        <v>63.7</v>
      </c>
      <c r="Z540">
        <v>60.2</v>
      </c>
      <c r="AA540">
        <v>67.3</v>
      </c>
    </row>
    <row r="541" spans="1:27" x14ac:dyDescent="0.25">
      <c r="A541" t="s">
        <v>228</v>
      </c>
      <c r="B541" t="s">
        <v>164</v>
      </c>
      <c r="C541" s="76">
        <v>43997</v>
      </c>
      <c r="D541">
        <v>45282</v>
      </c>
      <c r="E541">
        <v>39423</v>
      </c>
      <c r="F541">
        <v>51140</v>
      </c>
      <c r="G541">
        <v>29718</v>
      </c>
      <c r="H541">
        <v>60.4</v>
      </c>
      <c r="I541">
        <v>58.1</v>
      </c>
      <c r="J541">
        <v>62.7</v>
      </c>
      <c r="K541">
        <v>4632</v>
      </c>
      <c r="L541">
        <v>3945</v>
      </c>
      <c r="M541">
        <v>5320</v>
      </c>
      <c r="N541">
        <v>6.2</v>
      </c>
      <c r="O541">
        <v>5.6</v>
      </c>
      <c r="P541">
        <v>6.8</v>
      </c>
      <c r="Q541">
        <f t="shared" si="14"/>
        <v>39613493</v>
      </c>
      <c r="R541">
        <f t="shared" si="15"/>
        <v>11.692985518848337</v>
      </c>
      <c r="U541">
        <v>7446</v>
      </c>
      <c r="V541">
        <v>6196</v>
      </c>
      <c r="W541">
        <v>8695</v>
      </c>
      <c r="X541">
        <v>4389</v>
      </c>
      <c r="Y541">
        <v>62.9</v>
      </c>
      <c r="Z541">
        <v>59.4</v>
      </c>
      <c r="AA541">
        <v>66.400000000000006</v>
      </c>
    </row>
    <row r="542" spans="1:27" x14ac:dyDescent="0.25">
      <c r="A542" t="s">
        <v>228</v>
      </c>
      <c r="B542" t="s">
        <v>164</v>
      </c>
      <c r="C542" s="76">
        <v>43998</v>
      </c>
      <c r="D542">
        <v>45411</v>
      </c>
      <c r="E542">
        <v>33454</v>
      </c>
      <c r="F542">
        <v>57368</v>
      </c>
      <c r="G542">
        <v>27356</v>
      </c>
      <c r="H542">
        <v>62.4</v>
      </c>
      <c r="I542">
        <v>58</v>
      </c>
      <c r="J542">
        <v>66.8</v>
      </c>
      <c r="K542">
        <v>5021</v>
      </c>
      <c r="L542">
        <v>3465</v>
      </c>
      <c r="M542">
        <v>6577</v>
      </c>
      <c r="N542">
        <v>6.9</v>
      </c>
      <c r="O542">
        <v>5.5</v>
      </c>
      <c r="P542">
        <v>8.3000000000000007</v>
      </c>
      <c r="Q542">
        <f t="shared" si="14"/>
        <v>39613493</v>
      </c>
      <c r="R542">
        <f t="shared" si="15"/>
        <v>12.674974155901879</v>
      </c>
      <c r="U542">
        <v>6942</v>
      </c>
      <c r="V542">
        <v>4725</v>
      </c>
      <c r="W542">
        <v>9159</v>
      </c>
      <c r="X542">
        <v>3688</v>
      </c>
      <c r="Y542">
        <v>65.3</v>
      </c>
      <c r="Z542">
        <v>59.5</v>
      </c>
      <c r="AA542">
        <v>71.099999999999994</v>
      </c>
    </row>
    <row r="543" spans="1:27" x14ac:dyDescent="0.25">
      <c r="A543" t="s">
        <v>228</v>
      </c>
      <c r="B543" t="s">
        <v>164</v>
      </c>
      <c r="C543" s="76">
        <v>43999</v>
      </c>
      <c r="D543">
        <v>51118</v>
      </c>
      <c r="E543">
        <v>34828</v>
      </c>
      <c r="F543">
        <v>67408</v>
      </c>
      <c r="G543">
        <v>29597</v>
      </c>
      <c r="H543">
        <v>63.3</v>
      </c>
      <c r="I543">
        <v>58.3</v>
      </c>
      <c r="J543">
        <v>68.400000000000006</v>
      </c>
      <c r="K543">
        <v>5173</v>
      </c>
      <c r="L543">
        <v>3520</v>
      </c>
      <c r="M543">
        <v>6826</v>
      </c>
      <c r="N543">
        <v>6.4</v>
      </c>
      <c r="O543">
        <v>4.5999999999999996</v>
      </c>
      <c r="P543">
        <v>8.1999999999999993</v>
      </c>
      <c r="Q543">
        <f t="shared" si="14"/>
        <v>39613493</v>
      </c>
      <c r="R543">
        <f t="shared" si="15"/>
        <v>13.05868179814388</v>
      </c>
      <c r="U543">
        <v>8617</v>
      </c>
      <c r="V543">
        <v>4371</v>
      </c>
      <c r="W543">
        <v>12863</v>
      </c>
      <c r="X543">
        <v>4798</v>
      </c>
      <c r="Y543">
        <v>64.2</v>
      </c>
      <c r="Z543">
        <v>57</v>
      </c>
      <c r="AA543">
        <v>71.5</v>
      </c>
    </row>
    <row r="544" spans="1:27" x14ac:dyDescent="0.25">
      <c r="A544" t="s">
        <v>228</v>
      </c>
      <c r="B544" t="s">
        <v>164</v>
      </c>
      <c r="C544" s="76">
        <v>44000</v>
      </c>
      <c r="D544">
        <v>48287</v>
      </c>
      <c r="E544">
        <v>42183</v>
      </c>
      <c r="F544">
        <v>54392</v>
      </c>
      <c r="G544">
        <v>26993</v>
      </c>
      <c r="H544">
        <v>64.099999999999994</v>
      </c>
      <c r="I544">
        <v>61.9</v>
      </c>
      <c r="J544">
        <v>66.400000000000006</v>
      </c>
      <c r="K544">
        <v>4921</v>
      </c>
      <c r="L544">
        <v>4197</v>
      </c>
      <c r="M544">
        <v>5645</v>
      </c>
      <c r="N544">
        <v>6.5</v>
      </c>
      <c r="O544">
        <v>5.9</v>
      </c>
      <c r="P544">
        <v>7.2</v>
      </c>
      <c r="Q544">
        <f t="shared" si="14"/>
        <v>39613493</v>
      </c>
      <c r="R544">
        <f t="shared" si="15"/>
        <v>12.422534917584773</v>
      </c>
      <c r="U544">
        <v>7653</v>
      </c>
      <c r="V544">
        <v>6397</v>
      </c>
      <c r="W544">
        <v>8908</v>
      </c>
      <c r="X544">
        <v>4298</v>
      </c>
      <c r="Y544">
        <v>64</v>
      </c>
      <c r="Z544">
        <v>60.4</v>
      </c>
      <c r="AA544">
        <v>67.599999999999994</v>
      </c>
    </row>
    <row r="545" spans="1:27" x14ac:dyDescent="0.25">
      <c r="A545" t="s">
        <v>228</v>
      </c>
      <c r="B545" t="s">
        <v>164</v>
      </c>
      <c r="C545" s="76">
        <v>44001</v>
      </c>
      <c r="D545">
        <v>47696</v>
      </c>
      <c r="E545">
        <v>41476</v>
      </c>
      <c r="F545">
        <v>53915</v>
      </c>
      <c r="G545">
        <v>28179</v>
      </c>
      <c r="H545">
        <v>62.9</v>
      </c>
      <c r="I545">
        <v>60.6</v>
      </c>
      <c r="J545">
        <v>65.099999999999994</v>
      </c>
      <c r="K545">
        <v>4919</v>
      </c>
      <c r="L545">
        <v>4176</v>
      </c>
      <c r="M545">
        <v>5661</v>
      </c>
      <c r="N545">
        <v>6.5</v>
      </c>
      <c r="O545">
        <v>5.8</v>
      </c>
      <c r="P545">
        <v>7.1</v>
      </c>
      <c r="Q545">
        <f t="shared" si="14"/>
        <v>39613493</v>
      </c>
      <c r="R545">
        <f t="shared" si="15"/>
        <v>12.417486132818432</v>
      </c>
      <c r="U545">
        <v>7604</v>
      </c>
      <c r="V545">
        <v>6315</v>
      </c>
      <c r="W545">
        <v>8893</v>
      </c>
      <c r="X545">
        <v>4277</v>
      </c>
      <c r="Y545">
        <v>64</v>
      </c>
      <c r="Z545">
        <v>60.5</v>
      </c>
      <c r="AA545">
        <v>67.5</v>
      </c>
    </row>
    <row r="546" spans="1:27" x14ac:dyDescent="0.25">
      <c r="A546" t="s">
        <v>228</v>
      </c>
      <c r="B546" t="s">
        <v>164</v>
      </c>
      <c r="C546" s="76">
        <v>44002</v>
      </c>
      <c r="D546">
        <v>46622</v>
      </c>
      <c r="E546">
        <v>40572</v>
      </c>
      <c r="F546">
        <v>52672</v>
      </c>
      <c r="G546">
        <v>29115</v>
      </c>
      <c r="H546">
        <v>61.6</v>
      </c>
      <c r="I546">
        <v>59.3</v>
      </c>
      <c r="J546">
        <v>63.8</v>
      </c>
      <c r="K546">
        <v>5019</v>
      </c>
      <c r="L546">
        <v>4277</v>
      </c>
      <c r="M546">
        <v>5762</v>
      </c>
      <c r="N546">
        <v>6.6</v>
      </c>
      <c r="O546">
        <v>6</v>
      </c>
      <c r="P546">
        <v>7.3</v>
      </c>
      <c r="Q546">
        <f t="shared" si="14"/>
        <v>39613493</v>
      </c>
      <c r="R546">
        <f t="shared" si="15"/>
        <v>12.669925371135536</v>
      </c>
      <c r="U546">
        <v>7569</v>
      </c>
      <c r="V546">
        <v>6313</v>
      </c>
      <c r="W546">
        <v>8824</v>
      </c>
      <c r="X546">
        <v>4385</v>
      </c>
      <c r="Y546">
        <v>63.3</v>
      </c>
      <c r="Z546">
        <v>59.8</v>
      </c>
      <c r="AA546">
        <v>66.8</v>
      </c>
    </row>
    <row r="547" spans="1:27" x14ac:dyDescent="0.25">
      <c r="A547" t="s">
        <v>228</v>
      </c>
      <c r="B547" t="s">
        <v>164</v>
      </c>
      <c r="C547" s="76">
        <v>44003</v>
      </c>
      <c r="D547">
        <v>45099</v>
      </c>
      <c r="E547">
        <v>39285</v>
      </c>
      <c r="F547">
        <v>50914</v>
      </c>
      <c r="G547">
        <v>30102</v>
      </c>
      <c r="H547">
        <v>60</v>
      </c>
      <c r="I547">
        <v>57.7</v>
      </c>
      <c r="J547">
        <v>62.3</v>
      </c>
      <c r="K547">
        <v>5181</v>
      </c>
      <c r="L547">
        <v>4418</v>
      </c>
      <c r="M547">
        <v>5944</v>
      </c>
      <c r="N547">
        <v>6.9</v>
      </c>
      <c r="O547">
        <v>6.2</v>
      </c>
      <c r="P547">
        <v>7.6</v>
      </c>
      <c r="Q547">
        <f t="shared" si="14"/>
        <v>39613493</v>
      </c>
      <c r="R547">
        <f t="shared" si="15"/>
        <v>13.07887693720925</v>
      </c>
      <c r="U547">
        <v>7363</v>
      </c>
      <c r="V547">
        <v>6167</v>
      </c>
      <c r="W547">
        <v>8558</v>
      </c>
      <c r="X547">
        <v>4512</v>
      </c>
      <c r="Y547">
        <v>62</v>
      </c>
      <c r="Z547">
        <v>58.6</v>
      </c>
      <c r="AA547">
        <v>65.400000000000006</v>
      </c>
    </row>
    <row r="548" spans="1:27" x14ac:dyDescent="0.25">
      <c r="A548" t="s">
        <v>228</v>
      </c>
      <c r="B548" t="s">
        <v>164</v>
      </c>
      <c r="C548" s="76">
        <v>44004</v>
      </c>
      <c r="D548">
        <v>45100</v>
      </c>
      <c r="E548">
        <v>39245</v>
      </c>
      <c r="F548">
        <v>50955</v>
      </c>
      <c r="G548">
        <v>29791</v>
      </c>
      <c r="H548">
        <v>60.2</v>
      </c>
      <c r="I548">
        <v>57.9</v>
      </c>
      <c r="J548">
        <v>62.5</v>
      </c>
      <c r="K548">
        <v>5485</v>
      </c>
      <c r="L548">
        <v>4662</v>
      </c>
      <c r="M548">
        <v>6308</v>
      </c>
      <c r="N548">
        <v>7.3</v>
      </c>
      <c r="O548">
        <v>6.6</v>
      </c>
      <c r="P548">
        <v>8</v>
      </c>
      <c r="Q548">
        <f t="shared" si="14"/>
        <v>39613493</v>
      </c>
      <c r="R548">
        <f t="shared" si="15"/>
        <v>13.846292221693249</v>
      </c>
      <c r="U548">
        <v>7381</v>
      </c>
      <c r="V548">
        <v>6173</v>
      </c>
      <c r="W548">
        <v>8589</v>
      </c>
      <c r="X548">
        <v>4576</v>
      </c>
      <c r="Y548">
        <v>61.7</v>
      </c>
      <c r="Z548">
        <v>58.3</v>
      </c>
      <c r="AA548">
        <v>65.2</v>
      </c>
    </row>
    <row r="549" spans="1:27" x14ac:dyDescent="0.25">
      <c r="A549" t="s">
        <v>228</v>
      </c>
      <c r="B549" t="s">
        <v>164</v>
      </c>
      <c r="C549" s="76">
        <v>44005</v>
      </c>
      <c r="D549">
        <v>47981</v>
      </c>
      <c r="E549">
        <v>41254</v>
      </c>
      <c r="F549">
        <v>54707</v>
      </c>
      <c r="G549">
        <v>28900</v>
      </c>
      <c r="H549">
        <v>62.4</v>
      </c>
      <c r="I549">
        <v>59.9</v>
      </c>
      <c r="J549">
        <v>64.900000000000006</v>
      </c>
      <c r="K549">
        <v>5746</v>
      </c>
      <c r="L549">
        <v>4845</v>
      </c>
      <c r="M549">
        <v>6647</v>
      </c>
      <c r="N549">
        <v>7.5</v>
      </c>
      <c r="O549">
        <v>6.7</v>
      </c>
      <c r="P549">
        <v>8.3000000000000007</v>
      </c>
      <c r="Q549">
        <f t="shared" si="14"/>
        <v>39613493</v>
      </c>
      <c r="R549">
        <f t="shared" si="15"/>
        <v>14.505158633700896</v>
      </c>
      <c r="U549">
        <v>7939</v>
      </c>
      <c r="V549">
        <v>6474</v>
      </c>
      <c r="W549">
        <v>9404</v>
      </c>
      <c r="X549">
        <v>4754</v>
      </c>
      <c r="Y549">
        <v>62.5</v>
      </c>
      <c r="Z549">
        <v>58.6</v>
      </c>
      <c r="AA549">
        <v>66.5</v>
      </c>
    </row>
    <row r="550" spans="1:27" x14ac:dyDescent="0.25">
      <c r="A550" t="s">
        <v>228</v>
      </c>
      <c r="B550" t="s">
        <v>164</v>
      </c>
      <c r="C550" s="76">
        <v>44006</v>
      </c>
      <c r="D550">
        <v>49983</v>
      </c>
      <c r="E550">
        <v>34850</v>
      </c>
      <c r="F550">
        <v>65116</v>
      </c>
      <c r="G550">
        <v>27175</v>
      </c>
      <c r="H550">
        <v>64.8</v>
      </c>
      <c r="I550">
        <v>60</v>
      </c>
      <c r="J550">
        <v>69.5</v>
      </c>
      <c r="K550">
        <v>6034</v>
      </c>
      <c r="L550">
        <v>4062</v>
      </c>
      <c r="M550">
        <v>8006</v>
      </c>
      <c r="N550">
        <v>7.8</v>
      </c>
      <c r="O550">
        <v>5.9</v>
      </c>
      <c r="P550">
        <v>9.8000000000000007</v>
      </c>
      <c r="Q550">
        <f t="shared" si="14"/>
        <v>39613493</v>
      </c>
      <c r="R550">
        <f t="shared" si="15"/>
        <v>15.23218364005416</v>
      </c>
      <c r="U550">
        <v>8014</v>
      </c>
      <c r="V550">
        <v>4474</v>
      </c>
      <c r="W550">
        <v>11554</v>
      </c>
      <c r="X550">
        <v>4501</v>
      </c>
      <c r="Y550">
        <v>64</v>
      </c>
      <c r="Z550">
        <v>55.6</v>
      </c>
      <c r="AA550">
        <v>72.400000000000006</v>
      </c>
    </row>
    <row r="551" spans="1:27" x14ac:dyDescent="0.25">
      <c r="A551" t="s">
        <v>228</v>
      </c>
      <c r="B551" t="s">
        <v>164</v>
      </c>
      <c r="C551" s="76">
        <v>44007</v>
      </c>
      <c r="D551">
        <v>49220</v>
      </c>
      <c r="E551">
        <v>42970</v>
      </c>
      <c r="F551">
        <v>55469</v>
      </c>
      <c r="G551">
        <v>26057</v>
      </c>
      <c r="H551">
        <v>65.400000000000006</v>
      </c>
      <c r="I551">
        <v>63.2</v>
      </c>
      <c r="J551">
        <v>67.599999999999994</v>
      </c>
      <c r="K551">
        <v>6066</v>
      </c>
      <c r="L551">
        <v>5188</v>
      </c>
      <c r="M551">
        <v>6944</v>
      </c>
      <c r="N551">
        <v>8.1</v>
      </c>
      <c r="O551">
        <v>7.3</v>
      </c>
      <c r="P551">
        <v>8.8000000000000007</v>
      </c>
      <c r="Q551">
        <f t="shared" ref="Q551:Q614" si="16">VLOOKUP(B551,$AE$4:$AF$55,2,FALSE)</f>
        <v>39613493</v>
      </c>
      <c r="R551">
        <f t="shared" si="15"/>
        <v>15.312964196315633</v>
      </c>
      <c r="U551">
        <v>8037</v>
      </c>
      <c r="V551">
        <v>6736</v>
      </c>
      <c r="W551">
        <v>9337</v>
      </c>
      <c r="X551">
        <v>4137</v>
      </c>
      <c r="Y551">
        <v>66</v>
      </c>
      <c r="Z551">
        <v>62.4</v>
      </c>
      <c r="AA551">
        <v>69.599999999999994</v>
      </c>
    </row>
    <row r="552" spans="1:27" x14ac:dyDescent="0.25">
      <c r="A552" t="s">
        <v>228</v>
      </c>
      <c r="B552" t="s">
        <v>164</v>
      </c>
      <c r="C552" s="76">
        <v>44008</v>
      </c>
      <c r="D552">
        <v>49400</v>
      </c>
      <c r="E552">
        <v>43154</v>
      </c>
      <c r="F552">
        <v>55645</v>
      </c>
      <c r="G552">
        <v>25565</v>
      </c>
      <c r="H552">
        <v>65.900000000000006</v>
      </c>
      <c r="I552">
        <v>63.7</v>
      </c>
      <c r="J552">
        <v>68.099999999999994</v>
      </c>
      <c r="K552">
        <v>6149</v>
      </c>
      <c r="L552">
        <v>5259</v>
      </c>
      <c r="M552">
        <v>7039</v>
      </c>
      <c r="N552">
        <v>8.1999999999999993</v>
      </c>
      <c r="O552">
        <v>7.4</v>
      </c>
      <c r="P552">
        <v>9</v>
      </c>
      <c r="Q552">
        <f t="shared" si="16"/>
        <v>39613493</v>
      </c>
      <c r="R552">
        <f t="shared" si="15"/>
        <v>15.522488764118831</v>
      </c>
      <c r="U552">
        <v>8082</v>
      </c>
      <c r="V552">
        <v>6785</v>
      </c>
      <c r="W552">
        <v>9379</v>
      </c>
      <c r="X552">
        <v>4087</v>
      </c>
      <c r="Y552">
        <v>66.400000000000006</v>
      </c>
      <c r="Z552">
        <v>62.7</v>
      </c>
      <c r="AA552">
        <v>70.099999999999994</v>
      </c>
    </row>
    <row r="553" spans="1:27" x14ac:dyDescent="0.25">
      <c r="A553" t="s">
        <v>228</v>
      </c>
      <c r="B553" t="s">
        <v>164</v>
      </c>
      <c r="C553" s="76">
        <v>44009</v>
      </c>
      <c r="D553">
        <v>48128</v>
      </c>
      <c r="E553">
        <v>42038</v>
      </c>
      <c r="F553">
        <v>54218</v>
      </c>
      <c r="G553">
        <v>26476</v>
      </c>
      <c r="H553">
        <v>64.5</v>
      </c>
      <c r="I553">
        <v>62.3</v>
      </c>
      <c r="J553">
        <v>66.8</v>
      </c>
      <c r="K553">
        <v>6381</v>
      </c>
      <c r="L553">
        <v>5473</v>
      </c>
      <c r="M553">
        <v>7288</v>
      </c>
      <c r="N553">
        <v>8.6</v>
      </c>
      <c r="O553">
        <v>7.8</v>
      </c>
      <c r="P553">
        <v>9.3000000000000007</v>
      </c>
      <c r="Q553">
        <f t="shared" si="16"/>
        <v>39613493</v>
      </c>
      <c r="R553">
        <f t="shared" si="15"/>
        <v>16.108147797014517</v>
      </c>
      <c r="U553">
        <v>7975</v>
      </c>
      <c r="V553">
        <v>6697</v>
      </c>
      <c r="W553">
        <v>9253</v>
      </c>
      <c r="X553">
        <v>4116</v>
      </c>
      <c r="Y553">
        <v>66</v>
      </c>
      <c r="Z553">
        <v>62.6</v>
      </c>
      <c r="AA553">
        <v>69.400000000000006</v>
      </c>
    </row>
    <row r="554" spans="1:27" x14ac:dyDescent="0.25">
      <c r="A554" t="s">
        <v>228</v>
      </c>
      <c r="B554" t="s">
        <v>164</v>
      </c>
      <c r="C554" s="76">
        <v>44010</v>
      </c>
      <c r="D554">
        <v>48013</v>
      </c>
      <c r="E554">
        <v>41839</v>
      </c>
      <c r="F554">
        <v>54188</v>
      </c>
      <c r="G554">
        <v>27991</v>
      </c>
      <c r="H554">
        <v>63.2</v>
      </c>
      <c r="I554">
        <v>60.9</v>
      </c>
      <c r="J554">
        <v>65.5</v>
      </c>
      <c r="K554">
        <v>6547</v>
      </c>
      <c r="L554">
        <v>5614</v>
      </c>
      <c r="M554">
        <v>7480</v>
      </c>
      <c r="N554">
        <v>8.6</v>
      </c>
      <c r="O554">
        <v>7.8</v>
      </c>
      <c r="P554">
        <v>9.4</v>
      </c>
      <c r="Q554">
        <f t="shared" si="16"/>
        <v>39613493</v>
      </c>
      <c r="R554">
        <f t="shared" si="15"/>
        <v>16.527196932620914</v>
      </c>
      <c r="U554">
        <v>8045</v>
      </c>
      <c r="V554">
        <v>6705</v>
      </c>
      <c r="W554">
        <v>9385</v>
      </c>
      <c r="X554">
        <v>4401</v>
      </c>
      <c r="Y554">
        <v>64.599999999999994</v>
      </c>
      <c r="Z554">
        <v>61</v>
      </c>
      <c r="AA554">
        <v>68.3</v>
      </c>
    </row>
    <row r="555" spans="1:27" x14ac:dyDescent="0.25">
      <c r="A555" t="s">
        <v>228</v>
      </c>
      <c r="B555" t="s">
        <v>164</v>
      </c>
      <c r="C555" s="76">
        <v>44011</v>
      </c>
      <c r="D555">
        <v>47227</v>
      </c>
      <c r="E555">
        <v>41255</v>
      </c>
      <c r="F555">
        <v>53200</v>
      </c>
      <c r="G555">
        <v>27535</v>
      </c>
      <c r="H555">
        <v>63.2</v>
      </c>
      <c r="I555">
        <v>60.9</v>
      </c>
      <c r="J555">
        <v>65.5</v>
      </c>
      <c r="K555">
        <v>6840</v>
      </c>
      <c r="L555">
        <v>5878</v>
      </c>
      <c r="M555">
        <v>7802</v>
      </c>
      <c r="N555">
        <v>9.1</v>
      </c>
      <c r="O555">
        <v>8.3000000000000007</v>
      </c>
      <c r="P555">
        <v>10</v>
      </c>
      <c r="Q555">
        <f t="shared" si="16"/>
        <v>39613493</v>
      </c>
      <c r="R555">
        <f t="shared" si="15"/>
        <v>17.266843900890034</v>
      </c>
      <c r="U555">
        <v>7952</v>
      </c>
      <c r="V555">
        <v>6683</v>
      </c>
      <c r="W555">
        <v>9220</v>
      </c>
      <c r="X555">
        <v>4400</v>
      </c>
      <c r="Y555">
        <v>64.400000000000006</v>
      </c>
      <c r="Z555">
        <v>61</v>
      </c>
      <c r="AA555">
        <v>67.8</v>
      </c>
    </row>
    <row r="556" spans="1:27" x14ac:dyDescent="0.25">
      <c r="A556" t="s">
        <v>228</v>
      </c>
      <c r="B556" t="s">
        <v>164</v>
      </c>
      <c r="C556" s="76">
        <v>44012</v>
      </c>
      <c r="D556">
        <v>49111</v>
      </c>
      <c r="E556">
        <v>42951</v>
      </c>
      <c r="F556">
        <v>55272</v>
      </c>
      <c r="G556">
        <v>26396</v>
      </c>
      <c r="H556">
        <v>65</v>
      </c>
      <c r="I556">
        <v>62.8</v>
      </c>
      <c r="J556">
        <v>67.3</v>
      </c>
      <c r="K556">
        <v>7014</v>
      </c>
      <c r="L556">
        <v>6032</v>
      </c>
      <c r="M556">
        <v>7996</v>
      </c>
      <c r="N556">
        <v>9.3000000000000007</v>
      </c>
      <c r="O556">
        <v>8.5</v>
      </c>
      <c r="P556">
        <v>10.1</v>
      </c>
      <c r="Q556">
        <f t="shared" si="16"/>
        <v>39613493</v>
      </c>
      <c r="R556">
        <f t="shared" si="15"/>
        <v>17.706088175561796</v>
      </c>
      <c r="U556">
        <v>8155</v>
      </c>
      <c r="V556">
        <v>6844</v>
      </c>
      <c r="W556">
        <v>9466</v>
      </c>
      <c r="X556">
        <v>4222</v>
      </c>
      <c r="Y556">
        <v>65.900000000000006</v>
      </c>
      <c r="Z556">
        <v>62.4</v>
      </c>
      <c r="AA556">
        <v>69.400000000000006</v>
      </c>
    </row>
    <row r="557" spans="1:27" x14ac:dyDescent="0.25">
      <c r="A557" t="s">
        <v>228</v>
      </c>
      <c r="B557" t="s">
        <v>164</v>
      </c>
      <c r="C557" s="76">
        <v>44013</v>
      </c>
      <c r="D557">
        <v>49903</v>
      </c>
      <c r="E557">
        <v>43651</v>
      </c>
      <c r="F557">
        <v>56155</v>
      </c>
      <c r="G557">
        <v>25988</v>
      </c>
      <c r="H557">
        <v>65.8</v>
      </c>
      <c r="I557">
        <v>63.6</v>
      </c>
      <c r="J557">
        <v>68</v>
      </c>
      <c r="K557">
        <v>7232</v>
      </c>
      <c r="L557">
        <v>6242</v>
      </c>
      <c r="M557">
        <v>8222</v>
      </c>
      <c r="N557">
        <v>9.5</v>
      </c>
      <c r="O557">
        <v>8.6999999999999993</v>
      </c>
      <c r="P557">
        <v>10.4</v>
      </c>
      <c r="Q557">
        <f t="shared" si="16"/>
        <v>39613493</v>
      </c>
      <c r="R557">
        <f t="shared" si="15"/>
        <v>18.256405715093088</v>
      </c>
      <c r="U557">
        <v>8183</v>
      </c>
      <c r="V557">
        <v>6865</v>
      </c>
      <c r="W557">
        <v>9501</v>
      </c>
      <c r="X557">
        <v>4169</v>
      </c>
      <c r="Y557">
        <v>66.2</v>
      </c>
      <c r="Z557">
        <v>62.8</v>
      </c>
      <c r="AA557">
        <v>69.7</v>
      </c>
    </row>
    <row r="558" spans="1:27" x14ac:dyDescent="0.25">
      <c r="A558" t="s">
        <v>228</v>
      </c>
      <c r="B558" t="s">
        <v>164</v>
      </c>
      <c r="C558" s="76">
        <v>44014</v>
      </c>
      <c r="D558">
        <v>49770</v>
      </c>
      <c r="E558">
        <v>43347</v>
      </c>
      <c r="F558">
        <v>56194</v>
      </c>
      <c r="G558">
        <v>25108</v>
      </c>
      <c r="H558">
        <v>66.5</v>
      </c>
      <c r="I558">
        <v>64.2</v>
      </c>
      <c r="J558">
        <v>68.8</v>
      </c>
      <c r="K558">
        <v>7458</v>
      </c>
      <c r="L558">
        <v>6422</v>
      </c>
      <c r="M558">
        <v>8494</v>
      </c>
      <c r="N558">
        <v>10</v>
      </c>
      <c r="O558">
        <v>9.1</v>
      </c>
      <c r="P558">
        <v>10.9</v>
      </c>
      <c r="Q558">
        <f t="shared" si="16"/>
        <v>39613493</v>
      </c>
      <c r="R558">
        <f t="shared" si="15"/>
        <v>18.826918393689745</v>
      </c>
      <c r="U558">
        <v>8251</v>
      </c>
      <c r="V558">
        <v>6852</v>
      </c>
      <c r="W558">
        <v>9651</v>
      </c>
      <c r="X558">
        <v>4041</v>
      </c>
      <c r="Y558">
        <v>67.099999999999994</v>
      </c>
      <c r="Z558">
        <v>63.5</v>
      </c>
      <c r="AA558">
        <v>70.8</v>
      </c>
    </row>
    <row r="559" spans="1:27" x14ac:dyDescent="0.25">
      <c r="A559" t="s">
        <v>228</v>
      </c>
      <c r="B559" t="s">
        <v>164</v>
      </c>
      <c r="C559" s="76">
        <v>44015</v>
      </c>
      <c r="D559">
        <v>49438</v>
      </c>
      <c r="E559">
        <v>43013</v>
      </c>
      <c r="F559">
        <v>55862</v>
      </c>
      <c r="G559">
        <v>27920</v>
      </c>
      <c r="H559">
        <v>63.9</v>
      </c>
      <c r="I559">
        <v>61.7</v>
      </c>
      <c r="J559">
        <v>66.099999999999994</v>
      </c>
      <c r="K559">
        <v>7521</v>
      </c>
      <c r="L559">
        <v>6465</v>
      </c>
      <c r="M559">
        <v>8578</v>
      </c>
      <c r="N559">
        <v>9.6999999999999993</v>
      </c>
      <c r="O559">
        <v>8.8000000000000007</v>
      </c>
      <c r="P559">
        <v>10.6</v>
      </c>
      <c r="Q559">
        <f t="shared" si="16"/>
        <v>39613493</v>
      </c>
      <c r="R559">
        <f t="shared" si="15"/>
        <v>18.985955113829522</v>
      </c>
      <c r="U559">
        <v>8269</v>
      </c>
      <c r="V559">
        <v>6852</v>
      </c>
      <c r="W559">
        <v>9685</v>
      </c>
      <c r="X559">
        <v>4054</v>
      </c>
      <c r="Y559">
        <v>67.099999999999994</v>
      </c>
      <c r="Z559">
        <v>63.5</v>
      </c>
      <c r="AA559">
        <v>70.7</v>
      </c>
    </row>
    <row r="560" spans="1:27" x14ac:dyDescent="0.25">
      <c r="A560" t="s">
        <v>228</v>
      </c>
      <c r="B560" t="s">
        <v>164</v>
      </c>
      <c r="C560" s="76">
        <v>44016</v>
      </c>
      <c r="D560">
        <v>47049</v>
      </c>
      <c r="E560">
        <v>40914</v>
      </c>
      <c r="F560">
        <v>53184</v>
      </c>
      <c r="G560">
        <v>29846</v>
      </c>
      <c r="H560">
        <v>61.2</v>
      </c>
      <c r="I560">
        <v>58.9</v>
      </c>
      <c r="J560">
        <v>63.4</v>
      </c>
      <c r="K560">
        <v>7616</v>
      </c>
      <c r="L560">
        <v>6553</v>
      </c>
      <c r="M560">
        <v>8679</v>
      </c>
      <c r="N560">
        <v>9.9</v>
      </c>
      <c r="O560">
        <v>9</v>
      </c>
      <c r="P560">
        <v>10.8</v>
      </c>
      <c r="Q560">
        <f t="shared" si="16"/>
        <v>39613493</v>
      </c>
      <c r="R560">
        <f t="shared" si="15"/>
        <v>19.225772390230773</v>
      </c>
      <c r="U560">
        <v>8031</v>
      </c>
      <c r="V560">
        <v>6679</v>
      </c>
      <c r="W560">
        <v>9383</v>
      </c>
      <c r="X560">
        <v>4409</v>
      </c>
      <c r="Y560">
        <v>64.599999999999994</v>
      </c>
      <c r="Z560">
        <v>61</v>
      </c>
      <c r="AA560">
        <v>68.099999999999994</v>
      </c>
    </row>
    <row r="561" spans="1:27" x14ac:dyDescent="0.25">
      <c r="A561" t="s">
        <v>228</v>
      </c>
      <c r="B561" t="s">
        <v>164</v>
      </c>
      <c r="C561" s="76">
        <v>44017</v>
      </c>
      <c r="D561">
        <v>45974</v>
      </c>
      <c r="E561">
        <v>39974</v>
      </c>
      <c r="F561">
        <v>51973</v>
      </c>
      <c r="G561">
        <v>30488</v>
      </c>
      <c r="H561">
        <v>60.1</v>
      </c>
      <c r="I561">
        <v>57.8</v>
      </c>
      <c r="J561">
        <v>62.4</v>
      </c>
      <c r="K561">
        <v>7674</v>
      </c>
      <c r="L561">
        <v>6595</v>
      </c>
      <c r="M561">
        <v>8754</v>
      </c>
      <c r="N561">
        <v>10</v>
      </c>
      <c r="O561">
        <v>9.1</v>
      </c>
      <c r="P561">
        <v>11</v>
      </c>
      <c r="Q561">
        <f t="shared" si="16"/>
        <v>39613493</v>
      </c>
      <c r="R561">
        <f t="shared" si="15"/>
        <v>19.372187148454692</v>
      </c>
      <c r="U561">
        <v>7918</v>
      </c>
      <c r="V561">
        <v>6576</v>
      </c>
      <c r="W561">
        <v>9261</v>
      </c>
      <c r="X561">
        <v>4431</v>
      </c>
      <c r="Y561">
        <v>64.099999999999994</v>
      </c>
      <c r="Z561">
        <v>60.6</v>
      </c>
      <c r="AA561">
        <v>67.7</v>
      </c>
    </row>
    <row r="562" spans="1:27" x14ac:dyDescent="0.25">
      <c r="A562" t="s">
        <v>228</v>
      </c>
      <c r="B562" t="s">
        <v>164</v>
      </c>
      <c r="C562" s="76">
        <v>44018</v>
      </c>
      <c r="D562">
        <v>46529</v>
      </c>
      <c r="E562">
        <v>40461</v>
      </c>
      <c r="F562">
        <v>52596</v>
      </c>
      <c r="G562">
        <v>30407</v>
      </c>
      <c r="H562">
        <v>60.5</v>
      </c>
      <c r="I562">
        <v>58.2</v>
      </c>
      <c r="J562">
        <v>62.7</v>
      </c>
      <c r="K562">
        <v>7906</v>
      </c>
      <c r="L562">
        <v>6791</v>
      </c>
      <c r="M562">
        <v>9021</v>
      </c>
      <c r="N562">
        <v>10.3</v>
      </c>
      <c r="O562">
        <v>9.3000000000000007</v>
      </c>
      <c r="P562">
        <v>11.2</v>
      </c>
      <c r="Q562">
        <f t="shared" si="16"/>
        <v>39613493</v>
      </c>
      <c r="R562">
        <f t="shared" si="15"/>
        <v>19.95784618135038</v>
      </c>
      <c r="U562">
        <v>7974</v>
      </c>
      <c r="V562">
        <v>6632</v>
      </c>
      <c r="W562">
        <v>9316</v>
      </c>
      <c r="X562">
        <v>4474</v>
      </c>
      <c r="Y562">
        <v>64.099999999999994</v>
      </c>
      <c r="Z562">
        <v>60.8</v>
      </c>
      <c r="AA562">
        <v>67.400000000000006</v>
      </c>
    </row>
    <row r="563" spans="1:27" x14ac:dyDescent="0.25">
      <c r="A563" t="s">
        <v>228</v>
      </c>
      <c r="B563" t="s">
        <v>164</v>
      </c>
      <c r="C563" s="76">
        <v>44019</v>
      </c>
      <c r="D563">
        <v>49447</v>
      </c>
      <c r="E563">
        <v>43012</v>
      </c>
      <c r="F563">
        <v>55882</v>
      </c>
      <c r="G563">
        <v>27177</v>
      </c>
      <c r="H563">
        <v>64.5</v>
      </c>
      <c r="I563">
        <v>62.2</v>
      </c>
      <c r="J563">
        <v>66.900000000000006</v>
      </c>
      <c r="K563">
        <v>8120</v>
      </c>
      <c r="L563">
        <v>6971</v>
      </c>
      <c r="M563">
        <v>9268</v>
      </c>
      <c r="N563">
        <v>10.6</v>
      </c>
      <c r="O563">
        <v>9.6</v>
      </c>
      <c r="P563">
        <v>11.6</v>
      </c>
      <c r="Q563">
        <f t="shared" si="16"/>
        <v>39613493</v>
      </c>
      <c r="R563">
        <f t="shared" si="15"/>
        <v>20.498066151348986</v>
      </c>
      <c r="U563">
        <v>8261</v>
      </c>
      <c r="V563">
        <v>6855</v>
      </c>
      <c r="W563">
        <v>9667</v>
      </c>
      <c r="X563">
        <v>4100</v>
      </c>
      <c r="Y563">
        <v>66.8</v>
      </c>
      <c r="Z563">
        <v>63.3</v>
      </c>
      <c r="AA563">
        <v>70.400000000000006</v>
      </c>
    </row>
    <row r="564" spans="1:27" x14ac:dyDescent="0.25">
      <c r="A564" t="s">
        <v>229</v>
      </c>
      <c r="B564" t="s">
        <v>191</v>
      </c>
      <c r="C564" s="76">
        <v>43936</v>
      </c>
      <c r="D564">
        <v>5276</v>
      </c>
      <c r="E564">
        <v>2423</v>
      </c>
      <c r="F564">
        <v>8128</v>
      </c>
      <c r="G564">
        <v>5691</v>
      </c>
      <c r="H564">
        <v>48.1</v>
      </c>
      <c r="I564">
        <v>38.5</v>
      </c>
      <c r="J564">
        <v>57.7</v>
      </c>
      <c r="K564">
        <v>869</v>
      </c>
      <c r="L564">
        <v>277</v>
      </c>
      <c r="M564">
        <v>1461</v>
      </c>
      <c r="N564">
        <v>7.9</v>
      </c>
      <c r="O564">
        <v>4.0999999999999996</v>
      </c>
      <c r="P564">
        <v>11.8</v>
      </c>
      <c r="Q564">
        <f t="shared" si="16"/>
        <v>5893634</v>
      </c>
      <c r="R564">
        <f t="shared" si="15"/>
        <v>14.744722865383226</v>
      </c>
      <c r="U564">
        <v>889</v>
      </c>
      <c r="V564">
        <v>288</v>
      </c>
      <c r="W564">
        <v>1489</v>
      </c>
      <c r="X564">
        <v>452</v>
      </c>
      <c r="Y564">
        <v>66.3</v>
      </c>
      <c r="Z564">
        <v>53.5</v>
      </c>
      <c r="AA564">
        <v>79.099999999999994</v>
      </c>
    </row>
    <row r="565" spans="1:27" x14ac:dyDescent="0.25">
      <c r="A565" t="s">
        <v>229</v>
      </c>
      <c r="B565" t="s">
        <v>191</v>
      </c>
      <c r="C565" s="76">
        <v>43937</v>
      </c>
      <c r="D565">
        <v>5434</v>
      </c>
      <c r="E565">
        <v>2508</v>
      </c>
      <c r="F565">
        <v>8360</v>
      </c>
      <c r="G565">
        <v>5532</v>
      </c>
      <c r="H565">
        <v>49.6</v>
      </c>
      <c r="I565">
        <v>39.6</v>
      </c>
      <c r="J565">
        <v>59.5</v>
      </c>
      <c r="K565">
        <v>1058</v>
      </c>
      <c r="L565">
        <v>348</v>
      </c>
      <c r="M565">
        <v>1768</v>
      </c>
      <c r="N565">
        <v>9.6999999999999993</v>
      </c>
      <c r="O565">
        <v>5.5</v>
      </c>
      <c r="P565">
        <v>13.8</v>
      </c>
      <c r="Q565">
        <f t="shared" si="16"/>
        <v>5893634</v>
      </c>
      <c r="R565">
        <f t="shared" si="15"/>
        <v>17.951572832652992</v>
      </c>
      <c r="U565">
        <v>904</v>
      </c>
      <c r="V565">
        <v>309</v>
      </c>
      <c r="W565">
        <v>1499</v>
      </c>
      <c r="X565">
        <v>436</v>
      </c>
      <c r="Y565">
        <v>67.400000000000006</v>
      </c>
      <c r="Z565">
        <v>55.8</v>
      </c>
      <c r="AA565">
        <v>79.099999999999994</v>
      </c>
    </row>
    <row r="566" spans="1:27" x14ac:dyDescent="0.25">
      <c r="A566" t="s">
        <v>229</v>
      </c>
      <c r="B566" t="s">
        <v>191</v>
      </c>
      <c r="C566" s="76">
        <v>43938</v>
      </c>
      <c r="D566">
        <v>5375</v>
      </c>
      <c r="E566">
        <v>2468</v>
      </c>
      <c r="F566">
        <v>8283</v>
      </c>
      <c r="G566">
        <v>5561</v>
      </c>
      <c r="H566">
        <v>49.2</v>
      </c>
      <c r="I566">
        <v>39.1</v>
      </c>
      <c r="J566">
        <v>59.2</v>
      </c>
      <c r="K566">
        <v>1092</v>
      </c>
      <c r="L566">
        <v>374</v>
      </c>
      <c r="M566">
        <v>1811</v>
      </c>
      <c r="N566">
        <v>10</v>
      </c>
      <c r="O566">
        <v>5.9</v>
      </c>
      <c r="P566">
        <v>14</v>
      </c>
      <c r="Q566">
        <f t="shared" si="16"/>
        <v>5893634</v>
      </c>
      <c r="R566">
        <f t="shared" si="15"/>
        <v>18.528466477558666</v>
      </c>
      <c r="U566">
        <v>908</v>
      </c>
      <c r="V566">
        <v>324</v>
      </c>
      <c r="W566">
        <v>1491</v>
      </c>
      <c r="X566">
        <v>437</v>
      </c>
      <c r="Y566">
        <v>67.5</v>
      </c>
      <c r="Z566">
        <v>56.3</v>
      </c>
      <c r="AA566">
        <v>78.599999999999994</v>
      </c>
    </row>
    <row r="567" spans="1:27" x14ac:dyDescent="0.25">
      <c r="A567" t="s">
        <v>229</v>
      </c>
      <c r="B567" t="s">
        <v>191</v>
      </c>
      <c r="C567" s="76">
        <v>43939</v>
      </c>
      <c r="D567">
        <v>5429</v>
      </c>
      <c r="E567">
        <v>2485</v>
      </c>
      <c r="F567">
        <v>8372</v>
      </c>
      <c r="G567">
        <v>5535</v>
      </c>
      <c r="H567">
        <v>49.5</v>
      </c>
      <c r="I567">
        <v>38.9</v>
      </c>
      <c r="J567">
        <v>60.1</v>
      </c>
      <c r="K567">
        <v>854</v>
      </c>
      <c r="L567">
        <v>298</v>
      </c>
      <c r="M567">
        <v>1410</v>
      </c>
      <c r="N567">
        <v>7.8</v>
      </c>
      <c r="O567">
        <v>4.5999999999999996</v>
      </c>
      <c r="P567">
        <v>10.9</v>
      </c>
      <c r="Q567">
        <f t="shared" si="16"/>
        <v>5893634</v>
      </c>
      <c r="R567">
        <f t="shared" si="15"/>
        <v>14.490210963218958</v>
      </c>
      <c r="U567">
        <v>886</v>
      </c>
      <c r="V567">
        <v>321</v>
      </c>
      <c r="W567">
        <v>1451</v>
      </c>
      <c r="X567">
        <v>464</v>
      </c>
      <c r="Y567">
        <v>65.599999999999994</v>
      </c>
      <c r="Z567">
        <v>54.9</v>
      </c>
      <c r="AA567">
        <v>76.400000000000006</v>
      </c>
    </row>
    <row r="568" spans="1:27" x14ac:dyDescent="0.25">
      <c r="A568" t="s">
        <v>229</v>
      </c>
      <c r="B568" t="s">
        <v>191</v>
      </c>
      <c r="C568" s="76">
        <v>43940</v>
      </c>
      <c r="D568">
        <v>5288</v>
      </c>
      <c r="E568">
        <v>2428</v>
      </c>
      <c r="F568">
        <v>8148</v>
      </c>
      <c r="G568">
        <v>5676</v>
      </c>
      <c r="H568">
        <v>48.2</v>
      </c>
      <c r="I568">
        <v>38</v>
      </c>
      <c r="J568">
        <v>58.4</v>
      </c>
      <c r="K568">
        <v>911</v>
      </c>
      <c r="L568">
        <v>311</v>
      </c>
      <c r="M568">
        <v>1511</v>
      </c>
      <c r="N568">
        <v>8.3000000000000007</v>
      </c>
      <c r="O568">
        <v>4.8</v>
      </c>
      <c r="P568">
        <v>11.8</v>
      </c>
      <c r="Q568">
        <f t="shared" si="16"/>
        <v>5893634</v>
      </c>
      <c r="R568">
        <f t="shared" si="15"/>
        <v>15.457356191443173</v>
      </c>
      <c r="U568">
        <v>866</v>
      </c>
      <c r="V568">
        <v>332</v>
      </c>
      <c r="W568">
        <v>1401</v>
      </c>
      <c r="X568">
        <v>484</v>
      </c>
      <c r="Y568">
        <v>64.099999999999994</v>
      </c>
      <c r="Z568">
        <v>52.6</v>
      </c>
      <c r="AA568">
        <v>75.7</v>
      </c>
    </row>
    <row r="569" spans="1:27" x14ac:dyDescent="0.25">
      <c r="A569" t="s">
        <v>229</v>
      </c>
      <c r="B569" t="s">
        <v>191</v>
      </c>
      <c r="C569" s="76">
        <v>43941</v>
      </c>
      <c r="D569">
        <v>5415</v>
      </c>
      <c r="E569">
        <v>2531</v>
      </c>
      <c r="F569">
        <v>8299</v>
      </c>
      <c r="G569">
        <v>5533</v>
      </c>
      <c r="H569">
        <v>49.5</v>
      </c>
      <c r="I569">
        <v>40.1</v>
      </c>
      <c r="J569">
        <v>58.8</v>
      </c>
      <c r="K569">
        <v>915</v>
      </c>
      <c r="L569">
        <v>302</v>
      </c>
      <c r="M569">
        <v>1527</v>
      </c>
      <c r="N569">
        <v>8.4</v>
      </c>
      <c r="O569">
        <v>4.7</v>
      </c>
      <c r="P569">
        <v>12</v>
      </c>
      <c r="Q569">
        <f t="shared" si="16"/>
        <v>5893634</v>
      </c>
      <c r="R569">
        <f t="shared" si="15"/>
        <v>15.525226032020312</v>
      </c>
      <c r="U569">
        <v>930</v>
      </c>
      <c r="V569">
        <v>330</v>
      </c>
      <c r="W569">
        <v>1530</v>
      </c>
      <c r="X569">
        <v>428</v>
      </c>
      <c r="Y569">
        <v>68.5</v>
      </c>
      <c r="Z569">
        <v>53.5</v>
      </c>
      <c r="AA569">
        <v>83.5</v>
      </c>
    </row>
    <row r="570" spans="1:27" x14ac:dyDescent="0.25">
      <c r="A570" t="s">
        <v>229</v>
      </c>
      <c r="B570" t="s">
        <v>191</v>
      </c>
      <c r="C570" s="76">
        <v>43942</v>
      </c>
      <c r="D570">
        <v>5810</v>
      </c>
      <c r="E570">
        <v>2608</v>
      </c>
      <c r="F570">
        <v>9012</v>
      </c>
      <c r="G570">
        <v>5089</v>
      </c>
      <c r="H570">
        <v>53.3</v>
      </c>
      <c r="I570">
        <v>42.3</v>
      </c>
      <c r="J570">
        <v>64.3</v>
      </c>
      <c r="K570">
        <v>1077</v>
      </c>
      <c r="L570">
        <v>349</v>
      </c>
      <c r="M570">
        <v>1804</v>
      </c>
      <c r="N570">
        <v>9.9</v>
      </c>
      <c r="O570">
        <v>5.9</v>
      </c>
      <c r="P570">
        <v>13.8</v>
      </c>
      <c r="Q570">
        <f t="shared" si="16"/>
        <v>5893634</v>
      </c>
      <c r="R570">
        <f t="shared" si="15"/>
        <v>18.273954575394399</v>
      </c>
      <c r="U570">
        <v>912</v>
      </c>
      <c r="V570">
        <v>307</v>
      </c>
      <c r="W570">
        <v>1516</v>
      </c>
      <c r="X570">
        <v>415</v>
      </c>
      <c r="Y570">
        <v>68.7</v>
      </c>
      <c r="Z570">
        <v>51.8</v>
      </c>
      <c r="AA570">
        <v>85.6</v>
      </c>
    </row>
    <row r="571" spans="1:27" x14ac:dyDescent="0.25">
      <c r="A571" t="s">
        <v>229</v>
      </c>
      <c r="B571" t="s">
        <v>191</v>
      </c>
      <c r="C571" s="76">
        <v>43943</v>
      </c>
      <c r="D571">
        <v>5789</v>
      </c>
      <c r="E571">
        <v>2556</v>
      </c>
      <c r="F571">
        <v>9021</v>
      </c>
      <c r="G571">
        <v>5110</v>
      </c>
      <c r="H571">
        <v>53.1</v>
      </c>
      <c r="I571">
        <v>42.2</v>
      </c>
      <c r="J571">
        <v>64</v>
      </c>
      <c r="K571">
        <v>1113</v>
      </c>
      <c r="L571">
        <v>357</v>
      </c>
      <c r="M571">
        <v>1869</v>
      </c>
      <c r="N571">
        <v>10.199999999999999</v>
      </c>
      <c r="O571">
        <v>6.3</v>
      </c>
      <c r="P571">
        <v>14.1</v>
      </c>
      <c r="Q571">
        <f t="shared" si="16"/>
        <v>5893634</v>
      </c>
      <c r="R571">
        <f t="shared" si="15"/>
        <v>18.884783140588642</v>
      </c>
      <c r="U571">
        <v>891</v>
      </c>
      <c r="V571">
        <v>288</v>
      </c>
      <c r="W571">
        <v>1494</v>
      </c>
      <c r="X571">
        <v>426</v>
      </c>
      <c r="Y571">
        <v>67.7</v>
      </c>
      <c r="Z571">
        <v>49.6</v>
      </c>
      <c r="AA571">
        <v>85.8</v>
      </c>
    </row>
    <row r="572" spans="1:27" x14ac:dyDescent="0.25">
      <c r="A572" t="s">
        <v>229</v>
      </c>
      <c r="B572" t="s">
        <v>191</v>
      </c>
      <c r="C572" s="76">
        <v>43944</v>
      </c>
      <c r="D572">
        <v>5693</v>
      </c>
      <c r="E572">
        <v>2562</v>
      </c>
      <c r="F572">
        <v>8824</v>
      </c>
      <c r="G572">
        <v>5206</v>
      </c>
      <c r="H572">
        <v>52.2</v>
      </c>
      <c r="I572">
        <v>42.3</v>
      </c>
      <c r="J572">
        <v>62.1</v>
      </c>
      <c r="K572">
        <v>1069</v>
      </c>
      <c r="L572">
        <v>340</v>
      </c>
      <c r="M572">
        <v>1798</v>
      </c>
      <c r="N572">
        <v>9.8000000000000007</v>
      </c>
      <c r="O572">
        <v>6</v>
      </c>
      <c r="P572">
        <v>13.6</v>
      </c>
      <c r="Q572">
        <f t="shared" si="16"/>
        <v>5893634</v>
      </c>
      <c r="R572">
        <f t="shared" si="15"/>
        <v>18.138214894240125</v>
      </c>
      <c r="U572">
        <v>831</v>
      </c>
      <c r="V572">
        <v>287</v>
      </c>
      <c r="W572">
        <v>1375</v>
      </c>
      <c r="X572">
        <v>483</v>
      </c>
      <c r="Y572">
        <v>63.2</v>
      </c>
      <c r="Z572">
        <v>47</v>
      </c>
      <c r="AA572">
        <v>79.5</v>
      </c>
    </row>
    <row r="573" spans="1:27" x14ac:dyDescent="0.25">
      <c r="A573" t="s">
        <v>229</v>
      </c>
      <c r="B573" t="s">
        <v>191</v>
      </c>
      <c r="C573" s="76">
        <v>43945</v>
      </c>
      <c r="D573">
        <v>5642</v>
      </c>
      <c r="E573">
        <v>2528</v>
      </c>
      <c r="F573">
        <v>8756</v>
      </c>
      <c r="G573">
        <v>5229</v>
      </c>
      <c r="H573">
        <v>51.9</v>
      </c>
      <c r="I573">
        <v>41.3</v>
      </c>
      <c r="J573">
        <v>62.5</v>
      </c>
      <c r="K573">
        <v>1003</v>
      </c>
      <c r="L573">
        <v>316</v>
      </c>
      <c r="M573">
        <v>1690</v>
      </c>
      <c r="N573">
        <v>9.1999999999999993</v>
      </c>
      <c r="O573">
        <v>5.4</v>
      </c>
      <c r="P573">
        <v>13</v>
      </c>
      <c r="Q573">
        <f t="shared" si="16"/>
        <v>5893634</v>
      </c>
      <c r="R573">
        <f t="shared" si="15"/>
        <v>17.018362524717347</v>
      </c>
      <c r="U573">
        <v>873</v>
      </c>
      <c r="V573">
        <v>290</v>
      </c>
      <c r="W573">
        <v>1456</v>
      </c>
      <c r="X573">
        <v>440</v>
      </c>
      <c r="Y573">
        <v>66.5</v>
      </c>
      <c r="Z573">
        <v>48.8</v>
      </c>
      <c r="AA573">
        <v>84.1</v>
      </c>
    </row>
    <row r="574" spans="1:27" x14ac:dyDescent="0.25">
      <c r="A574" t="s">
        <v>229</v>
      </c>
      <c r="B574" t="s">
        <v>191</v>
      </c>
      <c r="C574" s="76">
        <v>43946</v>
      </c>
      <c r="D574">
        <v>5443</v>
      </c>
      <c r="E574">
        <v>2358</v>
      </c>
      <c r="F574">
        <v>8528</v>
      </c>
      <c r="G574">
        <v>5454</v>
      </c>
      <c r="H574">
        <v>50</v>
      </c>
      <c r="I574">
        <v>39.1</v>
      </c>
      <c r="J574">
        <v>60.8</v>
      </c>
      <c r="K574">
        <v>978</v>
      </c>
      <c r="L574">
        <v>315</v>
      </c>
      <c r="M574">
        <v>1641</v>
      </c>
      <c r="N574">
        <v>9</v>
      </c>
      <c r="O574">
        <v>5.5</v>
      </c>
      <c r="P574">
        <v>12.5</v>
      </c>
      <c r="Q574">
        <f t="shared" si="16"/>
        <v>5893634</v>
      </c>
      <c r="R574">
        <f t="shared" si="15"/>
        <v>16.594176021110236</v>
      </c>
      <c r="U574">
        <v>784</v>
      </c>
      <c r="V574">
        <v>263</v>
      </c>
      <c r="W574">
        <v>1305</v>
      </c>
      <c r="X574">
        <v>531</v>
      </c>
      <c r="Y574">
        <v>59.6</v>
      </c>
      <c r="Z574">
        <v>42.4</v>
      </c>
      <c r="AA574">
        <v>76.8</v>
      </c>
    </row>
    <row r="575" spans="1:27" x14ac:dyDescent="0.25">
      <c r="A575" t="s">
        <v>229</v>
      </c>
      <c r="B575" t="s">
        <v>191</v>
      </c>
      <c r="C575" s="76">
        <v>43947</v>
      </c>
      <c r="D575">
        <v>5018</v>
      </c>
      <c r="E575">
        <v>2107</v>
      </c>
      <c r="F575">
        <v>7929</v>
      </c>
      <c r="G575">
        <v>5818</v>
      </c>
      <c r="H575">
        <v>46.3</v>
      </c>
      <c r="I575">
        <v>35.5</v>
      </c>
      <c r="J575">
        <v>57.1</v>
      </c>
      <c r="K575">
        <v>926</v>
      </c>
      <c r="L575">
        <v>319</v>
      </c>
      <c r="M575">
        <v>1532</v>
      </c>
      <c r="N575">
        <v>8.5</v>
      </c>
      <c r="O575">
        <v>5.3</v>
      </c>
      <c r="P575">
        <v>11.8</v>
      </c>
      <c r="Q575">
        <f t="shared" si="16"/>
        <v>5893634</v>
      </c>
      <c r="R575">
        <f t="shared" si="15"/>
        <v>15.711868093607441</v>
      </c>
      <c r="U575">
        <v>771</v>
      </c>
      <c r="V575">
        <v>249</v>
      </c>
      <c r="W575">
        <v>1293</v>
      </c>
      <c r="X575">
        <v>558</v>
      </c>
      <c r="Y575">
        <v>58</v>
      </c>
      <c r="Z575">
        <v>40</v>
      </c>
      <c r="AA575">
        <v>76.099999999999994</v>
      </c>
    </row>
    <row r="576" spans="1:27" x14ac:dyDescent="0.25">
      <c r="A576" t="s">
        <v>229</v>
      </c>
      <c r="B576" t="s">
        <v>191</v>
      </c>
      <c r="C576" s="76">
        <v>43948</v>
      </c>
      <c r="D576">
        <v>5407</v>
      </c>
      <c r="E576">
        <v>2516</v>
      </c>
      <c r="F576">
        <v>8298</v>
      </c>
      <c r="G576">
        <v>5438</v>
      </c>
      <c r="H576">
        <v>49.9</v>
      </c>
      <c r="I576">
        <v>39.799999999999997</v>
      </c>
      <c r="J576">
        <v>59.9</v>
      </c>
      <c r="K576">
        <v>956</v>
      </c>
      <c r="L576">
        <v>323</v>
      </c>
      <c r="M576">
        <v>1588</v>
      </c>
      <c r="N576">
        <v>8.8000000000000007</v>
      </c>
      <c r="O576">
        <v>5.3</v>
      </c>
      <c r="P576">
        <v>12.3</v>
      </c>
      <c r="Q576">
        <f t="shared" si="16"/>
        <v>5893634</v>
      </c>
      <c r="R576">
        <f t="shared" si="15"/>
        <v>16.220891897935978</v>
      </c>
      <c r="U576">
        <v>818</v>
      </c>
      <c r="V576">
        <v>282</v>
      </c>
      <c r="W576">
        <v>1354</v>
      </c>
      <c r="X576">
        <v>499</v>
      </c>
      <c r="Y576">
        <v>62.1</v>
      </c>
      <c r="Z576">
        <v>49.3</v>
      </c>
      <c r="AA576">
        <v>75</v>
      </c>
    </row>
    <row r="577" spans="1:27" x14ac:dyDescent="0.25">
      <c r="A577" t="s">
        <v>229</v>
      </c>
      <c r="B577" t="s">
        <v>191</v>
      </c>
      <c r="C577" s="76">
        <v>43949</v>
      </c>
      <c r="D577">
        <v>5631</v>
      </c>
      <c r="E577">
        <v>2628</v>
      </c>
      <c r="F577">
        <v>8634</v>
      </c>
      <c r="G577">
        <v>5280</v>
      </c>
      <c r="H577">
        <v>51.6</v>
      </c>
      <c r="I577">
        <v>41.7</v>
      </c>
      <c r="J577">
        <v>61.5</v>
      </c>
      <c r="K577">
        <v>926</v>
      </c>
      <c r="L577">
        <v>313</v>
      </c>
      <c r="M577">
        <v>1538</v>
      </c>
      <c r="N577">
        <v>8.5</v>
      </c>
      <c r="O577">
        <v>5</v>
      </c>
      <c r="P577">
        <v>11.9</v>
      </c>
      <c r="Q577">
        <f t="shared" si="16"/>
        <v>5893634</v>
      </c>
      <c r="R577">
        <f t="shared" si="15"/>
        <v>15.711868093607441</v>
      </c>
      <c r="U577">
        <v>889</v>
      </c>
      <c r="V577">
        <v>303</v>
      </c>
      <c r="W577">
        <v>1475</v>
      </c>
      <c r="X577">
        <v>459</v>
      </c>
      <c r="Y577">
        <v>65.900000000000006</v>
      </c>
      <c r="Z577">
        <v>50.9</v>
      </c>
      <c r="AA577">
        <v>81</v>
      </c>
    </row>
    <row r="578" spans="1:27" x14ac:dyDescent="0.25">
      <c r="A578" t="s">
        <v>229</v>
      </c>
      <c r="B578" t="s">
        <v>191</v>
      </c>
      <c r="C578" s="76">
        <v>43950</v>
      </c>
      <c r="D578">
        <v>5776</v>
      </c>
      <c r="E578">
        <v>2585</v>
      </c>
      <c r="F578">
        <v>8967</v>
      </c>
      <c r="G578">
        <v>5125</v>
      </c>
      <c r="H578">
        <v>53</v>
      </c>
      <c r="I578">
        <v>41.5</v>
      </c>
      <c r="J578">
        <v>64.5</v>
      </c>
      <c r="K578">
        <v>929</v>
      </c>
      <c r="L578">
        <v>325</v>
      </c>
      <c r="M578">
        <v>1532</v>
      </c>
      <c r="N578">
        <v>8.5</v>
      </c>
      <c r="O578">
        <v>5.3</v>
      </c>
      <c r="P578">
        <v>11.7</v>
      </c>
      <c r="Q578">
        <f t="shared" si="16"/>
        <v>5893634</v>
      </c>
      <c r="R578">
        <f t="shared" si="15"/>
        <v>15.762770474040295</v>
      </c>
      <c r="U578">
        <v>852</v>
      </c>
      <c r="V578">
        <v>295</v>
      </c>
      <c r="W578">
        <v>1409</v>
      </c>
      <c r="X578">
        <v>514</v>
      </c>
      <c r="Y578">
        <v>62.4</v>
      </c>
      <c r="Z578">
        <v>46.6</v>
      </c>
      <c r="AA578">
        <v>78.099999999999994</v>
      </c>
    </row>
    <row r="579" spans="1:27" x14ac:dyDescent="0.25">
      <c r="A579" t="s">
        <v>229</v>
      </c>
      <c r="B579" t="s">
        <v>191</v>
      </c>
      <c r="C579" s="76">
        <v>43951</v>
      </c>
      <c r="D579">
        <v>5627</v>
      </c>
      <c r="E579">
        <v>2484</v>
      </c>
      <c r="F579">
        <v>8769</v>
      </c>
      <c r="G579">
        <v>5291</v>
      </c>
      <c r="H579">
        <v>51.5</v>
      </c>
      <c r="I579">
        <v>40.5</v>
      </c>
      <c r="J579">
        <v>62.6</v>
      </c>
      <c r="K579">
        <v>910</v>
      </c>
      <c r="L579">
        <v>324</v>
      </c>
      <c r="M579">
        <v>1495</v>
      </c>
      <c r="N579">
        <v>8.3000000000000007</v>
      </c>
      <c r="O579">
        <v>5.0999999999999996</v>
      </c>
      <c r="P579">
        <v>11.6</v>
      </c>
      <c r="Q579">
        <f t="shared" si="16"/>
        <v>5893634</v>
      </c>
      <c r="R579">
        <f t="shared" si="15"/>
        <v>15.44038873129889</v>
      </c>
      <c r="U579">
        <v>845</v>
      </c>
      <c r="V579">
        <v>297</v>
      </c>
      <c r="W579">
        <v>1394</v>
      </c>
      <c r="X579">
        <v>520</v>
      </c>
      <c r="Y579">
        <v>61.9</v>
      </c>
      <c r="Z579">
        <v>45.9</v>
      </c>
      <c r="AA579">
        <v>77.900000000000006</v>
      </c>
    </row>
    <row r="580" spans="1:27" x14ac:dyDescent="0.25">
      <c r="A580" t="s">
        <v>229</v>
      </c>
      <c r="B580" t="s">
        <v>191</v>
      </c>
      <c r="C580" s="76">
        <v>43952</v>
      </c>
      <c r="D580">
        <v>5655</v>
      </c>
      <c r="E580">
        <v>2501</v>
      </c>
      <c r="F580">
        <v>8808</v>
      </c>
      <c r="G580">
        <v>5258</v>
      </c>
      <c r="H580">
        <v>51.8</v>
      </c>
      <c r="I580">
        <v>41</v>
      </c>
      <c r="J580">
        <v>62.7</v>
      </c>
      <c r="K580">
        <v>875</v>
      </c>
      <c r="L580">
        <v>311</v>
      </c>
      <c r="M580">
        <v>1439</v>
      </c>
      <c r="N580">
        <v>8</v>
      </c>
      <c r="O580">
        <v>4.9000000000000004</v>
      </c>
      <c r="P580">
        <v>11.2</v>
      </c>
      <c r="Q580">
        <f t="shared" si="16"/>
        <v>5893634</v>
      </c>
      <c r="R580">
        <f t="shared" si="15"/>
        <v>14.846527626248934</v>
      </c>
      <c r="U580">
        <v>864</v>
      </c>
      <c r="V580">
        <v>299</v>
      </c>
      <c r="W580">
        <v>1429</v>
      </c>
      <c r="X580">
        <v>515</v>
      </c>
      <c r="Y580">
        <v>62.7</v>
      </c>
      <c r="Z580">
        <v>45.5</v>
      </c>
      <c r="AA580">
        <v>79.8</v>
      </c>
    </row>
    <row r="581" spans="1:27" x14ac:dyDescent="0.25">
      <c r="A581" t="s">
        <v>229</v>
      </c>
      <c r="B581" t="s">
        <v>191</v>
      </c>
      <c r="C581" s="76">
        <v>43953</v>
      </c>
      <c r="D581">
        <v>5576</v>
      </c>
      <c r="E581">
        <v>2294</v>
      </c>
      <c r="F581">
        <v>8858</v>
      </c>
      <c r="G581">
        <v>5337</v>
      </c>
      <c r="H581">
        <v>51.1</v>
      </c>
      <c r="I581">
        <v>38.200000000000003</v>
      </c>
      <c r="J581">
        <v>64</v>
      </c>
      <c r="K581">
        <v>876</v>
      </c>
      <c r="L581">
        <v>321</v>
      </c>
      <c r="M581">
        <v>1431</v>
      </c>
      <c r="N581">
        <v>8</v>
      </c>
      <c r="O581">
        <v>5</v>
      </c>
      <c r="P581">
        <v>11.1</v>
      </c>
      <c r="Q581">
        <f t="shared" si="16"/>
        <v>5893634</v>
      </c>
      <c r="R581">
        <f t="shared" ref="R581:R644" si="17">K581/(Q581)*100000</f>
        <v>14.863495086393216</v>
      </c>
      <c r="U581">
        <v>816</v>
      </c>
      <c r="V581">
        <v>280</v>
      </c>
      <c r="W581">
        <v>1353</v>
      </c>
      <c r="X581">
        <v>538</v>
      </c>
      <c r="Y581">
        <v>60.3</v>
      </c>
      <c r="Z581">
        <v>42.1</v>
      </c>
      <c r="AA581">
        <v>78.5</v>
      </c>
    </row>
    <row r="582" spans="1:27" x14ac:dyDescent="0.25">
      <c r="A582" t="s">
        <v>229</v>
      </c>
      <c r="B582" t="s">
        <v>191</v>
      </c>
      <c r="C582" s="76">
        <v>43954</v>
      </c>
      <c r="D582">
        <v>5214</v>
      </c>
      <c r="E582">
        <v>2345</v>
      </c>
      <c r="F582">
        <v>8084</v>
      </c>
      <c r="G582">
        <v>5702</v>
      </c>
      <c r="H582">
        <v>47.8</v>
      </c>
      <c r="I582">
        <v>38.799999999999997</v>
      </c>
      <c r="J582">
        <v>56.7</v>
      </c>
      <c r="K582">
        <v>870</v>
      </c>
      <c r="L582">
        <v>313</v>
      </c>
      <c r="M582">
        <v>1427</v>
      </c>
      <c r="N582">
        <v>8</v>
      </c>
      <c r="O582">
        <v>4.9000000000000004</v>
      </c>
      <c r="P582">
        <v>11</v>
      </c>
      <c r="Q582">
        <f t="shared" si="16"/>
        <v>5893634</v>
      </c>
      <c r="R582">
        <f t="shared" si="17"/>
        <v>14.761690325527509</v>
      </c>
      <c r="U582">
        <v>860</v>
      </c>
      <c r="V582">
        <v>310</v>
      </c>
      <c r="W582">
        <v>1411</v>
      </c>
      <c r="X582">
        <v>505</v>
      </c>
      <c r="Y582">
        <v>63</v>
      </c>
      <c r="Z582">
        <v>47.3</v>
      </c>
      <c r="AA582">
        <v>78.7</v>
      </c>
    </row>
    <row r="583" spans="1:27" x14ac:dyDescent="0.25">
      <c r="A583" t="s">
        <v>229</v>
      </c>
      <c r="B583" t="s">
        <v>191</v>
      </c>
      <c r="C583" s="76">
        <v>43955</v>
      </c>
      <c r="D583">
        <v>5232</v>
      </c>
      <c r="E583">
        <v>2321</v>
      </c>
      <c r="F583">
        <v>8142</v>
      </c>
      <c r="G583">
        <v>5531</v>
      </c>
      <c r="H583">
        <v>48.6</v>
      </c>
      <c r="I583">
        <v>39.299999999999997</v>
      </c>
      <c r="J583">
        <v>58</v>
      </c>
      <c r="K583">
        <v>883</v>
      </c>
      <c r="L583">
        <v>293</v>
      </c>
      <c r="M583">
        <v>1473</v>
      </c>
      <c r="N583">
        <v>8.1999999999999993</v>
      </c>
      <c r="O583">
        <v>5</v>
      </c>
      <c r="P583">
        <v>11.4</v>
      </c>
      <c r="Q583">
        <f t="shared" si="16"/>
        <v>5893634</v>
      </c>
      <c r="R583">
        <f t="shared" si="17"/>
        <v>14.982267307403209</v>
      </c>
      <c r="U583">
        <v>834</v>
      </c>
      <c r="V583">
        <v>273</v>
      </c>
      <c r="W583">
        <v>1394</v>
      </c>
      <c r="X583">
        <v>494</v>
      </c>
      <c r="Y583">
        <v>62.8</v>
      </c>
      <c r="Z583">
        <v>43.6</v>
      </c>
      <c r="AA583">
        <v>82</v>
      </c>
    </row>
    <row r="584" spans="1:27" x14ac:dyDescent="0.25">
      <c r="A584" t="s">
        <v>229</v>
      </c>
      <c r="B584" t="s">
        <v>191</v>
      </c>
      <c r="C584" s="76">
        <v>43956</v>
      </c>
      <c r="D584">
        <v>5432</v>
      </c>
      <c r="E584">
        <v>2365</v>
      </c>
      <c r="F584">
        <v>8499</v>
      </c>
      <c r="G584">
        <v>5413</v>
      </c>
      <c r="H584">
        <v>50.1</v>
      </c>
      <c r="I584">
        <v>40.5</v>
      </c>
      <c r="J584">
        <v>59.7</v>
      </c>
      <c r="K584">
        <v>822</v>
      </c>
      <c r="L584">
        <v>255</v>
      </c>
      <c r="M584">
        <v>1389</v>
      </c>
      <c r="N584">
        <v>7.6</v>
      </c>
      <c r="O584">
        <v>4.3</v>
      </c>
      <c r="P584">
        <v>10.9</v>
      </c>
      <c r="Q584">
        <f t="shared" si="16"/>
        <v>5893634</v>
      </c>
      <c r="R584">
        <f t="shared" si="17"/>
        <v>13.947252238601855</v>
      </c>
      <c r="U584">
        <v>851</v>
      </c>
      <c r="V584">
        <v>245</v>
      </c>
      <c r="W584">
        <v>1457</v>
      </c>
      <c r="X584">
        <v>561</v>
      </c>
      <c r="Y584">
        <v>60.3</v>
      </c>
      <c r="Z584">
        <v>36.1</v>
      </c>
      <c r="AA584">
        <v>84.4</v>
      </c>
    </row>
    <row r="585" spans="1:27" x14ac:dyDescent="0.25">
      <c r="A585" t="s">
        <v>229</v>
      </c>
      <c r="B585" t="s">
        <v>191</v>
      </c>
      <c r="C585" s="76">
        <v>43957</v>
      </c>
      <c r="D585">
        <v>5234</v>
      </c>
      <c r="E585">
        <v>2219</v>
      </c>
      <c r="F585">
        <v>8250</v>
      </c>
      <c r="G585">
        <v>5611</v>
      </c>
      <c r="H585">
        <v>48.3</v>
      </c>
      <c r="I585">
        <v>38.799999999999997</v>
      </c>
      <c r="J585">
        <v>57.7</v>
      </c>
      <c r="K585">
        <v>842</v>
      </c>
      <c r="L585">
        <v>267</v>
      </c>
      <c r="M585">
        <v>1417</v>
      </c>
      <c r="N585">
        <v>7.8</v>
      </c>
      <c r="O585">
        <v>4.7</v>
      </c>
      <c r="P585">
        <v>10.8</v>
      </c>
      <c r="Q585">
        <f t="shared" si="16"/>
        <v>5893634</v>
      </c>
      <c r="R585">
        <f t="shared" si="17"/>
        <v>14.286601441487544</v>
      </c>
      <c r="U585">
        <v>877</v>
      </c>
      <c r="V585">
        <v>250</v>
      </c>
      <c r="W585">
        <v>1505</v>
      </c>
      <c r="X585">
        <v>547</v>
      </c>
      <c r="Y585">
        <v>61.6</v>
      </c>
      <c r="Z585">
        <v>36.6</v>
      </c>
      <c r="AA585">
        <v>86.6</v>
      </c>
    </row>
    <row r="586" spans="1:27" x14ac:dyDescent="0.25">
      <c r="A586" t="s">
        <v>229</v>
      </c>
      <c r="B586" t="s">
        <v>191</v>
      </c>
      <c r="C586" s="76">
        <v>43958</v>
      </c>
      <c r="D586">
        <v>5065</v>
      </c>
      <c r="E586">
        <v>2033</v>
      </c>
      <c r="F586">
        <v>8097</v>
      </c>
      <c r="G586">
        <v>5775</v>
      </c>
      <c r="H586">
        <v>46.7</v>
      </c>
      <c r="I586">
        <v>35.6</v>
      </c>
      <c r="J586">
        <v>57.8</v>
      </c>
      <c r="K586">
        <v>869</v>
      </c>
      <c r="L586">
        <v>276</v>
      </c>
      <c r="M586">
        <v>1462</v>
      </c>
      <c r="N586">
        <v>8</v>
      </c>
      <c r="O586">
        <v>4.8</v>
      </c>
      <c r="P586">
        <v>11.3</v>
      </c>
      <c r="Q586">
        <f t="shared" si="16"/>
        <v>5893634</v>
      </c>
      <c r="R586">
        <f t="shared" si="17"/>
        <v>14.744722865383226</v>
      </c>
      <c r="U586">
        <v>829</v>
      </c>
      <c r="V586">
        <v>227</v>
      </c>
      <c r="W586">
        <v>1430</v>
      </c>
      <c r="X586">
        <v>584</v>
      </c>
      <c r="Y586">
        <v>58.7</v>
      </c>
      <c r="Z586">
        <v>32.9</v>
      </c>
      <c r="AA586">
        <v>84.4</v>
      </c>
    </row>
    <row r="587" spans="1:27" x14ac:dyDescent="0.25">
      <c r="A587" t="s">
        <v>229</v>
      </c>
      <c r="B587" t="s">
        <v>191</v>
      </c>
      <c r="C587" s="76">
        <v>43959</v>
      </c>
      <c r="D587">
        <v>5832</v>
      </c>
      <c r="E587">
        <v>2515</v>
      </c>
      <c r="F587">
        <v>9150</v>
      </c>
      <c r="G587">
        <v>5008</v>
      </c>
      <c r="H587">
        <v>53.8</v>
      </c>
      <c r="I587">
        <v>44.1</v>
      </c>
      <c r="J587">
        <v>63.5</v>
      </c>
      <c r="K587">
        <v>831</v>
      </c>
      <c r="L587">
        <v>264</v>
      </c>
      <c r="M587">
        <v>1398</v>
      </c>
      <c r="N587">
        <v>7.7</v>
      </c>
      <c r="O587">
        <v>4.7</v>
      </c>
      <c r="P587">
        <v>10.7</v>
      </c>
      <c r="Q587">
        <f t="shared" si="16"/>
        <v>5893634</v>
      </c>
      <c r="R587">
        <f t="shared" si="17"/>
        <v>14.099959379900415</v>
      </c>
      <c r="U587">
        <v>857</v>
      </c>
      <c r="V587">
        <v>248</v>
      </c>
      <c r="W587">
        <v>1466</v>
      </c>
      <c r="X587">
        <v>544</v>
      </c>
      <c r="Y587">
        <v>61.2</v>
      </c>
      <c r="Z587">
        <v>35.5</v>
      </c>
      <c r="AA587">
        <v>86.8</v>
      </c>
    </row>
    <row r="588" spans="1:27" x14ac:dyDescent="0.25">
      <c r="A588" t="s">
        <v>229</v>
      </c>
      <c r="B588" t="s">
        <v>191</v>
      </c>
      <c r="C588" s="76">
        <v>43960</v>
      </c>
      <c r="D588">
        <v>5292</v>
      </c>
      <c r="E588">
        <v>2282</v>
      </c>
      <c r="F588">
        <v>8302</v>
      </c>
      <c r="G588">
        <v>5530</v>
      </c>
      <c r="H588">
        <v>48.9</v>
      </c>
      <c r="I588">
        <v>40.700000000000003</v>
      </c>
      <c r="J588">
        <v>57.1</v>
      </c>
      <c r="K588">
        <v>833</v>
      </c>
      <c r="L588">
        <v>248</v>
      </c>
      <c r="M588">
        <v>1417</v>
      </c>
      <c r="N588">
        <v>7.7</v>
      </c>
      <c r="O588">
        <v>4.5999999999999996</v>
      </c>
      <c r="P588">
        <v>10.8</v>
      </c>
      <c r="Q588">
        <f t="shared" si="16"/>
        <v>5893634</v>
      </c>
      <c r="R588">
        <f t="shared" si="17"/>
        <v>14.133894300188985</v>
      </c>
      <c r="U588">
        <v>824</v>
      </c>
      <c r="V588">
        <v>229</v>
      </c>
      <c r="W588">
        <v>1419</v>
      </c>
      <c r="X588">
        <v>573</v>
      </c>
      <c r="Y588">
        <v>59</v>
      </c>
      <c r="Z588">
        <v>33.5</v>
      </c>
      <c r="AA588">
        <v>84.4</v>
      </c>
    </row>
    <row r="589" spans="1:27" x14ac:dyDescent="0.25">
      <c r="A589" t="s">
        <v>229</v>
      </c>
      <c r="B589" t="s">
        <v>191</v>
      </c>
      <c r="C589" s="76">
        <v>43961</v>
      </c>
      <c r="D589">
        <v>5030</v>
      </c>
      <c r="E589">
        <v>2079</v>
      </c>
      <c r="F589">
        <v>7981</v>
      </c>
      <c r="G589">
        <v>5812</v>
      </c>
      <c r="H589">
        <v>46.4</v>
      </c>
      <c r="I589">
        <v>36.299999999999997</v>
      </c>
      <c r="J589">
        <v>56.4</v>
      </c>
      <c r="K589">
        <v>786</v>
      </c>
      <c r="L589">
        <v>238</v>
      </c>
      <c r="M589">
        <v>1334</v>
      </c>
      <c r="N589">
        <v>7.2</v>
      </c>
      <c r="O589">
        <v>4.3</v>
      </c>
      <c r="P589">
        <v>10.199999999999999</v>
      </c>
      <c r="Q589">
        <f t="shared" si="16"/>
        <v>5893634</v>
      </c>
      <c r="R589">
        <f t="shared" si="17"/>
        <v>13.336423673407612</v>
      </c>
      <c r="U589">
        <v>778</v>
      </c>
      <c r="V589">
        <v>214</v>
      </c>
      <c r="W589">
        <v>1343</v>
      </c>
      <c r="X589">
        <v>619</v>
      </c>
      <c r="Y589">
        <v>55.7</v>
      </c>
      <c r="Z589">
        <v>30.8</v>
      </c>
      <c r="AA589">
        <v>80.7</v>
      </c>
    </row>
    <row r="590" spans="1:27" x14ac:dyDescent="0.25">
      <c r="A590" t="s">
        <v>229</v>
      </c>
      <c r="B590" t="s">
        <v>191</v>
      </c>
      <c r="C590" s="76">
        <v>43962</v>
      </c>
      <c r="D590">
        <v>5173</v>
      </c>
      <c r="E590">
        <v>2134</v>
      </c>
      <c r="F590">
        <v>8211</v>
      </c>
      <c r="G590">
        <v>5669</v>
      </c>
      <c r="H590">
        <v>47.7</v>
      </c>
      <c r="I590">
        <v>37.700000000000003</v>
      </c>
      <c r="J590">
        <v>57.7</v>
      </c>
      <c r="K590">
        <v>837</v>
      </c>
      <c r="L590">
        <v>262</v>
      </c>
      <c r="M590">
        <v>1412</v>
      </c>
      <c r="N590">
        <v>7.7</v>
      </c>
      <c r="O590">
        <v>4.5999999999999996</v>
      </c>
      <c r="P590">
        <v>10.9</v>
      </c>
      <c r="Q590">
        <f t="shared" si="16"/>
        <v>5893634</v>
      </c>
      <c r="R590">
        <f t="shared" si="17"/>
        <v>14.201764140766123</v>
      </c>
      <c r="U590">
        <v>665</v>
      </c>
      <c r="V590">
        <v>174</v>
      </c>
      <c r="W590">
        <v>1156</v>
      </c>
      <c r="X590">
        <v>739</v>
      </c>
      <c r="Y590">
        <v>47.4</v>
      </c>
      <c r="Z590">
        <v>21.5</v>
      </c>
      <c r="AA590">
        <v>73.2</v>
      </c>
    </row>
    <row r="591" spans="1:27" x14ac:dyDescent="0.25">
      <c r="A591" t="s">
        <v>229</v>
      </c>
      <c r="B591" t="s">
        <v>191</v>
      </c>
      <c r="C591" s="76">
        <v>43963</v>
      </c>
      <c r="D591">
        <v>5350</v>
      </c>
      <c r="E591">
        <v>2274</v>
      </c>
      <c r="F591">
        <v>8426</v>
      </c>
      <c r="G591">
        <v>5494</v>
      </c>
      <c r="H591">
        <v>49.3</v>
      </c>
      <c r="I591">
        <v>39.6</v>
      </c>
      <c r="J591">
        <v>59.1</v>
      </c>
      <c r="K591">
        <v>745</v>
      </c>
      <c r="L591">
        <v>212</v>
      </c>
      <c r="M591">
        <v>1277</v>
      </c>
      <c r="N591">
        <v>6.9</v>
      </c>
      <c r="O591">
        <v>3.9</v>
      </c>
      <c r="P591">
        <v>9.8000000000000007</v>
      </c>
      <c r="Q591">
        <f t="shared" si="16"/>
        <v>5893634</v>
      </c>
      <c r="R591">
        <f t="shared" si="17"/>
        <v>12.64075780749195</v>
      </c>
      <c r="U591">
        <v>814</v>
      </c>
      <c r="V591">
        <v>211</v>
      </c>
      <c r="W591">
        <v>1418</v>
      </c>
      <c r="X591">
        <v>585</v>
      </c>
      <c r="Y591">
        <v>58.2</v>
      </c>
      <c r="Z591">
        <v>31.8</v>
      </c>
      <c r="AA591">
        <v>84.6</v>
      </c>
    </row>
    <row r="592" spans="1:27" x14ac:dyDescent="0.25">
      <c r="A592" t="s">
        <v>229</v>
      </c>
      <c r="B592" t="s">
        <v>191</v>
      </c>
      <c r="C592" s="76">
        <v>43964</v>
      </c>
      <c r="D592">
        <v>5522</v>
      </c>
      <c r="E592">
        <v>2304</v>
      </c>
      <c r="F592">
        <v>8739</v>
      </c>
      <c r="G592">
        <v>5518</v>
      </c>
      <c r="H592">
        <v>50</v>
      </c>
      <c r="I592">
        <v>39.4</v>
      </c>
      <c r="J592">
        <v>60.6</v>
      </c>
      <c r="K592">
        <v>719</v>
      </c>
      <c r="L592">
        <v>191</v>
      </c>
      <c r="M592">
        <v>1246</v>
      </c>
      <c r="N592">
        <v>6.5</v>
      </c>
      <c r="O592">
        <v>3.4</v>
      </c>
      <c r="P592">
        <v>9.6</v>
      </c>
      <c r="Q592">
        <f t="shared" si="16"/>
        <v>5893634</v>
      </c>
      <c r="R592">
        <f t="shared" si="17"/>
        <v>12.199603843740551</v>
      </c>
      <c r="U592">
        <v>848</v>
      </c>
      <c r="V592">
        <v>221</v>
      </c>
      <c r="W592">
        <v>1475</v>
      </c>
      <c r="X592">
        <v>587</v>
      </c>
      <c r="Y592">
        <v>59.1</v>
      </c>
      <c r="Z592">
        <v>32.799999999999997</v>
      </c>
      <c r="AA592">
        <v>85.4</v>
      </c>
    </row>
    <row r="593" spans="1:27" x14ac:dyDescent="0.25">
      <c r="A593" t="s">
        <v>229</v>
      </c>
      <c r="B593" t="s">
        <v>191</v>
      </c>
      <c r="C593" s="76">
        <v>43965</v>
      </c>
      <c r="D593">
        <v>6072</v>
      </c>
      <c r="E593">
        <v>2628</v>
      </c>
      <c r="F593">
        <v>9515</v>
      </c>
      <c r="G593">
        <v>4985</v>
      </c>
      <c r="H593">
        <v>54.9</v>
      </c>
      <c r="I593">
        <v>44.5</v>
      </c>
      <c r="J593">
        <v>65.400000000000006</v>
      </c>
      <c r="K593">
        <v>679</v>
      </c>
      <c r="L593">
        <v>195</v>
      </c>
      <c r="M593">
        <v>1162</v>
      </c>
      <c r="N593">
        <v>6.1</v>
      </c>
      <c r="O593">
        <v>3.4</v>
      </c>
      <c r="P593">
        <v>8.9</v>
      </c>
      <c r="Q593">
        <f t="shared" si="16"/>
        <v>5893634</v>
      </c>
      <c r="R593">
        <f t="shared" si="17"/>
        <v>11.520905437969171</v>
      </c>
      <c r="U593">
        <v>884</v>
      </c>
      <c r="V593">
        <v>263</v>
      </c>
      <c r="W593">
        <v>1504</v>
      </c>
      <c r="X593">
        <v>549</v>
      </c>
      <c r="Y593">
        <v>61.7</v>
      </c>
      <c r="Z593">
        <v>39.5</v>
      </c>
      <c r="AA593">
        <v>83.8</v>
      </c>
    </row>
    <row r="594" spans="1:27" x14ac:dyDescent="0.25">
      <c r="A594" t="s">
        <v>229</v>
      </c>
      <c r="B594" t="s">
        <v>191</v>
      </c>
      <c r="C594" s="76">
        <v>43966</v>
      </c>
      <c r="D594">
        <v>6029</v>
      </c>
      <c r="E594">
        <v>2597</v>
      </c>
      <c r="F594">
        <v>9461</v>
      </c>
      <c r="G594">
        <v>5036</v>
      </c>
      <c r="H594">
        <v>54.5</v>
      </c>
      <c r="I594">
        <v>44.4</v>
      </c>
      <c r="J594">
        <v>64.599999999999994</v>
      </c>
      <c r="K594">
        <v>679</v>
      </c>
      <c r="L594">
        <v>203</v>
      </c>
      <c r="M594">
        <v>1155</v>
      </c>
      <c r="N594">
        <v>6.1</v>
      </c>
      <c r="O594">
        <v>3.3</v>
      </c>
      <c r="P594">
        <v>9</v>
      </c>
      <c r="Q594">
        <f t="shared" si="16"/>
        <v>5893634</v>
      </c>
      <c r="R594">
        <f t="shared" si="17"/>
        <v>11.520905437969171</v>
      </c>
      <c r="U594">
        <v>911</v>
      </c>
      <c r="V594">
        <v>275</v>
      </c>
      <c r="W594">
        <v>1548</v>
      </c>
      <c r="X594">
        <v>531</v>
      </c>
      <c r="Y594">
        <v>63.2</v>
      </c>
      <c r="Z594">
        <v>40.700000000000003</v>
      </c>
      <c r="AA594">
        <v>85.7</v>
      </c>
    </row>
    <row r="595" spans="1:27" x14ac:dyDescent="0.25">
      <c r="A595" t="s">
        <v>229</v>
      </c>
      <c r="B595" t="s">
        <v>191</v>
      </c>
      <c r="C595" s="76">
        <v>43967</v>
      </c>
      <c r="D595">
        <v>5829</v>
      </c>
      <c r="E595">
        <v>2417</v>
      </c>
      <c r="F595">
        <v>9240</v>
      </c>
      <c r="G595">
        <v>4898</v>
      </c>
      <c r="H595">
        <v>54.3</v>
      </c>
      <c r="I595">
        <v>44.4</v>
      </c>
      <c r="J595">
        <v>64.3</v>
      </c>
      <c r="K595">
        <v>659</v>
      </c>
      <c r="L595">
        <v>137</v>
      </c>
      <c r="M595">
        <v>1181</v>
      </c>
      <c r="N595">
        <v>6.1</v>
      </c>
      <c r="O595">
        <v>2.9</v>
      </c>
      <c r="P595">
        <v>9.3000000000000007</v>
      </c>
      <c r="Q595">
        <f t="shared" si="16"/>
        <v>5893634</v>
      </c>
      <c r="R595">
        <f t="shared" si="17"/>
        <v>11.181556235083482</v>
      </c>
      <c r="U595">
        <v>898</v>
      </c>
      <c r="V595">
        <v>227</v>
      </c>
      <c r="W595">
        <v>1568</v>
      </c>
      <c r="X595">
        <v>472</v>
      </c>
      <c r="Y595">
        <v>65.5</v>
      </c>
      <c r="Z595">
        <v>47.8</v>
      </c>
      <c r="AA595">
        <v>83.3</v>
      </c>
    </row>
    <row r="596" spans="1:27" x14ac:dyDescent="0.25">
      <c r="A596" t="s">
        <v>229</v>
      </c>
      <c r="B596" t="s">
        <v>191</v>
      </c>
      <c r="C596" s="76">
        <v>43968</v>
      </c>
      <c r="D596">
        <v>5662</v>
      </c>
      <c r="E596">
        <v>2336</v>
      </c>
      <c r="F596">
        <v>8988</v>
      </c>
      <c r="G596">
        <v>5070</v>
      </c>
      <c r="H596">
        <v>52.8</v>
      </c>
      <c r="I596">
        <v>41.8</v>
      </c>
      <c r="J596">
        <v>63.7</v>
      </c>
      <c r="K596">
        <v>653</v>
      </c>
      <c r="L596">
        <v>184</v>
      </c>
      <c r="M596">
        <v>1122</v>
      </c>
      <c r="N596">
        <v>6.1</v>
      </c>
      <c r="O596">
        <v>3.5</v>
      </c>
      <c r="P596">
        <v>8.6</v>
      </c>
      <c r="Q596">
        <f t="shared" si="16"/>
        <v>5893634</v>
      </c>
      <c r="R596">
        <f t="shared" si="17"/>
        <v>11.079751474217774</v>
      </c>
      <c r="U596">
        <v>847</v>
      </c>
      <c r="V596">
        <v>186</v>
      </c>
      <c r="W596">
        <v>1508</v>
      </c>
      <c r="X596">
        <v>523</v>
      </c>
      <c r="Y596">
        <v>61.8</v>
      </c>
      <c r="Z596">
        <v>42.3</v>
      </c>
      <c r="AA596">
        <v>81.400000000000006</v>
      </c>
    </row>
    <row r="597" spans="1:27" x14ac:dyDescent="0.25">
      <c r="A597" t="s">
        <v>229</v>
      </c>
      <c r="B597" t="s">
        <v>191</v>
      </c>
      <c r="C597" s="76">
        <v>43969</v>
      </c>
      <c r="D597">
        <v>5666</v>
      </c>
      <c r="E597">
        <v>2457</v>
      </c>
      <c r="F597">
        <v>8875</v>
      </c>
      <c r="G597">
        <v>5418</v>
      </c>
      <c r="H597">
        <v>51.1</v>
      </c>
      <c r="I597">
        <v>40.799999999999997</v>
      </c>
      <c r="J597">
        <v>61.4</v>
      </c>
      <c r="K597">
        <v>738</v>
      </c>
      <c r="L597">
        <v>209</v>
      </c>
      <c r="M597">
        <v>1268</v>
      </c>
      <c r="N597">
        <v>6.7</v>
      </c>
      <c r="O597">
        <v>3.5</v>
      </c>
      <c r="P597">
        <v>9.8000000000000007</v>
      </c>
      <c r="Q597">
        <f t="shared" si="16"/>
        <v>5893634</v>
      </c>
      <c r="R597">
        <f t="shared" si="17"/>
        <v>12.521985586481955</v>
      </c>
      <c r="U597">
        <v>857</v>
      </c>
      <c r="V597">
        <v>238</v>
      </c>
      <c r="W597">
        <v>1477</v>
      </c>
      <c r="X597">
        <v>590</v>
      </c>
      <c r="Y597">
        <v>59.2</v>
      </c>
      <c r="Z597">
        <v>37</v>
      </c>
      <c r="AA597">
        <v>81.5</v>
      </c>
    </row>
    <row r="598" spans="1:27" x14ac:dyDescent="0.25">
      <c r="A598" t="s">
        <v>229</v>
      </c>
      <c r="B598" t="s">
        <v>191</v>
      </c>
      <c r="C598" s="76">
        <v>43970</v>
      </c>
      <c r="D598">
        <v>5994</v>
      </c>
      <c r="E598">
        <v>2653</v>
      </c>
      <c r="F598">
        <v>9336</v>
      </c>
      <c r="G598">
        <v>5104</v>
      </c>
      <c r="H598">
        <v>54</v>
      </c>
      <c r="I598">
        <v>44.1</v>
      </c>
      <c r="J598">
        <v>63.9</v>
      </c>
      <c r="K598">
        <v>733</v>
      </c>
      <c r="L598">
        <v>238</v>
      </c>
      <c r="M598">
        <v>1229</v>
      </c>
      <c r="N598">
        <v>6.6</v>
      </c>
      <c r="O598">
        <v>3.8</v>
      </c>
      <c r="P598">
        <v>9.4</v>
      </c>
      <c r="Q598">
        <f t="shared" si="16"/>
        <v>5893634</v>
      </c>
      <c r="R598">
        <f t="shared" si="17"/>
        <v>12.437148285760534</v>
      </c>
      <c r="U598">
        <v>886</v>
      </c>
      <c r="V598">
        <v>259</v>
      </c>
      <c r="W598">
        <v>1514</v>
      </c>
      <c r="X598">
        <v>557</v>
      </c>
      <c r="Y598">
        <v>61.4</v>
      </c>
      <c r="Z598">
        <v>38.700000000000003</v>
      </c>
      <c r="AA598">
        <v>84.1</v>
      </c>
    </row>
    <row r="599" spans="1:27" x14ac:dyDescent="0.25">
      <c r="A599" t="s">
        <v>229</v>
      </c>
      <c r="B599" t="s">
        <v>191</v>
      </c>
      <c r="C599" s="76">
        <v>43971</v>
      </c>
      <c r="D599">
        <v>6437</v>
      </c>
      <c r="E599">
        <v>2830</v>
      </c>
      <c r="F599">
        <v>10044</v>
      </c>
      <c r="G599">
        <v>4858</v>
      </c>
      <c r="H599">
        <v>57</v>
      </c>
      <c r="I599">
        <v>46.1</v>
      </c>
      <c r="J599">
        <v>67.900000000000006</v>
      </c>
      <c r="K599">
        <v>714</v>
      </c>
      <c r="L599">
        <v>231</v>
      </c>
      <c r="M599">
        <v>1197</v>
      </c>
      <c r="N599">
        <v>6.3</v>
      </c>
      <c r="O599">
        <v>3.6</v>
      </c>
      <c r="P599">
        <v>9.1</v>
      </c>
      <c r="Q599">
        <f t="shared" si="16"/>
        <v>5893634</v>
      </c>
      <c r="R599">
        <f t="shared" si="17"/>
        <v>12.11476654301913</v>
      </c>
      <c r="U599">
        <v>911</v>
      </c>
      <c r="V599">
        <v>255</v>
      </c>
      <c r="W599">
        <v>1566</v>
      </c>
      <c r="X599">
        <v>647</v>
      </c>
      <c r="Y599">
        <v>58.5</v>
      </c>
      <c r="Z599">
        <v>31.1</v>
      </c>
      <c r="AA599">
        <v>85.8</v>
      </c>
    </row>
    <row r="600" spans="1:27" x14ac:dyDescent="0.25">
      <c r="A600" t="s">
        <v>229</v>
      </c>
      <c r="B600" t="s">
        <v>191</v>
      </c>
      <c r="C600" s="76">
        <v>43972</v>
      </c>
      <c r="D600">
        <v>6323</v>
      </c>
      <c r="E600">
        <v>2778</v>
      </c>
      <c r="F600">
        <v>9869</v>
      </c>
      <c r="G600">
        <v>4999</v>
      </c>
      <c r="H600">
        <v>55.8</v>
      </c>
      <c r="I600">
        <v>45.3</v>
      </c>
      <c r="J600">
        <v>66.400000000000006</v>
      </c>
      <c r="K600">
        <v>679</v>
      </c>
      <c r="L600">
        <v>250</v>
      </c>
      <c r="M600">
        <v>1109</v>
      </c>
      <c r="N600">
        <v>6</v>
      </c>
      <c r="O600">
        <v>3.7</v>
      </c>
      <c r="P600">
        <v>8.3000000000000007</v>
      </c>
      <c r="Q600">
        <f t="shared" si="16"/>
        <v>5893634</v>
      </c>
      <c r="R600">
        <f t="shared" si="17"/>
        <v>11.520905437969171</v>
      </c>
      <c r="U600">
        <v>903</v>
      </c>
      <c r="V600">
        <v>269</v>
      </c>
      <c r="W600">
        <v>1538</v>
      </c>
      <c r="X600">
        <v>676</v>
      </c>
      <c r="Y600">
        <v>57.2</v>
      </c>
      <c r="Z600">
        <v>31.2</v>
      </c>
      <c r="AA600">
        <v>83.3</v>
      </c>
    </row>
    <row r="601" spans="1:27" x14ac:dyDescent="0.25">
      <c r="A601" t="s">
        <v>229</v>
      </c>
      <c r="B601" t="s">
        <v>191</v>
      </c>
      <c r="C601" s="76">
        <v>43973</v>
      </c>
      <c r="D601">
        <v>6290</v>
      </c>
      <c r="E601">
        <v>2851</v>
      </c>
      <c r="F601">
        <v>9729</v>
      </c>
      <c r="G601">
        <v>4852</v>
      </c>
      <c r="H601">
        <v>56.5</v>
      </c>
      <c r="I601">
        <v>46.6</v>
      </c>
      <c r="J601">
        <v>66.3</v>
      </c>
      <c r="K601">
        <v>618</v>
      </c>
      <c r="L601">
        <v>176</v>
      </c>
      <c r="M601">
        <v>1060</v>
      </c>
      <c r="N601">
        <v>5.5</v>
      </c>
      <c r="O601">
        <v>2.9</v>
      </c>
      <c r="P601">
        <v>8.1999999999999993</v>
      </c>
      <c r="Q601">
        <f t="shared" si="16"/>
        <v>5893634</v>
      </c>
      <c r="R601">
        <f t="shared" si="17"/>
        <v>10.485890369167818</v>
      </c>
      <c r="U601">
        <v>880</v>
      </c>
      <c r="V601">
        <v>256</v>
      </c>
      <c r="W601">
        <v>1503</v>
      </c>
      <c r="X601">
        <v>571</v>
      </c>
      <c r="Y601">
        <v>60.6</v>
      </c>
      <c r="Z601">
        <v>35.799999999999997</v>
      </c>
      <c r="AA601">
        <v>85.5</v>
      </c>
    </row>
    <row r="602" spans="1:27" x14ac:dyDescent="0.25">
      <c r="A602" t="s">
        <v>229</v>
      </c>
      <c r="B602" t="s">
        <v>191</v>
      </c>
      <c r="C602" s="76">
        <v>43974</v>
      </c>
      <c r="D602">
        <v>5913</v>
      </c>
      <c r="E602">
        <v>2564</v>
      </c>
      <c r="F602">
        <v>9262</v>
      </c>
      <c r="G602">
        <v>4862</v>
      </c>
      <c r="H602">
        <v>54.9</v>
      </c>
      <c r="I602">
        <v>45.1</v>
      </c>
      <c r="J602">
        <v>64.599999999999994</v>
      </c>
      <c r="K602">
        <v>640</v>
      </c>
      <c r="L602">
        <v>141</v>
      </c>
      <c r="M602">
        <v>1139</v>
      </c>
      <c r="N602">
        <v>5.9</v>
      </c>
      <c r="O602">
        <v>2.9</v>
      </c>
      <c r="P602">
        <v>9</v>
      </c>
      <c r="Q602">
        <f t="shared" si="16"/>
        <v>5893634</v>
      </c>
      <c r="R602">
        <f t="shared" si="17"/>
        <v>10.859174492342076</v>
      </c>
      <c r="U602">
        <v>913</v>
      </c>
      <c r="V602">
        <v>216</v>
      </c>
      <c r="W602">
        <v>1610</v>
      </c>
      <c r="X602">
        <v>478</v>
      </c>
      <c r="Y602">
        <v>65.599999999999994</v>
      </c>
      <c r="Z602">
        <v>46.5</v>
      </c>
      <c r="AA602">
        <v>84.7</v>
      </c>
    </row>
    <row r="603" spans="1:27" x14ac:dyDescent="0.25">
      <c r="A603" t="s">
        <v>229</v>
      </c>
      <c r="B603" t="s">
        <v>191</v>
      </c>
      <c r="C603" s="76">
        <v>43975</v>
      </c>
      <c r="D603">
        <v>5475</v>
      </c>
      <c r="E603">
        <v>2271</v>
      </c>
      <c r="F603">
        <v>8680</v>
      </c>
      <c r="G603">
        <v>5162</v>
      </c>
      <c r="H603">
        <v>51.5</v>
      </c>
      <c r="I603">
        <v>41.5</v>
      </c>
      <c r="J603">
        <v>61.4</v>
      </c>
      <c r="K603">
        <v>671</v>
      </c>
      <c r="L603">
        <v>159</v>
      </c>
      <c r="M603">
        <v>1182</v>
      </c>
      <c r="N603">
        <v>6.3</v>
      </c>
      <c r="O603">
        <v>3.2</v>
      </c>
      <c r="P603">
        <v>9.4</v>
      </c>
      <c r="Q603">
        <f t="shared" si="16"/>
        <v>5893634</v>
      </c>
      <c r="R603">
        <f t="shared" si="17"/>
        <v>11.385165756814896</v>
      </c>
      <c r="U603">
        <v>839</v>
      </c>
      <c r="V603">
        <v>164</v>
      </c>
      <c r="W603">
        <v>1514</v>
      </c>
      <c r="X603">
        <v>524</v>
      </c>
      <c r="Y603">
        <v>61.5</v>
      </c>
      <c r="Z603">
        <v>39.4</v>
      </c>
      <c r="AA603">
        <v>83.6</v>
      </c>
    </row>
    <row r="604" spans="1:27" x14ac:dyDescent="0.25">
      <c r="A604" t="s">
        <v>229</v>
      </c>
      <c r="B604" t="s">
        <v>191</v>
      </c>
      <c r="C604" s="76">
        <v>43976</v>
      </c>
      <c r="D604">
        <v>5287</v>
      </c>
      <c r="E604">
        <v>2127</v>
      </c>
      <c r="F604">
        <v>8447</v>
      </c>
      <c r="G604">
        <v>5281</v>
      </c>
      <c r="H604">
        <v>50</v>
      </c>
      <c r="I604">
        <v>39.1</v>
      </c>
      <c r="J604">
        <v>61</v>
      </c>
      <c r="K604">
        <v>678</v>
      </c>
      <c r="L604">
        <v>157</v>
      </c>
      <c r="M604">
        <v>1198</v>
      </c>
      <c r="N604">
        <v>6.4</v>
      </c>
      <c r="O604">
        <v>3.2</v>
      </c>
      <c r="P604">
        <v>9.6</v>
      </c>
      <c r="Q604">
        <f t="shared" si="16"/>
        <v>5893634</v>
      </c>
      <c r="R604">
        <f t="shared" si="17"/>
        <v>11.503937977824886</v>
      </c>
      <c r="U604">
        <v>783</v>
      </c>
      <c r="V604">
        <v>158</v>
      </c>
      <c r="W604">
        <v>1407</v>
      </c>
      <c r="X604">
        <v>541</v>
      </c>
      <c r="Y604">
        <v>59.1</v>
      </c>
      <c r="Z604">
        <v>37.9</v>
      </c>
      <c r="AA604">
        <v>80.3</v>
      </c>
    </row>
    <row r="605" spans="1:27" x14ac:dyDescent="0.25">
      <c r="A605" t="s">
        <v>229</v>
      </c>
      <c r="B605" t="s">
        <v>191</v>
      </c>
      <c r="C605" s="76">
        <v>43977</v>
      </c>
      <c r="D605">
        <v>5326</v>
      </c>
      <c r="E605">
        <v>2178</v>
      </c>
      <c r="F605">
        <v>8474</v>
      </c>
      <c r="G605">
        <v>5242</v>
      </c>
      <c r="H605">
        <v>50.4</v>
      </c>
      <c r="I605">
        <v>40</v>
      </c>
      <c r="J605">
        <v>60.8</v>
      </c>
      <c r="K605">
        <v>609</v>
      </c>
      <c r="L605">
        <v>165</v>
      </c>
      <c r="M605">
        <v>1053</v>
      </c>
      <c r="N605">
        <v>5.8</v>
      </c>
      <c r="O605">
        <v>3.2</v>
      </c>
      <c r="P605">
        <v>8.3000000000000007</v>
      </c>
      <c r="Q605">
        <f t="shared" si="16"/>
        <v>5893634</v>
      </c>
      <c r="R605">
        <f t="shared" si="17"/>
        <v>10.333183227869258</v>
      </c>
      <c r="U605">
        <v>754</v>
      </c>
      <c r="V605">
        <v>129</v>
      </c>
      <c r="W605">
        <v>1378</v>
      </c>
      <c r="X605">
        <v>570</v>
      </c>
      <c r="Y605">
        <v>56.9</v>
      </c>
      <c r="Z605">
        <v>34.4</v>
      </c>
      <c r="AA605">
        <v>79.5</v>
      </c>
    </row>
    <row r="606" spans="1:27" x14ac:dyDescent="0.25">
      <c r="A606" t="s">
        <v>229</v>
      </c>
      <c r="B606" t="s">
        <v>191</v>
      </c>
      <c r="C606" s="76">
        <v>43978</v>
      </c>
      <c r="D606">
        <v>5601</v>
      </c>
      <c r="E606">
        <v>2102</v>
      </c>
      <c r="F606">
        <v>9100</v>
      </c>
      <c r="G606">
        <v>5115</v>
      </c>
      <c r="H606">
        <v>52.3</v>
      </c>
      <c r="I606">
        <v>40</v>
      </c>
      <c r="J606">
        <v>64.5</v>
      </c>
      <c r="K606">
        <v>451</v>
      </c>
      <c r="L606">
        <v>67</v>
      </c>
      <c r="M606">
        <v>835</v>
      </c>
      <c r="N606">
        <v>4.2</v>
      </c>
      <c r="O606">
        <v>1.8</v>
      </c>
      <c r="P606">
        <v>6.6</v>
      </c>
      <c r="Q606">
        <f t="shared" si="16"/>
        <v>5893634</v>
      </c>
      <c r="R606">
        <f t="shared" si="17"/>
        <v>7.6523245250723066</v>
      </c>
      <c r="U606">
        <v>889</v>
      </c>
      <c r="V606">
        <v>198</v>
      </c>
      <c r="W606">
        <v>1580</v>
      </c>
      <c r="X606">
        <v>235</v>
      </c>
      <c r="Y606">
        <v>79.099999999999994</v>
      </c>
      <c r="Z606">
        <v>66.3</v>
      </c>
      <c r="AA606">
        <v>91.9</v>
      </c>
    </row>
    <row r="607" spans="1:27" x14ac:dyDescent="0.25">
      <c r="A607" t="s">
        <v>229</v>
      </c>
      <c r="B607" t="s">
        <v>191</v>
      </c>
      <c r="C607" s="76">
        <v>43979</v>
      </c>
      <c r="D607">
        <v>5545</v>
      </c>
      <c r="E607">
        <v>2009</v>
      </c>
      <c r="F607">
        <v>9081</v>
      </c>
      <c r="G607">
        <v>4982</v>
      </c>
      <c r="H607">
        <v>52.7</v>
      </c>
      <c r="I607">
        <v>40.4</v>
      </c>
      <c r="J607">
        <v>65</v>
      </c>
      <c r="K607">
        <v>428</v>
      </c>
      <c r="L607">
        <v>69</v>
      </c>
      <c r="M607">
        <v>786</v>
      </c>
      <c r="N607">
        <v>4.0999999999999996</v>
      </c>
      <c r="O607">
        <v>1.8</v>
      </c>
      <c r="P607">
        <v>6.4</v>
      </c>
      <c r="Q607">
        <f t="shared" si="16"/>
        <v>5893634</v>
      </c>
      <c r="R607">
        <f t="shared" si="17"/>
        <v>7.2620729417537637</v>
      </c>
      <c r="U607">
        <v>898</v>
      </c>
      <c r="V607">
        <v>206</v>
      </c>
      <c r="W607">
        <v>1591</v>
      </c>
      <c r="X607">
        <v>251</v>
      </c>
      <c r="Y607">
        <v>78.2</v>
      </c>
      <c r="Z607">
        <v>64.2</v>
      </c>
      <c r="AA607">
        <v>92.1</v>
      </c>
    </row>
    <row r="608" spans="1:27" x14ac:dyDescent="0.25">
      <c r="A608" t="s">
        <v>229</v>
      </c>
      <c r="B608" t="s">
        <v>191</v>
      </c>
      <c r="C608" s="76">
        <v>43980</v>
      </c>
      <c r="D608">
        <v>5704</v>
      </c>
      <c r="E608">
        <v>2131</v>
      </c>
      <c r="F608">
        <v>9276</v>
      </c>
      <c r="G608">
        <v>4917</v>
      </c>
      <c r="H608">
        <v>53.7</v>
      </c>
      <c r="I608">
        <v>41.6</v>
      </c>
      <c r="J608">
        <v>65.8</v>
      </c>
      <c r="K608">
        <v>380</v>
      </c>
      <c r="L608">
        <v>45</v>
      </c>
      <c r="M608">
        <v>714</v>
      </c>
      <c r="N608">
        <v>3.6</v>
      </c>
      <c r="O608">
        <v>1.5</v>
      </c>
      <c r="P608">
        <v>5.7</v>
      </c>
      <c r="Q608">
        <f t="shared" si="16"/>
        <v>5893634</v>
      </c>
      <c r="R608">
        <f t="shared" si="17"/>
        <v>6.4476348548281086</v>
      </c>
      <c r="U608">
        <v>924</v>
      </c>
      <c r="V608">
        <v>190</v>
      </c>
      <c r="W608">
        <v>1658</v>
      </c>
      <c r="X608">
        <v>243</v>
      </c>
      <c r="Y608">
        <v>79.099999999999994</v>
      </c>
      <c r="Z608">
        <v>64</v>
      </c>
      <c r="AA608">
        <v>94.3</v>
      </c>
    </row>
    <row r="609" spans="1:27" x14ac:dyDescent="0.25">
      <c r="A609" t="s">
        <v>229</v>
      </c>
      <c r="B609" t="s">
        <v>191</v>
      </c>
      <c r="C609" s="76">
        <v>43981</v>
      </c>
      <c r="D609">
        <v>5640</v>
      </c>
      <c r="E609">
        <v>2065</v>
      </c>
      <c r="F609">
        <v>9214</v>
      </c>
      <c r="G609">
        <v>5142</v>
      </c>
      <c r="H609">
        <v>52.3</v>
      </c>
      <c r="I609">
        <v>38.9</v>
      </c>
      <c r="J609">
        <v>65.7</v>
      </c>
      <c r="K609">
        <v>342</v>
      </c>
      <c r="L609">
        <v>39</v>
      </c>
      <c r="M609">
        <v>645</v>
      </c>
      <c r="N609">
        <v>3.2</v>
      </c>
      <c r="O609">
        <v>1.2</v>
      </c>
      <c r="P609">
        <v>5.2</v>
      </c>
      <c r="Q609">
        <f t="shared" si="16"/>
        <v>5893634</v>
      </c>
      <c r="R609">
        <f t="shared" si="17"/>
        <v>5.8028713693452971</v>
      </c>
      <c r="U609">
        <v>808</v>
      </c>
      <c r="V609">
        <v>184</v>
      </c>
      <c r="W609">
        <v>1431</v>
      </c>
      <c r="X609">
        <v>350</v>
      </c>
      <c r="Y609">
        <v>69.8</v>
      </c>
      <c r="Z609">
        <v>58.2</v>
      </c>
      <c r="AA609">
        <v>81.3</v>
      </c>
    </row>
    <row r="610" spans="1:27" x14ac:dyDescent="0.25">
      <c r="A610" t="s">
        <v>229</v>
      </c>
      <c r="B610" t="s">
        <v>191</v>
      </c>
      <c r="C610" s="76">
        <v>43982</v>
      </c>
      <c r="D610">
        <v>5432</v>
      </c>
      <c r="E610">
        <v>2035</v>
      </c>
      <c r="F610">
        <v>8829</v>
      </c>
      <c r="G610">
        <v>5074</v>
      </c>
      <c r="H610">
        <v>51.7</v>
      </c>
      <c r="I610">
        <v>39.6</v>
      </c>
      <c r="J610">
        <v>63.8</v>
      </c>
      <c r="K610">
        <v>298</v>
      </c>
      <c r="L610">
        <v>40</v>
      </c>
      <c r="M610">
        <v>557</v>
      </c>
      <c r="N610">
        <v>2.8</v>
      </c>
      <c r="O610">
        <v>1.2</v>
      </c>
      <c r="P610">
        <v>4.5</v>
      </c>
      <c r="Q610">
        <f t="shared" si="16"/>
        <v>5893634</v>
      </c>
      <c r="R610">
        <f t="shared" si="17"/>
        <v>5.0563031229967796</v>
      </c>
      <c r="U610">
        <v>818</v>
      </c>
      <c r="V610">
        <v>183</v>
      </c>
      <c r="W610">
        <v>1453</v>
      </c>
      <c r="X610">
        <v>309</v>
      </c>
      <c r="Y610">
        <v>72.599999999999994</v>
      </c>
      <c r="Z610">
        <v>63</v>
      </c>
      <c r="AA610">
        <v>82.2</v>
      </c>
    </row>
    <row r="611" spans="1:27" x14ac:dyDescent="0.25">
      <c r="A611" t="s">
        <v>229</v>
      </c>
      <c r="B611" t="s">
        <v>191</v>
      </c>
      <c r="C611" s="76">
        <v>43983</v>
      </c>
      <c r="D611">
        <v>5653</v>
      </c>
      <c r="E611">
        <v>1608</v>
      </c>
      <c r="F611">
        <v>9698</v>
      </c>
      <c r="G611">
        <v>4541</v>
      </c>
      <c r="H611">
        <v>55.5</v>
      </c>
      <c r="I611">
        <v>40.700000000000003</v>
      </c>
      <c r="J611">
        <v>70.3</v>
      </c>
      <c r="K611">
        <v>326</v>
      </c>
      <c r="L611">
        <v>39</v>
      </c>
      <c r="M611">
        <v>612</v>
      </c>
      <c r="N611">
        <v>3.2</v>
      </c>
      <c r="O611">
        <v>1.5</v>
      </c>
      <c r="P611">
        <v>4.9000000000000004</v>
      </c>
      <c r="Q611">
        <f t="shared" si="16"/>
        <v>5893634</v>
      </c>
      <c r="R611">
        <f t="shared" si="17"/>
        <v>5.5313920070367448</v>
      </c>
      <c r="U611">
        <v>846</v>
      </c>
      <c r="V611">
        <v>117</v>
      </c>
      <c r="W611">
        <v>1576</v>
      </c>
      <c r="X611">
        <v>320</v>
      </c>
      <c r="Y611">
        <v>72.5</v>
      </c>
      <c r="Z611">
        <v>65.400000000000006</v>
      </c>
      <c r="AA611">
        <v>79.7</v>
      </c>
    </row>
    <row r="612" spans="1:27" x14ac:dyDescent="0.25">
      <c r="A612" t="s">
        <v>229</v>
      </c>
      <c r="B612" t="s">
        <v>191</v>
      </c>
      <c r="C612" s="76">
        <v>43984</v>
      </c>
      <c r="D612">
        <v>5442</v>
      </c>
      <c r="E612">
        <v>1698</v>
      </c>
      <c r="F612">
        <v>9186</v>
      </c>
      <c r="G612">
        <v>4751</v>
      </c>
      <c r="H612">
        <v>53.4</v>
      </c>
      <c r="I612">
        <v>41.1</v>
      </c>
      <c r="J612">
        <v>65.7</v>
      </c>
      <c r="K612">
        <v>284</v>
      </c>
      <c r="L612">
        <v>21</v>
      </c>
      <c r="M612">
        <v>547</v>
      </c>
      <c r="N612">
        <v>2.8</v>
      </c>
      <c r="O612">
        <v>1</v>
      </c>
      <c r="P612">
        <v>4.5999999999999996</v>
      </c>
      <c r="Q612">
        <f t="shared" si="16"/>
        <v>5893634</v>
      </c>
      <c r="R612">
        <f t="shared" si="17"/>
        <v>4.8187586809767966</v>
      </c>
      <c r="U612">
        <v>571</v>
      </c>
      <c r="V612">
        <v>71</v>
      </c>
      <c r="W612">
        <v>1071</v>
      </c>
      <c r="X612">
        <v>596</v>
      </c>
      <c r="Y612">
        <v>49</v>
      </c>
      <c r="Z612">
        <v>12.6</v>
      </c>
      <c r="AA612">
        <v>85.3</v>
      </c>
    </row>
    <row r="613" spans="1:27" x14ac:dyDescent="0.25">
      <c r="A613" t="s">
        <v>229</v>
      </c>
      <c r="B613" t="s">
        <v>191</v>
      </c>
      <c r="C613" s="76">
        <v>43985</v>
      </c>
      <c r="D613">
        <v>5896</v>
      </c>
      <c r="E613">
        <v>1485</v>
      </c>
      <c r="F613">
        <v>10307</v>
      </c>
      <c r="G613">
        <v>4288</v>
      </c>
      <c r="H613">
        <v>57.9</v>
      </c>
      <c r="I613">
        <v>40.6</v>
      </c>
      <c r="J613">
        <v>75.2</v>
      </c>
      <c r="K613">
        <v>270</v>
      </c>
      <c r="L613">
        <v>19</v>
      </c>
      <c r="M613">
        <v>521</v>
      </c>
      <c r="N613">
        <v>2.6</v>
      </c>
      <c r="O613">
        <v>0.9</v>
      </c>
      <c r="P613">
        <v>4.3</v>
      </c>
      <c r="Q613">
        <f t="shared" si="16"/>
        <v>5893634</v>
      </c>
      <c r="R613">
        <f t="shared" si="17"/>
        <v>4.5812142389568136</v>
      </c>
      <c r="U613">
        <v>839</v>
      </c>
      <c r="V613">
        <v>42</v>
      </c>
      <c r="W613">
        <v>1636</v>
      </c>
      <c r="X613">
        <v>295</v>
      </c>
      <c r="Y613">
        <v>74</v>
      </c>
      <c r="Z613">
        <v>61</v>
      </c>
      <c r="AA613">
        <v>87</v>
      </c>
    </row>
    <row r="614" spans="1:27" x14ac:dyDescent="0.25">
      <c r="A614" t="s">
        <v>229</v>
      </c>
      <c r="B614" t="s">
        <v>191</v>
      </c>
      <c r="C614" s="76">
        <v>43986</v>
      </c>
      <c r="D614">
        <v>5859</v>
      </c>
      <c r="E614">
        <v>1716</v>
      </c>
      <c r="F614">
        <v>10002</v>
      </c>
      <c r="G614">
        <v>4402</v>
      </c>
      <c r="H614">
        <v>57.1</v>
      </c>
      <c r="I614">
        <v>41.9</v>
      </c>
      <c r="J614">
        <v>72.3</v>
      </c>
      <c r="K614">
        <v>235</v>
      </c>
      <c r="L614">
        <v>32</v>
      </c>
      <c r="M614">
        <v>437</v>
      </c>
      <c r="N614">
        <v>2.2999999999999998</v>
      </c>
      <c r="O614">
        <v>0.9</v>
      </c>
      <c r="P614">
        <v>3.7</v>
      </c>
      <c r="Q614">
        <f t="shared" si="16"/>
        <v>5893634</v>
      </c>
      <c r="R614">
        <f t="shared" si="17"/>
        <v>3.987353133906856</v>
      </c>
      <c r="U614">
        <v>893</v>
      </c>
      <c r="V614">
        <v>134</v>
      </c>
      <c r="W614">
        <v>1652</v>
      </c>
      <c r="X614">
        <v>301</v>
      </c>
      <c r="Y614">
        <v>74.8</v>
      </c>
      <c r="Z614">
        <v>64.099999999999994</v>
      </c>
      <c r="AA614">
        <v>85.5</v>
      </c>
    </row>
    <row r="615" spans="1:27" x14ac:dyDescent="0.25">
      <c r="A615" t="s">
        <v>229</v>
      </c>
      <c r="B615" t="s">
        <v>191</v>
      </c>
      <c r="C615" s="76">
        <v>43987</v>
      </c>
      <c r="D615">
        <v>5767</v>
      </c>
      <c r="E615">
        <v>1697</v>
      </c>
      <c r="F615">
        <v>9837</v>
      </c>
      <c r="G615">
        <v>4339</v>
      </c>
      <c r="H615">
        <v>57.1</v>
      </c>
      <c r="I615">
        <v>43.2</v>
      </c>
      <c r="J615">
        <v>71</v>
      </c>
      <c r="K615">
        <v>294</v>
      </c>
      <c r="L615">
        <v>30</v>
      </c>
      <c r="M615">
        <v>558</v>
      </c>
      <c r="N615">
        <v>2.9</v>
      </c>
      <c r="O615">
        <v>1.1000000000000001</v>
      </c>
      <c r="P615">
        <v>4.7</v>
      </c>
      <c r="Q615">
        <f t="shared" ref="Q615:Q678" si="18">VLOOKUP(B615,$AE$4:$AF$55,2,FALSE)</f>
        <v>5893634</v>
      </c>
      <c r="R615">
        <f t="shared" si="17"/>
        <v>4.9884332824196411</v>
      </c>
      <c r="U615">
        <v>984</v>
      </c>
      <c r="V615">
        <v>110</v>
      </c>
      <c r="W615">
        <v>1858</v>
      </c>
      <c r="X615">
        <v>555</v>
      </c>
      <c r="Y615">
        <v>63.9</v>
      </c>
      <c r="Z615">
        <v>46.2</v>
      </c>
      <c r="AA615">
        <v>81.7</v>
      </c>
    </row>
    <row r="616" spans="1:27" x14ac:dyDescent="0.25">
      <c r="A616" t="s">
        <v>229</v>
      </c>
      <c r="B616" t="s">
        <v>191</v>
      </c>
      <c r="C616" s="76">
        <v>43988</v>
      </c>
      <c r="D616">
        <v>5382</v>
      </c>
      <c r="E616">
        <v>1682</v>
      </c>
      <c r="F616">
        <v>9082</v>
      </c>
      <c r="G616">
        <v>4668</v>
      </c>
      <c r="H616">
        <v>53.6</v>
      </c>
      <c r="I616">
        <v>41.7</v>
      </c>
      <c r="J616">
        <v>65.400000000000006</v>
      </c>
      <c r="K616">
        <v>201</v>
      </c>
      <c r="L616">
        <v>32</v>
      </c>
      <c r="M616">
        <v>370</v>
      </c>
      <c r="N616">
        <v>2</v>
      </c>
      <c r="O616">
        <v>1</v>
      </c>
      <c r="P616">
        <v>3</v>
      </c>
      <c r="Q616">
        <f t="shared" si="18"/>
        <v>5893634</v>
      </c>
      <c r="R616">
        <f t="shared" si="17"/>
        <v>3.4104594890011835</v>
      </c>
      <c r="U616">
        <v>1017</v>
      </c>
      <c r="V616">
        <v>128</v>
      </c>
      <c r="W616">
        <v>1906</v>
      </c>
      <c r="X616">
        <v>530</v>
      </c>
      <c r="Y616">
        <v>65.8</v>
      </c>
      <c r="Z616">
        <v>48.9</v>
      </c>
      <c r="AA616">
        <v>82.6</v>
      </c>
    </row>
    <row r="617" spans="1:27" x14ac:dyDescent="0.25">
      <c r="A617" t="s">
        <v>229</v>
      </c>
      <c r="B617" t="s">
        <v>191</v>
      </c>
      <c r="C617" s="76">
        <v>43989</v>
      </c>
      <c r="D617">
        <v>5250</v>
      </c>
      <c r="E617">
        <v>1712</v>
      </c>
      <c r="F617">
        <v>8789</v>
      </c>
      <c r="G617">
        <v>4855</v>
      </c>
      <c r="H617">
        <v>52</v>
      </c>
      <c r="I617">
        <v>40.9</v>
      </c>
      <c r="J617">
        <v>63</v>
      </c>
      <c r="K617">
        <v>209</v>
      </c>
      <c r="L617">
        <v>37</v>
      </c>
      <c r="M617">
        <v>381</v>
      </c>
      <c r="N617">
        <v>2.1</v>
      </c>
      <c r="O617">
        <v>1</v>
      </c>
      <c r="P617">
        <v>3.1</v>
      </c>
      <c r="Q617">
        <f t="shared" si="18"/>
        <v>5893634</v>
      </c>
      <c r="R617">
        <f t="shared" si="17"/>
        <v>3.5461991701554592</v>
      </c>
      <c r="U617">
        <v>1014</v>
      </c>
      <c r="V617">
        <v>109</v>
      </c>
      <c r="W617">
        <v>1918</v>
      </c>
      <c r="X617">
        <v>543</v>
      </c>
      <c r="Y617">
        <v>65.099999999999994</v>
      </c>
      <c r="Z617">
        <v>45.6</v>
      </c>
      <c r="AA617">
        <v>84.6</v>
      </c>
    </row>
    <row r="618" spans="1:27" x14ac:dyDescent="0.25">
      <c r="A618" t="s">
        <v>229</v>
      </c>
      <c r="B618" t="s">
        <v>191</v>
      </c>
      <c r="C618" s="76">
        <v>43990</v>
      </c>
      <c r="D618">
        <v>6207</v>
      </c>
      <c r="E618">
        <v>1949</v>
      </c>
      <c r="F618">
        <v>10465</v>
      </c>
      <c r="G618">
        <v>4839</v>
      </c>
      <c r="H618">
        <v>56.2</v>
      </c>
      <c r="I618">
        <v>42.4</v>
      </c>
      <c r="J618">
        <v>70</v>
      </c>
      <c r="K618">
        <v>207</v>
      </c>
      <c r="L618">
        <v>31</v>
      </c>
      <c r="M618">
        <v>383</v>
      </c>
      <c r="N618">
        <v>1.9</v>
      </c>
      <c r="O618">
        <v>0.8</v>
      </c>
      <c r="P618">
        <v>3</v>
      </c>
      <c r="Q618">
        <f t="shared" si="18"/>
        <v>5893634</v>
      </c>
      <c r="R618">
        <f t="shared" si="17"/>
        <v>3.5122642498668908</v>
      </c>
      <c r="U618">
        <v>1232</v>
      </c>
      <c r="V618">
        <v>216</v>
      </c>
      <c r="W618">
        <v>2249</v>
      </c>
      <c r="X618">
        <v>615</v>
      </c>
      <c r="Y618">
        <v>66.7</v>
      </c>
      <c r="Z618">
        <v>48.5</v>
      </c>
      <c r="AA618">
        <v>84.9</v>
      </c>
    </row>
    <row r="619" spans="1:27" x14ac:dyDescent="0.25">
      <c r="A619" t="s">
        <v>229</v>
      </c>
      <c r="B619" t="s">
        <v>191</v>
      </c>
      <c r="C619" s="76">
        <v>43991</v>
      </c>
      <c r="D619">
        <v>6572</v>
      </c>
      <c r="E619">
        <v>2003</v>
      </c>
      <c r="F619">
        <v>11141</v>
      </c>
      <c r="G619">
        <v>4390</v>
      </c>
      <c r="H619">
        <v>60</v>
      </c>
      <c r="I619">
        <v>44.9</v>
      </c>
      <c r="J619">
        <v>75</v>
      </c>
      <c r="K619">
        <v>209</v>
      </c>
      <c r="L619">
        <v>50</v>
      </c>
      <c r="M619">
        <v>368</v>
      </c>
      <c r="N619">
        <v>1.9</v>
      </c>
      <c r="O619">
        <v>1.1000000000000001</v>
      </c>
      <c r="P619">
        <v>2.8</v>
      </c>
      <c r="Q619">
        <f t="shared" si="18"/>
        <v>5893634</v>
      </c>
      <c r="R619">
        <f t="shared" si="17"/>
        <v>3.5461991701554592</v>
      </c>
      <c r="U619">
        <v>1291</v>
      </c>
      <c r="V619">
        <v>231</v>
      </c>
      <c r="W619">
        <v>2351</v>
      </c>
      <c r="X619">
        <v>538</v>
      </c>
      <c r="Y619">
        <v>70.599999999999994</v>
      </c>
      <c r="Z619">
        <v>53.3</v>
      </c>
      <c r="AA619">
        <v>87.8</v>
      </c>
    </row>
    <row r="620" spans="1:27" x14ac:dyDescent="0.25">
      <c r="A620" t="s">
        <v>229</v>
      </c>
      <c r="B620" t="s">
        <v>191</v>
      </c>
      <c r="C620" s="76">
        <v>43992</v>
      </c>
      <c r="D620">
        <v>6491</v>
      </c>
      <c r="E620">
        <v>1905</v>
      </c>
      <c r="F620">
        <v>11076</v>
      </c>
      <c r="G620">
        <v>4407</v>
      </c>
      <c r="H620">
        <v>59.6</v>
      </c>
      <c r="I620">
        <v>44.6</v>
      </c>
      <c r="J620">
        <v>74.599999999999994</v>
      </c>
      <c r="K620">
        <v>202</v>
      </c>
      <c r="L620">
        <v>22</v>
      </c>
      <c r="M620">
        <v>382</v>
      </c>
      <c r="N620">
        <v>1.9</v>
      </c>
      <c r="O620">
        <v>0.8</v>
      </c>
      <c r="P620">
        <v>2.9</v>
      </c>
      <c r="Q620">
        <f t="shared" si="18"/>
        <v>5893634</v>
      </c>
      <c r="R620">
        <f t="shared" si="17"/>
        <v>3.4274269491454676</v>
      </c>
      <c r="U620">
        <v>1197</v>
      </c>
      <c r="V620">
        <v>212</v>
      </c>
      <c r="W620">
        <v>2182</v>
      </c>
      <c r="X620">
        <v>567</v>
      </c>
      <c r="Y620">
        <v>67.900000000000006</v>
      </c>
      <c r="Z620">
        <v>51.4</v>
      </c>
      <c r="AA620">
        <v>84.3</v>
      </c>
    </row>
    <row r="621" spans="1:27" x14ac:dyDescent="0.25">
      <c r="A621" t="s">
        <v>229</v>
      </c>
      <c r="B621" t="s">
        <v>191</v>
      </c>
      <c r="C621" s="76">
        <v>43993</v>
      </c>
      <c r="D621">
        <v>6008</v>
      </c>
      <c r="E621">
        <v>1619</v>
      </c>
      <c r="F621">
        <v>10397</v>
      </c>
      <c r="G621">
        <v>3847</v>
      </c>
      <c r="H621">
        <v>61</v>
      </c>
      <c r="I621">
        <v>45.7</v>
      </c>
      <c r="J621">
        <v>76.2</v>
      </c>
      <c r="K621">
        <v>171</v>
      </c>
      <c r="L621">
        <v>28</v>
      </c>
      <c r="M621">
        <v>314</v>
      </c>
      <c r="N621">
        <v>1.7</v>
      </c>
      <c r="O621">
        <v>0.8</v>
      </c>
      <c r="P621">
        <v>2.6</v>
      </c>
      <c r="Q621">
        <f t="shared" si="18"/>
        <v>5893634</v>
      </c>
      <c r="R621">
        <f t="shared" si="17"/>
        <v>2.9014356846726486</v>
      </c>
      <c r="U621">
        <v>1021</v>
      </c>
      <c r="V621">
        <v>146</v>
      </c>
      <c r="W621">
        <v>1895</v>
      </c>
      <c r="X621">
        <v>495</v>
      </c>
      <c r="Y621">
        <v>67.3</v>
      </c>
      <c r="Z621">
        <v>52.5</v>
      </c>
      <c r="AA621">
        <v>82.1</v>
      </c>
    </row>
    <row r="622" spans="1:27" x14ac:dyDescent="0.25">
      <c r="A622" t="s">
        <v>229</v>
      </c>
      <c r="B622" t="s">
        <v>191</v>
      </c>
      <c r="C622" s="76">
        <v>43994</v>
      </c>
      <c r="D622">
        <v>5817</v>
      </c>
      <c r="E622">
        <v>1643</v>
      </c>
      <c r="F622">
        <v>9992</v>
      </c>
      <c r="G622">
        <v>4268</v>
      </c>
      <c r="H622">
        <v>57.7</v>
      </c>
      <c r="I622">
        <v>42.9</v>
      </c>
      <c r="J622">
        <v>72.5</v>
      </c>
      <c r="K622">
        <v>180</v>
      </c>
      <c r="L622">
        <v>40</v>
      </c>
      <c r="M622">
        <v>320</v>
      </c>
      <c r="N622">
        <v>1.8</v>
      </c>
      <c r="O622">
        <v>0.9</v>
      </c>
      <c r="P622">
        <v>2.6</v>
      </c>
      <c r="Q622">
        <f t="shared" si="18"/>
        <v>5893634</v>
      </c>
      <c r="R622">
        <f t="shared" si="17"/>
        <v>3.0541428259712089</v>
      </c>
      <c r="U622">
        <v>1022</v>
      </c>
      <c r="V622">
        <v>127</v>
      </c>
      <c r="W622">
        <v>1917</v>
      </c>
      <c r="X622">
        <v>527</v>
      </c>
      <c r="Y622">
        <v>66</v>
      </c>
      <c r="Z622">
        <v>48.1</v>
      </c>
      <c r="AA622">
        <v>83.8</v>
      </c>
    </row>
    <row r="623" spans="1:27" x14ac:dyDescent="0.25">
      <c r="A623" t="s">
        <v>229</v>
      </c>
      <c r="B623" t="s">
        <v>191</v>
      </c>
      <c r="C623" s="76">
        <v>43995</v>
      </c>
      <c r="D623">
        <v>5766</v>
      </c>
      <c r="E623">
        <v>1578</v>
      </c>
      <c r="F623">
        <v>9953</v>
      </c>
      <c r="G623">
        <v>4293</v>
      </c>
      <c r="H623">
        <v>57.3</v>
      </c>
      <c r="I623">
        <v>42.2</v>
      </c>
      <c r="J623">
        <v>72.400000000000006</v>
      </c>
      <c r="K623">
        <v>230</v>
      </c>
      <c r="L623">
        <v>0</v>
      </c>
      <c r="M623">
        <v>473</v>
      </c>
      <c r="N623">
        <v>2.2999999999999998</v>
      </c>
      <c r="O623">
        <v>0.5</v>
      </c>
      <c r="P623">
        <v>4.0999999999999996</v>
      </c>
      <c r="Q623">
        <f t="shared" si="18"/>
        <v>5893634</v>
      </c>
      <c r="R623">
        <f t="shared" si="17"/>
        <v>3.9025158331854333</v>
      </c>
      <c r="U623">
        <v>1002</v>
      </c>
      <c r="V623">
        <v>108</v>
      </c>
      <c r="W623">
        <v>1896</v>
      </c>
      <c r="X623">
        <v>551</v>
      </c>
      <c r="Y623">
        <v>64.5</v>
      </c>
      <c r="Z623">
        <v>45.9</v>
      </c>
      <c r="AA623">
        <v>83.1</v>
      </c>
    </row>
    <row r="624" spans="1:27" x14ac:dyDescent="0.25">
      <c r="A624" t="s">
        <v>229</v>
      </c>
      <c r="B624" t="s">
        <v>191</v>
      </c>
      <c r="C624" s="76">
        <v>43996</v>
      </c>
      <c r="D624">
        <v>5600</v>
      </c>
      <c r="E624">
        <v>1505</v>
      </c>
      <c r="F624">
        <v>9696</v>
      </c>
      <c r="G624">
        <v>4357</v>
      </c>
      <c r="H624">
        <v>56.2</v>
      </c>
      <c r="I624">
        <v>41</v>
      </c>
      <c r="J624">
        <v>71.5</v>
      </c>
      <c r="K624">
        <v>179</v>
      </c>
      <c r="L624">
        <v>18</v>
      </c>
      <c r="M624">
        <v>339</v>
      </c>
      <c r="N624">
        <v>1.8</v>
      </c>
      <c r="O624">
        <v>0.6</v>
      </c>
      <c r="P624">
        <v>3</v>
      </c>
      <c r="Q624">
        <f t="shared" si="18"/>
        <v>5893634</v>
      </c>
      <c r="R624">
        <f t="shared" si="17"/>
        <v>3.0371753658269243</v>
      </c>
      <c r="U624">
        <v>991</v>
      </c>
      <c r="V624">
        <v>116</v>
      </c>
      <c r="W624">
        <v>1866</v>
      </c>
      <c r="X624">
        <v>542</v>
      </c>
      <c r="Y624">
        <v>64.7</v>
      </c>
      <c r="Z624">
        <v>47.2</v>
      </c>
      <c r="AA624">
        <v>82.1</v>
      </c>
    </row>
    <row r="625" spans="1:27" x14ac:dyDescent="0.25">
      <c r="A625" t="s">
        <v>229</v>
      </c>
      <c r="B625" t="s">
        <v>191</v>
      </c>
      <c r="C625" s="76">
        <v>43997</v>
      </c>
      <c r="D625">
        <v>5641</v>
      </c>
      <c r="E625">
        <v>1576</v>
      </c>
      <c r="F625">
        <v>9707</v>
      </c>
      <c r="G625">
        <v>4574</v>
      </c>
      <c r="H625">
        <v>55.2</v>
      </c>
      <c r="I625">
        <v>39.200000000000003</v>
      </c>
      <c r="J625">
        <v>71.3</v>
      </c>
      <c r="K625">
        <v>175</v>
      </c>
      <c r="L625">
        <v>13</v>
      </c>
      <c r="M625">
        <v>338</v>
      </c>
      <c r="N625">
        <v>1.7</v>
      </c>
      <c r="O625">
        <v>0.5</v>
      </c>
      <c r="P625">
        <v>2.9</v>
      </c>
      <c r="Q625">
        <f t="shared" si="18"/>
        <v>5893634</v>
      </c>
      <c r="R625">
        <f t="shared" si="17"/>
        <v>2.9693055252497866</v>
      </c>
      <c r="U625">
        <v>1023</v>
      </c>
      <c r="V625">
        <v>122</v>
      </c>
      <c r="W625">
        <v>1924</v>
      </c>
      <c r="X625">
        <v>535</v>
      </c>
      <c r="Y625">
        <v>65.7</v>
      </c>
      <c r="Z625">
        <v>45.3</v>
      </c>
      <c r="AA625">
        <v>86.1</v>
      </c>
    </row>
    <row r="626" spans="1:27" x14ac:dyDescent="0.25">
      <c r="A626" t="s">
        <v>229</v>
      </c>
      <c r="B626" t="s">
        <v>191</v>
      </c>
      <c r="C626" s="76">
        <v>43998</v>
      </c>
      <c r="D626">
        <v>5928</v>
      </c>
      <c r="E626">
        <v>1601</v>
      </c>
      <c r="F626">
        <v>10254</v>
      </c>
      <c r="G626">
        <v>4219</v>
      </c>
      <c r="H626">
        <v>58.4</v>
      </c>
      <c r="I626">
        <v>41.2</v>
      </c>
      <c r="J626">
        <v>75.599999999999994</v>
      </c>
      <c r="K626">
        <v>198</v>
      </c>
      <c r="L626">
        <v>15</v>
      </c>
      <c r="M626">
        <v>381</v>
      </c>
      <c r="N626">
        <v>2</v>
      </c>
      <c r="O626">
        <v>0.6</v>
      </c>
      <c r="P626">
        <v>3.3</v>
      </c>
      <c r="Q626">
        <f t="shared" si="18"/>
        <v>5893634</v>
      </c>
      <c r="R626">
        <f t="shared" si="17"/>
        <v>3.35955710856833</v>
      </c>
      <c r="U626">
        <v>1053</v>
      </c>
      <c r="V626">
        <v>105</v>
      </c>
      <c r="W626">
        <v>2002</v>
      </c>
      <c r="X626">
        <v>474</v>
      </c>
      <c r="Y626">
        <v>69</v>
      </c>
      <c r="Z626">
        <v>47.3</v>
      </c>
      <c r="AA626">
        <v>90.7</v>
      </c>
    </row>
    <row r="627" spans="1:27" x14ac:dyDescent="0.25">
      <c r="A627" t="s">
        <v>229</v>
      </c>
      <c r="B627" t="s">
        <v>191</v>
      </c>
      <c r="C627" s="76">
        <v>43999</v>
      </c>
      <c r="D627">
        <v>5952</v>
      </c>
      <c r="E627">
        <v>1595</v>
      </c>
      <c r="F627">
        <v>10310</v>
      </c>
      <c r="G627">
        <v>4164</v>
      </c>
      <c r="H627">
        <v>58.8</v>
      </c>
      <c r="I627">
        <v>42.2</v>
      </c>
      <c r="J627">
        <v>75.5</v>
      </c>
      <c r="K627">
        <v>192</v>
      </c>
      <c r="L627">
        <v>0</v>
      </c>
      <c r="M627">
        <v>383</v>
      </c>
      <c r="N627">
        <v>1.9</v>
      </c>
      <c r="O627">
        <v>0.5</v>
      </c>
      <c r="P627">
        <v>3.3</v>
      </c>
      <c r="Q627">
        <f t="shared" si="18"/>
        <v>5893634</v>
      </c>
      <c r="R627">
        <f t="shared" si="17"/>
        <v>3.2577523477026227</v>
      </c>
      <c r="U627">
        <v>1039</v>
      </c>
      <c r="V627">
        <v>101</v>
      </c>
      <c r="W627">
        <v>1976</v>
      </c>
      <c r="X627">
        <v>473</v>
      </c>
      <c r="Y627">
        <v>68.7</v>
      </c>
      <c r="Z627">
        <v>47.3</v>
      </c>
      <c r="AA627">
        <v>90.1</v>
      </c>
    </row>
    <row r="628" spans="1:27" x14ac:dyDescent="0.25">
      <c r="A628" t="s">
        <v>229</v>
      </c>
      <c r="B628" t="s">
        <v>191</v>
      </c>
      <c r="C628" s="76">
        <v>44000</v>
      </c>
      <c r="D628">
        <v>6070</v>
      </c>
      <c r="E628">
        <v>1597</v>
      </c>
      <c r="F628">
        <v>10543</v>
      </c>
      <c r="G628">
        <v>4269</v>
      </c>
      <c r="H628">
        <v>58.7</v>
      </c>
      <c r="I628">
        <v>41.7</v>
      </c>
      <c r="J628">
        <v>75.7</v>
      </c>
      <c r="K628">
        <v>200</v>
      </c>
      <c r="L628">
        <v>0</v>
      </c>
      <c r="M628">
        <v>410</v>
      </c>
      <c r="N628">
        <v>1.9</v>
      </c>
      <c r="O628">
        <v>0.4</v>
      </c>
      <c r="P628">
        <v>3.5</v>
      </c>
      <c r="Q628">
        <f t="shared" si="18"/>
        <v>5893634</v>
      </c>
      <c r="R628">
        <f t="shared" si="17"/>
        <v>3.3934920288568988</v>
      </c>
      <c r="U628">
        <v>1058</v>
      </c>
      <c r="V628">
        <v>131</v>
      </c>
      <c r="W628">
        <v>1986</v>
      </c>
      <c r="X628">
        <v>530</v>
      </c>
      <c r="Y628">
        <v>66.599999999999994</v>
      </c>
      <c r="Z628">
        <v>45.8</v>
      </c>
      <c r="AA628">
        <v>87.5</v>
      </c>
    </row>
    <row r="629" spans="1:27" x14ac:dyDescent="0.25">
      <c r="A629" t="s">
        <v>229</v>
      </c>
      <c r="B629" t="s">
        <v>191</v>
      </c>
      <c r="C629" s="76">
        <v>44001</v>
      </c>
      <c r="D629">
        <v>5923</v>
      </c>
      <c r="E629">
        <v>1710</v>
      </c>
      <c r="F629">
        <v>10137</v>
      </c>
      <c r="G629">
        <v>4402</v>
      </c>
      <c r="H629">
        <v>57.4</v>
      </c>
      <c r="I629">
        <v>42.2</v>
      </c>
      <c r="J629">
        <v>72.5</v>
      </c>
      <c r="K629">
        <v>172</v>
      </c>
      <c r="L629">
        <v>34</v>
      </c>
      <c r="M629">
        <v>311</v>
      </c>
      <c r="N629">
        <v>1.7</v>
      </c>
      <c r="O629">
        <v>1</v>
      </c>
      <c r="P629">
        <v>2.4</v>
      </c>
      <c r="Q629">
        <f t="shared" si="18"/>
        <v>5893634</v>
      </c>
      <c r="R629">
        <f t="shared" si="17"/>
        <v>2.9184031448169327</v>
      </c>
      <c r="U629">
        <v>1003</v>
      </c>
      <c r="V629">
        <v>163</v>
      </c>
      <c r="W629">
        <v>1843</v>
      </c>
      <c r="X629">
        <v>602</v>
      </c>
      <c r="Y629">
        <v>62.5</v>
      </c>
      <c r="Z629">
        <v>45.2</v>
      </c>
      <c r="AA629">
        <v>79.8</v>
      </c>
    </row>
    <row r="630" spans="1:27" x14ac:dyDescent="0.25">
      <c r="A630" t="s">
        <v>229</v>
      </c>
      <c r="B630" t="s">
        <v>191</v>
      </c>
      <c r="C630" s="76">
        <v>44002</v>
      </c>
      <c r="D630">
        <v>5836</v>
      </c>
      <c r="E630">
        <v>1679</v>
      </c>
      <c r="F630">
        <v>9993</v>
      </c>
      <c r="G630">
        <v>4489</v>
      </c>
      <c r="H630">
        <v>56.5</v>
      </c>
      <c r="I630">
        <v>41.1</v>
      </c>
      <c r="J630">
        <v>72</v>
      </c>
      <c r="K630">
        <v>200</v>
      </c>
      <c r="L630">
        <v>25</v>
      </c>
      <c r="M630">
        <v>376</v>
      </c>
      <c r="N630">
        <v>1.9</v>
      </c>
      <c r="O630">
        <v>0.9</v>
      </c>
      <c r="P630">
        <v>3</v>
      </c>
      <c r="Q630">
        <f t="shared" si="18"/>
        <v>5893634</v>
      </c>
      <c r="R630">
        <f t="shared" si="17"/>
        <v>3.3934920288568988</v>
      </c>
      <c r="U630">
        <v>1016</v>
      </c>
      <c r="V630">
        <v>128</v>
      </c>
      <c r="W630">
        <v>1904</v>
      </c>
      <c r="X630">
        <v>572</v>
      </c>
      <c r="Y630">
        <v>64</v>
      </c>
      <c r="Z630">
        <v>43.2</v>
      </c>
      <c r="AA630">
        <v>84.7</v>
      </c>
    </row>
    <row r="631" spans="1:27" x14ac:dyDescent="0.25">
      <c r="A631" t="s">
        <v>229</v>
      </c>
      <c r="B631" t="s">
        <v>191</v>
      </c>
      <c r="C631" s="76">
        <v>44003</v>
      </c>
      <c r="D631">
        <v>5556</v>
      </c>
      <c r="E631">
        <v>1327</v>
      </c>
      <c r="F631">
        <v>9784</v>
      </c>
      <c r="G631">
        <v>4631</v>
      </c>
      <c r="H631">
        <v>54.5</v>
      </c>
      <c r="I631">
        <v>36.799999999999997</v>
      </c>
      <c r="J631">
        <v>72.2</v>
      </c>
      <c r="K631">
        <v>188</v>
      </c>
      <c r="L631">
        <v>36</v>
      </c>
      <c r="M631">
        <v>340</v>
      </c>
      <c r="N631">
        <v>1.8</v>
      </c>
      <c r="O631">
        <v>1</v>
      </c>
      <c r="P631">
        <v>2.7</v>
      </c>
      <c r="Q631">
        <f t="shared" si="18"/>
        <v>5893634</v>
      </c>
      <c r="R631">
        <f t="shared" si="17"/>
        <v>3.1898825071254846</v>
      </c>
      <c r="U631">
        <v>972</v>
      </c>
      <c r="V631">
        <v>107</v>
      </c>
      <c r="W631">
        <v>1837</v>
      </c>
      <c r="X631">
        <v>599</v>
      </c>
      <c r="Y631">
        <v>61.9</v>
      </c>
      <c r="Z631">
        <v>41.2</v>
      </c>
      <c r="AA631">
        <v>82.6</v>
      </c>
    </row>
    <row r="632" spans="1:27" x14ac:dyDescent="0.25">
      <c r="A632" t="s">
        <v>229</v>
      </c>
      <c r="B632" t="s">
        <v>191</v>
      </c>
      <c r="C632" s="76">
        <v>44004</v>
      </c>
      <c r="D632">
        <v>5658</v>
      </c>
      <c r="E632">
        <v>1213</v>
      </c>
      <c r="F632">
        <v>10104</v>
      </c>
      <c r="G632">
        <v>4605</v>
      </c>
      <c r="H632">
        <v>55.1</v>
      </c>
      <c r="I632">
        <v>35.200000000000003</v>
      </c>
      <c r="J632">
        <v>75</v>
      </c>
      <c r="K632">
        <v>188</v>
      </c>
      <c r="L632">
        <v>46</v>
      </c>
      <c r="M632">
        <v>330</v>
      </c>
      <c r="N632">
        <v>1.8</v>
      </c>
      <c r="O632">
        <v>1</v>
      </c>
      <c r="P632">
        <v>2.7</v>
      </c>
      <c r="Q632">
        <f t="shared" si="18"/>
        <v>5893634</v>
      </c>
      <c r="R632">
        <f t="shared" si="17"/>
        <v>3.1898825071254846</v>
      </c>
      <c r="U632">
        <v>988</v>
      </c>
      <c r="V632">
        <v>130</v>
      </c>
      <c r="W632">
        <v>1846</v>
      </c>
      <c r="X632">
        <v>599</v>
      </c>
      <c r="Y632">
        <v>62.3</v>
      </c>
      <c r="Z632">
        <v>42.1</v>
      </c>
      <c r="AA632">
        <v>82.4</v>
      </c>
    </row>
    <row r="633" spans="1:27" x14ac:dyDescent="0.25">
      <c r="A633" t="s">
        <v>229</v>
      </c>
      <c r="B633" t="s">
        <v>191</v>
      </c>
      <c r="C633" s="76">
        <v>44005</v>
      </c>
      <c r="D633">
        <v>5652</v>
      </c>
      <c r="E633">
        <v>1290</v>
      </c>
      <c r="F633">
        <v>10015</v>
      </c>
      <c r="G633">
        <v>4408</v>
      </c>
      <c r="H633">
        <v>56.2</v>
      </c>
      <c r="I633">
        <v>37.799999999999997</v>
      </c>
      <c r="J633">
        <v>74.5</v>
      </c>
      <c r="K633">
        <v>176</v>
      </c>
      <c r="L633">
        <v>22</v>
      </c>
      <c r="M633">
        <v>331</v>
      </c>
      <c r="N633">
        <v>1.8</v>
      </c>
      <c r="O633">
        <v>0.8</v>
      </c>
      <c r="P633">
        <v>2.7</v>
      </c>
      <c r="Q633">
        <f t="shared" si="18"/>
        <v>5893634</v>
      </c>
      <c r="R633">
        <f t="shared" si="17"/>
        <v>2.9862729853940708</v>
      </c>
      <c r="U633">
        <v>972</v>
      </c>
      <c r="V633">
        <v>123</v>
      </c>
      <c r="W633">
        <v>1821</v>
      </c>
      <c r="X633">
        <v>578</v>
      </c>
      <c r="Y633">
        <v>62.7</v>
      </c>
      <c r="Z633">
        <v>44.1</v>
      </c>
      <c r="AA633">
        <v>81.400000000000006</v>
      </c>
    </row>
    <row r="634" spans="1:27" x14ac:dyDescent="0.25">
      <c r="A634" t="s">
        <v>229</v>
      </c>
      <c r="B634" t="s">
        <v>191</v>
      </c>
      <c r="C634" s="76">
        <v>44006</v>
      </c>
      <c r="D634">
        <v>4297</v>
      </c>
      <c r="E634">
        <v>1397</v>
      </c>
      <c r="F634">
        <v>7196</v>
      </c>
      <c r="G634">
        <v>4120</v>
      </c>
      <c r="H634">
        <v>51.1</v>
      </c>
      <c r="I634">
        <v>38</v>
      </c>
      <c r="J634">
        <v>64.2</v>
      </c>
      <c r="K634">
        <v>195</v>
      </c>
      <c r="L634">
        <v>22</v>
      </c>
      <c r="M634">
        <v>368</v>
      </c>
      <c r="N634">
        <v>2.2999999999999998</v>
      </c>
      <c r="O634">
        <v>1</v>
      </c>
      <c r="P634">
        <v>3.7</v>
      </c>
      <c r="Q634">
        <f t="shared" si="18"/>
        <v>5893634</v>
      </c>
      <c r="R634">
        <f t="shared" si="17"/>
        <v>3.3086547281354766</v>
      </c>
      <c r="U634">
        <v>619</v>
      </c>
      <c r="V634">
        <v>70</v>
      </c>
      <c r="W634">
        <v>1168</v>
      </c>
      <c r="X634">
        <v>514</v>
      </c>
      <c r="Y634">
        <v>54.6</v>
      </c>
      <c r="Z634">
        <v>36.200000000000003</v>
      </c>
      <c r="AA634">
        <v>73</v>
      </c>
    </row>
    <row r="635" spans="1:27" x14ac:dyDescent="0.25">
      <c r="A635" t="s">
        <v>229</v>
      </c>
      <c r="B635" t="s">
        <v>191</v>
      </c>
      <c r="C635" s="76">
        <v>44007</v>
      </c>
      <c r="D635">
        <v>5894</v>
      </c>
      <c r="E635">
        <v>1580</v>
      </c>
      <c r="F635">
        <v>10207</v>
      </c>
      <c r="G635">
        <v>3955</v>
      </c>
      <c r="H635">
        <v>59.8</v>
      </c>
      <c r="I635">
        <v>43.9</v>
      </c>
      <c r="J635">
        <v>75.8</v>
      </c>
      <c r="K635">
        <v>179</v>
      </c>
      <c r="L635">
        <v>28</v>
      </c>
      <c r="M635">
        <v>330</v>
      </c>
      <c r="N635">
        <v>1.8</v>
      </c>
      <c r="O635">
        <v>1</v>
      </c>
      <c r="P635">
        <v>2.7</v>
      </c>
      <c r="Q635">
        <f t="shared" si="18"/>
        <v>5893634</v>
      </c>
      <c r="R635">
        <f t="shared" si="17"/>
        <v>3.0371753658269243</v>
      </c>
      <c r="U635">
        <v>971</v>
      </c>
      <c r="V635">
        <v>193</v>
      </c>
      <c r="W635">
        <v>1749</v>
      </c>
      <c r="X635">
        <v>604</v>
      </c>
      <c r="Y635">
        <v>61.7</v>
      </c>
      <c r="Z635">
        <v>48.3</v>
      </c>
      <c r="AA635">
        <v>75</v>
      </c>
    </row>
    <row r="636" spans="1:27" x14ac:dyDescent="0.25">
      <c r="A636" t="s">
        <v>229</v>
      </c>
      <c r="B636" t="s">
        <v>191</v>
      </c>
      <c r="C636" s="76">
        <v>44008</v>
      </c>
      <c r="D636">
        <v>5850</v>
      </c>
      <c r="E636">
        <v>1661</v>
      </c>
      <c r="F636">
        <v>10039</v>
      </c>
      <c r="G636">
        <v>4364</v>
      </c>
      <c r="H636">
        <v>57.3</v>
      </c>
      <c r="I636">
        <v>42.6</v>
      </c>
      <c r="J636">
        <v>72</v>
      </c>
      <c r="K636">
        <v>163</v>
      </c>
      <c r="L636">
        <v>22</v>
      </c>
      <c r="M636">
        <v>304</v>
      </c>
      <c r="N636">
        <v>1.6</v>
      </c>
      <c r="O636">
        <v>0.8</v>
      </c>
      <c r="P636">
        <v>2.4</v>
      </c>
      <c r="Q636">
        <f t="shared" si="18"/>
        <v>5893634</v>
      </c>
      <c r="R636">
        <f t="shared" si="17"/>
        <v>2.7656960035183724</v>
      </c>
      <c r="U636">
        <v>1006</v>
      </c>
      <c r="V636">
        <v>110</v>
      </c>
      <c r="W636">
        <v>1902</v>
      </c>
      <c r="X636">
        <v>553</v>
      </c>
      <c r="Y636">
        <v>64.5</v>
      </c>
      <c r="Z636">
        <v>43.5</v>
      </c>
      <c r="AA636">
        <v>85.5</v>
      </c>
    </row>
    <row r="637" spans="1:27" x14ac:dyDescent="0.25">
      <c r="A637" t="s">
        <v>229</v>
      </c>
      <c r="B637" t="s">
        <v>191</v>
      </c>
      <c r="C637" s="76">
        <v>44009</v>
      </c>
      <c r="D637">
        <v>5729</v>
      </c>
      <c r="E637">
        <v>1687</v>
      </c>
      <c r="F637">
        <v>9771</v>
      </c>
      <c r="G637">
        <v>4549</v>
      </c>
      <c r="H637">
        <v>55.7</v>
      </c>
      <c r="I637">
        <v>41.5</v>
      </c>
      <c r="J637">
        <v>70</v>
      </c>
      <c r="K637">
        <v>113</v>
      </c>
      <c r="L637">
        <v>1</v>
      </c>
      <c r="M637">
        <v>225</v>
      </c>
      <c r="N637">
        <v>1.1000000000000001</v>
      </c>
      <c r="O637">
        <v>0.3</v>
      </c>
      <c r="P637">
        <v>1.9</v>
      </c>
      <c r="Q637">
        <f t="shared" si="18"/>
        <v>5893634</v>
      </c>
      <c r="R637">
        <f t="shared" si="17"/>
        <v>1.9173229963041478</v>
      </c>
      <c r="U637">
        <v>1044</v>
      </c>
      <c r="V637">
        <v>130</v>
      </c>
      <c r="W637">
        <v>1958</v>
      </c>
      <c r="X637">
        <v>531</v>
      </c>
      <c r="Y637">
        <v>66.3</v>
      </c>
      <c r="Z637">
        <v>45.7</v>
      </c>
      <c r="AA637">
        <v>86.9</v>
      </c>
    </row>
    <row r="638" spans="1:27" x14ac:dyDescent="0.25">
      <c r="A638" t="s">
        <v>229</v>
      </c>
      <c r="B638" t="s">
        <v>191</v>
      </c>
      <c r="C638" s="76">
        <v>44010</v>
      </c>
      <c r="D638">
        <v>5731</v>
      </c>
      <c r="E638">
        <v>1607</v>
      </c>
      <c r="F638">
        <v>9854</v>
      </c>
      <c r="G638">
        <v>4532</v>
      </c>
      <c r="H638">
        <v>55.8</v>
      </c>
      <c r="I638">
        <v>40.4</v>
      </c>
      <c r="J638">
        <v>71.3</v>
      </c>
      <c r="K638">
        <v>149</v>
      </c>
      <c r="L638">
        <v>16</v>
      </c>
      <c r="M638">
        <v>282</v>
      </c>
      <c r="N638">
        <v>1.5</v>
      </c>
      <c r="O638">
        <v>0.6</v>
      </c>
      <c r="P638">
        <v>2.2999999999999998</v>
      </c>
      <c r="Q638">
        <f t="shared" si="18"/>
        <v>5893634</v>
      </c>
      <c r="R638">
        <f t="shared" si="17"/>
        <v>2.5281515614983898</v>
      </c>
      <c r="U638">
        <v>1050</v>
      </c>
      <c r="V638">
        <v>127</v>
      </c>
      <c r="W638">
        <v>1973</v>
      </c>
      <c r="X638">
        <v>518</v>
      </c>
      <c r="Y638">
        <v>67</v>
      </c>
      <c r="Z638">
        <v>46.1</v>
      </c>
      <c r="AA638">
        <v>87.9</v>
      </c>
    </row>
    <row r="639" spans="1:27" x14ac:dyDescent="0.25">
      <c r="A639" t="s">
        <v>229</v>
      </c>
      <c r="B639" t="s">
        <v>191</v>
      </c>
      <c r="C639" s="76">
        <v>44011</v>
      </c>
      <c r="D639">
        <v>5807</v>
      </c>
      <c r="E639">
        <v>1841</v>
      </c>
      <c r="F639">
        <v>9773</v>
      </c>
      <c r="G639">
        <v>4944</v>
      </c>
      <c r="H639">
        <v>54</v>
      </c>
      <c r="I639">
        <v>39.799999999999997</v>
      </c>
      <c r="J639">
        <v>68.3</v>
      </c>
      <c r="K639">
        <v>210</v>
      </c>
      <c r="L639">
        <v>54</v>
      </c>
      <c r="M639">
        <v>366</v>
      </c>
      <c r="N639">
        <v>2</v>
      </c>
      <c r="O639">
        <v>1</v>
      </c>
      <c r="P639">
        <v>2.9</v>
      </c>
      <c r="Q639">
        <f t="shared" si="18"/>
        <v>5893634</v>
      </c>
      <c r="R639">
        <f t="shared" si="17"/>
        <v>3.5631666302997433</v>
      </c>
      <c r="U639">
        <v>1068</v>
      </c>
      <c r="V639">
        <v>194</v>
      </c>
      <c r="W639">
        <v>1943</v>
      </c>
      <c r="X639">
        <v>671</v>
      </c>
      <c r="Y639">
        <v>61.4</v>
      </c>
      <c r="Z639">
        <v>41.9</v>
      </c>
      <c r="AA639">
        <v>80.900000000000006</v>
      </c>
    </row>
    <row r="640" spans="1:27" x14ac:dyDescent="0.25">
      <c r="A640" t="s">
        <v>229</v>
      </c>
      <c r="B640" t="s">
        <v>191</v>
      </c>
      <c r="C640" s="76">
        <v>44012</v>
      </c>
      <c r="D640">
        <v>5935</v>
      </c>
      <c r="E640">
        <v>1882</v>
      </c>
      <c r="F640">
        <v>9988</v>
      </c>
      <c r="G640">
        <v>4776</v>
      </c>
      <c r="H640">
        <v>55.4</v>
      </c>
      <c r="I640">
        <v>41.2</v>
      </c>
      <c r="J640">
        <v>69.7</v>
      </c>
      <c r="K640">
        <v>169</v>
      </c>
      <c r="L640">
        <v>52</v>
      </c>
      <c r="M640">
        <v>286</v>
      </c>
      <c r="N640">
        <v>1.6</v>
      </c>
      <c r="O640">
        <v>0.9</v>
      </c>
      <c r="P640">
        <v>2.2999999999999998</v>
      </c>
      <c r="Q640">
        <f t="shared" si="18"/>
        <v>5893634</v>
      </c>
      <c r="R640">
        <f t="shared" si="17"/>
        <v>2.8675007643840793</v>
      </c>
      <c r="U640">
        <v>1185</v>
      </c>
      <c r="V640">
        <v>299</v>
      </c>
      <c r="W640">
        <v>2070</v>
      </c>
      <c r="X640">
        <v>535</v>
      </c>
      <c r="Y640">
        <v>68.900000000000006</v>
      </c>
      <c r="Z640">
        <v>54.5</v>
      </c>
      <c r="AA640">
        <v>83.3</v>
      </c>
    </row>
    <row r="641" spans="1:27" x14ac:dyDescent="0.25">
      <c r="A641" t="s">
        <v>229</v>
      </c>
      <c r="B641" t="s">
        <v>191</v>
      </c>
      <c r="C641" s="76">
        <v>44013</v>
      </c>
      <c r="D641">
        <v>5893</v>
      </c>
      <c r="E641">
        <v>1893</v>
      </c>
      <c r="F641">
        <v>9893</v>
      </c>
      <c r="G641">
        <v>4762</v>
      </c>
      <c r="H641">
        <v>55.3</v>
      </c>
      <c r="I641">
        <v>41</v>
      </c>
      <c r="J641">
        <v>69.599999999999994</v>
      </c>
      <c r="K641">
        <v>168</v>
      </c>
      <c r="L641">
        <v>41</v>
      </c>
      <c r="M641">
        <v>296</v>
      </c>
      <c r="N641">
        <v>1.6</v>
      </c>
      <c r="O641">
        <v>0.8</v>
      </c>
      <c r="P641">
        <v>2.4</v>
      </c>
      <c r="Q641">
        <f t="shared" si="18"/>
        <v>5893634</v>
      </c>
      <c r="R641">
        <f t="shared" si="17"/>
        <v>2.8505333042397951</v>
      </c>
      <c r="U641">
        <v>1187</v>
      </c>
      <c r="V641">
        <v>278</v>
      </c>
      <c r="W641">
        <v>2096</v>
      </c>
      <c r="X641">
        <v>532</v>
      </c>
      <c r="Y641">
        <v>69</v>
      </c>
      <c r="Z641">
        <v>52.7</v>
      </c>
      <c r="AA641">
        <v>85.4</v>
      </c>
    </row>
    <row r="642" spans="1:27" x14ac:dyDescent="0.25">
      <c r="A642" t="s">
        <v>229</v>
      </c>
      <c r="B642" t="s">
        <v>191</v>
      </c>
      <c r="C642" s="76">
        <v>44014</v>
      </c>
      <c r="D642">
        <v>5824</v>
      </c>
      <c r="E642">
        <v>1563</v>
      </c>
      <c r="F642">
        <v>10086</v>
      </c>
      <c r="G642">
        <v>4273</v>
      </c>
      <c r="H642">
        <v>57.7</v>
      </c>
      <c r="I642">
        <v>41.6</v>
      </c>
      <c r="J642">
        <v>73.7</v>
      </c>
      <c r="K642">
        <v>151</v>
      </c>
      <c r="L642">
        <v>16</v>
      </c>
      <c r="M642">
        <v>286</v>
      </c>
      <c r="N642">
        <v>1.5</v>
      </c>
      <c r="O642">
        <v>0.6</v>
      </c>
      <c r="P642">
        <v>2.4</v>
      </c>
      <c r="Q642">
        <f t="shared" si="18"/>
        <v>5893634</v>
      </c>
      <c r="R642">
        <f t="shared" si="17"/>
        <v>2.5620864817869586</v>
      </c>
      <c r="U642">
        <v>951</v>
      </c>
      <c r="V642">
        <v>118</v>
      </c>
      <c r="W642">
        <v>1784</v>
      </c>
      <c r="X642">
        <v>592</v>
      </c>
      <c r="Y642">
        <v>61.6</v>
      </c>
      <c r="Z642">
        <v>43.3</v>
      </c>
      <c r="AA642">
        <v>80</v>
      </c>
    </row>
    <row r="643" spans="1:27" x14ac:dyDescent="0.25">
      <c r="A643" t="s">
        <v>229</v>
      </c>
      <c r="B643" t="s">
        <v>191</v>
      </c>
      <c r="C643" s="76">
        <v>44015</v>
      </c>
      <c r="D643">
        <v>5418</v>
      </c>
      <c r="E643">
        <v>1523</v>
      </c>
      <c r="F643">
        <v>9314</v>
      </c>
      <c r="G643">
        <v>4655</v>
      </c>
      <c r="H643">
        <v>53.8</v>
      </c>
      <c r="I643">
        <v>39.1</v>
      </c>
      <c r="J643">
        <v>68.5</v>
      </c>
      <c r="K643">
        <v>146</v>
      </c>
      <c r="L643">
        <v>31</v>
      </c>
      <c r="M643">
        <v>260</v>
      </c>
      <c r="N643">
        <v>1.4</v>
      </c>
      <c r="O643">
        <v>0.8</v>
      </c>
      <c r="P643">
        <v>2</v>
      </c>
      <c r="Q643">
        <f t="shared" si="18"/>
        <v>5893634</v>
      </c>
      <c r="R643">
        <f t="shared" si="17"/>
        <v>2.4772491810655359</v>
      </c>
      <c r="U643">
        <v>625</v>
      </c>
      <c r="V643">
        <v>141</v>
      </c>
      <c r="W643">
        <v>1108</v>
      </c>
      <c r="X643">
        <v>935</v>
      </c>
      <c r="Y643">
        <v>40.1</v>
      </c>
      <c r="Z643">
        <v>18.899999999999999</v>
      </c>
      <c r="AA643">
        <v>61.2</v>
      </c>
    </row>
    <row r="644" spans="1:27" x14ac:dyDescent="0.25">
      <c r="A644" t="s">
        <v>229</v>
      </c>
      <c r="B644" t="s">
        <v>191</v>
      </c>
      <c r="C644" s="76">
        <v>44016</v>
      </c>
      <c r="D644">
        <v>4773</v>
      </c>
      <c r="E644">
        <v>1578</v>
      </c>
      <c r="F644">
        <v>7969</v>
      </c>
      <c r="G644">
        <v>5300</v>
      </c>
      <c r="H644">
        <v>47.4</v>
      </c>
      <c r="I644">
        <v>36.6</v>
      </c>
      <c r="J644">
        <v>58.1</v>
      </c>
      <c r="K644">
        <v>147</v>
      </c>
      <c r="L644">
        <v>40</v>
      </c>
      <c r="M644">
        <v>253</v>
      </c>
      <c r="N644">
        <v>1.5</v>
      </c>
      <c r="O644">
        <v>1</v>
      </c>
      <c r="P644">
        <v>1.9</v>
      </c>
      <c r="Q644">
        <f t="shared" si="18"/>
        <v>5893634</v>
      </c>
      <c r="R644">
        <f t="shared" si="17"/>
        <v>2.4942166412098206</v>
      </c>
      <c r="U644">
        <v>949</v>
      </c>
      <c r="V644">
        <v>103</v>
      </c>
      <c r="W644">
        <v>1795</v>
      </c>
      <c r="X644">
        <v>610</v>
      </c>
      <c r="Y644">
        <v>60.9</v>
      </c>
      <c r="Z644">
        <v>40.4</v>
      </c>
      <c r="AA644">
        <v>81.3</v>
      </c>
    </row>
    <row r="645" spans="1:27" x14ac:dyDescent="0.25">
      <c r="A645" t="s">
        <v>229</v>
      </c>
      <c r="B645" t="s">
        <v>191</v>
      </c>
      <c r="C645" s="76">
        <v>44017</v>
      </c>
      <c r="D645">
        <v>4835</v>
      </c>
      <c r="E645">
        <v>1414</v>
      </c>
      <c r="F645">
        <v>8256</v>
      </c>
      <c r="G645">
        <v>5238</v>
      </c>
      <c r="H645">
        <v>48</v>
      </c>
      <c r="I645">
        <v>34.9</v>
      </c>
      <c r="J645">
        <v>61.1</v>
      </c>
      <c r="K645">
        <v>164</v>
      </c>
      <c r="L645">
        <v>39</v>
      </c>
      <c r="M645">
        <v>289</v>
      </c>
      <c r="N645">
        <v>1.6</v>
      </c>
      <c r="O645">
        <v>1.1000000000000001</v>
      </c>
      <c r="P645">
        <v>2.2000000000000002</v>
      </c>
      <c r="Q645">
        <f t="shared" si="18"/>
        <v>5893634</v>
      </c>
      <c r="R645">
        <f t="shared" ref="R645:R708" si="19">K645/(Q645)*100000</f>
        <v>2.782663463662657</v>
      </c>
      <c r="U645">
        <v>879</v>
      </c>
      <c r="V645">
        <v>74</v>
      </c>
      <c r="W645">
        <v>1684</v>
      </c>
      <c r="X645">
        <v>680</v>
      </c>
      <c r="Y645">
        <v>56.4</v>
      </c>
      <c r="Z645">
        <v>35.200000000000003</v>
      </c>
      <c r="AA645">
        <v>77.5</v>
      </c>
    </row>
    <row r="646" spans="1:27" x14ac:dyDescent="0.25">
      <c r="A646" t="s">
        <v>229</v>
      </c>
      <c r="B646" t="s">
        <v>191</v>
      </c>
      <c r="C646" s="76">
        <v>44018</v>
      </c>
      <c r="D646">
        <v>5168</v>
      </c>
      <c r="E646">
        <v>1314</v>
      </c>
      <c r="F646">
        <v>9023</v>
      </c>
      <c r="G646">
        <v>4905</v>
      </c>
      <c r="H646">
        <v>51.3</v>
      </c>
      <c r="I646">
        <v>34.9</v>
      </c>
      <c r="J646">
        <v>67.7</v>
      </c>
      <c r="K646">
        <v>181</v>
      </c>
      <c r="L646">
        <v>37</v>
      </c>
      <c r="M646">
        <v>326</v>
      </c>
      <c r="N646">
        <v>1.8</v>
      </c>
      <c r="O646">
        <v>1</v>
      </c>
      <c r="P646">
        <v>2.6</v>
      </c>
      <c r="Q646">
        <f t="shared" si="18"/>
        <v>5893634</v>
      </c>
      <c r="R646">
        <f t="shared" si="19"/>
        <v>3.0711102861154935</v>
      </c>
      <c r="U646">
        <v>928</v>
      </c>
      <c r="V646">
        <v>86</v>
      </c>
      <c r="W646">
        <v>1770</v>
      </c>
      <c r="X646">
        <v>631</v>
      </c>
      <c r="Y646">
        <v>59.5</v>
      </c>
      <c r="Z646">
        <v>37.9</v>
      </c>
      <c r="AA646">
        <v>81.099999999999994</v>
      </c>
    </row>
    <row r="647" spans="1:27" x14ac:dyDescent="0.25">
      <c r="A647" t="s">
        <v>229</v>
      </c>
      <c r="B647" t="s">
        <v>191</v>
      </c>
      <c r="C647" s="76">
        <v>44019</v>
      </c>
      <c r="D647">
        <v>5517</v>
      </c>
      <c r="E647">
        <v>1483</v>
      </c>
      <c r="F647">
        <v>9551</v>
      </c>
      <c r="G647">
        <v>4556</v>
      </c>
      <c r="H647">
        <v>54.8</v>
      </c>
      <c r="I647">
        <v>39.200000000000003</v>
      </c>
      <c r="J647">
        <v>70.3</v>
      </c>
      <c r="K647">
        <v>233</v>
      </c>
      <c r="L647">
        <v>50</v>
      </c>
      <c r="M647">
        <v>416</v>
      </c>
      <c r="N647">
        <v>2.2999999999999998</v>
      </c>
      <c r="O647">
        <v>1.3</v>
      </c>
      <c r="P647">
        <v>3.4</v>
      </c>
      <c r="Q647">
        <f t="shared" si="18"/>
        <v>5893634</v>
      </c>
      <c r="R647">
        <f t="shared" si="19"/>
        <v>3.9534182136182872</v>
      </c>
      <c r="U647">
        <v>1004</v>
      </c>
      <c r="V647">
        <v>119</v>
      </c>
      <c r="W647">
        <v>1890</v>
      </c>
      <c r="X647">
        <v>555</v>
      </c>
      <c r="Y647">
        <v>64.400000000000006</v>
      </c>
      <c r="Z647">
        <v>45</v>
      </c>
      <c r="AA647">
        <v>83.8</v>
      </c>
    </row>
    <row r="648" spans="1:27" x14ac:dyDescent="0.25">
      <c r="A648" t="s">
        <v>230</v>
      </c>
      <c r="B648" t="s">
        <v>200</v>
      </c>
      <c r="C648" s="76">
        <v>43944</v>
      </c>
      <c r="D648">
        <v>6188</v>
      </c>
      <c r="E648">
        <v>2813</v>
      </c>
      <c r="F648">
        <v>9563</v>
      </c>
      <c r="G648">
        <v>5200</v>
      </c>
      <c r="H648">
        <v>54.3</v>
      </c>
      <c r="I648">
        <v>45.4</v>
      </c>
      <c r="J648">
        <v>63.3</v>
      </c>
      <c r="K648">
        <v>2263</v>
      </c>
      <c r="L648">
        <v>938</v>
      </c>
      <c r="M648">
        <v>3589</v>
      </c>
      <c r="N648">
        <v>19.899999999999999</v>
      </c>
      <c r="O648">
        <v>13.5</v>
      </c>
      <c r="P648">
        <v>26.2</v>
      </c>
      <c r="Q648">
        <f t="shared" si="18"/>
        <v>3552821</v>
      </c>
      <c r="R648">
        <f t="shared" si="19"/>
        <v>63.695863090203531</v>
      </c>
      <c r="U648">
        <v>1365</v>
      </c>
      <c r="V648">
        <v>367</v>
      </c>
      <c r="W648">
        <v>2363</v>
      </c>
      <c r="X648">
        <v>835</v>
      </c>
      <c r="Y648">
        <v>62</v>
      </c>
      <c r="Z648">
        <v>53.2</v>
      </c>
      <c r="AA648">
        <v>70.8</v>
      </c>
    </row>
    <row r="649" spans="1:27" x14ac:dyDescent="0.25">
      <c r="A649" t="s">
        <v>230</v>
      </c>
      <c r="B649" t="s">
        <v>200</v>
      </c>
      <c r="C649" s="76">
        <v>43945</v>
      </c>
      <c r="D649">
        <v>6501</v>
      </c>
      <c r="E649">
        <v>3085</v>
      </c>
      <c r="F649">
        <v>9917</v>
      </c>
      <c r="G649">
        <v>4807</v>
      </c>
      <c r="H649">
        <v>57.5</v>
      </c>
      <c r="I649">
        <v>47.6</v>
      </c>
      <c r="J649">
        <v>67.3</v>
      </c>
      <c r="K649">
        <v>2247</v>
      </c>
      <c r="L649">
        <v>935</v>
      </c>
      <c r="M649">
        <v>3559</v>
      </c>
      <c r="N649">
        <v>19.899999999999999</v>
      </c>
      <c r="O649">
        <v>14.7</v>
      </c>
      <c r="P649">
        <v>25</v>
      </c>
      <c r="Q649">
        <f t="shared" si="18"/>
        <v>3552821</v>
      </c>
      <c r="R649">
        <f t="shared" si="19"/>
        <v>63.245516731633813</v>
      </c>
      <c r="U649">
        <v>1179</v>
      </c>
      <c r="V649">
        <v>426</v>
      </c>
      <c r="W649">
        <v>1932</v>
      </c>
      <c r="X649">
        <v>743</v>
      </c>
      <c r="Y649">
        <v>61.3</v>
      </c>
      <c r="Z649">
        <v>54.9</v>
      </c>
      <c r="AA649">
        <v>67.8</v>
      </c>
    </row>
    <row r="650" spans="1:27" x14ac:dyDescent="0.25">
      <c r="A650" t="s">
        <v>230</v>
      </c>
      <c r="B650" t="s">
        <v>200</v>
      </c>
      <c r="C650" s="76">
        <v>43946</v>
      </c>
      <c r="D650">
        <v>6309</v>
      </c>
      <c r="E650">
        <v>2961</v>
      </c>
      <c r="F650">
        <v>9657</v>
      </c>
      <c r="G650">
        <v>5044</v>
      </c>
      <c r="H650">
        <v>55.6</v>
      </c>
      <c r="I650">
        <v>45.8</v>
      </c>
      <c r="J650">
        <v>65.3</v>
      </c>
      <c r="K650">
        <v>2144</v>
      </c>
      <c r="L650">
        <v>900</v>
      </c>
      <c r="M650">
        <v>3388</v>
      </c>
      <c r="N650">
        <v>18.899999999999999</v>
      </c>
      <c r="O650">
        <v>13.9</v>
      </c>
      <c r="P650">
        <v>23.9</v>
      </c>
      <c r="Q650">
        <f t="shared" si="18"/>
        <v>3552821</v>
      </c>
      <c r="R650">
        <f t="shared" si="19"/>
        <v>60.3464120483413</v>
      </c>
      <c r="U650">
        <v>1199</v>
      </c>
      <c r="V650">
        <v>453</v>
      </c>
      <c r="W650">
        <v>1945</v>
      </c>
      <c r="X650">
        <v>815</v>
      </c>
      <c r="Y650">
        <v>59.5</v>
      </c>
      <c r="Z650">
        <v>54</v>
      </c>
      <c r="AA650">
        <v>65.099999999999994</v>
      </c>
    </row>
    <row r="651" spans="1:27" x14ac:dyDescent="0.25">
      <c r="A651" t="s">
        <v>230</v>
      </c>
      <c r="B651" t="s">
        <v>200</v>
      </c>
      <c r="C651" s="76">
        <v>43947</v>
      </c>
      <c r="D651">
        <v>6286</v>
      </c>
      <c r="E651">
        <v>2937</v>
      </c>
      <c r="F651">
        <v>9635</v>
      </c>
      <c r="G651">
        <v>4967</v>
      </c>
      <c r="H651">
        <v>55.9</v>
      </c>
      <c r="I651">
        <v>45.7</v>
      </c>
      <c r="J651">
        <v>66</v>
      </c>
      <c r="K651">
        <v>2094</v>
      </c>
      <c r="L651">
        <v>845</v>
      </c>
      <c r="M651">
        <v>3343</v>
      </c>
      <c r="N651">
        <v>18.600000000000001</v>
      </c>
      <c r="O651">
        <v>13.4</v>
      </c>
      <c r="P651">
        <v>23.8</v>
      </c>
      <c r="Q651">
        <f t="shared" si="18"/>
        <v>3552821</v>
      </c>
      <c r="R651">
        <f t="shared" si="19"/>
        <v>58.939079677810959</v>
      </c>
      <c r="U651">
        <v>1150</v>
      </c>
      <c r="V651">
        <v>429</v>
      </c>
      <c r="W651">
        <v>1871</v>
      </c>
      <c r="X651">
        <v>802</v>
      </c>
      <c r="Y651">
        <v>58.9</v>
      </c>
      <c r="Z651">
        <v>52.7</v>
      </c>
      <c r="AA651">
        <v>65.099999999999994</v>
      </c>
    </row>
    <row r="652" spans="1:27" x14ac:dyDescent="0.25">
      <c r="A652" t="s">
        <v>230</v>
      </c>
      <c r="B652" t="s">
        <v>200</v>
      </c>
      <c r="C652" s="76">
        <v>43948</v>
      </c>
      <c r="D652">
        <v>6314</v>
      </c>
      <c r="E652">
        <v>2963</v>
      </c>
      <c r="F652">
        <v>9664</v>
      </c>
      <c r="G652">
        <v>4953</v>
      </c>
      <c r="H652">
        <v>56</v>
      </c>
      <c r="I652">
        <v>46</v>
      </c>
      <c r="J652">
        <v>66.099999999999994</v>
      </c>
      <c r="K652">
        <v>2057</v>
      </c>
      <c r="L652">
        <v>822</v>
      </c>
      <c r="M652">
        <v>3292</v>
      </c>
      <c r="N652">
        <v>18.3</v>
      </c>
      <c r="O652">
        <v>13.1</v>
      </c>
      <c r="P652">
        <v>23.4</v>
      </c>
      <c r="Q652">
        <f t="shared" si="18"/>
        <v>3552821</v>
      </c>
      <c r="R652">
        <f t="shared" si="19"/>
        <v>57.897653723618504</v>
      </c>
      <c r="U652">
        <v>1127</v>
      </c>
      <c r="V652">
        <v>411</v>
      </c>
      <c r="W652">
        <v>1842</v>
      </c>
      <c r="X652">
        <v>809</v>
      </c>
      <c r="Y652">
        <v>58.2</v>
      </c>
      <c r="Z652">
        <v>52.2</v>
      </c>
      <c r="AA652">
        <v>64.2</v>
      </c>
    </row>
    <row r="653" spans="1:27" x14ac:dyDescent="0.25">
      <c r="A653" t="s">
        <v>230</v>
      </c>
      <c r="B653" t="s">
        <v>200</v>
      </c>
      <c r="C653" s="76">
        <v>43949</v>
      </c>
      <c r="D653">
        <v>6149</v>
      </c>
      <c r="E653">
        <v>2943</v>
      </c>
      <c r="F653">
        <v>9355</v>
      </c>
      <c r="G653">
        <v>4741</v>
      </c>
      <c r="H653">
        <v>56.5</v>
      </c>
      <c r="I653">
        <v>47.5</v>
      </c>
      <c r="J653">
        <v>65.5</v>
      </c>
      <c r="K653">
        <v>2098</v>
      </c>
      <c r="L653">
        <v>859</v>
      </c>
      <c r="M653">
        <v>3337</v>
      </c>
      <c r="N653">
        <v>19.3</v>
      </c>
      <c r="O653">
        <v>14.8</v>
      </c>
      <c r="P653">
        <v>23.8</v>
      </c>
      <c r="Q653">
        <f t="shared" si="18"/>
        <v>3552821</v>
      </c>
      <c r="R653">
        <f t="shared" si="19"/>
        <v>59.051666267453385</v>
      </c>
      <c r="U653">
        <v>1094</v>
      </c>
      <c r="V653">
        <v>438</v>
      </c>
      <c r="W653">
        <v>1750</v>
      </c>
      <c r="X653">
        <v>757</v>
      </c>
      <c r="Y653">
        <v>59.1</v>
      </c>
      <c r="Z653">
        <v>52.5</v>
      </c>
      <c r="AA653">
        <v>65.7</v>
      </c>
    </row>
    <row r="654" spans="1:27" x14ac:dyDescent="0.25">
      <c r="A654" t="s">
        <v>230</v>
      </c>
      <c r="B654" t="s">
        <v>200</v>
      </c>
      <c r="C654" s="76">
        <v>43950</v>
      </c>
      <c r="D654">
        <v>6164</v>
      </c>
      <c r="E654">
        <v>2955</v>
      </c>
      <c r="F654">
        <v>9373</v>
      </c>
      <c r="G654">
        <v>4718</v>
      </c>
      <c r="H654">
        <v>56.6</v>
      </c>
      <c r="I654">
        <v>47.6</v>
      </c>
      <c r="J654">
        <v>65.7</v>
      </c>
      <c r="K654">
        <v>2026</v>
      </c>
      <c r="L654">
        <v>839</v>
      </c>
      <c r="M654">
        <v>3213</v>
      </c>
      <c r="N654">
        <v>18.600000000000001</v>
      </c>
      <c r="O654">
        <v>14.4</v>
      </c>
      <c r="P654">
        <v>22.8</v>
      </c>
      <c r="Q654">
        <f t="shared" si="18"/>
        <v>3552821</v>
      </c>
      <c r="R654">
        <f t="shared" si="19"/>
        <v>57.025107653889691</v>
      </c>
      <c r="U654">
        <v>1084</v>
      </c>
      <c r="V654">
        <v>429</v>
      </c>
      <c r="W654">
        <v>1739</v>
      </c>
      <c r="X654">
        <v>769</v>
      </c>
      <c r="Y654">
        <v>58.5</v>
      </c>
      <c r="Z654">
        <v>52.1</v>
      </c>
      <c r="AA654">
        <v>64.900000000000006</v>
      </c>
    </row>
    <row r="655" spans="1:27" x14ac:dyDescent="0.25">
      <c r="A655" t="s">
        <v>230</v>
      </c>
      <c r="B655" t="s">
        <v>200</v>
      </c>
      <c r="C655" s="76">
        <v>43951</v>
      </c>
      <c r="D655">
        <v>6130</v>
      </c>
      <c r="E655">
        <v>2936</v>
      </c>
      <c r="F655">
        <v>9324</v>
      </c>
      <c r="G655">
        <v>4706</v>
      </c>
      <c r="H655">
        <v>56.6</v>
      </c>
      <c r="I655">
        <v>47.4</v>
      </c>
      <c r="J655">
        <v>65.7</v>
      </c>
      <c r="K655">
        <v>1948</v>
      </c>
      <c r="L655">
        <v>791</v>
      </c>
      <c r="M655">
        <v>3106</v>
      </c>
      <c r="N655">
        <v>18</v>
      </c>
      <c r="O655">
        <v>13.7</v>
      </c>
      <c r="P655">
        <v>22.3</v>
      </c>
      <c r="Q655">
        <f t="shared" si="18"/>
        <v>3552821</v>
      </c>
      <c r="R655">
        <f t="shared" si="19"/>
        <v>54.829669155862341</v>
      </c>
      <c r="U655">
        <v>1069</v>
      </c>
      <c r="V655">
        <v>430</v>
      </c>
      <c r="W655">
        <v>1708</v>
      </c>
      <c r="X655">
        <v>794</v>
      </c>
      <c r="Y655">
        <v>57.4</v>
      </c>
      <c r="Z655">
        <v>50.7</v>
      </c>
      <c r="AA655">
        <v>64.099999999999994</v>
      </c>
    </row>
    <row r="656" spans="1:27" x14ac:dyDescent="0.25">
      <c r="A656" t="s">
        <v>230</v>
      </c>
      <c r="B656" t="s">
        <v>200</v>
      </c>
      <c r="C656" s="76">
        <v>43952</v>
      </c>
      <c r="D656">
        <v>6034</v>
      </c>
      <c r="E656">
        <v>2901</v>
      </c>
      <c r="F656">
        <v>9166</v>
      </c>
      <c r="G656">
        <v>4800</v>
      </c>
      <c r="H656">
        <v>55.7</v>
      </c>
      <c r="I656">
        <v>46.5</v>
      </c>
      <c r="J656">
        <v>64.900000000000006</v>
      </c>
      <c r="K656">
        <v>1900</v>
      </c>
      <c r="L656">
        <v>789</v>
      </c>
      <c r="M656">
        <v>3010</v>
      </c>
      <c r="N656">
        <v>17.5</v>
      </c>
      <c r="O656">
        <v>13.4</v>
      </c>
      <c r="P656">
        <v>21.7</v>
      </c>
      <c r="Q656">
        <f t="shared" si="18"/>
        <v>3552821</v>
      </c>
      <c r="R656">
        <f t="shared" si="19"/>
        <v>53.478630080153209</v>
      </c>
      <c r="U656">
        <v>1068</v>
      </c>
      <c r="V656">
        <v>405</v>
      </c>
      <c r="W656">
        <v>1732</v>
      </c>
      <c r="X656">
        <v>791</v>
      </c>
      <c r="Y656">
        <v>57.5</v>
      </c>
      <c r="Z656">
        <v>50.8</v>
      </c>
      <c r="AA656">
        <v>64.099999999999994</v>
      </c>
    </row>
    <row r="657" spans="1:27" x14ac:dyDescent="0.25">
      <c r="A657" t="s">
        <v>230</v>
      </c>
      <c r="B657" t="s">
        <v>200</v>
      </c>
      <c r="C657" s="76">
        <v>43953</v>
      </c>
      <c r="D657">
        <v>5989</v>
      </c>
      <c r="E657">
        <v>2885</v>
      </c>
      <c r="F657">
        <v>9093</v>
      </c>
      <c r="G657">
        <v>4940</v>
      </c>
      <c r="H657">
        <v>54.8</v>
      </c>
      <c r="I657">
        <v>45.9</v>
      </c>
      <c r="J657">
        <v>63.7</v>
      </c>
      <c r="K657">
        <v>1964</v>
      </c>
      <c r="L657">
        <v>834</v>
      </c>
      <c r="M657">
        <v>3094</v>
      </c>
      <c r="N657">
        <v>18</v>
      </c>
      <c r="O657">
        <v>13.9</v>
      </c>
      <c r="P657">
        <v>22.1</v>
      </c>
      <c r="Q657">
        <f t="shared" si="18"/>
        <v>3552821</v>
      </c>
      <c r="R657">
        <f t="shared" si="19"/>
        <v>55.280015514432058</v>
      </c>
      <c r="U657">
        <v>1068</v>
      </c>
      <c r="V657">
        <v>419</v>
      </c>
      <c r="W657">
        <v>1717</v>
      </c>
      <c r="X657">
        <v>793</v>
      </c>
      <c r="Y657">
        <v>57.4</v>
      </c>
      <c r="Z657">
        <v>49</v>
      </c>
      <c r="AA657">
        <v>65.8</v>
      </c>
    </row>
    <row r="658" spans="1:27" x14ac:dyDescent="0.25">
      <c r="A658" t="s">
        <v>230</v>
      </c>
      <c r="B658" t="s">
        <v>200</v>
      </c>
      <c r="C658" s="76">
        <v>43954</v>
      </c>
      <c r="D658">
        <v>5888</v>
      </c>
      <c r="E658">
        <v>2807</v>
      </c>
      <c r="F658">
        <v>8970</v>
      </c>
      <c r="G658">
        <v>5048</v>
      </c>
      <c r="H658">
        <v>53.8</v>
      </c>
      <c r="I658">
        <v>44.7</v>
      </c>
      <c r="J658">
        <v>63</v>
      </c>
      <c r="K658">
        <v>1925</v>
      </c>
      <c r="L658">
        <v>812</v>
      </c>
      <c r="M658">
        <v>3038</v>
      </c>
      <c r="N658">
        <v>17.600000000000001</v>
      </c>
      <c r="O658">
        <v>13.5</v>
      </c>
      <c r="P658">
        <v>21.7</v>
      </c>
      <c r="Q658">
        <f t="shared" si="18"/>
        <v>3552821</v>
      </c>
      <c r="R658">
        <f t="shared" si="19"/>
        <v>54.182296265418387</v>
      </c>
      <c r="U658">
        <v>1060</v>
      </c>
      <c r="V658">
        <v>413</v>
      </c>
      <c r="W658">
        <v>1708</v>
      </c>
      <c r="X658">
        <v>801</v>
      </c>
      <c r="Y658">
        <v>57</v>
      </c>
      <c r="Z658">
        <v>50.2</v>
      </c>
      <c r="AA658">
        <v>63.7</v>
      </c>
    </row>
    <row r="659" spans="1:27" x14ac:dyDescent="0.25">
      <c r="A659" t="s">
        <v>230</v>
      </c>
      <c r="B659" t="s">
        <v>200</v>
      </c>
      <c r="C659" s="76">
        <v>43955</v>
      </c>
      <c r="D659">
        <v>6015</v>
      </c>
      <c r="E659">
        <v>2868</v>
      </c>
      <c r="F659">
        <v>9162</v>
      </c>
      <c r="G659">
        <v>4823</v>
      </c>
      <c r="H659">
        <v>55.5</v>
      </c>
      <c r="I659">
        <v>46.2</v>
      </c>
      <c r="J659">
        <v>64.8</v>
      </c>
      <c r="K659">
        <v>1933</v>
      </c>
      <c r="L659">
        <v>789</v>
      </c>
      <c r="M659">
        <v>3077</v>
      </c>
      <c r="N659">
        <v>17.8</v>
      </c>
      <c r="O659">
        <v>13.5</v>
      </c>
      <c r="P659">
        <v>22.2</v>
      </c>
      <c r="Q659">
        <f t="shared" si="18"/>
        <v>3552821</v>
      </c>
      <c r="R659">
        <f t="shared" si="19"/>
        <v>54.407469444703239</v>
      </c>
      <c r="U659">
        <v>1060</v>
      </c>
      <c r="V659">
        <v>403</v>
      </c>
      <c r="W659">
        <v>1717</v>
      </c>
      <c r="X659">
        <v>800</v>
      </c>
      <c r="Y659">
        <v>57</v>
      </c>
      <c r="Z659">
        <v>49.6</v>
      </c>
      <c r="AA659">
        <v>64.400000000000006</v>
      </c>
    </row>
    <row r="660" spans="1:27" x14ac:dyDescent="0.25">
      <c r="A660" t="s">
        <v>230</v>
      </c>
      <c r="B660" t="s">
        <v>200</v>
      </c>
      <c r="C660" s="76">
        <v>43956</v>
      </c>
      <c r="D660">
        <v>6183</v>
      </c>
      <c r="E660">
        <v>2937</v>
      </c>
      <c r="F660">
        <v>9428</v>
      </c>
      <c r="G660">
        <v>4657</v>
      </c>
      <c r="H660">
        <v>57</v>
      </c>
      <c r="I660">
        <v>47.5</v>
      </c>
      <c r="J660">
        <v>66.599999999999994</v>
      </c>
      <c r="K660">
        <v>1953</v>
      </c>
      <c r="L660">
        <v>825</v>
      </c>
      <c r="M660">
        <v>3081</v>
      </c>
      <c r="N660">
        <v>18</v>
      </c>
      <c r="O660">
        <v>13.9</v>
      </c>
      <c r="P660">
        <v>22.1</v>
      </c>
      <c r="Q660">
        <f t="shared" si="18"/>
        <v>3552821</v>
      </c>
      <c r="R660">
        <f t="shared" si="19"/>
        <v>54.970402392915375</v>
      </c>
      <c r="U660">
        <v>1101</v>
      </c>
      <c r="V660">
        <v>423</v>
      </c>
      <c r="W660">
        <v>1779</v>
      </c>
      <c r="X660">
        <v>759</v>
      </c>
      <c r="Y660">
        <v>59.2</v>
      </c>
      <c r="Z660">
        <v>51.1</v>
      </c>
      <c r="AA660">
        <v>67.3</v>
      </c>
    </row>
    <row r="661" spans="1:27" x14ac:dyDescent="0.25">
      <c r="A661" t="s">
        <v>230</v>
      </c>
      <c r="B661" t="s">
        <v>200</v>
      </c>
      <c r="C661" s="76">
        <v>43957</v>
      </c>
      <c r="D661">
        <v>6174</v>
      </c>
      <c r="E661">
        <v>2920</v>
      </c>
      <c r="F661">
        <v>9428</v>
      </c>
      <c r="G661">
        <v>4680</v>
      </c>
      <c r="H661">
        <v>56.9</v>
      </c>
      <c r="I661">
        <v>47.5</v>
      </c>
      <c r="J661">
        <v>66.3</v>
      </c>
      <c r="K661">
        <v>1845</v>
      </c>
      <c r="L661">
        <v>765</v>
      </c>
      <c r="M661">
        <v>2925</v>
      </c>
      <c r="N661">
        <v>17</v>
      </c>
      <c r="O661">
        <v>13.1</v>
      </c>
      <c r="P661">
        <v>20.9</v>
      </c>
      <c r="Q661">
        <f t="shared" si="18"/>
        <v>3552821</v>
      </c>
      <c r="R661">
        <f t="shared" si="19"/>
        <v>51.930564472569827</v>
      </c>
      <c r="U661">
        <v>1055</v>
      </c>
      <c r="V661">
        <v>399</v>
      </c>
      <c r="W661">
        <v>1710</v>
      </c>
      <c r="X661">
        <v>798</v>
      </c>
      <c r="Y661">
        <v>56.9</v>
      </c>
      <c r="Z661">
        <v>50.2</v>
      </c>
      <c r="AA661">
        <v>63.7</v>
      </c>
    </row>
    <row r="662" spans="1:27" x14ac:dyDescent="0.25">
      <c r="A662" t="s">
        <v>230</v>
      </c>
      <c r="B662" t="s">
        <v>200</v>
      </c>
      <c r="C662" s="76">
        <v>43958</v>
      </c>
      <c r="D662">
        <v>6086</v>
      </c>
      <c r="E662">
        <v>2869</v>
      </c>
      <c r="F662">
        <v>9304</v>
      </c>
      <c r="G662">
        <v>4735</v>
      </c>
      <c r="H662">
        <v>56.2</v>
      </c>
      <c r="I662">
        <v>46.8</v>
      </c>
      <c r="J662">
        <v>65.7</v>
      </c>
      <c r="K662">
        <v>1760</v>
      </c>
      <c r="L662">
        <v>718</v>
      </c>
      <c r="M662">
        <v>2802</v>
      </c>
      <c r="N662">
        <v>16.3</v>
      </c>
      <c r="O662">
        <v>12.4</v>
      </c>
      <c r="P662">
        <v>20.100000000000001</v>
      </c>
      <c r="Q662">
        <f t="shared" si="18"/>
        <v>3552821</v>
      </c>
      <c r="R662">
        <f t="shared" si="19"/>
        <v>49.538099442668226</v>
      </c>
      <c r="U662">
        <v>1027</v>
      </c>
      <c r="V662">
        <v>382</v>
      </c>
      <c r="W662">
        <v>1672</v>
      </c>
      <c r="X662">
        <v>820</v>
      </c>
      <c r="Y662">
        <v>55.6</v>
      </c>
      <c r="Z662">
        <v>48.9</v>
      </c>
      <c r="AA662">
        <v>62.3</v>
      </c>
    </row>
    <row r="663" spans="1:27" x14ac:dyDescent="0.25">
      <c r="A663" t="s">
        <v>230</v>
      </c>
      <c r="B663" t="s">
        <v>200</v>
      </c>
      <c r="C663" s="76">
        <v>43959</v>
      </c>
      <c r="D663">
        <v>5988</v>
      </c>
      <c r="E663">
        <v>2841</v>
      </c>
      <c r="F663">
        <v>9136</v>
      </c>
      <c r="G663">
        <v>4851</v>
      </c>
      <c r="H663">
        <v>55.2</v>
      </c>
      <c r="I663">
        <v>45.7</v>
      </c>
      <c r="J663">
        <v>64.8</v>
      </c>
      <c r="K663">
        <v>1726</v>
      </c>
      <c r="L663">
        <v>724</v>
      </c>
      <c r="M663">
        <v>2728</v>
      </c>
      <c r="N663">
        <v>15.9</v>
      </c>
      <c r="O663">
        <v>12.4</v>
      </c>
      <c r="P663">
        <v>19.399999999999999</v>
      </c>
      <c r="Q663">
        <f t="shared" si="18"/>
        <v>3552821</v>
      </c>
      <c r="R663">
        <f t="shared" si="19"/>
        <v>48.581113430707596</v>
      </c>
      <c r="U663">
        <v>1022</v>
      </c>
      <c r="V663">
        <v>378</v>
      </c>
      <c r="W663">
        <v>1666</v>
      </c>
      <c r="X663">
        <v>826</v>
      </c>
      <c r="Y663">
        <v>55.3</v>
      </c>
      <c r="Z663">
        <v>49.3</v>
      </c>
      <c r="AA663">
        <v>61.4</v>
      </c>
    </row>
    <row r="664" spans="1:27" x14ac:dyDescent="0.25">
      <c r="A664" t="s">
        <v>230</v>
      </c>
      <c r="B664" t="s">
        <v>200</v>
      </c>
      <c r="C664" s="76">
        <v>43960</v>
      </c>
      <c r="D664">
        <v>5822</v>
      </c>
      <c r="E664">
        <v>2745</v>
      </c>
      <c r="F664">
        <v>8900</v>
      </c>
      <c r="G664">
        <v>5008</v>
      </c>
      <c r="H664">
        <v>53.8</v>
      </c>
      <c r="I664">
        <v>44.5</v>
      </c>
      <c r="J664">
        <v>63</v>
      </c>
      <c r="K664">
        <v>1736</v>
      </c>
      <c r="L664">
        <v>723</v>
      </c>
      <c r="M664">
        <v>2750</v>
      </c>
      <c r="N664">
        <v>16</v>
      </c>
      <c r="O664">
        <v>12.3</v>
      </c>
      <c r="P664">
        <v>19.8</v>
      </c>
      <c r="Q664">
        <f t="shared" si="18"/>
        <v>3552821</v>
      </c>
      <c r="R664">
        <f t="shared" si="19"/>
        <v>48.862579904813671</v>
      </c>
      <c r="U664">
        <v>1000</v>
      </c>
      <c r="V664">
        <v>365</v>
      </c>
      <c r="W664">
        <v>1635</v>
      </c>
      <c r="X664">
        <v>843</v>
      </c>
      <c r="Y664">
        <v>54.2</v>
      </c>
      <c r="Z664">
        <v>48.5</v>
      </c>
      <c r="AA664">
        <v>60</v>
      </c>
    </row>
    <row r="665" spans="1:27" x14ac:dyDescent="0.25">
      <c r="A665" t="s">
        <v>230</v>
      </c>
      <c r="B665" t="s">
        <v>200</v>
      </c>
      <c r="C665" s="76">
        <v>43961</v>
      </c>
      <c r="D665">
        <v>5775</v>
      </c>
      <c r="E665">
        <v>2704</v>
      </c>
      <c r="F665">
        <v>8845</v>
      </c>
      <c r="G665">
        <v>5049</v>
      </c>
      <c r="H665">
        <v>53.4</v>
      </c>
      <c r="I665">
        <v>43.9</v>
      </c>
      <c r="J665">
        <v>62.8</v>
      </c>
      <c r="K665">
        <v>1602</v>
      </c>
      <c r="L665">
        <v>660</v>
      </c>
      <c r="M665">
        <v>2543</v>
      </c>
      <c r="N665">
        <v>14.8</v>
      </c>
      <c r="O665">
        <v>11.4</v>
      </c>
      <c r="P665">
        <v>18.2</v>
      </c>
      <c r="Q665">
        <f t="shared" si="18"/>
        <v>3552821</v>
      </c>
      <c r="R665">
        <f t="shared" si="19"/>
        <v>45.090929151792331</v>
      </c>
      <c r="U665">
        <v>1044</v>
      </c>
      <c r="V665">
        <v>393</v>
      </c>
      <c r="W665">
        <v>1696</v>
      </c>
      <c r="X665">
        <v>791</v>
      </c>
      <c r="Y665">
        <v>56.9</v>
      </c>
      <c r="Z665">
        <v>50.4</v>
      </c>
      <c r="AA665">
        <v>63.4</v>
      </c>
    </row>
    <row r="666" spans="1:27" x14ac:dyDescent="0.25">
      <c r="A666" t="s">
        <v>230</v>
      </c>
      <c r="B666" t="s">
        <v>200</v>
      </c>
      <c r="C666" s="76">
        <v>43962</v>
      </c>
      <c r="D666">
        <v>5740</v>
      </c>
      <c r="E666">
        <v>2713</v>
      </c>
      <c r="F666">
        <v>8768</v>
      </c>
      <c r="G666">
        <v>5084</v>
      </c>
      <c r="H666">
        <v>53</v>
      </c>
      <c r="I666">
        <v>43.9</v>
      </c>
      <c r="J666">
        <v>62.2</v>
      </c>
      <c r="K666">
        <v>1587</v>
      </c>
      <c r="L666">
        <v>685</v>
      </c>
      <c r="M666">
        <v>2490</v>
      </c>
      <c r="N666">
        <v>14.7</v>
      </c>
      <c r="O666">
        <v>11.6</v>
      </c>
      <c r="P666">
        <v>17.7</v>
      </c>
      <c r="Q666">
        <f t="shared" si="18"/>
        <v>3552821</v>
      </c>
      <c r="R666">
        <f t="shared" si="19"/>
        <v>44.668729440633228</v>
      </c>
      <c r="U666">
        <v>1000</v>
      </c>
      <c r="V666">
        <v>374</v>
      </c>
      <c r="W666">
        <v>1627</v>
      </c>
      <c r="X666">
        <v>811</v>
      </c>
      <c r="Y666">
        <v>55.2</v>
      </c>
      <c r="Z666">
        <v>48</v>
      </c>
      <c r="AA666">
        <v>62.5</v>
      </c>
    </row>
    <row r="667" spans="1:27" x14ac:dyDescent="0.25">
      <c r="A667" t="s">
        <v>230</v>
      </c>
      <c r="B667" t="s">
        <v>200</v>
      </c>
      <c r="C667" s="76">
        <v>43963</v>
      </c>
      <c r="D667">
        <v>6007</v>
      </c>
      <c r="E667">
        <v>2889</v>
      </c>
      <c r="F667">
        <v>9126</v>
      </c>
      <c r="G667">
        <v>4871</v>
      </c>
      <c r="H667">
        <v>55.2</v>
      </c>
      <c r="I667">
        <v>46.3</v>
      </c>
      <c r="J667">
        <v>64.099999999999994</v>
      </c>
      <c r="K667">
        <v>1646</v>
      </c>
      <c r="L667">
        <v>714</v>
      </c>
      <c r="M667">
        <v>2578</v>
      </c>
      <c r="N667">
        <v>15.1</v>
      </c>
      <c r="O667">
        <v>12</v>
      </c>
      <c r="P667">
        <v>18.3</v>
      </c>
      <c r="Q667">
        <f t="shared" si="18"/>
        <v>3552821</v>
      </c>
      <c r="R667">
        <f t="shared" si="19"/>
        <v>46.329381637859044</v>
      </c>
      <c r="U667">
        <v>1050</v>
      </c>
      <c r="V667">
        <v>393</v>
      </c>
      <c r="W667">
        <v>1707</v>
      </c>
      <c r="X667">
        <v>780</v>
      </c>
      <c r="Y667">
        <v>57.4</v>
      </c>
      <c r="Z667">
        <v>49.2</v>
      </c>
      <c r="AA667">
        <v>65.5</v>
      </c>
    </row>
    <row r="668" spans="1:27" x14ac:dyDescent="0.25">
      <c r="A668" t="s">
        <v>230</v>
      </c>
      <c r="B668" t="s">
        <v>200</v>
      </c>
      <c r="C668" s="76">
        <v>43964</v>
      </c>
      <c r="D668">
        <v>6022</v>
      </c>
      <c r="E668">
        <v>2862</v>
      </c>
      <c r="F668">
        <v>9182</v>
      </c>
      <c r="G668">
        <v>4832</v>
      </c>
      <c r="H668">
        <v>55.5</v>
      </c>
      <c r="I668">
        <v>46.1</v>
      </c>
      <c r="J668">
        <v>64.900000000000006</v>
      </c>
      <c r="K668">
        <v>1612</v>
      </c>
      <c r="L668">
        <v>723</v>
      </c>
      <c r="M668">
        <v>2501</v>
      </c>
      <c r="N668">
        <v>14.9</v>
      </c>
      <c r="O668">
        <v>12</v>
      </c>
      <c r="P668">
        <v>17.7</v>
      </c>
      <c r="Q668">
        <f t="shared" si="18"/>
        <v>3552821</v>
      </c>
      <c r="R668">
        <f t="shared" si="19"/>
        <v>45.372395625898406</v>
      </c>
      <c r="U668">
        <v>1027</v>
      </c>
      <c r="V668">
        <v>370</v>
      </c>
      <c r="W668">
        <v>1684</v>
      </c>
      <c r="X668">
        <v>785</v>
      </c>
      <c r="Y668">
        <v>56.7</v>
      </c>
      <c r="Z668">
        <v>49.8</v>
      </c>
      <c r="AA668">
        <v>63.6</v>
      </c>
    </row>
    <row r="669" spans="1:27" x14ac:dyDescent="0.25">
      <c r="A669" t="s">
        <v>230</v>
      </c>
      <c r="B669" t="s">
        <v>200</v>
      </c>
      <c r="C669" s="76">
        <v>43965</v>
      </c>
      <c r="D669">
        <v>6013</v>
      </c>
      <c r="E669">
        <v>2876</v>
      </c>
      <c r="F669">
        <v>9149</v>
      </c>
      <c r="G669">
        <v>4759</v>
      </c>
      <c r="H669">
        <v>55.8</v>
      </c>
      <c r="I669">
        <v>46.8</v>
      </c>
      <c r="J669">
        <v>64.8</v>
      </c>
      <c r="K669">
        <v>1470</v>
      </c>
      <c r="L669">
        <v>650</v>
      </c>
      <c r="M669">
        <v>2289</v>
      </c>
      <c r="N669">
        <v>13.6</v>
      </c>
      <c r="O669">
        <v>11</v>
      </c>
      <c r="P669">
        <v>16.3</v>
      </c>
      <c r="Q669">
        <f t="shared" si="18"/>
        <v>3552821</v>
      </c>
      <c r="R669">
        <f t="shared" si="19"/>
        <v>41.375571693592214</v>
      </c>
      <c r="U669">
        <v>1017</v>
      </c>
      <c r="V669">
        <v>364</v>
      </c>
      <c r="W669">
        <v>1670</v>
      </c>
      <c r="X669">
        <v>764</v>
      </c>
      <c r="Y669">
        <v>57.1</v>
      </c>
      <c r="Z669">
        <v>50.9</v>
      </c>
      <c r="AA669">
        <v>63.3</v>
      </c>
    </row>
    <row r="670" spans="1:27" x14ac:dyDescent="0.25">
      <c r="A670" t="s">
        <v>230</v>
      </c>
      <c r="B670" t="s">
        <v>200</v>
      </c>
      <c r="C670" s="76">
        <v>43966</v>
      </c>
      <c r="D670">
        <v>5966</v>
      </c>
      <c r="E670">
        <v>2883</v>
      </c>
      <c r="F670">
        <v>9050</v>
      </c>
      <c r="G670">
        <v>4799</v>
      </c>
      <c r="H670">
        <v>55.4</v>
      </c>
      <c r="I670">
        <v>46.7</v>
      </c>
      <c r="J670">
        <v>64.099999999999994</v>
      </c>
      <c r="K670">
        <v>1430</v>
      </c>
      <c r="L670">
        <v>637</v>
      </c>
      <c r="M670">
        <v>2223</v>
      </c>
      <c r="N670">
        <v>13.3</v>
      </c>
      <c r="O670">
        <v>10.8</v>
      </c>
      <c r="P670">
        <v>15.7</v>
      </c>
      <c r="Q670">
        <f t="shared" si="18"/>
        <v>3552821</v>
      </c>
      <c r="R670">
        <f t="shared" si="19"/>
        <v>40.249705797167941</v>
      </c>
      <c r="U670">
        <v>1019</v>
      </c>
      <c r="V670">
        <v>362</v>
      </c>
      <c r="W670">
        <v>1676</v>
      </c>
      <c r="X670">
        <v>804</v>
      </c>
      <c r="Y670">
        <v>55.9</v>
      </c>
      <c r="Z670">
        <v>49.7</v>
      </c>
      <c r="AA670">
        <v>62.1</v>
      </c>
    </row>
    <row r="671" spans="1:27" x14ac:dyDescent="0.25">
      <c r="A671" t="s">
        <v>230</v>
      </c>
      <c r="B671" t="s">
        <v>200</v>
      </c>
      <c r="C671" s="76">
        <v>43967</v>
      </c>
      <c r="D671">
        <v>5887</v>
      </c>
      <c r="E671">
        <v>2825</v>
      </c>
      <c r="F671">
        <v>8948</v>
      </c>
      <c r="G671">
        <v>4852</v>
      </c>
      <c r="H671">
        <v>54.8</v>
      </c>
      <c r="I671">
        <v>45.9</v>
      </c>
      <c r="J671">
        <v>63.8</v>
      </c>
      <c r="K671">
        <v>1379</v>
      </c>
      <c r="L671">
        <v>592</v>
      </c>
      <c r="M671">
        <v>2165</v>
      </c>
      <c r="N671">
        <v>12.8</v>
      </c>
      <c r="O671">
        <v>10.3</v>
      </c>
      <c r="P671">
        <v>15.4</v>
      </c>
      <c r="Q671">
        <f t="shared" si="18"/>
        <v>3552821</v>
      </c>
      <c r="R671">
        <f t="shared" si="19"/>
        <v>38.814226779226985</v>
      </c>
      <c r="U671">
        <v>1051</v>
      </c>
      <c r="V671">
        <v>375</v>
      </c>
      <c r="W671">
        <v>1726</v>
      </c>
      <c r="X671">
        <v>762</v>
      </c>
      <c r="Y671">
        <v>58</v>
      </c>
      <c r="Z671">
        <v>51.9</v>
      </c>
      <c r="AA671">
        <v>64</v>
      </c>
    </row>
    <row r="672" spans="1:27" x14ac:dyDescent="0.25">
      <c r="A672" t="s">
        <v>230</v>
      </c>
      <c r="B672" t="s">
        <v>200</v>
      </c>
      <c r="C672" s="76">
        <v>43968</v>
      </c>
      <c r="D672">
        <v>5858</v>
      </c>
      <c r="E672">
        <v>2809</v>
      </c>
      <c r="F672">
        <v>8906</v>
      </c>
      <c r="G672">
        <v>4875</v>
      </c>
      <c r="H672">
        <v>54.6</v>
      </c>
      <c r="I672">
        <v>45.5</v>
      </c>
      <c r="J672">
        <v>63.7</v>
      </c>
      <c r="K672">
        <v>1327</v>
      </c>
      <c r="L672">
        <v>584</v>
      </c>
      <c r="M672">
        <v>2070</v>
      </c>
      <c r="N672">
        <v>12.4</v>
      </c>
      <c r="O672">
        <v>9.9</v>
      </c>
      <c r="P672">
        <v>14.8</v>
      </c>
      <c r="Q672">
        <f t="shared" si="18"/>
        <v>3552821</v>
      </c>
      <c r="R672">
        <f t="shared" si="19"/>
        <v>37.350601113875427</v>
      </c>
      <c r="U672">
        <v>1033</v>
      </c>
      <c r="V672">
        <v>372</v>
      </c>
      <c r="W672">
        <v>1694</v>
      </c>
      <c r="X672">
        <v>780</v>
      </c>
      <c r="Y672">
        <v>57</v>
      </c>
      <c r="Z672">
        <v>50.7</v>
      </c>
      <c r="AA672">
        <v>63.3</v>
      </c>
    </row>
    <row r="673" spans="1:27" x14ac:dyDescent="0.25">
      <c r="A673" t="s">
        <v>230</v>
      </c>
      <c r="B673" t="s">
        <v>200</v>
      </c>
      <c r="C673" s="76">
        <v>43969</v>
      </c>
      <c r="D673">
        <v>5835</v>
      </c>
      <c r="E673">
        <v>2785</v>
      </c>
      <c r="F673">
        <v>8884</v>
      </c>
      <c r="G673">
        <v>4899</v>
      </c>
      <c r="H673">
        <v>54.4</v>
      </c>
      <c r="I673">
        <v>45.2</v>
      </c>
      <c r="J673">
        <v>63.5</v>
      </c>
      <c r="K673">
        <v>1375</v>
      </c>
      <c r="L673">
        <v>596</v>
      </c>
      <c r="M673">
        <v>2153</v>
      </c>
      <c r="N673">
        <v>12.8</v>
      </c>
      <c r="O673">
        <v>10.3</v>
      </c>
      <c r="P673">
        <v>15.3</v>
      </c>
      <c r="Q673">
        <f t="shared" si="18"/>
        <v>3552821</v>
      </c>
      <c r="R673">
        <f t="shared" si="19"/>
        <v>38.701640189584559</v>
      </c>
      <c r="U673">
        <v>1035</v>
      </c>
      <c r="V673">
        <v>368</v>
      </c>
      <c r="W673">
        <v>1702</v>
      </c>
      <c r="X673">
        <v>780</v>
      </c>
      <c r="Y673">
        <v>57</v>
      </c>
      <c r="Z673">
        <v>50.4</v>
      </c>
      <c r="AA673">
        <v>63.7</v>
      </c>
    </row>
    <row r="674" spans="1:27" x14ac:dyDescent="0.25">
      <c r="A674" t="s">
        <v>230</v>
      </c>
      <c r="B674" t="s">
        <v>200</v>
      </c>
      <c r="C674" s="76">
        <v>43970</v>
      </c>
      <c r="D674">
        <v>6086</v>
      </c>
      <c r="E674">
        <v>2890</v>
      </c>
      <c r="F674">
        <v>9282</v>
      </c>
      <c r="G674">
        <v>4661</v>
      </c>
      <c r="H674">
        <v>56.6</v>
      </c>
      <c r="I674">
        <v>47.2</v>
      </c>
      <c r="J674">
        <v>66</v>
      </c>
      <c r="K674">
        <v>1366</v>
      </c>
      <c r="L674">
        <v>577</v>
      </c>
      <c r="M674">
        <v>2154</v>
      </c>
      <c r="N674">
        <v>12.7</v>
      </c>
      <c r="O674">
        <v>10</v>
      </c>
      <c r="P674">
        <v>15.4</v>
      </c>
      <c r="Q674">
        <f t="shared" si="18"/>
        <v>3552821</v>
      </c>
      <c r="R674">
        <f t="shared" si="19"/>
        <v>38.448320362889099</v>
      </c>
      <c r="U674">
        <v>1028</v>
      </c>
      <c r="V674">
        <v>365</v>
      </c>
      <c r="W674">
        <v>1692</v>
      </c>
      <c r="X674">
        <v>791</v>
      </c>
      <c r="Y674">
        <v>56.5</v>
      </c>
      <c r="Z674">
        <v>49.9</v>
      </c>
      <c r="AA674">
        <v>63.1</v>
      </c>
    </row>
    <row r="675" spans="1:27" x14ac:dyDescent="0.25">
      <c r="A675" t="s">
        <v>230</v>
      </c>
      <c r="B675" t="s">
        <v>200</v>
      </c>
      <c r="C675" s="76">
        <v>43971</v>
      </c>
      <c r="D675">
        <v>6113</v>
      </c>
      <c r="E675">
        <v>2902</v>
      </c>
      <c r="F675">
        <v>9325</v>
      </c>
      <c r="G675">
        <v>4656</v>
      </c>
      <c r="H675">
        <v>56.8</v>
      </c>
      <c r="I675">
        <v>47.5</v>
      </c>
      <c r="J675">
        <v>66</v>
      </c>
      <c r="K675">
        <v>1244</v>
      </c>
      <c r="L675">
        <v>515</v>
      </c>
      <c r="M675">
        <v>1973</v>
      </c>
      <c r="N675">
        <v>11.6</v>
      </c>
      <c r="O675">
        <v>8.9</v>
      </c>
      <c r="P675">
        <v>14.2</v>
      </c>
      <c r="Q675">
        <f t="shared" si="18"/>
        <v>3552821</v>
      </c>
      <c r="R675">
        <f t="shared" si="19"/>
        <v>35.01442937879505</v>
      </c>
      <c r="U675">
        <v>1049</v>
      </c>
      <c r="V675">
        <v>377</v>
      </c>
      <c r="W675">
        <v>1720</v>
      </c>
      <c r="X675">
        <v>812</v>
      </c>
      <c r="Y675">
        <v>56.4</v>
      </c>
      <c r="Z675">
        <v>49.9</v>
      </c>
      <c r="AA675">
        <v>62.8</v>
      </c>
    </row>
    <row r="676" spans="1:27" x14ac:dyDescent="0.25">
      <c r="A676" t="s">
        <v>230</v>
      </c>
      <c r="B676" t="s">
        <v>200</v>
      </c>
      <c r="C676" s="76">
        <v>43972</v>
      </c>
      <c r="D676">
        <v>6074</v>
      </c>
      <c r="E676">
        <v>2882</v>
      </c>
      <c r="F676">
        <v>9265</v>
      </c>
      <c r="G676">
        <v>4673</v>
      </c>
      <c r="H676">
        <v>56.5</v>
      </c>
      <c r="I676">
        <v>47.3</v>
      </c>
      <c r="J676">
        <v>65.8</v>
      </c>
      <c r="K676">
        <v>1218</v>
      </c>
      <c r="L676">
        <v>533</v>
      </c>
      <c r="M676">
        <v>1903</v>
      </c>
      <c r="N676">
        <v>11.3</v>
      </c>
      <c r="O676">
        <v>9</v>
      </c>
      <c r="P676">
        <v>13.6</v>
      </c>
      <c r="Q676">
        <f t="shared" si="18"/>
        <v>3552821</v>
      </c>
      <c r="R676">
        <f t="shared" si="19"/>
        <v>34.282616546119264</v>
      </c>
      <c r="U676">
        <v>1013</v>
      </c>
      <c r="V676">
        <v>367</v>
      </c>
      <c r="W676">
        <v>1658</v>
      </c>
      <c r="X676">
        <v>845</v>
      </c>
      <c r="Y676">
        <v>54.5</v>
      </c>
      <c r="Z676">
        <v>47.9</v>
      </c>
      <c r="AA676">
        <v>61.1</v>
      </c>
    </row>
    <row r="677" spans="1:27" x14ac:dyDescent="0.25">
      <c r="A677" t="s">
        <v>230</v>
      </c>
      <c r="B677" t="s">
        <v>200</v>
      </c>
      <c r="C677" s="76">
        <v>43973</v>
      </c>
      <c r="D677">
        <v>6063</v>
      </c>
      <c r="E677">
        <v>2884</v>
      </c>
      <c r="F677">
        <v>9241</v>
      </c>
      <c r="G677">
        <v>4620</v>
      </c>
      <c r="H677">
        <v>56.8</v>
      </c>
      <c r="I677">
        <v>47.6</v>
      </c>
      <c r="J677">
        <v>65.900000000000006</v>
      </c>
      <c r="K677">
        <v>1161</v>
      </c>
      <c r="L677">
        <v>511</v>
      </c>
      <c r="M677">
        <v>1811</v>
      </c>
      <c r="N677">
        <v>10.9</v>
      </c>
      <c r="O677">
        <v>8.6999999999999993</v>
      </c>
      <c r="P677">
        <v>13.1</v>
      </c>
      <c r="Q677">
        <f t="shared" si="18"/>
        <v>3552821</v>
      </c>
      <c r="R677">
        <f t="shared" si="19"/>
        <v>32.678257643714673</v>
      </c>
      <c r="U677">
        <v>1002</v>
      </c>
      <c r="V677">
        <v>348</v>
      </c>
      <c r="W677">
        <v>1655</v>
      </c>
      <c r="X677">
        <v>770</v>
      </c>
      <c r="Y677">
        <v>56.5</v>
      </c>
      <c r="Z677">
        <v>49.2</v>
      </c>
      <c r="AA677">
        <v>63.8</v>
      </c>
    </row>
    <row r="678" spans="1:27" x14ac:dyDescent="0.25">
      <c r="A678" t="s">
        <v>230</v>
      </c>
      <c r="B678" t="s">
        <v>200</v>
      </c>
      <c r="C678" s="76">
        <v>43974</v>
      </c>
      <c r="D678">
        <v>5964</v>
      </c>
      <c r="E678">
        <v>2818</v>
      </c>
      <c r="F678">
        <v>9110</v>
      </c>
      <c r="G678">
        <v>4681</v>
      </c>
      <c r="H678">
        <v>56</v>
      </c>
      <c r="I678">
        <v>47</v>
      </c>
      <c r="J678">
        <v>65.099999999999994</v>
      </c>
      <c r="K678">
        <v>1136</v>
      </c>
      <c r="L678">
        <v>509</v>
      </c>
      <c r="M678">
        <v>1763</v>
      </c>
      <c r="N678">
        <v>10.7</v>
      </c>
      <c r="O678">
        <v>8.9</v>
      </c>
      <c r="P678">
        <v>12.5</v>
      </c>
      <c r="Q678">
        <f t="shared" si="18"/>
        <v>3552821</v>
      </c>
      <c r="R678">
        <f t="shared" si="19"/>
        <v>31.974591458449495</v>
      </c>
      <c r="U678">
        <v>968</v>
      </c>
      <c r="V678">
        <v>340</v>
      </c>
      <c r="W678">
        <v>1595</v>
      </c>
      <c r="X678">
        <v>819</v>
      </c>
      <c r="Y678">
        <v>54.2</v>
      </c>
      <c r="Z678">
        <v>46.8</v>
      </c>
      <c r="AA678">
        <v>61.5</v>
      </c>
    </row>
    <row r="679" spans="1:27" x14ac:dyDescent="0.25">
      <c r="A679" t="s">
        <v>230</v>
      </c>
      <c r="B679" t="s">
        <v>200</v>
      </c>
      <c r="C679" s="76">
        <v>43975</v>
      </c>
      <c r="D679">
        <v>5823</v>
      </c>
      <c r="E679">
        <v>2731</v>
      </c>
      <c r="F679">
        <v>8915</v>
      </c>
      <c r="G679">
        <v>4907</v>
      </c>
      <c r="H679">
        <v>54.3</v>
      </c>
      <c r="I679">
        <v>45.4</v>
      </c>
      <c r="J679">
        <v>63.2</v>
      </c>
      <c r="K679">
        <v>1139</v>
      </c>
      <c r="L679">
        <v>506</v>
      </c>
      <c r="M679">
        <v>1771</v>
      </c>
      <c r="N679">
        <v>10.6</v>
      </c>
      <c r="O679">
        <v>8.6</v>
      </c>
      <c r="P679">
        <v>12.6</v>
      </c>
      <c r="Q679">
        <f t="shared" ref="Q679:Q742" si="20">VLOOKUP(B679,$AE$4:$AF$55,2,FALSE)</f>
        <v>3552821</v>
      </c>
      <c r="R679">
        <f t="shared" si="19"/>
        <v>32.059031400681313</v>
      </c>
      <c r="U679">
        <v>1014</v>
      </c>
      <c r="V679">
        <v>379</v>
      </c>
      <c r="W679">
        <v>1650</v>
      </c>
      <c r="X679">
        <v>837</v>
      </c>
      <c r="Y679">
        <v>54.8</v>
      </c>
      <c r="Z679">
        <v>47.7</v>
      </c>
      <c r="AA679">
        <v>61.9</v>
      </c>
    </row>
    <row r="680" spans="1:27" x14ac:dyDescent="0.25">
      <c r="A680" t="s">
        <v>230</v>
      </c>
      <c r="B680" t="s">
        <v>200</v>
      </c>
      <c r="C680" s="76">
        <v>43976</v>
      </c>
      <c r="D680">
        <v>6016</v>
      </c>
      <c r="E680">
        <v>2762</v>
      </c>
      <c r="F680">
        <v>9270</v>
      </c>
      <c r="G680">
        <v>4957</v>
      </c>
      <c r="H680">
        <v>54.8</v>
      </c>
      <c r="I680">
        <v>45.5</v>
      </c>
      <c r="J680">
        <v>64.2</v>
      </c>
      <c r="K680">
        <v>1129</v>
      </c>
      <c r="L680">
        <v>484</v>
      </c>
      <c r="M680">
        <v>1774</v>
      </c>
      <c r="N680">
        <v>10.3</v>
      </c>
      <c r="O680">
        <v>7.9</v>
      </c>
      <c r="P680">
        <v>12.7</v>
      </c>
      <c r="Q680">
        <f t="shared" si="20"/>
        <v>3552821</v>
      </c>
      <c r="R680">
        <f t="shared" si="19"/>
        <v>31.777564926575252</v>
      </c>
      <c r="U680">
        <v>1025</v>
      </c>
      <c r="V680">
        <v>339</v>
      </c>
      <c r="W680">
        <v>1710</v>
      </c>
      <c r="X680">
        <v>838</v>
      </c>
      <c r="Y680">
        <v>55</v>
      </c>
      <c r="Z680">
        <v>48.7</v>
      </c>
      <c r="AA680">
        <v>61.3</v>
      </c>
    </row>
    <row r="681" spans="1:27" x14ac:dyDescent="0.25">
      <c r="A681" t="s">
        <v>230</v>
      </c>
      <c r="B681" t="s">
        <v>200</v>
      </c>
      <c r="C681" s="76">
        <v>43977</v>
      </c>
      <c r="D681">
        <v>6110</v>
      </c>
      <c r="E681">
        <v>2830</v>
      </c>
      <c r="F681">
        <v>9390</v>
      </c>
      <c r="G681">
        <v>4939</v>
      </c>
      <c r="H681">
        <v>55.3</v>
      </c>
      <c r="I681">
        <v>46.2</v>
      </c>
      <c r="J681">
        <v>64.400000000000006</v>
      </c>
      <c r="K681">
        <v>1147</v>
      </c>
      <c r="L681">
        <v>507</v>
      </c>
      <c r="M681">
        <v>1787</v>
      </c>
      <c r="N681">
        <v>10.4</v>
      </c>
      <c r="O681">
        <v>8.1</v>
      </c>
      <c r="P681">
        <v>12.6</v>
      </c>
      <c r="Q681">
        <f t="shared" si="20"/>
        <v>3552821</v>
      </c>
      <c r="R681">
        <f t="shared" si="19"/>
        <v>32.284204579966172</v>
      </c>
      <c r="U681">
        <v>1066</v>
      </c>
      <c r="V681">
        <v>362</v>
      </c>
      <c r="W681">
        <v>1770</v>
      </c>
      <c r="X681">
        <v>796</v>
      </c>
      <c r="Y681">
        <v>57.3</v>
      </c>
      <c r="Z681">
        <v>51.2</v>
      </c>
      <c r="AA681">
        <v>63.3</v>
      </c>
    </row>
    <row r="682" spans="1:27" x14ac:dyDescent="0.25">
      <c r="A682" t="s">
        <v>230</v>
      </c>
      <c r="B682" t="s">
        <v>200</v>
      </c>
      <c r="C682" s="76">
        <v>43978</v>
      </c>
      <c r="D682">
        <v>6420</v>
      </c>
      <c r="E682">
        <v>2988</v>
      </c>
      <c r="F682">
        <v>9852</v>
      </c>
      <c r="G682">
        <v>4526</v>
      </c>
      <c r="H682">
        <v>58.7</v>
      </c>
      <c r="I682">
        <v>49.4</v>
      </c>
      <c r="J682">
        <v>67.900000000000006</v>
      </c>
      <c r="K682">
        <v>1252</v>
      </c>
      <c r="L682">
        <v>532</v>
      </c>
      <c r="M682">
        <v>1972</v>
      </c>
      <c r="N682">
        <v>11.4</v>
      </c>
      <c r="O682">
        <v>8.4</v>
      </c>
      <c r="P682">
        <v>14.4</v>
      </c>
      <c r="Q682">
        <f t="shared" si="20"/>
        <v>3552821</v>
      </c>
      <c r="R682">
        <f t="shared" si="19"/>
        <v>35.239602558079902</v>
      </c>
      <c r="U682">
        <v>1045</v>
      </c>
      <c r="V682">
        <v>334</v>
      </c>
      <c r="W682">
        <v>1755</v>
      </c>
      <c r="X682">
        <v>754</v>
      </c>
      <c r="Y682">
        <v>58.1</v>
      </c>
      <c r="Z682">
        <v>51.5</v>
      </c>
      <c r="AA682">
        <v>64.7</v>
      </c>
    </row>
    <row r="683" spans="1:27" x14ac:dyDescent="0.25">
      <c r="A683" t="s">
        <v>230</v>
      </c>
      <c r="B683" t="s">
        <v>200</v>
      </c>
      <c r="C683" s="76">
        <v>43979</v>
      </c>
      <c r="D683">
        <v>6479</v>
      </c>
      <c r="E683">
        <v>3021</v>
      </c>
      <c r="F683">
        <v>9936</v>
      </c>
      <c r="G683">
        <v>4605</v>
      </c>
      <c r="H683">
        <v>58.5</v>
      </c>
      <c r="I683">
        <v>49.1</v>
      </c>
      <c r="J683">
        <v>67.8</v>
      </c>
      <c r="K683">
        <v>1163</v>
      </c>
      <c r="L683">
        <v>493</v>
      </c>
      <c r="M683">
        <v>1833</v>
      </c>
      <c r="N683">
        <v>10.5</v>
      </c>
      <c r="O683">
        <v>7.6</v>
      </c>
      <c r="P683">
        <v>13.4</v>
      </c>
      <c r="Q683">
        <f t="shared" si="20"/>
        <v>3552821</v>
      </c>
      <c r="R683">
        <f t="shared" si="19"/>
        <v>32.734550938535889</v>
      </c>
      <c r="U683">
        <v>1073</v>
      </c>
      <c r="V683">
        <v>359</v>
      </c>
      <c r="W683">
        <v>1787</v>
      </c>
      <c r="X683">
        <v>758</v>
      </c>
      <c r="Y683">
        <v>58.6</v>
      </c>
      <c r="Z683">
        <v>52.5</v>
      </c>
      <c r="AA683">
        <v>64.7</v>
      </c>
    </row>
    <row r="684" spans="1:27" x14ac:dyDescent="0.25">
      <c r="A684" t="s">
        <v>230</v>
      </c>
      <c r="B684" t="s">
        <v>200</v>
      </c>
      <c r="C684" s="76">
        <v>43980</v>
      </c>
      <c r="D684">
        <v>6227</v>
      </c>
      <c r="E684">
        <v>2961</v>
      </c>
      <c r="F684">
        <v>9493</v>
      </c>
      <c r="G684">
        <v>4459</v>
      </c>
      <c r="H684">
        <v>58.3</v>
      </c>
      <c r="I684">
        <v>49</v>
      </c>
      <c r="J684">
        <v>67.5</v>
      </c>
      <c r="K684">
        <v>820</v>
      </c>
      <c r="L684">
        <v>351</v>
      </c>
      <c r="M684">
        <v>1288</v>
      </c>
      <c r="N684">
        <v>7.7</v>
      </c>
      <c r="O684">
        <v>6.2</v>
      </c>
      <c r="P684">
        <v>9.1</v>
      </c>
      <c r="Q684">
        <f t="shared" si="20"/>
        <v>3552821</v>
      </c>
      <c r="R684">
        <f t="shared" si="19"/>
        <v>23.080250876697701</v>
      </c>
      <c r="U684">
        <v>985</v>
      </c>
      <c r="V684">
        <v>334</v>
      </c>
      <c r="W684">
        <v>1635</v>
      </c>
      <c r="X684">
        <v>719</v>
      </c>
      <c r="Y684">
        <v>57.8</v>
      </c>
      <c r="Z684">
        <v>52.1</v>
      </c>
      <c r="AA684">
        <v>63.5</v>
      </c>
    </row>
    <row r="685" spans="1:27" x14ac:dyDescent="0.25">
      <c r="A685" t="s">
        <v>230</v>
      </c>
      <c r="B685" t="s">
        <v>200</v>
      </c>
      <c r="C685" s="76">
        <v>43981</v>
      </c>
      <c r="D685">
        <v>5950</v>
      </c>
      <c r="E685">
        <v>2812</v>
      </c>
      <c r="F685">
        <v>9088</v>
      </c>
      <c r="G685">
        <v>4740</v>
      </c>
      <c r="H685">
        <v>55.7</v>
      </c>
      <c r="I685">
        <v>46.6</v>
      </c>
      <c r="J685">
        <v>64.7</v>
      </c>
      <c r="K685">
        <v>762</v>
      </c>
      <c r="L685">
        <v>331</v>
      </c>
      <c r="M685">
        <v>1193</v>
      </c>
      <c r="N685">
        <v>7.1</v>
      </c>
      <c r="O685">
        <v>5.8</v>
      </c>
      <c r="P685">
        <v>8.5</v>
      </c>
      <c r="Q685">
        <f t="shared" si="20"/>
        <v>3552821</v>
      </c>
      <c r="R685">
        <f t="shared" si="19"/>
        <v>21.447745326882497</v>
      </c>
      <c r="U685">
        <v>966</v>
      </c>
      <c r="V685">
        <v>328</v>
      </c>
      <c r="W685">
        <v>1603</v>
      </c>
      <c r="X685">
        <v>733</v>
      </c>
      <c r="Y685">
        <v>56.8</v>
      </c>
      <c r="Z685">
        <v>50.7</v>
      </c>
      <c r="AA685">
        <v>63</v>
      </c>
    </row>
    <row r="686" spans="1:27" x14ac:dyDescent="0.25">
      <c r="A686" t="s">
        <v>230</v>
      </c>
      <c r="B686" t="s">
        <v>200</v>
      </c>
      <c r="C686" s="76">
        <v>43982</v>
      </c>
      <c r="D686">
        <v>6033</v>
      </c>
      <c r="E686">
        <v>2769</v>
      </c>
      <c r="F686">
        <v>9297</v>
      </c>
      <c r="G686">
        <v>4955</v>
      </c>
      <c r="H686">
        <v>54.9</v>
      </c>
      <c r="I686">
        <v>45.4</v>
      </c>
      <c r="J686">
        <v>64.400000000000006</v>
      </c>
      <c r="K686">
        <v>700</v>
      </c>
      <c r="L686">
        <v>295</v>
      </c>
      <c r="M686">
        <v>1105</v>
      </c>
      <c r="N686">
        <v>6.4</v>
      </c>
      <c r="O686">
        <v>4.9000000000000004</v>
      </c>
      <c r="P686">
        <v>7.8</v>
      </c>
      <c r="Q686">
        <f t="shared" si="20"/>
        <v>3552821</v>
      </c>
      <c r="R686">
        <f t="shared" si="19"/>
        <v>19.702653187424865</v>
      </c>
      <c r="U686">
        <v>994</v>
      </c>
      <c r="V686">
        <v>317</v>
      </c>
      <c r="W686">
        <v>1671</v>
      </c>
      <c r="X686">
        <v>769</v>
      </c>
      <c r="Y686">
        <v>56.4</v>
      </c>
      <c r="Z686">
        <v>50.1</v>
      </c>
      <c r="AA686">
        <v>62.7</v>
      </c>
    </row>
    <row r="687" spans="1:27" x14ac:dyDescent="0.25">
      <c r="A687" t="s">
        <v>230</v>
      </c>
      <c r="B687" t="s">
        <v>200</v>
      </c>
      <c r="C687" s="76">
        <v>43983</v>
      </c>
      <c r="D687">
        <v>5937</v>
      </c>
      <c r="E687">
        <v>2707</v>
      </c>
      <c r="F687">
        <v>9167</v>
      </c>
      <c r="G687">
        <v>5072</v>
      </c>
      <c r="H687">
        <v>53.9</v>
      </c>
      <c r="I687">
        <v>44.4</v>
      </c>
      <c r="J687">
        <v>63.4</v>
      </c>
      <c r="K687">
        <v>705</v>
      </c>
      <c r="L687">
        <v>307</v>
      </c>
      <c r="M687">
        <v>1103</v>
      </c>
      <c r="N687">
        <v>6.4</v>
      </c>
      <c r="O687">
        <v>5.2</v>
      </c>
      <c r="P687">
        <v>7.6</v>
      </c>
      <c r="Q687">
        <f t="shared" si="20"/>
        <v>3552821</v>
      </c>
      <c r="R687">
        <f t="shared" si="19"/>
        <v>19.843386424477902</v>
      </c>
      <c r="U687">
        <v>934</v>
      </c>
      <c r="V687">
        <v>293</v>
      </c>
      <c r="W687">
        <v>1574</v>
      </c>
      <c r="X687">
        <v>822</v>
      </c>
      <c r="Y687">
        <v>53.2</v>
      </c>
      <c r="Z687">
        <v>47.5</v>
      </c>
      <c r="AA687">
        <v>58.9</v>
      </c>
    </row>
    <row r="688" spans="1:27" x14ac:dyDescent="0.25">
      <c r="A688" t="s">
        <v>230</v>
      </c>
      <c r="B688" t="s">
        <v>200</v>
      </c>
      <c r="C688" s="76">
        <v>43984</v>
      </c>
      <c r="D688">
        <v>6299</v>
      </c>
      <c r="E688">
        <v>2917</v>
      </c>
      <c r="F688">
        <v>9680</v>
      </c>
      <c r="G688">
        <v>4705</v>
      </c>
      <c r="H688">
        <v>57.2</v>
      </c>
      <c r="I688">
        <v>48.1</v>
      </c>
      <c r="J688">
        <v>66.400000000000006</v>
      </c>
      <c r="K688">
        <v>650</v>
      </c>
      <c r="L688">
        <v>277</v>
      </c>
      <c r="M688">
        <v>1022</v>
      </c>
      <c r="N688">
        <v>5.9</v>
      </c>
      <c r="O688">
        <v>4.5999999999999996</v>
      </c>
      <c r="P688">
        <v>7.2</v>
      </c>
      <c r="Q688">
        <f t="shared" si="20"/>
        <v>3552821</v>
      </c>
      <c r="R688">
        <f t="shared" si="19"/>
        <v>18.295320816894517</v>
      </c>
      <c r="U688">
        <v>973</v>
      </c>
      <c r="V688">
        <v>307</v>
      </c>
      <c r="W688">
        <v>1639</v>
      </c>
      <c r="X688">
        <v>784</v>
      </c>
      <c r="Y688">
        <v>55.4</v>
      </c>
      <c r="Z688">
        <v>49.5</v>
      </c>
      <c r="AA688">
        <v>61.2</v>
      </c>
    </row>
    <row r="689" spans="1:27" x14ac:dyDescent="0.25">
      <c r="A689" t="s">
        <v>230</v>
      </c>
      <c r="B689" t="s">
        <v>200</v>
      </c>
      <c r="C689" s="76">
        <v>43985</v>
      </c>
      <c r="D689">
        <v>6420</v>
      </c>
      <c r="E689">
        <v>2999</v>
      </c>
      <c r="F689">
        <v>9840</v>
      </c>
      <c r="G689">
        <v>4587</v>
      </c>
      <c r="H689">
        <v>58.3</v>
      </c>
      <c r="I689">
        <v>49.1</v>
      </c>
      <c r="J689">
        <v>67.599999999999994</v>
      </c>
      <c r="K689">
        <v>615</v>
      </c>
      <c r="L689">
        <v>263</v>
      </c>
      <c r="M689">
        <v>966</v>
      </c>
      <c r="N689">
        <v>5.6</v>
      </c>
      <c r="O689">
        <v>4.4000000000000004</v>
      </c>
      <c r="P689">
        <v>6.8</v>
      </c>
      <c r="Q689">
        <f t="shared" si="20"/>
        <v>3552821</v>
      </c>
      <c r="R689">
        <f t="shared" si="19"/>
        <v>17.310188157523275</v>
      </c>
      <c r="U689">
        <v>1003</v>
      </c>
      <c r="V689">
        <v>329</v>
      </c>
      <c r="W689">
        <v>1676</v>
      </c>
      <c r="X689">
        <v>756</v>
      </c>
      <c r="Y689">
        <v>57</v>
      </c>
      <c r="Z689">
        <v>50.8</v>
      </c>
      <c r="AA689">
        <v>63.2</v>
      </c>
    </row>
    <row r="690" spans="1:27" x14ac:dyDescent="0.25">
      <c r="A690" t="s">
        <v>230</v>
      </c>
      <c r="B690" t="s">
        <v>200</v>
      </c>
      <c r="C690" s="76">
        <v>43986</v>
      </c>
      <c r="D690">
        <v>6454</v>
      </c>
      <c r="E690">
        <v>3020</v>
      </c>
      <c r="F690">
        <v>9888</v>
      </c>
      <c r="G690">
        <v>4559</v>
      </c>
      <c r="H690">
        <v>58.6</v>
      </c>
      <c r="I690">
        <v>49.6</v>
      </c>
      <c r="J690">
        <v>67.599999999999994</v>
      </c>
      <c r="K690">
        <v>604</v>
      </c>
      <c r="L690">
        <v>266</v>
      </c>
      <c r="M690">
        <v>941</v>
      </c>
      <c r="N690">
        <v>5.5</v>
      </c>
      <c r="O690">
        <v>4.3</v>
      </c>
      <c r="P690">
        <v>6.6</v>
      </c>
      <c r="Q690">
        <f t="shared" si="20"/>
        <v>3552821</v>
      </c>
      <c r="R690">
        <f t="shared" si="19"/>
        <v>17.000575036006598</v>
      </c>
      <c r="U690">
        <v>995</v>
      </c>
      <c r="V690">
        <v>312</v>
      </c>
      <c r="W690">
        <v>1677</v>
      </c>
      <c r="X690">
        <v>740</v>
      </c>
      <c r="Y690">
        <v>57.4</v>
      </c>
      <c r="Z690">
        <v>50.9</v>
      </c>
      <c r="AA690">
        <v>63.8</v>
      </c>
    </row>
    <row r="691" spans="1:27" x14ac:dyDescent="0.25">
      <c r="A691" t="s">
        <v>230</v>
      </c>
      <c r="B691" t="s">
        <v>200</v>
      </c>
      <c r="C691" s="76">
        <v>43987</v>
      </c>
      <c r="D691">
        <v>6172</v>
      </c>
      <c r="E691">
        <v>2899</v>
      </c>
      <c r="F691">
        <v>9445</v>
      </c>
      <c r="G691">
        <v>4544</v>
      </c>
      <c r="H691">
        <v>57.6</v>
      </c>
      <c r="I691">
        <v>48.4</v>
      </c>
      <c r="J691">
        <v>66.7</v>
      </c>
      <c r="K691">
        <v>577</v>
      </c>
      <c r="L691">
        <v>253</v>
      </c>
      <c r="M691">
        <v>900</v>
      </c>
      <c r="N691">
        <v>5.4</v>
      </c>
      <c r="O691">
        <v>4.3</v>
      </c>
      <c r="P691">
        <v>6.4</v>
      </c>
      <c r="Q691">
        <f t="shared" si="20"/>
        <v>3552821</v>
      </c>
      <c r="R691">
        <f t="shared" si="19"/>
        <v>16.240615555920211</v>
      </c>
      <c r="U691">
        <v>937</v>
      </c>
      <c r="V691">
        <v>324</v>
      </c>
      <c r="W691">
        <v>1549</v>
      </c>
      <c r="X691">
        <v>724</v>
      </c>
      <c r="Y691">
        <v>56.4</v>
      </c>
      <c r="Z691">
        <v>49.7</v>
      </c>
      <c r="AA691">
        <v>63.1</v>
      </c>
    </row>
    <row r="692" spans="1:27" x14ac:dyDescent="0.25">
      <c r="A692" t="s">
        <v>230</v>
      </c>
      <c r="B692" t="s">
        <v>200</v>
      </c>
      <c r="C692" s="76">
        <v>43988</v>
      </c>
      <c r="D692">
        <v>6054</v>
      </c>
      <c r="E692">
        <v>2818</v>
      </c>
      <c r="F692">
        <v>9291</v>
      </c>
      <c r="G692">
        <v>4675</v>
      </c>
      <c r="H692">
        <v>56.4</v>
      </c>
      <c r="I692">
        <v>47.3</v>
      </c>
      <c r="J692">
        <v>65.599999999999994</v>
      </c>
      <c r="K692">
        <v>577</v>
      </c>
      <c r="L692">
        <v>269</v>
      </c>
      <c r="M692">
        <v>885</v>
      </c>
      <c r="N692">
        <v>5.4</v>
      </c>
      <c r="O692">
        <v>4.5</v>
      </c>
      <c r="P692">
        <v>6.3</v>
      </c>
      <c r="Q692">
        <f t="shared" si="20"/>
        <v>3552821</v>
      </c>
      <c r="R692">
        <f t="shared" si="19"/>
        <v>16.240615555920211</v>
      </c>
      <c r="U692">
        <v>945</v>
      </c>
      <c r="V692">
        <v>337</v>
      </c>
      <c r="W692">
        <v>1552</v>
      </c>
      <c r="X692">
        <v>779</v>
      </c>
      <c r="Y692">
        <v>54.8</v>
      </c>
      <c r="Z692">
        <v>48.4</v>
      </c>
      <c r="AA692">
        <v>61.2</v>
      </c>
    </row>
    <row r="693" spans="1:27" x14ac:dyDescent="0.25">
      <c r="A693" t="s">
        <v>230</v>
      </c>
      <c r="B693" t="s">
        <v>200</v>
      </c>
      <c r="C693" s="76">
        <v>43989</v>
      </c>
      <c r="D693">
        <v>5747</v>
      </c>
      <c r="E693">
        <v>2864</v>
      </c>
      <c r="F693">
        <v>8629</v>
      </c>
      <c r="G693">
        <v>5002</v>
      </c>
      <c r="H693">
        <v>53.5</v>
      </c>
      <c r="I693">
        <v>45.9</v>
      </c>
      <c r="J693">
        <v>61</v>
      </c>
      <c r="K693">
        <v>588</v>
      </c>
      <c r="L693">
        <v>270</v>
      </c>
      <c r="M693">
        <v>906</v>
      </c>
      <c r="N693">
        <v>5.5</v>
      </c>
      <c r="O693">
        <v>4.2</v>
      </c>
      <c r="P693">
        <v>6.7</v>
      </c>
      <c r="Q693">
        <f t="shared" si="20"/>
        <v>3552821</v>
      </c>
      <c r="R693">
        <f t="shared" si="19"/>
        <v>16.550228677436888</v>
      </c>
      <c r="U693">
        <v>877</v>
      </c>
      <c r="V693">
        <v>334</v>
      </c>
      <c r="W693">
        <v>1421</v>
      </c>
      <c r="X693">
        <v>833</v>
      </c>
      <c r="Y693">
        <v>51.3</v>
      </c>
      <c r="Z693">
        <v>42.1</v>
      </c>
      <c r="AA693">
        <v>60.5</v>
      </c>
    </row>
    <row r="694" spans="1:27" x14ac:dyDescent="0.25">
      <c r="A694" t="s">
        <v>230</v>
      </c>
      <c r="B694" t="s">
        <v>200</v>
      </c>
      <c r="C694" s="76">
        <v>43990</v>
      </c>
      <c r="D694">
        <v>5730</v>
      </c>
      <c r="E694">
        <v>2655</v>
      </c>
      <c r="F694">
        <v>8805</v>
      </c>
      <c r="G694">
        <v>4862</v>
      </c>
      <c r="H694">
        <v>54.1</v>
      </c>
      <c r="I694">
        <v>45.4</v>
      </c>
      <c r="J694">
        <v>62.8</v>
      </c>
      <c r="K694">
        <v>510</v>
      </c>
      <c r="L694">
        <v>239</v>
      </c>
      <c r="M694">
        <v>780</v>
      </c>
      <c r="N694">
        <v>4.8</v>
      </c>
      <c r="O694">
        <v>3.9</v>
      </c>
      <c r="P694">
        <v>5.7</v>
      </c>
      <c r="Q694">
        <f t="shared" si="20"/>
        <v>3552821</v>
      </c>
      <c r="R694">
        <f t="shared" si="19"/>
        <v>14.354790179409544</v>
      </c>
      <c r="U694">
        <v>874</v>
      </c>
      <c r="V694">
        <v>307</v>
      </c>
      <c r="W694">
        <v>1441</v>
      </c>
      <c r="X694">
        <v>842</v>
      </c>
      <c r="Y694">
        <v>50.9</v>
      </c>
      <c r="Z694">
        <v>44.9</v>
      </c>
      <c r="AA694">
        <v>57</v>
      </c>
    </row>
    <row r="695" spans="1:27" x14ac:dyDescent="0.25">
      <c r="A695" t="s">
        <v>230</v>
      </c>
      <c r="B695" t="s">
        <v>200</v>
      </c>
      <c r="C695" s="76">
        <v>43991</v>
      </c>
      <c r="D695">
        <v>6035</v>
      </c>
      <c r="E695">
        <v>2808</v>
      </c>
      <c r="F695">
        <v>9262</v>
      </c>
      <c r="G695">
        <v>4557</v>
      </c>
      <c r="H695">
        <v>57</v>
      </c>
      <c r="I695">
        <v>48</v>
      </c>
      <c r="J695">
        <v>66</v>
      </c>
      <c r="K695">
        <v>473</v>
      </c>
      <c r="L695">
        <v>213</v>
      </c>
      <c r="M695">
        <v>732</v>
      </c>
      <c r="N695">
        <v>4.5</v>
      </c>
      <c r="O695">
        <v>3.6</v>
      </c>
      <c r="P695">
        <v>5.3</v>
      </c>
      <c r="Q695">
        <f t="shared" si="20"/>
        <v>3552821</v>
      </c>
      <c r="R695">
        <f t="shared" si="19"/>
        <v>13.313364225217089</v>
      </c>
      <c r="U695">
        <v>914</v>
      </c>
      <c r="V695">
        <v>322</v>
      </c>
      <c r="W695">
        <v>1506</v>
      </c>
      <c r="X695">
        <v>782</v>
      </c>
      <c r="Y695">
        <v>53.9</v>
      </c>
      <c r="Z695">
        <v>47.7</v>
      </c>
      <c r="AA695">
        <v>60.1</v>
      </c>
    </row>
    <row r="696" spans="1:27" x14ac:dyDescent="0.25">
      <c r="A696" t="s">
        <v>230</v>
      </c>
      <c r="B696" t="s">
        <v>200</v>
      </c>
      <c r="C696" s="76">
        <v>43992</v>
      </c>
      <c r="D696">
        <v>6337</v>
      </c>
      <c r="E696">
        <v>2887</v>
      </c>
      <c r="F696">
        <v>9787</v>
      </c>
      <c r="G696">
        <v>4552</v>
      </c>
      <c r="H696">
        <v>58.2</v>
      </c>
      <c r="I696">
        <v>48.8</v>
      </c>
      <c r="J696">
        <v>67.5</v>
      </c>
      <c r="K696">
        <v>503</v>
      </c>
      <c r="L696">
        <v>231</v>
      </c>
      <c r="M696">
        <v>774</v>
      </c>
      <c r="N696">
        <v>4.5999999999999996</v>
      </c>
      <c r="O696">
        <v>3.6</v>
      </c>
      <c r="P696">
        <v>5.7</v>
      </c>
      <c r="Q696">
        <f t="shared" si="20"/>
        <v>3552821</v>
      </c>
      <c r="R696">
        <f t="shared" si="19"/>
        <v>14.157763647535296</v>
      </c>
      <c r="U696">
        <v>992</v>
      </c>
      <c r="V696">
        <v>318</v>
      </c>
      <c r="W696">
        <v>1666</v>
      </c>
      <c r="X696">
        <v>763</v>
      </c>
      <c r="Y696">
        <v>56.5</v>
      </c>
      <c r="Z696">
        <v>49.7</v>
      </c>
      <c r="AA696">
        <v>63.3</v>
      </c>
    </row>
    <row r="697" spans="1:27" x14ac:dyDescent="0.25">
      <c r="A697" t="s">
        <v>230</v>
      </c>
      <c r="B697" t="s">
        <v>200</v>
      </c>
      <c r="C697" s="76">
        <v>43993</v>
      </c>
      <c r="D697">
        <v>6281</v>
      </c>
      <c r="E697">
        <v>2994</v>
      </c>
      <c r="F697">
        <v>9569</v>
      </c>
      <c r="G697">
        <v>4435</v>
      </c>
      <c r="H697">
        <v>58.6</v>
      </c>
      <c r="I697">
        <v>49.9</v>
      </c>
      <c r="J697">
        <v>67.3</v>
      </c>
      <c r="K697">
        <v>453</v>
      </c>
      <c r="L697">
        <v>220</v>
      </c>
      <c r="M697">
        <v>685</v>
      </c>
      <c r="N697">
        <v>4.2</v>
      </c>
      <c r="O697">
        <v>3.5</v>
      </c>
      <c r="P697">
        <v>5</v>
      </c>
      <c r="Q697">
        <f t="shared" si="20"/>
        <v>3552821</v>
      </c>
      <c r="R697">
        <f t="shared" si="19"/>
        <v>12.750431277004949</v>
      </c>
      <c r="U697">
        <v>958</v>
      </c>
      <c r="V697">
        <v>341</v>
      </c>
      <c r="W697">
        <v>1575</v>
      </c>
      <c r="X697">
        <v>730</v>
      </c>
      <c r="Y697">
        <v>56.8</v>
      </c>
      <c r="Z697">
        <v>49.5</v>
      </c>
      <c r="AA697">
        <v>64</v>
      </c>
    </row>
    <row r="698" spans="1:27" x14ac:dyDescent="0.25">
      <c r="A698" t="s">
        <v>230</v>
      </c>
      <c r="B698" t="s">
        <v>200</v>
      </c>
      <c r="C698" s="76">
        <v>43994</v>
      </c>
      <c r="D698">
        <v>6193</v>
      </c>
      <c r="E698">
        <v>2911</v>
      </c>
      <c r="F698">
        <v>9475</v>
      </c>
      <c r="G698">
        <v>4524</v>
      </c>
      <c r="H698">
        <v>57.8</v>
      </c>
      <c r="I698">
        <v>48.4</v>
      </c>
      <c r="J698">
        <v>67.099999999999994</v>
      </c>
      <c r="K698">
        <v>434</v>
      </c>
      <c r="L698">
        <v>193</v>
      </c>
      <c r="M698">
        <v>675</v>
      </c>
      <c r="N698">
        <v>4</v>
      </c>
      <c r="O698">
        <v>3.2</v>
      </c>
      <c r="P698">
        <v>4.9000000000000004</v>
      </c>
      <c r="Q698">
        <f t="shared" si="20"/>
        <v>3552821</v>
      </c>
      <c r="R698">
        <f t="shared" si="19"/>
        <v>12.215644976203418</v>
      </c>
      <c r="U698">
        <v>955</v>
      </c>
      <c r="V698">
        <v>327</v>
      </c>
      <c r="W698">
        <v>1584</v>
      </c>
      <c r="X698">
        <v>700</v>
      </c>
      <c r="Y698">
        <v>57.7</v>
      </c>
      <c r="Z698">
        <v>50.1</v>
      </c>
      <c r="AA698">
        <v>65.3</v>
      </c>
    </row>
    <row r="699" spans="1:27" x14ac:dyDescent="0.25">
      <c r="A699" t="s">
        <v>230</v>
      </c>
      <c r="B699" t="s">
        <v>200</v>
      </c>
      <c r="C699" s="76">
        <v>43995</v>
      </c>
      <c r="D699">
        <v>6065</v>
      </c>
      <c r="E699">
        <v>2816</v>
      </c>
      <c r="F699">
        <v>9314</v>
      </c>
      <c r="G699">
        <v>4302</v>
      </c>
      <c r="H699">
        <v>58.5</v>
      </c>
      <c r="I699">
        <v>50.2</v>
      </c>
      <c r="J699">
        <v>66.8</v>
      </c>
      <c r="K699">
        <v>379</v>
      </c>
      <c r="L699">
        <v>170</v>
      </c>
      <c r="M699">
        <v>587</v>
      </c>
      <c r="N699">
        <v>3.7</v>
      </c>
      <c r="O699">
        <v>3</v>
      </c>
      <c r="P699">
        <v>4.3</v>
      </c>
      <c r="Q699">
        <f t="shared" si="20"/>
        <v>3552821</v>
      </c>
      <c r="R699">
        <f t="shared" si="19"/>
        <v>10.667579368620034</v>
      </c>
      <c r="U699">
        <v>938</v>
      </c>
      <c r="V699">
        <v>322</v>
      </c>
      <c r="W699">
        <v>1553</v>
      </c>
      <c r="X699">
        <v>723</v>
      </c>
      <c r="Y699">
        <v>56.5</v>
      </c>
      <c r="Z699">
        <v>48.9</v>
      </c>
      <c r="AA699">
        <v>64</v>
      </c>
    </row>
    <row r="700" spans="1:27" x14ac:dyDescent="0.25">
      <c r="A700" t="s">
        <v>230</v>
      </c>
      <c r="B700" t="s">
        <v>200</v>
      </c>
      <c r="C700" s="76">
        <v>43996</v>
      </c>
      <c r="D700">
        <v>5918</v>
      </c>
      <c r="E700">
        <v>2715</v>
      </c>
      <c r="F700">
        <v>9122</v>
      </c>
      <c r="G700">
        <v>4435</v>
      </c>
      <c r="H700">
        <v>57.2</v>
      </c>
      <c r="I700">
        <v>48.5</v>
      </c>
      <c r="J700">
        <v>65.8</v>
      </c>
      <c r="K700">
        <v>392</v>
      </c>
      <c r="L700">
        <v>171</v>
      </c>
      <c r="M700">
        <v>613</v>
      </c>
      <c r="N700">
        <v>3.8</v>
      </c>
      <c r="O700">
        <v>2.9</v>
      </c>
      <c r="P700">
        <v>4.5999999999999996</v>
      </c>
      <c r="Q700">
        <f t="shared" si="20"/>
        <v>3552821</v>
      </c>
      <c r="R700">
        <f t="shared" si="19"/>
        <v>11.033485784957925</v>
      </c>
      <c r="U700">
        <v>905</v>
      </c>
      <c r="V700">
        <v>306</v>
      </c>
      <c r="W700">
        <v>1504</v>
      </c>
      <c r="X700">
        <v>756</v>
      </c>
      <c r="Y700">
        <v>54.5</v>
      </c>
      <c r="Z700">
        <v>47.6</v>
      </c>
      <c r="AA700">
        <v>61.4</v>
      </c>
    </row>
    <row r="701" spans="1:27" x14ac:dyDescent="0.25">
      <c r="A701" t="s">
        <v>230</v>
      </c>
      <c r="B701" t="s">
        <v>200</v>
      </c>
      <c r="C701" s="76">
        <v>43997</v>
      </c>
      <c r="D701">
        <v>5834</v>
      </c>
      <c r="E701">
        <v>2723</v>
      </c>
      <c r="F701">
        <v>8945</v>
      </c>
      <c r="G701">
        <v>4541</v>
      </c>
      <c r="H701">
        <v>56.3</v>
      </c>
      <c r="I701">
        <v>47.9</v>
      </c>
      <c r="J701">
        <v>64.599999999999994</v>
      </c>
      <c r="K701">
        <v>418</v>
      </c>
      <c r="L701">
        <v>177</v>
      </c>
      <c r="M701">
        <v>659</v>
      </c>
      <c r="N701">
        <v>4</v>
      </c>
      <c r="O701">
        <v>3.1</v>
      </c>
      <c r="P701">
        <v>4.9000000000000004</v>
      </c>
      <c r="Q701">
        <f t="shared" si="20"/>
        <v>3552821</v>
      </c>
      <c r="R701">
        <f t="shared" si="19"/>
        <v>11.765298617633706</v>
      </c>
      <c r="U701">
        <v>901</v>
      </c>
      <c r="V701">
        <v>299</v>
      </c>
      <c r="W701">
        <v>1503</v>
      </c>
      <c r="X701">
        <v>760</v>
      </c>
      <c r="Y701">
        <v>54.3</v>
      </c>
      <c r="Z701">
        <v>46</v>
      </c>
      <c r="AA701">
        <v>62.5</v>
      </c>
    </row>
    <row r="702" spans="1:27" x14ac:dyDescent="0.25">
      <c r="A702" t="s">
        <v>230</v>
      </c>
      <c r="B702" t="s">
        <v>200</v>
      </c>
      <c r="C702" s="76">
        <v>43998</v>
      </c>
      <c r="D702">
        <v>6278</v>
      </c>
      <c r="E702">
        <v>2902</v>
      </c>
      <c r="F702">
        <v>9653</v>
      </c>
      <c r="G702">
        <v>4389</v>
      </c>
      <c r="H702">
        <v>58.9</v>
      </c>
      <c r="I702">
        <v>50.2</v>
      </c>
      <c r="J702">
        <v>67.5</v>
      </c>
      <c r="K702">
        <v>418</v>
      </c>
      <c r="L702">
        <v>187</v>
      </c>
      <c r="M702">
        <v>648</v>
      </c>
      <c r="N702">
        <v>3.9</v>
      </c>
      <c r="O702">
        <v>3.1</v>
      </c>
      <c r="P702">
        <v>4.8</v>
      </c>
      <c r="Q702">
        <f t="shared" si="20"/>
        <v>3552821</v>
      </c>
      <c r="R702">
        <f t="shared" si="19"/>
        <v>11.765298617633706</v>
      </c>
      <c r="U702">
        <v>972</v>
      </c>
      <c r="V702">
        <v>308</v>
      </c>
      <c r="W702">
        <v>1636</v>
      </c>
      <c r="X702">
        <v>750</v>
      </c>
      <c r="Y702">
        <v>56.4</v>
      </c>
      <c r="Z702">
        <v>49.1</v>
      </c>
      <c r="AA702">
        <v>63.8</v>
      </c>
    </row>
    <row r="703" spans="1:27" x14ac:dyDescent="0.25">
      <c r="A703" t="s">
        <v>230</v>
      </c>
      <c r="B703" t="s">
        <v>200</v>
      </c>
      <c r="C703" s="76">
        <v>43999</v>
      </c>
      <c r="D703">
        <v>6389</v>
      </c>
      <c r="E703">
        <v>2969</v>
      </c>
      <c r="F703">
        <v>9809</v>
      </c>
      <c r="G703">
        <v>4237</v>
      </c>
      <c r="H703">
        <v>60.1</v>
      </c>
      <c r="I703">
        <v>51.6</v>
      </c>
      <c r="J703">
        <v>68.7</v>
      </c>
      <c r="K703">
        <v>406</v>
      </c>
      <c r="L703">
        <v>192</v>
      </c>
      <c r="M703">
        <v>620</v>
      </c>
      <c r="N703">
        <v>3.8</v>
      </c>
      <c r="O703">
        <v>3</v>
      </c>
      <c r="P703">
        <v>4.5999999999999996</v>
      </c>
      <c r="Q703">
        <f t="shared" si="20"/>
        <v>3552821</v>
      </c>
      <c r="R703">
        <f t="shared" si="19"/>
        <v>11.427538848706423</v>
      </c>
      <c r="U703">
        <v>979</v>
      </c>
      <c r="V703">
        <v>300</v>
      </c>
      <c r="W703">
        <v>1658</v>
      </c>
      <c r="X703">
        <v>733</v>
      </c>
      <c r="Y703">
        <v>57.2</v>
      </c>
      <c r="Z703">
        <v>49.3</v>
      </c>
      <c r="AA703">
        <v>65</v>
      </c>
    </row>
    <row r="704" spans="1:27" x14ac:dyDescent="0.25">
      <c r="A704" t="s">
        <v>230</v>
      </c>
      <c r="B704" t="s">
        <v>200</v>
      </c>
      <c r="C704" s="76">
        <v>44000</v>
      </c>
      <c r="D704">
        <v>6338</v>
      </c>
      <c r="E704">
        <v>3053</v>
      </c>
      <c r="F704">
        <v>9623</v>
      </c>
      <c r="G704">
        <v>4015</v>
      </c>
      <c r="H704">
        <v>61.2</v>
      </c>
      <c r="I704">
        <v>53.5</v>
      </c>
      <c r="J704">
        <v>68.900000000000006</v>
      </c>
      <c r="K704">
        <v>397</v>
      </c>
      <c r="L704">
        <v>197</v>
      </c>
      <c r="M704">
        <v>597</v>
      </c>
      <c r="N704">
        <v>3.8</v>
      </c>
      <c r="O704">
        <v>2.9</v>
      </c>
      <c r="P704">
        <v>4.7</v>
      </c>
      <c r="Q704">
        <f t="shared" si="20"/>
        <v>3552821</v>
      </c>
      <c r="R704">
        <f t="shared" si="19"/>
        <v>11.174219022010961</v>
      </c>
      <c r="U704">
        <v>921</v>
      </c>
      <c r="V704">
        <v>321</v>
      </c>
      <c r="W704">
        <v>1520</v>
      </c>
      <c r="X704">
        <v>725</v>
      </c>
      <c r="Y704">
        <v>56</v>
      </c>
      <c r="Z704">
        <v>48.8</v>
      </c>
      <c r="AA704">
        <v>63.1</v>
      </c>
    </row>
    <row r="705" spans="1:27" x14ac:dyDescent="0.25">
      <c r="A705" t="s">
        <v>230</v>
      </c>
      <c r="B705" t="s">
        <v>200</v>
      </c>
      <c r="C705" s="76">
        <v>44001</v>
      </c>
      <c r="D705">
        <v>6261</v>
      </c>
      <c r="E705">
        <v>3007</v>
      </c>
      <c r="F705">
        <v>9515</v>
      </c>
      <c r="G705">
        <v>4085</v>
      </c>
      <c r="H705">
        <v>60.5</v>
      </c>
      <c r="I705">
        <v>52.9</v>
      </c>
      <c r="J705">
        <v>68.2</v>
      </c>
      <c r="K705">
        <v>359</v>
      </c>
      <c r="L705">
        <v>178</v>
      </c>
      <c r="M705">
        <v>539</v>
      </c>
      <c r="N705">
        <v>3.5</v>
      </c>
      <c r="O705">
        <v>2.7</v>
      </c>
      <c r="P705">
        <v>4.3</v>
      </c>
      <c r="Q705">
        <f t="shared" si="20"/>
        <v>3552821</v>
      </c>
      <c r="R705">
        <f t="shared" si="19"/>
        <v>10.104646420407896</v>
      </c>
      <c r="U705">
        <v>914</v>
      </c>
      <c r="V705">
        <v>312</v>
      </c>
      <c r="W705">
        <v>1516</v>
      </c>
      <c r="X705">
        <v>733</v>
      </c>
      <c r="Y705">
        <v>55.5</v>
      </c>
      <c r="Z705">
        <v>48.4</v>
      </c>
      <c r="AA705">
        <v>62.5</v>
      </c>
    </row>
    <row r="706" spans="1:27" x14ac:dyDescent="0.25">
      <c r="A706" t="s">
        <v>230</v>
      </c>
      <c r="B706" t="s">
        <v>200</v>
      </c>
      <c r="C706" s="76">
        <v>44002</v>
      </c>
      <c r="D706">
        <v>6033</v>
      </c>
      <c r="E706">
        <v>2885</v>
      </c>
      <c r="F706">
        <v>9181</v>
      </c>
      <c r="G706">
        <v>4307</v>
      </c>
      <c r="H706">
        <v>58.3</v>
      </c>
      <c r="I706">
        <v>50.5</v>
      </c>
      <c r="J706">
        <v>66.2</v>
      </c>
      <c r="K706">
        <v>333</v>
      </c>
      <c r="L706">
        <v>170</v>
      </c>
      <c r="M706">
        <v>496</v>
      </c>
      <c r="N706">
        <v>3.2</v>
      </c>
      <c r="O706">
        <v>2.5</v>
      </c>
      <c r="P706">
        <v>3.9</v>
      </c>
      <c r="Q706">
        <f t="shared" si="20"/>
        <v>3552821</v>
      </c>
      <c r="R706">
        <f t="shared" si="19"/>
        <v>9.3728335877321154</v>
      </c>
      <c r="U706">
        <v>921</v>
      </c>
      <c r="V706">
        <v>330</v>
      </c>
      <c r="W706">
        <v>1513</v>
      </c>
      <c r="X706">
        <v>729</v>
      </c>
      <c r="Y706">
        <v>55.8</v>
      </c>
      <c r="Z706">
        <v>49</v>
      </c>
      <c r="AA706">
        <v>62.6</v>
      </c>
    </row>
    <row r="707" spans="1:27" x14ac:dyDescent="0.25">
      <c r="A707" t="s">
        <v>230</v>
      </c>
      <c r="B707" t="s">
        <v>200</v>
      </c>
      <c r="C707" s="76">
        <v>44003</v>
      </c>
      <c r="D707">
        <v>5805</v>
      </c>
      <c r="E707">
        <v>2750</v>
      </c>
      <c r="F707">
        <v>8861</v>
      </c>
      <c r="G707">
        <v>4537</v>
      </c>
      <c r="H707">
        <v>56.1</v>
      </c>
      <c r="I707">
        <v>48.6</v>
      </c>
      <c r="J707">
        <v>63.7</v>
      </c>
      <c r="K707">
        <v>345</v>
      </c>
      <c r="L707">
        <v>174</v>
      </c>
      <c r="M707">
        <v>516</v>
      </c>
      <c r="N707">
        <v>3.3</v>
      </c>
      <c r="O707">
        <v>2.6</v>
      </c>
      <c r="P707">
        <v>4.0999999999999996</v>
      </c>
      <c r="Q707">
        <f t="shared" si="20"/>
        <v>3552821</v>
      </c>
      <c r="R707">
        <f t="shared" si="19"/>
        <v>9.7105933566593983</v>
      </c>
      <c r="U707">
        <v>882</v>
      </c>
      <c r="V707">
        <v>325</v>
      </c>
      <c r="W707">
        <v>1438</v>
      </c>
      <c r="X707">
        <v>770</v>
      </c>
      <c r="Y707">
        <v>53.4</v>
      </c>
      <c r="Z707">
        <v>46.8</v>
      </c>
      <c r="AA707">
        <v>59.9</v>
      </c>
    </row>
    <row r="708" spans="1:27" x14ac:dyDescent="0.25">
      <c r="A708" t="s">
        <v>230</v>
      </c>
      <c r="B708" t="s">
        <v>200</v>
      </c>
      <c r="C708" s="76">
        <v>44004</v>
      </c>
      <c r="D708">
        <v>5883</v>
      </c>
      <c r="E708">
        <v>2785</v>
      </c>
      <c r="F708">
        <v>8980</v>
      </c>
      <c r="G708">
        <v>4457</v>
      </c>
      <c r="H708">
        <v>56.9</v>
      </c>
      <c r="I708">
        <v>49.2</v>
      </c>
      <c r="J708">
        <v>64.599999999999994</v>
      </c>
      <c r="K708">
        <v>337</v>
      </c>
      <c r="L708">
        <v>169</v>
      </c>
      <c r="M708">
        <v>504</v>
      </c>
      <c r="N708">
        <v>3.3</v>
      </c>
      <c r="O708">
        <v>2.5</v>
      </c>
      <c r="P708">
        <v>4</v>
      </c>
      <c r="Q708">
        <f t="shared" si="20"/>
        <v>3552821</v>
      </c>
      <c r="R708">
        <f t="shared" si="19"/>
        <v>9.485420177374543</v>
      </c>
      <c r="U708">
        <v>872</v>
      </c>
      <c r="V708">
        <v>323</v>
      </c>
      <c r="W708">
        <v>1421</v>
      </c>
      <c r="X708">
        <v>781</v>
      </c>
      <c r="Y708">
        <v>52.8</v>
      </c>
      <c r="Z708">
        <v>45.3</v>
      </c>
      <c r="AA708">
        <v>60.2</v>
      </c>
    </row>
    <row r="709" spans="1:27" x14ac:dyDescent="0.25">
      <c r="A709" t="s">
        <v>230</v>
      </c>
      <c r="B709" t="s">
        <v>200</v>
      </c>
      <c r="C709" s="76">
        <v>44005</v>
      </c>
      <c r="D709">
        <v>6235</v>
      </c>
      <c r="E709">
        <v>2973</v>
      </c>
      <c r="F709">
        <v>9496</v>
      </c>
      <c r="G709">
        <v>4126</v>
      </c>
      <c r="H709">
        <v>60.2</v>
      </c>
      <c r="I709">
        <v>52.7</v>
      </c>
      <c r="J709">
        <v>67.7</v>
      </c>
      <c r="K709">
        <v>349</v>
      </c>
      <c r="L709">
        <v>180</v>
      </c>
      <c r="M709">
        <v>518</v>
      </c>
      <c r="N709">
        <v>3.4</v>
      </c>
      <c r="O709">
        <v>2.6</v>
      </c>
      <c r="P709">
        <v>4.0999999999999996</v>
      </c>
      <c r="Q709">
        <f t="shared" si="20"/>
        <v>3552821</v>
      </c>
      <c r="R709">
        <f t="shared" ref="R709:R772" si="21">K709/(Q709)*100000</f>
        <v>9.8231799463018259</v>
      </c>
      <c r="U709">
        <v>891</v>
      </c>
      <c r="V709">
        <v>318</v>
      </c>
      <c r="W709">
        <v>1463</v>
      </c>
      <c r="X709">
        <v>754</v>
      </c>
      <c r="Y709">
        <v>54.1</v>
      </c>
      <c r="Z709">
        <v>47</v>
      </c>
      <c r="AA709">
        <v>61.3</v>
      </c>
    </row>
    <row r="710" spans="1:27" x14ac:dyDescent="0.25">
      <c r="A710" t="s">
        <v>230</v>
      </c>
      <c r="B710" t="s">
        <v>200</v>
      </c>
      <c r="C710" s="76">
        <v>44006</v>
      </c>
      <c r="D710">
        <v>6619</v>
      </c>
      <c r="E710">
        <v>3134</v>
      </c>
      <c r="F710">
        <v>10104</v>
      </c>
      <c r="G710">
        <v>4008</v>
      </c>
      <c r="H710">
        <v>62.3</v>
      </c>
      <c r="I710">
        <v>54.5</v>
      </c>
      <c r="J710">
        <v>70.099999999999994</v>
      </c>
      <c r="K710">
        <v>361</v>
      </c>
      <c r="L710">
        <v>173</v>
      </c>
      <c r="M710">
        <v>548</v>
      </c>
      <c r="N710">
        <v>3.4</v>
      </c>
      <c r="O710">
        <v>2.5</v>
      </c>
      <c r="P710">
        <v>4.3</v>
      </c>
      <c r="Q710">
        <f t="shared" si="20"/>
        <v>3552821</v>
      </c>
      <c r="R710">
        <f t="shared" si="21"/>
        <v>10.160939715229111</v>
      </c>
      <c r="U710">
        <v>975</v>
      </c>
      <c r="V710">
        <v>315</v>
      </c>
      <c r="W710">
        <v>1635</v>
      </c>
      <c r="X710">
        <v>671</v>
      </c>
      <c r="Y710">
        <v>59.2</v>
      </c>
      <c r="Z710">
        <v>51.6</v>
      </c>
      <c r="AA710">
        <v>66.900000000000006</v>
      </c>
    </row>
    <row r="711" spans="1:27" x14ac:dyDescent="0.25">
      <c r="A711" t="s">
        <v>230</v>
      </c>
      <c r="B711" t="s">
        <v>200</v>
      </c>
      <c r="C711" s="76">
        <v>44007</v>
      </c>
      <c r="D711">
        <v>6493</v>
      </c>
      <c r="E711">
        <v>3135</v>
      </c>
      <c r="F711">
        <v>9851</v>
      </c>
      <c r="G711">
        <v>3856</v>
      </c>
      <c r="H711">
        <v>62.7</v>
      </c>
      <c r="I711">
        <v>54.8</v>
      </c>
      <c r="J711">
        <v>70.7</v>
      </c>
      <c r="K711">
        <v>307</v>
      </c>
      <c r="L711">
        <v>142</v>
      </c>
      <c r="M711">
        <v>471</v>
      </c>
      <c r="N711">
        <v>3</v>
      </c>
      <c r="O711">
        <v>2.2999999999999998</v>
      </c>
      <c r="P711">
        <v>3.6</v>
      </c>
      <c r="Q711">
        <f t="shared" si="20"/>
        <v>3552821</v>
      </c>
      <c r="R711">
        <f t="shared" si="21"/>
        <v>8.6410207550563349</v>
      </c>
      <c r="U711">
        <v>918</v>
      </c>
      <c r="V711">
        <v>324</v>
      </c>
      <c r="W711">
        <v>1511</v>
      </c>
      <c r="X711">
        <v>664</v>
      </c>
      <c r="Y711">
        <v>58</v>
      </c>
      <c r="Z711">
        <v>50.2</v>
      </c>
      <c r="AA711">
        <v>65.8</v>
      </c>
    </row>
    <row r="712" spans="1:27" x14ac:dyDescent="0.25">
      <c r="A712" t="s">
        <v>230</v>
      </c>
      <c r="B712" t="s">
        <v>200</v>
      </c>
      <c r="C712" s="76">
        <v>44008</v>
      </c>
      <c r="D712">
        <v>6448</v>
      </c>
      <c r="E712">
        <v>3094</v>
      </c>
      <c r="F712">
        <v>9803</v>
      </c>
      <c r="G712">
        <v>3901</v>
      </c>
      <c r="H712">
        <v>62.3</v>
      </c>
      <c r="I712">
        <v>54.6</v>
      </c>
      <c r="J712">
        <v>70</v>
      </c>
      <c r="K712">
        <v>311</v>
      </c>
      <c r="L712">
        <v>150</v>
      </c>
      <c r="M712">
        <v>471</v>
      </c>
      <c r="N712">
        <v>3</v>
      </c>
      <c r="O712">
        <v>2.2999999999999998</v>
      </c>
      <c r="P712">
        <v>3.7</v>
      </c>
      <c r="Q712">
        <f t="shared" si="20"/>
        <v>3552821</v>
      </c>
      <c r="R712">
        <f t="shared" si="21"/>
        <v>8.7536073446987626</v>
      </c>
      <c r="U712">
        <v>915</v>
      </c>
      <c r="V712">
        <v>321</v>
      </c>
      <c r="W712">
        <v>1509</v>
      </c>
      <c r="X712">
        <v>668</v>
      </c>
      <c r="Y712">
        <v>57.8</v>
      </c>
      <c r="Z712">
        <v>50</v>
      </c>
      <c r="AA712">
        <v>65.599999999999994</v>
      </c>
    </row>
    <row r="713" spans="1:27" x14ac:dyDescent="0.25">
      <c r="A713" t="s">
        <v>230</v>
      </c>
      <c r="B713" t="s">
        <v>200</v>
      </c>
      <c r="C713" s="76">
        <v>44009</v>
      </c>
      <c r="D713">
        <v>6239</v>
      </c>
      <c r="E713">
        <v>2955</v>
      </c>
      <c r="F713">
        <v>9523</v>
      </c>
      <c r="G713">
        <v>4114</v>
      </c>
      <c r="H713">
        <v>60.3</v>
      </c>
      <c r="I713">
        <v>52</v>
      </c>
      <c r="J713">
        <v>68.5</v>
      </c>
      <c r="K713">
        <v>289</v>
      </c>
      <c r="L713">
        <v>139</v>
      </c>
      <c r="M713">
        <v>438</v>
      </c>
      <c r="N713">
        <v>2.8</v>
      </c>
      <c r="O713">
        <v>2</v>
      </c>
      <c r="P713">
        <v>3.6</v>
      </c>
      <c r="Q713">
        <f t="shared" si="20"/>
        <v>3552821</v>
      </c>
      <c r="R713">
        <f t="shared" si="21"/>
        <v>8.134381101665408</v>
      </c>
      <c r="U713">
        <v>905</v>
      </c>
      <c r="V713">
        <v>316</v>
      </c>
      <c r="W713">
        <v>1494</v>
      </c>
      <c r="X713">
        <v>678</v>
      </c>
      <c r="Y713">
        <v>57.2</v>
      </c>
      <c r="Z713">
        <v>49</v>
      </c>
      <c r="AA713">
        <v>65.3</v>
      </c>
    </row>
    <row r="714" spans="1:27" x14ac:dyDescent="0.25">
      <c r="A714" t="s">
        <v>230</v>
      </c>
      <c r="B714" t="s">
        <v>200</v>
      </c>
      <c r="C714" s="76">
        <v>44010</v>
      </c>
      <c r="D714">
        <v>5970</v>
      </c>
      <c r="E714">
        <v>2796</v>
      </c>
      <c r="F714">
        <v>9144</v>
      </c>
      <c r="G714">
        <v>4379</v>
      </c>
      <c r="H714">
        <v>57.7</v>
      </c>
      <c r="I714">
        <v>49.3</v>
      </c>
      <c r="J714">
        <v>66.099999999999994</v>
      </c>
      <c r="K714">
        <v>267</v>
      </c>
      <c r="L714">
        <v>124</v>
      </c>
      <c r="M714">
        <v>410</v>
      </c>
      <c r="N714">
        <v>2.6</v>
      </c>
      <c r="O714">
        <v>1.9</v>
      </c>
      <c r="P714">
        <v>3.3</v>
      </c>
      <c r="Q714">
        <f t="shared" si="20"/>
        <v>3552821</v>
      </c>
      <c r="R714">
        <f t="shared" si="21"/>
        <v>7.515154858632056</v>
      </c>
      <c r="U714">
        <v>867</v>
      </c>
      <c r="V714">
        <v>301</v>
      </c>
      <c r="W714">
        <v>1433</v>
      </c>
      <c r="X714">
        <v>713</v>
      </c>
      <c r="Y714">
        <v>54.9</v>
      </c>
      <c r="Z714">
        <v>46.8</v>
      </c>
      <c r="AA714">
        <v>62.9</v>
      </c>
    </row>
    <row r="715" spans="1:27" x14ac:dyDescent="0.25">
      <c r="A715" t="s">
        <v>230</v>
      </c>
      <c r="B715" t="s">
        <v>200</v>
      </c>
      <c r="C715" s="76">
        <v>44011</v>
      </c>
      <c r="D715">
        <v>6017</v>
      </c>
      <c r="E715">
        <v>2815</v>
      </c>
      <c r="F715">
        <v>9220</v>
      </c>
      <c r="G715">
        <v>4356</v>
      </c>
      <c r="H715">
        <v>58</v>
      </c>
      <c r="I715">
        <v>50</v>
      </c>
      <c r="J715">
        <v>66</v>
      </c>
      <c r="K715">
        <v>287</v>
      </c>
      <c r="L715">
        <v>136</v>
      </c>
      <c r="M715">
        <v>439</v>
      </c>
      <c r="N715">
        <v>2.8</v>
      </c>
      <c r="O715">
        <v>2.1</v>
      </c>
      <c r="P715">
        <v>3.5</v>
      </c>
      <c r="Q715">
        <f t="shared" si="20"/>
        <v>3552821</v>
      </c>
      <c r="R715">
        <f t="shared" si="21"/>
        <v>8.078087806844195</v>
      </c>
      <c r="U715">
        <v>875</v>
      </c>
      <c r="V715">
        <v>311</v>
      </c>
      <c r="W715">
        <v>1439</v>
      </c>
      <c r="X715">
        <v>720</v>
      </c>
      <c r="Y715">
        <v>54.9</v>
      </c>
      <c r="Z715">
        <v>47.3</v>
      </c>
      <c r="AA715">
        <v>62.4</v>
      </c>
    </row>
    <row r="716" spans="1:27" x14ac:dyDescent="0.25">
      <c r="A716" t="s">
        <v>230</v>
      </c>
      <c r="B716" t="s">
        <v>200</v>
      </c>
      <c r="C716" s="76">
        <v>44012</v>
      </c>
      <c r="D716">
        <v>6366</v>
      </c>
      <c r="E716">
        <v>3043</v>
      </c>
      <c r="F716">
        <v>9690</v>
      </c>
      <c r="G716">
        <v>3484</v>
      </c>
      <c r="H716">
        <v>64.599999999999994</v>
      </c>
      <c r="I716">
        <v>58.7</v>
      </c>
      <c r="J716">
        <v>70.599999999999994</v>
      </c>
      <c r="K716">
        <v>307</v>
      </c>
      <c r="L716">
        <v>152</v>
      </c>
      <c r="M716">
        <v>462</v>
      </c>
      <c r="N716">
        <v>3.1</v>
      </c>
      <c r="O716">
        <v>2.4</v>
      </c>
      <c r="P716">
        <v>3.9</v>
      </c>
      <c r="Q716">
        <f t="shared" si="20"/>
        <v>3552821</v>
      </c>
      <c r="R716">
        <f t="shared" si="21"/>
        <v>8.6410207550563349</v>
      </c>
      <c r="U716">
        <v>944</v>
      </c>
      <c r="V716">
        <v>358</v>
      </c>
      <c r="W716">
        <v>1530</v>
      </c>
      <c r="X716">
        <v>623</v>
      </c>
      <c r="Y716">
        <v>60.2</v>
      </c>
      <c r="Z716">
        <v>52.6</v>
      </c>
      <c r="AA716">
        <v>67.8</v>
      </c>
    </row>
    <row r="717" spans="1:27" x14ac:dyDescent="0.25">
      <c r="A717" t="s">
        <v>230</v>
      </c>
      <c r="B717" t="s">
        <v>200</v>
      </c>
      <c r="C717" s="76">
        <v>44013</v>
      </c>
      <c r="D717">
        <v>6371</v>
      </c>
      <c r="E717">
        <v>3000</v>
      </c>
      <c r="F717">
        <v>9743</v>
      </c>
      <c r="G717">
        <v>3475</v>
      </c>
      <c r="H717">
        <v>64.7</v>
      </c>
      <c r="I717">
        <v>58.2</v>
      </c>
      <c r="J717">
        <v>71.3</v>
      </c>
      <c r="K717">
        <v>257</v>
      </c>
      <c r="L717">
        <v>127</v>
      </c>
      <c r="M717">
        <v>388</v>
      </c>
      <c r="N717">
        <v>2.6</v>
      </c>
      <c r="O717">
        <v>1.9</v>
      </c>
      <c r="P717">
        <v>3.3</v>
      </c>
      <c r="Q717">
        <f t="shared" si="20"/>
        <v>3552821</v>
      </c>
      <c r="R717">
        <f t="shared" si="21"/>
        <v>7.2336883845259861</v>
      </c>
      <c r="U717">
        <v>940</v>
      </c>
      <c r="V717">
        <v>337</v>
      </c>
      <c r="W717">
        <v>1543</v>
      </c>
      <c r="X717">
        <v>630</v>
      </c>
      <c r="Y717">
        <v>59.9</v>
      </c>
      <c r="Z717">
        <v>51.3</v>
      </c>
      <c r="AA717">
        <v>68.5</v>
      </c>
    </row>
    <row r="718" spans="1:27" x14ac:dyDescent="0.25">
      <c r="A718" t="s">
        <v>230</v>
      </c>
      <c r="B718" t="s">
        <v>200</v>
      </c>
      <c r="C718" s="76">
        <v>44014</v>
      </c>
      <c r="D718">
        <v>6363</v>
      </c>
      <c r="E718">
        <v>3034</v>
      </c>
      <c r="F718">
        <v>9693</v>
      </c>
      <c r="G718">
        <v>3536</v>
      </c>
      <c r="H718">
        <v>64.3</v>
      </c>
      <c r="I718">
        <v>58</v>
      </c>
      <c r="J718">
        <v>70.5</v>
      </c>
      <c r="K718">
        <v>249</v>
      </c>
      <c r="L718">
        <v>120</v>
      </c>
      <c r="M718">
        <v>378</v>
      </c>
      <c r="N718">
        <v>2.5</v>
      </c>
      <c r="O718">
        <v>1.9</v>
      </c>
      <c r="P718">
        <v>3.2</v>
      </c>
      <c r="Q718">
        <f t="shared" si="20"/>
        <v>3552821</v>
      </c>
      <c r="R718">
        <f t="shared" si="21"/>
        <v>7.0085152052411317</v>
      </c>
      <c r="U718">
        <v>925</v>
      </c>
      <c r="V718">
        <v>329</v>
      </c>
      <c r="W718">
        <v>1521</v>
      </c>
      <c r="X718">
        <v>681</v>
      </c>
      <c r="Y718">
        <v>57.6</v>
      </c>
      <c r="Z718">
        <v>48.7</v>
      </c>
      <c r="AA718">
        <v>66.5</v>
      </c>
    </row>
    <row r="719" spans="1:27" x14ac:dyDescent="0.25">
      <c r="A719" t="s">
        <v>230</v>
      </c>
      <c r="B719" t="s">
        <v>200</v>
      </c>
      <c r="C719" s="76">
        <v>44015</v>
      </c>
      <c r="D719">
        <v>6184</v>
      </c>
      <c r="E719">
        <v>2932</v>
      </c>
      <c r="F719">
        <v>9435</v>
      </c>
      <c r="G719">
        <v>3289</v>
      </c>
      <c r="H719">
        <v>65.3</v>
      </c>
      <c r="I719">
        <v>58.6</v>
      </c>
      <c r="J719">
        <v>72</v>
      </c>
      <c r="K719">
        <v>267</v>
      </c>
      <c r="L719">
        <v>140</v>
      </c>
      <c r="M719">
        <v>393</v>
      </c>
      <c r="N719">
        <v>2.8</v>
      </c>
      <c r="O719">
        <v>2.2000000000000002</v>
      </c>
      <c r="P719">
        <v>3.5</v>
      </c>
      <c r="Q719">
        <f t="shared" si="20"/>
        <v>3552821</v>
      </c>
      <c r="R719">
        <f t="shared" si="21"/>
        <v>7.515154858632056</v>
      </c>
      <c r="U719">
        <v>781</v>
      </c>
      <c r="V719">
        <v>240</v>
      </c>
      <c r="W719">
        <v>1322</v>
      </c>
      <c r="X719">
        <v>853</v>
      </c>
      <c r="Y719">
        <v>47.8</v>
      </c>
      <c r="Z719">
        <v>36.700000000000003</v>
      </c>
      <c r="AA719">
        <v>58.9</v>
      </c>
    </row>
    <row r="720" spans="1:27" x14ac:dyDescent="0.25">
      <c r="A720" t="s">
        <v>230</v>
      </c>
      <c r="B720" t="s">
        <v>200</v>
      </c>
      <c r="C720" s="76">
        <v>44016</v>
      </c>
      <c r="D720">
        <v>5925</v>
      </c>
      <c r="E720">
        <v>2750</v>
      </c>
      <c r="F720">
        <v>9100</v>
      </c>
      <c r="G720">
        <v>3450</v>
      </c>
      <c r="H720">
        <v>63.2</v>
      </c>
      <c r="I720">
        <v>56.3</v>
      </c>
      <c r="J720">
        <v>70.099999999999994</v>
      </c>
      <c r="K720">
        <v>229</v>
      </c>
      <c r="L720">
        <v>120</v>
      </c>
      <c r="M720">
        <v>337</v>
      </c>
      <c r="N720">
        <v>2.4</v>
      </c>
      <c r="O720">
        <v>1.7</v>
      </c>
      <c r="P720">
        <v>3.1</v>
      </c>
      <c r="Q720">
        <f t="shared" si="20"/>
        <v>3552821</v>
      </c>
      <c r="R720">
        <f t="shared" si="21"/>
        <v>6.4455822570289927</v>
      </c>
      <c r="U720">
        <v>758</v>
      </c>
      <c r="V720">
        <v>201</v>
      </c>
      <c r="W720">
        <v>1314</v>
      </c>
      <c r="X720">
        <v>838</v>
      </c>
      <c r="Y720">
        <v>47.5</v>
      </c>
      <c r="Z720">
        <v>34.700000000000003</v>
      </c>
      <c r="AA720">
        <v>60.2</v>
      </c>
    </row>
    <row r="721" spans="1:27" x14ac:dyDescent="0.25">
      <c r="A721" t="s">
        <v>230</v>
      </c>
      <c r="B721" t="s">
        <v>200</v>
      </c>
      <c r="C721" s="76">
        <v>44017</v>
      </c>
      <c r="D721">
        <v>5795</v>
      </c>
      <c r="E721">
        <v>2685</v>
      </c>
      <c r="F721">
        <v>8904</v>
      </c>
      <c r="G721">
        <v>3574</v>
      </c>
      <c r="H721">
        <v>61.9</v>
      </c>
      <c r="I721">
        <v>54.8</v>
      </c>
      <c r="J721">
        <v>68.900000000000006</v>
      </c>
      <c r="K721">
        <v>241</v>
      </c>
      <c r="L721">
        <v>123</v>
      </c>
      <c r="M721">
        <v>359</v>
      </c>
      <c r="N721">
        <v>2.6</v>
      </c>
      <c r="O721">
        <v>1.8</v>
      </c>
      <c r="P721">
        <v>3.3</v>
      </c>
      <c r="Q721">
        <f t="shared" si="20"/>
        <v>3552821</v>
      </c>
      <c r="R721">
        <f t="shared" si="21"/>
        <v>6.7833420259562756</v>
      </c>
      <c r="U721">
        <v>707</v>
      </c>
      <c r="V721">
        <v>177</v>
      </c>
      <c r="W721">
        <v>1237</v>
      </c>
      <c r="X721">
        <v>883</v>
      </c>
      <c r="Y721">
        <v>44.4</v>
      </c>
      <c r="Z721">
        <v>31.5</v>
      </c>
      <c r="AA721">
        <v>57.4</v>
      </c>
    </row>
    <row r="722" spans="1:27" x14ac:dyDescent="0.25">
      <c r="A722" t="s">
        <v>230</v>
      </c>
      <c r="B722" t="s">
        <v>200</v>
      </c>
      <c r="C722" s="76">
        <v>44018</v>
      </c>
      <c r="D722">
        <v>5955</v>
      </c>
      <c r="E722">
        <v>2779</v>
      </c>
      <c r="F722">
        <v>9130</v>
      </c>
      <c r="G722">
        <v>3346</v>
      </c>
      <c r="H722">
        <v>64</v>
      </c>
      <c r="I722">
        <v>57.2</v>
      </c>
      <c r="J722">
        <v>70.900000000000006</v>
      </c>
      <c r="K722">
        <v>269</v>
      </c>
      <c r="L722">
        <v>132</v>
      </c>
      <c r="M722">
        <v>405</v>
      </c>
      <c r="N722">
        <v>2.9</v>
      </c>
      <c r="O722">
        <v>2</v>
      </c>
      <c r="P722">
        <v>3.8</v>
      </c>
      <c r="Q722">
        <f t="shared" si="20"/>
        <v>3552821</v>
      </c>
      <c r="R722">
        <f t="shared" si="21"/>
        <v>7.5714481534532698</v>
      </c>
      <c r="U722">
        <v>723</v>
      </c>
      <c r="V722">
        <v>195</v>
      </c>
      <c r="W722">
        <v>1252</v>
      </c>
      <c r="X722">
        <v>866</v>
      </c>
      <c r="Y722">
        <v>45.5</v>
      </c>
      <c r="Z722">
        <v>32.9</v>
      </c>
      <c r="AA722">
        <v>58.1</v>
      </c>
    </row>
    <row r="723" spans="1:27" x14ac:dyDescent="0.25">
      <c r="A723" t="s">
        <v>230</v>
      </c>
      <c r="B723" t="s">
        <v>200</v>
      </c>
      <c r="C723" s="76">
        <v>44019</v>
      </c>
      <c r="D723">
        <v>6299</v>
      </c>
      <c r="E723">
        <v>2967</v>
      </c>
      <c r="F723">
        <v>9632</v>
      </c>
      <c r="G723">
        <v>2793</v>
      </c>
      <c r="H723">
        <v>69.3</v>
      </c>
      <c r="I723">
        <v>63.2</v>
      </c>
      <c r="J723">
        <v>75.3</v>
      </c>
      <c r="K723">
        <v>271</v>
      </c>
      <c r="L723">
        <v>136</v>
      </c>
      <c r="M723">
        <v>405</v>
      </c>
      <c r="N723">
        <v>3</v>
      </c>
      <c r="O723">
        <v>2.2000000000000002</v>
      </c>
      <c r="P723">
        <v>3.7</v>
      </c>
      <c r="Q723">
        <f t="shared" si="20"/>
        <v>3552821</v>
      </c>
      <c r="R723">
        <f t="shared" si="21"/>
        <v>7.6277414482744836</v>
      </c>
      <c r="U723">
        <v>767</v>
      </c>
      <c r="V723">
        <v>215</v>
      </c>
      <c r="W723">
        <v>1318</v>
      </c>
      <c r="X723">
        <v>813</v>
      </c>
      <c r="Y723">
        <v>48.5</v>
      </c>
      <c r="Z723">
        <v>35.9</v>
      </c>
      <c r="AA723">
        <v>61.1</v>
      </c>
    </row>
    <row r="724" spans="1:27" x14ac:dyDescent="0.25">
      <c r="A724" t="s">
        <v>231</v>
      </c>
      <c r="B724" t="s">
        <v>221</v>
      </c>
      <c r="C724" s="76">
        <v>43922</v>
      </c>
      <c r="D724">
        <v>2383</v>
      </c>
      <c r="E724">
        <v>0</v>
      </c>
      <c r="F724">
        <v>5334</v>
      </c>
      <c r="G724">
        <v>1472</v>
      </c>
      <c r="H724">
        <v>61.8</v>
      </c>
      <c r="I724">
        <v>41.6</v>
      </c>
      <c r="J724">
        <v>82</v>
      </c>
      <c r="K724">
        <v>294</v>
      </c>
      <c r="L724">
        <v>0</v>
      </c>
      <c r="M724">
        <v>673</v>
      </c>
      <c r="N724">
        <v>7.6</v>
      </c>
      <c r="O724">
        <v>1.4</v>
      </c>
      <c r="P724">
        <v>13.9</v>
      </c>
      <c r="Q724">
        <f t="shared" si="20"/>
        <v>714153</v>
      </c>
      <c r="R724">
        <f t="shared" si="21"/>
        <v>41.167648949174755</v>
      </c>
      <c r="U724">
        <v>516</v>
      </c>
      <c r="V724">
        <v>0</v>
      </c>
      <c r="W724">
        <v>1196</v>
      </c>
      <c r="X724">
        <v>326</v>
      </c>
      <c r="Y724">
        <v>61.3</v>
      </c>
      <c r="Z724">
        <v>27.8</v>
      </c>
      <c r="AA724">
        <v>94.9</v>
      </c>
    </row>
    <row r="725" spans="1:27" x14ac:dyDescent="0.25">
      <c r="A725" t="s">
        <v>231</v>
      </c>
      <c r="B725" t="s">
        <v>221</v>
      </c>
      <c r="C725" s="76">
        <v>43923</v>
      </c>
      <c r="D725">
        <v>2205</v>
      </c>
      <c r="E725">
        <v>0</v>
      </c>
      <c r="F725">
        <v>4623</v>
      </c>
      <c r="G725">
        <v>1283</v>
      </c>
      <c r="H725">
        <v>63.2</v>
      </c>
      <c r="I725">
        <v>53.5</v>
      </c>
      <c r="J725">
        <v>73</v>
      </c>
      <c r="K725">
        <v>346</v>
      </c>
      <c r="L725">
        <v>0</v>
      </c>
      <c r="M725">
        <v>812</v>
      </c>
      <c r="N725">
        <v>9.9</v>
      </c>
      <c r="O725">
        <v>3.1</v>
      </c>
      <c r="P725">
        <v>16.7</v>
      </c>
      <c r="Q725">
        <f t="shared" si="20"/>
        <v>714153</v>
      </c>
      <c r="R725">
        <f t="shared" si="21"/>
        <v>48.449001824538996</v>
      </c>
      <c r="U725">
        <v>517</v>
      </c>
      <c r="V725">
        <v>0</v>
      </c>
      <c r="W725">
        <v>1140</v>
      </c>
      <c r="X725">
        <v>75</v>
      </c>
      <c r="Y725">
        <v>87.3</v>
      </c>
      <c r="Z725">
        <v>75.099999999999994</v>
      </c>
      <c r="AA725">
        <v>99.5</v>
      </c>
    </row>
    <row r="726" spans="1:27" x14ac:dyDescent="0.25">
      <c r="A726" t="s">
        <v>231</v>
      </c>
      <c r="B726" t="s">
        <v>221</v>
      </c>
      <c r="C726" s="76">
        <v>43924</v>
      </c>
      <c r="D726">
        <v>2170</v>
      </c>
      <c r="E726">
        <v>0</v>
      </c>
      <c r="F726">
        <v>4561</v>
      </c>
      <c r="G726">
        <v>1317</v>
      </c>
      <c r="H726">
        <v>62.2</v>
      </c>
      <c r="I726">
        <v>48.3</v>
      </c>
      <c r="J726">
        <v>76.2</v>
      </c>
      <c r="K726">
        <v>348</v>
      </c>
      <c r="L726">
        <v>0</v>
      </c>
      <c r="M726">
        <v>816</v>
      </c>
      <c r="N726">
        <v>10</v>
      </c>
      <c r="O726">
        <v>3.3</v>
      </c>
      <c r="P726">
        <v>16.7</v>
      </c>
      <c r="Q726">
        <f t="shared" si="20"/>
        <v>714153</v>
      </c>
      <c r="R726">
        <f t="shared" si="21"/>
        <v>48.729053858206854</v>
      </c>
      <c r="U726">
        <v>513</v>
      </c>
      <c r="V726">
        <v>0</v>
      </c>
      <c r="W726">
        <v>1116</v>
      </c>
      <c r="X726">
        <v>69</v>
      </c>
      <c r="Y726">
        <v>88.2</v>
      </c>
      <c r="Z726">
        <v>75.3</v>
      </c>
      <c r="AA726">
        <v>100</v>
      </c>
    </row>
    <row r="727" spans="1:27" x14ac:dyDescent="0.25">
      <c r="A727" t="s">
        <v>231</v>
      </c>
      <c r="B727" t="s">
        <v>221</v>
      </c>
      <c r="C727" s="76">
        <v>43925</v>
      </c>
      <c r="D727">
        <v>1958</v>
      </c>
      <c r="E727">
        <v>0</v>
      </c>
      <c r="F727">
        <v>4143</v>
      </c>
      <c r="G727">
        <v>1530</v>
      </c>
      <c r="H727">
        <v>56.1</v>
      </c>
      <c r="I727">
        <v>44.5</v>
      </c>
      <c r="J727">
        <v>67.7</v>
      </c>
      <c r="K727">
        <v>308</v>
      </c>
      <c r="L727">
        <v>0</v>
      </c>
      <c r="M727">
        <v>743</v>
      </c>
      <c r="N727">
        <v>8.8000000000000007</v>
      </c>
      <c r="O727">
        <v>2.5</v>
      </c>
      <c r="P727">
        <v>15.2</v>
      </c>
      <c r="Q727">
        <f t="shared" si="20"/>
        <v>714153</v>
      </c>
      <c r="R727">
        <f t="shared" si="21"/>
        <v>43.128013184849742</v>
      </c>
      <c r="U727">
        <v>496</v>
      </c>
      <c r="V727">
        <v>0</v>
      </c>
      <c r="W727">
        <v>1086</v>
      </c>
      <c r="X727">
        <v>78</v>
      </c>
      <c r="Y727">
        <v>86.4</v>
      </c>
      <c r="Z727">
        <v>73.8</v>
      </c>
      <c r="AA727">
        <v>99</v>
      </c>
    </row>
    <row r="728" spans="1:27" x14ac:dyDescent="0.25">
      <c r="A728" t="s">
        <v>231</v>
      </c>
      <c r="B728" t="s">
        <v>221</v>
      </c>
      <c r="C728" s="76">
        <v>43926</v>
      </c>
      <c r="D728">
        <v>2021</v>
      </c>
      <c r="E728">
        <v>0</v>
      </c>
      <c r="F728">
        <v>4227</v>
      </c>
      <c r="G728">
        <v>1467</v>
      </c>
      <c r="H728">
        <v>57.9</v>
      </c>
      <c r="I728">
        <v>48.5</v>
      </c>
      <c r="J728">
        <v>67.400000000000006</v>
      </c>
      <c r="K728">
        <v>360</v>
      </c>
      <c r="L728">
        <v>0</v>
      </c>
      <c r="M728">
        <v>853</v>
      </c>
      <c r="N728">
        <v>10.3</v>
      </c>
      <c r="O728">
        <v>3.4</v>
      </c>
      <c r="P728">
        <v>17.2</v>
      </c>
      <c r="Q728">
        <f t="shared" si="20"/>
        <v>714153</v>
      </c>
      <c r="R728">
        <f t="shared" si="21"/>
        <v>50.409366060213991</v>
      </c>
      <c r="U728">
        <v>512</v>
      </c>
      <c r="V728">
        <v>0</v>
      </c>
      <c r="W728">
        <v>1116</v>
      </c>
      <c r="X728">
        <v>62</v>
      </c>
      <c r="Y728">
        <v>89.2</v>
      </c>
      <c r="Z728">
        <v>78.900000000000006</v>
      </c>
      <c r="AA728">
        <v>99.5</v>
      </c>
    </row>
    <row r="729" spans="1:27" x14ac:dyDescent="0.25">
      <c r="A729" t="s">
        <v>231</v>
      </c>
      <c r="B729" t="s">
        <v>221</v>
      </c>
      <c r="C729" s="76">
        <v>43927</v>
      </c>
      <c r="D729">
        <v>2061</v>
      </c>
      <c r="E729">
        <v>0</v>
      </c>
      <c r="F729">
        <v>4329</v>
      </c>
      <c r="G729">
        <v>1427</v>
      </c>
      <c r="H729">
        <v>59.1</v>
      </c>
      <c r="I729">
        <v>49</v>
      </c>
      <c r="J729">
        <v>69.2</v>
      </c>
      <c r="K729">
        <v>390</v>
      </c>
      <c r="L729">
        <v>0</v>
      </c>
      <c r="M729">
        <v>923</v>
      </c>
      <c r="N729">
        <v>11.2</v>
      </c>
      <c r="O729">
        <v>3.5</v>
      </c>
      <c r="P729">
        <v>18.8</v>
      </c>
      <c r="Q729">
        <f t="shared" si="20"/>
        <v>714153</v>
      </c>
      <c r="R729">
        <f t="shared" si="21"/>
        <v>54.610146565231823</v>
      </c>
      <c r="U729">
        <v>502</v>
      </c>
      <c r="V729">
        <v>0</v>
      </c>
      <c r="W729">
        <v>1096</v>
      </c>
      <c r="X729">
        <v>72</v>
      </c>
      <c r="Y729">
        <v>87.5</v>
      </c>
      <c r="Z729">
        <v>75.7</v>
      </c>
      <c r="AA729">
        <v>99.2</v>
      </c>
    </row>
    <row r="730" spans="1:27" x14ac:dyDescent="0.25">
      <c r="A730" t="s">
        <v>231</v>
      </c>
      <c r="B730" t="s">
        <v>221</v>
      </c>
      <c r="C730" s="76">
        <v>43928</v>
      </c>
      <c r="D730">
        <v>2154</v>
      </c>
      <c r="E730">
        <v>0</v>
      </c>
      <c r="F730">
        <v>4504</v>
      </c>
      <c r="G730">
        <v>1384</v>
      </c>
      <c r="H730">
        <v>60.9</v>
      </c>
      <c r="I730">
        <v>51.9</v>
      </c>
      <c r="J730">
        <v>69.8</v>
      </c>
      <c r="K730">
        <v>394</v>
      </c>
      <c r="L730">
        <v>0</v>
      </c>
      <c r="M730">
        <v>909</v>
      </c>
      <c r="N730">
        <v>11.1</v>
      </c>
      <c r="O730">
        <v>4.2</v>
      </c>
      <c r="P730">
        <v>18</v>
      </c>
      <c r="Q730">
        <f t="shared" si="20"/>
        <v>714153</v>
      </c>
      <c r="R730">
        <f t="shared" si="21"/>
        <v>55.170250632567537</v>
      </c>
      <c r="U730">
        <v>512</v>
      </c>
      <c r="V730">
        <v>0</v>
      </c>
      <c r="W730">
        <v>1115</v>
      </c>
      <c r="X730">
        <v>113</v>
      </c>
      <c r="Y730">
        <v>81.900000000000006</v>
      </c>
      <c r="Z730">
        <v>65</v>
      </c>
      <c r="AA730">
        <v>98.8</v>
      </c>
    </row>
    <row r="731" spans="1:27" x14ac:dyDescent="0.25">
      <c r="A731" t="s">
        <v>231</v>
      </c>
      <c r="B731" t="s">
        <v>221</v>
      </c>
      <c r="C731" s="76">
        <v>43929</v>
      </c>
      <c r="D731">
        <v>2152</v>
      </c>
      <c r="E731">
        <v>0</v>
      </c>
      <c r="F731">
        <v>4504</v>
      </c>
      <c r="G731">
        <v>1410</v>
      </c>
      <c r="H731">
        <v>60.4</v>
      </c>
      <c r="I731">
        <v>51.3</v>
      </c>
      <c r="J731">
        <v>69.5</v>
      </c>
      <c r="K731">
        <v>438</v>
      </c>
      <c r="L731">
        <v>0</v>
      </c>
      <c r="M731">
        <v>1012</v>
      </c>
      <c r="N731">
        <v>12.3</v>
      </c>
      <c r="O731">
        <v>5.2</v>
      </c>
      <c r="P731">
        <v>19.399999999999999</v>
      </c>
      <c r="Q731">
        <f t="shared" si="20"/>
        <v>714153</v>
      </c>
      <c r="R731">
        <f t="shared" si="21"/>
        <v>61.331395373260349</v>
      </c>
      <c r="U731">
        <v>537</v>
      </c>
      <c r="V731">
        <v>0</v>
      </c>
      <c r="W731">
        <v>1173</v>
      </c>
      <c r="X731">
        <v>123</v>
      </c>
      <c r="Y731">
        <v>81.400000000000006</v>
      </c>
      <c r="Z731">
        <v>65</v>
      </c>
      <c r="AA731">
        <v>97.7</v>
      </c>
    </row>
    <row r="732" spans="1:27" x14ac:dyDescent="0.25">
      <c r="A732" t="s">
        <v>231</v>
      </c>
      <c r="B732" t="s">
        <v>221</v>
      </c>
      <c r="C732" s="76">
        <v>43930</v>
      </c>
      <c r="D732">
        <v>2279</v>
      </c>
      <c r="E732">
        <v>0</v>
      </c>
      <c r="F732">
        <v>4748</v>
      </c>
      <c r="G732">
        <v>1283</v>
      </c>
      <c r="H732">
        <v>64</v>
      </c>
      <c r="I732">
        <v>57.4</v>
      </c>
      <c r="J732">
        <v>70.599999999999994</v>
      </c>
      <c r="K732">
        <v>451</v>
      </c>
      <c r="L732">
        <v>0</v>
      </c>
      <c r="M732">
        <v>1035</v>
      </c>
      <c r="N732">
        <v>12.7</v>
      </c>
      <c r="O732">
        <v>5.6</v>
      </c>
      <c r="P732">
        <v>19.7</v>
      </c>
      <c r="Q732">
        <f t="shared" si="20"/>
        <v>714153</v>
      </c>
      <c r="R732">
        <f t="shared" si="21"/>
        <v>63.151733592101415</v>
      </c>
      <c r="U732">
        <v>536</v>
      </c>
      <c r="V732">
        <v>0</v>
      </c>
      <c r="W732">
        <v>1165</v>
      </c>
      <c r="X732">
        <v>124</v>
      </c>
      <c r="Y732">
        <v>81.2</v>
      </c>
      <c r="Z732">
        <v>65</v>
      </c>
      <c r="AA732">
        <v>97.5</v>
      </c>
    </row>
    <row r="733" spans="1:27" x14ac:dyDescent="0.25">
      <c r="A733" t="s">
        <v>231</v>
      </c>
      <c r="B733" t="s">
        <v>221</v>
      </c>
      <c r="C733" s="76">
        <v>43931</v>
      </c>
      <c r="D733">
        <v>2170</v>
      </c>
      <c r="E733">
        <v>0</v>
      </c>
      <c r="F733">
        <v>4534</v>
      </c>
      <c r="G733">
        <v>1392</v>
      </c>
      <c r="H733">
        <v>60.9</v>
      </c>
      <c r="I733">
        <v>52.1</v>
      </c>
      <c r="J733">
        <v>69.8</v>
      </c>
      <c r="K733">
        <v>439</v>
      </c>
      <c r="L733">
        <v>0</v>
      </c>
      <c r="M733">
        <v>1015</v>
      </c>
      <c r="N733">
        <v>12.3</v>
      </c>
      <c r="O733">
        <v>5</v>
      </c>
      <c r="P733">
        <v>19.7</v>
      </c>
      <c r="Q733">
        <f t="shared" si="20"/>
        <v>714153</v>
      </c>
      <c r="R733">
        <f t="shared" si="21"/>
        <v>61.471421390094278</v>
      </c>
      <c r="U733">
        <v>533</v>
      </c>
      <c r="V733">
        <v>0</v>
      </c>
      <c r="W733">
        <v>1157</v>
      </c>
      <c r="X733">
        <v>127</v>
      </c>
      <c r="Y733">
        <v>80.8</v>
      </c>
      <c r="Z733">
        <v>64.099999999999994</v>
      </c>
      <c r="AA733">
        <v>97.5</v>
      </c>
    </row>
    <row r="734" spans="1:27" x14ac:dyDescent="0.25">
      <c r="A734" t="s">
        <v>231</v>
      </c>
      <c r="B734" t="s">
        <v>221</v>
      </c>
      <c r="C734" s="76">
        <v>43932</v>
      </c>
      <c r="D734">
        <v>2133</v>
      </c>
      <c r="E734">
        <v>0</v>
      </c>
      <c r="F734">
        <v>4413</v>
      </c>
      <c r="G734">
        <v>1361</v>
      </c>
      <c r="H734">
        <v>61.1</v>
      </c>
      <c r="I734">
        <v>55.2</v>
      </c>
      <c r="J734">
        <v>66.900000000000006</v>
      </c>
      <c r="K734">
        <v>425</v>
      </c>
      <c r="L734">
        <v>0</v>
      </c>
      <c r="M734">
        <v>987</v>
      </c>
      <c r="N734">
        <v>12.2</v>
      </c>
      <c r="O734">
        <v>4.5</v>
      </c>
      <c r="P734">
        <v>19.899999999999999</v>
      </c>
      <c r="Q734">
        <f t="shared" si="20"/>
        <v>714153</v>
      </c>
      <c r="R734">
        <f t="shared" si="21"/>
        <v>59.511057154419291</v>
      </c>
      <c r="U734">
        <v>508</v>
      </c>
      <c r="V734">
        <v>0</v>
      </c>
      <c r="W734">
        <v>1097</v>
      </c>
      <c r="X734">
        <v>183</v>
      </c>
      <c r="Y734">
        <v>73.5</v>
      </c>
      <c r="Z734">
        <v>52</v>
      </c>
      <c r="AA734">
        <v>95</v>
      </c>
    </row>
    <row r="735" spans="1:27" x14ac:dyDescent="0.25">
      <c r="A735" t="s">
        <v>231</v>
      </c>
      <c r="B735" t="s">
        <v>221</v>
      </c>
      <c r="C735" s="76">
        <v>43933</v>
      </c>
      <c r="D735">
        <v>2156</v>
      </c>
      <c r="E735">
        <v>0</v>
      </c>
      <c r="F735">
        <v>4482</v>
      </c>
      <c r="G735">
        <v>1338</v>
      </c>
      <c r="H735">
        <v>61.7</v>
      </c>
      <c r="I735">
        <v>53.8</v>
      </c>
      <c r="J735">
        <v>69.599999999999994</v>
      </c>
      <c r="K735">
        <v>414</v>
      </c>
      <c r="L735">
        <v>0</v>
      </c>
      <c r="M735">
        <v>972</v>
      </c>
      <c r="N735">
        <v>11.9</v>
      </c>
      <c r="O735">
        <v>3.9</v>
      </c>
      <c r="P735">
        <v>19.8</v>
      </c>
      <c r="Q735">
        <f t="shared" si="20"/>
        <v>714153</v>
      </c>
      <c r="R735">
        <f t="shared" si="21"/>
        <v>57.97077096924609</v>
      </c>
      <c r="U735">
        <v>515</v>
      </c>
      <c r="V735">
        <v>0</v>
      </c>
      <c r="W735">
        <v>1118</v>
      </c>
      <c r="X735">
        <v>166</v>
      </c>
      <c r="Y735">
        <v>75.599999999999994</v>
      </c>
      <c r="Z735">
        <v>54.4</v>
      </c>
      <c r="AA735">
        <v>96.8</v>
      </c>
    </row>
    <row r="736" spans="1:27" x14ac:dyDescent="0.25">
      <c r="A736" t="s">
        <v>231</v>
      </c>
      <c r="B736" t="s">
        <v>221</v>
      </c>
      <c r="C736" s="76">
        <v>43934</v>
      </c>
      <c r="D736">
        <v>2062</v>
      </c>
      <c r="E736">
        <v>0</v>
      </c>
      <c r="F736">
        <v>4316</v>
      </c>
      <c r="G736">
        <v>1241</v>
      </c>
      <c r="H736">
        <v>62.4</v>
      </c>
      <c r="I736">
        <v>51.3</v>
      </c>
      <c r="J736">
        <v>73.599999999999994</v>
      </c>
      <c r="K736">
        <v>451</v>
      </c>
      <c r="L736">
        <v>0</v>
      </c>
      <c r="M736">
        <v>1048</v>
      </c>
      <c r="N736">
        <v>13.7</v>
      </c>
      <c r="O736">
        <v>6.6</v>
      </c>
      <c r="P736">
        <v>20.7</v>
      </c>
      <c r="Q736">
        <f t="shared" si="20"/>
        <v>714153</v>
      </c>
      <c r="R736">
        <f t="shared" si="21"/>
        <v>63.151733592101415</v>
      </c>
      <c r="U736">
        <v>456</v>
      </c>
      <c r="V736">
        <v>0</v>
      </c>
      <c r="W736">
        <v>953</v>
      </c>
      <c r="X736">
        <v>215</v>
      </c>
      <c r="Y736">
        <v>68</v>
      </c>
      <c r="Z736">
        <v>54.6</v>
      </c>
      <c r="AA736">
        <v>81.400000000000006</v>
      </c>
    </row>
    <row r="737" spans="1:27" x14ac:dyDescent="0.25">
      <c r="A737" t="s">
        <v>231</v>
      </c>
      <c r="B737" t="s">
        <v>221</v>
      </c>
      <c r="C737" s="76">
        <v>43935</v>
      </c>
      <c r="D737">
        <v>1992</v>
      </c>
      <c r="E737">
        <v>219</v>
      </c>
      <c r="F737">
        <v>3765</v>
      </c>
      <c r="G737">
        <v>1160</v>
      </c>
      <c r="H737">
        <v>63.2</v>
      </c>
      <c r="I737">
        <v>55.8</v>
      </c>
      <c r="J737">
        <v>70.599999999999994</v>
      </c>
      <c r="K737">
        <v>459</v>
      </c>
      <c r="L737">
        <v>0</v>
      </c>
      <c r="M737">
        <v>931</v>
      </c>
      <c r="N737">
        <v>14.6</v>
      </c>
      <c r="O737">
        <v>8.1999999999999993</v>
      </c>
      <c r="P737">
        <v>20.9</v>
      </c>
      <c r="Q737">
        <f t="shared" si="20"/>
        <v>714153</v>
      </c>
      <c r="R737">
        <f t="shared" si="21"/>
        <v>64.271941726772837</v>
      </c>
      <c r="U737">
        <v>469</v>
      </c>
      <c r="V737">
        <v>17</v>
      </c>
      <c r="W737">
        <v>921</v>
      </c>
      <c r="X737">
        <v>140</v>
      </c>
      <c r="Y737">
        <v>77.099999999999994</v>
      </c>
      <c r="Z737">
        <v>59.1</v>
      </c>
      <c r="AA737">
        <v>95</v>
      </c>
    </row>
    <row r="738" spans="1:27" x14ac:dyDescent="0.25">
      <c r="A738" t="s">
        <v>231</v>
      </c>
      <c r="B738" t="s">
        <v>221</v>
      </c>
      <c r="C738" s="76">
        <v>43936</v>
      </c>
      <c r="D738">
        <v>2051</v>
      </c>
      <c r="E738">
        <v>198</v>
      </c>
      <c r="F738">
        <v>3905</v>
      </c>
      <c r="G738">
        <v>1103</v>
      </c>
      <c r="H738">
        <v>65</v>
      </c>
      <c r="I738">
        <v>56</v>
      </c>
      <c r="J738">
        <v>74.099999999999994</v>
      </c>
      <c r="K738">
        <v>481</v>
      </c>
      <c r="L738">
        <v>0</v>
      </c>
      <c r="M738">
        <v>998</v>
      </c>
      <c r="N738">
        <v>15.2</v>
      </c>
      <c r="O738">
        <v>7.7</v>
      </c>
      <c r="P738">
        <v>22.8</v>
      </c>
      <c r="Q738">
        <f t="shared" si="20"/>
        <v>714153</v>
      </c>
      <c r="R738">
        <f t="shared" si="21"/>
        <v>67.35251409711924</v>
      </c>
      <c r="U738">
        <v>460</v>
      </c>
      <c r="V738">
        <v>14</v>
      </c>
      <c r="W738">
        <v>905</v>
      </c>
      <c r="X738">
        <v>149</v>
      </c>
      <c r="Y738">
        <v>75.5</v>
      </c>
      <c r="Z738">
        <v>57.6</v>
      </c>
      <c r="AA738">
        <v>93.5</v>
      </c>
    </row>
    <row r="739" spans="1:27" x14ac:dyDescent="0.25">
      <c r="A739" t="s">
        <v>231</v>
      </c>
      <c r="B739" t="s">
        <v>221</v>
      </c>
      <c r="C739" s="76">
        <v>43937</v>
      </c>
      <c r="D739">
        <v>2174</v>
      </c>
      <c r="E739">
        <v>266</v>
      </c>
      <c r="F739">
        <v>4081</v>
      </c>
      <c r="G739">
        <v>1190</v>
      </c>
      <c r="H739">
        <v>64.599999999999994</v>
      </c>
      <c r="I739">
        <v>54.5</v>
      </c>
      <c r="J739">
        <v>74.7</v>
      </c>
      <c r="K739">
        <v>521</v>
      </c>
      <c r="L739">
        <v>0</v>
      </c>
      <c r="M739">
        <v>1050</v>
      </c>
      <c r="N739">
        <v>15.5</v>
      </c>
      <c r="O739">
        <v>8.8000000000000007</v>
      </c>
      <c r="P739">
        <v>22.2</v>
      </c>
      <c r="Q739">
        <f t="shared" si="20"/>
        <v>714153</v>
      </c>
      <c r="R739">
        <f t="shared" si="21"/>
        <v>72.953554770476345</v>
      </c>
      <c r="U739">
        <v>502</v>
      </c>
      <c r="V739">
        <v>29</v>
      </c>
      <c r="W739">
        <v>976</v>
      </c>
      <c r="X739">
        <v>135</v>
      </c>
      <c r="Y739">
        <v>78.8</v>
      </c>
      <c r="Z739">
        <v>63.2</v>
      </c>
      <c r="AA739">
        <v>94.4</v>
      </c>
    </row>
    <row r="740" spans="1:27" x14ac:dyDescent="0.25">
      <c r="A740" t="s">
        <v>231</v>
      </c>
      <c r="B740" t="s">
        <v>221</v>
      </c>
      <c r="C740" s="76">
        <v>43938</v>
      </c>
      <c r="D740">
        <v>2133</v>
      </c>
      <c r="E740">
        <v>249</v>
      </c>
      <c r="F740">
        <v>4017</v>
      </c>
      <c r="G740">
        <v>1215</v>
      </c>
      <c r="H740">
        <v>63.7</v>
      </c>
      <c r="I740">
        <v>52</v>
      </c>
      <c r="J740">
        <v>75.400000000000006</v>
      </c>
      <c r="K740">
        <v>530</v>
      </c>
      <c r="L740">
        <v>12</v>
      </c>
      <c r="M740">
        <v>1049</v>
      </c>
      <c r="N740">
        <v>15.8</v>
      </c>
      <c r="O740">
        <v>9.4</v>
      </c>
      <c r="P740">
        <v>22.2</v>
      </c>
      <c r="Q740">
        <f t="shared" si="20"/>
        <v>714153</v>
      </c>
      <c r="R740">
        <f t="shared" si="21"/>
        <v>74.213788921981703</v>
      </c>
      <c r="U740">
        <v>500</v>
      </c>
      <c r="V740">
        <v>20</v>
      </c>
      <c r="W740">
        <v>980</v>
      </c>
      <c r="X740">
        <v>136</v>
      </c>
      <c r="Y740">
        <v>78.599999999999994</v>
      </c>
      <c r="Z740">
        <v>62.2</v>
      </c>
      <c r="AA740">
        <v>95</v>
      </c>
    </row>
    <row r="741" spans="1:27" x14ac:dyDescent="0.25">
      <c r="A741" t="s">
        <v>231</v>
      </c>
      <c r="B741" t="s">
        <v>221</v>
      </c>
      <c r="C741" s="76">
        <v>43939</v>
      </c>
      <c r="D741">
        <v>2108</v>
      </c>
      <c r="E741">
        <v>261</v>
      </c>
      <c r="F741">
        <v>3956</v>
      </c>
      <c r="G741">
        <v>1240</v>
      </c>
      <c r="H741">
        <v>63</v>
      </c>
      <c r="I741">
        <v>52.2</v>
      </c>
      <c r="J741">
        <v>73.8</v>
      </c>
      <c r="K741">
        <v>549</v>
      </c>
      <c r="L741">
        <v>15</v>
      </c>
      <c r="M741">
        <v>1083</v>
      </c>
      <c r="N741">
        <v>16.399999999999999</v>
      </c>
      <c r="O741">
        <v>9.8000000000000007</v>
      </c>
      <c r="P741">
        <v>23</v>
      </c>
      <c r="Q741">
        <f t="shared" si="20"/>
        <v>714153</v>
      </c>
      <c r="R741">
        <f t="shared" si="21"/>
        <v>76.874283241826333</v>
      </c>
      <c r="U741">
        <v>485</v>
      </c>
      <c r="V741">
        <v>18</v>
      </c>
      <c r="W741">
        <v>952</v>
      </c>
      <c r="X741">
        <v>144</v>
      </c>
      <c r="Y741">
        <v>77.099999999999994</v>
      </c>
      <c r="Z741">
        <v>60.3</v>
      </c>
      <c r="AA741">
        <v>94</v>
      </c>
    </row>
    <row r="742" spans="1:27" x14ac:dyDescent="0.25">
      <c r="A742" t="s">
        <v>231</v>
      </c>
      <c r="B742" t="s">
        <v>221</v>
      </c>
      <c r="C742" s="76">
        <v>43940</v>
      </c>
      <c r="D742">
        <v>2102</v>
      </c>
      <c r="E742">
        <v>270</v>
      </c>
      <c r="F742">
        <v>3934</v>
      </c>
      <c r="G742">
        <v>1281</v>
      </c>
      <c r="H742">
        <v>62.1</v>
      </c>
      <c r="I742">
        <v>51.5</v>
      </c>
      <c r="J742">
        <v>72.8</v>
      </c>
      <c r="K742">
        <v>586</v>
      </c>
      <c r="L742">
        <v>26</v>
      </c>
      <c r="M742">
        <v>1147</v>
      </c>
      <c r="N742">
        <v>17.3</v>
      </c>
      <c r="O742">
        <v>10.9</v>
      </c>
      <c r="P742">
        <v>23.8</v>
      </c>
      <c r="Q742">
        <f t="shared" si="20"/>
        <v>714153</v>
      </c>
      <c r="R742">
        <f t="shared" si="21"/>
        <v>82.055245864681666</v>
      </c>
      <c r="U742">
        <v>510</v>
      </c>
      <c r="V742">
        <v>14</v>
      </c>
      <c r="W742">
        <v>1007</v>
      </c>
      <c r="X742">
        <v>105</v>
      </c>
      <c r="Y742">
        <v>83</v>
      </c>
      <c r="Z742">
        <v>65.599999999999994</v>
      </c>
      <c r="AA742">
        <v>100</v>
      </c>
    </row>
    <row r="743" spans="1:27" x14ac:dyDescent="0.25">
      <c r="A743" t="s">
        <v>231</v>
      </c>
      <c r="B743" t="s">
        <v>221</v>
      </c>
      <c r="C743" s="76">
        <v>43941</v>
      </c>
      <c r="D743">
        <v>2503</v>
      </c>
      <c r="E743">
        <v>0</v>
      </c>
      <c r="F743">
        <v>5018</v>
      </c>
      <c r="G743">
        <v>1245</v>
      </c>
      <c r="H743">
        <v>66.8</v>
      </c>
      <c r="I743">
        <v>54.6</v>
      </c>
      <c r="J743">
        <v>78.900000000000006</v>
      </c>
      <c r="K743">
        <v>691</v>
      </c>
      <c r="L743">
        <v>0</v>
      </c>
      <c r="M743">
        <v>1464</v>
      </c>
      <c r="N743">
        <v>18.399999999999999</v>
      </c>
      <c r="O743">
        <v>11.3</v>
      </c>
      <c r="P743">
        <v>25.6</v>
      </c>
      <c r="Q743">
        <f t="shared" ref="Q743:Q806" si="22">VLOOKUP(B743,$AE$4:$AF$55,2,FALSE)</f>
        <v>714153</v>
      </c>
      <c r="R743">
        <f t="shared" si="21"/>
        <v>96.757977632244064</v>
      </c>
      <c r="U743">
        <v>584</v>
      </c>
      <c r="V743">
        <v>0</v>
      </c>
      <c r="W743">
        <v>1183</v>
      </c>
      <c r="X743">
        <v>140</v>
      </c>
      <c r="Y743">
        <v>80.599999999999994</v>
      </c>
      <c r="Z743">
        <v>65.8</v>
      </c>
      <c r="AA743">
        <v>95.4</v>
      </c>
    </row>
    <row r="744" spans="1:27" x14ac:dyDescent="0.25">
      <c r="A744" t="s">
        <v>231</v>
      </c>
      <c r="B744" t="s">
        <v>221</v>
      </c>
      <c r="C744" s="76">
        <v>43942</v>
      </c>
      <c r="D744">
        <v>2534</v>
      </c>
      <c r="E744">
        <v>20</v>
      </c>
      <c r="F744">
        <v>5048</v>
      </c>
      <c r="G744">
        <v>1214</v>
      </c>
      <c r="H744">
        <v>67.599999999999994</v>
      </c>
      <c r="I744">
        <v>55.1</v>
      </c>
      <c r="J744">
        <v>80.099999999999994</v>
      </c>
      <c r="K744">
        <v>728</v>
      </c>
      <c r="L744">
        <v>0</v>
      </c>
      <c r="M744">
        <v>1541</v>
      </c>
      <c r="N744">
        <v>19.399999999999999</v>
      </c>
      <c r="O744">
        <v>11.9</v>
      </c>
      <c r="P744">
        <v>27</v>
      </c>
      <c r="Q744">
        <f t="shared" si="22"/>
        <v>714153</v>
      </c>
      <c r="R744">
        <f t="shared" si="21"/>
        <v>101.9389402550994</v>
      </c>
      <c r="U744">
        <v>559</v>
      </c>
      <c r="V744">
        <v>0</v>
      </c>
      <c r="W744">
        <v>1145</v>
      </c>
      <c r="X744">
        <v>164</v>
      </c>
      <c r="Y744">
        <v>77.400000000000006</v>
      </c>
      <c r="Z744">
        <v>61.1</v>
      </c>
      <c r="AA744">
        <v>93.7</v>
      </c>
    </row>
    <row r="745" spans="1:27" x14ac:dyDescent="0.25">
      <c r="A745" t="s">
        <v>231</v>
      </c>
      <c r="B745" t="s">
        <v>221</v>
      </c>
      <c r="C745" s="76">
        <v>43943</v>
      </c>
      <c r="D745">
        <v>2728</v>
      </c>
      <c r="E745">
        <v>0</v>
      </c>
      <c r="F745">
        <v>5524</v>
      </c>
      <c r="G745">
        <v>1208</v>
      </c>
      <c r="H745">
        <v>69.3</v>
      </c>
      <c r="I745">
        <v>55.6</v>
      </c>
      <c r="J745">
        <v>83.1</v>
      </c>
      <c r="K745">
        <v>754</v>
      </c>
      <c r="L745">
        <v>0</v>
      </c>
      <c r="M745">
        <v>1604</v>
      </c>
      <c r="N745">
        <v>19.100000000000001</v>
      </c>
      <c r="O745">
        <v>9.6</v>
      </c>
      <c r="P745">
        <v>28.7</v>
      </c>
      <c r="Q745">
        <f t="shared" si="22"/>
        <v>714153</v>
      </c>
      <c r="R745">
        <f t="shared" si="21"/>
        <v>105.57961669278153</v>
      </c>
      <c r="U745">
        <v>623</v>
      </c>
      <c r="V745">
        <v>0</v>
      </c>
      <c r="W745">
        <v>1329</v>
      </c>
      <c r="X745">
        <v>148</v>
      </c>
      <c r="Y745">
        <v>80.8</v>
      </c>
      <c r="Z745">
        <v>63.9</v>
      </c>
      <c r="AA745">
        <v>97.7</v>
      </c>
    </row>
    <row r="746" spans="1:27" x14ac:dyDescent="0.25">
      <c r="A746" t="s">
        <v>231</v>
      </c>
      <c r="B746" t="s">
        <v>221</v>
      </c>
      <c r="C746" s="76">
        <v>43944</v>
      </c>
      <c r="D746">
        <v>2659</v>
      </c>
      <c r="E746">
        <v>0</v>
      </c>
      <c r="F746">
        <v>5351</v>
      </c>
      <c r="G746">
        <v>1277</v>
      </c>
      <c r="H746">
        <v>67.599999999999994</v>
      </c>
      <c r="I746">
        <v>54.4</v>
      </c>
      <c r="J746">
        <v>80.8</v>
      </c>
      <c r="K746">
        <v>702</v>
      </c>
      <c r="L746">
        <v>0</v>
      </c>
      <c r="M746">
        <v>1504</v>
      </c>
      <c r="N746">
        <v>17.8</v>
      </c>
      <c r="O746">
        <v>8.4</v>
      </c>
      <c r="P746">
        <v>27.2</v>
      </c>
      <c r="Q746">
        <f t="shared" si="22"/>
        <v>714153</v>
      </c>
      <c r="R746">
        <f t="shared" si="21"/>
        <v>98.298263817417265</v>
      </c>
      <c r="U746">
        <v>601</v>
      </c>
      <c r="V746">
        <v>0</v>
      </c>
      <c r="W746">
        <v>1258</v>
      </c>
      <c r="X746">
        <v>138</v>
      </c>
      <c r="Y746">
        <v>81.3</v>
      </c>
      <c r="Z746">
        <v>66</v>
      </c>
      <c r="AA746">
        <v>96.6</v>
      </c>
    </row>
    <row r="747" spans="1:27" x14ac:dyDescent="0.25">
      <c r="A747" t="s">
        <v>231</v>
      </c>
      <c r="B747" t="s">
        <v>221</v>
      </c>
      <c r="C747" s="76">
        <v>43945</v>
      </c>
      <c r="D747">
        <v>2468</v>
      </c>
      <c r="E747">
        <v>109</v>
      </c>
      <c r="F747">
        <v>4827</v>
      </c>
      <c r="G747">
        <v>1366</v>
      </c>
      <c r="H747">
        <v>64.400000000000006</v>
      </c>
      <c r="I747">
        <v>55.7</v>
      </c>
      <c r="J747">
        <v>73</v>
      </c>
      <c r="K747">
        <v>697</v>
      </c>
      <c r="L747">
        <v>0</v>
      </c>
      <c r="M747">
        <v>1482</v>
      </c>
      <c r="N747">
        <v>18.2</v>
      </c>
      <c r="O747">
        <v>8.8000000000000007</v>
      </c>
      <c r="P747">
        <v>27.5</v>
      </c>
      <c r="Q747">
        <f t="shared" si="22"/>
        <v>714153</v>
      </c>
      <c r="R747">
        <f t="shared" si="21"/>
        <v>97.598133733247636</v>
      </c>
      <c r="U747">
        <v>627</v>
      </c>
      <c r="V747">
        <v>0</v>
      </c>
      <c r="W747">
        <v>1313</v>
      </c>
      <c r="X747">
        <v>124</v>
      </c>
      <c r="Y747">
        <v>83.5</v>
      </c>
      <c r="Z747">
        <v>69.8</v>
      </c>
      <c r="AA747">
        <v>97.2</v>
      </c>
    </row>
    <row r="748" spans="1:27" x14ac:dyDescent="0.25">
      <c r="A748" t="s">
        <v>231</v>
      </c>
      <c r="B748" t="s">
        <v>221</v>
      </c>
      <c r="C748" s="76">
        <v>43946</v>
      </c>
      <c r="D748">
        <v>2526</v>
      </c>
      <c r="E748">
        <v>56</v>
      </c>
      <c r="F748">
        <v>4996</v>
      </c>
      <c r="G748">
        <v>1308</v>
      </c>
      <c r="H748">
        <v>65.900000000000006</v>
      </c>
      <c r="I748">
        <v>58.1</v>
      </c>
      <c r="J748">
        <v>73.7</v>
      </c>
      <c r="K748">
        <v>661</v>
      </c>
      <c r="L748">
        <v>0</v>
      </c>
      <c r="M748">
        <v>1396</v>
      </c>
      <c r="N748">
        <v>17.2</v>
      </c>
      <c r="O748">
        <v>8.6</v>
      </c>
      <c r="P748">
        <v>25.9</v>
      </c>
      <c r="Q748">
        <f t="shared" si="22"/>
        <v>714153</v>
      </c>
      <c r="R748">
        <f t="shared" si="21"/>
        <v>92.557197127226246</v>
      </c>
      <c r="U748">
        <v>598</v>
      </c>
      <c r="V748">
        <v>0</v>
      </c>
      <c r="W748">
        <v>1256</v>
      </c>
      <c r="X748">
        <v>146</v>
      </c>
      <c r="Y748">
        <v>80.400000000000006</v>
      </c>
      <c r="Z748">
        <v>64.7</v>
      </c>
      <c r="AA748">
        <v>96</v>
      </c>
    </row>
    <row r="749" spans="1:27" x14ac:dyDescent="0.25">
      <c r="A749" t="s">
        <v>231</v>
      </c>
      <c r="B749" t="s">
        <v>221</v>
      </c>
      <c r="C749" s="76">
        <v>43947</v>
      </c>
      <c r="D749">
        <v>2557</v>
      </c>
      <c r="E749">
        <v>43</v>
      </c>
      <c r="F749">
        <v>5070</v>
      </c>
      <c r="G749">
        <v>1286</v>
      </c>
      <c r="H749">
        <v>66.5</v>
      </c>
      <c r="I749">
        <v>58.1</v>
      </c>
      <c r="J749">
        <v>75</v>
      </c>
      <c r="K749">
        <v>696</v>
      </c>
      <c r="L749">
        <v>0</v>
      </c>
      <c r="M749">
        <v>1477</v>
      </c>
      <c r="N749">
        <v>18.100000000000001</v>
      </c>
      <c r="O749">
        <v>9</v>
      </c>
      <c r="P749">
        <v>27.2</v>
      </c>
      <c r="Q749">
        <f t="shared" si="22"/>
        <v>714153</v>
      </c>
      <c r="R749">
        <f t="shared" si="21"/>
        <v>97.458107716413707</v>
      </c>
      <c r="U749">
        <v>497</v>
      </c>
      <c r="V749">
        <v>0</v>
      </c>
      <c r="W749">
        <v>1043</v>
      </c>
      <c r="X749">
        <v>164</v>
      </c>
      <c r="Y749">
        <v>75.2</v>
      </c>
      <c r="Z749">
        <v>61.2</v>
      </c>
      <c r="AA749">
        <v>89.2</v>
      </c>
    </row>
    <row r="750" spans="1:27" x14ac:dyDescent="0.25">
      <c r="A750" t="s">
        <v>231</v>
      </c>
      <c r="B750" t="s">
        <v>221</v>
      </c>
      <c r="C750" s="76">
        <v>43948</v>
      </c>
      <c r="D750">
        <v>2579</v>
      </c>
      <c r="E750">
        <v>69</v>
      </c>
      <c r="F750">
        <v>5089</v>
      </c>
      <c r="G750">
        <v>1255</v>
      </c>
      <c r="H750">
        <v>67.3</v>
      </c>
      <c r="I750">
        <v>58.5</v>
      </c>
      <c r="J750">
        <v>76.099999999999994</v>
      </c>
      <c r="K750">
        <v>744</v>
      </c>
      <c r="L750">
        <v>0</v>
      </c>
      <c r="M750">
        <v>1590</v>
      </c>
      <c r="N750">
        <v>19.399999999999999</v>
      </c>
      <c r="O750">
        <v>9.1999999999999993</v>
      </c>
      <c r="P750">
        <v>29.6</v>
      </c>
      <c r="Q750">
        <f t="shared" si="22"/>
        <v>714153</v>
      </c>
      <c r="R750">
        <f t="shared" si="21"/>
        <v>104.17935652444226</v>
      </c>
      <c r="U750">
        <v>578</v>
      </c>
      <c r="V750">
        <v>0</v>
      </c>
      <c r="W750">
        <v>1204</v>
      </c>
      <c r="X750">
        <v>151</v>
      </c>
      <c r="Y750">
        <v>79.3</v>
      </c>
      <c r="Z750">
        <v>64</v>
      </c>
      <c r="AA750">
        <v>94.7</v>
      </c>
    </row>
    <row r="751" spans="1:27" x14ac:dyDescent="0.25">
      <c r="A751" t="s">
        <v>231</v>
      </c>
      <c r="B751" t="s">
        <v>221</v>
      </c>
      <c r="C751" s="76">
        <v>43949</v>
      </c>
      <c r="D751">
        <v>2648</v>
      </c>
      <c r="E751">
        <v>28</v>
      </c>
      <c r="F751">
        <v>5268</v>
      </c>
      <c r="G751">
        <v>1062</v>
      </c>
      <c r="H751">
        <v>71.400000000000006</v>
      </c>
      <c r="I751">
        <v>61.9</v>
      </c>
      <c r="J751">
        <v>80.900000000000006</v>
      </c>
      <c r="K751">
        <v>800</v>
      </c>
      <c r="L751">
        <v>0</v>
      </c>
      <c r="M751">
        <v>1674</v>
      </c>
      <c r="N751">
        <v>21.6</v>
      </c>
      <c r="O751">
        <v>13.9</v>
      </c>
      <c r="P751">
        <v>29.2</v>
      </c>
      <c r="Q751">
        <f t="shared" si="22"/>
        <v>714153</v>
      </c>
      <c r="R751">
        <f t="shared" si="21"/>
        <v>112.02081346714219</v>
      </c>
      <c r="U751">
        <v>560</v>
      </c>
      <c r="V751">
        <v>0</v>
      </c>
      <c r="W751">
        <v>1126</v>
      </c>
      <c r="X751">
        <v>151</v>
      </c>
      <c r="Y751">
        <v>78.7</v>
      </c>
      <c r="Z751">
        <v>66</v>
      </c>
      <c r="AA751">
        <v>91.4</v>
      </c>
    </row>
    <row r="752" spans="1:27" x14ac:dyDescent="0.25">
      <c r="A752" t="s">
        <v>231</v>
      </c>
      <c r="B752" t="s">
        <v>221</v>
      </c>
      <c r="C752" s="76">
        <v>43950</v>
      </c>
      <c r="D752">
        <v>2745</v>
      </c>
      <c r="E752">
        <v>29</v>
      </c>
      <c r="F752">
        <v>5461</v>
      </c>
      <c r="G752">
        <v>939</v>
      </c>
      <c r="H752">
        <v>74.5</v>
      </c>
      <c r="I752">
        <v>64.7</v>
      </c>
      <c r="J752">
        <v>84.3</v>
      </c>
      <c r="K752">
        <v>775</v>
      </c>
      <c r="L752">
        <v>0</v>
      </c>
      <c r="M752">
        <v>1656</v>
      </c>
      <c r="N752">
        <v>21</v>
      </c>
      <c r="O752">
        <v>12.9</v>
      </c>
      <c r="P752">
        <v>29.2</v>
      </c>
      <c r="Q752">
        <f t="shared" si="22"/>
        <v>714153</v>
      </c>
      <c r="R752">
        <f t="shared" si="21"/>
        <v>108.52016304629399</v>
      </c>
      <c r="U752">
        <v>577</v>
      </c>
      <c r="V752">
        <v>0</v>
      </c>
      <c r="W752">
        <v>1167</v>
      </c>
      <c r="X752">
        <v>121</v>
      </c>
      <c r="Y752">
        <v>82.6</v>
      </c>
      <c r="Z752">
        <v>71.599999999999994</v>
      </c>
      <c r="AA752">
        <v>93.7</v>
      </c>
    </row>
    <row r="753" spans="1:27" x14ac:dyDescent="0.25">
      <c r="A753" t="s">
        <v>231</v>
      </c>
      <c r="B753" t="s">
        <v>221</v>
      </c>
      <c r="C753" s="76">
        <v>43951</v>
      </c>
      <c r="D753">
        <v>2231</v>
      </c>
      <c r="E753">
        <v>491</v>
      </c>
      <c r="F753">
        <v>3971</v>
      </c>
      <c r="G753">
        <v>1008</v>
      </c>
      <c r="H753">
        <v>68.900000000000006</v>
      </c>
      <c r="I753">
        <v>59.8</v>
      </c>
      <c r="J753">
        <v>78</v>
      </c>
      <c r="K753">
        <v>601</v>
      </c>
      <c r="L753">
        <v>84</v>
      </c>
      <c r="M753">
        <v>1117</v>
      </c>
      <c r="N753">
        <v>18.5</v>
      </c>
      <c r="O753">
        <v>11.7</v>
      </c>
      <c r="P753">
        <v>25.4</v>
      </c>
      <c r="Q753">
        <f t="shared" si="22"/>
        <v>714153</v>
      </c>
      <c r="R753">
        <f t="shared" si="21"/>
        <v>84.155636117190582</v>
      </c>
      <c r="U753">
        <v>469</v>
      </c>
      <c r="V753">
        <v>31</v>
      </c>
      <c r="W753">
        <v>907</v>
      </c>
      <c r="X753">
        <v>88</v>
      </c>
      <c r="Y753">
        <v>84.2</v>
      </c>
      <c r="Z753">
        <v>72.5</v>
      </c>
      <c r="AA753">
        <v>95.9</v>
      </c>
    </row>
    <row r="754" spans="1:27" x14ac:dyDescent="0.25">
      <c r="A754" t="s">
        <v>231</v>
      </c>
      <c r="B754" t="s">
        <v>221</v>
      </c>
      <c r="C754" s="76">
        <v>43952</v>
      </c>
      <c r="D754">
        <v>2526</v>
      </c>
      <c r="E754">
        <v>446</v>
      </c>
      <c r="F754">
        <v>4607</v>
      </c>
      <c r="G754">
        <v>1036</v>
      </c>
      <c r="H754">
        <v>70.900000000000006</v>
      </c>
      <c r="I754">
        <v>62.2</v>
      </c>
      <c r="J754">
        <v>79.7</v>
      </c>
      <c r="K754">
        <v>704</v>
      </c>
      <c r="L754">
        <v>89</v>
      </c>
      <c r="M754">
        <v>1318</v>
      </c>
      <c r="N754">
        <v>19.8</v>
      </c>
      <c r="O754">
        <v>13.8</v>
      </c>
      <c r="P754">
        <v>25.7</v>
      </c>
      <c r="Q754">
        <f t="shared" si="22"/>
        <v>714153</v>
      </c>
      <c r="R754">
        <f t="shared" si="21"/>
        <v>98.578315851085137</v>
      </c>
      <c r="U754">
        <v>532</v>
      </c>
      <c r="V754">
        <v>37</v>
      </c>
      <c r="W754">
        <v>1028</v>
      </c>
      <c r="X754">
        <v>102</v>
      </c>
      <c r="Y754">
        <v>84</v>
      </c>
      <c r="Z754">
        <v>72.8</v>
      </c>
      <c r="AA754">
        <v>95.2</v>
      </c>
    </row>
    <row r="755" spans="1:27" x14ac:dyDescent="0.25">
      <c r="A755" t="s">
        <v>231</v>
      </c>
      <c r="B755" t="s">
        <v>221</v>
      </c>
      <c r="C755" s="76">
        <v>43953</v>
      </c>
      <c r="D755">
        <v>2513</v>
      </c>
      <c r="E755">
        <v>451</v>
      </c>
      <c r="F755">
        <v>4575</v>
      </c>
      <c r="G755">
        <v>1074</v>
      </c>
      <c r="H755">
        <v>70.099999999999994</v>
      </c>
      <c r="I755">
        <v>61.5</v>
      </c>
      <c r="J755">
        <v>78.599999999999994</v>
      </c>
      <c r="K755">
        <v>681</v>
      </c>
      <c r="L755">
        <v>67</v>
      </c>
      <c r="M755">
        <v>1295</v>
      </c>
      <c r="N755">
        <v>19</v>
      </c>
      <c r="O755">
        <v>11.6</v>
      </c>
      <c r="P755">
        <v>26.4</v>
      </c>
      <c r="Q755">
        <f t="shared" si="22"/>
        <v>714153</v>
      </c>
      <c r="R755">
        <f t="shared" si="21"/>
        <v>95.357717463904791</v>
      </c>
      <c r="U755">
        <v>529</v>
      </c>
      <c r="V755">
        <v>34</v>
      </c>
      <c r="W755">
        <v>1023</v>
      </c>
      <c r="X755">
        <v>111</v>
      </c>
      <c r="Y755">
        <v>82.7</v>
      </c>
      <c r="Z755">
        <v>70.3</v>
      </c>
      <c r="AA755">
        <v>95</v>
      </c>
    </row>
    <row r="756" spans="1:27" x14ac:dyDescent="0.25">
      <c r="A756" t="s">
        <v>231</v>
      </c>
      <c r="B756" t="s">
        <v>221</v>
      </c>
      <c r="C756" s="76">
        <v>43954</v>
      </c>
      <c r="D756">
        <v>2262</v>
      </c>
      <c r="E756">
        <v>578</v>
      </c>
      <c r="F756">
        <v>3945</v>
      </c>
      <c r="G756">
        <v>1195</v>
      </c>
      <c r="H756">
        <v>65.400000000000006</v>
      </c>
      <c r="I756">
        <v>57</v>
      </c>
      <c r="J756">
        <v>73.8</v>
      </c>
      <c r="K756">
        <v>602</v>
      </c>
      <c r="L756">
        <v>107</v>
      </c>
      <c r="M756">
        <v>1096</v>
      </c>
      <c r="N756">
        <v>17.399999999999999</v>
      </c>
      <c r="O756">
        <v>10.199999999999999</v>
      </c>
      <c r="P756">
        <v>24.6</v>
      </c>
      <c r="Q756">
        <f t="shared" si="22"/>
        <v>714153</v>
      </c>
      <c r="R756">
        <f t="shared" si="21"/>
        <v>84.295662134024511</v>
      </c>
      <c r="U756">
        <v>483</v>
      </c>
      <c r="V756">
        <v>47</v>
      </c>
      <c r="W756">
        <v>918</v>
      </c>
      <c r="X756">
        <v>83</v>
      </c>
      <c r="Y756">
        <v>85.3</v>
      </c>
      <c r="Z756">
        <v>73.2</v>
      </c>
      <c r="AA756">
        <v>97.4</v>
      </c>
    </row>
    <row r="757" spans="1:27" x14ac:dyDescent="0.25">
      <c r="A757" t="s">
        <v>231</v>
      </c>
      <c r="B757" t="s">
        <v>221</v>
      </c>
      <c r="C757" s="76">
        <v>43955</v>
      </c>
      <c r="D757">
        <v>2271</v>
      </c>
      <c r="E757">
        <v>573</v>
      </c>
      <c r="F757">
        <v>3968</v>
      </c>
      <c r="G757">
        <v>984</v>
      </c>
      <c r="H757">
        <v>69.8</v>
      </c>
      <c r="I757">
        <v>60.9</v>
      </c>
      <c r="J757">
        <v>78.599999999999994</v>
      </c>
      <c r="K757">
        <v>600</v>
      </c>
      <c r="L757">
        <v>110</v>
      </c>
      <c r="M757">
        <v>1089</v>
      </c>
      <c r="N757">
        <v>18.399999999999999</v>
      </c>
      <c r="O757">
        <v>11.8</v>
      </c>
      <c r="P757">
        <v>25.1</v>
      </c>
      <c r="Q757">
        <f t="shared" si="22"/>
        <v>714153</v>
      </c>
      <c r="R757">
        <f t="shared" si="21"/>
        <v>84.015610100356653</v>
      </c>
      <c r="U757">
        <v>449</v>
      </c>
      <c r="V757">
        <v>40</v>
      </c>
      <c r="W757">
        <v>859</v>
      </c>
      <c r="X757">
        <v>106</v>
      </c>
      <c r="Y757">
        <v>80.900000000000006</v>
      </c>
      <c r="Z757">
        <v>67.2</v>
      </c>
      <c r="AA757">
        <v>94.6</v>
      </c>
    </row>
    <row r="758" spans="1:27" x14ac:dyDescent="0.25">
      <c r="A758" t="s">
        <v>231</v>
      </c>
      <c r="B758" t="s">
        <v>221</v>
      </c>
      <c r="C758" s="76">
        <v>43956</v>
      </c>
      <c r="D758">
        <v>2144</v>
      </c>
      <c r="E758">
        <v>548</v>
      </c>
      <c r="F758">
        <v>3740</v>
      </c>
      <c r="G758">
        <v>1083</v>
      </c>
      <c r="H758">
        <v>66.400000000000006</v>
      </c>
      <c r="I758">
        <v>56.2</v>
      </c>
      <c r="J758">
        <v>76.7</v>
      </c>
      <c r="K758">
        <v>578</v>
      </c>
      <c r="L758">
        <v>96</v>
      </c>
      <c r="M758">
        <v>1060</v>
      </c>
      <c r="N758">
        <v>17.899999999999999</v>
      </c>
      <c r="O758">
        <v>12.1</v>
      </c>
      <c r="P758">
        <v>23.8</v>
      </c>
      <c r="Q758">
        <f t="shared" si="22"/>
        <v>714153</v>
      </c>
      <c r="R758">
        <f t="shared" si="21"/>
        <v>80.935037730010237</v>
      </c>
      <c r="U758">
        <v>430</v>
      </c>
      <c r="V758">
        <v>84</v>
      </c>
      <c r="W758">
        <v>776</v>
      </c>
      <c r="X758">
        <v>77</v>
      </c>
      <c r="Y758">
        <v>84.8</v>
      </c>
      <c r="Z758">
        <v>76.5</v>
      </c>
      <c r="AA758">
        <v>93.1</v>
      </c>
    </row>
    <row r="759" spans="1:27" x14ac:dyDescent="0.25">
      <c r="A759" t="s">
        <v>231</v>
      </c>
      <c r="B759" t="s">
        <v>221</v>
      </c>
      <c r="C759" s="76">
        <v>43957</v>
      </c>
      <c r="D759">
        <v>2262</v>
      </c>
      <c r="E759">
        <v>566</v>
      </c>
      <c r="F759">
        <v>3959</v>
      </c>
      <c r="G759">
        <v>913</v>
      </c>
      <c r="H759">
        <v>71.3</v>
      </c>
      <c r="I759">
        <v>60.9</v>
      </c>
      <c r="J759">
        <v>81.599999999999994</v>
      </c>
      <c r="K759">
        <v>567</v>
      </c>
      <c r="L759">
        <v>96</v>
      </c>
      <c r="M759">
        <v>1038</v>
      </c>
      <c r="N759">
        <v>17.899999999999999</v>
      </c>
      <c r="O759">
        <v>12</v>
      </c>
      <c r="P759">
        <v>23.7</v>
      </c>
      <c r="Q759">
        <f t="shared" si="22"/>
        <v>714153</v>
      </c>
      <c r="R759">
        <f t="shared" si="21"/>
        <v>79.394751544837035</v>
      </c>
      <c r="U759">
        <v>438</v>
      </c>
      <c r="V759">
        <v>85</v>
      </c>
      <c r="W759">
        <v>792</v>
      </c>
      <c r="X759">
        <v>62</v>
      </c>
      <c r="Y759">
        <v>87.7</v>
      </c>
      <c r="Z759">
        <v>79.8</v>
      </c>
      <c r="AA759">
        <v>95.5</v>
      </c>
    </row>
    <row r="760" spans="1:27" x14ac:dyDescent="0.25">
      <c r="A760" t="s">
        <v>231</v>
      </c>
      <c r="B760" t="s">
        <v>221</v>
      </c>
      <c r="C760" s="76">
        <v>43958</v>
      </c>
      <c r="D760">
        <v>2219</v>
      </c>
      <c r="E760">
        <v>613</v>
      </c>
      <c r="F760">
        <v>3825</v>
      </c>
      <c r="G760">
        <v>1016</v>
      </c>
      <c r="H760">
        <v>68.599999999999994</v>
      </c>
      <c r="I760">
        <v>60.3</v>
      </c>
      <c r="J760">
        <v>76.900000000000006</v>
      </c>
      <c r="K760">
        <v>540</v>
      </c>
      <c r="L760">
        <v>101</v>
      </c>
      <c r="M760">
        <v>979</v>
      </c>
      <c r="N760">
        <v>16.7</v>
      </c>
      <c r="O760">
        <v>11.8</v>
      </c>
      <c r="P760">
        <v>21.6</v>
      </c>
      <c r="Q760">
        <f t="shared" si="22"/>
        <v>714153</v>
      </c>
      <c r="R760">
        <f t="shared" si="21"/>
        <v>75.614049090320975</v>
      </c>
      <c r="U760">
        <v>412</v>
      </c>
      <c r="V760">
        <v>66</v>
      </c>
      <c r="W760">
        <v>759</v>
      </c>
      <c r="X760">
        <v>95</v>
      </c>
      <c r="Y760">
        <v>81.3</v>
      </c>
      <c r="Z760">
        <v>65.8</v>
      </c>
      <c r="AA760">
        <v>96.9</v>
      </c>
    </row>
    <row r="761" spans="1:27" x14ac:dyDescent="0.25">
      <c r="A761" t="s">
        <v>231</v>
      </c>
      <c r="B761" t="s">
        <v>221</v>
      </c>
      <c r="C761" s="76">
        <v>43959</v>
      </c>
      <c r="D761">
        <v>2108</v>
      </c>
      <c r="E761">
        <v>578</v>
      </c>
      <c r="F761">
        <v>3637</v>
      </c>
      <c r="G761">
        <v>1043</v>
      </c>
      <c r="H761">
        <v>66.900000000000006</v>
      </c>
      <c r="I761">
        <v>61.5</v>
      </c>
      <c r="J761">
        <v>72.3</v>
      </c>
      <c r="K761">
        <v>520</v>
      </c>
      <c r="L761">
        <v>90</v>
      </c>
      <c r="M761">
        <v>950</v>
      </c>
      <c r="N761">
        <v>16.5</v>
      </c>
      <c r="O761">
        <v>11.4</v>
      </c>
      <c r="P761">
        <v>21.6</v>
      </c>
      <c r="Q761">
        <f t="shared" si="22"/>
        <v>714153</v>
      </c>
      <c r="R761">
        <f t="shared" si="21"/>
        <v>72.81352875364243</v>
      </c>
      <c r="U761">
        <v>388</v>
      </c>
      <c r="V761">
        <v>54</v>
      </c>
      <c r="W761">
        <v>722</v>
      </c>
      <c r="X761">
        <v>120</v>
      </c>
      <c r="Y761">
        <v>76.400000000000006</v>
      </c>
      <c r="Z761">
        <v>60.4</v>
      </c>
      <c r="AA761">
        <v>92.3</v>
      </c>
    </row>
    <row r="762" spans="1:27" x14ac:dyDescent="0.25">
      <c r="A762" t="s">
        <v>231</v>
      </c>
      <c r="B762" t="s">
        <v>221</v>
      </c>
      <c r="C762" s="76">
        <v>43960</v>
      </c>
      <c r="D762">
        <v>2076</v>
      </c>
      <c r="E762">
        <v>566</v>
      </c>
      <c r="F762">
        <v>3586</v>
      </c>
      <c r="G762">
        <v>898</v>
      </c>
      <c r="H762">
        <v>69.8</v>
      </c>
      <c r="I762">
        <v>61.1</v>
      </c>
      <c r="J762">
        <v>78.5</v>
      </c>
      <c r="K762">
        <v>512</v>
      </c>
      <c r="L762">
        <v>88</v>
      </c>
      <c r="M762">
        <v>936</v>
      </c>
      <c r="N762">
        <v>17.2</v>
      </c>
      <c r="O762">
        <v>11.9</v>
      </c>
      <c r="P762">
        <v>22.5</v>
      </c>
      <c r="Q762">
        <f t="shared" si="22"/>
        <v>714153</v>
      </c>
      <c r="R762">
        <f t="shared" si="21"/>
        <v>71.693320618971001</v>
      </c>
      <c r="U762">
        <v>425</v>
      </c>
      <c r="V762">
        <v>79</v>
      </c>
      <c r="W762">
        <v>771</v>
      </c>
      <c r="X762">
        <v>93</v>
      </c>
      <c r="Y762">
        <v>82</v>
      </c>
      <c r="Z762">
        <v>71.7</v>
      </c>
      <c r="AA762">
        <v>92.4</v>
      </c>
    </row>
    <row r="763" spans="1:27" x14ac:dyDescent="0.25">
      <c r="A763" t="s">
        <v>231</v>
      </c>
      <c r="B763" t="s">
        <v>221</v>
      </c>
      <c r="C763" s="76">
        <v>43961</v>
      </c>
      <c r="D763">
        <v>2056</v>
      </c>
      <c r="E763">
        <v>554</v>
      </c>
      <c r="F763">
        <v>3559</v>
      </c>
      <c r="G763">
        <v>930</v>
      </c>
      <c r="H763">
        <v>68.900000000000006</v>
      </c>
      <c r="I763">
        <v>60.7</v>
      </c>
      <c r="J763">
        <v>77</v>
      </c>
      <c r="K763">
        <v>528</v>
      </c>
      <c r="L763">
        <v>82</v>
      </c>
      <c r="M763">
        <v>974</v>
      </c>
      <c r="N763">
        <v>17.7</v>
      </c>
      <c r="O763">
        <v>12.4</v>
      </c>
      <c r="P763">
        <v>23</v>
      </c>
      <c r="Q763">
        <f t="shared" si="22"/>
        <v>714153</v>
      </c>
      <c r="R763">
        <f t="shared" si="21"/>
        <v>73.933736888313845</v>
      </c>
      <c r="U763">
        <v>385</v>
      </c>
      <c r="V763">
        <v>66</v>
      </c>
      <c r="W763">
        <v>704</v>
      </c>
      <c r="X763">
        <v>121</v>
      </c>
      <c r="Y763">
        <v>76.099999999999994</v>
      </c>
      <c r="Z763">
        <v>60.6</v>
      </c>
      <c r="AA763">
        <v>91.5</v>
      </c>
    </row>
    <row r="764" spans="1:27" x14ac:dyDescent="0.25">
      <c r="A764" t="s">
        <v>231</v>
      </c>
      <c r="B764" t="s">
        <v>221</v>
      </c>
      <c r="C764" s="76">
        <v>43962</v>
      </c>
      <c r="D764">
        <v>2137</v>
      </c>
      <c r="E764">
        <v>539</v>
      </c>
      <c r="F764">
        <v>3735</v>
      </c>
      <c r="G764">
        <v>939</v>
      </c>
      <c r="H764">
        <v>69.5</v>
      </c>
      <c r="I764">
        <v>59.6</v>
      </c>
      <c r="J764">
        <v>79.3</v>
      </c>
      <c r="K764">
        <v>551</v>
      </c>
      <c r="L764">
        <v>89</v>
      </c>
      <c r="M764">
        <v>1013</v>
      </c>
      <c r="N764">
        <v>17.899999999999999</v>
      </c>
      <c r="O764">
        <v>11.9</v>
      </c>
      <c r="P764">
        <v>23.9</v>
      </c>
      <c r="Q764">
        <f t="shared" si="22"/>
        <v>714153</v>
      </c>
      <c r="R764">
        <f t="shared" si="21"/>
        <v>77.154335275494191</v>
      </c>
      <c r="U764">
        <v>387</v>
      </c>
      <c r="V764">
        <v>70</v>
      </c>
      <c r="W764">
        <v>704</v>
      </c>
      <c r="X764">
        <v>121</v>
      </c>
      <c r="Y764">
        <v>76.2</v>
      </c>
      <c r="Z764">
        <v>61.4</v>
      </c>
      <c r="AA764">
        <v>90.9</v>
      </c>
    </row>
    <row r="765" spans="1:27" x14ac:dyDescent="0.25">
      <c r="A765" t="s">
        <v>231</v>
      </c>
      <c r="B765" t="s">
        <v>221</v>
      </c>
      <c r="C765" s="76">
        <v>43963</v>
      </c>
      <c r="D765">
        <v>2178</v>
      </c>
      <c r="E765">
        <v>581</v>
      </c>
      <c r="F765">
        <v>3774</v>
      </c>
      <c r="G765">
        <v>1051</v>
      </c>
      <c r="H765">
        <v>67.400000000000006</v>
      </c>
      <c r="I765">
        <v>59.4</v>
      </c>
      <c r="J765">
        <v>75.5</v>
      </c>
      <c r="K765">
        <v>570</v>
      </c>
      <c r="L765">
        <v>103</v>
      </c>
      <c r="M765">
        <v>1036</v>
      </c>
      <c r="N765">
        <v>17.600000000000001</v>
      </c>
      <c r="O765">
        <v>12.5</v>
      </c>
      <c r="P765">
        <v>22.8</v>
      </c>
      <c r="Q765">
        <f t="shared" si="22"/>
        <v>714153</v>
      </c>
      <c r="R765">
        <f t="shared" si="21"/>
        <v>79.814829595338807</v>
      </c>
      <c r="U765">
        <v>422</v>
      </c>
      <c r="V765">
        <v>76</v>
      </c>
      <c r="W765">
        <v>767</v>
      </c>
      <c r="X765">
        <v>89</v>
      </c>
      <c r="Y765">
        <v>82.5</v>
      </c>
      <c r="Z765">
        <v>73.3</v>
      </c>
      <c r="AA765">
        <v>91.7</v>
      </c>
    </row>
    <row r="766" spans="1:27" x14ac:dyDescent="0.25">
      <c r="A766" t="s">
        <v>231</v>
      </c>
      <c r="B766" t="s">
        <v>221</v>
      </c>
      <c r="C766" s="76">
        <v>43964</v>
      </c>
      <c r="D766">
        <v>2202</v>
      </c>
      <c r="E766">
        <v>592</v>
      </c>
      <c r="F766">
        <v>3812</v>
      </c>
      <c r="G766">
        <v>1027</v>
      </c>
      <c r="H766">
        <v>68.2</v>
      </c>
      <c r="I766">
        <v>60.6</v>
      </c>
      <c r="J766">
        <v>75.8</v>
      </c>
      <c r="K766">
        <v>538</v>
      </c>
      <c r="L766">
        <v>91</v>
      </c>
      <c r="M766">
        <v>985</v>
      </c>
      <c r="N766">
        <v>16.7</v>
      </c>
      <c r="O766">
        <v>11.4</v>
      </c>
      <c r="P766">
        <v>21.9</v>
      </c>
      <c r="Q766">
        <f t="shared" si="22"/>
        <v>714153</v>
      </c>
      <c r="R766">
        <f t="shared" si="21"/>
        <v>75.333997056653118</v>
      </c>
      <c r="U766">
        <v>426</v>
      </c>
      <c r="V766">
        <v>77</v>
      </c>
      <c r="W766">
        <v>776</v>
      </c>
      <c r="X766">
        <v>92</v>
      </c>
      <c r="Y766">
        <v>82.3</v>
      </c>
      <c r="Z766">
        <v>72.7</v>
      </c>
      <c r="AA766">
        <v>91.9</v>
      </c>
    </row>
    <row r="767" spans="1:27" x14ac:dyDescent="0.25">
      <c r="A767" t="s">
        <v>231</v>
      </c>
      <c r="B767" t="s">
        <v>221</v>
      </c>
      <c r="C767" s="76">
        <v>43965</v>
      </c>
      <c r="D767">
        <v>2159</v>
      </c>
      <c r="E767">
        <v>574</v>
      </c>
      <c r="F767">
        <v>3745</v>
      </c>
      <c r="G767">
        <v>1025</v>
      </c>
      <c r="H767">
        <v>67.8</v>
      </c>
      <c r="I767">
        <v>59.8</v>
      </c>
      <c r="J767">
        <v>75.900000000000006</v>
      </c>
      <c r="K767">
        <v>533</v>
      </c>
      <c r="L767">
        <v>97</v>
      </c>
      <c r="M767">
        <v>970</v>
      </c>
      <c r="N767">
        <v>16.7</v>
      </c>
      <c r="O767">
        <v>11.4</v>
      </c>
      <c r="P767">
        <v>22.1</v>
      </c>
      <c r="Q767">
        <f t="shared" si="22"/>
        <v>714153</v>
      </c>
      <c r="R767">
        <f t="shared" si="21"/>
        <v>74.633866972483489</v>
      </c>
      <c r="U767">
        <v>412</v>
      </c>
      <c r="V767">
        <v>80</v>
      </c>
      <c r="W767">
        <v>743</v>
      </c>
      <c r="X767">
        <v>90</v>
      </c>
      <c r="Y767">
        <v>82</v>
      </c>
      <c r="Z767">
        <v>72.5</v>
      </c>
      <c r="AA767">
        <v>91.5</v>
      </c>
    </row>
    <row r="768" spans="1:27" x14ac:dyDescent="0.25">
      <c r="A768" t="s">
        <v>231</v>
      </c>
      <c r="B768" t="s">
        <v>221</v>
      </c>
      <c r="C768" s="76">
        <v>43966</v>
      </c>
      <c r="D768">
        <v>2157</v>
      </c>
      <c r="E768">
        <v>585</v>
      </c>
      <c r="F768">
        <v>3729</v>
      </c>
      <c r="G768">
        <v>1032</v>
      </c>
      <c r="H768">
        <v>67.599999999999994</v>
      </c>
      <c r="I768">
        <v>60.3</v>
      </c>
      <c r="J768">
        <v>75</v>
      </c>
      <c r="K768">
        <v>526</v>
      </c>
      <c r="L768">
        <v>90</v>
      </c>
      <c r="M768">
        <v>962</v>
      </c>
      <c r="N768">
        <v>16.5</v>
      </c>
      <c r="O768">
        <v>11</v>
      </c>
      <c r="P768">
        <v>22</v>
      </c>
      <c r="Q768">
        <f t="shared" si="22"/>
        <v>714153</v>
      </c>
      <c r="R768">
        <f t="shared" si="21"/>
        <v>73.653684854646002</v>
      </c>
      <c r="U768">
        <v>383</v>
      </c>
      <c r="V768">
        <v>54</v>
      </c>
      <c r="W768">
        <v>712</v>
      </c>
      <c r="X768">
        <v>117</v>
      </c>
      <c r="Y768">
        <v>76.599999999999994</v>
      </c>
      <c r="Z768">
        <v>61.4</v>
      </c>
      <c r="AA768">
        <v>91.8</v>
      </c>
    </row>
    <row r="769" spans="1:27" x14ac:dyDescent="0.25">
      <c r="A769" t="s">
        <v>231</v>
      </c>
      <c r="B769" t="s">
        <v>221</v>
      </c>
      <c r="C769" s="76">
        <v>43967</v>
      </c>
      <c r="D769">
        <v>2107</v>
      </c>
      <c r="E769">
        <v>586</v>
      </c>
      <c r="F769">
        <v>3628</v>
      </c>
      <c r="G769">
        <v>861</v>
      </c>
      <c r="H769">
        <v>71</v>
      </c>
      <c r="I769">
        <v>62.1</v>
      </c>
      <c r="J769">
        <v>79.8</v>
      </c>
      <c r="K769">
        <v>524</v>
      </c>
      <c r="L769">
        <v>117</v>
      </c>
      <c r="M769">
        <v>931</v>
      </c>
      <c r="N769">
        <v>17.7</v>
      </c>
      <c r="O769">
        <v>12.8</v>
      </c>
      <c r="P769">
        <v>22.5</v>
      </c>
      <c r="Q769">
        <f t="shared" si="22"/>
        <v>714153</v>
      </c>
      <c r="R769">
        <f t="shared" si="21"/>
        <v>73.373632820978145</v>
      </c>
      <c r="U769">
        <v>412</v>
      </c>
      <c r="V769">
        <v>80</v>
      </c>
      <c r="W769">
        <v>745</v>
      </c>
      <c r="X769">
        <v>104</v>
      </c>
      <c r="Y769">
        <v>79.900000000000006</v>
      </c>
      <c r="Z769">
        <v>68.5</v>
      </c>
      <c r="AA769">
        <v>91.2</v>
      </c>
    </row>
    <row r="770" spans="1:27" x14ac:dyDescent="0.25">
      <c r="A770" t="s">
        <v>231</v>
      </c>
      <c r="B770" t="s">
        <v>221</v>
      </c>
      <c r="C770" s="76">
        <v>43968</v>
      </c>
      <c r="D770">
        <v>2150</v>
      </c>
      <c r="E770">
        <v>556</v>
      </c>
      <c r="F770">
        <v>3745</v>
      </c>
      <c r="G770">
        <v>674</v>
      </c>
      <c r="H770">
        <v>76.099999999999994</v>
      </c>
      <c r="I770">
        <v>63.7</v>
      </c>
      <c r="J770">
        <v>88.6</v>
      </c>
      <c r="K770">
        <v>510</v>
      </c>
      <c r="L770">
        <v>96</v>
      </c>
      <c r="M770">
        <v>925</v>
      </c>
      <c r="N770">
        <v>18.100000000000001</v>
      </c>
      <c r="O770">
        <v>13.8</v>
      </c>
      <c r="P770">
        <v>22.3</v>
      </c>
      <c r="Q770">
        <f t="shared" si="22"/>
        <v>714153</v>
      </c>
      <c r="R770">
        <f t="shared" si="21"/>
        <v>71.413268585303157</v>
      </c>
      <c r="U770">
        <v>397</v>
      </c>
      <c r="V770">
        <v>77</v>
      </c>
      <c r="W770">
        <v>717</v>
      </c>
      <c r="X770">
        <v>105</v>
      </c>
      <c r="Y770">
        <v>79</v>
      </c>
      <c r="Z770">
        <v>66.400000000000006</v>
      </c>
      <c r="AA770">
        <v>91.6</v>
      </c>
    </row>
    <row r="771" spans="1:27" x14ac:dyDescent="0.25">
      <c r="A771" t="s">
        <v>231</v>
      </c>
      <c r="B771" t="s">
        <v>221</v>
      </c>
      <c r="C771" s="76">
        <v>43969</v>
      </c>
      <c r="D771">
        <v>2095</v>
      </c>
      <c r="E771">
        <v>526</v>
      </c>
      <c r="F771">
        <v>3664</v>
      </c>
      <c r="G771">
        <v>902</v>
      </c>
      <c r="H771">
        <v>69.900000000000006</v>
      </c>
      <c r="I771">
        <v>58.7</v>
      </c>
      <c r="J771">
        <v>81.099999999999994</v>
      </c>
      <c r="K771">
        <v>520</v>
      </c>
      <c r="L771">
        <v>97</v>
      </c>
      <c r="M771">
        <v>943</v>
      </c>
      <c r="N771">
        <v>17.399999999999999</v>
      </c>
      <c r="O771">
        <v>12.6</v>
      </c>
      <c r="P771">
        <v>22.1</v>
      </c>
      <c r="Q771">
        <f t="shared" si="22"/>
        <v>714153</v>
      </c>
      <c r="R771">
        <f t="shared" si="21"/>
        <v>72.81352875364243</v>
      </c>
      <c r="U771">
        <v>381</v>
      </c>
      <c r="V771">
        <v>64</v>
      </c>
      <c r="W771">
        <v>698</v>
      </c>
      <c r="X771">
        <v>120</v>
      </c>
      <c r="Y771">
        <v>76.099999999999994</v>
      </c>
      <c r="Z771">
        <v>64.7</v>
      </c>
      <c r="AA771">
        <v>87.5</v>
      </c>
    </row>
    <row r="772" spans="1:27" x14ac:dyDescent="0.25">
      <c r="A772" t="s">
        <v>231</v>
      </c>
      <c r="B772" t="s">
        <v>221</v>
      </c>
      <c r="C772" s="76">
        <v>43970</v>
      </c>
      <c r="D772">
        <v>2147</v>
      </c>
      <c r="E772">
        <v>554</v>
      </c>
      <c r="F772">
        <v>3741</v>
      </c>
      <c r="G772">
        <v>880</v>
      </c>
      <c r="H772">
        <v>70.900000000000006</v>
      </c>
      <c r="I772">
        <v>60.2</v>
      </c>
      <c r="J772">
        <v>81.7</v>
      </c>
      <c r="K772">
        <v>497</v>
      </c>
      <c r="L772">
        <v>96</v>
      </c>
      <c r="M772">
        <v>898</v>
      </c>
      <c r="N772">
        <v>16.399999999999999</v>
      </c>
      <c r="O772">
        <v>11.8</v>
      </c>
      <c r="P772">
        <v>21.1</v>
      </c>
      <c r="Q772">
        <f t="shared" si="22"/>
        <v>714153</v>
      </c>
      <c r="R772">
        <f t="shared" si="21"/>
        <v>69.592930366462085</v>
      </c>
      <c r="U772">
        <v>389</v>
      </c>
      <c r="V772">
        <v>57</v>
      </c>
      <c r="W772">
        <v>721</v>
      </c>
      <c r="X772">
        <v>115</v>
      </c>
      <c r="Y772">
        <v>77.2</v>
      </c>
      <c r="Z772">
        <v>65.3</v>
      </c>
      <c r="AA772">
        <v>89</v>
      </c>
    </row>
    <row r="773" spans="1:27" x14ac:dyDescent="0.25">
      <c r="A773" t="s">
        <v>231</v>
      </c>
      <c r="B773" t="s">
        <v>221</v>
      </c>
      <c r="C773" s="76">
        <v>43971</v>
      </c>
      <c r="D773">
        <v>2251</v>
      </c>
      <c r="E773">
        <v>590</v>
      </c>
      <c r="F773">
        <v>3912</v>
      </c>
      <c r="G773">
        <v>704</v>
      </c>
      <c r="H773">
        <v>76.2</v>
      </c>
      <c r="I773">
        <v>65.400000000000006</v>
      </c>
      <c r="J773">
        <v>87</v>
      </c>
      <c r="K773">
        <v>505</v>
      </c>
      <c r="L773">
        <v>96</v>
      </c>
      <c r="M773">
        <v>914</v>
      </c>
      <c r="N773">
        <v>17.100000000000001</v>
      </c>
      <c r="O773">
        <v>11.8</v>
      </c>
      <c r="P773">
        <v>22.4</v>
      </c>
      <c r="Q773">
        <f t="shared" si="22"/>
        <v>714153</v>
      </c>
      <c r="R773">
        <f t="shared" ref="R773:R836" si="23">K773/(Q773)*100000</f>
        <v>70.713138501133514</v>
      </c>
      <c r="U773">
        <v>433</v>
      </c>
      <c r="V773">
        <v>76</v>
      </c>
      <c r="W773">
        <v>789</v>
      </c>
      <c r="X773">
        <v>100</v>
      </c>
      <c r="Y773">
        <v>81.3</v>
      </c>
      <c r="Z773">
        <v>69.900000000000006</v>
      </c>
      <c r="AA773">
        <v>92.7</v>
      </c>
    </row>
    <row r="774" spans="1:27" x14ac:dyDescent="0.25">
      <c r="A774" t="s">
        <v>231</v>
      </c>
      <c r="B774" t="s">
        <v>221</v>
      </c>
      <c r="C774" s="76">
        <v>43972</v>
      </c>
      <c r="D774">
        <v>2188</v>
      </c>
      <c r="E774">
        <v>568</v>
      </c>
      <c r="F774">
        <v>3809</v>
      </c>
      <c r="G774">
        <v>784</v>
      </c>
      <c r="H774">
        <v>73.599999999999994</v>
      </c>
      <c r="I774">
        <v>65.3</v>
      </c>
      <c r="J774">
        <v>81.900000000000006</v>
      </c>
      <c r="K774">
        <v>455</v>
      </c>
      <c r="L774">
        <v>87</v>
      </c>
      <c r="M774">
        <v>822</v>
      </c>
      <c r="N774">
        <v>15.3</v>
      </c>
      <c r="O774">
        <v>12.4</v>
      </c>
      <c r="P774">
        <v>18.100000000000001</v>
      </c>
      <c r="Q774">
        <f t="shared" si="22"/>
        <v>714153</v>
      </c>
      <c r="R774">
        <f t="shared" si="23"/>
        <v>63.711837659437123</v>
      </c>
      <c r="U774">
        <v>412</v>
      </c>
      <c r="V774">
        <v>65</v>
      </c>
      <c r="W774">
        <v>758</v>
      </c>
      <c r="X774">
        <v>100</v>
      </c>
      <c r="Y774">
        <v>80.400000000000006</v>
      </c>
      <c r="Z774">
        <v>63.7</v>
      </c>
      <c r="AA774">
        <v>97.1</v>
      </c>
    </row>
    <row r="775" spans="1:27" x14ac:dyDescent="0.25">
      <c r="A775" t="s">
        <v>231</v>
      </c>
      <c r="B775" t="s">
        <v>221</v>
      </c>
      <c r="C775" s="76">
        <v>43973</v>
      </c>
      <c r="D775">
        <v>2234</v>
      </c>
      <c r="E775">
        <v>589</v>
      </c>
      <c r="F775">
        <v>3879</v>
      </c>
      <c r="G775">
        <v>948</v>
      </c>
      <c r="H775">
        <v>70.2</v>
      </c>
      <c r="I775">
        <v>59.8</v>
      </c>
      <c r="J775">
        <v>80.599999999999994</v>
      </c>
      <c r="K775">
        <v>460</v>
      </c>
      <c r="L775">
        <v>97</v>
      </c>
      <c r="M775">
        <v>823</v>
      </c>
      <c r="N775">
        <v>14.5</v>
      </c>
      <c r="O775">
        <v>10.1</v>
      </c>
      <c r="P775">
        <v>18.8</v>
      </c>
      <c r="Q775">
        <f t="shared" si="22"/>
        <v>714153</v>
      </c>
      <c r="R775">
        <f t="shared" si="23"/>
        <v>64.411967743606766</v>
      </c>
      <c r="U775">
        <v>419</v>
      </c>
      <c r="V775">
        <v>70</v>
      </c>
      <c r="W775">
        <v>768</v>
      </c>
      <c r="X775">
        <v>89</v>
      </c>
      <c r="Y775">
        <v>82.5</v>
      </c>
      <c r="Z775">
        <v>71.099999999999994</v>
      </c>
      <c r="AA775">
        <v>93.9</v>
      </c>
    </row>
    <row r="776" spans="1:27" x14ac:dyDescent="0.25">
      <c r="A776" t="s">
        <v>231</v>
      </c>
      <c r="B776" t="s">
        <v>221</v>
      </c>
      <c r="C776" s="76">
        <v>43974</v>
      </c>
      <c r="D776">
        <v>2142</v>
      </c>
      <c r="E776">
        <v>585</v>
      </c>
      <c r="F776">
        <v>3699</v>
      </c>
      <c r="G776">
        <v>935</v>
      </c>
      <c r="H776">
        <v>69.599999999999994</v>
      </c>
      <c r="I776">
        <v>61.1</v>
      </c>
      <c r="J776">
        <v>78.099999999999994</v>
      </c>
      <c r="K776">
        <v>421</v>
      </c>
      <c r="L776">
        <v>66</v>
      </c>
      <c r="M776">
        <v>776</v>
      </c>
      <c r="N776">
        <v>13.7</v>
      </c>
      <c r="O776">
        <v>9.5</v>
      </c>
      <c r="P776">
        <v>17.8</v>
      </c>
      <c r="Q776">
        <f t="shared" si="22"/>
        <v>714153</v>
      </c>
      <c r="R776">
        <f t="shared" si="23"/>
        <v>58.950953087083576</v>
      </c>
      <c r="U776">
        <v>375</v>
      </c>
      <c r="V776">
        <v>50</v>
      </c>
      <c r="W776">
        <v>700</v>
      </c>
      <c r="X776">
        <v>131</v>
      </c>
      <c r="Y776">
        <v>74.099999999999994</v>
      </c>
      <c r="Z776">
        <v>58.5</v>
      </c>
      <c r="AA776">
        <v>89.7</v>
      </c>
    </row>
    <row r="777" spans="1:27" x14ac:dyDescent="0.25">
      <c r="A777" t="s">
        <v>231</v>
      </c>
      <c r="B777" t="s">
        <v>221</v>
      </c>
      <c r="C777" s="76">
        <v>43975</v>
      </c>
      <c r="D777">
        <v>2091</v>
      </c>
      <c r="E777">
        <v>551</v>
      </c>
      <c r="F777">
        <v>3631</v>
      </c>
      <c r="G777">
        <v>885</v>
      </c>
      <c r="H777">
        <v>70.3</v>
      </c>
      <c r="I777">
        <v>60.1</v>
      </c>
      <c r="J777">
        <v>80.5</v>
      </c>
      <c r="K777">
        <v>467</v>
      </c>
      <c r="L777">
        <v>85</v>
      </c>
      <c r="M777">
        <v>848</v>
      </c>
      <c r="N777">
        <v>15.7</v>
      </c>
      <c r="O777">
        <v>11</v>
      </c>
      <c r="P777">
        <v>20.399999999999999</v>
      </c>
      <c r="Q777">
        <f t="shared" si="22"/>
        <v>714153</v>
      </c>
      <c r="R777">
        <f t="shared" si="23"/>
        <v>65.392149861444267</v>
      </c>
      <c r="U777">
        <v>407</v>
      </c>
      <c r="V777">
        <v>83</v>
      </c>
      <c r="W777">
        <v>731</v>
      </c>
      <c r="X777">
        <v>110</v>
      </c>
      <c r="Y777">
        <v>78.7</v>
      </c>
      <c r="Z777">
        <v>67.400000000000006</v>
      </c>
      <c r="AA777">
        <v>90.1</v>
      </c>
    </row>
    <row r="778" spans="1:27" x14ac:dyDescent="0.25">
      <c r="A778" t="s">
        <v>231</v>
      </c>
      <c r="B778" t="s">
        <v>221</v>
      </c>
      <c r="C778" s="76">
        <v>43976</v>
      </c>
      <c r="D778">
        <v>2110</v>
      </c>
      <c r="E778">
        <v>548</v>
      </c>
      <c r="F778">
        <v>3672</v>
      </c>
      <c r="G778">
        <v>831</v>
      </c>
      <c r="H778">
        <v>71.8</v>
      </c>
      <c r="I778">
        <v>61.1</v>
      </c>
      <c r="J778">
        <v>82.4</v>
      </c>
      <c r="K778">
        <v>464</v>
      </c>
      <c r="L778">
        <v>75</v>
      </c>
      <c r="M778">
        <v>853</v>
      </c>
      <c r="N778">
        <v>15.8</v>
      </c>
      <c r="O778">
        <v>10.7</v>
      </c>
      <c r="P778">
        <v>20.8</v>
      </c>
      <c r="Q778">
        <f t="shared" si="22"/>
        <v>714153</v>
      </c>
      <c r="R778">
        <f t="shared" si="23"/>
        <v>64.972071810942467</v>
      </c>
      <c r="U778">
        <v>393</v>
      </c>
      <c r="V778">
        <v>71</v>
      </c>
      <c r="W778">
        <v>714</v>
      </c>
      <c r="X778">
        <v>113</v>
      </c>
      <c r="Y778">
        <v>77.599999999999994</v>
      </c>
      <c r="Z778">
        <v>65.8</v>
      </c>
      <c r="AA778">
        <v>89.4</v>
      </c>
    </row>
    <row r="779" spans="1:27" x14ac:dyDescent="0.25">
      <c r="A779" t="s">
        <v>231</v>
      </c>
      <c r="B779" t="s">
        <v>221</v>
      </c>
      <c r="C779" s="76">
        <v>43977</v>
      </c>
      <c r="D779">
        <v>2138</v>
      </c>
      <c r="E779">
        <v>563</v>
      </c>
      <c r="F779">
        <v>3712</v>
      </c>
      <c r="G779">
        <v>807</v>
      </c>
      <c r="H779">
        <v>72.599999999999994</v>
      </c>
      <c r="I779">
        <v>64.2</v>
      </c>
      <c r="J779">
        <v>81</v>
      </c>
      <c r="K779">
        <v>455</v>
      </c>
      <c r="L779">
        <v>67</v>
      </c>
      <c r="M779">
        <v>842</v>
      </c>
      <c r="N779">
        <v>15.4</v>
      </c>
      <c r="O779">
        <v>11.8</v>
      </c>
      <c r="P779">
        <v>19</v>
      </c>
      <c r="Q779">
        <f t="shared" si="22"/>
        <v>714153</v>
      </c>
      <c r="R779">
        <f t="shared" si="23"/>
        <v>63.711837659437123</v>
      </c>
      <c r="U779">
        <v>398</v>
      </c>
      <c r="V779">
        <v>75</v>
      </c>
      <c r="W779">
        <v>722</v>
      </c>
      <c r="X779">
        <v>126</v>
      </c>
      <c r="Y779">
        <v>76</v>
      </c>
      <c r="Z779">
        <v>64.099999999999994</v>
      </c>
      <c r="AA779">
        <v>88</v>
      </c>
    </row>
    <row r="780" spans="1:27" x14ac:dyDescent="0.25">
      <c r="A780" t="s">
        <v>231</v>
      </c>
      <c r="B780" t="s">
        <v>221</v>
      </c>
      <c r="C780" s="76">
        <v>43978</v>
      </c>
      <c r="D780">
        <v>2236</v>
      </c>
      <c r="E780">
        <v>588</v>
      </c>
      <c r="F780">
        <v>3884</v>
      </c>
      <c r="G780">
        <v>894</v>
      </c>
      <c r="H780">
        <v>71.400000000000006</v>
      </c>
      <c r="I780">
        <v>60.7</v>
      </c>
      <c r="J780">
        <v>82.2</v>
      </c>
      <c r="K780">
        <v>473</v>
      </c>
      <c r="L780">
        <v>68</v>
      </c>
      <c r="M780">
        <v>878</v>
      </c>
      <c r="N780">
        <v>15.1</v>
      </c>
      <c r="O780">
        <v>10.3</v>
      </c>
      <c r="P780">
        <v>20</v>
      </c>
      <c r="Q780">
        <f t="shared" si="22"/>
        <v>714153</v>
      </c>
      <c r="R780">
        <f t="shared" si="23"/>
        <v>66.232305962447825</v>
      </c>
      <c r="U780">
        <v>645</v>
      </c>
      <c r="V780">
        <v>0</v>
      </c>
      <c r="W780">
        <v>1309</v>
      </c>
      <c r="X780">
        <v>0</v>
      </c>
      <c r="Y780">
        <v>100</v>
      </c>
      <c r="Z780">
        <v>46.6</v>
      </c>
      <c r="AA780">
        <v>100</v>
      </c>
    </row>
    <row r="781" spans="1:27" x14ac:dyDescent="0.25">
      <c r="A781" t="s">
        <v>231</v>
      </c>
      <c r="B781" t="s">
        <v>221</v>
      </c>
      <c r="C781" s="76">
        <v>43979</v>
      </c>
      <c r="D781">
        <v>2221</v>
      </c>
      <c r="E781">
        <v>577</v>
      </c>
      <c r="F781">
        <v>3865</v>
      </c>
      <c r="G781">
        <v>779</v>
      </c>
      <c r="H781">
        <v>74</v>
      </c>
      <c r="I781">
        <v>64.7</v>
      </c>
      <c r="J781">
        <v>83.4</v>
      </c>
      <c r="K781">
        <v>465</v>
      </c>
      <c r="L781">
        <v>72</v>
      </c>
      <c r="M781">
        <v>858</v>
      </c>
      <c r="N781">
        <v>15.5</v>
      </c>
      <c r="O781">
        <v>10.8</v>
      </c>
      <c r="P781">
        <v>20.2</v>
      </c>
      <c r="Q781">
        <f t="shared" si="22"/>
        <v>714153</v>
      </c>
      <c r="R781">
        <f t="shared" si="23"/>
        <v>65.112097827776395</v>
      </c>
      <c r="U781">
        <v>420</v>
      </c>
      <c r="V781">
        <v>72</v>
      </c>
      <c r="W781">
        <v>767</v>
      </c>
      <c r="X781">
        <v>122</v>
      </c>
      <c r="Y781">
        <v>77.5</v>
      </c>
      <c r="Z781">
        <v>63.8</v>
      </c>
      <c r="AA781">
        <v>91.1</v>
      </c>
    </row>
    <row r="782" spans="1:27" x14ac:dyDescent="0.25">
      <c r="A782" t="s">
        <v>231</v>
      </c>
      <c r="B782" t="s">
        <v>221</v>
      </c>
      <c r="C782" s="76">
        <v>43980</v>
      </c>
      <c r="D782">
        <v>2244</v>
      </c>
      <c r="E782">
        <v>581</v>
      </c>
      <c r="F782">
        <v>3906</v>
      </c>
      <c r="G782">
        <v>858</v>
      </c>
      <c r="H782">
        <v>72.3</v>
      </c>
      <c r="I782">
        <v>62.2</v>
      </c>
      <c r="J782">
        <v>82.5</v>
      </c>
      <c r="K782">
        <v>434</v>
      </c>
      <c r="L782">
        <v>64</v>
      </c>
      <c r="M782">
        <v>804</v>
      </c>
      <c r="N782">
        <v>14</v>
      </c>
      <c r="O782">
        <v>9.5</v>
      </c>
      <c r="P782">
        <v>18.5</v>
      </c>
      <c r="Q782">
        <f t="shared" si="22"/>
        <v>714153</v>
      </c>
      <c r="R782">
        <f t="shared" si="23"/>
        <v>60.771291305924642</v>
      </c>
      <c r="U782">
        <v>418</v>
      </c>
      <c r="V782">
        <v>71</v>
      </c>
      <c r="W782">
        <v>764</v>
      </c>
      <c r="X782">
        <v>153</v>
      </c>
      <c r="Y782">
        <v>73.2</v>
      </c>
      <c r="Z782">
        <v>52.7</v>
      </c>
      <c r="AA782">
        <v>93.8</v>
      </c>
    </row>
    <row r="783" spans="1:27" x14ac:dyDescent="0.25">
      <c r="A783" t="s">
        <v>231</v>
      </c>
      <c r="B783" t="s">
        <v>221</v>
      </c>
      <c r="C783" s="76">
        <v>43981</v>
      </c>
      <c r="D783">
        <v>2171</v>
      </c>
      <c r="E783">
        <v>557</v>
      </c>
      <c r="F783">
        <v>3784</v>
      </c>
      <c r="G783">
        <v>831</v>
      </c>
      <c r="H783">
        <v>72.3</v>
      </c>
      <c r="I783">
        <v>62.1</v>
      </c>
      <c r="J783">
        <v>82.5</v>
      </c>
      <c r="K783">
        <v>405</v>
      </c>
      <c r="L783">
        <v>59</v>
      </c>
      <c r="M783">
        <v>751</v>
      </c>
      <c r="N783">
        <v>13.5</v>
      </c>
      <c r="O783">
        <v>9.1999999999999993</v>
      </c>
      <c r="P783">
        <v>17.8</v>
      </c>
      <c r="Q783">
        <f t="shared" si="22"/>
        <v>714153</v>
      </c>
      <c r="R783">
        <f t="shared" si="23"/>
        <v>56.710536817740731</v>
      </c>
      <c r="U783">
        <v>448</v>
      </c>
      <c r="V783">
        <v>86</v>
      </c>
      <c r="W783">
        <v>810</v>
      </c>
      <c r="X783">
        <v>126</v>
      </c>
      <c r="Y783">
        <v>78</v>
      </c>
      <c r="Z783">
        <v>60.2</v>
      </c>
      <c r="AA783">
        <v>95.8</v>
      </c>
    </row>
    <row r="784" spans="1:27" x14ac:dyDescent="0.25">
      <c r="A784" t="s">
        <v>231</v>
      </c>
      <c r="B784" t="s">
        <v>221</v>
      </c>
      <c r="C784" s="76">
        <v>43982</v>
      </c>
      <c r="D784">
        <v>2133</v>
      </c>
      <c r="E784">
        <v>553</v>
      </c>
      <c r="F784">
        <v>3713</v>
      </c>
      <c r="G784">
        <v>857</v>
      </c>
      <c r="H784">
        <v>71.3</v>
      </c>
      <c r="I784">
        <v>61.3</v>
      </c>
      <c r="J784">
        <v>81.3</v>
      </c>
      <c r="K784">
        <v>422</v>
      </c>
      <c r="L784">
        <v>62</v>
      </c>
      <c r="M784">
        <v>782</v>
      </c>
      <c r="N784">
        <v>14.1</v>
      </c>
      <c r="O784">
        <v>9.6</v>
      </c>
      <c r="P784">
        <v>18.7</v>
      </c>
      <c r="Q784">
        <f t="shared" si="22"/>
        <v>714153</v>
      </c>
      <c r="R784">
        <f t="shared" si="23"/>
        <v>59.090979103917505</v>
      </c>
      <c r="U784">
        <v>418</v>
      </c>
      <c r="V784">
        <v>78</v>
      </c>
      <c r="W784">
        <v>758</v>
      </c>
      <c r="X784">
        <v>152</v>
      </c>
      <c r="Y784">
        <v>73.400000000000006</v>
      </c>
      <c r="Z784">
        <v>53.8</v>
      </c>
      <c r="AA784">
        <v>93</v>
      </c>
    </row>
    <row r="785" spans="1:27" x14ac:dyDescent="0.25">
      <c r="A785" t="s">
        <v>231</v>
      </c>
      <c r="B785" t="s">
        <v>221</v>
      </c>
      <c r="C785" s="76">
        <v>43983</v>
      </c>
      <c r="D785">
        <v>2190</v>
      </c>
      <c r="E785">
        <v>564</v>
      </c>
      <c r="F785">
        <v>3816</v>
      </c>
      <c r="G785">
        <v>868</v>
      </c>
      <c r="H785">
        <v>71.599999999999994</v>
      </c>
      <c r="I785">
        <v>61.4</v>
      </c>
      <c r="J785">
        <v>81.8</v>
      </c>
      <c r="K785">
        <v>390</v>
      </c>
      <c r="L785">
        <v>51</v>
      </c>
      <c r="M785">
        <v>729</v>
      </c>
      <c r="N785">
        <v>12.8</v>
      </c>
      <c r="O785">
        <v>8.4</v>
      </c>
      <c r="P785">
        <v>17.100000000000001</v>
      </c>
      <c r="Q785">
        <f t="shared" si="22"/>
        <v>714153</v>
      </c>
      <c r="R785">
        <f t="shared" si="23"/>
        <v>54.610146565231823</v>
      </c>
      <c r="U785">
        <v>410</v>
      </c>
      <c r="V785">
        <v>83</v>
      </c>
      <c r="W785">
        <v>736</v>
      </c>
      <c r="X785">
        <v>151</v>
      </c>
      <c r="Y785">
        <v>73</v>
      </c>
      <c r="Z785">
        <v>53.7</v>
      </c>
      <c r="AA785">
        <v>92.4</v>
      </c>
    </row>
    <row r="786" spans="1:27" x14ac:dyDescent="0.25">
      <c r="A786" t="s">
        <v>231</v>
      </c>
      <c r="B786" t="s">
        <v>221</v>
      </c>
      <c r="C786" s="76">
        <v>43984</v>
      </c>
      <c r="D786">
        <v>2210</v>
      </c>
      <c r="E786">
        <v>512</v>
      </c>
      <c r="F786">
        <v>3908</v>
      </c>
      <c r="G786">
        <v>789</v>
      </c>
      <c r="H786">
        <v>73.7</v>
      </c>
      <c r="I786">
        <v>61.5</v>
      </c>
      <c r="J786">
        <v>85.8</v>
      </c>
      <c r="K786">
        <v>407</v>
      </c>
      <c r="L786">
        <v>42</v>
      </c>
      <c r="M786">
        <v>771</v>
      </c>
      <c r="N786">
        <v>13.6</v>
      </c>
      <c r="O786">
        <v>8.3000000000000007</v>
      </c>
      <c r="P786">
        <v>18.8</v>
      </c>
      <c r="Q786">
        <f t="shared" si="22"/>
        <v>714153</v>
      </c>
      <c r="R786">
        <f t="shared" si="23"/>
        <v>56.990588851408589</v>
      </c>
      <c r="U786">
        <v>439</v>
      </c>
      <c r="V786">
        <v>63</v>
      </c>
      <c r="W786">
        <v>814</v>
      </c>
      <c r="X786">
        <v>127</v>
      </c>
      <c r="Y786">
        <v>77.5</v>
      </c>
      <c r="Z786">
        <v>57.4</v>
      </c>
      <c r="AA786">
        <v>97.6</v>
      </c>
    </row>
    <row r="787" spans="1:27" x14ac:dyDescent="0.25">
      <c r="A787" t="s">
        <v>231</v>
      </c>
      <c r="B787" t="s">
        <v>221</v>
      </c>
      <c r="C787" s="76">
        <v>43985</v>
      </c>
      <c r="D787">
        <v>2254</v>
      </c>
      <c r="E787">
        <v>548</v>
      </c>
      <c r="F787">
        <v>3959</v>
      </c>
      <c r="G787">
        <v>860</v>
      </c>
      <c r="H787">
        <v>72.400000000000006</v>
      </c>
      <c r="I787">
        <v>60.8</v>
      </c>
      <c r="J787">
        <v>83.9</v>
      </c>
      <c r="K787">
        <v>388</v>
      </c>
      <c r="L787">
        <v>53</v>
      </c>
      <c r="M787">
        <v>723</v>
      </c>
      <c r="N787">
        <v>12.5</v>
      </c>
      <c r="O787">
        <v>8</v>
      </c>
      <c r="P787">
        <v>16.899999999999999</v>
      </c>
      <c r="Q787">
        <f t="shared" si="22"/>
        <v>714153</v>
      </c>
      <c r="R787">
        <f t="shared" si="23"/>
        <v>54.330094531563958</v>
      </c>
      <c r="U787">
        <v>443</v>
      </c>
      <c r="V787">
        <v>65</v>
      </c>
      <c r="W787">
        <v>820</v>
      </c>
      <c r="X787">
        <v>115</v>
      </c>
      <c r="Y787">
        <v>79.400000000000006</v>
      </c>
      <c r="Z787">
        <v>62.7</v>
      </c>
      <c r="AA787">
        <v>96.2</v>
      </c>
    </row>
    <row r="788" spans="1:27" x14ac:dyDescent="0.25">
      <c r="A788" t="s">
        <v>231</v>
      </c>
      <c r="B788" t="s">
        <v>221</v>
      </c>
      <c r="C788" s="76">
        <v>43986</v>
      </c>
      <c r="D788">
        <v>2269</v>
      </c>
      <c r="E788">
        <v>569</v>
      </c>
      <c r="F788">
        <v>3969</v>
      </c>
      <c r="G788">
        <v>814</v>
      </c>
      <c r="H788">
        <v>73.599999999999994</v>
      </c>
      <c r="I788">
        <v>62.3</v>
      </c>
      <c r="J788">
        <v>84.9</v>
      </c>
      <c r="K788">
        <v>397</v>
      </c>
      <c r="L788">
        <v>59</v>
      </c>
      <c r="M788">
        <v>735</v>
      </c>
      <c r="N788">
        <v>12.9</v>
      </c>
      <c r="O788">
        <v>8.5</v>
      </c>
      <c r="P788">
        <v>17.2</v>
      </c>
      <c r="Q788">
        <f t="shared" si="22"/>
        <v>714153</v>
      </c>
      <c r="R788">
        <f t="shared" si="23"/>
        <v>55.590328683069316</v>
      </c>
      <c r="U788">
        <v>417</v>
      </c>
      <c r="V788">
        <v>76</v>
      </c>
      <c r="W788">
        <v>758</v>
      </c>
      <c r="X788">
        <v>145</v>
      </c>
      <c r="Y788">
        <v>74.2</v>
      </c>
      <c r="Z788">
        <v>54.2</v>
      </c>
      <c r="AA788">
        <v>94.2</v>
      </c>
    </row>
    <row r="789" spans="1:27" x14ac:dyDescent="0.25">
      <c r="A789" t="s">
        <v>231</v>
      </c>
      <c r="B789" t="s">
        <v>221</v>
      </c>
      <c r="C789" s="76">
        <v>43987</v>
      </c>
      <c r="D789">
        <v>2264</v>
      </c>
      <c r="E789">
        <v>583</v>
      </c>
      <c r="F789">
        <v>3945</v>
      </c>
      <c r="G789">
        <v>901</v>
      </c>
      <c r="H789">
        <v>71.5</v>
      </c>
      <c r="I789">
        <v>58.7</v>
      </c>
      <c r="J789">
        <v>84.4</v>
      </c>
      <c r="K789">
        <v>389</v>
      </c>
      <c r="L789">
        <v>50</v>
      </c>
      <c r="M789">
        <v>728</v>
      </c>
      <c r="N789">
        <v>12.3</v>
      </c>
      <c r="O789">
        <v>7.9</v>
      </c>
      <c r="P789">
        <v>16.600000000000001</v>
      </c>
      <c r="Q789">
        <f t="shared" si="22"/>
        <v>714153</v>
      </c>
      <c r="R789">
        <f t="shared" si="23"/>
        <v>54.470120548397887</v>
      </c>
      <c r="U789">
        <v>429</v>
      </c>
      <c r="V789">
        <v>81</v>
      </c>
      <c r="W789">
        <v>777</v>
      </c>
      <c r="X789">
        <v>200</v>
      </c>
      <c r="Y789">
        <v>68.2</v>
      </c>
      <c r="Z789">
        <v>50.7</v>
      </c>
      <c r="AA789">
        <v>85.7</v>
      </c>
    </row>
    <row r="790" spans="1:27" x14ac:dyDescent="0.25">
      <c r="A790" t="s">
        <v>231</v>
      </c>
      <c r="B790" t="s">
        <v>221</v>
      </c>
      <c r="C790" s="76">
        <v>43988</v>
      </c>
      <c r="D790">
        <v>2138</v>
      </c>
      <c r="E790">
        <v>553</v>
      </c>
      <c r="F790">
        <v>3723</v>
      </c>
      <c r="G790">
        <v>973</v>
      </c>
      <c r="H790">
        <v>68.7</v>
      </c>
      <c r="I790">
        <v>58.4</v>
      </c>
      <c r="J790">
        <v>79.099999999999994</v>
      </c>
      <c r="K790">
        <v>388</v>
      </c>
      <c r="L790">
        <v>28</v>
      </c>
      <c r="M790">
        <v>747</v>
      </c>
      <c r="N790">
        <v>12.5</v>
      </c>
      <c r="O790">
        <v>7.3</v>
      </c>
      <c r="P790">
        <v>17.600000000000001</v>
      </c>
      <c r="Q790">
        <f t="shared" si="22"/>
        <v>714153</v>
      </c>
      <c r="R790">
        <f t="shared" si="23"/>
        <v>54.330094531563958</v>
      </c>
      <c r="U790">
        <v>431</v>
      </c>
      <c r="V790">
        <v>90</v>
      </c>
      <c r="W790">
        <v>772</v>
      </c>
      <c r="X790">
        <v>202</v>
      </c>
      <c r="Y790">
        <v>68.099999999999994</v>
      </c>
      <c r="Z790">
        <v>52.5</v>
      </c>
      <c r="AA790">
        <v>83.7</v>
      </c>
    </row>
    <row r="791" spans="1:27" x14ac:dyDescent="0.25">
      <c r="A791" t="s">
        <v>231</v>
      </c>
      <c r="B791" t="s">
        <v>221</v>
      </c>
      <c r="C791" s="76">
        <v>43989</v>
      </c>
      <c r="D791">
        <v>2138</v>
      </c>
      <c r="E791">
        <v>572</v>
      </c>
      <c r="F791">
        <v>3703</v>
      </c>
      <c r="G791">
        <v>894</v>
      </c>
      <c r="H791">
        <v>70.5</v>
      </c>
      <c r="I791">
        <v>60.5</v>
      </c>
      <c r="J791">
        <v>80.5</v>
      </c>
      <c r="K791">
        <v>337</v>
      </c>
      <c r="L791">
        <v>43</v>
      </c>
      <c r="M791">
        <v>631</v>
      </c>
      <c r="N791">
        <v>11.1</v>
      </c>
      <c r="O791">
        <v>7.3</v>
      </c>
      <c r="P791">
        <v>14.9</v>
      </c>
      <c r="Q791">
        <f t="shared" si="22"/>
        <v>714153</v>
      </c>
      <c r="R791">
        <f t="shared" si="23"/>
        <v>47.188767673033645</v>
      </c>
      <c r="U791">
        <v>409</v>
      </c>
      <c r="V791">
        <v>84</v>
      </c>
      <c r="W791">
        <v>735</v>
      </c>
      <c r="X791">
        <v>139</v>
      </c>
      <c r="Y791">
        <v>74.7</v>
      </c>
      <c r="Z791">
        <v>54.1</v>
      </c>
      <c r="AA791">
        <v>95.3</v>
      </c>
    </row>
    <row r="792" spans="1:27" x14ac:dyDescent="0.25">
      <c r="A792" t="s">
        <v>231</v>
      </c>
      <c r="B792" t="s">
        <v>221</v>
      </c>
      <c r="C792" s="76">
        <v>43990</v>
      </c>
      <c r="D792">
        <v>2154</v>
      </c>
      <c r="E792">
        <v>568</v>
      </c>
      <c r="F792">
        <v>3739</v>
      </c>
      <c r="G792">
        <v>977</v>
      </c>
      <c r="H792">
        <v>68.8</v>
      </c>
      <c r="I792">
        <v>59.1</v>
      </c>
      <c r="J792">
        <v>78.5</v>
      </c>
      <c r="K792">
        <v>345</v>
      </c>
      <c r="L792">
        <v>42</v>
      </c>
      <c r="M792">
        <v>648</v>
      </c>
      <c r="N792">
        <v>11</v>
      </c>
      <c r="O792">
        <v>7.2</v>
      </c>
      <c r="P792">
        <v>14.9</v>
      </c>
      <c r="Q792">
        <f t="shared" si="22"/>
        <v>714153</v>
      </c>
      <c r="R792">
        <f t="shared" si="23"/>
        <v>48.308975807705067</v>
      </c>
      <c r="U792">
        <v>409</v>
      </c>
      <c r="V792">
        <v>83</v>
      </c>
      <c r="W792">
        <v>734</v>
      </c>
      <c r="X792">
        <v>220</v>
      </c>
      <c r="Y792">
        <v>65</v>
      </c>
      <c r="Z792">
        <v>45.1</v>
      </c>
      <c r="AA792">
        <v>84.8</v>
      </c>
    </row>
    <row r="793" spans="1:27" x14ac:dyDescent="0.25">
      <c r="A793" t="s">
        <v>231</v>
      </c>
      <c r="B793" t="s">
        <v>221</v>
      </c>
      <c r="C793" s="76">
        <v>43991</v>
      </c>
      <c r="D793">
        <v>2277</v>
      </c>
      <c r="E793">
        <v>603</v>
      </c>
      <c r="F793">
        <v>3951</v>
      </c>
      <c r="G793">
        <v>770</v>
      </c>
      <c r="H793">
        <v>74.7</v>
      </c>
      <c r="I793">
        <v>64.7</v>
      </c>
      <c r="J793">
        <v>84.8</v>
      </c>
      <c r="K793">
        <v>315</v>
      </c>
      <c r="L793">
        <v>31</v>
      </c>
      <c r="M793">
        <v>599</v>
      </c>
      <c r="N793">
        <v>10.3</v>
      </c>
      <c r="O793">
        <v>6.5</v>
      </c>
      <c r="P793">
        <v>14.2</v>
      </c>
      <c r="Q793">
        <f t="shared" si="22"/>
        <v>714153</v>
      </c>
      <c r="R793">
        <f t="shared" si="23"/>
        <v>44.108195302687236</v>
      </c>
      <c r="U793">
        <v>440</v>
      </c>
      <c r="V793">
        <v>85</v>
      </c>
      <c r="W793">
        <v>794</v>
      </c>
      <c r="X793">
        <v>208</v>
      </c>
      <c r="Y793">
        <v>67.900000000000006</v>
      </c>
      <c r="Z793">
        <v>52.2</v>
      </c>
      <c r="AA793">
        <v>83.6</v>
      </c>
    </row>
    <row r="794" spans="1:27" x14ac:dyDescent="0.25">
      <c r="A794" t="s">
        <v>231</v>
      </c>
      <c r="B794" t="s">
        <v>221</v>
      </c>
      <c r="C794" s="76">
        <v>43992</v>
      </c>
      <c r="D794">
        <v>2420</v>
      </c>
      <c r="E794">
        <v>610</v>
      </c>
      <c r="F794">
        <v>4229</v>
      </c>
      <c r="G794">
        <v>633</v>
      </c>
      <c r="H794">
        <v>79.3</v>
      </c>
      <c r="I794">
        <v>69.7</v>
      </c>
      <c r="J794">
        <v>88.8</v>
      </c>
      <c r="K794">
        <v>320</v>
      </c>
      <c r="L794">
        <v>44</v>
      </c>
      <c r="M794">
        <v>596</v>
      </c>
      <c r="N794">
        <v>10.5</v>
      </c>
      <c r="O794">
        <v>6.8</v>
      </c>
      <c r="P794">
        <v>14.1</v>
      </c>
      <c r="Q794">
        <f t="shared" si="22"/>
        <v>714153</v>
      </c>
      <c r="R794">
        <f t="shared" si="23"/>
        <v>44.808325386856879</v>
      </c>
      <c r="U794">
        <v>501</v>
      </c>
      <c r="V794">
        <v>95</v>
      </c>
      <c r="W794">
        <v>907</v>
      </c>
      <c r="X794">
        <v>217</v>
      </c>
      <c r="Y794">
        <v>69.7</v>
      </c>
      <c r="Z794">
        <v>56.8</v>
      </c>
      <c r="AA794">
        <v>82.7</v>
      </c>
    </row>
    <row r="795" spans="1:27" x14ac:dyDescent="0.25">
      <c r="A795" t="s">
        <v>231</v>
      </c>
      <c r="B795" t="s">
        <v>221</v>
      </c>
      <c r="C795" s="76">
        <v>43993</v>
      </c>
      <c r="D795">
        <v>2385</v>
      </c>
      <c r="E795">
        <v>580</v>
      </c>
      <c r="F795">
        <v>4191</v>
      </c>
      <c r="G795">
        <v>854</v>
      </c>
      <c r="H795">
        <v>73.599999999999994</v>
      </c>
      <c r="I795">
        <v>64.5</v>
      </c>
      <c r="J795">
        <v>82.8</v>
      </c>
      <c r="K795">
        <v>300</v>
      </c>
      <c r="L795">
        <v>31</v>
      </c>
      <c r="M795">
        <v>569</v>
      </c>
      <c r="N795">
        <v>9.3000000000000007</v>
      </c>
      <c r="O795">
        <v>5.9</v>
      </c>
      <c r="P795">
        <v>12.6</v>
      </c>
      <c r="Q795">
        <f t="shared" si="22"/>
        <v>714153</v>
      </c>
      <c r="R795">
        <f t="shared" si="23"/>
        <v>42.007805050178327</v>
      </c>
      <c r="U795">
        <v>520</v>
      </c>
      <c r="V795">
        <v>89</v>
      </c>
      <c r="W795">
        <v>952</v>
      </c>
      <c r="X795">
        <v>153</v>
      </c>
      <c r="Y795">
        <v>77.3</v>
      </c>
      <c r="Z795">
        <v>55.1</v>
      </c>
      <c r="AA795">
        <v>99.5</v>
      </c>
    </row>
    <row r="796" spans="1:27" x14ac:dyDescent="0.25">
      <c r="A796" t="s">
        <v>231</v>
      </c>
      <c r="B796" t="s">
        <v>221</v>
      </c>
      <c r="C796" s="76">
        <v>43994</v>
      </c>
      <c r="D796">
        <v>2366</v>
      </c>
      <c r="E796">
        <v>601</v>
      </c>
      <c r="F796">
        <v>4131</v>
      </c>
      <c r="G796">
        <v>783</v>
      </c>
      <c r="H796">
        <v>75.099999999999994</v>
      </c>
      <c r="I796">
        <v>66.400000000000006</v>
      </c>
      <c r="J796">
        <v>83.8</v>
      </c>
      <c r="K796">
        <v>272</v>
      </c>
      <c r="L796">
        <v>26</v>
      </c>
      <c r="M796">
        <v>518</v>
      </c>
      <c r="N796">
        <v>8.6</v>
      </c>
      <c r="O796">
        <v>5.6</v>
      </c>
      <c r="P796">
        <v>11.7</v>
      </c>
      <c r="Q796">
        <f t="shared" si="22"/>
        <v>714153</v>
      </c>
      <c r="R796">
        <f t="shared" si="23"/>
        <v>38.087076578828345</v>
      </c>
      <c r="U796">
        <v>485</v>
      </c>
      <c r="V796">
        <v>88</v>
      </c>
      <c r="W796">
        <v>882</v>
      </c>
      <c r="X796">
        <v>187</v>
      </c>
      <c r="Y796">
        <v>72.099999999999994</v>
      </c>
      <c r="Z796">
        <v>54.1</v>
      </c>
      <c r="AA796">
        <v>90.1</v>
      </c>
    </row>
    <row r="797" spans="1:27" x14ac:dyDescent="0.25">
      <c r="A797" t="s">
        <v>231</v>
      </c>
      <c r="B797" t="s">
        <v>221</v>
      </c>
      <c r="C797" s="76">
        <v>43995</v>
      </c>
      <c r="D797">
        <v>2248</v>
      </c>
      <c r="E797">
        <v>575</v>
      </c>
      <c r="F797">
        <v>3920</v>
      </c>
      <c r="G797">
        <v>1018</v>
      </c>
      <c r="H797">
        <v>68.8</v>
      </c>
      <c r="I797">
        <v>59.6</v>
      </c>
      <c r="J797">
        <v>78.099999999999994</v>
      </c>
      <c r="K797">
        <v>205</v>
      </c>
      <c r="L797">
        <v>0</v>
      </c>
      <c r="M797">
        <v>422</v>
      </c>
      <c r="N797">
        <v>6.3</v>
      </c>
      <c r="O797">
        <v>2.4</v>
      </c>
      <c r="P797">
        <v>10.1</v>
      </c>
      <c r="Q797">
        <f t="shared" si="22"/>
        <v>714153</v>
      </c>
      <c r="R797">
        <f t="shared" si="23"/>
        <v>28.705333450955191</v>
      </c>
      <c r="U797">
        <v>476</v>
      </c>
      <c r="V797">
        <v>98</v>
      </c>
      <c r="W797">
        <v>855</v>
      </c>
      <c r="X797">
        <v>192</v>
      </c>
      <c r="Y797">
        <v>71.3</v>
      </c>
      <c r="Z797">
        <v>59.4</v>
      </c>
      <c r="AA797">
        <v>83.2</v>
      </c>
    </row>
    <row r="798" spans="1:27" x14ac:dyDescent="0.25">
      <c r="A798" t="s">
        <v>231</v>
      </c>
      <c r="B798" t="s">
        <v>221</v>
      </c>
      <c r="C798" s="76">
        <v>43996</v>
      </c>
      <c r="D798">
        <v>2202</v>
      </c>
      <c r="E798">
        <v>562</v>
      </c>
      <c r="F798">
        <v>3843</v>
      </c>
      <c r="G798">
        <v>906</v>
      </c>
      <c r="H798">
        <v>70.900000000000006</v>
      </c>
      <c r="I798">
        <v>62.6</v>
      </c>
      <c r="J798">
        <v>79.099999999999994</v>
      </c>
      <c r="K798">
        <v>274</v>
      </c>
      <c r="L798">
        <v>26</v>
      </c>
      <c r="M798">
        <v>522</v>
      </c>
      <c r="N798">
        <v>8.8000000000000007</v>
      </c>
      <c r="O798">
        <v>5.8</v>
      </c>
      <c r="P798">
        <v>11.9</v>
      </c>
      <c r="Q798">
        <f t="shared" si="22"/>
        <v>714153</v>
      </c>
      <c r="R798">
        <f t="shared" si="23"/>
        <v>38.367128612496202</v>
      </c>
      <c r="U798">
        <v>444</v>
      </c>
      <c r="V798">
        <v>88</v>
      </c>
      <c r="W798">
        <v>799</v>
      </c>
      <c r="X798">
        <v>344</v>
      </c>
      <c r="Y798">
        <v>56.3</v>
      </c>
      <c r="Z798">
        <v>39.9</v>
      </c>
      <c r="AA798">
        <v>72.7</v>
      </c>
    </row>
    <row r="799" spans="1:27" x14ac:dyDescent="0.25">
      <c r="A799" t="s">
        <v>231</v>
      </c>
      <c r="B799" t="s">
        <v>221</v>
      </c>
      <c r="C799" s="76">
        <v>43997</v>
      </c>
      <c r="D799">
        <v>2255</v>
      </c>
      <c r="E799">
        <v>563</v>
      </c>
      <c r="F799">
        <v>3947</v>
      </c>
      <c r="G799">
        <v>954</v>
      </c>
      <c r="H799">
        <v>70.3</v>
      </c>
      <c r="I799">
        <v>61.4</v>
      </c>
      <c r="J799">
        <v>79.2</v>
      </c>
      <c r="K799">
        <v>269</v>
      </c>
      <c r="L799">
        <v>27</v>
      </c>
      <c r="M799">
        <v>511</v>
      </c>
      <c r="N799">
        <v>8.4</v>
      </c>
      <c r="O799">
        <v>5.6</v>
      </c>
      <c r="P799">
        <v>11.2</v>
      </c>
      <c r="Q799">
        <f t="shared" si="22"/>
        <v>714153</v>
      </c>
      <c r="R799">
        <f t="shared" si="23"/>
        <v>37.666998528326559</v>
      </c>
      <c r="U799">
        <v>467</v>
      </c>
      <c r="V799">
        <v>96</v>
      </c>
      <c r="W799">
        <v>838</v>
      </c>
      <c r="X799">
        <v>206</v>
      </c>
      <c r="Y799">
        <v>69.400000000000006</v>
      </c>
      <c r="Z799">
        <v>52.8</v>
      </c>
      <c r="AA799">
        <v>86</v>
      </c>
    </row>
    <row r="800" spans="1:27" x14ac:dyDescent="0.25">
      <c r="A800" t="s">
        <v>231</v>
      </c>
      <c r="B800" t="s">
        <v>221</v>
      </c>
      <c r="C800" s="76">
        <v>43998</v>
      </c>
      <c r="D800">
        <v>2367</v>
      </c>
      <c r="E800">
        <v>514</v>
      </c>
      <c r="F800">
        <v>4220</v>
      </c>
      <c r="G800">
        <v>764</v>
      </c>
      <c r="H800">
        <v>75.599999999999994</v>
      </c>
      <c r="I800">
        <v>63.7</v>
      </c>
      <c r="J800">
        <v>87.5</v>
      </c>
      <c r="K800">
        <v>271</v>
      </c>
      <c r="L800">
        <v>14</v>
      </c>
      <c r="M800">
        <v>528</v>
      </c>
      <c r="N800">
        <v>8.6999999999999993</v>
      </c>
      <c r="O800">
        <v>5.2</v>
      </c>
      <c r="P800">
        <v>12.1</v>
      </c>
      <c r="Q800">
        <f t="shared" si="22"/>
        <v>714153</v>
      </c>
      <c r="R800">
        <f t="shared" si="23"/>
        <v>37.947050561994423</v>
      </c>
      <c r="U800">
        <v>461</v>
      </c>
      <c r="V800">
        <v>63</v>
      </c>
      <c r="W800">
        <v>858</v>
      </c>
      <c r="X800">
        <v>211</v>
      </c>
      <c r="Y800">
        <v>68.599999999999994</v>
      </c>
      <c r="Z800">
        <v>49.4</v>
      </c>
      <c r="AA800">
        <v>87.9</v>
      </c>
    </row>
    <row r="801" spans="1:27" x14ac:dyDescent="0.25">
      <c r="A801" t="s">
        <v>231</v>
      </c>
      <c r="B801" t="s">
        <v>221</v>
      </c>
      <c r="C801" s="76">
        <v>43999</v>
      </c>
      <c r="D801">
        <v>2398</v>
      </c>
      <c r="E801">
        <v>558</v>
      </c>
      <c r="F801">
        <v>4239</v>
      </c>
      <c r="G801">
        <v>749</v>
      </c>
      <c r="H801">
        <v>76.2</v>
      </c>
      <c r="I801">
        <v>67.2</v>
      </c>
      <c r="J801">
        <v>85.2</v>
      </c>
      <c r="K801">
        <v>260</v>
      </c>
      <c r="L801">
        <v>14</v>
      </c>
      <c r="M801">
        <v>506</v>
      </c>
      <c r="N801">
        <v>8.3000000000000007</v>
      </c>
      <c r="O801">
        <v>4.9000000000000004</v>
      </c>
      <c r="P801">
        <v>11.6</v>
      </c>
      <c r="Q801">
        <f t="shared" si="22"/>
        <v>714153</v>
      </c>
      <c r="R801">
        <f t="shared" si="23"/>
        <v>36.406764376821215</v>
      </c>
      <c r="U801">
        <v>448</v>
      </c>
      <c r="V801">
        <v>65</v>
      </c>
      <c r="W801">
        <v>831</v>
      </c>
      <c r="X801">
        <v>201</v>
      </c>
      <c r="Y801">
        <v>69</v>
      </c>
      <c r="Z801">
        <v>45.6</v>
      </c>
      <c r="AA801">
        <v>92.4</v>
      </c>
    </row>
    <row r="802" spans="1:27" x14ac:dyDescent="0.25">
      <c r="A802" t="s">
        <v>231</v>
      </c>
      <c r="B802" t="s">
        <v>221</v>
      </c>
      <c r="C802" s="76">
        <v>44000</v>
      </c>
      <c r="D802">
        <v>2367</v>
      </c>
      <c r="E802">
        <v>572</v>
      </c>
      <c r="F802">
        <v>4162</v>
      </c>
      <c r="G802">
        <v>872</v>
      </c>
      <c r="H802">
        <v>73.099999999999994</v>
      </c>
      <c r="I802">
        <v>63.3</v>
      </c>
      <c r="J802">
        <v>82.9</v>
      </c>
      <c r="K802">
        <v>256</v>
      </c>
      <c r="L802">
        <v>18</v>
      </c>
      <c r="M802">
        <v>494</v>
      </c>
      <c r="N802">
        <v>7.9</v>
      </c>
      <c r="O802">
        <v>4.8</v>
      </c>
      <c r="P802">
        <v>11.1</v>
      </c>
      <c r="Q802">
        <f t="shared" si="22"/>
        <v>714153</v>
      </c>
      <c r="R802">
        <f t="shared" si="23"/>
        <v>35.8466603094855</v>
      </c>
      <c r="U802">
        <v>410</v>
      </c>
      <c r="V802">
        <v>76</v>
      </c>
      <c r="W802">
        <v>744</v>
      </c>
      <c r="X802">
        <v>262</v>
      </c>
      <c r="Y802">
        <v>61</v>
      </c>
      <c r="Z802">
        <v>42.9</v>
      </c>
      <c r="AA802">
        <v>79.099999999999994</v>
      </c>
    </row>
    <row r="803" spans="1:27" x14ac:dyDescent="0.25">
      <c r="A803" t="s">
        <v>231</v>
      </c>
      <c r="B803" t="s">
        <v>221</v>
      </c>
      <c r="C803" s="76">
        <v>44001</v>
      </c>
      <c r="D803">
        <v>2250</v>
      </c>
      <c r="E803">
        <v>530</v>
      </c>
      <c r="F803">
        <v>3971</v>
      </c>
      <c r="G803">
        <v>1001</v>
      </c>
      <c r="H803">
        <v>69.2</v>
      </c>
      <c r="I803">
        <v>57.8</v>
      </c>
      <c r="J803">
        <v>80.599999999999994</v>
      </c>
      <c r="K803">
        <v>263</v>
      </c>
      <c r="L803">
        <v>19</v>
      </c>
      <c r="M803">
        <v>507</v>
      </c>
      <c r="N803">
        <v>8.1</v>
      </c>
      <c r="O803">
        <v>4.9000000000000004</v>
      </c>
      <c r="P803">
        <v>11.3</v>
      </c>
      <c r="Q803">
        <f t="shared" si="22"/>
        <v>714153</v>
      </c>
      <c r="R803">
        <f t="shared" si="23"/>
        <v>36.826842427323001</v>
      </c>
      <c r="U803">
        <v>378</v>
      </c>
      <c r="V803">
        <v>68</v>
      </c>
      <c r="W803">
        <v>689</v>
      </c>
      <c r="X803">
        <v>293</v>
      </c>
      <c r="Y803">
        <v>56.4</v>
      </c>
      <c r="Z803">
        <v>38.700000000000003</v>
      </c>
      <c r="AA803">
        <v>74.099999999999994</v>
      </c>
    </row>
    <row r="804" spans="1:27" x14ac:dyDescent="0.25">
      <c r="A804" t="s">
        <v>231</v>
      </c>
      <c r="B804" t="s">
        <v>221</v>
      </c>
      <c r="C804" s="76">
        <v>44002</v>
      </c>
      <c r="D804">
        <v>2239</v>
      </c>
      <c r="E804">
        <v>559</v>
      </c>
      <c r="F804">
        <v>3919</v>
      </c>
      <c r="G804">
        <v>992</v>
      </c>
      <c r="H804">
        <v>69.3</v>
      </c>
      <c r="I804">
        <v>59.7</v>
      </c>
      <c r="J804">
        <v>78.900000000000006</v>
      </c>
      <c r="K804">
        <v>238</v>
      </c>
      <c r="L804">
        <v>25</v>
      </c>
      <c r="M804">
        <v>451</v>
      </c>
      <c r="N804">
        <v>7.4</v>
      </c>
      <c r="O804">
        <v>4.8</v>
      </c>
      <c r="P804">
        <v>9.9</v>
      </c>
      <c r="Q804">
        <f t="shared" si="22"/>
        <v>714153</v>
      </c>
      <c r="R804">
        <f t="shared" si="23"/>
        <v>33.326192006474805</v>
      </c>
      <c r="U804">
        <v>488</v>
      </c>
      <c r="V804">
        <v>85</v>
      </c>
      <c r="W804">
        <v>890</v>
      </c>
      <c r="X804">
        <v>170</v>
      </c>
      <c r="Y804">
        <v>74.099999999999994</v>
      </c>
      <c r="Z804">
        <v>52.5</v>
      </c>
      <c r="AA804">
        <v>95.7</v>
      </c>
    </row>
    <row r="805" spans="1:27" x14ac:dyDescent="0.25">
      <c r="A805" t="s">
        <v>231</v>
      </c>
      <c r="B805" t="s">
        <v>221</v>
      </c>
      <c r="C805" s="76">
        <v>44003</v>
      </c>
      <c r="D805">
        <v>2212</v>
      </c>
      <c r="E805">
        <v>545</v>
      </c>
      <c r="F805">
        <v>3880</v>
      </c>
      <c r="G805">
        <v>1011</v>
      </c>
      <c r="H805">
        <v>68.599999999999994</v>
      </c>
      <c r="I805">
        <v>58.5</v>
      </c>
      <c r="J805">
        <v>78.8</v>
      </c>
      <c r="K805">
        <v>236</v>
      </c>
      <c r="L805">
        <v>16</v>
      </c>
      <c r="M805">
        <v>456</v>
      </c>
      <c r="N805">
        <v>7.3</v>
      </c>
      <c r="O805">
        <v>4.4000000000000004</v>
      </c>
      <c r="P805">
        <v>10.199999999999999</v>
      </c>
      <c r="Q805">
        <f t="shared" si="22"/>
        <v>714153</v>
      </c>
      <c r="R805">
        <f t="shared" si="23"/>
        <v>33.046139972806948</v>
      </c>
      <c r="U805">
        <v>415</v>
      </c>
      <c r="V805">
        <v>64</v>
      </c>
      <c r="W805">
        <v>767</v>
      </c>
      <c r="X805">
        <v>235</v>
      </c>
      <c r="Y805">
        <v>63.9</v>
      </c>
      <c r="Z805">
        <v>40.200000000000003</v>
      </c>
      <c r="AA805">
        <v>87.6</v>
      </c>
    </row>
    <row r="806" spans="1:27" x14ac:dyDescent="0.25">
      <c r="A806" t="s">
        <v>231</v>
      </c>
      <c r="B806" t="s">
        <v>221</v>
      </c>
      <c r="C806" s="76">
        <v>44004</v>
      </c>
      <c r="D806">
        <v>2242</v>
      </c>
      <c r="E806">
        <v>534</v>
      </c>
      <c r="F806">
        <v>3949</v>
      </c>
      <c r="G806">
        <v>955</v>
      </c>
      <c r="H806">
        <v>70.099999999999994</v>
      </c>
      <c r="I806">
        <v>60.4</v>
      </c>
      <c r="J806">
        <v>79.900000000000006</v>
      </c>
      <c r="K806">
        <v>228</v>
      </c>
      <c r="L806">
        <v>16</v>
      </c>
      <c r="M806">
        <v>440</v>
      </c>
      <c r="N806">
        <v>7.1</v>
      </c>
      <c r="O806">
        <v>4.4000000000000004</v>
      </c>
      <c r="P806">
        <v>9.9</v>
      </c>
      <c r="Q806">
        <f t="shared" si="22"/>
        <v>714153</v>
      </c>
      <c r="R806">
        <f t="shared" si="23"/>
        <v>31.925931838135526</v>
      </c>
      <c r="U806">
        <v>483</v>
      </c>
      <c r="V806">
        <v>82</v>
      </c>
      <c r="W806">
        <v>883</v>
      </c>
      <c r="X806">
        <v>202</v>
      </c>
      <c r="Y806">
        <v>70.400000000000006</v>
      </c>
      <c r="Z806">
        <v>51.9</v>
      </c>
      <c r="AA806">
        <v>89</v>
      </c>
    </row>
    <row r="807" spans="1:27" x14ac:dyDescent="0.25">
      <c r="A807" t="s">
        <v>231</v>
      </c>
      <c r="B807" t="s">
        <v>221</v>
      </c>
      <c r="C807" s="76">
        <v>44005</v>
      </c>
      <c r="D807">
        <v>2310</v>
      </c>
      <c r="E807">
        <v>542</v>
      </c>
      <c r="F807">
        <v>4078</v>
      </c>
      <c r="G807">
        <v>898</v>
      </c>
      <c r="H807">
        <v>72</v>
      </c>
      <c r="I807">
        <v>61.6</v>
      </c>
      <c r="J807">
        <v>82.4</v>
      </c>
      <c r="K807">
        <v>244</v>
      </c>
      <c r="L807">
        <v>23</v>
      </c>
      <c r="M807">
        <v>465</v>
      </c>
      <c r="N807">
        <v>7.6</v>
      </c>
      <c r="O807">
        <v>4.9000000000000004</v>
      </c>
      <c r="P807">
        <v>10.3</v>
      </c>
      <c r="Q807">
        <f t="shared" ref="Q807:Q870" si="24">VLOOKUP(B807,$AE$4:$AF$55,2,FALSE)</f>
        <v>714153</v>
      </c>
      <c r="R807">
        <f t="shared" si="23"/>
        <v>34.16634810747837</v>
      </c>
      <c r="U807">
        <v>497</v>
      </c>
      <c r="V807">
        <v>89</v>
      </c>
      <c r="W807">
        <v>905</v>
      </c>
      <c r="X807">
        <v>187</v>
      </c>
      <c r="Y807">
        <v>72.7</v>
      </c>
      <c r="Z807">
        <v>54.9</v>
      </c>
      <c r="AA807">
        <v>90.5</v>
      </c>
    </row>
    <row r="808" spans="1:27" x14ac:dyDescent="0.25">
      <c r="A808" t="s">
        <v>231</v>
      </c>
      <c r="B808" t="s">
        <v>221</v>
      </c>
      <c r="C808" s="76">
        <v>44006</v>
      </c>
      <c r="D808">
        <v>2424</v>
      </c>
      <c r="E808">
        <v>579</v>
      </c>
      <c r="F808">
        <v>4268</v>
      </c>
      <c r="G808">
        <v>817</v>
      </c>
      <c r="H808">
        <v>74.8</v>
      </c>
      <c r="I808">
        <v>65.099999999999994</v>
      </c>
      <c r="J808">
        <v>84.5</v>
      </c>
      <c r="K808">
        <v>219</v>
      </c>
      <c r="L808">
        <v>15</v>
      </c>
      <c r="M808">
        <v>424</v>
      </c>
      <c r="N808">
        <v>6.8</v>
      </c>
      <c r="O808">
        <v>4.0999999999999996</v>
      </c>
      <c r="P808">
        <v>9.5</v>
      </c>
      <c r="Q808">
        <f t="shared" si="24"/>
        <v>714153</v>
      </c>
      <c r="R808">
        <f t="shared" si="23"/>
        <v>30.665697686630175</v>
      </c>
      <c r="U808">
        <v>526</v>
      </c>
      <c r="V808">
        <v>92</v>
      </c>
      <c r="W808">
        <v>959</v>
      </c>
      <c r="X808">
        <v>162</v>
      </c>
      <c r="Y808">
        <v>76.5</v>
      </c>
      <c r="Z808">
        <v>61.6</v>
      </c>
      <c r="AA808">
        <v>91.3</v>
      </c>
    </row>
    <row r="809" spans="1:27" x14ac:dyDescent="0.25">
      <c r="A809" t="s">
        <v>231</v>
      </c>
      <c r="B809" t="s">
        <v>221</v>
      </c>
      <c r="C809" s="76">
        <v>44007</v>
      </c>
      <c r="D809">
        <v>2360</v>
      </c>
      <c r="E809">
        <v>577</v>
      </c>
      <c r="F809">
        <v>4143</v>
      </c>
      <c r="G809">
        <v>849</v>
      </c>
      <c r="H809">
        <v>73.5</v>
      </c>
      <c r="I809">
        <v>64.599999999999994</v>
      </c>
      <c r="J809">
        <v>82.5</v>
      </c>
      <c r="K809">
        <v>205</v>
      </c>
      <c r="L809">
        <v>11</v>
      </c>
      <c r="M809">
        <v>399</v>
      </c>
      <c r="N809">
        <v>6.4</v>
      </c>
      <c r="O809">
        <v>3.7</v>
      </c>
      <c r="P809">
        <v>9.1</v>
      </c>
      <c r="Q809">
        <f t="shared" si="24"/>
        <v>714153</v>
      </c>
      <c r="R809">
        <f t="shared" si="23"/>
        <v>28.705333450955191</v>
      </c>
      <c r="U809">
        <v>495</v>
      </c>
      <c r="V809">
        <v>100</v>
      </c>
      <c r="W809">
        <v>890</v>
      </c>
      <c r="X809">
        <v>191</v>
      </c>
      <c r="Y809">
        <v>72.2</v>
      </c>
      <c r="Z809">
        <v>55.2</v>
      </c>
      <c r="AA809">
        <v>89.2</v>
      </c>
    </row>
    <row r="810" spans="1:27" x14ac:dyDescent="0.25">
      <c r="A810" t="s">
        <v>231</v>
      </c>
      <c r="B810" t="s">
        <v>221</v>
      </c>
      <c r="C810" s="76">
        <v>44008</v>
      </c>
      <c r="D810">
        <v>2391</v>
      </c>
      <c r="E810">
        <v>599</v>
      </c>
      <c r="F810">
        <v>4182</v>
      </c>
      <c r="G810">
        <v>827</v>
      </c>
      <c r="H810">
        <v>74.3</v>
      </c>
      <c r="I810">
        <v>65.8</v>
      </c>
      <c r="J810">
        <v>82.8</v>
      </c>
      <c r="K810">
        <v>203</v>
      </c>
      <c r="L810">
        <v>28</v>
      </c>
      <c r="M810">
        <v>378</v>
      </c>
      <c r="N810">
        <v>6.3</v>
      </c>
      <c r="O810">
        <v>4.5</v>
      </c>
      <c r="P810">
        <v>8.1999999999999993</v>
      </c>
      <c r="Q810">
        <f t="shared" si="24"/>
        <v>714153</v>
      </c>
      <c r="R810">
        <f t="shared" si="23"/>
        <v>28.42528141728733</v>
      </c>
      <c r="U810">
        <v>496</v>
      </c>
      <c r="V810">
        <v>101</v>
      </c>
      <c r="W810">
        <v>890</v>
      </c>
      <c r="X810">
        <v>199</v>
      </c>
      <c r="Y810">
        <v>71.400000000000006</v>
      </c>
      <c r="Z810">
        <v>55.5</v>
      </c>
      <c r="AA810">
        <v>87.2</v>
      </c>
    </row>
    <row r="811" spans="1:27" x14ac:dyDescent="0.25">
      <c r="A811" t="s">
        <v>231</v>
      </c>
      <c r="B811" t="s">
        <v>221</v>
      </c>
      <c r="C811" s="76">
        <v>44009</v>
      </c>
      <c r="D811">
        <v>2297</v>
      </c>
      <c r="E811">
        <v>556</v>
      </c>
      <c r="F811">
        <v>4038</v>
      </c>
      <c r="G811">
        <v>926</v>
      </c>
      <c r="H811">
        <v>71.3</v>
      </c>
      <c r="I811">
        <v>61.2</v>
      </c>
      <c r="J811">
        <v>81.400000000000006</v>
      </c>
      <c r="K811">
        <v>194</v>
      </c>
      <c r="L811">
        <v>22</v>
      </c>
      <c r="M811">
        <v>367</v>
      </c>
      <c r="N811">
        <v>6</v>
      </c>
      <c r="O811">
        <v>3.9</v>
      </c>
      <c r="P811">
        <v>8.1999999999999993</v>
      </c>
      <c r="Q811">
        <f t="shared" si="24"/>
        <v>714153</v>
      </c>
      <c r="R811">
        <f t="shared" si="23"/>
        <v>27.165047265781979</v>
      </c>
      <c r="U811">
        <v>481</v>
      </c>
      <c r="V811">
        <v>89</v>
      </c>
      <c r="W811">
        <v>874</v>
      </c>
      <c r="X811">
        <v>177</v>
      </c>
      <c r="Y811">
        <v>73.099999999999994</v>
      </c>
      <c r="Z811">
        <v>56.8</v>
      </c>
      <c r="AA811">
        <v>89.4</v>
      </c>
    </row>
    <row r="812" spans="1:27" x14ac:dyDescent="0.25">
      <c r="A812" t="s">
        <v>231</v>
      </c>
      <c r="B812" t="s">
        <v>221</v>
      </c>
      <c r="C812" s="76">
        <v>44010</v>
      </c>
      <c r="D812">
        <v>2262</v>
      </c>
      <c r="E812">
        <v>570</v>
      </c>
      <c r="F812">
        <v>3954</v>
      </c>
      <c r="G812">
        <v>991</v>
      </c>
      <c r="H812">
        <v>69.5</v>
      </c>
      <c r="I812">
        <v>60</v>
      </c>
      <c r="J812">
        <v>79.099999999999994</v>
      </c>
      <c r="K812">
        <v>187</v>
      </c>
      <c r="L812">
        <v>29</v>
      </c>
      <c r="M812">
        <v>344</v>
      </c>
      <c r="N812">
        <v>5.7</v>
      </c>
      <c r="O812">
        <v>3.9</v>
      </c>
      <c r="P812">
        <v>7.5</v>
      </c>
      <c r="Q812">
        <f t="shared" si="24"/>
        <v>714153</v>
      </c>
      <c r="R812">
        <f t="shared" si="23"/>
        <v>26.184865147944489</v>
      </c>
      <c r="U812">
        <v>480</v>
      </c>
      <c r="V812">
        <v>94</v>
      </c>
      <c r="W812">
        <v>866</v>
      </c>
      <c r="X812">
        <v>173</v>
      </c>
      <c r="Y812">
        <v>73.5</v>
      </c>
      <c r="Z812">
        <v>59.2</v>
      </c>
      <c r="AA812">
        <v>87.7</v>
      </c>
    </row>
    <row r="813" spans="1:27" x14ac:dyDescent="0.25">
      <c r="A813" t="s">
        <v>231</v>
      </c>
      <c r="B813" t="s">
        <v>221</v>
      </c>
      <c r="C813" s="76">
        <v>44011</v>
      </c>
      <c r="D813">
        <v>2252</v>
      </c>
      <c r="E813">
        <v>542</v>
      </c>
      <c r="F813">
        <v>3962</v>
      </c>
      <c r="G813">
        <v>950</v>
      </c>
      <c r="H813">
        <v>70.3</v>
      </c>
      <c r="I813">
        <v>60.4</v>
      </c>
      <c r="J813">
        <v>80.3</v>
      </c>
      <c r="K813">
        <v>198</v>
      </c>
      <c r="L813">
        <v>31</v>
      </c>
      <c r="M813">
        <v>366</v>
      </c>
      <c r="N813">
        <v>6.2</v>
      </c>
      <c r="O813">
        <v>4.4000000000000004</v>
      </c>
      <c r="P813">
        <v>8</v>
      </c>
      <c r="Q813">
        <f t="shared" si="24"/>
        <v>714153</v>
      </c>
      <c r="R813">
        <f t="shared" si="23"/>
        <v>27.725151333117694</v>
      </c>
      <c r="U813">
        <v>468</v>
      </c>
      <c r="V813">
        <v>95</v>
      </c>
      <c r="W813">
        <v>842</v>
      </c>
      <c r="X813">
        <v>181</v>
      </c>
      <c r="Y813">
        <v>72.099999999999994</v>
      </c>
      <c r="Z813">
        <v>55.6</v>
      </c>
      <c r="AA813">
        <v>88.7</v>
      </c>
    </row>
    <row r="814" spans="1:27" x14ac:dyDescent="0.25">
      <c r="A814" t="s">
        <v>231</v>
      </c>
      <c r="B814" t="s">
        <v>221</v>
      </c>
      <c r="C814" s="76">
        <v>44012</v>
      </c>
      <c r="D814">
        <v>2367</v>
      </c>
      <c r="E814">
        <v>580</v>
      </c>
      <c r="F814">
        <v>4154</v>
      </c>
      <c r="G814">
        <v>942</v>
      </c>
      <c r="H814">
        <v>71.5</v>
      </c>
      <c r="I814">
        <v>60.1</v>
      </c>
      <c r="J814">
        <v>83</v>
      </c>
      <c r="K814">
        <v>197</v>
      </c>
      <c r="L814">
        <v>29</v>
      </c>
      <c r="M814">
        <v>365</v>
      </c>
      <c r="N814">
        <v>6</v>
      </c>
      <c r="O814">
        <v>4</v>
      </c>
      <c r="P814">
        <v>7.9</v>
      </c>
      <c r="Q814">
        <f t="shared" si="24"/>
        <v>714153</v>
      </c>
      <c r="R814">
        <f t="shared" si="23"/>
        <v>27.585125316283769</v>
      </c>
      <c r="U814">
        <v>421</v>
      </c>
      <c r="V814">
        <v>77</v>
      </c>
      <c r="W814">
        <v>765</v>
      </c>
      <c r="X814">
        <v>206</v>
      </c>
      <c r="Y814">
        <v>67.2</v>
      </c>
      <c r="Z814">
        <v>48</v>
      </c>
      <c r="AA814">
        <v>86.4</v>
      </c>
    </row>
    <row r="815" spans="1:27" x14ac:dyDescent="0.25">
      <c r="A815" t="s">
        <v>231</v>
      </c>
      <c r="B815" t="s">
        <v>221</v>
      </c>
      <c r="C815" s="76">
        <v>44013</v>
      </c>
      <c r="D815">
        <v>2306</v>
      </c>
      <c r="E815">
        <v>549</v>
      </c>
      <c r="F815">
        <v>4063</v>
      </c>
      <c r="G815">
        <v>903</v>
      </c>
      <c r="H815">
        <v>71.900000000000006</v>
      </c>
      <c r="I815">
        <v>61.4</v>
      </c>
      <c r="J815">
        <v>82.3</v>
      </c>
      <c r="K815">
        <v>172</v>
      </c>
      <c r="L815">
        <v>22</v>
      </c>
      <c r="M815">
        <v>322</v>
      </c>
      <c r="N815">
        <v>5.4</v>
      </c>
      <c r="O815">
        <v>3.5</v>
      </c>
      <c r="P815">
        <v>7.2</v>
      </c>
      <c r="Q815">
        <f t="shared" si="24"/>
        <v>714153</v>
      </c>
      <c r="R815">
        <f t="shared" si="23"/>
        <v>24.084474895435573</v>
      </c>
      <c r="U815">
        <v>470</v>
      </c>
      <c r="V815">
        <v>86</v>
      </c>
      <c r="W815">
        <v>855</v>
      </c>
      <c r="X815">
        <v>169</v>
      </c>
      <c r="Y815">
        <v>73.599999999999994</v>
      </c>
      <c r="Z815">
        <v>54.7</v>
      </c>
      <c r="AA815">
        <v>92.5</v>
      </c>
    </row>
    <row r="816" spans="1:27" x14ac:dyDescent="0.25">
      <c r="A816" t="s">
        <v>231</v>
      </c>
      <c r="B816" t="s">
        <v>221</v>
      </c>
      <c r="C816" s="76">
        <v>44014</v>
      </c>
      <c r="D816">
        <v>2256</v>
      </c>
      <c r="E816">
        <v>538</v>
      </c>
      <c r="F816">
        <v>3974</v>
      </c>
      <c r="G816">
        <v>966</v>
      </c>
      <c r="H816">
        <v>70</v>
      </c>
      <c r="I816">
        <v>59</v>
      </c>
      <c r="J816">
        <v>81</v>
      </c>
      <c r="K816">
        <v>165</v>
      </c>
      <c r="L816">
        <v>17</v>
      </c>
      <c r="M816">
        <v>313</v>
      </c>
      <c r="N816">
        <v>5.0999999999999996</v>
      </c>
      <c r="O816">
        <v>3.2</v>
      </c>
      <c r="P816">
        <v>7.1</v>
      </c>
      <c r="Q816">
        <f t="shared" si="24"/>
        <v>714153</v>
      </c>
      <c r="R816">
        <f t="shared" si="23"/>
        <v>23.104292777598079</v>
      </c>
      <c r="U816">
        <v>468</v>
      </c>
      <c r="V816">
        <v>87</v>
      </c>
      <c r="W816">
        <v>849</v>
      </c>
      <c r="X816">
        <v>172</v>
      </c>
      <c r="Y816">
        <v>73.2</v>
      </c>
      <c r="Z816">
        <v>54</v>
      </c>
      <c r="AA816">
        <v>92.3</v>
      </c>
    </row>
    <row r="817" spans="1:27" x14ac:dyDescent="0.25">
      <c r="A817" t="s">
        <v>231</v>
      </c>
      <c r="B817" t="s">
        <v>221</v>
      </c>
      <c r="C817" s="76">
        <v>44015</v>
      </c>
      <c r="D817">
        <v>2222</v>
      </c>
      <c r="E817">
        <v>560</v>
      </c>
      <c r="F817">
        <v>3883</v>
      </c>
      <c r="G817">
        <v>1000</v>
      </c>
      <c r="H817">
        <v>69</v>
      </c>
      <c r="I817">
        <v>59.3</v>
      </c>
      <c r="J817">
        <v>78.599999999999994</v>
      </c>
      <c r="K817">
        <v>154</v>
      </c>
      <c r="L817">
        <v>26</v>
      </c>
      <c r="M817">
        <v>282</v>
      </c>
      <c r="N817">
        <v>4.8</v>
      </c>
      <c r="O817">
        <v>3.2</v>
      </c>
      <c r="P817">
        <v>6.3</v>
      </c>
      <c r="Q817">
        <f t="shared" si="24"/>
        <v>714153</v>
      </c>
      <c r="R817">
        <f t="shared" si="23"/>
        <v>21.564006592424871</v>
      </c>
      <c r="U817">
        <v>450</v>
      </c>
      <c r="V817">
        <v>83</v>
      </c>
      <c r="W817">
        <v>817</v>
      </c>
      <c r="X817">
        <v>188</v>
      </c>
      <c r="Y817">
        <v>70.599999999999994</v>
      </c>
      <c r="Z817">
        <v>52.4</v>
      </c>
      <c r="AA817">
        <v>88.8</v>
      </c>
    </row>
    <row r="818" spans="1:27" x14ac:dyDescent="0.25">
      <c r="A818" t="s">
        <v>231</v>
      </c>
      <c r="B818" t="s">
        <v>221</v>
      </c>
      <c r="C818" s="76">
        <v>44016</v>
      </c>
      <c r="D818">
        <v>2080</v>
      </c>
      <c r="E818">
        <v>525</v>
      </c>
      <c r="F818">
        <v>3635</v>
      </c>
      <c r="G818">
        <v>953</v>
      </c>
      <c r="H818">
        <v>68.599999999999994</v>
      </c>
      <c r="I818">
        <v>59.8</v>
      </c>
      <c r="J818">
        <v>77.3</v>
      </c>
      <c r="K818">
        <v>142</v>
      </c>
      <c r="L818">
        <v>26</v>
      </c>
      <c r="M818">
        <v>258</v>
      </c>
      <c r="N818">
        <v>4.7</v>
      </c>
      <c r="O818">
        <v>3.4</v>
      </c>
      <c r="P818">
        <v>6</v>
      </c>
      <c r="Q818">
        <f t="shared" si="24"/>
        <v>714153</v>
      </c>
      <c r="R818">
        <f t="shared" si="23"/>
        <v>19.883694390417741</v>
      </c>
      <c r="U818">
        <v>443</v>
      </c>
      <c r="V818">
        <v>91</v>
      </c>
      <c r="W818">
        <v>794</v>
      </c>
      <c r="X818">
        <v>172</v>
      </c>
      <c r="Y818">
        <v>72</v>
      </c>
      <c r="Z818">
        <v>51.5</v>
      </c>
      <c r="AA818">
        <v>92.4</v>
      </c>
    </row>
    <row r="819" spans="1:27" x14ac:dyDescent="0.25">
      <c r="A819" t="s">
        <v>231</v>
      </c>
      <c r="B819" t="s">
        <v>221</v>
      </c>
      <c r="C819" s="76">
        <v>44017</v>
      </c>
      <c r="D819">
        <v>2094</v>
      </c>
      <c r="E819">
        <v>513</v>
      </c>
      <c r="F819">
        <v>3675</v>
      </c>
      <c r="G819">
        <v>955</v>
      </c>
      <c r="H819">
        <v>68.7</v>
      </c>
      <c r="I819">
        <v>60.6</v>
      </c>
      <c r="J819">
        <v>76.8</v>
      </c>
      <c r="K819">
        <v>163</v>
      </c>
      <c r="L819">
        <v>28</v>
      </c>
      <c r="M819">
        <v>299</v>
      </c>
      <c r="N819">
        <v>5.4</v>
      </c>
      <c r="O819">
        <v>3.5</v>
      </c>
      <c r="P819">
        <v>7.3</v>
      </c>
      <c r="Q819">
        <f t="shared" si="24"/>
        <v>714153</v>
      </c>
      <c r="R819">
        <f t="shared" si="23"/>
        <v>22.824240743930222</v>
      </c>
      <c r="U819">
        <v>423</v>
      </c>
      <c r="V819">
        <v>81</v>
      </c>
      <c r="W819">
        <v>765</v>
      </c>
      <c r="X819">
        <v>217</v>
      </c>
      <c r="Y819">
        <v>66.099999999999994</v>
      </c>
      <c r="Z819">
        <v>48.3</v>
      </c>
      <c r="AA819">
        <v>83.9</v>
      </c>
    </row>
    <row r="820" spans="1:27" x14ac:dyDescent="0.25">
      <c r="A820" t="s">
        <v>231</v>
      </c>
      <c r="B820" t="s">
        <v>221</v>
      </c>
      <c r="C820" s="76">
        <v>44018</v>
      </c>
      <c r="D820">
        <v>2155</v>
      </c>
      <c r="E820">
        <v>525</v>
      </c>
      <c r="F820">
        <v>3784</v>
      </c>
      <c r="G820">
        <v>1029</v>
      </c>
      <c r="H820">
        <v>67.7</v>
      </c>
      <c r="I820">
        <v>57.7</v>
      </c>
      <c r="J820">
        <v>77.7</v>
      </c>
      <c r="K820">
        <v>146</v>
      </c>
      <c r="L820">
        <v>17</v>
      </c>
      <c r="M820">
        <v>275</v>
      </c>
      <c r="N820">
        <v>4.5999999999999996</v>
      </c>
      <c r="O820">
        <v>2.8</v>
      </c>
      <c r="P820">
        <v>6.4</v>
      </c>
      <c r="Q820">
        <f t="shared" si="24"/>
        <v>714153</v>
      </c>
      <c r="R820">
        <f t="shared" si="23"/>
        <v>20.443798457753452</v>
      </c>
      <c r="U820">
        <v>430</v>
      </c>
      <c r="V820">
        <v>86</v>
      </c>
      <c r="W820">
        <v>774</v>
      </c>
      <c r="X820">
        <v>206</v>
      </c>
      <c r="Y820">
        <v>67.599999999999994</v>
      </c>
      <c r="Z820">
        <v>48.4</v>
      </c>
      <c r="AA820">
        <v>86.9</v>
      </c>
    </row>
    <row r="821" spans="1:27" x14ac:dyDescent="0.25">
      <c r="A821" t="s">
        <v>231</v>
      </c>
      <c r="B821" t="s">
        <v>221</v>
      </c>
      <c r="C821" s="76">
        <v>44019</v>
      </c>
      <c r="D821">
        <v>2295</v>
      </c>
      <c r="E821">
        <v>557</v>
      </c>
      <c r="F821">
        <v>4033</v>
      </c>
      <c r="G821">
        <v>913</v>
      </c>
      <c r="H821">
        <v>71.5</v>
      </c>
      <c r="I821">
        <v>61.4</v>
      </c>
      <c r="J821">
        <v>81.7</v>
      </c>
      <c r="K821">
        <v>147</v>
      </c>
      <c r="L821">
        <v>28</v>
      </c>
      <c r="M821">
        <v>266</v>
      </c>
      <c r="N821">
        <v>4.5999999999999996</v>
      </c>
      <c r="O821">
        <v>3.2</v>
      </c>
      <c r="P821">
        <v>6</v>
      </c>
      <c r="Q821">
        <f t="shared" si="24"/>
        <v>714153</v>
      </c>
      <c r="R821">
        <f t="shared" si="23"/>
        <v>20.583824474587377</v>
      </c>
      <c r="U821">
        <v>458</v>
      </c>
      <c r="V821">
        <v>88</v>
      </c>
      <c r="W821">
        <v>829</v>
      </c>
      <c r="X821">
        <v>195</v>
      </c>
      <c r="Y821">
        <v>70.2</v>
      </c>
      <c r="Z821">
        <v>50.2</v>
      </c>
      <c r="AA821">
        <v>90.2</v>
      </c>
    </row>
    <row r="822" spans="1:27" x14ac:dyDescent="0.25">
      <c r="A822" t="s">
        <v>232</v>
      </c>
      <c r="B822" t="s">
        <v>217</v>
      </c>
      <c r="C822" s="76">
        <v>43922</v>
      </c>
      <c r="D822">
        <v>786</v>
      </c>
      <c r="E822">
        <v>9</v>
      </c>
      <c r="F822">
        <v>1562</v>
      </c>
      <c r="G822">
        <v>725</v>
      </c>
      <c r="H822">
        <v>52</v>
      </c>
      <c r="I822">
        <v>37.700000000000003</v>
      </c>
      <c r="J822">
        <v>66.400000000000006</v>
      </c>
      <c r="K822">
        <v>88</v>
      </c>
      <c r="L822">
        <v>0</v>
      </c>
      <c r="M822">
        <v>195</v>
      </c>
      <c r="N822">
        <v>5.8</v>
      </c>
      <c r="O822">
        <v>0.8</v>
      </c>
      <c r="P822">
        <v>10.8</v>
      </c>
      <c r="Q822">
        <f t="shared" si="24"/>
        <v>990334</v>
      </c>
      <c r="R822">
        <f t="shared" si="23"/>
        <v>8.8858910226246888</v>
      </c>
      <c r="U822">
        <v>88</v>
      </c>
      <c r="V822">
        <v>0</v>
      </c>
      <c r="W822">
        <v>201</v>
      </c>
      <c r="X822">
        <v>34</v>
      </c>
      <c r="Y822">
        <v>72.099999999999994</v>
      </c>
      <c r="Z822">
        <v>48.3</v>
      </c>
      <c r="AA822">
        <v>96</v>
      </c>
    </row>
    <row r="823" spans="1:27" x14ac:dyDescent="0.25">
      <c r="A823" t="s">
        <v>232</v>
      </c>
      <c r="B823" t="s">
        <v>217</v>
      </c>
      <c r="C823" s="76">
        <v>43923</v>
      </c>
      <c r="D823">
        <v>909</v>
      </c>
      <c r="E823">
        <v>0</v>
      </c>
      <c r="F823">
        <v>1820</v>
      </c>
      <c r="G823">
        <v>606</v>
      </c>
      <c r="H823">
        <v>60</v>
      </c>
      <c r="I823">
        <v>49.4</v>
      </c>
      <c r="J823">
        <v>70.7</v>
      </c>
      <c r="K823">
        <v>92</v>
      </c>
      <c r="L823">
        <v>0</v>
      </c>
      <c r="M823">
        <v>211</v>
      </c>
      <c r="N823">
        <v>6.1</v>
      </c>
      <c r="O823">
        <v>0.3</v>
      </c>
      <c r="P823">
        <v>11.9</v>
      </c>
      <c r="Q823">
        <f t="shared" si="24"/>
        <v>990334</v>
      </c>
      <c r="R823">
        <f t="shared" si="23"/>
        <v>9.2897951600167215</v>
      </c>
      <c r="U823">
        <v>96</v>
      </c>
      <c r="V823">
        <v>0</v>
      </c>
      <c r="W823">
        <v>220</v>
      </c>
      <c r="X823">
        <v>26</v>
      </c>
      <c r="Y823">
        <v>78.7</v>
      </c>
      <c r="Z823">
        <v>52</v>
      </c>
      <c r="AA823">
        <v>100</v>
      </c>
    </row>
    <row r="824" spans="1:27" x14ac:dyDescent="0.25">
      <c r="A824" t="s">
        <v>232</v>
      </c>
      <c r="B824" t="s">
        <v>217</v>
      </c>
      <c r="C824" s="76">
        <v>43924</v>
      </c>
      <c r="D824">
        <v>895</v>
      </c>
      <c r="E824">
        <v>79</v>
      </c>
      <c r="F824">
        <v>1710</v>
      </c>
      <c r="G824">
        <v>713</v>
      </c>
      <c r="H824">
        <v>55.6</v>
      </c>
      <c r="I824">
        <v>45.3</v>
      </c>
      <c r="J824">
        <v>65.900000000000006</v>
      </c>
      <c r="K824">
        <v>180</v>
      </c>
      <c r="L824">
        <v>0</v>
      </c>
      <c r="M824">
        <v>382</v>
      </c>
      <c r="N824">
        <v>11.2</v>
      </c>
      <c r="O824">
        <v>6.3</v>
      </c>
      <c r="P824">
        <v>16</v>
      </c>
      <c r="Q824">
        <f t="shared" si="24"/>
        <v>990334</v>
      </c>
      <c r="R824">
        <f t="shared" si="23"/>
        <v>18.175686182641414</v>
      </c>
      <c r="U824">
        <v>104</v>
      </c>
      <c r="V824">
        <v>0</v>
      </c>
      <c r="W824">
        <v>228</v>
      </c>
      <c r="X824">
        <v>29</v>
      </c>
      <c r="Y824">
        <v>78.400000000000006</v>
      </c>
      <c r="Z824">
        <v>54.1</v>
      </c>
      <c r="AA824">
        <v>100</v>
      </c>
    </row>
    <row r="825" spans="1:27" x14ac:dyDescent="0.25">
      <c r="A825" t="s">
        <v>232</v>
      </c>
      <c r="B825" t="s">
        <v>217</v>
      </c>
      <c r="C825" s="76">
        <v>43925</v>
      </c>
      <c r="D825">
        <v>866</v>
      </c>
      <c r="E825">
        <v>67</v>
      </c>
      <c r="F825">
        <v>1664</v>
      </c>
      <c r="G825">
        <v>738</v>
      </c>
      <c r="H825">
        <v>54</v>
      </c>
      <c r="I825">
        <v>44.1</v>
      </c>
      <c r="J825">
        <v>63.9</v>
      </c>
      <c r="K825">
        <v>137</v>
      </c>
      <c r="L825">
        <v>0</v>
      </c>
      <c r="M825">
        <v>290</v>
      </c>
      <c r="N825">
        <v>8.5</v>
      </c>
      <c r="O825">
        <v>3.4</v>
      </c>
      <c r="P825">
        <v>13.6</v>
      </c>
      <c r="Q825">
        <f t="shared" si="24"/>
        <v>990334</v>
      </c>
      <c r="R825">
        <f t="shared" si="23"/>
        <v>13.833716705677075</v>
      </c>
      <c r="U825">
        <v>97</v>
      </c>
      <c r="V825">
        <v>0</v>
      </c>
      <c r="W825">
        <v>217</v>
      </c>
      <c r="X825">
        <v>34</v>
      </c>
      <c r="Y825">
        <v>74</v>
      </c>
      <c r="Z825">
        <v>48.7</v>
      </c>
      <c r="AA825">
        <v>99.4</v>
      </c>
    </row>
    <row r="826" spans="1:27" x14ac:dyDescent="0.25">
      <c r="A826" t="s">
        <v>232</v>
      </c>
      <c r="B826" t="s">
        <v>217</v>
      </c>
      <c r="C826" s="76">
        <v>43926</v>
      </c>
      <c r="D826">
        <v>846</v>
      </c>
      <c r="E826">
        <v>58</v>
      </c>
      <c r="F826">
        <v>1633</v>
      </c>
      <c r="G826">
        <v>760</v>
      </c>
      <c r="H826">
        <v>52.7</v>
      </c>
      <c r="I826">
        <v>42.8</v>
      </c>
      <c r="J826">
        <v>62.5</v>
      </c>
      <c r="K826">
        <v>127</v>
      </c>
      <c r="L826">
        <v>0</v>
      </c>
      <c r="M826">
        <v>264</v>
      </c>
      <c r="N826">
        <v>7.9</v>
      </c>
      <c r="O826">
        <v>4</v>
      </c>
      <c r="P826">
        <v>11.8</v>
      </c>
      <c r="Q826">
        <f t="shared" si="24"/>
        <v>990334</v>
      </c>
      <c r="R826">
        <f t="shared" si="23"/>
        <v>12.823956362196997</v>
      </c>
      <c r="U826">
        <v>93</v>
      </c>
      <c r="V826">
        <v>0</v>
      </c>
      <c r="W826">
        <v>212</v>
      </c>
      <c r="X826">
        <v>38</v>
      </c>
      <c r="Y826">
        <v>71</v>
      </c>
      <c r="Z826">
        <v>42.9</v>
      </c>
      <c r="AA826">
        <v>99.1</v>
      </c>
    </row>
    <row r="827" spans="1:27" x14ac:dyDescent="0.25">
      <c r="A827" t="s">
        <v>232</v>
      </c>
      <c r="B827" t="s">
        <v>217</v>
      </c>
      <c r="C827" s="76">
        <v>43927</v>
      </c>
      <c r="D827">
        <v>856</v>
      </c>
      <c r="E827">
        <v>53</v>
      </c>
      <c r="F827">
        <v>1658</v>
      </c>
      <c r="G827">
        <v>754</v>
      </c>
      <c r="H827">
        <v>53.2</v>
      </c>
      <c r="I827">
        <v>41.7</v>
      </c>
      <c r="J827">
        <v>64.7</v>
      </c>
      <c r="K827">
        <v>137</v>
      </c>
      <c r="L827">
        <v>0</v>
      </c>
      <c r="M827">
        <v>287</v>
      </c>
      <c r="N827">
        <v>8.5</v>
      </c>
      <c r="O827">
        <v>4.2</v>
      </c>
      <c r="P827">
        <v>12.8</v>
      </c>
      <c r="Q827">
        <f t="shared" si="24"/>
        <v>990334</v>
      </c>
      <c r="R827">
        <f t="shared" si="23"/>
        <v>13.833716705677075</v>
      </c>
      <c r="U827">
        <v>96</v>
      </c>
      <c r="V827">
        <v>0</v>
      </c>
      <c r="W827">
        <v>215</v>
      </c>
      <c r="X827">
        <v>36</v>
      </c>
      <c r="Y827">
        <v>72.900000000000006</v>
      </c>
      <c r="Z827">
        <v>45.6</v>
      </c>
      <c r="AA827">
        <v>100</v>
      </c>
    </row>
    <row r="828" spans="1:27" x14ac:dyDescent="0.25">
      <c r="A828" t="s">
        <v>232</v>
      </c>
      <c r="B828" t="s">
        <v>217</v>
      </c>
      <c r="C828" s="76">
        <v>43928</v>
      </c>
      <c r="D828">
        <v>880</v>
      </c>
      <c r="E828">
        <v>59</v>
      </c>
      <c r="F828">
        <v>1700</v>
      </c>
      <c r="G828">
        <v>728</v>
      </c>
      <c r="H828">
        <v>54.7</v>
      </c>
      <c r="I828">
        <v>41.3</v>
      </c>
      <c r="J828">
        <v>68.2</v>
      </c>
      <c r="K828">
        <v>145</v>
      </c>
      <c r="L828">
        <v>0</v>
      </c>
      <c r="M828">
        <v>298</v>
      </c>
      <c r="N828">
        <v>9</v>
      </c>
      <c r="O828">
        <v>5.4</v>
      </c>
      <c r="P828">
        <v>12.6</v>
      </c>
      <c r="Q828">
        <f t="shared" si="24"/>
        <v>990334</v>
      </c>
      <c r="R828">
        <f t="shared" si="23"/>
        <v>14.641524980461138</v>
      </c>
      <c r="U828">
        <v>91</v>
      </c>
      <c r="V828">
        <v>0</v>
      </c>
      <c r="W828">
        <v>209</v>
      </c>
      <c r="X828">
        <v>40</v>
      </c>
      <c r="Y828">
        <v>69.5</v>
      </c>
      <c r="Z828">
        <v>39.299999999999997</v>
      </c>
      <c r="AA828">
        <v>99.6</v>
      </c>
    </row>
    <row r="829" spans="1:27" x14ac:dyDescent="0.25">
      <c r="A829" t="s">
        <v>232</v>
      </c>
      <c r="B829" t="s">
        <v>217</v>
      </c>
      <c r="C829" s="76">
        <v>43929</v>
      </c>
      <c r="D829">
        <v>889</v>
      </c>
      <c r="E829">
        <v>58</v>
      </c>
      <c r="F829">
        <v>1719</v>
      </c>
      <c r="G829">
        <v>719</v>
      </c>
      <c r="H829">
        <v>55.3</v>
      </c>
      <c r="I829">
        <v>40.4</v>
      </c>
      <c r="J829">
        <v>70.2</v>
      </c>
      <c r="K829">
        <v>167</v>
      </c>
      <c r="L829">
        <v>0</v>
      </c>
      <c r="M829">
        <v>350</v>
      </c>
      <c r="N829">
        <v>10.4</v>
      </c>
      <c r="O829">
        <v>6</v>
      </c>
      <c r="P829">
        <v>14.8</v>
      </c>
      <c r="Q829">
        <f t="shared" si="24"/>
        <v>990334</v>
      </c>
      <c r="R829">
        <f t="shared" si="23"/>
        <v>16.862997736117308</v>
      </c>
      <c r="U829">
        <v>85</v>
      </c>
      <c r="V829">
        <v>0</v>
      </c>
      <c r="W829">
        <v>201</v>
      </c>
      <c r="X829">
        <v>46</v>
      </c>
      <c r="Y829">
        <v>64.900000000000006</v>
      </c>
      <c r="Z829">
        <v>32.799999999999997</v>
      </c>
      <c r="AA829">
        <v>97</v>
      </c>
    </row>
    <row r="830" spans="1:27" x14ac:dyDescent="0.25">
      <c r="A830" t="s">
        <v>232</v>
      </c>
      <c r="B830" t="s">
        <v>217</v>
      </c>
      <c r="C830" s="76">
        <v>43930</v>
      </c>
      <c r="D830">
        <v>983</v>
      </c>
      <c r="E830">
        <v>13</v>
      </c>
      <c r="F830">
        <v>1953</v>
      </c>
      <c r="G830">
        <v>625</v>
      </c>
      <c r="H830">
        <v>61.2</v>
      </c>
      <c r="I830">
        <v>48</v>
      </c>
      <c r="J830">
        <v>74.3</v>
      </c>
      <c r="K830">
        <v>198</v>
      </c>
      <c r="L830">
        <v>0</v>
      </c>
      <c r="M830">
        <v>412</v>
      </c>
      <c r="N830">
        <v>12.3</v>
      </c>
      <c r="O830">
        <v>7.4</v>
      </c>
      <c r="P830">
        <v>17.3</v>
      </c>
      <c r="Q830">
        <f t="shared" si="24"/>
        <v>990334</v>
      </c>
      <c r="R830">
        <f t="shared" si="23"/>
        <v>19.993254800905554</v>
      </c>
      <c r="U830">
        <v>103</v>
      </c>
      <c r="V830">
        <v>0</v>
      </c>
      <c r="W830">
        <v>220</v>
      </c>
      <c r="X830">
        <v>29</v>
      </c>
      <c r="Y830">
        <v>78.2</v>
      </c>
      <c r="Z830">
        <v>60.2</v>
      </c>
      <c r="AA830">
        <v>96.2</v>
      </c>
    </row>
    <row r="831" spans="1:27" x14ac:dyDescent="0.25">
      <c r="A831" t="s">
        <v>232</v>
      </c>
      <c r="B831" t="s">
        <v>217</v>
      </c>
      <c r="C831" s="76">
        <v>43931</v>
      </c>
      <c r="D831">
        <v>1045</v>
      </c>
      <c r="E831">
        <v>0</v>
      </c>
      <c r="F831">
        <v>2222</v>
      </c>
      <c r="G831">
        <v>691</v>
      </c>
      <c r="H831">
        <v>60.2</v>
      </c>
      <c r="I831">
        <v>49.3</v>
      </c>
      <c r="J831">
        <v>71</v>
      </c>
      <c r="K831">
        <v>224</v>
      </c>
      <c r="L831">
        <v>0</v>
      </c>
      <c r="M831">
        <v>505</v>
      </c>
      <c r="N831">
        <v>12.9</v>
      </c>
      <c r="O831">
        <v>8.3000000000000007</v>
      </c>
      <c r="P831">
        <v>17.5</v>
      </c>
      <c r="Q831">
        <f t="shared" si="24"/>
        <v>990334</v>
      </c>
      <c r="R831">
        <f t="shared" si="23"/>
        <v>22.618631693953756</v>
      </c>
      <c r="U831">
        <v>117</v>
      </c>
      <c r="V831">
        <v>0</v>
      </c>
      <c r="W831">
        <v>275</v>
      </c>
      <c r="X831">
        <v>25</v>
      </c>
      <c r="Y831">
        <v>82.4</v>
      </c>
      <c r="Z831">
        <v>68.900000000000006</v>
      </c>
      <c r="AA831">
        <v>95.9</v>
      </c>
    </row>
    <row r="832" spans="1:27" x14ac:dyDescent="0.25">
      <c r="A832" t="s">
        <v>232</v>
      </c>
      <c r="B832" t="s">
        <v>217</v>
      </c>
      <c r="C832" s="76">
        <v>43932</v>
      </c>
      <c r="D832">
        <v>1126</v>
      </c>
      <c r="E832">
        <v>0</v>
      </c>
      <c r="F832">
        <v>2439</v>
      </c>
      <c r="G832">
        <v>604</v>
      </c>
      <c r="H832">
        <v>65.099999999999994</v>
      </c>
      <c r="I832">
        <v>54.6</v>
      </c>
      <c r="J832">
        <v>75.599999999999994</v>
      </c>
      <c r="K832">
        <v>200</v>
      </c>
      <c r="L832">
        <v>0</v>
      </c>
      <c r="M832">
        <v>451</v>
      </c>
      <c r="N832">
        <v>11.6</v>
      </c>
      <c r="O832">
        <v>7.4</v>
      </c>
      <c r="P832">
        <v>15.7</v>
      </c>
      <c r="Q832">
        <f t="shared" si="24"/>
        <v>990334</v>
      </c>
      <c r="R832">
        <f t="shared" si="23"/>
        <v>20.195206869601567</v>
      </c>
      <c r="U832">
        <v>120</v>
      </c>
      <c r="V832">
        <v>0</v>
      </c>
      <c r="W832">
        <v>284</v>
      </c>
      <c r="X832">
        <v>22</v>
      </c>
      <c r="Y832">
        <v>84.5</v>
      </c>
      <c r="Z832">
        <v>71.7</v>
      </c>
      <c r="AA832">
        <v>97.3</v>
      </c>
    </row>
    <row r="833" spans="1:27" x14ac:dyDescent="0.25">
      <c r="A833" t="s">
        <v>232</v>
      </c>
      <c r="B833" t="s">
        <v>217</v>
      </c>
      <c r="C833" s="76">
        <v>43933</v>
      </c>
      <c r="D833">
        <v>1141</v>
      </c>
      <c r="E833">
        <v>0</v>
      </c>
      <c r="F833">
        <v>2495</v>
      </c>
      <c r="G833">
        <v>611</v>
      </c>
      <c r="H833">
        <v>65.099999999999994</v>
      </c>
      <c r="I833">
        <v>53.2</v>
      </c>
      <c r="J833">
        <v>77.099999999999994</v>
      </c>
      <c r="K833">
        <v>212</v>
      </c>
      <c r="L833">
        <v>0</v>
      </c>
      <c r="M833">
        <v>484</v>
      </c>
      <c r="N833">
        <v>12.1</v>
      </c>
      <c r="O833">
        <v>7.7</v>
      </c>
      <c r="P833">
        <v>16.5</v>
      </c>
      <c r="Q833">
        <f t="shared" si="24"/>
        <v>990334</v>
      </c>
      <c r="R833">
        <f t="shared" si="23"/>
        <v>21.406919281777665</v>
      </c>
      <c r="U833">
        <v>123</v>
      </c>
      <c r="V833">
        <v>0</v>
      </c>
      <c r="W833">
        <v>287</v>
      </c>
      <c r="X833">
        <v>19</v>
      </c>
      <c r="Y833">
        <v>86.6</v>
      </c>
      <c r="Z833">
        <v>76</v>
      </c>
      <c r="AA833">
        <v>97.3</v>
      </c>
    </row>
    <row r="834" spans="1:27" x14ac:dyDescent="0.25">
      <c r="A834" t="s">
        <v>232</v>
      </c>
      <c r="B834" t="s">
        <v>217</v>
      </c>
      <c r="C834" s="76">
        <v>43934</v>
      </c>
      <c r="D834">
        <v>1173</v>
      </c>
      <c r="E834">
        <v>0</v>
      </c>
      <c r="F834">
        <v>2583</v>
      </c>
      <c r="G834">
        <v>573</v>
      </c>
      <c r="H834">
        <v>67.2</v>
      </c>
      <c r="I834">
        <v>54</v>
      </c>
      <c r="J834">
        <v>80.400000000000006</v>
      </c>
      <c r="K834">
        <v>237</v>
      </c>
      <c r="L834">
        <v>0</v>
      </c>
      <c r="M834">
        <v>539</v>
      </c>
      <c r="N834">
        <v>13.6</v>
      </c>
      <c r="O834">
        <v>9.5</v>
      </c>
      <c r="P834">
        <v>17.600000000000001</v>
      </c>
      <c r="Q834">
        <f t="shared" si="24"/>
        <v>990334</v>
      </c>
      <c r="R834">
        <f t="shared" si="23"/>
        <v>23.931320140477862</v>
      </c>
      <c r="U834">
        <v>138</v>
      </c>
      <c r="V834">
        <v>0</v>
      </c>
      <c r="W834">
        <v>316</v>
      </c>
      <c r="X834">
        <v>18</v>
      </c>
      <c r="Y834">
        <v>88.5</v>
      </c>
      <c r="Z834">
        <v>65</v>
      </c>
      <c r="AA834">
        <v>100</v>
      </c>
    </row>
    <row r="835" spans="1:27" x14ac:dyDescent="0.25">
      <c r="A835" t="s">
        <v>232</v>
      </c>
      <c r="B835" t="s">
        <v>217</v>
      </c>
      <c r="C835" s="76">
        <v>43935</v>
      </c>
      <c r="D835">
        <v>1431</v>
      </c>
      <c r="E835">
        <v>148</v>
      </c>
      <c r="F835">
        <v>2714</v>
      </c>
      <c r="G835">
        <v>1024</v>
      </c>
      <c r="H835">
        <v>58.3</v>
      </c>
      <c r="I835">
        <v>52.7</v>
      </c>
      <c r="J835">
        <v>63.8</v>
      </c>
      <c r="K835">
        <v>258</v>
      </c>
      <c r="L835">
        <v>46</v>
      </c>
      <c r="M835">
        <v>470</v>
      </c>
      <c r="N835">
        <v>10.5</v>
      </c>
      <c r="O835">
        <v>6.9</v>
      </c>
      <c r="P835">
        <v>14.1</v>
      </c>
      <c r="Q835">
        <f t="shared" si="24"/>
        <v>990334</v>
      </c>
      <c r="R835">
        <f t="shared" si="23"/>
        <v>26.051816861786023</v>
      </c>
      <c r="U835">
        <v>171</v>
      </c>
      <c r="V835">
        <v>0</v>
      </c>
      <c r="W835">
        <v>353</v>
      </c>
      <c r="X835">
        <v>106</v>
      </c>
      <c r="Y835">
        <v>61.9</v>
      </c>
      <c r="Z835">
        <v>42.4</v>
      </c>
      <c r="AA835">
        <v>81.400000000000006</v>
      </c>
    </row>
    <row r="836" spans="1:27" x14ac:dyDescent="0.25">
      <c r="A836" t="s">
        <v>232</v>
      </c>
      <c r="B836" t="s">
        <v>217</v>
      </c>
      <c r="C836" s="76">
        <v>43936</v>
      </c>
      <c r="D836">
        <v>1354</v>
      </c>
      <c r="E836">
        <v>107</v>
      </c>
      <c r="F836">
        <v>2601</v>
      </c>
      <c r="G836">
        <v>1031</v>
      </c>
      <c r="H836">
        <v>56.8</v>
      </c>
      <c r="I836">
        <v>51.3</v>
      </c>
      <c r="J836">
        <v>62.3</v>
      </c>
      <c r="K836">
        <v>228</v>
      </c>
      <c r="L836">
        <v>36</v>
      </c>
      <c r="M836">
        <v>420</v>
      </c>
      <c r="N836">
        <v>9.6</v>
      </c>
      <c r="O836">
        <v>5.8</v>
      </c>
      <c r="P836">
        <v>13.4</v>
      </c>
      <c r="Q836">
        <f t="shared" si="24"/>
        <v>990334</v>
      </c>
      <c r="R836">
        <f t="shared" si="23"/>
        <v>23.022535831345788</v>
      </c>
      <c r="U836">
        <v>179</v>
      </c>
      <c r="V836">
        <v>0</v>
      </c>
      <c r="W836">
        <v>376</v>
      </c>
      <c r="X836">
        <v>88</v>
      </c>
      <c r="Y836">
        <v>67.099999999999994</v>
      </c>
      <c r="Z836">
        <v>45.6</v>
      </c>
      <c r="AA836">
        <v>88.5</v>
      </c>
    </row>
    <row r="837" spans="1:27" x14ac:dyDescent="0.25">
      <c r="A837" t="s">
        <v>232</v>
      </c>
      <c r="B837" t="s">
        <v>217</v>
      </c>
      <c r="C837" s="76">
        <v>43937</v>
      </c>
      <c r="D837">
        <v>1357</v>
      </c>
      <c r="E837">
        <v>120</v>
      </c>
      <c r="F837">
        <v>2593</v>
      </c>
      <c r="G837">
        <v>1023</v>
      </c>
      <c r="H837">
        <v>57</v>
      </c>
      <c r="I837">
        <v>52.1</v>
      </c>
      <c r="J837">
        <v>61.9</v>
      </c>
      <c r="K837">
        <v>239</v>
      </c>
      <c r="L837">
        <v>39</v>
      </c>
      <c r="M837">
        <v>438</v>
      </c>
      <c r="N837">
        <v>10</v>
      </c>
      <c r="O837">
        <v>6.2</v>
      </c>
      <c r="P837">
        <v>13.9</v>
      </c>
      <c r="Q837">
        <f t="shared" si="24"/>
        <v>990334</v>
      </c>
      <c r="R837">
        <f t="shared" ref="R837:R900" si="25">K837/(Q837)*100000</f>
        <v>24.133272209173875</v>
      </c>
      <c r="U837">
        <v>180</v>
      </c>
      <c r="V837">
        <v>0</v>
      </c>
      <c r="W837">
        <v>379</v>
      </c>
      <c r="X837">
        <v>86</v>
      </c>
      <c r="Y837">
        <v>67.8</v>
      </c>
      <c r="Z837">
        <v>46.5</v>
      </c>
      <c r="AA837">
        <v>89.1</v>
      </c>
    </row>
    <row r="838" spans="1:27" x14ac:dyDescent="0.25">
      <c r="A838" t="s">
        <v>232</v>
      </c>
      <c r="B838" t="s">
        <v>217</v>
      </c>
      <c r="C838" s="76">
        <v>43938</v>
      </c>
      <c r="D838">
        <v>1391</v>
      </c>
      <c r="E838">
        <v>124</v>
      </c>
      <c r="F838">
        <v>2657</v>
      </c>
      <c r="G838">
        <v>985</v>
      </c>
      <c r="H838">
        <v>58.5</v>
      </c>
      <c r="I838">
        <v>51.6</v>
      </c>
      <c r="J838">
        <v>65.5</v>
      </c>
      <c r="K838">
        <v>270</v>
      </c>
      <c r="L838">
        <v>38</v>
      </c>
      <c r="M838">
        <v>502</v>
      </c>
      <c r="N838">
        <v>11.4</v>
      </c>
      <c r="O838">
        <v>6.4</v>
      </c>
      <c r="P838">
        <v>16.399999999999999</v>
      </c>
      <c r="Q838">
        <f t="shared" si="24"/>
        <v>990334</v>
      </c>
      <c r="R838">
        <f t="shared" si="25"/>
        <v>27.263529273962121</v>
      </c>
      <c r="U838">
        <v>184</v>
      </c>
      <c r="V838">
        <v>0</v>
      </c>
      <c r="W838">
        <v>387</v>
      </c>
      <c r="X838">
        <v>85</v>
      </c>
      <c r="Y838">
        <v>68.3</v>
      </c>
      <c r="Z838">
        <v>48.7</v>
      </c>
      <c r="AA838">
        <v>87.9</v>
      </c>
    </row>
    <row r="839" spans="1:27" x14ac:dyDescent="0.25">
      <c r="A839" t="s">
        <v>232</v>
      </c>
      <c r="B839" t="s">
        <v>217</v>
      </c>
      <c r="C839" s="76">
        <v>43939</v>
      </c>
      <c r="D839">
        <v>1403</v>
      </c>
      <c r="E839">
        <v>169</v>
      </c>
      <c r="F839">
        <v>2636</v>
      </c>
      <c r="G839">
        <v>974</v>
      </c>
      <c r="H839">
        <v>59</v>
      </c>
      <c r="I839">
        <v>51.3</v>
      </c>
      <c r="J839">
        <v>66.8</v>
      </c>
      <c r="K839">
        <v>281</v>
      </c>
      <c r="L839">
        <v>46</v>
      </c>
      <c r="M839">
        <v>517</v>
      </c>
      <c r="N839">
        <v>11.8</v>
      </c>
      <c r="O839">
        <v>6.3</v>
      </c>
      <c r="P839">
        <v>17.3</v>
      </c>
      <c r="Q839">
        <f t="shared" si="24"/>
        <v>990334</v>
      </c>
      <c r="R839">
        <f t="shared" si="25"/>
        <v>28.374265651790203</v>
      </c>
      <c r="U839">
        <v>177</v>
      </c>
      <c r="V839">
        <v>0</v>
      </c>
      <c r="W839">
        <v>370</v>
      </c>
      <c r="X839">
        <v>93</v>
      </c>
      <c r="Y839">
        <v>65.7</v>
      </c>
      <c r="Z839">
        <v>44.6</v>
      </c>
      <c r="AA839">
        <v>86.9</v>
      </c>
    </row>
    <row r="840" spans="1:27" x14ac:dyDescent="0.25">
      <c r="A840" t="s">
        <v>232</v>
      </c>
      <c r="B840" t="s">
        <v>217</v>
      </c>
      <c r="C840" s="76">
        <v>43940</v>
      </c>
      <c r="D840">
        <v>1395</v>
      </c>
      <c r="E840">
        <v>163</v>
      </c>
      <c r="F840">
        <v>2627</v>
      </c>
      <c r="G840">
        <v>983</v>
      </c>
      <c r="H840">
        <v>58.7</v>
      </c>
      <c r="I840">
        <v>51.7</v>
      </c>
      <c r="J840">
        <v>65.599999999999994</v>
      </c>
      <c r="K840">
        <v>285</v>
      </c>
      <c r="L840">
        <v>44</v>
      </c>
      <c r="M840">
        <v>526</v>
      </c>
      <c r="N840">
        <v>12</v>
      </c>
      <c r="O840">
        <v>6.6</v>
      </c>
      <c r="P840">
        <v>17.3</v>
      </c>
      <c r="Q840">
        <f t="shared" si="24"/>
        <v>990334</v>
      </c>
      <c r="R840">
        <f t="shared" si="25"/>
        <v>28.778169789182236</v>
      </c>
      <c r="U840">
        <v>168</v>
      </c>
      <c r="V840">
        <v>0</v>
      </c>
      <c r="W840">
        <v>352</v>
      </c>
      <c r="X840">
        <v>102</v>
      </c>
      <c r="Y840">
        <v>62.2</v>
      </c>
      <c r="Z840">
        <v>45.9</v>
      </c>
      <c r="AA840">
        <v>78.5</v>
      </c>
    </row>
    <row r="841" spans="1:27" x14ac:dyDescent="0.25">
      <c r="A841" t="s">
        <v>232</v>
      </c>
      <c r="B841" t="s">
        <v>217</v>
      </c>
      <c r="C841" s="76">
        <v>43941</v>
      </c>
      <c r="D841">
        <v>1478</v>
      </c>
      <c r="E841">
        <v>200</v>
      </c>
      <c r="F841">
        <v>2756</v>
      </c>
      <c r="G841">
        <v>972</v>
      </c>
      <c r="H841">
        <v>60.3</v>
      </c>
      <c r="I841">
        <v>54</v>
      </c>
      <c r="J841">
        <v>66.599999999999994</v>
      </c>
      <c r="K841">
        <v>316</v>
      </c>
      <c r="L841">
        <v>58</v>
      </c>
      <c r="M841">
        <v>574</v>
      </c>
      <c r="N841">
        <v>12.9</v>
      </c>
      <c r="O841">
        <v>7.5</v>
      </c>
      <c r="P841">
        <v>18.3</v>
      </c>
      <c r="Q841">
        <f t="shared" si="24"/>
        <v>990334</v>
      </c>
      <c r="R841">
        <f t="shared" si="25"/>
        <v>31.908426853970475</v>
      </c>
      <c r="U841">
        <v>186</v>
      </c>
      <c r="V841">
        <v>0</v>
      </c>
      <c r="W841">
        <v>389</v>
      </c>
      <c r="X841">
        <v>93</v>
      </c>
      <c r="Y841">
        <v>66.8</v>
      </c>
      <c r="Z841">
        <v>49.4</v>
      </c>
      <c r="AA841">
        <v>84.2</v>
      </c>
    </row>
    <row r="842" spans="1:27" x14ac:dyDescent="0.25">
      <c r="A842" t="s">
        <v>232</v>
      </c>
      <c r="B842" t="s">
        <v>217</v>
      </c>
      <c r="C842" s="76">
        <v>43942</v>
      </c>
      <c r="D842">
        <v>1573</v>
      </c>
      <c r="E842">
        <v>201</v>
      </c>
      <c r="F842">
        <v>2944</v>
      </c>
      <c r="G842">
        <v>895</v>
      </c>
      <c r="H842">
        <v>63.7</v>
      </c>
      <c r="I842">
        <v>57.3</v>
      </c>
      <c r="J842">
        <v>70.2</v>
      </c>
      <c r="K842">
        <v>313</v>
      </c>
      <c r="L842">
        <v>63</v>
      </c>
      <c r="M842">
        <v>563</v>
      </c>
      <c r="N842">
        <v>12.7</v>
      </c>
      <c r="O842">
        <v>6.7</v>
      </c>
      <c r="P842">
        <v>18.7</v>
      </c>
      <c r="Q842">
        <f t="shared" si="24"/>
        <v>990334</v>
      </c>
      <c r="R842">
        <f t="shared" si="25"/>
        <v>31.605498750926454</v>
      </c>
      <c r="U842">
        <v>193</v>
      </c>
      <c r="V842">
        <v>0</v>
      </c>
      <c r="W842">
        <v>412</v>
      </c>
      <c r="X842">
        <v>85</v>
      </c>
      <c r="Y842">
        <v>69.400000000000006</v>
      </c>
      <c r="Z842">
        <v>56.8</v>
      </c>
      <c r="AA842">
        <v>82</v>
      </c>
    </row>
    <row r="843" spans="1:27" x14ac:dyDescent="0.25">
      <c r="A843" t="s">
        <v>232</v>
      </c>
      <c r="B843" t="s">
        <v>217</v>
      </c>
      <c r="C843" s="76">
        <v>43943</v>
      </c>
      <c r="D843">
        <v>1612</v>
      </c>
      <c r="E843">
        <v>203</v>
      </c>
      <c r="F843">
        <v>3021</v>
      </c>
      <c r="G843">
        <v>851</v>
      </c>
      <c r="H843">
        <v>65.400000000000006</v>
      </c>
      <c r="I843">
        <v>57.6</v>
      </c>
      <c r="J843">
        <v>73.3</v>
      </c>
      <c r="K843">
        <v>335</v>
      </c>
      <c r="L843">
        <v>66</v>
      </c>
      <c r="M843">
        <v>604</v>
      </c>
      <c r="N843">
        <v>13.6</v>
      </c>
      <c r="O843">
        <v>7.1</v>
      </c>
      <c r="P843">
        <v>20.100000000000001</v>
      </c>
      <c r="Q843">
        <f t="shared" si="24"/>
        <v>990334</v>
      </c>
      <c r="R843">
        <f t="shared" si="25"/>
        <v>33.826971506582623</v>
      </c>
      <c r="U843">
        <v>174</v>
      </c>
      <c r="V843">
        <v>0</v>
      </c>
      <c r="W843">
        <v>374</v>
      </c>
      <c r="X843">
        <v>103</v>
      </c>
      <c r="Y843">
        <v>62.8</v>
      </c>
      <c r="Z843">
        <v>51.1</v>
      </c>
      <c r="AA843">
        <v>74.599999999999994</v>
      </c>
    </row>
    <row r="844" spans="1:27" x14ac:dyDescent="0.25">
      <c r="A844" t="s">
        <v>232</v>
      </c>
      <c r="B844" t="s">
        <v>217</v>
      </c>
      <c r="C844" s="76">
        <v>43944</v>
      </c>
      <c r="D844">
        <v>1624</v>
      </c>
      <c r="E844">
        <v>217</v>
      </c>
      <c r="F844">
        <v>3031</v>
      </c>
      <c r="G844">
        <v>834</v>
      </c>
      <c r="H844">
        <v>66.099999999999994</v>
      </c>
      <c r="I844">
        <v>57</v>
      </c>
      <c r="J844">
        <v>75.2</v>
      </c>
      <c r="K844">
        <v>318</v>
      </c>
      <c r="L844">
        <v>58</v>
      </c>
      <c r="M844">
        <v>578</v>
      </c>
      <c r="N844">
        <v>12.9</v>
      </c>
      <c r="O844">
        <v>7.3</v>
      </c>
      <c r="P844">
        <v>18.600000000000001</v>
      </c>
      <c r="Q844">
        <f t="shared" si="24"/>
        <v>990334</v>
      </c>
      <c r="R844">
        <f t="shared" si="25"/>
        <v>32.110378922666499</v>
      </c>
      <c r="U844">
        <v>173</v>
      </c>
      <c r="V844">
        <v>0</v>
      </c>
      <c r="W844">
        <v>371</v>
      </c>
      <c r="X844">
        <v>118</v>
      </c>
      <c r="Y844">
        <v>59.5</v>
      </c>
      <c r="Z844">
        <v>53.7</v>
      </c>
      <c r="AA844">
        <v>65.2</v>
      </c>
    </row>
    <row r="845" spans="1:27" x14ac:dyDescent="0.25">
      <c r="A845" t="s">
        <v>232</v>
      </c>
      <c r="B845" t="s">
        <v>217</v>
      </c>
      <c r="C845" s="76">
        <v>43945</v>
      </c>
      <c r="D845">
        <v>1638</v>
      </c>
      <c r="E845">
        <v>215</v>
      </c>
      <c r="F845">
        <v>3061</v>
      </c>
      <c r="G845">
        <v>818</v>
      </c>
      <c r="H845">
        <v>66.7</v>
      </c>
      <c r="I845">
        <v>58</v>
      </c>
      <c r="J845">
        <v>75.400000000000006</v>
      </c>
      <c r="K845">
        <v>338</v>
      </c>
      <c r="L845">
        <v>61</v>
      </c>
      <c r="M845">
        <v>615</v>
      </c>
      <c r="N845">
        <v>13.8</v>
      </c>
      <c r="O845">
        <v>7.5</v>
      </c>
      <c r="P845">
        <v>20</v>
      </c>
      <c r="Q845">
        <f t="shared" si="24"/>
        <v>990334</v>
      </c>
      <c r="R845">
        <f t="shared" si="25"/>
        <v>34.129899609626655</v>
      </c>
      <c r="U845">
        <v>177</v>
      </c>
      <c r="V845">
        <v>0</v>
      </c>
      <c r="W845">
        <v>379</v>
      </c>
      <c r="X845">
        <v>115</v>
      </c>
      <c r="Y845">
        <v>60.6</v>
      </c>
      <c r="Z845">
        <v>54.8</v>
      </c>
      <c r="AA845">
        <v>66.400000000000006</v>
      </c>
    </row>
    <row r="846" spans="1:27" x14ac:dyDescent="0.25">
      <c r="A846" t="s">
        <v>232</v>
      </c>
      <c r="B846" t="s">
        <v>217</v>
      </c>
      <c r="C846" s="76">
        <v>43946</v>
      </c>
      <c r="D846">
        <v>1615</v>
      </c>
      <c r="E846">
        <v>232</v>
      </c>
      <c r="F846">
        <v>2997</v>
      </c>
      <c r="G846">
        <v>841</v>
      </c>
      <c r="H846">
        <v>65.8</v>
      </c>
      <c r="I846">
        <v>56</v>
      </c>
      <c r="J846">
        <v>75.5</v>
      </c>
      <c r="K846">
        <v>355</v>
      </c>
      <c r="L846">
        <v>67</v>
      </c>
      <c r="M846">
        <v>643</v>
      </c>
      <c r="N846">
        <v>14.5</v>
      </c>
      <c r="O846">
        <v>7.2</v>
      </c>
      <c r="P846">
        <v>21.7</v>
      </c>
      <c r="Q846">
        <f t="shared" si="24"/>
        <v>990334</v>
      </c>
      <c r="R846">
        <f t="shared" si="25"/>
        <v>35.846492193542787</v>
      </c>
      <c r="U846">
        <v>184</v>
      </c>
      <c r="V846">
        <v>0</v>
      </c>
      <c r="W846">
        <v>396</v>
      </c>
      <c r="X846">
        <v>107</v>
      </c>
      <c r="Y846">
        <v>63.2</v>
      </c>
      <c r="Z846">
        <v>56.8</v>
      </c>
      <c r="AA846">
        <v>69.7</v>
      </c>
    </row>
    <row r="847" spans="1:27" x14ac:dyDescent="0.25">
      <c r="A847" t="s">
        <v>232</v>
      </c>
      <c r="B847" t="s">
        <v>217</v>
      </c>
      <c r="C847" s="76">
        <v>43947</v>
      </c>
      <c r="D847">
        <v>1634</v>
      </c>
      <c r="E847">
        <v>231</v>
      </c>
      <c r="F847">
        <v>3037</v>
      </c>
      <c r="G847">
        <v>818</v>
      </c>
      <c r="H847">
        <v>66.599999999999994</v>
      </c>
      <c r="I847">
        <v>57.8</v>
      </c>
      <c r="J847">
        <v>75.5</v>
      </c>
      <c r="K847">
        <v>349</v>
      </c>
      <c r="L847">
        <v>62</v>
      </c>
      <c r="M847">
        <v>636</v>
      </c>
      <c r="N847">
        <v>14.2</v>
      </c>
      <c r="O847">
        <v>7.3</v>
      </c>
      <c r="P847">
        <v>21.1</v>
      </c>
      <c r="Q847">
        <f t="shared" si="24"/>
        <v>990334</v>
      </c>
      <c r="R847">
        <f t="shared" si="25"/>
        <v>35.240635987454738</v>
      </c>
      <c r="U847">
        <v>185</v>
      </c>
      <c r="V847">
        <v>0</v>
      </c>
      <c r="W847">
        <v>390</v>
      </c>
      <c r="X847">
        <v>107</v>
      </c>
      <c r="Y847">
        <v>63.4</v>
      </c>
      <c r="Z847">
        <v>54.5</v>
      </c>
      <c r="AA847">
        <v>72.2</v>
      </c>
    </row>
    <row r="848" spans="1:27" x14ac:dyDescent="0.25">
      <c r="A848" t="s">
        <v>232</v>
      </c>
      <c r="B848" t="s">
        <v>217</v>
      </c>
      <c r="C848" s="76">
        <v>43948</v>
      </c>
      <c r="D848">
        <v>1671</v>
      </c>
      <c r="E848">
        <v>226</v>
      </c>
      <c r="F848">
        <v>3116</v>
      </c>
      <c r="G848">
        <v>792</v>
      </c>
      <c r="H848">
        <v>67.8</v>
      </c>
      <c r="I848">
        <v>59.5</v>
      </c>
      <c r="J848">
        <v>76.2</v>
      </c>
      <c r="K848">
        <v>352</v>
      </c>
      <c r="L848">
        <v>64</v>
      </c>
      <c r="M848">
        <v>640</v>
      </c>
      <c r="N848">
        <v>14.3</v>
      </c>
      <c r="O848">
        <v>7.7</v>
      </c>
      <c r="P848">
        <v>20.9</v>
      </c>
      <c r="Q848">
        <f t="shared" si="24"/>
        <v>990334</v>
      </c>
      <c r="R848">
        <f t="shared" si="25"/>
        <v>35.543564090498755</v>
      </c>
      <c r="U848">
        <v>177</v>
      </c>
      <c r="V848">
        <v>0</v>
      </c>
      <c r="W848">
        <v>375</v>
      </c>
      <c r="X848">
        <v>115</v>
      </c>
      <c r="Y848">
        <v>60.6</v>
      </c>
      <c r="Z848">
        <v>53.7</v>
      </c>
      <c r="AA848">
        <v>67.5</v>
      </c>
    </row>
    <row r="849" spans="1:27" x14ac:dyDescent="0.25">
      <c r="A849" t="s">
        <v>232</v>
      </c>
      <c r="B849" t="s">
        <v>217</v>
      </c>
      <c r="C849" s="76">
        <v>43949</v>
      </c>
      <c r="D849">
        <v>1710</v>
      </c>
      <c r="E849">
        <v>198</v>
      </c>
      <c r="F849">
        <v>3221</v>
      </c>
      <c r="G849">
        <v>753</v>
      </c>
      <c r="H849">
        <v>69.400000000000006</v>
      </c>
      <c r="I849">
        <v>62.3</v>
      </c>
      <c r="J849">
        <v>76.5</v>
      </c>
      <c r="K849">
        <v>345</v>
      </c>
      <c r="L849">
        <v>61</v>
      </c>
      <c r="M849">
        <v>629</v>
      </c>
      <c r="N849">
        <v>14</v>
      </c>
      <c r="O849">
        <v>7.8</v>
      </c>
      <c r="P849">
        <v>20.2</v>
      </c>
      <c r="Q849">
        <f t="shared" si="24"/>
        <v>990334</v>
      </c>
      <c r="R849">
        <f t="shared" si="25"/>
        <v>34.836731850062705</v>
      </c>
      <c r="U849">
        <v>200</v>
      </c>
      <c r="V849">
        <v>0</v>
      </c>
      <c r="W849">
        <v>431</v>
      </c>
      <c r="X849">
        <v>106</v>
      </c>
      <c r="Y849">
        <v>65.400000000000006</v>
      </c>
      <c r="Z849">
        <v>44.8</v>
      </c>
      <c r="AA849">
        <v>86.1</v>
      </c>
    </row>
    <row r="850" spans="1:27" x14ac:dyDescent="0.25">
      <c r="A850" t="s">
        <v>232</v>
      </c>
      <c r="B850" t="s">
        <v>217</v>
      </c>
      <c r="C850" s="76">
        <v>43950</v>
      </c>
      <c r="D850">
        <v>1667</v>
      </c>
      <c r="E850">
        <v>217</v>
      </c>
      <c r="F850">
        <v>3117</v>
      </c>
      <c r="G850">
        <v>1318</v>
      </c>
      <c r="H850">
        <v>55.9</v>
      </c>
      <c r="I850">
        <v>40</v>
      </c>
      <c r="J850">
        <v>71.7</v>
      </c>
      <c r="K850">
        <v>322</v>
      </c>
      <c r="L850">
        <v>59</v>
      </c>
      <c r="M850">
        <v>586</v>
      </c>
      <c r="N850">
        <v>10.8</v>
      </c>
      <c r="O850">
        <v>4.0999999999999996</v>
      </c>
      <c r="P850">
        <v>17.5</v>
      </c>
      <c r="Q850">
        <f t="shared" si="24"/>
        <v>990334</v>
      </c>
      <c r="R850">
        <f t="shared" si="25"/>
        <v>32.514283060058524</v>
      </c>
      <c r="U850">
        <v>204</v>
      </c>
      <c r="V850">
        <v>0</v>
      </c>
      <c r="W850">
        <v>436</v>
      </c>
      <c r="X850">
        <v>269</v>
      </c>
      <c r="Y850">
        <v>43.2</v>
      </c>
      <c r="Z850">
        <v>26.8</v>
      </c>
      <c r="AA850">
        <v>59.6</v>
      </c>
    </row>
    <row r="851" spans="1:27" x14ac:dyDescent="0.25">
      <c r="A851" t="s">
        <v>232</v>
      </c>
      <c r="B851" t="s">
        <v>217</v>
      </c>
      <c r="C851" s="76">
        <v>43951</v>
      </c>
      <c r="D851">
        <v>1711</v>
      </c>
      <c r="E851">
        <v>169</v>
      </c>
      <c r="F851">
        <v>3253</v>
      </c>
      <c r="G851">
        <v>1272</v>
      </c>
      <c r="H851">
        <v>57.4</v>
      </c>
      <c r="I851">
        <v>43.7</v>
      </c>
      <c r="J851">
        <v>71</v>
      </c>
      <c r="K851">
        <v>314</v>
      </c>
      <c r="L851">
        <v>50</v>
      </c>
      <c r="M851">
        <v>577</v>
      </c>
      <c r="N851">
        <v>10.5</v>
      </c>
      <c r="O851">
        <v>4.9000000000000004</v>
      </c>
      <c r="P851">
        <v>16.100000000000001</v>
      </c>
      <c r="Q851">
        <f t="shared" si="24"/>
        <v>990334</v>
      </c>
      <c r="R851">
        <f t="shared" si="25"/>
        <v>31.706474785274462</v>
      </c>
      <c r="U851">
        <v>202</v>
      </c>
      <c r="V851">
        <v>0</v>
      </c>
      <c r="W851">
        <v>430</v>
      </c>
      <c r="X851">
        <v>272</v>
      </c>
      <c r="Y851">
        <v>42.7</v>
      </c>
      <c r="Z851">
        <v>21.4</v>
      </c>
      <c r="AA851">
        <v>63.9</v>
      </c>
    </row>
    <row r="852" spans="1:27" x14ac:dyDescent="0.25">
      <c r="A852" t="s">
        <v>232</v>
      </c>
      <c r="B852" t="s">
        <v>217</v>
      </c>
      <c r="C852" s="76">
        <v>43952</v>
      </c>
      <c r="D852">
        <v>1735</v>
      </c>
      <c r="E852">
        <v>161</v>
      </c>
      <c r="F852">
        <v>3309</v>
      </c>
      <c r="G852">
        <v>891</v>
      </c>
      <c r="H852">
        <v>66.099999999999994</v>
      </c>
      <c r="I852">
        <v>58.3</v>
      </c>
      <c r="J852">
        <v>73.8</v>
      </c>
      <c r="K852">
        <v>334</v>
      </c>
      <c r="L852">
        <v>61</v>
      </c>
      <c r="M852">
        <v>607</v>
      </c>
      <c r="N852">
        <v>12.7</v>
      </c>
      <c r="O852">
        <v>6.9</v>
      </c>
      <c r="P852">
        <v>18.5</v>
      </c>
      <c r="Q852">
        <f t="shared" si="24"/>
        <v>990334</v>
      </c>
      <c r="R852">
        <f t="shared" si="25"/>
        <v>33.725995472234615</v>
      </c>
      <c r="U852">
        <v>210</v>
      </c>
      <c r="V852">
        <v>0</v>
      </c>
      <c r="W852">
        <v>434</v>
      </c>
      <c r="X852">
        <v>102</v>
      </c>
      <c r="Y852">
        <v>67.2</v>
      </c>
      <c r="Z852">
        <v>55.4</v>
      </c>
      <c r="AA852">
        <v>79</v>
      </c>
    </row>
    <row r="853" spans="1:27" x14ac:dyDescent="0.25">
      <c r="A853" t="s">
        <v>232</v>
      </c>
      <c r="B853" t="s">
        <v>217</v>
      </c>
      <c r="C853" s="76">
        <v>43953</v>
      </c>
      <c r="D853">
        <v>1665</v>
      </c>
      <c r="E853">
        <v>120</v>
      </c>
      <c r="F853">
        <v>3209</v>
      </c>
      <c r="G853">
        <v>959</v>
      </c>
      <c r="H853">
        <v>63.4</v>
      </c>
      <c r="I853">
        <v>56.6</v>
      </c>
      <c r="J853">
        <v>70.3</v>
      </c>
      <c r="K853">
        <v>317</v>
      </c>
      <c r="L853">
        <v>52</v>
      </c>
      <c r="M853">
        <v>582</v>
      </c>
      <c r="N853">
        <v>12.1</v>
      </c>
      <c r="O853">
        <v>6.9</v>
      </c>
      <c r="P853">
        <v>17.3</v>
      </c>
      <c r="Q853">
        <f t="shared" si="24"/>
        <v>990334</v>
      </c>
      <c r="R853">
        <f t="shared" si="25"/>
        <v>32.009402888318483</v>
      </c>
      <c r="U853">
        <v>204</v>
      </c>
      <c r="V853">
        <v>0</v>
      </c>
      <c r="W853">
        <v>425</v>
      </c>
      <c r="X853">
        <v>109</v>
      </c>
      <c r="Y853">
        <v>65.3</v>
      </c>
      <c r="Z853">
        <v>55.1</v>
      </c>
      <c r="AA853">
        <v>75.5</v>
      </c>
    </row>
    <row r="854" spans="1:27" x14ac:dyDescent="0.25">
      <c r="A854" t="s">
        <v>232</v>
      </c>
      <c r="B854" t="s">
        <v>217</v>
      </c>
      <c r="C854" s="76">
        <v>43954</v>
      </c>
      <c r="D854">
        <v>1696</v>
      </c>
      <c r="E854">
        <v>177</v>
      </c>
      <c r="F854">
        <v>3214</v>
      </c>
      <c r="G854">
        <v>907</v>
      </c>
      <c r="H854">
        <v>65.2</v>
      </c>
      <c r="I854">
        <v>56.2</v>
      </c>
      <c r="J854">
        <v>74.2</v>
      </c>
      <c r="K854">
        <v>312</v>
      </c>
      <c r="L854">
        <v>57</v>
      </c>
      <c r="M854">
        <v>567</v>
      </c>
      <c r="N854">
        <v>12</v>
      </c>
      <c r="O854">
        <v>6.4</v>
      </c>
      <c r="P854">
        <v>17.600000000000001</v>
      </c>
      <c r="Q854">
        <f t="shared" si="24"/>
        <v>990334</v>
      </c>
      <c r="R854">
        <f t="shared" si="25"/>
        <v>31.504522716578446</v>
      </c>
      <c r="U854">
        <v>204</v>
      </c>
      <c r="V854">
        <v>0</v>
      </c>
      <c r="W854">
        <v>423</v>
      </c>
      <c r="X854">
        <v>109</v>
      </c>
      <c r="Y854">
        <v>65.3</v>
      </c>
      <c r="Z854">
        <v>55.6</v>
      </c>
      <c r="AA854">
        <v>75</v>
      </c>
    </row>
    <row r="855" spans="1:27" x14ac:dyDescent="0.25">
      <c r="A855" t="s">
        <v>232</v>
      </c>
      <c r="B855" t="s">
        <v>217</v>
      </c>
      <c r="C855" s="76">
        <v>43955</v>
      </c>
      <c r="D855">
        <v>1725</v>
      </c>
      <c r="E855">
        <v>193</v>
      </c>
      <c r="F855">
        <v>3258</v>
      </c>
      <c r="G855">
        <v>885</v>
      </c>
      <c r="H855">
        <v>66.099999999999994</v>
      </c>
      <c r="I855">
        <v>56.7</v>
      </c>
      <c r="J855">
        <v>75.5</v>
      </c>
      <c r="K855">
        <v>343</v>
      </c>
      <c r="L855">
        <v>58</v>
      </c>
      <c r="M855">
        <v>627</v>
      </c>
      <c r="N855">
        <v>13.1</v>
      </c>
      <c r="O855">
        <v>7.3</v>
      </c>
      <c r="P855">
        <v>19</v>
      </c>
      <c r="Q855">
        <f t="shared" si="24"/>
        <v>990334</v>
      </c>
      <c r="R855">
        <f t="shared" si="25"/>
        <v>34.634779781366689</v>
      </c>
      <c r="U855">
        <v>206</v>
      </c>
      <c r="V855">
        <v>0</v>
      </c>
      <c r="W855">
        <v>433</v>
      </c>
      <c r="X855">
        <v>106</v>
      </c>
      <c r="Y855">
        <v>66.099999999999994</v>
      </c>
      <c r="Z855">
        <v>55.9</v>
      </c>
      <c r="AA855">
        <v>76.3</v>
      </c>
    </row>
    <row r="856" spans="1:27" x14ac:dyDescent="0.25">
      <c r="A856" t="s">
        <v>232</v>
      </c>
      <c r="B856" t="s">
        <v>217</v>
      </c>
      <c r="C856" s="76">
        <v>43956</v>
      </c>
      <c r="D856">
        <v>1795</v>
      </c>
      <c r="E856">
        <v>190</v>
      </c>
      <c r="F856">
        <v>3400</v>
      </c>
      <c r="G856">
        <v>820</v>
      </c>
      <c r="H856">
        <v>68.7</v>
      </c>
      <c r="I856">
        <v>57</v>
      </c>
      <c r="J856">
        <v>80.3</v>
      </c>
      <c r="K856">
        <v>334</v>
      </c>
      <c r="L856">
        <v>55</v>
      </c>
      <c r="M856">
        <v>612</v>
      </c>
      <c r="N856">
        <v>12.8</v>
      </c>
      <c r="O856">
        <v>6.8</v>
      </c>
      <c r="P856">
        <v>18.8</v>
      </c>
      <c r="Q856">
        <f t="shared" si="24"/>
        <v>990334</v>
      </c>
      <c r="R856">
        <f t="shared" si="25"/>
        <v>33.725995472234615</v>
      </c>
      <c r="U856">
        <v>208</v>
      </c>
      <c r="V856">
        <v>0</v>
      </c>
      <c r="W856">
        <v>438</v>
      </c>
      <c r="X856">
        <v>101</v>
      </c>
      <c r="Y856">
        <v>67.2</v>
      </c>
      <c r="Z856">
        <v>58.8</v>
      </c>
      <c r="AA856">
        <v>75.599999999999994</v>
      </c>
    </row>
    <row r="857" spans="1:27" x14ac:dyDescent="0.25">
      <c r="A857" t="s">
        <v>232</v>
      </c>
      <c r="B857" t="s">
        <v>217</v>
      </c>
      <c r="C857" s="76">
        <v>43957</v>
      </c>
      <c r="D857">
        <v>1770</v>
      </c>
      <c r="E857">
        <v>165</v>
      </c>
      <c r="F857">
        <v>3374</v>
      </c>
      <c r="G857">
        <v>849</v>
      </c>
      <c r="H857">
        <v>67.599999999999994</v>
      </c>
      <c r="I857">
        <v>59.6</v>
      </c>
      <c r="J857">
        <v>75.5</v>
      </c>
      <c r="K857">
        <v>330</v>
      </c>
      <c r="L857">
        <v>57</v>
      </c>
      <c r="M857">
        <v>603</v>
      </c>
      <c r="N857">
        <v>12.6</v>
      </c>
      <c r="O857">
        <v>7</v>
      </c>
      <c r="P857">
        <v>18.2</v>
      </c>
      <c r="Q857">
        <f t="shared" si="24"/>
        <v>990334</v>
      </c>
      <c r="R857">
        <f t="shared" si="25"/>
        <v>33.32209133484259</v>
      </c>
      <c r="U857">
        <v>211</v>
      </c>
      <c r="V857">
        <v>0</v>
      </c>
      <c r="W857">
        <v>451</v>
      </c>
      <c r="X857">
        <v>99</v>
      </c>
      <c r="Y857">
        <v>68</v>
      </c>
      <c r="Z857">
        <v>52.3</v>
      </c>
      <c r="AA857">
        <v>83.7</v>
      </c>
    </row>
    <row r="858" spans="1:27" x14ac:dyDescent="0.25">
      <c r="A858" t="s">
        <v>232</v>
      </c>
      <c r="B858" t="s">
        <v>217</v>
      </c>
      <c r="C858" s="76">
        <v>43958</v>
      </c>
      <c r="D858">
        <v>1760</v>
      </c>
      <c r="E858">
        <v>138</v>
      </c>
      <c r="F858">
        <v>3383</v>
      </c>
      <c r="G858">
        <v>861</v>
      </c>
      <c r="H858">
        <v>67.099999999999994</v>
      </c>
      <c r="I858">
        <v>60.1</v>
      </c>
      <c r="J858">
        <v>74.2</v>
      </c>
      <c r="K858">
        <v>354</v>
      </c>
      <c r="L858">
        <v>56</v>
      </c>
      <c r="M858">
        <v>651</v>
      </c>
      <c r="N858">
        <v>13.5</v>
      </c>
      <c r="O858">
        <v>7.6</v>
      </c>
      <c r="P858">
        <v>19.399999999999999</v>
      </c>
      <c r="Q858">
        <f t="shared" si="24"/>
        <v>990334</v>
      </c>
      <c r="R858">
        <f t="shared" si="25"/>
        <v>35.745516159194779</v>
      </c>
      <c r="U858">
        <v>224</v>
      </c>
      <c r="V858">
        <v>0</v>
      </c>
      <c r="W858">
        <v>474</v>
      </c>
      <c r="X858">
        <v>86</v>
      </c>
      <c r="Y858">
        <v>72.3</v>
      </c>
      <c r="Z858">
        <v>52</v>
      </c>
      <c r="AA858">
        <v>92.5</v>
      </c>
    </row>
    <row r="859" spans="1:27" x14ac:dyDescent="0.25">
      <c r="A859" t="s">
        <v>232</v>
      </c>
      <c r="B859" t="s">
        <v>217</v>
      </c>
      <c r="C859" s="76">
        <v>43959</v>
      </c>
      <c r="D859">
        <v>1754</v>
      </c>
      <c r="E859">
        <v>141</v>
      </c>
      <c r="F859">
        <v>3367</v>
      </c>
      <c r="G859">
        <v>862</v>
      </c>
      <c r="H859">
        <v>67</v>
      </c>
      <c r="I859">
        <v>59.8</v>
      </c>
      <c r="J859">
        <v>74.3</v>
      </c>
      <c r="K859">
        <v>326</v>
      </c>
      <c r="L859">
        <v>39</v>
      </c>
      <c r="M859">
        <v>614</v>
      </c>
      <c r="N859">
        <v>12.5</v>
      </c>
      <c r="O859">
        <v>7.4</v>
      </c>
      <c r="P859">
        <v>17.600000000000001</v>
      </c>
      <c r="Q859">
        <f t="shared" si="24"/>
        <v>990334</v>
      </c>
      <c r="R859">
        <f t="shared" si="25"/>
        <v>32.918187197450557</v>
      </c>
      <c r="U859">
        <v>196</v>
      </c>
      <c r="V859">
        <v>0</v>
      </c>
      <c r="W859">
        <v>419</v>
      </c>
      <c r="X859">
        <v>118</v>
      </c>
      <c r="Y859">
        <v>62.5</v>
      </c>
      <c r="Z859">
        <v>55</v>
      </c>
      <c r="AA859">
        <v>69.900000000000006</v>
      </c>
    </row>
    <row r="860" spans="1:27" x14ac:dyDescent="0.25">
      <c r="A860" t="s">
        <v>232</v>
      </c>
      <c r="B860" t="s">
        <v>217</v>
      </c>
      <c r="C860" s="76">
        <v>43960</v>
      </c>
      <c r="D860">
        <v>1707</v>
      </c>
      <c r="E860">
        <v>121</v>
      </c>
      <c r="F860">
        <v>3293</v>
      </c>
      <c r="G860">
        <v>891</v>
      </c>
      <c r="H860">
        <v>65.7</v>
      </c>
      <c r="I860">
        <v>58.5</v>
      </c>
      <c r="J860">
        <v>73</v>
      </c>
      <c r="K860">
        <v>312</v>
      </c>
      <c r="L860">
        <v>41</v>
      </c>
      <c r="M860">
        <v>583</v>
      </c>
      <c r="N860">
        <v>12</v>
      </c>
      <c r="O860">
        <v>6.9</v>
      </c>
      <c r="P860">
        <v>17.100000000000001</v>
      </c>
      <c r="Q860">
        <f t="shared" si="24"/>
        <v>990334</v>
      </c>
      <c r="R860">
        <f t="shared" si="25"/>
        <v>31.504522716578446</v>
      </c>
      <c r="U860">
        <v>217</v>
      </c>
      <c r="V860">
        <v>0</v>
      </c>
      <c r="W860">
        <v>465</v>
      </c>
      <c r="X860">
        <v>97</v>
      </c>
      <c r="Y860">
        <v>69.099999999999994</v>
      </c>
      <c r="Z860">
        <v>59.1</v>
      </c>
      <c r="AA860">
        <v>79</v>
      </c>
    </row>
    <row r="861" spans="1:27" x14ac:dyDescent="0.25">
      <c r="A861" t="s">
        <v>232</v>
      </c>
      <c r="B861" t="s">
        <v>217</v>
      </c>
      <c r="C861" s="76">
        <v>43961</v>
      </c>
      <c r="D861">
        <v>1693</v>
      </c>
      <c r="E861">
        <v>109</v>
      </c>
      <c r="F861">
        <v>3278</v>
      </c>
      <c r="G861">
        <v>909</v>
      </c>
      <c r="H861">
        <v>65.099999999999994</v>
      </c>
      <c r="I861">
        <v>59</v>
      </c>
      <c r="J861">
        <v>71.099999999999994</v>
      </c>
      <c r="K861">
        <v>298</v>
      </c>
      <c r="L861">
        <v>43</v>
      </c>
      <c r="M861">
        <v>554</v>
      </c>
      <c r="N861">
        <v>11.5</v>
      </c>
      <c r="O861">
        <v>7</v>
      </c>
      <c r="P861">
        <v>15.9</v>
      </c>
      <c r="Q861">
        <f t="shared" si="24"/>
        <v>990334</v>
      </c>
      <c r="R861">
        <f t="shared" si="25"/>
        <v>30.090858235706335</v>
      </c>
      <c r="U861">
        <v>199</v>
      </c>
      <c r="V861">
        <v>0</v>
      </c>
      <c r="W861">
        <v>436</v>
      </c>
      <c r="X861">
        <v>115</v>
      </c>
      <c r="Y861">
        <v>63.4</v>
      </c>
      <c r="Z861">
        <v>55.9</v>
      </c>
      <c r="AA861">
        <v>70.900000000000006</v>
      </c>
    </row>
    <row r="862" spans="1:27" x14ac:dyDescent="0.25">
      <c r="A862" t="s">
        <v>232</v>
      </c>
      <c r="B862" t="s">
        <v>217</v>
      </c>
      <c r="C862" s="76">
        <v>43962</v>
      </c>
      <c r="D862">
        <v>1695</v>
      </c>
      <c r="E862">
        <v>158</v>
      </c>
      <c r="F862">
        <v>3231</v>
      </c>
      <c r="G862">
        <v>909</v>
      </c>
      <c r="H862">
        <v>65.099999999999994</v>
      </c>
      <c r="I862">
        <v>57.1</v>
      </c>
      <c r="J862">
        <v>73.099999999999994</v>
      </c>
      <c r="K862">
        <v>302</v>
      </c>
      <c r="L862">
        <v>43</v>
      </c>
      <c r="M862">
        <v>561</v>
      </c>
      <c r="N862">
        <v>11.6</v>
      </c>
      <c r="O862">
        <v>6.7</v>
      </c>
      <c r="P862">
        <v>16.5</v>
      </c>
      <c r="Q862">
        <f t="shared" si="24"/>
        <v>990334</v>
      </c>
      <c r="R862">
        <f t="shared" si="25"/>
        <v>30.494762373098371</v>
      </c>
      <c r="U862">
        <v>197</v>
      </c>
      <c r="V862">
        <v>0</v>
      </c>
      <c r="W862">
        <v>430</v>
      </c>
      <c r="X862">
        <v>117</v>
      </c>
      <c r="Y862">
        <v>62.7</v>
      </c>
      <c r="Z862">
        <v>55.2</v>
      </c>
      <c r="AA862">
        <v>70.2</v>
      </c>
    </row>
    <row r="863" spans="1:27" x14ac:dyDescent="0.25">
      <c r="A863" t="s">
        <v>232</v>
      </c>
      <c r="B863" t="s">
        <v>217</v>
      </c>
      <c r="C863" s="76">
        <v>43963</v>
      </c>
      <c r="D863">
        <v>1737</v>
      </c>
      <c r="E863">
        <v>122</v>
      </c>
      <c r="F863">
        <v>3351</v>
      </c>
      <c r="G863">
        <v>864</v>
      </c>
      <c r="H863">
        <v>66.8</v>
      </c>
      <c r="I863">
        <v>59.9</v>
      </c>
      <c r="J863">
        <v>73.599999999999994</v>
      </c>
      <c r="K863">
        <v>295</v>
      </c>
      <c r="L863">
        <v>35</v>
      </c>
      <c r="M863">
        <v>555</v>
      </c>
      <c r="N863">
        <v>11.3</v>
      </c>
      <c r="O863">
        <v>7.5</v>
      </c>
      <c r="P863">
        <v>15.1</v>
      </c>
      <c r="Q863">
        <f t="shared" si="24"/>
        <v>990334</v>
      </c>
      <c r="R863">
        <f t="shared" si="25"/>
        <v>29.787930132662314</v>
      </c>
      <c r="U863">
        <v>206</v>
      </c>
      <c r="V863">
        <v>0</v>
      </c>
      <c r="W863">
        <v>456</v>
      </c>
      <c r="X863">
        <v>108</v>
      </c>
      <c r="Y863">
        <v>65.7</v>
      </c>
      <c r="Z863">
        <v>47.5</v>
      </c>
      <c r="AA863">
        <v>83.9</v>
      </c>
    </row>
    <row r="864" spans="1:27" x14ac:dyDescent="0.25">
      <c r="A864" t="s">
        <v>232</v>
      </c>
      <c r="B864" t="s">
        <v>217</v>
      </c>
      <c r="C864" s="76">
        <v>43964</v>
      </c>
      <c r="D864">
        <v>1749</v>
      </c>
      <c r="E864">
        <v>153</v>
      </c>
      <c r="F864">
        <v>3345</v>
      </c>
      <c r="G864">
        <v>870</v>
      </c>
      <c r="H864">
        <v>66.8</v>
      </c>
      <c r="I864">
        <v>59.1</v>
      </c>
      <c r="J864">
        <v>74.5</v>
      </c>
      <c r="K864">
        <v>296</v>
      </c>
      <c r="L864">
        <v>44</v>
      </c>
      <c r="M864">
        <v>548</v>
      </c>
      <c r="N864">
        <v>11.3</v>
      </c>
      <c r="O864">
        <v>7</v>
      </c>
      <c r="P864">
        <v>15.6</v>
      </c>
      <c r="Q864">
        <f t="shared" si="24"/>
        <v>990334</v>
      </c>
      <c r="R864">
        <f t="shared" si="25"/>
        <v>29.888906167010319</v>
      </c>
      <c r="U864">
        <v>196</v>
      </c>
      <c r="V864">
        <v>0</v>
      </c>
      <c r="W864">
        <v>429</v>
      </c>
      <c r="X864">
        <v>118</v>
      </c>
      <c r="Y864">
        <v>62.5</v>
      </c>
      <c r="Z864">
        <v>56.1</v>
      </c>
      <c r="AA864">
        <v>68.8</v>
      </c>
    </row>
    <row r="865" spans="1:27" x14ac:dyDescent="0.25">
      <c r="A865" t="s">
        <v>232</v>
      </c>
      <c r="B865" t="s">
        <v>217</v>
      </c>
      <c r="C865" s="76">
        <v>43965</v>
      </c>
      <c r="D865">
        <v>1769</v>
      </c>
      <c r="E865">
        <v>163</v>
      </c>
      <c r="F865">
        <v>3374</v>
      </c>
      <c r="G865">
        <v>850</v>
      </c>
      <c r="H865">
        <v>67.5</v>
      </c>
      <c r="I865">
        <v>59.1</v>
      </c>
      <c r="J865">
        <v>76</v>
      </c>
      <c r="K865">
        <v>294</v>
      </c>
      <c r="L865">
        <v>41</v>
      </c>
      <c r="M865">
        <v>546</v>
      </c>
      <c r="N865">
        <v>11.2</v>
      </c>
      <c r="O865">
        <v>7.3</v>
      </c>
      <c r="P865">
        <v>15.1</v>
      </c>
      <c r="Q865">
        <f t="shared" si="24"/>
        <v>990334</v>
      </c>
      <c r="R865">
        <f t="shared" si="25"/>
        <v>29.686954098314306</v>
      </c>
      <c r="U865">
        <v>204</v>
      </c>
      <c r="V865">
        <v>0</v>
      </c>
      <c r="W865">
        <v>440</v>
      </c>
      <c r="X865">
        <v>111</v>
      </c>
      <c r="Y865">
        <v>64.8</v>
      </c>
      <c r="Z865">
        <v>57.6</v>
      </c>
      <c r="AA865">
        <v>72</v>
      </c>
    </row>
    <row r="866" spans="1:27" x14ac:dyDescent="0.25">
      <c r="A866" t="s">
        <v>232</v>
      </c>
      <c r="B866" t="s">
        <v>217</v>
      </c>
      <c r="C866" s="76">
        <v>43966</v>
      </c>
      <c r="D866">
        <v>1750</v>
      </c>
      <c r="E866">
        <v>115</v>
      </c>
      <c r="F866">
        <v>3385</v>
      </c>
      <c r="G866">
        <v>875</v>
      </c>
      <c r="H866">
        <v>66.7</v>
      </c>
      <c r="I866">
        <v>60</v>
      </c>
      <c r="J866">
        <v>73.3</v>
      </c>
      <c r="K866">
        <v>277</v>
      </c>
      <c r="L866">
        <v>25</v>
      </c>
      <c r="M866">
        <v>529</v>
      </c>
      <c r="N866">
        <v>10.5</v>
      </c>
      <c r="O866">
        <v>7.7</v>
      </c>
      <c r="P866">
        <v>13.4</v>
      </c>
      <c r="Q866">
        <f t="shared" si="24"/>
        <v>990334</v>
      </c>
      <c r="R866">
        <f t="shared" si="25"/>
        <v>27.970361514398171</v>
      </c>
      <c r="U866">
        <v>202</v>
      </c>
      <c r="V866">
        <v>0</v>
      </c>
      <c r="W866">
        <v>442</v>
      </c>
      <c r="X866">
        <v>108</v>
      </c>
      <c r="Y866">
        <v>65.099999999999994</v>
      </c>
      <c r="Z866">
        <v>55.9</v>
      </c>
      <c r="AA866">
        <v>74.2</v>
      </c>
    </row>
    <row r="867" spans="1:27" x14ac:dyDescent="0.25">
      <c r="A867" t="s">
        <v>232</v>
      </c>
      <c r="B867" t="s">
        <v>217</v>
      </c>
      <c r="C867" s="76">
        <v>43967</v>
      </c>
      <c r="D867">
        <v>1694</v>
      </c>
      <c r="E867">
        <v>110</v>
      </c>
      <c r="F867">
        <v>3278</v>
      </c>
      <c r="G867">
        <v>923</v>
      </c>
      <c r="H867">
        <v>64.7</v>
      </c>
      <c r="I867">
        <v>58.5</v>
      </c>
      <c r="J867">
        <v>71</v>
      </c>
      <c r="K867">
        <v>271</v>
      </c>
      <c r="L867">
        <v>28</v>
      </c>
      <c r="M867">
        <v>514</v>
      </c>
      <c r="N867">
        <v>10.4</v>
      </c>
      <c r="O867">
        <v>7.5</v>
      </c>
      <c r="P867">
        <v>13.2</v>
      </c>
      <c r="Q867">
        <f t="shared" si="24"/>
        <v>990334</v>
      </c>
      <c r="R867">
        <f t="shared" si="25"/>
        <v>27.364505308310125</v>
      </c>
      <c r="U867">
        <v>192</v>
      </c>
      <c r="V867">
        <v>0</v>
      </c>
      <c r="W867">
        <v>415</v>
      </c>
      <c r="X867">
        <v>118</v>
      </c>
      <c r="Y867">
        <v>61.9</v>
      </c>
      <c r="Z867">
        <v>49.2</v>
      </c>
      <c r="AA867">
        <v>74.7</v>
      </c>
    </row>
    <row r="868" spans="1:27" x14ac:dyDescent="0.25">
      <c r="A868" t="s">
        <v>232</v>
      </c>
      <c r="B868" t="s">
        <v>217</v>
      </c>
      <c r="C868" s="76">
        <v>43968</v>
      </c>
      <c r="D868">
        <v>1655</v>
      </c>
      <c r="E868">
        <v>109</v>
      </c>
      <c r="F868">
        <v>3202</v>
      </c>
      <c r="G868">
        <v>967</v>
      </c>
      <c r="H868">
        <v>63.1</v>
      </c>
      <c r="I868">
        <v>57.2</v>
      </c>
      <c r="J868">
        <v>69</v>
      </c>
      <c r="K868">
        <v>274</v>
      </c>
      <c r="L868">
        <v>36</v>
      </c>
      <c r="M868">
        <v>512</v>
      </c>
      <c r="N868">
        <v>10.4</v>
      </c>
      <c r="O868">
        <v>7</v>
      </c>
      <c r="P868">
        <v>13.9</v>
      </c>
      <c r="Q868">
        <f t="shared" si="24"/>
        <v>990334</v>
      </c>
      <c r="R868">
        <f t="shared" si="25"/>
        <v>27.66743341135415</v>
      </c>
      <c r="U868">
        <v>187</v>
      </c>
      <c r="V868">
        <v>0</v>
      </c>
      <c r="W868">
        <v>406</v>
      </c>
      <c r="X868">
        <v>123</v>
      </c>
      <c r="Y868">
        <v>60.3</v>
      </c>
      <c r="Z868">
        <v>51.1</v>
      </c>
      <c r="AA868">
        <v>69.599999999999994</v>
      </c>
    </row>
    <row r="869" spans="1:27" x14ac:dyDescent="0.25">
      <c r="A869" t="s">
        <v>232</v>
      </c>
      <c r="B869" t="s">
        <v>217</v>
      </c>
      <c r="C869" s="76">
        <v>43969</v>
      </c>
      <c r="D869">
        <v>1708</v>
      </c>
      <c r="E869">
        <v>91</v>
      </c>
      <c r="F869">
        <v>3326</v>
      </c>
      <c r="G869">
        <v>910</v>
      </c>
      <c r="H869">
        <v>65.2</v>
      </c>
      <c r="I869">
        <v>50.8</v>
      </c>
      <c r="J869">
        <v>79.7</v>
      </c>
      <c r="K869">
        <v>270</v>
      </c>
      <c r="L869">
        <v>30</v>
      </c>
      <c r="M869">
        <v>509</v>
      </c>
      <c r="N869">
        <v>10.3</v>
      </c>
      <c r="O869">
        <v>7.4</v>
      </c>
      <c r="P869">
        <v>13.2</v>
      </c>
      <c r="Q869">
        <f t="shared" si="24"/>
        <v>990334</v>
      </c>
      <c r="R869">
        <f t="shared" si="25"/>
        <v>27.263529273962121</v>
      </c>
      <c r="U869">
        <v>186</v>
      </c>
      <c r="V869">
        <v>0</v>
      </c>
      <c r="W869">
        <v>411</v>
      </c>
      <c r="X869">
        <v>125</v>
      </c>
      <c r="Y869">
        <v>59.9</v>
      </c>
      <c r="Z869">
        <v>51.1</v>
      </c>
      <c r="AA869">
        <v>68.8</v>
      </c>
    </row>
    <row r="870" spans="1:27" x14ac:dyDescent="0.25">
      <c r="A870" t="s">
        <v>232</v>
      </c>
      <c r="B870" t="s">
        <v>217</v>
      </c>
      <c r="C870" s="76">
        <v>43970</v>
      </c>
      <c r="D870">
        <v>1733</v>
      </c>
      <c r="E870">
        <v>124</v>
      </c>
      <c r="F870">
        <v>3342</v>
      </c>
      <c r="G870">
        <v>891</v>
      </c>
      <c r="H870">
        <v>66.099999999999994</v>
      </c>
      <c r="I870">
        <v>59.8</v>
      </c>
      <c r="J870">
        <v>72.3</v>
      </c>
      <c r="K870">
        <v>267</v>
      </c>
      <c r="L870">
        <v>25</v>
      </c>
      <c r="M870">
        <v>508</v>
      </c>
      <c r="N870">
        <v>10.199999999999999</v>
      </c>
      <c r="O870">
        <v>7.5</v>
      </c>
      <c r="P870">
        <v>12.8</v>
      </c>
      <c r="Q870">
        <f t="shared" si="24"/>
        <v>990334</v>
      </c>
      <c r="R870">
        <f t="shared" si="25"/>
        <v>26.960601170918096</v>
      </c>
      <c r="U870">
        <v>183</v>
      </c>
      <c r="V870">
        <v>0</v>
      </c>
      <c r="W870">
        <v>409</v>
      </c>
      <c r="X870">
        <v>127</v>
      </c>
      <c r="Y870">
        <v>59.1</v>
      </c>
      <c r="Z870">
        <v>49.4</v>
      </c>
      <c r="AA870">
        <v>68.8</v>
      </c>
    </row>
    <row r="871" spans="1:27" x14ac:dyDescent="0.25">
      <c r="A871" t="s">
        <v>232</v>
      </c>
      <c r="B871" t="s">
        <v>217</v>
      </c>
      <c r="C871" s="76">
        <v>43971</v>
      </c>
      <c r="D871">
        <v>1742</v>
      </c>
      <c r="E871">
        <v>125</v>
      </c>
      <c r="F871">
        <v>3360</v>
      </c>
      <c r="G871">
        <v>874</v>
      </c>
      <c r="H871">
        <v>66.599999999999994</v>
      </c>
      <c r="I871">
        <v>60.3</v>
      </c>
      <c r="J871">
        <v>72.900000000000006</v>
      </c>
      <c r="K871">
        <v>257</v>
      </c>
      <c r="L871">
        <v>26</v>
      </c>
      <c r="M871">
        <v>487</v>
      </c>
      <c r="N871">
        <v>9.8000000000000007</v>
      </c>
      <c r="O871">
        <v>7</v>
      </c>
      <c r="P871">
        <v>12.7</v>
      </c>
      <c r="Q871">
        <f t="shared" ref="Q871:Q934" si="26">VLOOKUP(B871,$AE$4:$AF$55,2,FALSE)</f>
        <v>990334</v>
      </c>
      <c r="R871">
        <f t="shared" si="25"/>
        <v>25.950840827438014</v>
      </c>
      <c r="U871">
        <v>180</v>
      </c>
      <c r="V871">
        <v>0</v>
      </c>
      <c r="W871">
        <v>393</v>
      </c>
      <c r="X871">
        <v>130</v>
      </c>
      <c r="Y871">
        <v>58</v>
      </c>
      <c r="Z871">
        <v>50.1</v>
      </c>
      <c r="AA871">
        <v>66</v>
      </c>
    </row>
    <row r="872" spans="1:27" x14ac:dyDescent="0.25">
      <c r="A872" t="s">
        <v>232</v>
      </c>
      <c r="B872" t="s">
        <v>217</v>
      </c>
      <c r="C872" s="76">
        <v>43972</v>
      </c>
      <c r="D872">
        <v>1760</v>
      </c>
      <c r="E872">
        <v>114</v>
      </c>
      <c r="F872">
        <v>3406</v>
      </c>
      <c r="G872">
        <v>853</v>
      </c>
      <c r="H872">
        <v>67.3</v>
      </c>
      <c r="I872">
        <v>61.2</v>
      </c>
      <c r="J872">
        <v>73.5</v>
      </c>
      <c r="K872">
        <v>250</v>
      </c>
      <c r="L872">
        <v>21</v>
      </c>
      <c r="M872">
        <v>478</v>
      </c>
      <c r="N872">
        <v>9.6</v>
      </c>
      <c r="O872">
        <v>7.1</v>
      </c>
      <c r="P872">
        <v>12.1</v>
      </c>
      <c r="Q872">
        <f t="shared" si="26"/>
        <v>990334</v>
      </c>
      <c r="R872">
        <f t="shared" si="25"/>
        <v>25.244008587001964</v>
      </c>
      <c r="U872">
        <v>181</v>
      </c>
      <c r="V872">
        <v>0</v>
      </c>
      <c r="W872">
        <v>394</v>
      </c>
      <c r="X872">
        <v>129</v>
      </c>
      <c r="Y872">
        <v>58.4</v>
      </c>
      <c r="Z872">
        <v>51.4</v>
      </c>
      <c r="AA872">
        <v>65.5</v>
      </c>
    </row>
    <row r="873" spans="1:27" x14ac:dyDescent="0.25">
      <c r="A873" t="s">
        <v>232</v>
      </c>
      <c r="B873" t="s">
        <v>217</v>
      </c>
      <c r="C873" s="76">
        <v>43973</v>
      </c>
      <c r="D873">
        <v>1753</v>
      </c>
      <c r="E873">
        <v>124</v>
      </c>
      <c r="F873">
        <v>3382</v>
      </c>
      <c r="G873">
        <v>869</v>
      </c>
      <c r="H873">
        <v>66.900000000000006</v>
      </c>
      <c r="I873">
        <v>61</v>
      </c>
      <c r="J873">
        <v>72.7</v>
      </c>
      <c r="K873">
        <v>240</v>
      </c>
      <c r="L873">
        <v>22</v>
      </c>
      <c r="M873">
        <v>458</v>
      </c>
      <c r="N873">
        <v>9.1</v>
      </c>
      <c r="O873">
        <v>6.8</v>
      </c>
      <c r="P873">
        <v>11.4</v>
      </c>
      <c r="Q873">
        <f t="shared" si="26"/>
        <v>990334</v>
      </c>
      <c r="R873">
        <f t="shared" si="25"/>
        <v>24.234248243521883</v>
      </c>
      <c r="U873">
        <v>185</v>
      </c>
      <c r="V873">
        <v>0</v>
      </c>
      <c r="W873">
        <v>398</v>
      </c>
      <c r="X873">
        <v>126</v>
      </c>
      <c r="Y873">
        <v>59.4</v>
      </c>
      <c r="Z873">
        <v>50.8</v>
      </c>
      <c r="AA873">
        <v>68</v>
      </c>
    </row>
    <row r="874" spans="1:27" x14ac:dyDescent="0.25">
      <c r="A874" t="s">
        <v>232</v>
      </c>
      <c r="B874" t="s">
        <v>217</v>
      </c>
      <c r="C874" s="76">
        <v>43974</v>
      </c>
      <c r="D874">
        <v>1690</v>
      </c>
      <c r="E874">
        <v>141</v>
      </c>
      <c r="F874">
        <v>3239</v>
      </c>
      <c r="G874">
        <v>934</v>
      </c>
      <c r="H874">
        <v>64.400000000000006</v>
      </c>
      <c r="I874">
        <v>57.5</v>
      </c>
      <c r="J874">
        <v>71.3</v>
      </c>
      <c r="K874">
        <v>248</v>
      </c>
      <c r="L874">
        <v>27</v>
      </c>
      <c r="M874">
        <v>469</v>
      </c>
      <c r="N874">
        <v>9.5</v>
      </c>
      <c r="O874">
        <v>6.8</v>
      </c>
      <c r="P874">
        <v>12.1</v>
      </c>
      <c r="Q874">
        <f t="shared" si="26"/>
        <v>990334</v>
      </c>
      <c r="R874">
        <f t="shared" si="25"/>
        <v>25.042056518305944</v>
      </c>
      <c r="U874">
        <v>189</v>
      </c>
      <c r="V874">
        <v>0</v>
      </c>
      <c r="W874">
        <v>412</v>
      </c>
      <c r="X874">
        <v>120</v>
      </c>
      <c r="Y874">
        <v>61.2</v>
      </c>
      <c r="Z874">
        <v>53.8</v>
      </c>
      <c r="AA874">
        <v>68.7</v>
      </c>
    </row>
    <row r="875" spans="1:27" x14ac:dyDescent="0.25">
      <c r="A875" t="s">
        <v>232</v>
      </c>
      <c r="B875" t="s">
        <v>217</v>
      </c>
      <c r="C875" s="76">
        <v>43975</v>
      </c>
      <c r="D875">
        <v>1672</v>
      </c>
      <c r="E875">
        <v>142</v>
      </c>
      <c r="F875">
        <v>3202</v>
      </c>
      <c r="G875">
        <v>950</v>
      </c>
      <c r="H875">
        <v>63.8</v>
      </c>
      <c r="I875">
        <v>56.4</v>
      </c>
      <c r="J875">
        <v>71.099999999999994</v>
      </c>
      <c r="K875">
        <v>238</v>
      </c>
      <c r="L875">
        <v>22</v>
      </c>
      <c r="M875">
        <v>453</v>
      </c>
      <c r="N875">
        <v>9.1</v>
      </c>
      <c r="O875">
        <v>6.7</v>
      </c>
      <c r="P875">
        <v>11.4</v>
      </c>
      <c r="Q875">
        <f t="shared" si="26"/>
        <v>990334</v>
      </c>
      <c r="R875">
        <f t="shared" si="25"/>
        <v>24.032296174825866</v>
      </c>
      <c r="U875">
        <v>186</v>
      </c>
      <c r="V875">
        <v>0</v>
      </c>
      <c r="W875">
        <v>396</v>
      </c>
      <c r="X875">
        <v>124</v>
      </c>
      <c r="Y875">
        <v>60.1</v>
      </c>
      <c r="Z875">
        <v>50.4</v>
      </c>
      <c r="AA875">
        <v>69.8</v>
      </c>
    </row>
    <row r="876" spans="1:27" x14ac:dyDescent="0.25">
      <c r="A876" t="s">
        <v>232</v>
      </c>
      <c r="B876" t="s">
        <v>217</v>
      </c>
      <c r="C876" s="76">
        <v>43976</v>
      </c>
      <c r="D876">
        <v>1695</v>
      </c>
      <c r="E876">
        <v>141</v>
      </c>
      <c r="F876">
        <v>3249</v>
      </c>
      <c r="G876">
        <v>926</v>
      </c>
      <c r="H876">
        <v>64.7</v>
      </c>
      <c r="I876">
        <v>57.6</v>
      </c>
      <c r="J876">
        <v>71.7</v>
      </c>
      <c r="K876">
        <v>235</v>
      </c>
      <c r="L876">
        <v>15</v>
      </c>
      <c r="M876">
        <v>455</v>
      </c>
      <c r="N876">
        <v>9</v>
      </c>
      <c r="O876">
        <v>6.6</v>
      </c>
      <c r="P876">
        <v>11.4</v>
      </c>
      <c r="Q876">
        <f t="shared" si="26"/>
        <v>990334</v>
      </c>
      <c r="R876">
        <f t="shared" si="25"/>
        <v>23.729368071781842</v>
      </c>
      <c r="U876">
        <v>155</v>
      </c>
      <c r="V876">
        <v>0</v>
      </c>
      <c r="W876">
        <v>360</v>
      </c>
      <c r="X876">
        <v>140</v>
      </c>
      <c r="Y876">
        <v>52.5</v>
      </c>
      <c r="Z876">
        <v>37.6</v>
      </c>
      <c r="AA876">
        <v>67.5</v>
      </c>
    </row>
    <row r="877" spans="1:27" x14ac:dyDescent="0.25">
      <c r="A877" t="s">
        <v>232</v>
      </c>
      <c r="B877" t="s">
        <v>217</v>
      </c>
      <c r="C877" s="76">
        <v>43977</v>
      </c>
      <c r="D877">
        <v>1747</v>
      </c>
      <c r="E877">
        <v>143</v>
      </c>
      <c r="F877">
        <v>3351</v>
      </c>
      <c r="G877">
        <v>886</v>
      </c>
      <c r="H877">
        <v>66.400000000000006</v>
      </c>
      <c r="I877">
        <v>58.7</v>
      </c>
      <c r="J877">
        <v>74</v>
      </c>
      <c r="K877">
        <v>232</v>
      </c>
      <c r="L877">
        <v>18</v>
      </c>
      <c r="M877">
        <v>446</v>
      </c>
      <c r="N877">
        <v>8.8000000000000007</v>
      </c>
      <c r="O877">
        <v>6.3</v>
      </c>
      <c r="P877">
        <v>11.4</v>
      </c>
      <c r="Q877">
        <f t="shared" si="26"/>
        <v>990334</v>
      </c>
      <c r="R877">
        <f t="shared" si="25"/>
        <v>23.426439968737821</v>
      </c>
      <c r="U877">
        <v>175</v>
      </c>
      <c r="V877">
        <v>0</v>
      </c>
      <c r="W877">
        <v>386</v>
      </c>
      <c r="X877">
        <v>120</v>
      </c>
      <c r="Y877">
        <v>59.3</v>
      </c>
      <c r="Z877">
        <v>54.6</v>
      </c>
      <c r="AA877">
        <v>64</v>
      </c>
    </row>
    <row r="878" spans="1:27" x14ac:dyDescent="0.25">
      <c r="A878" t="s">
        <v>232</v>
      </c>
      <c r="B878" t="s">
        <v>217</v>
      </c>
      <c r="C878" s="76">
        <v>43978</v>
      </c>
      <c r="D878">
        <v>1792</v>
      </c>
      <c r="E878">
        <v>141</v>
      </c>
      <c r="F878">
        <v>3443</v>
      </c>
      <c r="G878">
        <v>839</v>
      </c>
      <c r="H878">
        <v>68.099999999999994</v>
      </c>
      <c r="I878">
        <v>60.9</v>
      </c>
      <c r="J878">
        <v>75.3</v>
      </c>
      <c r="K878">
        <v>226</v>
      </c>
      <c r="L878">
        <v>9</v>
      </c>
      <c r="M878">
        <v>443</v>
      </c>
      <c r="N878">
        <v>8.6</v>
      </c>
      <c r="O878">
        <v>6.3</v>
      </c>
      <c r="P878">
        <v>10.8</v>
      </c>
      <c r="Q878">
        <f t="shared" si="26"/>
        <v>990334</v>
      </c>
      <c r="R878">
        <f t="shared" si="25"/>
        <v>22.820583762649772</v>
      </c>
      <c r="U878">
        <v>171</v>
      </c>
      <c r="V878">
        <v>0</v>
      </c>
      <c r="W878">
        <v>383</v>
      </c>
      <c r="X878">
        <v>125</v>
      </c>
      <c r="Y878">
        <v>57.8</v>
      </c>
      <c r="Z878">
        <v>52</v>
      </c>
      <c r="AA878">
        <v>63.5</v>
      </c>
    </row>
    <row r="879" spans="1:27" x14ac:dyDescent="0.25">
      <c r="A879" t="s">
        <v>232</v>
      </c>
      <c r="B879" t="s">
        <v>217</v>
      </c>
      <c r="C879" s="76">
        <v>43979</v>
      </c>
      <c r="D879">
        <v>1774</v>
      </c>
      <c r="E879">
        <v>76</v>
      </c>
      <c r="F879">
        <v>3472</v>
      </c>
      <c r="G879">
        <v>823</v>
      </c>
      <c r="H879">
        <v>68.3</v>
      </c>
      <c r="I879">
        <v>60.6</v>
      </c>
      <c r="J879">
        <v>76</v>
      </c>
      <c r="K879">
        <v>209</v>
      </c>
      <c r="L879">
        <v>8</v>
      </c>
      <c r="M879">
        <v>410</v>
      </c>
      <c r="N879">
        <v>8</v>
      </c>
      <c r="O879">
        <v>5.8</v>
      </c>
      <c r="P879">
        <v>10.3</v>
      </c>
      <c r="Q879">
        <f t="shared" si="26"/>
        <v>990334</v>
      </c>
      <c r="R879">
        <f t="shared" si="25"/>
        <v>21.10399117873364</v>
      </c>
      <c r="U879">
        <v>167</v>
      </c>
      <c r="V879">
        <v>0</v>
      </c>
      <c r="W879">
        <v>372</v>
      </c>
      <c r="X879">
        <v>124</v>
      </c>
      <c r="Y879">
        <v>57.4</v>
      </c>
      <c r="Z879">
        <v>53.1</v>
      </c>
      <c r="AA879">
        <v>61.7</v>
      </c>
    </row>
    <row r="880" spans="1:27" x14ac:dyDescent="0.25">
      <c r="A880" t="s">
        <v>232</v>
      </c>
      <c r="B880" t="s">
        <v>217</v>
      </c>
      <c r="C880" s="76">
        <v>43980</v>
      </c>
      <c r="D880">
        <v>1722</v>
      </c>
      <c r="E880">
        <v>102</v>
      </c>
      <c r="F880">
        <v>3341</v>
      </c>
      <c r="G880">
        <v>887</v>
      </c>
      <c r="H880">
        <v>66</v>
      </c>
      <c r="I880">
        <v>59.9</v>
      </c>
      <c r="J880">
        <v>72.099999999999994</v>
      </c>
      <c r="K880">
        <v>209</v>
      </c>
      <c r="L880">
        <v>16</v>
      </c>
      <c r="M880">
        <v>403</v>
      </c>
      <c r="N880">
        <v>8</v>
      </c>
      <c r="O880">
        <v>6.2</v>
      </c>
      <c r="P880">
        <v>9.9</v>
      </c>
      <c r="Q880">
        <f t="shared" si="26"/>
        <v>990334</v>
      </c>
      <c r="R880">
        <f t="shared" si="25"/>
        <v>21.10399117873364</v>
      </c>
      <c r="U880">
        <v>182</v>
      </c>
      <c r="V880">
        <v>0</v>
      </c>
      <c r="W880">
        <v>392</v>
      </c>
      <c r="X880">
        <v>129</v>
      </c>
      <c r="Y880">
        <v>58.4</v>
      </c>
      <c r="Z880">
        <v>50.8</v>
      </c>
      <c r="AA880">
        <v>66.099999999999994</v>
      </c>
    </row>
    <row r="881" spans="1:27" x14ac:dyDescent="0.25">
      <c r="A881" t="s">
        <v>232</v>
      </c>
      <c r="B881" t="s">
        <v>217</v>
      </c>
      <c r="C881" s="76">
        <v>43981</v>
      </c>
      <c r="D881">
        <v>1699</v>
      </c>
      <c r="E881">
        <v>123</v>
      </c>
      <c r="F881">
        <v>3274</v>
      </c>
      <c r="G881">
        <v>884</v>
      </c>
      <c r="H881">
        <v>65.8</v>
      </c>
      <c r="I881">
        <v>59.5</v>
      </c>
      <c r="J881">
        <v>72</v>
      </c>
      <c r="K881">
        <v>200</v>
      </c>
      <c r="L881">
        <v>14</v>
      </c>
      <c r="M881">
        <v>386</v>
      </c>
      <c r="N881">
        <v>7.8</v>
      </c>
      <c r="O881">
        <v>5.9</v>
      </c>
      <c r="P881">
        <v>9.6</v>
      </c>
      <c r="Q881">
        <f t="shared" si="26"/>
        <v>990334</v>
      </c>
      <c r="R881">
        <f t="shared" si="25"/>
        <v>20.195206869601567</v>
      </c>
      <c r="U881">
        <v>178</v>
      </c>
      <c r="V881">
        <v>0</v>
      </c>
      <c r="W881">
        <v>383</v>
      </c>
      <c r="X881">
        <v>133</v>
      </c>
      <c r="Y881">
        <v>57.2</v>
      </c>
      <c r="Z881">
        <v>49.6</v>
      </c>
      <c r="AA881">
        <v>64.7</v>
      </c>
    </row>
    <row r="882" spans="1:27" x14ac:dyDescent="0.25">
      <c r="A882" t="s">
        <v>232</v>
      </c>
      <c r="B882" t="s">
        <v>217</v>
      </c>
      <c r="C882" s="76">
        <v>43982</v>
      </c>
      <c r="D882">
        <v>1688</v>
      </c>
      <c r="E882">
        <v>133</v>
      </c>
      <c r="F882">
        <v>3242</v>
      </c>
      <c r="G882">
        <v>890</v>
      </c>
      <c r="H882">
        <v>65.5</v>
      </c>
      <c r="I882">
        <v>58.6</v>
      </c>
      <c r="J882">
        <v>72.3</v>
      </c>
      <c r="K882">
        <v>190</v>
      </c>
      <c r="L882">
        <v>12</v>
      </c>
      <c r="M882">
        <v>368</v>
      </c>
      <c r="N882">
        <v>7.4</v>
      </c>
      <c r="O882">
        <v>5.4</v>
      </c>
      <c r="P882">
        <v>9.4</v>
      </c>
      <c r="Q882">
        <f t="shared" si="26"/>
        <v>990334</v>
      </c>
      <c r="R882">
        <f t="shared" si="25"/>
        <v>19.185446526121488</v>
      </c>
      <c r="U882">
        <v>173</v>
      </c>
      <c r="V882">
        <v>0</v>
      </c>
      <c r="W882">
        <v>380</v>
      </c>
      <c r="X882">
        <v>124</v>
      </c>
      <c r="Y882">
        <v>58.2</v>
      </c>
      <c r="Z882">
        <v>52.7</v>
      </c>
      <c r="AA882">
        <v>63.8</v>
      </c>
    </row>
    <row r="883" spans="1:27" x14ac:dyDescent="0.25">
      <c r="A883" t="s">
        <v>232</v>
      </c>
      <c r="B883" t="s">
        <v>217</v>
      </c>
      <c r="C883" s="76">
        <v>43983</v>
      </c>
      <c r="D883">
        <v>1919</v>
      </c>
      <c r="E883">
        <v>258</v>
      </c>
      <c r="F883">
        <v>3579</v>
      </c>
      <c r="G883">
        <v>1047</v>
      </c>
      <c r="H883">
        <v>64.7</v>
      </c>
      <c r="I883">
        <v>58.4</v>
      </c>
      <c r="J883">
        <v>71</v>
      </c>
      <c r="K883">
        <v>194</v>
      </c>
      <c r="L883">
        <v>17</v>
      </c>
      <c r="M883">
        <v>370</v>
      </c>
      <c r="N883">
        <v>6.5</v>
      </c>
      <c r="O883">
        <v>3.9</v>
      </c>
      <c r="P883">
        <v>9.1</v>
      </c>
      <c r="Q883">
        <f t="shared" si="26"/>
        <v>990334</v>
      </c>
      <c r="R883">
        <f t="shared" si="25"/>
        <v>19.589350663513521</v>
      </c>
      <c r="U883">
        <v>222</v>
      </c>
      <c r="V883">
        <v>0</v>
      </c>
      <c r="W883">
        <v>450</v>
      </c>
      <c r="X883">
        <v>169</v>
      </c>
      <c r="Y883">
        <v>56.7</v>
      </c>
      <c r="Z883">
        <v>51.2</v>
      </c>
      <c r="AA883">
        <v>62.3</v>
      </c>
    </row>
    <row r="884" spans="1:27" x14ac:dyDescent="0.25">
      <c r="A884" t="s">
        <v>232</v>
      </c>
      <c r="B884" t="s">
        <v>217</v>
      </c>
      <c r="C884" s="76">
        <v>43984</v>
      </c>
      <c r="D884">
        <v>1956</v>
      </c>
      <c r="E884">
        <v>279</v>
      </c>
      <c r="F884">
        <v>3633</v>
      </c>
      <c r="G884">
        <v>1053</v>
      </c>
      <c r="H884">
        <v>65</v>
      </c>
      <c r="I884">
        <v>58.8</v>
      </c>
      <c r="J884">
        <v>71.2</v>
      </c>
      <c r="K884">
        <v>177</v>
      </c>
      <c r="L884">
        <v>10</v>
      </c>
      <c r="M884">
        <v>344</v>
      </c>
      <c r="N884">
        <v>5.9</v>
      </c>
      <c r="O884">
        <v>3.6</v>
      </c>
      <c r="P884">
        <v>8.1999999999999993</v>
      </c>
      <c r="Q884">
        <f t="shared" si="26"/>
        <v>990334</v>
      </c>
      <c r="R884">
        <f t="shared" si="25"/>
        <v>17.872758079597389</v>
      </c>
      <c r="U884">
        <v>223</v>
      </c>
      <c r="V884">
        <v>0</v>
      </c>
      <c r="W884">
        <v>455</v>
      </c>
      <c r="X884">
        <v>168</v>
      </c>
      <c r="Y884">
        <v>57</v>
      </c>
      <c r="Z884">
        <v>51</v>
      </c>
      <c r="AA884">
        <v>63</v>
      </c>
    </row>
    <row r="885" spans="1:27" x14ac:dyDescent="0.25">
      <c r="A885" t="s">
        <v>232</v>
      </c>
      <c r="B885" t="s">
        <v>217</v>
      </c>
      <c r="C885" s="76">
        <v>43985</v>
      </c>
      <c r="D885">
        <v>2085</v>
      </c>
      <c r="E885">
        <v>0</v>
      </c>
      <c r="F885">
        <v>4357</v>
      </c>
      <c r="G885">
        <v>1170</v>
      </c>
      <c r="H885">
        <v>64</v>
      </c>
      <c r="I885">
        <v>59.3</v>
      </c>
      <c r="J885">
        <v>68.8</v>
      </c>
      <c r="K885">
        <v>168</v>
      </c>
      <c r="L885">
        <v>0</v>
      </c>
      <c r="M885">
        <v>371</v>
      </c>
      <c r="N885">
        <v>5.2</v>
      </c>
      <c r="O885">
        <v>3.4</v>
      </c>
      <c r="P885">
        <v>6.9</v>
      </c>
      <c r="Q885">
        <f t="shared" si="26"/>
        <v>990334</v>
      </c>
      <c r="R885">
        <f t="shared" si="25"/>
        <v>16.963973770465319</v>
      </c>
      <c r="U885">
        <v>235</v>
      </c>
      <c r="V885">
        <v>0</v>
      </c>
      <c r="W885">
        <v>542</v>
      </c>
      <c r="X885">
        <v>190</v>
      </c>
      <c r="Y885">
        <v>55.3</v>
      </c>
      <c r="Z885">
        <v>49.7</v>
      </c>
      <c r="AA885">
        <v>60.8</v>
      </c>
    </row>
    <row r="886" spans="1:27" x14ac:dyDescent="0.25">
      <c r="A886" t="s">
        <v>232</v>
      </c>
      <c r="B886" t="s">
        <v>217</v>
      </c>
      <c r="C886" s="76">
        <v>43986</v>
      </c>
      <c r="D886">
        <v>2308</v>
      </c>
      <c r="E886">
        <v>0</v>
      </c>
      <c r="F886">
        <v>5235</v>
      </c>
      <c r="G886">
        <v>1262</v>
      </c>
      <c r="H886">
        <v>64.599999999999994</v>
      </c>
      <c r="I886">
        <v>58.5</v>
      </c>
      <c r="J886">
        <v>70.8</v>
      </c>
      <c r="K886">
        <v>206</v>
      </c>
      <c r="L886">
        <v>0</v>
      </c>
      <c r="M886">
        <v>472</v>
      </c>
      <c r="N886">
        <v>5.8</v>
      </c>
      <c r="O886">
        <v>4.7</v>
      </c>
      <c r="P886">
        <v>6.9</v>
      </c>
      <c r="Q886">
        <f t="shared" si="26"/>
        <v>990334</v>
      </c>
      <c r="R886">
        <f t="shared" si="25"/>
        <v>20.801063075689616</v>
      </c>
      <c r="U886">
        <v>237</v>
      </c>
      <c r="V886">
        <v>0</v>
      </c>
      <c r="W886">
        <v>631</v>
      </c>
      <c r="X886">
        <v>181</v>
      </c>
      <c r="Y886">
        <v>56.7</v>
      </c>
      <c r="Z886">
        <v>51.4</v>
      </c>
      <c r="AA886">
        <v>62</v>
      </c>
    </row>
    <row r="887" spans="1:27" x14ac:dyDescent="0.25">
      <c r="A887" t="s">
        <v>232</v>
      </c>
      <c r="B887" t="s">
        <v>217</v>
      </c>
      <c r="C887" s="76">
        <v>43987</v>
      </c>
      <c r="D887">
        <v>1983</v>
      </c>
      <c r="E887">
        <v>0</v>
      </c>
      <c r="F887">
        <v>4307</v>
      </c>
      <c r="G887">
        <v>960</v>
      </c>
      <c r="H887">
        <v>67.400000000000006</v>
      </c>
      <c r="I887">
        <v>61</v>
      </c>
      <c r="J887">
        <v>73.7</v>
      </c>
      <c r="K887">
        <v>143</v>
      </c>
      <c r="L887">
        <v>0</v>
      </c>
      <c r="M887">
        <v>324</v>
      </c>
      <c r="N887">
        <v>4.8</v>
      </c>
      <c r="O887">
        <v>3.3</v>
      </c>
      <c r="P887">
        <v>6.4</v>
      </c>
      <c r="Q887">
        <f t="shared" si="26"/>
        <v>990334</v>
      </c>
      <c r="R887">
        <f t="shared" si="25"/>
        <v>14.439572911765122</v>
      </c>
      <c r="U887">
        <v>225</v>
      </c>
      <c r="V887">
        <v>0</v>
      </c>
      <c r="W887">
        <v>542</v>
      </c>
      <c r="X887">
        <v>172</v>
      </c>
      <c r="Y887">
        <v>56.7</v>
      </c>
      <c r="Z887">
        <v>48.8</v>
      </c>
      <c r="AA887">
        <v>64.7</v>
      </c>
    </row>
    <row r="888" spans="1:27" x14ac:dyDescent="0.25">
      <c r="A888" t="s">
        <v>232</v>
      </c>
      <c r="B888" t="s">
        <v>217</v>
      </c>
      <c r="C888" s="76">
        <v>43988</v>
      </c>
      <c r="D888">
        <v>1771</v>
      </c>
      <c r="E888">
        <v>152</v>
      </c>
      <c r="F888">
        <v>3391</v>
      </c>
      <c r="G888">
        <v>957</v>
      </c>
      <c r="H888">
        <v>64.900000000000006</v>
      </c>
      <c r="I888">
        <v>57.7</v>
      </c>
      <c r="J888">
        <v>72.099999999999994</v>
      </c>
      <c r="K888">
        <v>151</v>
      </c>
      <c r="L888">
        <v>18</v>
      </c>
      <c r="M888">
        <v>283</v>
      </c>
      <c r="N888">
        <v>5.5</v>
      </c>
      <c r="O888">
        <v>3.1</v>
      </c>
      <c r="P888">
        <v>7.9</v>
      </c>
      <c r="Q888">
        <f t="shared" si="26"/>
        <v>990334</v>
      </c>
      <c r="R888">
        <f t="shared" si="25"/>
        <v>15.247381186549186</v>
      </c>
      <c r="U888">
        <v>206</v>
      </c>
      <c r="V888">
        <v>0</v>
      </c>
      <c r="W888">
        <v>436</v>
      </c>
      <c r="X888">
        <v>163</v>
      </c>
      <c r="Y888">
        <v>55.9</v>
      </c>
      <c r="Z888">
        <v>45.4</v>
      </c>
      <c r="AA888">
        <v>66.3</v>
      </c>
    </row>
    <row r="889" spans="1:27" x14ac:dyDescent="0.25">
      <c r="A889" t="s">
        <v>232</v>
      </c>
      <c r="B889" t="s">
        <v>217</v>
      </c>
      <c r="C889" s="76">
        <v>43989</v>
      </c>
      <c r="D889">
        <v>1773</v>
      </c>
      <c r="E889">
        <v>122</v>
      </c>
      <c r="F889">
        <v>3425</v>
      </c>
      <c r="G889">
        <v>931</v>
      </c>
      <c r="H889">
        <v>65.599999999999994</v>
      </c>
      <c r="I889">
        <v>59.2</v>
      </c>
      <c r="J889">
        <v>71.900000000000006</v>
      </c>
      <c r="K889">
        <v>157</v>
      </c>
      <c r="L889">
        <v>11</v>
      </c>
      <c r="M889">
        <v>303</v>
      </c>
      <c r="N889">
        <v>5.8</v>
      </c>
      <c r="O889">
        <v>3.4</v>
      </c>
      <c r="P889">
        <v>8.1999999999999993</v>
      </c>
      <c r="Q889">
        <f t="shared" si="26"/>
        <v>990334</v>
      </c>
      <c r="R889">
        <f t="shared" si="25"/>
        <v>15.853237392637231</v>
      </c>
      <c r="U889">
        <v>208</v>
      </c>
      <c r="V889">
        <v>0</v>
      </c>
      <c r="W889">
        <v>448</v>
      </c>
      <c r="X889">
        <v>161</v>
      </c>
      <c r="Y889">
        <v>56.3</v>
      </c>
      <c r="Z889">
        <v>45</v>
      </c>
      <c r="AA889">
        <v>67.7</v>
      </c>
    </row>
    <row r="890" spans="1:27" x14ac:dyDescent="0.25">
      <c r="A890" t="s">
        <v>232</v>
      </c>
      <c r="B890" t="s">
        <v>217</v>
      </c>
      <c r="C890" s="76">
        <v>43990</v>
      </c>
      <c r="D890">
        <v>1610</v>
      </c>
      <c r="E890">
        <v>31</v>
      </c>
      <c r="F890">
        <v>3188</v>
      </c>
      <c r="G890">
        <v>805</v>
      </c>
      <c r="H890">
        <v>66.7</v>
      </c>
      <c r="I890">
        <v>57</v>
      </c>
      <c r="J890">
        <v>76.3</v>
      </c>
      <c r="K890">
        <v>146</v>
      </c>
      <c r="L890">
        <v>0</v>
      </c>
      <c r="M890">
        <v>293</v>
      </c>
      <c r="N890">
        <v>6.1</v>
      </c>
      <c r="O890">
        <v>4</v>
      </c>
      <c r="P890">
        <v>8.1</v>
      </c>
      <c r="Q890">
        <f t="shared" si="26"/>
        <v>990334</v>
      </c>
      <c r="R890">
        <f t="shared" si="25"/>
        <v>14.742501014809145</v>
      </c>
      <c r="U890">
        <v>161</v>
      </c>
      <c r="V890">
        <v>0</v>
      </c>
      <c r="W890">
        <v>371</v>
      </c>
      <c r="X890">
        <v>136</v>
      </c>
      <c r="Y890">
        <v>54.2</v>
      </c>
      <c r="Z890">
        <v>42.6</v>
      </c>
      <c r="AA890">
        <v>65.8</v>
      </c>
    </row>
    <row r="891" spans="1:27" x14ac:dyDescent="0.25">
      <c r="A891" t="s">
        <v>232</v>
      </c>
      <c r="B891" t="s">
        <v>217</v>
      </c>
      <c r="C891" s="76">
        <v>43991</v>
      </c>
      <c r="D891">
        <v>1789</v>
      </c>
      <c r="E891">
        <v>103</v>
      </c>
      <c r="F891">
        <v>3474</v>
      </c>
      <c r="G891">
        <v>823</v>
      </c>
      <c r="H891">
        <v>68.5</v>
      </c>
      <c r="I891">
        <v>61.9</v>
      </c>
      <c r="J891">
        <v>75</v>
      </c>
      <c r="K891">
        <v>165</v>
      </c>
      <c r="L891">
        <v>8</v>
      </c>
      <c r="M891">
        <v>323</v>
      </c>
      <c r="N891">
        <v>6.3</v>
      </c>
      <c r="O891">
        <v>4.5</v>
      </c>
      <c r="P891">
        <v>8.1</v>
      </c>
      <c r="Q891">
        <f t="shared" si="26"/>
        <v>990334</v>
      </c>
      <c r="R891">
        <f t="shared" si="25"/>
        <v>16.661045667421295</v>
      </c>
      <c r="U891">
        <v>186</v>
      </c>
      <c r="V891">
        <v>0</v>
      </c>
      <c r="W891">
        <v>399</v>
      </c>
      <c r="X891">
        <v>129</v>
      </c>
      <c r="Y891">
        <v>59</v>
      </c>
      <c r="Z891">
        <v>47</v>
      </c>
      <c r="AA891">
        <v>71</v>
      </c>
    </row>
    <row r="892" spans="1:27" x14ac:dyDescent="0.25">
      <c r="A892" t="s">
        <v>232</v>
      </c>
      <c r="B892" t="s">
        <v>217</v>
      </c>
      <c r="C892" s="76">
        <v>43992</v>
      </c>
      <c r="D892">
        <v>1848</v>
      </c>
      <c r="E892">
        <v>82</v>
      </c>
      <c r="F892">
        <v>3614</v>
      </c>
      <c r="G892">
        <v>799</v>
      </c>
      <c r="H892">
        <v>69.8</v>
      </c>
      <c r="I892">
        <v>61.6</v>
      </c>
      <c r="J892">
        <v>78</v>
      </c>
      <c r="K892">
        <v>162</v>
      </c>
      <c r="L892">
        <v>6</v>
      </c>
      <c r="M892">
        <v>318</v>
      </c>
      <c r="N892">
        <v>6.1</v>
      </c>
      <c r="O892">
        <v>3.6</v>
      </c>
      <c r="P892">
        <v>8.6</v>
      </c>
      <c r="Q892">
        <f t="shared" si="26"/>
        <v>990334</v>
      </c>
      <c r="R892">
        <f t="shared" si="25"/>
        <v>16.35811756437727</v>
      </c>
      <c r="U892">
        <v>175</v>
      </c>
      <c r="V892">
        <v>0</v>
      </c>
      <c r="W892">
        <v>394</v>
      </c>
      <c r="X892">
        <v>126</v>
      </c>
      <c r="Y892">
        <v>58.1</v>
      </c>
      <c r="Z892">
        <v>49.4</v>
      </c>
      <c r="AA892">
        <v>66.900000000000006</v>
      </c>
    </row>
    <row r="893" spans="1:27" x14ac:dyDescent="0.25">
      <c r="A893" t="s">
        <v>232</v>
      </c>
      <c r="B893" t="s">
        <v>217</v>
      </c>
      <c r="C893" s="76">
        <v>43993</v>
      </c>
      <c r="D893">
        <v>2398</v>
      </c>
      <c r="E893">
        <v>0</v>
      </c>
      <c r="F893">
        <v>5488</v>
      </c>
      <c r="G893">
        <v>1173</v>
      </c>
      <c r="H893">
        <v>67.099999999999994</v>
      </c>
      <c r="I893">
        <v>62.1</v>
      </c>
      <c r="J893">
        <v>72.2</v>
      </c>
      <c r="K893">
        <v>189</v>
      </c>
      <c r="L893">
        <v>0</v>
      </c>
      <c r="M893">
        <v>426</v>
      </c>
      <c r="N893">
        <v>5.3</v>
      </c>
      <c r="O893">
        <v>4</v>
      </c>
      <c r="P893">
        <v>6.6</v>
      </c>
      <c r="Q893">
        <f t="shared" si="26"/>
        <v>990334</v>
      </c>
      <c r="R893">
        <f t="shared" si="25"/>
        <v>19.084470491773484</v>
      </c>
      <c r="U893">
        <v>238</v>
      </c>
      <c r="V893">
        <v>0</v>
      </c>
      <c r="W893">
        <v>614</v>
      </c>
      <c r="X893">
        <v>200</v>
      </c>
      <c r="Y893">
        <v>54.4</v>
      </c>
      <c r="Z893">
        <v>47.2</v>
      </c>
      <c r="AA893">
        <v>61.6</v>
      </c>
    </row>
    <row r="894" spans="1:27" x14ac:dyDescent="0.25">
      <c r="A894" t="s">
        <v>232</v>
      </c>
      <c r="B894" t="s">
        <v>217</v>
      </c>
      <c r="C894" s="76">
        <v>43994</v>
      </c>
      <c r="D894">
        <v>1784</v>
      </c>
      <c r="E894">
        <v>116</v>
      </c>
      <c r="F894">
        <v>3453</v>
      </c>
      <c r="G894">
        <v>846</v>
      </c>
      <c r="H894">
        <v>67.8</v>
      </c>
      <c r="I894">
        <v>61.5</v>
      </c>
      <c r="J894">
        <v>74.2</v>
      </c>
      <c r="K894">
        <v>138</v>
      </c>
      <c r="L894">
        <v>16</v>
      </c>
      <c r="M894">
        <v>259</v>
      </c>
      <c r="N894">
        <v>5.2</v>
      </c>
      <c r="O894">
        <v>4</v>
      </c>
      <c r="P894">
        <v>6.5</v>
      </c>
      <c r="Q894">
        <f t="shared" si="26"/>
        <v>990334</v>
      </c>
      <c r="R894">
        <f t="shared" si="25"/>
        <v>13.934692740025083</v>
      </c>
      <c r="U894">
        <v>161</v>
      </c>
      <c r="V894">
        <v>0</v>
      </c>
      <c r="W894">
        <v>350</v>
      </c>
      <c r="X894">
        <v>156</v>
      </c>
      <c r="Y894">
        <v>50.9</v>
      </c>
      <c r="Z894">
        <v>39.6</v>
      </c>
      <c r="AA894">
        <v>62.3</v>
      </c>
    </row>
    <row r="895" spans="1:27" x14ac:dyDescent="0.25">
      <c r="A895" t="s">
        <v>232</v>
      </c>
      <c r="B895" t="s">
        <v>217</v>
      </c>
      <c r="C895" s="76">
        <v>43995</v>
      </c>
      <c r="D895">
        <v>1691</v>
      </c>
      <c r="E895">
        <v>120</v>
      </c>
      <c r="F895">
        <v>3263</v>
      </c>
      <c r="G895">
        <v>928</v>
      </c>
      <c r="H895">
        <v>64.599999999999994</v>
      </c>
      <c r="I895">
        <v>57.5</v>
      </c>
      <c r="J895">
        <v>71.599999999999994</v>
      </c>
      <c r="K895">
        <v>138</v>
      </c>
      <c r="L895">
        <v>12</v>
      </c>
      <c r="M895">
        <v>264</v>
      </c>
      <c r="N895">
        <v>5.3</v>
      </c>
      <c r="O895">
        <v>3.8</v>
      </c>
      <c r="P895">
        <v>6.7</v>
      </c>
      <c r="Q895">
        <f t="shared" si="26"/>
        <v>990334</v>
      </c>
      <c r="R895">
        <f t="shared" si="25"/>
        <v>13.934692740025083</v>
      </c>
      <c r="U895">
        <v>158</v>
      </c>
      <c r="V895">
        <v>0</v>
      </c>
      <c r="W895">
        <v>344</v>
      </c>
      <c r="X895">
        <v>149</v>
      </c>
      <c r="Y895">
        <v>51.6</v>
      </c>
      <c r="Z895">
        <v>36.299999999999997</v>
      </c>
      <c r="AA895">
        <v>66.900000000000006</v>
      </c>
    </row>
    <row r="896" spans="1:27" x14ac:dyDescent="0.25">
      <c r="A896" t="s">
        <v>232</v>
      </c>
      <c r="B896" t="s">
        <v>217</v>
      </c>
      <c r="C896" s="76">
        <v>43996</v>
      </c>
      <c r="D896">
        <v>1508</v>
      </c>
      <c r="E896">
        <v>0</v>
      </c>
      <c r="F896">
        <v>3032</v>
      </c>
      <c r="G896">
        <v>895</v>
      </c>
      <c r="H896">
        <v>62.8</v>
      </c>
      <c r="I896">
        <v>56.5</v>
      </c>
      <c r="J896">
        <v>69.099999999999994</v>
      </c>
      <c r="K896">
        <v>126</v>
      </c>
      <c r="L896">
        <v>3</v>
      </c>
      <c r="M896">
        <v>249</v>
      </c>
      <c r="N896">
        <v>5.2</v>
      </c>
      <c r="O896">
        <v>3.2</v>
      </c>
      <c r="P896">
        <v>7.3</v>
      </c>
      <c r="Q896">
        <f t="shared" si="26"/>
        <v>990334</v>
      </c>
      <c r="R896">
        <f t="shared" si="25"/>
        <v>12.722980327848989</v>
      </c>
      <c r="U896">
        <v>143</v>
      </c>
      <c r="V896">
        <v>0</v>
      </c>
      <c r="W896">
        <v>331</v>
      </c>
      <c r="X896">
        <v>144</v>
      </c>
      <c r="Y896">
        <v>50</v>
      </c>
      <c r="Z896">
        <v>33.700000000000003</v>
      </c>
      <c r="AA896">
        <v>66.3</v>
      </c>
    </row>
    <row r="897" spans="1:27" x14ac:dyDescent="0.25">
      <c r="A897" t="s">
        <v>232</v>
      </c>
      <c r="B897" t="s">
        <v>217</v>
      </c>
      <c r="C897" s="76">
        <v>43997</v>
      </c>
      <c r="D897">
        <v>1531</v>
      </c>
      <c r="E897">
        <v>15</v>
      </c>
      <c r="F897">
        <v>3048</v>
      </c>
      <c r="G897">
        <v>872</v>
      </c>
      <c r="H897">
        <v>63.7</v>
      </c>
      <c r="I897">
        <v>56.7</v>
      </c>
      <c r="J897">
        <v>70.7</v>
      </c>
      <c r="K897">
        <v>124</v>
      </c>
      <c r="L897">
        <v>4</v>
      </c>
      <c r="M897">
        <v>244</v>
      </c>
      <c r="N897">
        <v>5.2</v>
      </c>
      <c r="O897">
        <v>3.4</v>
      </c>
      <c r="P897">
        <v>6.9</v>
      </c>
      <c r="Q897">
        <f t="shared" si="26"/>
        <v>990334</v>
      </c>
      <c r="R897">
        <f t="shared" si="25"/>
        <v>12.521028259152972</v>
      </c>
      <c r="U897">
        <v>143</v>
      </c>
      <c r="V897">
        <v>0</v>
      </c>
      <c r="W897">
        <v>323</v>
      </c>
      <c r="X897">
        <v>146</v>
      </c>
      <c r="Y897">
        <v>49.5</v>
      </c>
      <c r="Z897">
        <v>39.200000000000003</v>
      </c>
      <c r="AA897">
        <v>59.8</v>
      </c>
    </row>
    <row r="898" spans="1:27" x14ac:dyDescent="0.25">
      <c r="A898" t="s">
        <v>232</v>
      </c>
      <c r="B898" t="s">
        <v>217</v>
      </c>
      <c r="C898" s="76">
        <v>43998</v>
      </c>
      <c r="D898">
        <v>1764</v>
      </c>
      <c r="E898">
        <v>117</v>
      </c>
      <c r="F898">
        <v>3410</v>
      </c>
      <c r="G898">
        <v>853</v>
      </c>
      <c r="H898">
        <v>67.400000000000006</v>
      </c>
      <c r="I898">
        <v>60.5</v>
      </c>
      <c r="J898">
        <v>74.400000000000006</v>
      </c>
      <c r="K898">
        <v>130</v>
      </c>
      <c r="L898">
        <v>8</v>
      </c>
      <c r="M898">
        <v>251</v>
      </c>
      <c r="N898">
        <v>5</v>
      </c>
      <c r="O898">
        <v>3.4</v>
      </c>
      <c r="P898">
        <v>6.5</v>
      </c>
      <c r="Q898">
        <f t="shared" si="26"/>
        <v>990334</v>
      </c>
      <c r="R898">
        <f t="shared" si="25"/>
        <v>13.126884465241019</v>
      </c>
      <c r="U898">
        <v>147</v>
      </c>
      <c r="V898">
        <v>0</v>
      </c>
      <c r="W898">
        <v>325</v>
      </c>
      <c r="X898">
        <v>147</v>
      </c>
      <c r="Y898">
        <v>50</v>
      </c>
      <c r="Z898">
        <v>40.299999999999997</v>
      </c>
      <c r="AA898">
        <v>59.7</v>
      </c>
    </row>
    <row r="899" spans="1:27" x14ac:dyDescent="0.25">
      <c r="A899" t="s">
        <v>232</v>
      </c>
      <c r="B899" t="s">
        <v>217</v>
      </c>
      <c r="C899" s="76">
        <v>43999</v>
      </c>
      <c r="D899">
        <v>1962</v>
      </c>
      <c r="E899">
        <v>0</v>
      </c>
      <c r="F899">
        <v>4381</v>
      </c>
      <c r="G899">
        <v>872</v>
      </c>
      <c r="H899">
        <v>69.2</v>
      </c>
      <c r="I899">
        <v>62.8</v>
      </c>
      <c r="J899">
        <v>75.7</v>
      </c>
      <c r="K899">
        <v>136</v>
      </c>
      <c r="L899">
        <v>0</v>
      </c>
      <c r="M899">
        <v>319</v>
      </c>
      <c r="N899">
        <v>4.8</v>
      </c>
      <c r="O899">
        <v>3.8</v>
      </c>
      <c r="P899">
        <v>5.8</v>
      </c>
      <c r="Q899">
        <f t="shared" si="26"/>
        <v>990334</v>
      </c>
      <c r="R899">
        <f t="shared" si="25"/>
        <v>13.732740671329067</v>
      </c>
      <c r="U899">
        <v>181</v>
      </c>
      <c r="V899">
        <v>0</v>
      </c>
      <c r="W899">
        <v>466</v>
      </c>
      <c r="X899">
        <v>137</v>
      </c>
      <c r="Y899">
        <v>56.9</v>
      </c>
      <c r="Z899">
        <v>48.8</v>
      </c>
      <c r="AA899">
        <v>65.099999999999994</v>
      </c>
    </row>
    <row r="900" spans="1:27" x14ac:dyDescent="0.25">
      <c r="A900" t="s">
        <v>232</v>
      </c>
      <c r="B900" t="s">
        <v>217</v>
      </c>
      <c r="C900" s="76">
        <v>44000</v>
      </c>
      <c r="D900">
        <v>1836</v>
      </c>
      <c r="E900">
        <v>97</v>
      </c>
      <c r="F900">
        <v>3576</v>
      </c>
      <c r="G900">
        <v>799</v>
      </c>
      <c r="H900">
        <v>69.7</v>
      </c>
      <c r="I900">
        <v>63</v>
      </c>
      <c r="J900">
        <v>76.3</v>
      </c>
      <c r="K900">
        <v>129</v>
      </c>
      <c r="L900">
        <v>5</v>
      </c>
      <c r="M900">
        <v>253</v>
      </c>
      <c r="N900">
        <v>4.9000000000000004</v>
      </c>
      <c r="O900">
        <v>3.4</v>
      </c>
      <c r="P900">
        <v>6.4</v>
      </c>
      <c r="Q900">
        <f t="shared" si="26"/>
        <v>990334</v>
      </c>
      <c r="R900">
        <f t="shared" si="25"/>
        <v>13.025908430893011</v>
      </c>
      <c r="U900">
        <v>169</v>
      </c>
      <c r="V900">
        <v>0</v>
      </c>
      <c r="W900">
        <v>369</v>
      </c>
      <c r="X900">
        <v>139</v>
      </c>
      <c r="Y900">
        <v>54.8</v>
      </c>
      <c r="Z900">
        <v>41.9</v>
      </c>
      <c r="AA900">
        <v>67.7</v>
      </c>
    </row>
    <row r="901" spans="1:27" x14ac:dyDescent="0.25">
      <c r="A901" t="s">
        <v>232</v>
      </c>
      <c r="B901" t="s">
        <v>217</v>
      </c>
      <c r="C901" s="76">
        <v>44001</v>
      </c>
      <c r="D901">
        <v>1807</v>
      </c>
      <c r="E901">
        <v>127</v>
      </c>
      <c r="F901">
        <v>3488</v>
      </c>
      <c r="G901">
        <v>818</v>
      </c>
      <c r="H901">
        <v>68.8</v>
      </c>
      <c r="I901">
        <v>61.1</v>
      </c>
      <c r="J901">
        <v>76.5</v>
      </c>
      <c r="K901">
        <v>125</v>
      </c>
      <c r="L901">
        <v>9</v>
      </c>
      <c r="M901">
        <v>241</v>
      </c>
      <c r="N901">
        <v>4.8</v>
      </c>
      <c r="O901">
        <v>3.3</v>
      </c>
      <c r="P901">
        <v>6.3</v>
      </c>
      <c r="Q901">
        <f t="shared" si="26"/>
        <v>990334</v>
      </c>
      <c r="R901">
        <f t="shared" ref="R901:R964" si="27">K901/(Q901)*100000</f>
        <v>12.622004293500982</v>
      </c>
      <c r="U901">
        <v>161</v>
      </c>
      <c r="V901">
        <v>0</v>
      </c>
      <c r="W901">
        <v>352</v>
      </c>
      <c r="X901">
        <v>147</v>
      </c>
      <c r="Y901">
        <v>52.3</v>
      </c>
      <c r="Z901">
        <v>42.2</v>
      </c>
      <c r="AA901">
        <v>62.4</v>
      </c>
    </row>
    <row r="902" spans="1:27" x14ac:dyDescent="0.25">
      <c r="A902" t="s">
        <v>232</v>
      </c>
      <c r="B902" t="s">
        <v>217</v>
      </c>
      <c r="C902" s="76">
        <v>44002</v>
      </c>
      <c r="D902">
        <v>1565</v>
      </c>
      <c r="E902">
        <v>0</v>
      </c>
      <c r="F902">
        <v>3168</v>
      </c>
      <c r="G902">
        <v>861</v>
      </c>
      <c r="H902">
        <v>64.5</v>
      </c>
      <c r="I902">
        <v>57.8</v>
      </c>
      <c r="J902">
        <v>71.2</v>
      </c>
      <c r="K902">
        <v>108</v>
      </c>
      <c r="L902">
        <v>0</v>
      </c>
      <c r="M902">
        <v>219</v>
      </c>
      <c r="N902">
        <v>4.5</v>
      </c>
      <c r="O902">
        <v>3.2</v>
      </c>
      <c r="P902">
        <v>5.7</v>
      </c>
      <c r="Q902">
        <f t="shared" si="26"/>
        <v>990334</v>
      </c>
      <c r="R902">
        <f t="shared" si="27"/>
        <v>10.905411709584847</v>
      </c>
      <c r="U902">
        <v>154</v>
      </c>
      <c r="V902">
        <v>0</v>
      </c>
      <c r="W902">
        <v>350</v>
      </c>
      <c r="X902">
        <v>134</v>
      </c>
      <c r="Y902">
        <v>53.6</v>
      </c>
      <c r="Z902">
        <v>40.6</v>
      </c>
      <c r="AA902">
        <v>66.5</v>
      </c>
    </row>
    <row r="903" spans="1:27" x14ac:dyDescent="0.25">
      <c r="A903" t="s">
        <v>232</v>
      </c>
      <c r="B903" t="s">
        <v>217</v>
      </c>
      <c r="C903" s="76">
        <v>44003</v>
      </c>
      <c r="D903">
        <v>1550</v>
      </c>
      <c r="E903">
        <v>0</v>
      </c>
      <c r="F903">
        <v>3104</v>
      </c>
      <c r="G903">
        <v>866</v>
      </c>
      <c r="H903">
        <v>64.2</v>
      </c>
      <c r="I903">
        <v>56.5</v>
      </c>
      <c r="J903">
        <v>71.8</v>
      </c>
      <c r="K903">
        <v>114</v>
      </c>
      <c r="L903">
        <v>0</v>
      </c>
      <c r="M903">
        <v>233</v>
      </c>
      <c r="N903">
        <v>4.7</v>
      </c>
      <c r="O903">
        <v>3.5</v>
      </c>
      <c r="P903">
        <v>5.9</v>
      </c>
      <c r="Q903">
        <f t="shared" si="26"/>
        <v>990334</v>
      </c>
      <c r="R903">
        <f t="shared" si="27"/>
        <v>11.511267915672894</v>
      </c>
      <c r="U903">
        <v>153</v>
      </c>
      <c r="V903">
        <v>0</v>
      </c>
      <c r="W903">
        <v>349</v>
      </c>
      <c r="X903">
        <v>135</v>
      </c>
      <c r="Y903">
        <v>53.1</v>
      </c>
      <c r="Z903">
        <v>41.8</v>
      </c>
      <c r="AA903">
        <v>64.400000000000006</v>
      </c>
    </row>
    <row r="904" spans="1:27" x14ac:dyDescent="0.25">
      <c r="A904" t="s">
        <v>232</v>
      </c>
      <c r="B904" t="s">
        <v>217</v>
      </c>
      <c r="C904" s="76">
        <v>44004</v>
      </c>
      <c r="D904">
        <v>1551</v>
      </c>
      <c r="E904">
        <v>24</v>
      </c>
      <c r="F904">
        <v>3078</v>
      </c>
      <c r="G904">
        <v>839</v>
      </c>
      <c r="H904">
        <v>64.900000000000006</v>
      </c>
      <c r="I904">
        <v>56.4</v>
      </c>
      <c r="J904">
        <v>73.400000000000006</v>
      </c>
      <c r="K904">
        <v>121</v>
      </c>
      <c r="L904">
        <v>4</v>
      </c>
      <c r="M904">
        <v>238</v>
      </c>
      <c r="N904">
        <v>5.0999999999999996</v>
      </c>
      <c r="O904">
        <v>3.5</v>
      </c>
      <c r="P904">
        <v>6.6</v>
      </c>
      <c r="Q904">
        <f t="shared" si="26"/>
        <v>990334</v>
      </c>
      <c r="R904">
        <f t="shared" si="27"/>
        <v>12.21810015610895</v>
      </c>
      <c r="U904">
        <v>144</v>
      </c>
      <c r="V904">
        <v>0</v>
      </c>
      <c r="W904">
        <v>328</v>
      </c>
      <c r="X904">
        <v>144</v>
      </c>
      <c r="Y904">
        <v>49.8</v>
      </c>
      <c r="Z904">
        <v>38.799999999999997</v>
      </c>
      <c r="AA904">
        <v>60.9</v>
      </c>
    </row>
    <row r="905" spans="1:27" x14ac:dyDescent="0.25">
      <c r="A905" t="s">
        <v>232</v>
      </c>
      <c r="B905" t="s">
        <v>217</v>
      </c>
      <c r="C905" s="76">
        <v>44005</v>
      </c>
      <c r="D905">
        <v>1817</v>
      </c>
      <c r="E905">
        <v>0</v>
      </c>
      <c r="F905">
        <v>4181</v>
      </c>
      <c r="G905">
        <v>828</v>
      </c>
      <c r="H905">
        <v>68.7</v>
      </c>
      <c r="I905">
        <v>63.1</v>
      </c>
      <c r="J905">
        <v>74.3</v>
      </c>
      <c r="K905">
        <v>108</v>
      </c>
      <c r="L905">
        <v>0</v>
      </c>
      <c r="M905">
        <v>255</v>
      </c>
      <c r="N905">
        <v>4.0999999999999996</v>
      </c>
      <c r="O905">
        <v>3.3</v>
      </c>
      <c r="P905">
        <v>4.8</v>
      </c>
      <c r="Q905">
        <f t="shared" si="26"/>
        <v>990334</v>
      </c>
      <c r="R905">
        <f t="shared" si="27"/>
        <v>10.905411709584847</v>
      </c>
      <c r="U905">
        <v>182</v>
      </c>
      <c r="V905">
        <v>0</v>
      </c>
      <c r="W905">
        <v>481</v>
      </c>
      <c r="X905">
        <v>129</v>
      </c>
      <c r="Y905">
        <v>58.4</v>
      </c>
      <c r="Z905">
        <v>47.4</v>
      </c>
      <c r="AA905">
        <v>69.5</v>
      </c>
    </row>
    <row r="906" spans="1:27" x14ac:dyDescent="0.25">
      <c r="A906" t="s">
        <v>232</v>
      </c>
      <c r="B906" t="s">
        <v>217</v>
      </c>
      <c r="C906" s="76">
        <v>44006</v>
      </c>
      <c r="D906">
        <v>1901</v>
      </c>
      <c r="E906">
        <v>0</v>
      </c>
      <c r="F906">
        <v>4384</v>
      </c>
      <c r="G906">
        <v>782</v>
      </c>
      <c r="H906">
        <v>70.900000000000006</v>
      </c>
      <c r="I906">
        <v>66</v>
      </c>
      <c r="J906">
        <v>75.8</v>
      </c>
      <c r="K906">
        <v>119</v>
      </c>
      <c r="L906">
        <v>0</v>
      </c>
      <c r="M906">
        <v>282</v>
      </c>
      <c r="N906">
        <v>4.4000000000000004</v>
      </c>
      <c r="O906">
        <v>3.5</v>
      </c>
      <c r="P906">
        <v>5.4</v>
      </c>
      <c r="Q906">
        <f t="shared" si="26"/>
        <v>990334</v>
      </c>
      <c r="R906">
        <f t="shared" si="27"/>
        <v>12.016148087412933</v>
      </c>
      <c r="U906">
        <v>187</v>
      </c>
      <c r="V906">
        <v>0</v>
      </c>
      <c r="W906">
        <v>508</v>
      </c>
      <c r="X906">
        <v>111</v>
      </c>
      <c r="Y906">
        <v>62.8</v>
      </c>
      <c r="Z906">
        <v>52</v>
      </c>
      <c r="AA906">
        <v>73.599999999999994</v>
      </c>
    </row>
    <row r="907" spans="1:27" x14ac:dyDescent="0.25">
      <c r="A907" t="s">
        <v>232</v>
      </c>
      <c r="B907" t="s">
        <v>217</v>
      </c>
      <c r="C907" s="76">
        <v>44007</v>
      </c>
      <c r="D907">
        <v>1428</v>
      </c>
      <c r="E907">
        <v>0</v>
      </c>
      <c r="F907">
        <v>3047</v>
      </c>
      <c r="G907">
        <v>308</v>
      </c>
      <c r="H907">
        <v>82.2</v>
      </c>
      <c r="I907">
        <v>71.5</v>
      </c>
      <c r="J907">
        <v>93</v>
      </c>
      <c r="K907">
        <v>96</v>
      </c>
      <c r="L907">
        <v>0</v>
      </c>
      <c r="M907">
        <v>225</v>
      </c>
      <c r="N907">
        <v>5.5</v>
      </c>
      <c r="O907">
        <v>3.3</v>
      </c>
      <c r="P907">
        <v>7.7</v>
      </c>
      <c r="Q907">
        <f t="shared" si="26"/>
        <v>990334</v>
      </c>
      <c r="R907">
        <f t="shared" si="27"/>
        <v>9.6936992974087524</v>
      </c>
      <c r="U907">
        <v>125</v>
      </c>
      <c r="V907">
        <v>0</v>
      </c>
      <c r="W907">
        <v>295</v>
      </c>
      <c r="X907">
        <v>101</v>
      </c>
      <c r="Y907">
        <v>55.1</v>
      </c>
      <c r="Z907">
        <v>39.200000000000003</v>
      </c>
      <c r="AA907">
        <v>71.099999999999994</v>
      </c>
    </row>
    <row r="908" spans="1:27" x14ac:dyDescent="0.25">
      <c r="A908" t="s">
        <v>232</v>
      </c>
      <c r="B908" t="s">
        <v>217</v>
      </c>
      <c r="C908" s="76">
        <v>44008</v>
      </c>
      <c r="D908">
        <v>1381</v>
      </c>
      <c r="E908">
        <v>0</v>
      </c>
      <c r="F908">
        <v>2965</v>
      </c>
      <c r="G908">
        <v>348</v>
      </c>
      <c r="H908">
        <v>79.900000000000006</v>
      </c>
      <c r="I908">
        <v>68.3</v>
      </c>
      <c r="J908">
        <v>91.4</v>
      </c>
      <c r="K908">
        <v>100</v>
      </c>
      <c r="L908">
        <v>0</v>
      </c>
      <c r="M908">
        <v>239</v>
      </c>
      <c r="N908">
        <v>5.8</v>
      </c>
      <c r="O908">
        <v>3.4</v>
      </c>
      <c r="P908">
        <v>8.1999999999999993</v>
      </c>
      <c r="Q908">
        <f t="shared" si="26"/>
        <v>990334</v>
      </c>
      <c r="R908">
        <f t="shared" si="27"/>
        <v>10.097603434800783</v>
      </c>
      <c r="U908">
        <v>125</v>
      </c>
      <c r="V908">
        <v>0</v>
      </c>
      <c r="W908">
        <v>296</v>
      </c>
      <c r="X908">
        <v>97</v>
      </c>
      <c r="Y908">
        <v>56.3</v>
      </c>
      <c r="Z908">
        <v>40.700000000000003</v>
      </c>
      <c r="AA908">
        <v>71.900000000000006</v>
      </c>
    </row>
    <row r="909" spans="1:27" x14ac:dyDescent="0.25">
      <c r="A909" t="s">
        <v>232</v>
      </c>
      <c r="B909" t="s">
        <v>217</v>
      </c>
      <c r="C909" s="76">
        <v>44009</v>
      </c>
      <c r="D909">
        <v>1783</v>
      </c>
      <c r="E909">
        <v>62</v>
      </c>
      <c r="F909">
        <v>3504</v>
      </c>
      <c r="G909">
        <v>825</v>
      </c>
      <c r="H909">
        <v>68.400000000000006</v>
      </c>
      <c r="I909">
        <v>62</v>
      </c>
      <c r="J909">
        <v>74.8</v>
      </c>
      <c r="K909">
        <v>102</v>
      </c>
      <c r="L909">
        <v>0</v>
      </c>
      <c r="M909">
        <v>207</v>
      </c>
      <c r="N909">
        <v>3.9</v>
      </c>
      <c r="O909">
        <v>3.2</v>
      </c>
      <c r="P909">
        <v>4.7</v>
      </c>
      <c r="Q909">
        <f t="shared" si="26"/>
        <v>990334</v>
      </c>
      <c r="R909">
        <f t="shared" si="27"/>
        <v>10.2995555034968</v>
      </c>
      <c r="U909">
        <v>183</v>
      </c>
      <c r="V909">
        <v>0</v>
      </c>
      <c r="W909">
        <v>415</v>
      </c>
      <c r="X909">
        <v>129</v>
      </c>
      <c r="Y909">
        <v>58.6</v>
      </c>
      <c r="Z909">
        <v>42</v>
      </c>
      <c r="AA909">
        <v>75.2</v>
      </c>
    </row>
    <row r="910" spans="1:27" x14ac:dyDescent="0.25">
      <c r="A910" t="s">
        <v>232</v>
      </c>
      <c r="B910" t="s">
        <v>217</v>
      </c>
      <c r="C910" s="76">
        <v>44010</v>
      </c>
      <c r="D910">
        <v>1562</v>
      </c>
      <c r="E910">
        <v>0</v>
      </c>
      <c r="F910">
        <v>3214</v>
      </c>
      <c r="G910">
        <v>834</v>
      </c>
      <c r="H910">
        <v>65.2</v>
      </c>
      <c r="I910">
        <v>57.9</v>
      </c>
      <c r="J910">
        <v>72.5</v>
      </c>
      <c r="K910">
        <v>93</v>
      </c>
      <c r="L910">
        <v>0</v>
      </c>
      <c r="M910">
        <v>197</v>
      </c>
      <c r="N910">
        <v>3.9</v>
      </c>
      <c r="O910">
        <v>3</v>
      </c>
      <c r="P910">
        <v>4.7</v>
      </c>
      <c r="Q910">
        <f t="shared" si="26"/>
        <v>990334</v>
      </c>
      <c r="R910">
        <f t="shared" si="27"/>
        <v>9.3907711943647296</v>
      </c>
      <c r="U910">
        <v>167</v>
      </c>
      <c r="V910">
        <v>0</v>
      </c>
      <c r="W910">
        <v>392</v>
      </c>
      <c r="X910">
        <v>121</v>
      </c>
      <c r="Y910">
        <v>57.9</v>
      </c>
      <c r="Z910">
        <v>42.5</v>
      </c>
      <c r="AA910">
        <v>73.400000000000006</v>
      </c>
    </row>
    <row r="911" spans="1:27" x14ac:dyDescent="0.25">
      <c r="A911" t="s">
        <v>232</v>
      </c>
      <c r="B911" t="s">
        <v>217</v>
      </c>
      <c r="C911" s="76">
        <v>44011</v>
      </c>
      <c r="D911">
        <v>1729</v>
      </c>
      <c r="E911">
        <v>22</v>
      </c>
      <c r="F911">
        <v>3435</v>
      </c>
      <c r="G911">
        <v>858</v>
      </c>
      <c r="H911">
        <v>66.8</v>
      </c>
      <c r="I911">
        <v>60.7</v>
      </c>
      <c r="J911">
        <v>73</v>
      </c>
      <c r="K911">
        <v>100</v>
      </c>
      <c r="L911">
        <v>0</v>
      </c>
      <c r="M911">
        <v>208</v>
      </c>
      <c r="N911">
        <v>3.9</v>
      </c>
      <c r="O911">
        <v>3.1</v>
      </c>
      <c r="P911">
        <v>4.7</v>
      </c>
      <c r="Q911">
        <f t="shared" si="26"/>
        <v>990334</v>
      </c>
      <c r="R911">
        <f t="shared" si="27"/>
        <v>10.097603434800783</v>
      </c>
      <c r="U911">
        <v>196</v>
      </c>
      <c r="V911">
        <v>0</v>
      </c>
      <c r="W911">
        <v>435</v>
      </c>
      <c r="X911">
        <v>113</v>
      </c>
      <c r="Y911">
        <v>63.5</v>
      </c>
      <c r="Z911">
        <v>51.1</v>
      </c>
      <c r="AA911">
        <v>75.900000000000006</v>
      </c>
    </row>
    <row r="912" spans="1:27" x14ac:dyDescent="0.25">
      <c r="A912" t="s">
        <v>232</v>
      </c>
      <c r="B912" t="s">
        <v>217</v>
      </c>
      <c r="C912" s="76">
        <v>44012</v>
      </c>
      <c r="D912">
        <v>1813</v>
      </c>
      <c r="E912">
        <v>70</v>
      </c>
      <c r="F912">
        <v>3556</v>
      </c>
      <c r="G912">
        <v>806</v>
      </c>
      <c r="H912">
        <v>69.2</v>
      </c>
      <c r="I912">
        <v>63.1</v>
      </c>
      <c r="J912">
        <v>75.3</v>
      </c>
      <c r="K912">
        <v>102</v>
      </c>
      <c r="L912">
        <v>0</v>
      </c>
      <c r="M912">
        <v>213</v>
      </c>
      <c r="N912">
        <v>3.9</v>
      </c>
      <c r="O912">
        <v>2.9</v>
      </c>
      <c r="P912">
        <v>4.9000000000000004</v>
      </c>
      <c r="Q912">
        <f t="shared" si="26"/>
        <v>990334</v>
      </c>
      <c r="R912">
        <f t="shared" si="27"/>
        <v>10.2995555034968</v>
      </c>
      <c r="U912">
        <v>201</v>
      </c>
      <c r="V912">
        <v>0</v>
      </c>
      <c r="W912">
        <v>442</v>
      </c>
      <c r="X912">
        <v>107</v>
      </c>
      <c r="Y912">
        <v>65.2</v>
      </c>
      <c r="Z912">
        <v>52.9</v>
      </c>
      <c r="AA912">
        <v>77.599999999999994</v>
      </c>
    </row>
    <row r="913" spans="1:27" x14ac:dyDescent="0.25">
      <c r="A913" t="s">
        <v>232</v>
      </c>
      <c r="B913" t="s">
        <v>217</v>
      </c>
      <c r="C913" s="76">
        <v>44013</v>
      </c>
      <c r="D913">
        <v>1868</v>
      </c>
      <c r="E913">
        <v>114</v>
      </c>
      <c r="F913">
        <v>3622</v>
      </c>
      <c r="G913">
        <v>731</v>
      </c>
      <c r="H913">
        <v>71.900000000000006</v>
      </c>
      <c r="I913">
        <v>64.5</v>
      </c>
      <c r="J913">
        <v>79.2</v>
      </c>
      <c r="K913">
        <v>99</v>
      </c>
      <c r="L913">
        <v>0</v>
      </c>
      <c r="M913">
        <v>199</v>
      </c>
      <c r="N913">
        <v>3.8</v>
      </c>
      <c r="O913">
        <v>2.9</v>
      </c>
      <c r="P913">
        <v>4.7</v>
      </c>
      <c r="Q913">
        <f t="shared" si="26"/>
        <v>990334</v>
      </c>
      <c r="R913">
        <f t="shared" si="27"/>
        <v>9.9966274004527769</v>
      </c>
      <c r="U913">
        <v>205</v>
      </c>
      <c r="V913">
        <v>0</v>
      </c>
      <c r="W913">
        <v>454</v>
      </c>
      <c r="X913">
        <v>103</v>
      </c>
      <c r="Y913">
        <v>66.599999999999994</v>
      </c>
      <c r="Z913">
        <v>53.1</v>
      </c>
      <c r="AA913">
        <v>80</v>
      </c>
    </row>
    <row r="914" spans="1:27" x14ac:dyDescent="0.25">
      <c r="A914" t="s">
        <v>232</v>
      </c>
      <c r="B914" t="s">
        <v>217</v>
      </c>
      <c r="C914" s="76">
        <v>44014</v>
      </c>
      <c r="D914">
        <v>1872</v>
      </c>
      <c r="E914">
        <v>83</v>
      </c>
      <c r="F914">
        <v>3660</v>
      </c>
      <c r="G914">
        <v>743</v>
      </c>
      <c r="H914">
        <v>71.599999999999994</v>
      </c>
      <c r="I914">
        <v>64.599999999999994</v>
      </c>
      <c r="J914">
        <v>78.599999999999994</v>
      </c>
      <c r="K914">
        <v>94</v>
      </c>
      <c r="L914">
        <v>0</v>
      </c>
      <c r="M914">
        <v>194</v>
      </c>
      <c r="N914">
        <v>3.6</v>
      </c>
      <c r="O914">
        <v>2.8</v>
      </c>
      <c r="P914">
        <v>4.4000000000000004</v>
      </c>
      <c r="Q914">
        <f t="shared" si="26"/>
        <v>990334</v>
      </c>
      <c r="R914">
        <f t="shared" si="27"/>
        <v>9.4917472287127378</v>
      </c>
      <c r="U914">
        <v>201</v>
      </c>
      <c r="V914">
        <v>0</v>
      </c>
      <c r="W914">
        <v>444</v>
      </c>
      <c r="X914">
        <v>107</v>
      </c>
      <c r="Y914">
        <v>65.2</v>
      </c>
      <c r="Z914">
        <v>52.4</v>
      </c>
      <c r="AA914">
        <v>78</v>
      </c>
    </row>
    <row r="915" spans="1:27" x14ac:dyDescent="0.25">
      <c r="A915" t="s">
        <v>232</v>
      </c>
      <c r="B915" t="s">
        <v>217</v>
      </c>
      <c r="C915" s="76">
        <v>44015</v>
      </c>
      <c r="D915">
        <v>1830</v>
      </c>
      <c r="E915">
        <v>78</v>
      </c>
      <c r="F915">
        <v>3582</v>
      </c>
      <c r="G915">
        <v>778</v>
      </c>
      <c r="H915">
        <v>70.2</v>
      </c>
      <c r="I915">
        <v>63.9</v>
      </c>
      <c r="J915">
        <v>76.400000000000006</v>
      </c>
      <c r="K915">
        <v>95</v>
      </c>
      <c r="L915">
        <v>0</v>
      </c>
      <c r="M915">
        <v>197</v>
      </c>
      <c r="N915">
        <v>3.6</v>
      </c>
      <c r="O915">
        <v>2.8</v>
      </c>
      <c r="P915">
        <v>4.4000000000000004</v>
      </c>
      <c r="Q915">
        <f t="shared" si="26"/>
        <v>990334</v>
      </c>
      <c r="R915">
        <f t="shared" si="27"/>
        <v>9.5927232630607442</v>
      </c>
      <c r="U915">
        <v>194</v>
      </c>
      <c r="V915">
        <v>0</v>
      </c>
      <c r="W915">
        <v>426</v>
      </c>
      <c r="X915">
        <v>114</v>
      </c>
      <c r="Y915">
        <v>63</v>
      </c>
      <c r="Z915">
        <v>51.8</v>
      </c>
      <c r="AA915">
        <v>74.3</v>
      </c>
    </row>
    <row r="916" spans="1:27" x14ac:dyDescent="0.25">
      <c r="A916" t="s">
        <v>232</v>
      </c>
      <c r="B916" t="s">
        <v>217</v>
      </c>
      <c r="C916" s="76">
        <v>44016</v>
      </c>
      <c r="D916">
        <v>1743</v>
      </c>
      <c r="E916">
        <v>57</v>
      </c>
      <c r="F916">
        <v>3428</v>
      </c>
      <c r="G916">
        <v>848</v>
      </c>
      <c r="H916">
        <v>67.3</v>
      </c>
      <c r="I916">
        <v>60.9</v>
      </c>
      <c r="J916">
        <v>73.599999999999994</v>
      </c>
      <c r="K916">
        <v>94</v>
      </c>
      <c r="L916">
        <v>0</v>
      </c>
      <c r="M916">
        <v>196</v>
      </c>
      <c r="N916">
        <v>3.6</v>
      </c>
      <c r="O916">
        <v>2.7</v>
      </c>
      <c r="P916">
        <v>4.5</v>
      </c>
      <c r="Q916">
        <f t="shared" si="26"/>
        <v>990334</v>
      </c>
      <c r="R916">
        <f t="shared" si="27"/>
        <v>9.4917472287127378</v>
      </c>
      <c r="U916">
        <v>201</v>
      </c>
      <c r="V916">
        <v>0</v>
      </c>
      <c r="W916">
        <v>449</v>
      </c>
      <c r="X916">
        <v>107</v>
      </c>
      <c r="Y916">
        <v>65.3</v>
      </c>
      <c r="Z916">
        <v>51.3</v>
      </c>
      <c r="AA916">
        <v>79.400000000000006</v>
      </c>
    </row>
    <row r="917" spans="1:27" x14ac:dyDescent="0.25">
      <c r="A917" t="s">
        <v>232</v>
      </c>
      <c r="B917" t="s">
        <v>217</v>
      </c>
      <c r="C917" s="76">
        <v>44017</v>
      </c>
      <c r="D917">
        <v>1698</v>
      </c>
      <c r="E917">
        <v>62</v>
      </c>
      <c r="F917">
        <v>3334</v>
      </c>
      <c r="G917">
        <v>893</v>
      </c>
      <c r="H917">
        <v>65.5</v>
      </c>
      <c r="I917">
        <v>58.9</v>
      </c>
      <c r="J917">
        <v>72.2</v>
      </c>
      <c r="K917">
        <v>91</v>
      </c>
      <c r="L917">
        <v>0</v>
      </c>
      <c r="M917">
        <v>186</v>
      </c>
      <c r="N917">
        <v>3.5</v>
      </c>
      <c r="O917">
        <v>2.8</v>
      </c>
      <c r="P917">
        <v>4.2</v>
      </c>
      <c r="Q917">
        <f t="shared" si="26"/>
        <v>990334</v>
      </c>
      <c r="R917">
        <f t="shared" si="27"/>
        <v>9.1888191256687133</v>
      </c>
      <c r="U917">
        <v>202</v>
      </c>
      <c r="V917">
        <v>0</v>
      </c>
      <c r="W917">
        <v>456</v>
      </c>
      <c r="X917">
        <v>106</v>
      </c>
      <c r="Y917">
        <v>65.7</v>
      </c>
      <c r="Z917">
        <v>50</v>
      </c>
      <c r="AA917">
        <v>81.400000000000006</v>
      </c>
    </row>
    <row r="918" spans="1:27" x14ac:dyDescent="0.25">
      <c r="A918" t="s">
        <v>232</v>
      </c>
      <c r="B918" t="s">
        <v>217</v>
      </c>
      <c r="C918" s="76">
        <v>44018</v>
      </c>
      <c r="D918">
        <v>1773</v>
      </c>
      <c r="E918">
        <v>87</v>
      </c>
      <c r="F918">
        <v>3459</v>
      </c>
      <c r="G918">
        <v>818</v>
      </c>
      <c r="H918">
        <v>68.400000000000006</v>
      </c>
      <c r="I918">
        <v>59.6</v>
      </c>
      <c r="J918">
        <v>77.2</v>
      </c>
      <c r="K918">
        <v>94</v>
      </c>
      <c r="L918">
        <v>0</v>
      </c>
      <c r="M918">
        <v>190</v>
      </c>
      <c r="N918">
        <v>3.6</v>
      </c>
      <c r="O918">
        <v>2.8</v>
      </c>
      <c r="P918">
        <v>4.5</v>
      </c>
      <c r="Q918">
        <f t="shared" si="26"/>
        <v>990334</v>
      </c>
      <c r="R918">
        <f t="shared" si="27"/>
        <v>9.4917472287127378</v>
      </c>
      <c r="U918">
        <v>205</v>
      </c>
      <c r="V918">
        <v>0</v>
      </c>
      <c r="W918">
        <v>455</v>
      </c>
      <c r="X918">
        <v>103</v>
      </c>
      <c r="Y918">
        <v>66.599999999999994</v>
      </c>
      <c r="Z918">
        <v>52.5</v>
      </c>
      <c r="AA918">
        <v>80.8</v>
      </c>
    </row>
    <row r="919" spans="1:27" x14ac:dyDescent="0.25">
      <c r="A919" t="s">
        <v>232</v>
      </c>
      <c r="B919" t="s">
        <v>217</v>
      </c>
      <c r="C919" s="76">
        <v>44019</v>
      </c>
      <c r="D919">
        <v>1873</v>
      </c>
      <c r="E919">
        <v>106</v>
      </c>
      <c r="F919">
        <v>3640</v>
      </c>
      <c r="G919">
        <v>723</v>
      </c>
      <c r="H919">
        <v>72.099999999999994</v>
      </c>
      <c r="I919">
        <v>62.2</v>
      </c>
      <c r="J919">
        <v>82.1</v>
      </c>
      <c r="K919">
        <v>85</v>
      </c>
      <c r="L919">
        <v>0</v>
      </c>
      <c r="M919">
        <v>175</v>
      </c>
      <c r="N919">
        <v>3.3</v>
      </c>
      <c r="O919">
        <v>2.4</v>
      </c>
      <c r="P919">
        <v>4.0999999999999996</v>
      </c>
      <c r="Q919">
        <f t="shared" si="26"/>
        <v>990334</v>
      </c>
      <c r="R919">
        <f t="shared" si="27"/>
        <v>8.5829629195806678</v>
      </c>
      <c r="U919">
        <v>202</v>
      </c>
      <c r="V919">
        <v>0</v>
      </c>
      <c r="W919">
        <v>456</v>
      </c>
      <c r="X919">
        <v>106</v>
      </c>
      <c r="Y919">
        <v>65.5</v>
      </c>
      <c r="Z919">
        <v>47.6</v>
      </c>
      <c r="AA919">
        <v>83.5</v>
      </c>
    </row>
    <row r="920" spans="1:27" x14ac:dyDescent="0.25">
      <c r="A920" t="s">
        <v>233</v>
      </c>
      <c r="B920" t="s">
        <v>168</v>
      </c>
      <c r="C920" s="76">
        <v>43936</v>
      </c>
      <c r="D920">
        <v>31330</v>
      </c>
      <c r="E920">
        <v>23715</v>
      </c>
      <c r="F920">
        <v>38945</v>
      </c>
      <c r="G920">
        <v>26367</v>
      </c>
      <c r="H920">
        <v>54.3</v>
      </c>
      <c r="I920">
        <v>51.2</v>
      </c>
      <c r="J920">
        <v>57.5</v>
      </c>
      <c r="K920">
        <v>3322</v>
      </c>
      <c r="L920">
        <v>2304</v>
      </c>
      <c r="M920">
        <v>4339</v>
      </c>
      <c r="N920">
        <v>5.8</v>
      </c>
      <c r="O920">
        <v>4.5999999999999996</v>
      </c>
      <c r="P920">
        <v>6.9</v>
      </c>
      <c r="Q920">
        <f t="shared" si="26"/>
        <v>21944577</v>
      </c>
      <c r="R920">
        <f t="shared" si="27"/>
        <v>15.138136406092492</v>
      </c>
      <c r="U920">
        <v>4662</v>
      </c>
      <c r="V920">
        <v>3013</v>
      </c>
      <c r="W920">
        <v>6312</v>
      </c>
      <c r="X920">
        <v>2434</v>
      </c>
      <c r="Y920">
        <v>65.7</v>
      </c>
      <c r="Z920">
        <v>60.5</v>
      </c>
      <c r="AA920">
        <v>70.900000000000006</v>
      </c>
    </row>
    <row r="921" spans="1:27" x14ac:dyDescent="0.25">
      <c r="A921" t="s">
        <v>233</v>
      </c>
      <c r="B921" t="s">
        <v>168</v>
      </c>
      <c r="C921" s="76">
        <v>43937</v>
      </c>
      <c r="D921">
        <v>29491</v>
      </c>
      <c r="E921">
        <v>23331</v>
      </c>
      <c r="F921">
        <v>35651</v>
      </c>
      <c r="G921">
        <v>30297</v>
      </c>
      <c r="H921">
        <v>49.3</v>
      </c>
      <c r="I921">
        <v>46.4</v>
      </c>
      <c r="J921">
        <v>52.3</v>
      </c>
      <c r="K921">
        <v>4359</v>
      </c>
      <c r="L921">
        <v>3119</v>
      </c>
      <c r="M921">
        <v>5599</v>
      </c>
      <c r="N921">
        <v>7.3</v>
      </c>
      <c r="O921">
        <v>6</v>
      </c>
      <c r="P921">
        <v>8.6</v>
      </c>
      <c r="Q921">
        <f t="shared" si="26"/>
        <v>21944577</v>
      </c>
      <c r="R921">
        <f t="shared" si="27"/>
        <v>19.863677481684885</v>
      </c>
      <c r="U921">
        <v>4386</v>
      </c>
      <c r="V921">
        <v>3258</v>
      </c>
      <c r="W921">
        <v>5513</v>
      </c>
      <c r="X921">
        <v>3864</v>
      </c>
      <c r="Y921">
        <v>53.2</v>
      </c>
      <c r="Z921">
        <v>47.5</v>
      </c>
      <c r="AA921">
        <v>58.8</v>
      </c>
    </row>
    <row r="922" spans="1:27" x14ac:dyDescent="0.25">
      <c r="A922" t="s">
        <v>233</v>
      </c>
      <c r="B922" t="s">
        <v>168</v>
      </c>
      <c r="C922" s="76">
        <v>43938</v>
      </c>
      <c r="D922">
        <v>29338</v>
      </c>
      <c r="E922">
        <v>23217</v>
      </c>
      <c r="F922">
        <v>35459</v>
      </c>
      <c r="G922">
        <v>30388</v>
      </c>
      <c r="H922">
        <v>49.1</v>
      </c>
      <c r="I922">
        <v>46.1</v>
      </c>
      <c r="J922">
        <v>52.2</v>
      </c>
      <c r="K922">
        <v>4467</v>
      </c>
      <c r="L922">
        <v>3193</v>
      </c>
      <c r="M922">
        <v>5742</v>
      </c>
      <c r="N922">
        <v>7.5</v>
      </c>
      <c r="O922">
        <v>6.1</v>
      </c>
      <c r="P922">
        <v>8.8000000000000007</v>
      </c>
      <c r="Q922">
        <f t="shared" si="26"/>
        <v>21944577</v>
      </c>
      <c r="R922">
        <f t="shared" si="27"/>
        <v>20.35582640759036</v>
      </c>
      <c r="U922">
        <v>4346</v>
      </c>
      <c r="V922">
        <v>3248</v>
      </c>
      <c r="W922">
        <v>5444</v>
      </c>
      <c r="X922">
        <v>3914</v>
      </c>
      <c r="Y922">
        <v>52.6</v>
      </c>
      <c r="Z922">
        <v>46.8</v>
      </c>
      <c r="AA922">
        <v>58.5</v>
      </c>
    </row>
    <row r="923" spans="1:27" x14ac:dyDescent="0.25">
      <c r="A923" t="s">
        <v>233</v>
      </c>
      <c r="B923" t="s">
        <v>168</v>
      </c>
      <c r="C923" s="76">
        <v>43939</v>
      </c>
      <c r="D923">
        <v>28474</v>
      </c>
      <c r="E923">
        <v>22532</v>
      </c>
      <c r="F923">
        <v>34415</v>
      </c>
      <c r="G923">
        <v>31183</v>
      </c>
      <c r="H923">
        <v>47.7</v>
      </c>
      <c r="I923">
        <v>44.7</v>
      </c>
      <c r="J923">
        <v>50.7</v>
      </c>
      <c r="K923">
        <v>3644</v>
      </c>
      <c r="L923">
        <v>2499</v>
      </c>
      <c r="M923">
        <v>4789</v>
      </c>
      <c r="N923">
        <v>6.1</v>
      </c>
      <c r="O923">
        <v>4.8</v>
      </c>
      <c r="P923">
        <v>7.4</v>
      </c>
      <c r="Q923">
        <f t="shared" si="26"/>
        <v>21944577</v>
      </c>
      <c r="R923">
        <f t="shared" si="27"/>
        <v>16.605469314810669</v>
      </c>
      <c r="U923">
        <v>4295</v>
      </c>
      <c r="V923">
        <v>3178</v>
      </c>
      <c r="W923">
        <v>5412</v>
      </c>
      <c r="X923">
        <v>3954</v>
      </c>
      <c r="Y923">
        <v>52.1</v>
      </c>
      <c r="Z923">
        <v>45.8</v>
      </c>
      <c r="AA923">
        <v>58.3</v>
      </c>
    </row>
    <row r="924" spans="1:27" x14ac:dyDescent="0.25">
      <c r="A924" t="s">
        <v>233</v>
      </c>
      <c r="B924" t="s">
        <v>168</v>
      </c>
      <c r="C924" s="76">
        <v>43940</v>
      </c>
      <c r="D924">
        <v>28105</v>
      </c>
      <c r="E924">
        <v>22179</v>
      </c>
      <c r="F924">
        <v>34032</v>
      </c>
      <c r="G924">
        <v>31257</v>
      </c>
      <c r="H924">
        <v>47.3</v>
      </c>
      <c r="I924">
        <v>44.2</v>
      </c>
      <c r="J924">
        <v>50.5</v>
      </c>
      <c r="K924">
        <v>3940</v>
      </c>
      <c r="L924">
        <v>2759</v>
      </c>
      <c r="M924">
        <v>5120</v>
      </c>
      <c r="N924">
        <v>6.6</v>
      </c>
      <c r="O924">
        <v>5.3</v>
      </c>
      <c r="P924">
        <v>7.9</v>
      </c>
      <c r="Q924">
        <f t="shared" si="26"/>
        <v>21944577</v>
      </c>
      <c r="R924">
        <f t="shared" si="27"/>
        <v>17.954321926551604</v>
      </c>
      <c r="U924">
        <v>4280</v>
      </c>
      <c r="V924">
        <v>3173</v>
      </c>
      <c r="W924">
        <v>5387</v>
      </c>
      <c r="X924">
        <v>3977</v>
      </c>
      <c r="Y924">
        <v>51.8</v>
      </c>
      <c r="Z924">
        <v>45.7</v>
      </c>
      <c r="AA924">
        <v>58</v>
      </c>
    </row>
    <row r="925" spans="1:27" x14ac:dyDescent="0.25">
      <c r="A925" t="s">
        <v>233</v>
      </c>
      <c r="B925" t="s">
        <v>168</v>
      </c>
      <c r="C925" s="76">
        <v>43941</v>
      </c>
      <c r="D925">
        <v>28944</v>
      </c>
      <c r="E925">
        <v>23009</v>
      </c>
      <c r="F925">
        <v>34880</v>
      </c>
      <c r="G925">
        <v>30019</v>
      </c>
      <c r="H925">
        <v>49.1</v>
      </c>
      <c r="I925">
        <v>46</v>
      </c>
      <c r="J925">
        <v>52.2</v>
      </c>
      <c r="K925">
        <v>3929</v>
      </c>
      <c r="L925">
        <v>2718</v>
      </c>
      <c r="M925">
        <v>5140</v>
      </c>
      <c r="N925">
        <v>6.7</v>
      </c>
      <c r="O925">
        <v>5.3</v>
      </c>
      <c r="P925">
        <v>8</v>
      </c>
      <c r="Q925">
        <f t="shared" si="26"/>
        <v>21944577</v>
      </c>
      <c r="R925">
        <f t="shared" si="27"/>
        <v>17.904195647061229</v>
      </c>
      <c r="U925">
        <v>4416</v>
      </c>
      <c r="V925">
        <v>3317</v>
      </c>
      <c r="W925">
        <v>5514</v>
      </c>
      <c r="X925">
        <v>3911</v>
      </c>
      <c r="Y925">
        <v>53</v>
      </c>
      <c r="Z925">
        <v>47.2</v>
      </c>
      <c r="AA925">
        <v>58.9</v>
      </c>
    </row>
    <row r="926" spans="1:27" x14ac:dyDescent="0.25">
      <c r="A926" t="s">
        <v>233</v>
      </c>
      <c r="B926" t="s">
        <v>168</v>
      </c>
      <c r="C926" s="76">
        <v>43942</v>
      </c>
      <c r="D926">
        <v>29100</v>
      </c>
      <c r="E926">
        <v>22991</v>
      </c>
      <c r="F926">
        <v>35209</v>
      </c>
      <c r="G926">
        <v>28819</v>
      </c>
      <c r="H926">
        <v>50.2</v>
      </c>
      <c r="I926">
        <v>47</v>
      </c>
      <c r="J926">
        <v>53.5</v>
      </c>
      <c r="K926">
        <v>4541</v>
      </c>
      <c r="L926">
        <v>3249</v>
      </c>
      <c r="M926">
        <v>5832</v>
      </c>
      <c r="N926">
        <v>7.8</v>
      </c>
      <c r="O926">
        <v>6.5</v>
      </c>
      <c r="P926">
        <v>9.1999999999999993</v>
      </c>
      <c r="Q926">
        <f t="shared" si="26"/>
        <v>21944577</v>
      </c>
      <c r="R926">
        <f t="shared" si="27"/>
        <v>20.693039560525591</v>
      </c>
      <c r="U926">
        <v>4373</v>
      </c>
      <c r="V926">
        <v>3254</v>
      </c>
      <c r="W926">
        <v>5492</v>
      </c>
      <c r="X926">
        <v>3788</v>
      </c>
      <c r="Y926">
        <v>53.6</v>
      </c>
      <c r="Z926">
        <v>47.5</v>
      </c>
      <c r="AA926">
        <v>59.7</v>
      </c>
    </row>
    <row r="927" spans="1:27" x14ac:dyDescent="0.25">
      <c r="A927" t="s">
        <v>233</v>
      </c>
      <c r="B927" t="s">
        <v>168</v>
      </c>
      <c r="C927" s="76">
        <v>43943</v>
      </c>
      <c r="D927">
        <v>29128</v>
      </c>
      <c r="E927">
        <v>23028</v>
      </c>
      <c r="F927">
        <v>35228</v>
      </c>
      <c r="G927">
        <v>28950</v>
      </c>
      <c r="H927">
        <v>50.2</v>
      </c>
      <c r="I927">
        <v>46.9</v>
      </c>
      <c r="J927">
        <v>53.4</v>
      </c>
      <c r="K927">
        <v>2893</v>
      </c>
      <c r="L927">
        <v>2128</v>
      </c>
      <c r="M927">
        <v>3658</v>
      </c>
      <c r="N927">
        <v>5</v>
      </c>
      <c r="O927">
        <v>4.0999999999999996</v>
      </c>
      <c r="P927">
        <v>5.9</v>
      </c>
      <c r="Q927">
        <f t="shared" si="26"/>
        <v>21944577</v>
      </c>
      <c r="R927">
        <f t="shared" si="27"/>
        <v>13.183211505967966</v>
      </c>
      <c r="U927">
        <v>4405</v>
      </c>
      <c r="V927">
        <v>3264</v>
      </c>
      <c r="W927">
        <v>5546</v>
      </c>
      <c r="X927">
        <v>3735</v>
      </c>
      <c r="Y927">
        <v>54.1</v>
      </c>
      <c r="Z927">
        <v>48.2</v>
      </c>
      <c r="AA927">
        <v>60</v>
      </c>
    </row>
    <row r="928" spans="1:27" x14ac:dyDescent="0.25">
      <c r="A928" t="s">
        <v>233</v>
      </c>
      <c r="B928" t="s">
        <v>168</v>
      </c>
      <c r="C928" s="76">
        <v>43944</v>
      </c>
      <c r="D928">
        <v>29012</v>
      </c>
      <c r="E928">
        <v>22806</v>
      </c>
      <c r="F928">
        <v>35219</v>
      </c>
      <c r="G928">
        <v>28905</v>
      </c>
      <c r="H928">
        <v>50.1</v>
      </c>
      <c r="I928">
        <v>46.9</v>
      </c>
      <c r="J928">
        <v>53.3</v>
      </c>
      <c r="K928">
        <v>3087</v>
      </c>
      <c r="L928">
        <v>2277</v>
      </c>
      <c r="M928">
        <v>3898</v>
      </c>
      <c r="N928">
        <v>5.3</v>
      </c>
      <c r="O928">
        <v>4.4000000000000004</v>
      </c>
      <c r="P928">
        <v>6.2</v>
      </c>
      <c r="Q928">
        <f t="shared" si="26"/>
        <v>21944577</v>
      </c>
      <c r="R928">
        <f t="shared" si="27"/>
        <v>14.067256798798173</v>
      </c>
      <c r="U928">
        <v>4239</v>
      </c>
      <c r="V928">
        <v>3127</v>
      </c>
      <c r="W928">
        <v>5351</v>
      </c>
      <c r="X928">
        <v>3657</v>
      </c>
      <c r="Y928">
        <v>53.7</v>
      </c>
      <c r="Z928">
        <v>47.5</v>
      </c>
      <c r="AA928">
        <v>59.8</v>
      </c>
    </row>
    <row r="929" spans="1:27" x14ac:dyDescent="0.25">
      <c r="A929" t="s">
        <v>233</v>
      </c>
      <c r="B929" t="s">
        <v>168</v>
      </c>
      <c r="C929" s="76">
        <v>43945</v>
      </c>
      <c r="D929">
        <v>29145</v>
      </c>
      <c r="E929">
        <v>22930</v>
      </c>
      <c r="F929">
        <v>35360</v>
      </c>
      <c r="G929">
        <v>28777</v>
      </c>
      <c r="H929">
        <v>50.3</v>
      </c>
      <c r="I929">
        <v>47.1</v>
      </c>
      <c r="J929">
        <v>53.5</v>
      </c>
      <c r="K929">
        <v>2929</v>
      </c>
      <c r="L929">
        <v>2118</v>
      </c>
      <c r="M929">
        <v>3739</v>
      </c>
      <c r="N929">
        <v>5.0999999999999996</v>
      </c>
      <c r="O929">
        <v>4.0999999999999996</v>
      </c>
      <c r="P929">
        <v>6</v>
      </c>
      <c r="Q929">
        <f t="shared" si="26"/>
        <v>21944577</v>
      </c>
      <c r="R929">
        <f t="shared" si="27"/>
        <v>13.347261147936457</v>
      </c>
      <c r="U929">
        <v>4287</v>
      </c>
      <c r="V929">
        <v>3201</v>
      </c>
      <c r="W929">
        <v>5372</v>
      </c>
      <c r="X929">
        <v>3663</v>
      </c>
      <c r="Y929">
        <v>53.9</v>
      </c>
      <c r="Z929">
        <v>47.8</v>
      </c>
      <c r="AA929">
        <v>60.1</v>
      </c>
    </row>
    <row r="930" spans="1:27" x14ac:dyDescent="0.25">
      <c r="A930" t="s">
        <v>233</v>
      </c>
      <c r="B930" t="s">
        <v>168</v>
      </c>
      <c r="C930" s="76">
        <v>43946</v>
      </c>
      <c r="D930">
        <v>28416</v>
      </c>
      <c r="E930">
        <v>22402</v>
      </c>
      <c r="F930">
        <v>34430</v>
      </c>
      <c r="G930">
        <v>29578</v>
      </c>
      <c r="H930">
        <v>49</v>
      </c>
      <c r="I930">
        <v>45.8</v>
      </c>
      <c r="J930">
        <v>52.2</v>
      </c>
      <c r="K930">
        <v>2972</v>
      </c>
      <c r="L930">
        <v>2133</v>
      </c>
      <c r="M930">
        <v>3811</v>
      </c>
      <c r="N930">
        <v>5.0999999999999996</v>
      </c>
      <c r="O930">
        <v>4.0999999999999996</v>
      </c>
      <c r="P930">
        <v>6.2</v>
      </c>
      <c r="Q930">
        <f t="shared" si="26"/>
        <v>21944577</v>
      </c>
      <c r="R930">
        <f t="shared" si="27"/>
        <v>13.543209331398824</v>
      </c>
      <c r="U930">
        <v>4122</v>
      </c>
      <c r="V930">
        <v>3066</v>
      </c>
      <c r="W930">
        <v>5177</v>
      </c>
      <c r="X930">
        <v>3834</v>
      </c>
      <c r="Y930">
        <v>51.8</v>
      </c>
      <c r="Z930">
        <v>45.9</v>
      </c>
      <c r="AA930">
        <v>57.7</v>
      </c>
    </row>
    <row r="931" spans="1:27" x14ac:dyDescent="0.25">
      <c r="A931" t="s">
        <v>233</v>
      </c>
      <c r="B931" t="s">
        <v>168</v>
      </c>
      <c r="C931" s="76">
        <v>43947</v>
      </c>
      <c r="D931">
        <v>28090</v>
      </c>
      <c r="E931">
        <v>22143</v>
      </c>
      <c r="F931">
        <v>34037</v>
      </c>
      <c r="G931">
        <v>29846</v>
      </c>
      <c r="H931">
        <v>48.5</v>
      </c>
      <c r="I931">
        <v>45.1</v>
      </c>
      <c r="J931">
        <v>51.8</v>
      </c>
      <c r="K931">
        <v>3006</v>
      </c>
      <c r="L931">
        <v>2168</v>
      </c>
      <c r="M931">
        <v>3844</v>
      </c>
      <c r="N931">
        <v>5.2</v>
      </c>
      <c r="O931">
        <v>4.0999999999999996</v>
      </c>
      <c r="P931">
        <v>6.2</v>
      </c>
      <c r="Q931">
        <f t="shared" si="26"/>
        <v>21944577</v>
      </c>
      <c r="R931">
        <f t="shared" si="27"/>
        <v>13.698145104369065</v>
      </c>
      <c r="U931">
        <v>3977</v>
      </c>
      <c r="V931">
        <v>2940</v>
      </c>
      <c r="W931">
        <v>5014</v>
      </c>
      <c r="X931">
        <v>3965</v>
      </c>
      <c r="Y931">
        <v>50.1</v>
      </c>
      <c r="Z931">
        <v>44.3</v>
      </c>
      <c r="AA931">
        <v>55.9</v>
      </c>
    </row>
    <row r="932" spans="1:27" x14ac:dyDescent="0.25">
      <c r="A932" t="s">
        <v>233</v>
      </c>
      <c r="B932" t="s">
        <v>168</v>
      </c>
      <c r="C932" s="76">
        <v>43948</v>
      </c>
      <c r="D932">
        <v>28751</v>
      </c>
      <c r="E932">
        <v>22651</v>
      </c>
      <c r="F932">
        <v>34850</v>
      </c>
      <c r="G932">
        <v>29131</v>
      </c>
      <c r="H932">
        <v>49.7</v>
      </c>
      <c r="I932">
        <v>46.4</v>
      </c>
      <c r="J932">
        <v>53</v>
      </c>
      <c r="K932">
        <v>2992</v>
      </c>
      <c r="L932">
        <v>2150</v>
      </c>
      <c r="M932">
        <v>3834</v>
      </c>
      <c r="N932">
        <v>5.2</v>
      </c>
      <c r="O932">
        <v>4.0999999999999996</v>
      </c>
      <c r="P932">
        <v>6.2</v>
      </c>
      <c r="Q932">
        <f t="shared" si="26"/>
        <v>21944577</v>
      </c>
      <c r="R932">
        <f t="shared" si="27"/>
        <v>13.634348021381319</v>
      </c>
      <c r="U932">
        <v>4148</v>
      </c>
      <c r="V932">
        <v>3089</v>
      </c>
      <c r="W932">
        <v>5206</v>
      </c>
      <c r="X932">
        <v>3818</v>
      </c>
      <c r="Y932">
        <v>52.1</v>
      </c>
      <c r="Z932">
        <v>46.1</v>
      </c>
      <c r="AA932">
        <v>58</v>
      </c>
    </row>
    <row r="933" spans="1:27" x14ac:dyDescent="0.25">
      <c r="A933" t="s">
        <v>233</v>
      </c>
      <c r="B933" t="s">
        <v>168</v>
      </c>
      <c r="C933" s="76">
        <v>43949</v>
      </c>
      <c r="D933">
        <v>30203</v>
      </c>
      <c r="E933">
        <v>23872</v>
      </c>
      <c r="F933">
        <v>36534</v>
      </c>
      <c r="G933">
        <v>28984</v>
      </c>
      <c r="H933">
        <v>51</v>
      </c>
      <c r="I933">
        <v>47.6</v>
      </c>
      <c r="J933">
        <v>54.4</v>
      </c>
      <c r="K933">
        <v>3331</v>
      </c>
      <c r="L933">
        <v>2352</v>
      </c>
      <c r="M933">
        <v>4311</v>
      </c>
      <c r="N933">
        <v>5.6</v>
      </c>
      <c r="O933">
        <v>4.4000000000000004</v>
      </c>
      <c r="P933">
        <v>6.8</v>
      </c>
      <c r="Q933">
        <f t="shared" si="26"/>
        <v>21944577</v>
      </c>
      <c r="R933">
        <f t="shared" si="27"/>
        <v>15.179148816584618</v>
      </c>
      <c r="U933">
        <v>4272</v>
      </c>
      <c r="V933">
        <v>3207</v>
      </c>
      <c r="W933">
        <v>5338</v>
      </c>
      <c r="X933">
        <v>3846</v>
      </c>
      <c r="Y933">
        <v>52.6</v>
      </c>
      <c r="Z933">
        <v>46.6</v>
      </c>
      <c r="AA933">
        <v>58.7</v>
      </c>
    </row>
    <row r="934" spans="1:27" x14ac:dyDescent="0.25">
      <c r="A934" t="s">
        <v>233</v>
      </c>
      <c r="B934" t="s">
        <v>168</v>
      </c>
      <c r="C934" s="76">
        <v>43950</v>
      </c>
      <c r="D934">
        <v>30528</v>
      </c>
      <c r="E934">
        <v>23978</v>
      </c>
      <c r="F934">
        <v>37079</v>
      </c>
      <c r="G934">
        <v>28952</v>
      </c>
      <c r="H934">
        <v>51.3</v>
      </c>
      <c r="I934">
        <v>47.7</v>
      </c>
      <c r="J934">
        <v>54.9</v>
      </c>
      <c r="K934">
        <v>4946</v>
      </c>
      <c r="L934">
        <v>3143</v>
      </c>
      <c r="M934">
        <v>6749</v>
      </c>
      <c r="N934">
        <v>8.3000000000000007</v>
      </c>
      <c r="O934">
        <v>6.1</v>
      </c>
      <c r="P934">
        <v>10.5</v>
      </c>
      <c r="Q934">
        <f t="shared" si="26"/>
        <v>21944577</v>
      </c>
      <c r="R934">
        <f t="shared" si="27"/>
        <v>22.538598032671125</v>
      </c>
      <c r="U934">
        <v>4382</v>
      </c>
      <c r="V934">
        <v>3270</v>
      </c>
      <c r="W934">
        <v>5495</v>
      </c>
      <c r="X934">
        <v>3794</v>
      </c>
      <c r="Y934">
        <v>53.6</v>
      </c>
      <c r="Z934">
        <v>47.3</v>
      </c>
      <c r="AA934">
        <v>59.9</v>
      </c>
    </row>
    <row r="935" spans="1:27" x14ac:dyDescent="0.25">
      <c r="A935" t="s">
        <v>233</v>
      </c>
      <c r="B935" t="s">
        <v>168</v>
      </c>
      <c r="C935" s="76">
        <v>43951</v>
      </c>
      <c r="D935">
        <v>30285</v>
      </c>
      <c r="E935">
        <v>23649</v>
      </c>
      <c r="F935">
        <v>36921</v>
      </c>
      <c r="G935">
        <v>29357</v>
      </c>
      <c r="H935">
        <v>50.8</v>
      </c>
      <c r="I935">
        <v>46.9</v>
      </c>
      <c r="J935">
        <v>54.6</v>
      </c>
      <c r="K935">
        <v>5077</v>
      </c>
      <c r="L935">
        <v>3107</v>
      </c>
      <c r="M935">
        <v>7047</v>
      </c>
      <c r="N935">
        <v>8.5</v>
      </c>
      <c r="O935">
        <v>6.1</v>
      </c>
      <c r="P935">
        <v>11</v>
      </c>
      <c r="Q935">
        <f t="shared" ref="Q935:Q998" si="28">VLOOKUP(B935,$AE$4:$AF$55,2,FALSE)</f>
        <v>21944577</v>
      </c>
      <c r="R935">
        <f t="shared" si="27"/>
        <v>23.13555645205647</v>
      </c>
      <c r="U935">
        <v>4289</v>
      </c>
      <c r="V935">
        <v>3172</v>
      </c>
      <c r="W935">
        <v>5405</v>
      </c>
      <c r="X935">
        <v>4305</v>
      </c>
      <c r="Y935">
        <v>49.9</v>
      </c>
      <c r="Z935">
        <v>43.2</v>
      </c>
      <c r="AA935">
        <v>56.6</v>
      </c>
    </row>
    <row r="936" spans="1:27" x14ac:dyDescent="0.25">
      <c r="A936" t="s">
        <v>233</v>
      </c>
      <c r="B936" t="s">
        <v>168</v>
      </c>
      <c r="C936" s="76">
        <v>43952</v>
      </c>
      <c r="D936">
        <v>30364</v>
      </c>
      <c r="E936">
        <v>23754</v>
      </c>
      <c r="F936">
        <v>36975</v>
      </c>
      <c r="G936">
        <v>29259</v>
      </c>
      <c r="H936">
        <v>50.9</v>
      </c>
      <c r="I936">
        <v>47.4</v>
      </c>
      <c r="J936">
        <v>54.5</v>
      </c>
      <c r="K936">
        <v>4893</v>
      </c>
      <c r="L936">
        <v>2971</v>
      </c>
      <c r="M936">
        <v>6816</v>
      </c>
      <c r="N936">
        <v>8.1999999999999993</v>
      </c>
      <c r="O936">
        <v>5.8</v>
      </c>
      <c r="P936">
        <v>10.6</v>
      </c>
      <c r="Q936">
        <f t="shared" si="28"/>
        <v>21944577</v>
      </c>
      <c r="R936">
        <f t="shared" si="27"/>
        <v>22.297080504217512</v>
      </c>
      <c r="U936">
        <v>4285</v>
      </c>
      <c r="V936">
        <v>3172</v>
      </c>
      <c r="W936">
        <v>5398</v>
      </c>
      <c r="X936">
        <v>3974</v>
      </c>
      <c r="Y936">
        <v>51.9</v>
      </c>
      <c r="Z936">
        <v>46</v>
      </c>
      <c r="AA936">
        <v>57.7</v>
      </c>
    </row>
    <row r="937" spans="1:27" x14ac:dyDescent="0.25">
      <c r="A937" t="s">
        <v>233</v>
      </c>
      <c r="B937" t="s">
        <v>168</v>
      </c>
      <c r="C937" s="76">
        <v>43953</v>
      </c>
      <c r="D937">
        <v>29594</v>
      </c>
      <c r="E937">
        <v>23161</v>
      </c>
      <c r="F937">
        <v>36027</v>
      </c>
      <c r="G937">
        <v>29940</v>
      </c>
      <c r="H937">
        <v>49.7</v>
      </c>
      <c r="I937">
        <v>46.2</v>
      </c>
      <c r="J937">
        <v>53.2</v>
      </c>
      <c r="K937">
        <v>4807</v>
      </c>
      <c r="L937">
        <v>2939</v>
      </c>
      <c r="M937">
        <v>6676</v>
      </c>
      <c r="N937">
        <v>8.1</v>
      </c>
      <c r="O937">
        <v>5.8</v>
      </c>
      <c r="P937">
        <v>10.4</v>
      </c>
      <c r="Q937">
        <f t="shared" si="28"/>
        <v>21944577</v>
      </c>
      <c r="R937">
        <f t="shared" si="27"/>
        <v>21.905184137292782</v>
      </c>
      <c r="U937">
        <v>4325</v>
      </c>
      <c r="V937">
        <v>3194</v>
      </c>
      <c r="W937">
        <v>5457</v>
      </c>
      <c r="X937">
        <v>3904</v>
      </c>
      <c r="Y937">
        <v>52.6</v>
      </c>
      <c r="Z937">
        <v>46.5</v>
      </c>
      <c r="AA937">
        <v>58.6</v>
      </c>
    </row>
    <row r="938" spans="1:27" x14ac:dyDescent="0.25">
      <c r="A938" t="s">
        <v>233</v>
      </c>
      <c r="B938" t="s">
        <v>168</v>
      </c>
      <c r="C938" s="76">
        <v>43954</v>
      </c>
      <c r="D938">
        <v>29453</v>
      </c>
      <c r="E938">
        <v>23046</v>
      </c>
      <c r="F938">
        <v>35860</v>
      </c>
      <c r="G938">
        <v>30013</v>
      </c>
      <c r="H938">
        <v>49.5</v>
      </c>
      <c r="I938">
        <v>46</v>
      </c>
      <c r="J938">
        <v>53.1</v>
      </c>
      <c r="K938">
        <v>4821</v>
      </c>
      <c r="L938">
        <v>2945</v>
      </c>
      <c r="M938">
        <v>6697</v>
      </c>
      <c r="N938">
        <v>8.1</v>
      </c>
      <c r="O938">
        <v>5.8</v>
      </c>
      <c r="P938">
        <v>10.4</v>
      </c>
      <c r="Q938">
        <f t="shared" si="28"/>
        <v>21944577</v>
      </c>
      <c r="R938">
        <f t="shared" si="27"/>
        <v>21.968981220280526</v>
      </c>
      <c r="U938">
        <v>4254</v>
      </c>
      <c r="V938">
        <v>3127</v>
      </c>
      <c r="W938">
        <v>5381</v>
      </c>
      <c r="X938">
        <v>3934</v>
      </c>
      <c r="Y938">
        <v>52</v>
      </c>
      <c r="Z938">
        <v>45.8</v>
      </c>
      <c r="AA938">
        <v>58.2</v>
      </c>
    </row>
    <row r="939" spans="1:27" x14ac:dyDescent="0.25">
      <c r="A939" t="s">
        <v>233</v>
      </c>
      <c r="B939" t="s">
        <v>168</v>
      </c>
      <c r="C939" s="76">
        <v>43955</v>
      </c>
      <c r="D939">
        <v>30446</v>
      </c>
      <c r="E939">
        <v>23922</v>
      </c>
      <c r="F939">
        <v>36971</v>
      </c>
      <c r="G939">
        <v>28731</v>
      </c>
      <c r="H939">
        <v>51.4</v>
      </c>
      <c r="I939">
        <v>47.9</v>
      </c>
      <c r="J939">
        <v>55</v>
      </c>
      <c r="K939">
        <v>5455</v>
      </c>
      <c r="L939">
        <v>3584</v>
      </c>
      <c r="M939">
        <v>7326</v>
      </c>
      <c r="N939">
        <v>9.1999999999999993</v>
      </c>
      <c r="O939">
        <v>7</v>
      </c>
      <c r="P939">
        <v>11.4</v>
      </c>
      <c r="Q939">
        <f t="shared" si="28"/>
        <v>21944577</v>
      </c>
      <c r="R939">
        <f t="shared" si="27"/>
        <v>24.858077692725633</v>
      </c>
      <c r="U939">
        <v>4264</v>
      </c>
      <c r="V939">
        <v>3153</v>
      </c>
      <c r="W939">
        <v>5375</v>
      </c>
      <c r="X939">
        <v>3924</v>
      </c>
      <c r="Y939">
        <v>52.1</v>
      </c>
      <c r="Z939">
        <v>46</v>
      </c>
      <c r="AA939">
        <v>58.1</v>
      </c>
    </row>
    <row r="940" spans="1:27" x14ac:dyDescent="0.25">
      <c r="A940" t="s">
        <v>233</v>
      </c>
      <c r="B940" t="s">
        <v>168</v>
      </c>
      <c r="C940" s="76">
        <v>43956</v>
      </c>
      <c r="D940">
        <v>31658</v>
      </c>
      <c r="E940">
        <v>24852</v>
      </c>
      <c r="F940">
        <v>38463</v>
      </c>
      <c r="G940">
        <v>27555</v>
      </c>
      <c r="H940">
        <v>53.5</v>
      </c>
      <c r="I940">
        <v>49.9</v>
      </c>
      <c r="J940">
        <v>57.1</v>
      </c>
      <c r="K940">
        <v>5588</v>
      </c>
      <c r="L940">
        <v>3709</v>
      </c>
      <c r="M940">
        <v>7466</v>
      </c>
      <c r="N940">
        <v>9.4</v>
      </c>
      <c r="O940">
        <v>7.2</v>
      </c>
      <c r="P940">
        <v>11.7</v>
      </c>
      <c r="Q940">
        <f t="shared" si="28"/>
        <v>21944577</v>
      </c>
      <c r="R940">
        <f t="shared" si="27"/>
        <v>25.464149981109227</v>
      </c>
      <c r="U940">
        <v>4462</v>
      </c>
      <c r="V940">
        <v>3291</v>
      </c>
      <c r="W940">
        <v>5632</v>
      </c>
      <c r="X940">
        <v>3673</v>
      </c>
      <c r="Y940">
        <v>54.8</v>
      </c>
      <c r="Z940">
        <v>48.6</v>
      </c>
      <c r="AA940">
        <v>61.1</v>
      </c>
    </row>
    <row r="941" spans="1:27" x14ac:dyDescent="0.25">
      <c r="A941" t="s">
        <v>233</v>
      </c>
      <c r="B941" t="s">
        <v>168</v>
      </c>
      <c r="C941" s="76">
        <v>43957</v>
      </c>
      <c r="D941">
        <v>32252</v>
      </c>
      <c r="E941">
        <v>25281</v>
      </c>
      <c r="F941">
        <v>39223</v>
      </c>
      <c r="G941">
        <v>26689</v>
      </c>
      <c r="H941">
        <v>54.7</v>
      </c>
      <c r="I941">
        <v>51</v>
      </c>
      <c r="J941">
        <v>58.5</v>
      </c>
      <c r="K941">
        <v>6456</v>
      </c>
      <c r="L941">
        <v>3571</v>
      </c>
      <c r="M941">
        <v>9342</v>
      </c>
      <c r="N941">
        <v>11</v>
      </c>
      <c r="O941">
        <v>6.6</v>
      </c>
      <c r="P941">
        <v>15.3</v>
      </c>
      <c r="Q941">
        <f t="shared" si="28"/>
        <v>21944577</v>
      </c>
      <c r="R941">
        <f t="shared" si="27"/>
        <v>29.419569126349529</v>
      </c>
      <c r="U941">
        <v>4411</v>
      </c>
      <c r="V941">
        <v>3249</v>
      </c>
      <c r="W941">
        <v>5572</v>
      </c>
      <c r="X941">
        <v>3731</v>
      </c>
      <c r="Y941">
        <v>54.2</v>
      </c>
      <c r="Z941">
        <v>47.9</v>
      </c>
      <c r="AA941">
        <v>60.5</v>
      </c>
    </row>
    <row r="942" spans="1:27" x14ac:dyDescent="0.25">
      <c r="A942" t="s">
        <v>233</v>
      </c>
      <c r="B942" t="s">
        <v>168</v>
      </c>
      <c r="C942" s="76">
        <v>43958</v>
      </c>
      <c r="D942">
        <v>32854</v>
      </c>
      <c r="E942">
        <v>25716</v>
      </c>
      <c r="F942">
        <v>39993</v>
      </c>
      <c r="G942">
        <v>26670</v>
      </c>
      <c r="H942">
        <v>55.2</v>
      </c>
      <c r="I942">
        <v>51.5</v>
      </c>
      <c r="J942">
        <v>58.9</v>
      </c>
      <c r="K942">
        <v>6359</v>
      </c>
      <c r="L942">
        <v>3715</v>
      </c>
      <c r="M942">
        <v>9002</v>
      </c>
      <c r="N942">
        <v>10.7</v>
      </c>
      <c r="O942">
        <v>6.9</v>
      </c>
      <c r="P942">
        <v>14.4</v>
      </c>
      <c r="Q942">
        <f t="shared" si="28"/>
        <v>21944577</v>
      </c>
      <c r="R942">
        <f t="shared" si="27"/>
        <v>28.977546479934428</v>
      </c>
      <c r="U942">
        <v>4481</v>
      </c>
      <c r="V942">
        <v>3315</v>
      </c>
      <c r="W942">
        <v>5648</v>
      </c>
      <c r="X942">
        <v>3264</v>
      </c>
      <c r="Y942">
        <v>57.9</v>
      </c>
      <c r="Z942">
        <v>52.3</v>
      </c>
      <c r="AA942">
        <v>63.4</v>
      </c>
    </row>
    <row r="943" spans="1:27" x14ac:dyDescent="0.25">
      <c r="A943" t="s">
        <v>233</v>
      </c>
      <c r="B943" t="s">
        <v>168</v>
      </c>
      <c r="C943" s="76">
        <v>43959</v>
      </c>
      <c r="D943">
        <v>32690</v>
      </c>
      <c r="E943">
        <v>25552</v>
      </c>
      <c r="F943">
        <v>39828</v>
      </c>
      <c r="G943">
        <v>26614</v>
      </c>
      <c r="H943">
        <v>55.1</v>
      </c>
      <c r="I943">
        <v>51.4</v>
      </c>
      <c r="J943">
        <v>58.9</v>
      </c>
      <c r="K943">
        <v>6100</v>
      </c>
      <c r="L943">
        <v>3168</v>
      </c>
      <c r="M943">
        <v>9031</v>
      </c>
      <c r="N943">
        <v>10.3</v>
      </c>
      <c r="O943">
        <v>5.8</v>
      </c>
      <c r="P943">
        <v>14.8</v>
      </c>
      <c r="Q943">
        <f t="shared" si="28"/>
        <v>21944577</v>
      </c>
      <c r="R943">
        <f t="shared" si="27"/>
        <v>27.797300444661108</v>
      </c>
      <c r="U943">
        <v>4397</v>
      </c>
      <c r="V943">
        <v>3240</v>
      </c>
      <c r="W943">
        <v>5554</v>
      </c>
      <c r="X943">
        <v>3313</v>
      </c>
      <c r="Y943">
        <v>57</v>
      </c>
      <c r="Z943">
        <v>51.5</v>
      </c>
      <c r="AA943">
        <v>62.6</v>
      </c>
    </row>
    <row r="944" spans="1:27" x14ac:dyDescent="0.25">
      <c r="A944" t="s">
        <v>233</v>
      </c>
      <c r="B944" t="s">
        <v>168</v>
      </c>
      <c r="C944" s="76">
        <v>43960</v>
      </c>
      <c r="D944">
        <v>31580</v>
      </c>
      <c r="E944">
        <v>24719</v>
      </c>
      <c r="F944">
        <v>38441</v>
      </c>
      <c r="G944">
        <v>27609</v>
      </c>
      <c r="H944">
        <v>53.4</v>
      </c>
      <c r="I944">
        <v>49.6</v>
      </c>
      <c r="J944">
        <v>57.1</v>
      </c>
      <c r="K944">
        <v>5843</v>
      </c>
      <c r="L944">
        <v>3932</v>
      </c>
      <c r="M944">
        <v>7754</v>
      </c>
      <c r="N944">
        <v>9.9</v>
      </c>
      <c r="O944">
        <v>7.5</v>
      </c>
      <c r="P944">
        <v>12.2</v>
      </c>
      <c r="Q944">
        <f t="shared" si="28"/>
        <v>21944577</v>
      </c>
      <c r="R944">
        <f t="shared" si="27"/>
        <v>26.626168278386043</v>
      </c>
      <c r="U944">
        <v>4425</v>
      </c>
      <c r="V944">
        <v>3263</v>
      </c>
      <c r="W944">
        <v>5587</v>
      </c>
      <c r="X944">
        <v>3297</v>
      </c>
      <c r="Y944">
        <v>57.3</v>
      </c>
      <c r="Z944">
        <v>51.9</v>
      </c>
      <c r="AA944">
        <v>62.7</v>
      </c>
    </row>
    <row r="945" spans="1:27" x14ac:dyDescent="0.25">
      <c r="A945" t="s">
        <v>233</v>
      </c>
      <c r="B945" t="s">
        <v>168</v>
      </c>
      <c r="C945" s="76">
        <v>43961</v>
      </c>
      <c r="D945">
        <v>31063</v>
      </c>
      <c r="E945">
        <v>24339</v>
      </c>
      <c r="F945">
        <v>37786</v>
      </c>
      <c r="G945">
        <v>28107</v>
      </c>
      <c r="H945">
        <v>52.5</v>
      </c>
      <c r="I945">
        <v>48.9</v>
      </c>
      <c r="J945">
        <v>56.1</v>
      </c>
      <c r="K945">
        <v>5642</v>
      </c>
      <c r="L945">
        <v>3615</v>
      </c>
      <c r="M945">
        <v>7669</v>
      </c>
      <c r="N945">
        <v>9.5</v>
      </c>
      <c r="O945">
        <v>6.9</v>
      </c>
      <c r="P945">
        <v>12.2</v>
      </c>
      <c r="Q945">
        <f t="shared" si="28"/>
        <v>21944577</v>
      </c>
      <c r="R945">
        <f t="shared" si="27"/>
        <v>25.710224444061964</v>
      </c>
      <c r="U945">
        <v>4330</v>
      </c>
      <c r="V945">
        <v>3197</v>
      </c>
      <c r="W945">
        <v>5462</v>
      </c>
      <c r="X945">
        <v>3415</v>
      </c>
      <c r="Y945">
        <v>55.9</v>
      </c>
      <c r="Z945">
        <v>50.3</v>
      </c>
      <c r="AA945">
        <v>61.5</v>
      </c>
    </row>
    <row r="946" spans="1:27" x14ac:dyDescent="0.25">
      <c r="A946" t="s">
        <v>233</v>
      </c>
      <c r="B946" t="s">
        <v>168</v>
      </c>
      <c r="C946" s="76">
        <v>43962</v>
      </c>
      <c r="D946">
        <v>32280</v>
      </c>
      <c r="E946">
        <v>25325</v>
      </c>
      <c r="F946">
        <v>39235</v>
      </c>
      <c r="G946">
        <v>26932</v>
      </c>
      <c r="H946">
        <v>54.5</v>
      </c>
      <c r="I946">
        <v>51</v>
      </c>
      <c r="J946">
        <v>58</v>
      </c>
      <c r="K946">
        <v>4970</v>
      </c>
      <c r="L946">
        <v>2941</v>
      </c>
      <c r="M946">
        <v>6999</v>
      </c>
      <c r="N946">
        <v>8.4</v>
      </c>
      <c r="O946">
        <v>5.4</v>
      </c>
      <c r="P946">
        <v>11.4</v>
      </c>
      <c r="Q946">
        <f t="shared" si="28"/>
        <v>21944577</v>
      </c>
      <c r="R946">
        <f t="shared" si="27"/>
        <v>22.647964460650119</v>
      </c>
      <c r="U946">
        <v>4370</v>
      </c>
      <c r="V946">
        <v>3246</v>
      </c>
      <c r="W946">
        <v>5494</v>
      </c>
      <c r="X946">
        <v>3382</v>
      </c>
      <c r="Y946">
        <v>56.4</v>
      </c>
      <c r="Z946">
        <v>51.1</v>
      </c>
      <c r="AA946">
        <v>61.7</v>
      </c>
    </row>
    <row r="947" spans="1:27" x14ac:dyDescent="0.25">
      <c r="A947" t="s">
        <v>233</v>
      </c>
      <c r="B947" t="s">
        <v>168</v>
      </c>
      <c r="C947" s="76">
        <v>43963</v>
      </c>
      <c r="D947">
        <v>32870</v>
      </c>
      <c r="E947">
        <v>25812</v>
      </c>
      <c r="F947">
        <v>39929</v>
      </c>
      <c r="G947">
        <v>26492</v>
      </c>
      <c r="H947">
        <v>55.4</v>
      </c>
      <c r="I947">
        <v>52</v>
      </c>
      <c r="J947">
        <v>58.7</v>
      </c>
      <c r="K947">
        <v>4899</v>
      </c>
      <c r="L947">
        <v>3048</v>
      </c>
      <c r="M947">
        <v>6751</v>
      </c>
      <c r="N947">
        <v>8.3000000000000007</v>
      </c>
      <c r="O947">
        <v>5.6</v>
      </c>
      <c r="P947">
        <v>10.9</v>
      </c>
      <c r="Q947">
        <f t="shared" si="28"/>
        <v>21944577</v>
      </c>
      <c r="R947">
        <f t="shared" si="27"/>
        <v>22.324422111212261</v>
      </c>
      <c r="U947">
        <v>4410</v>
      </c>
      <c r="V947">
        <v>3280</v>
      </c>
      <c r="W947">
        <v>5541</v>
      </c>
      <c r="X947">
        <v>3414</v>
      </c>
      <c r="Y947">
        <v>56.4</v>
      </c>
      <c r="Z947">
        <v>50.8</v>
      </c>
      <c r="AA947">
        <v>61.9</v>
      </c>
    </row>
    <row r="948" spans="1:27" x14ac:dyDescent="0.25">
      <c r="A948" t="s">
        <v>233</v>
      </c>
      <c r="B948" t="s">
        <v>168</v>
      </c>
      <c r="C948" s="76">
        <v>43964</v>
      </c>
      <c r="D948">
        <v>34368</v>
      </c>
      <c r="E948">
        <v>26941</v>
      </c>
      <c r="F948">
        <v>41794</v>
      </c>
      <c r="G948">
        <v>24915</v>
      </c>
      <c r="H948">
        <v>58</v>
      </c>
      <c r="I948">
        <v>54.3</v>
      </c>
      <c r="J948">
        <v>61.6</v>
      </c>
      <c r="K948">
        <v>4329</v>
      </c>
      <c r="L948">
        <v>3023</v>
      </c>
      <c r="M948">
        <v>5634</v>
      </c>
      <c r="N948">
        <v>7.3</v>
      </c>
      <c r="O948">
        <v>5.7</v>
      </c>
      <c r="P948">
        <v>8.9</v>
      </c>
      <c r="Q948">
        <f t="shared" si="28"/>
        <v>21944577</v>
      </c>
      <c r="R948">
        <f t="shared" si="27"/>
        <v>19.726969446711138</v>
      </c>
      <c r="U948">
        <v>4618</v>
      </c>
      <c r="V948">
        <v>3431</v>
      </c>
      <c r="W948">
        <v>5805</v>
      </c>
      <c r="X948">
        <v>3157</v>
      </c>
      <c r="Y948">
        <v>59.4</v>
      </c>
      <c r="Z948">
        <v>53.5</v>
      </c>
      <c r="AA948">
        <v>65.3</v>
      </c>
    </row>
    <row r="949" spans="1:27" x14ac:dyDescent="0.25">
      <c r="A949" t="s">
        <v>233</v>
      </c>
      <c r="B949" t="s">
        <v>168</v>
      </c>
      <c r="C949" s="76">
        <v>43965</v>
      </c>
      <c r="D949">
        <v>34732</v>
      </c>
      <c r="E949">
        <v>27240</v>
      </c>
      <c r="F949">
        <v>42224</v>
      </c>
      <c r="G949">
        <v>24614</v>
      </c>
      <c r="H949">
        <v>58.5</v>
      </c>
      <c r="I949">
        <v>55</v>
      </c>
      <c r="J949">
        <v>62.1</v>
      </c>
      <c r="K949">
        <v>4356</v>
      </c>
      <c r="L949">
        <v>2788</v>
      </c>
      <c r="M949">
        <v>5924</v>
      </c>
      <c r="N949">
        <v>7.3</v>
      </c>
      <c r="O949">
        <v>5.0999999999999996</v>
      </c>
      <c r="P949">
        <v>9.6</v>
      </c>
      <c r="Q949">
        <f t="shared" si="28"/>
        <v>21944577</v>
      </c>
      <c r="R949">
        <f t="shared" si="27"/>
        <v>19.850006678187508</v>
      </c>
      <c r="U949">
        <v>4683</v>
      </c>
      <c r="V949">
        <v>3476</v>
      </c>
      <c r="W949">
        <v>5891</v>
      </c>
      <c r="X949">
        <v>3106</v>
      </c>
      <c r="Y949">
        <v>60.1</v>
      </c>
      <c r="Z949">
        <v>54.3</v>
      </c>
      <c r="AA949">
        <v>65.900000000000006</v>
      </c>
    </row>
    <row r="950" spans="1:27" x14ac:dyDescent="0.25">
      <c r="A950" t="s">
        <v>233</v>
      </c>
      <c r="B950" t="s">
        <v>168</v>
      </c>
      <c r="C950" s="76">
        <v>43966</v>
      </c>
      <c r="D950">
        <v>34787</v>
      </c>
      <c r="E950">
        <v>27322</v>
      </c>
      <c r="F950">
        <v>42252</v>
      </c>
      <c r="G950">
        <v>24473</v>
      </c>
      <c r="H950">
        <v>58.7</v>
      </c>
      <c r="I950">
        <v>55.1</v>
      </c>
      <c r="J950">
        <v>62.3</v>
      </c>
      <c r="K950">
        <v>4487</v>
      </c>
      <c r="L950">
        <v>2654</v>
      </c>
      <c r="M950">
        <v>6320</v>
      </c>
      <c r="N950">
        <v>7.6</v>
      </c>
      <c r="O950">
        <v>4.8</v>
      </c>
      <c r="P950">
        <v>10.4</v>
      </c>
      <c r="Q950">
        <f t="shared" si="28"/>
        <v>21944577</v>
      </c>
      <c r="R950">
        <f t="shared" si="27"/>
        <v>20.446965097572853</v>
      </c>
      <c r="U950">
        <v>4624</v>
      </c>
      <c r="V950">
        <v>3423</v>
      </c>
      <c r="W950">
        <v>5825</v>
      </c>
      <c r="X950">
        <v>3176</v>
      </c>
      <c r="Y950">
        <v>59.3</v>
      </c>
      <c r="Z950">
        <v>53.3</v>
      </c>
      <c r="AA950">
        <v>65.3</v>
      </c>
    </row>
    <row r="951" spans="1:27" x14ac:dyDescent="0.25">
      <c r="A951" t="s">
        <v>233</v>
      </c>
      <c r="B951" t="s">
        <v>168</v>
      </c>
      <c r="C951" s="76">
        <v>43967</v>
      </c>
      <c r="D951">
        <v>33420</v>
      </c>
      <c r="E951">
        <v>26273</v>
      </c>
      <c r="F951">
        <v>40567</v>
      </c>
      <c r="G951">
        <v>25891</v>
      </c>
      <c r="H951">
        <v>56.3</v>
      </c>
      <c r="I951">
        <v>52.8</v>
      </c>
      <c r="J951">
        <v>59.9</v>
      </c>
      <c r="K951">
        <v>3782</v>
      </c>
      <c r="L951">
        <v>2758</v>
      </c>
      <c r="M951">
        <v>4807</v>
      </c>
      <c r="N951">
        <v>6.4</v>
      </c>
      <c r="O951">
        <v>5.2</v>
      </c>
      <c r="P951">
        <v>7.6</v>
      </c>
      <c r="Q951">
        <f t="shared" si="28"/>
        <v>21944577</v>
      </c>
      <c r="R951">
        <f t="shared" si="27"/>
        <v>17.234326275689888</v>
      </c>
      <c r="U951">
        <v>4528</v>
      </c>
      <c r="V951">
        <v>3331</v>
      </c>
      <c r="W951">
        <v>5726</v>
      </c>
      <c r="X951">
        <v>3290</v>
      </c>
      <c r="Y951">
        <v>57.9</v>
      </c>
      <c r="Z951">
        <v>51.8</v>
      </c>
      <c r="AA951">
        <v>64</v>
      </c>
    </row>
    <row r="952" spans="1:27" x14ac:dyDescent="0.25">
      <c r="A952" t="s">
        <v>233</v>
      </c>
      <c r="B952" t="s">
        <v>168</v>
      </c>
      <c r="C952" s="76">
        <v>43968</v>
      </c>
      <c r="D952">
        <v>32882</v>
      </c>
      <c r="E952">
        <v>25836</v>
      </c>
      <c r="F952">
        <v>39927</v>
      </c>
      <c r="G952">
        <v>26374</v>
      </c>
      <c r="H952">
        <v>55.5</v>
      </c>
      <c r="I952">
        <v>51.9</v>
      </c>
      <c r="J952">
        <v>59.1</v>
      </c>
      <c r="K952">
        <v>3859</v>
      </c>
      <c r="L952">
        <v>2623</v>
      </c>
      <c r="M952">
        <v>5096</v>
      </c>
      <c r="N952">
        <v>6.5</v>
      </c>
      <c r="O952">
        <v>4.8</v>
      </c>
      <c r="P952">
        <v>8.3000000000000007</v>
      </c>
      <c r="Q952">
        <f t="shared" si="28"/>
        <v>21944577</v>
      </c>
      <c r="R952">
        <f t="shared" si="27"/>
        <v>17.585210232122499</v>
      </c>
      <c r="U952">
        <v>4473</v>
      </c>
      <c r="V952">
        <v>3274</v>
      </c>
      <c r="W952">
        <v>5672</v>
      </c>
      <c r="X952">
        <v>3339</v>
      </c>
      <c r="Y952">
        <v>57.3</v>
      </c>
      <c r="Z952">
        <v>51.3</v>
      </c>
      <c r="AA952">
        <v>63.2</v>
      </c>
    </row>
    <row r="953" spans="1:27" x14ac:dyDescent="0.25">
      <c r="A953" t="s">
        <v>233</v>
      </c>
      <c r="B953" t="s">
        <v>168</v>
      </c>
      <c r="C953" s="76">
        <v>43969</v>
      </c>
      <c r="D953">
        <v>33848</v>
      </c>
      <c r="E953">
        <v>26594</v>
      </c>
      <c r="F953">
        <v>41102</v>
      </c>
      <c r="G953">
        <v>25494</v>
      </c>
      <c r="H953">
        <v>57</v>
      </c>
      <c r="I953">
        <v>53.4</v>
      </c>
      <c r="J953">
        <v>60.7</v>
      </c>
      <c r="K953">
        <v>4176</v>
      </c>
      <c r="L953">
        <v>2667</v>
      </c>
      <c r="M953">
        <v>5686</v>
      </c>
      <c r="N953">
        <v>7</v>
      </c>
      <c r="O953">
        <v>4.8</v>
      </c>
      <c r="P953">
        <v>9.3000000000000007</v>
      </c>
      <c r="Q953">
        <f t="shared" si="28"/>
        <v>21944577</v>
      </c>
      <c r="R953">
        <f t="shared" si="27"/>
        <v>19.029758468345051</v>
      </c>
      <c r="U953">
        <v>4445</v>
      </c>
      <c r="V953">
        <v>3242</v>
      </c>
      <c r="W953">
        <v>5647</v>
      </c>
      <c r="X953">
        <v>3366</v>
      </c>
      <c r="Y953">
        <v>56.9</v>
      </c>
      <c r="Z953">
        <v>50.9</v>
      </c>
      <c r="AA953">
        <v>62.9</v>
      </c>
    </row>
    <row r="954" spans="1:27" x14ac:dyDescent="0.25">
      <c r="A954" t="s">
        <v>233</v>
      </c>
      <c r="B954" t="s">
        <v>168</v>
      </c>
      <c r="C954" s="76">
        <v>43970</v>
      </c>
      <c r="D954">
        <v>35004</v>
      </c>
      <c r="E954">
        <v>27537</v>
      </c>
      <c r="F954">
        <v>42470</v>
      </c>
      <c r="G954">
        <v>24017</v>
      </c>
      <c r="H954">
        <v>59.3</v>
      </c>
      <c r="I954">
        <v>55.6</v>
      </c>
      <c r="J954">
        <v>63</v>
      </c>
      <c r="K954">
        <v>4221</v>
      </c>
      <c r="L954">
        <v>2723</v>
      </c>
      <c r="M954">
        <v>5719</v>
      </c>
      <c r="N954">
        <v>7.2</v>
      </c>
      <c r="O954">
        <v>4.9000000000000004</v>
      </c>
      <c r="P954">
        <v>9.4</v>
      </c>
      <c r="Q954">
        <f t="shared" si="28"/>
        <v>21944577</v>
      </c>
      <c r="R954">
        <f t="shared" si="27"/>
        <v>19.234820520805663</v>
      </c>
      <c r="U954">
        <v>4620</v>
      </c>
      <c r="V954">
        <v>3390</v>
      </c>
      <c r="W954">
        <v>5849</v>
      </c>
      <c r="X954">
        <v>3149</v>
      </c>
      <c r="Y954">
        <v>59.5</v>
      </c>
      <c r="Z954">
        <v>53.2</v>
      </c>
      <c r="AA954">
        <v>65.7</v>
      </c>
    </row>
    <row r="955" spans="1:27" x14ac:dyDescent="0.25">
      <c r="A955" t="s">
        <v>233</v>
      </c>
      <c r="B955" t="s">
        <v>168</v>
      </c>
      <c r="C955" s="76">
        <v>43971</v>
      </c>
      <c r="D955">
        <v>36450</v>
      </c>
      <c r="E955">
        <v>28631</v>
      </c>
      <c r="F955">
        <v>44269</v>
      </c>
      <c r="G955">
        <v>23203</v>
      </c>
      <c r="H955">
        <v>61.1</v>
      </c>
      <c r="I955">
        <v>57.3</v>
      </c>
      <c r="J955">
        <v>64.900000000000006</v>
      </c>
      <c r="K955">
        <v>4779</v>
      </c>
      <c r="L955">
        <v>2920</v>
      </c>
      <c r="M955">
        <v>6638</v>
      </c>
      <c r="N955">
        <v>8</v>
      </c>
      <c r="O955">
        <v>5.3</v>
      </c>
      <c r="P955">
        <v>10.7</v>
      </c>
      <c r="Q955">
        <f t="shared" si="28"/>
        <v>21944577</v>
      </c>
      <c r="R955">
        <f t="shared" si="27"/>
        <v>21.777589971317287</v>
      </c>
      <c r="U955">
        <v>4833</v>
      </c>
      <c r="V955">
        <v>3525</v>
      </c>
      <c r="W955">
        <v>6140</v>
      </c>
      <c r="X955">
        <v>3019</v>
      </c>
      <c r="Y955">
        <v>61.5</v>
      </c>
      <c r="Z955">
        <v>54.9</v>
      </c>
      <c r="AA955">
        <v>68.2</v>
      </c>
    </row>
    <row r="956" spans="1:27" x14ac:dyDescent="0.25">
      <c r="A956" t="s">
        <v>233</v>
      </c>
      <c r="B956" t="s">
        <v>168</v>
      </c>
      <c r="C956" s="76">
        <v>43972</v>
      </c>
      <c r="D956">
        <v>36058</v>
      </c>
      <c r="E956">
        <v>28160</v>
      </c>
      <c r="F956">
        <v>43956</v>
      </c>
      <c r="G956">
        <v>23884</v>
      </c>
      <c r="H956">
        <v>60.2</v>
      </c>
      <c r="I956">
        <v>56.3</v>
      </c>
      <c r="J956">
        <v>64</v>
      </c>
      <c r="K956">
        <v>4197</v>
      </c>
      <c r="L956">
        <v>2827</v>
      </c>
      <c r="M956">
        <v>5567</v>
      </c>
      <c r="N956">
        <v>7</v>
      </c>
      <c r="O956">
        <v>5.2</v>
      </c>
      <c r="P956">
        <v>8.8000000000000007</v>
      </c>
      <c r="Q956">
        <f t="shared" si="28"/>
        <v>21944577</v>
      </c>
      <c r="R956">
        <f t="shared" si="27"/>
        <v>19.125454092826669</v>
      </c>
      <c r="U956">
        <v>4820</v>
      </c>
      <c r="V956">
        <v>3500</v>
      </c>
      <c r="W956">
        <v>6140</v>
      </c>
      <c r="X956">
        <v>3046</v>
      </c>
      <c r="Y956">
        <v>61.3</v>
      </c>
      <c r="Z956">
        <v>54.5</v>
      </c>
      <c r="AA956">
        <v>68.099999999999994</v>
      </c>
    </row>
    <row r="957" spans="1:27" x14ac:dyDescent="0.25">
      <c r="A957" t="s">
        <v>233</v>
      </c>
      <c r="B957" t="s">
        <v>168</v>
      </c>
      <c r="C957" s="76">
        <v>43973</v>
      </c>
      <c r="D957">
        <v>35856</v>
      </c>
      <c r="E957">
        <v>27986</v>
      </c>
      <c r="F957">
        <v>43726</v>
      </c>
      <c r="G957">
        <v>24027</v>
      </c>
      <c r="H957">
        <v>59.9</v>
      </c>
      <c r="I957">
        <v>56.1</v>
      </c>
      <c r="J957">
        <v>63.7</v>
      </c>
      <c r="K957">
        <v>4469</v>
      </c>
      <c r="L957">
        <v>2974</v>
      </c>
      <c r="M957">
        <v>5964</v>
      </c>
      <c r="N957">
        <v>7.5</v>
      </c>
      <c r="O957">
        <v>5.5</v>
      </c>
      <c r="P957">
        <v>9.5</v>
      </c>
      <c r="Q957">
        <f t="shared" si="28"/>
        <v>21944577</v>
      </c>
      <c r="R957">
        <f t="shared" si="27"/>
        <v>20.364940276588609</v>
      </c>
      <c r="U957">
        <v>4927</v>
      </c>
      <c r="V957">
        <v>3595</v>
      </c>
      <c r="W957">
        <v>6260</v>
      </c>
      <c r="X957">
        <v>2953</v>
      </c>
      <c r="Y957">
        <v>62.5</v>
      </c>
      <c r="Z957">
        <v>55.6</v>
      </c>
      <c r="AA957">
        <v>69.400000000000006</v>
      </c>
    </row>
    <row r="958" spans="1:27" x14ac:dyDescent="0.25">
      <c r="A958" t="s">
        <v>233</v>
      </c>
      <c r="B958" t="s">
        <v>168</v>
      </c>
      <c r="C958" s="76">
        <v>43974</v>
      </c>
      <c r="D958">
        <v>34407</v>
      </c>
      <c r="E958">
        <v>26836</v>
      </c>
      <c r="F958">
        <v>41979</v>
      </c>
      <c r="G958">
        <v>25556</v>
      </c>
      <c r="H958">
        <v>57.4</v>
      </c>
      <c r="I958">
        <v>53.5</v>
      </c>
      <c r="J958">
        <v>61.2</v>
      </c>
      <c r="K958">
        <v>4203</v>
      </c>
      <c r="L958">
        <v>2804</v>
      </c>
      <c r="M958">
        <v>5602</v>
      </c>
      <c r="N958">
        <v>7</v>
      </c>
      <c r="O958">
        <v>5.0999999999999996</v>
      </c>
      <c r="P958">
        <v>8.9</v>
      </c>
      <c r="Q958">
        <f t="shared" si="28"/>
        <v>21944577</v>
      </c>
      <c r="R958">
        <f t="shared" si="27"/>
        <v>19.152795699821418</v>
      </c>
      <c r="U958">
        <v>4795</v>
      </c>
      <c r="V958">
        <v>3492</v>
      </c>
      <c r="W958">
        <v>6098</v>
      </c>
      <c r="X958">
        <v>3074</v>
      </c>
      <c r="Y958">
        <v>60.9</v>
      </c>
      <c r="Z958">
        <v>54.2</v>
      </c>
      <c r="AA958">
        <v>67.7</v>
      </c>
    </row>
    <row r="959" spans="1:27" x14ac:dyDescent="0.25">
      <c r="A959" t="s">
        <v>233</v>
      </c>
      <c r="B959" t="s">
        <v>168</v>
      </c>
      <c r="C959" s="76">
        <v>43975</v>
      </c>
      <c r="D959">
        <v>33489</v>
      </c>
      <c r="E959">
        <v>26140</v>
      </c>
      <c r="F959">
        <v>40839</v>
      </c>
      <c r="G959">
        <v>26307</v>
      </c>
      <c r="H959">
        <v>56</v>
      </c>
      <c r="I959">
        <v>52.1</v>
      </c>
      <c r="J959">
        <v>59.9</v>
      </c>
      <c r="K959">
        <v>3884</v>
      </c>
      <c r="L959">
        <v>2640</v>
      </c>
      <c r="M959">
        <v>5128</v>
      </c>
      <c r="N959">
        <v>6.5</v>
      </c>
      <c r="O959">
        <v>4.8</v>
      </c>
      <c r="P959">
        <v>8.1999999999999993</v>
      </c>
      <c r="Q959">
        <f t="shared" si="28"/>
        <v>21944577</v>
      </c>
      <c r="R959">
        <f t="shared" si="27"/>
        <v>17.699133594600617</v>
      </c>
      <c r="U959">
        <v>4594</v>
      </c>
      <c r="V959">
        <v>3353</v>
      </c>
      <c r="W959">
        <v>5836</v>
      </c>
      <c r="X959">
        <v>3293</v>
      </c>
      <c r="Y959">
        <v>58.3</v>
      </c>
      <c r="Z959">
        <v>51.8</v>
      </c>
      <c r="AA959">
        <v>64.7</v>
      </c>
    </row>
    <row r="960" spans="1:27" x14ac:dyDescent="0.25">
      <c r="A960" t="s">
        <v>233</v>
      </c>
      <c r="B960" t="s">
        <v>168</v>
      </c>
      <c r="C960" s="76">
        <v>43976</v>
      </c>
      <c r="D960">
        <v>32751</v>
      </c>
      <c r="E960">
        <v>25639</v>
      </c>
      <c r="F960">
        <v>39864</v>
      </c>
      <c r="G960">
        <v>25643</v>
      </c>
      <c r="H960">
        <v>56.1</v>
      </c>
      <c r="I960">
        <v>52.3</v>
      </c>
      <c r="J960">
        <v>59.8</v>
      </c>
      <c r="K960">
        <v>3916</v>
      </c>
      <c r="L960">
        <v>2532</v>
      </c>
      <c r="M960">
        <v>5299</v>
      </c>
      <c r="N960">
        <v>6.7</v>
      </c>
      <c r="O960">
        <v>4.7</v>
      </c>
      <c r="P960">
        <v>8.6999999999999993</v>
      </c>
      <c r="Q960">
        <f t="shared" si="28"/>
        <v>21944577</v>
      </c>
      <c r="R960">
        <f t="shared" si="27"/>
        <v>17.84495549857261</v>
      </c>
      <c r="U960">
        <v>4385</v>
      </c>
      <c r="V960">
        <v>3177</v>
      </c>
      <c r="W960">
        <v>5593</v>
      </c>
      <c r="X960">
        <v>3286</v>
      </c>
      <c r="Y960">
        <v>57.2</v>
      </c>
      <c r="Z960">
        <v>51.1</v>
      </c>
      <c r="AA960">
        <v>63.2</v>
      </c>
    </row>
    <row r="961" spans="1:27" x14ac:dyDescent="0.25">
      <c r="A961" t="s">
        <v>233</v>
      </c>
      <c r="B961" t="s">
        <v>168</v>
      </c>
      <c r="C961" s="76">
        <v>43977</v>
      </c>
      <c r="D961">
        <v>33492</v>
      </c>
      <c r="E961">
        <v>26230</v>
      </c>
      <c r="F961">
        <v>40755</v>
      </c>
      <c r="G961">
        <v>24927</v>
      </c>
      <c r="H961">
        <v>57.3</v>
      </c>
      <c r="I961">
        <v>53.6</v>
      </c>
      <c r="J961">
        <v>61.1</v>
      </c>
      <c r="K961">
        <v>4195</v>
      </c>
      <c r="L961">
        <v>2649</v>
      </c>
      <c r="M961">
        <v>5741</v>
      </c>
      <c r="N961">
        <v>7.2</v>
      </c>
      <c r="O961">
        <v>4.8</v>
      </c>
      <c r="P961">
        <v>9.5</v>
      </c>
      <c r="Q961">
        <f t="shared" si="28"/>
        <v>21944577</v>
      </c>
      <c r="R961">
        <f t="shared" si="27"/>
        <v>19.11634022382842</v>
      </c>
      <c r="U961">
        <v>4406</v>
      </c>
      <c r="V961">
        <v>3195</v>
      </c>
      <c r="W961">
        <v>5617</v>
      </c>
      <c r="X961">
        <v>3305</v>
      </c>
      <c r="Y961">
        <v>57.1</v>
      </c>
      <c r="Z961">
        <v>51</v>
      </c>
      <c r="AA961">
        <v>63.3</v>
      </c>
    </row>
    <row r="962" spans="1:27" x14ac:dyDescent="0.25">
      <c r="A962" t="s">
        <v>233</v>
      </c>
      <c r="B962" t="s">
        <v>168</v>
      </c>
      <c r="C962" s="76">
        <v>43978</v>
      </c>
      <c r="D962">
        <v>35289</v>
      </c>
      <c r="E962">
        <v>27512</v>
      </c>
      <c r="F962">
        <v>43067</v>
      </c>
      <c r="G962">
        <v>23094</v>
      </c>
      <c r="H962">
        <v>60.4</v>
      </c>
      <c r="I962">
        <v>56.5</v>
      </c>
      <c r="J962">
        <v>64.400000000000006</v>
      </c>
      <c r="K962">
        <v>4168</v>
      </c>
      <c r="L962">
        <v>2626</v>
      </c>
      <c r="M962">
        <v>5711</v>
      </c>
      <c r="N962">
        <v>7.1</v>
      </c>
      <c r="O962">
        <v>4.8</v>
      </c>
      <c r="P962">
        <v>9.5</v>
      </c>
      <c r="Q962">
        <f t="shared" si="28"/>
        <v>21944577</v>
      </c>
      <c r="R962">
        <f t="shared" si="27"/>
        <v>18.993302992352053</v>
      </c>
      <c r="U962">
        <v>4694</v>
      </c>
      <c r="V962">
        <v>3381</v>
      </c>
      <c r="W962">
        <v>6008</v>
      </c>
      <c r="X962">
        <v>2899</v>
      </c>
      <c r="Y962">
        <v>61.8</v>
      </c>
      <c r="Z962">
        <v>55.3</v>
      </c>
      <c r="AA962">
        <v>68.400000000000006</v>
      </c>
    </row>
    <row r="963" spans="1:27" x14ac:dyDescent="0.25">
      <c r="A963" t="s">
        <v>233</v>
      </c>
      <c r="B963" t="s">
        <v>168</v>
      </c>
      <c r="C963" s="76">
        <v>43979</v>
      </c>
      <c r="D963">
        <v>34832</v>
      </c>
      <c r="E963">
        <v>27136</v>
      </c>
      <c r="F963">
        <v>42529</v>
      </c>
      <c r="G963">
        <v>22313</v>
      </c>
      <c r="H963">
        <v>61</v>
      </c>
      <c r="I963">
        <v>56.9</v>
      </c>
      <c r="J963">
        <v>65</v>
      </c>
      <c r="K963">
        <v>4068</v>
      </c>
      <c r="L963">
        <v>2363</v>
      </c>
      <c r="M963">
        <v>5774</v>
      </c>
      <c r="N963">
        <v>7.1</v>
      </c>
      <c r="O963">
        <v>4.5</v>
      </c>
      <c r="P963">
        <v>9.8000000000000007</v>
      </c>
      <c r="Q963">
        <f t="shared" si="28"/>
        <v>21944577</v>
      </c>
      <c r="R963">
        <f t="shared" si="27"/>
        <v>18.537609542439576</v>
      </c>
      <c r="U963">
        <v>4709</v>
      </c>
      <c r="V963">
        <v>3430</v>
      </c>
      <c r="W963">
        <v>5988</v>
      </c>
      <c r="X963">
        <v>2990</v>
      </c>
      <c r="Y963">
        <v>61.2</v>
      </c>
      <c r="Z963">
        <v>55</v>
      </c>
      <c r="AA963">
        <v>67.400000000000006</v>
      </c>
    </row>
    <row r="964" spans="1:27" x14ac:dyDescent="0.25">
      <c r="A964" t="s">
        <v>233</v>
      </c>
      <c r="B964" t="s">
        <v>168</v>
      </c>
      <c r="C964" s="76">
        <v>43980</v>
      </c>
      <c r="D964">
        <v>36079</v>
      </c>
      <c r="E964">
        <v>28367</v>
      </c>
      <c r="F964">
        <v>43791</v>
      </c>
      <c r="G964">
        <v>23564</v>
      </c>
      <c r="H964">
        <v>60.5</v>
      </c>
      <c r="I964">
        <v>56.5</v>
      </c>
      <c r="J964">
        <v>64.5</v>
      </c>
      <c r="K964">
        <v>3941</v>
      </c>
      <c r="L964">
        <v>2615</v>
      </c>
      <c r="M964">
        <v>5267</v>
      </c>
      <c r="N964">
        <v>6.6</v>
      </c>
      <c r="O964">
        <v>4.8</v>
      </c>
      <c r="P964">
        <v>8.4</v>
      </c>
      <c r="Q964">
        <f t="shared" si="28"/>
        <v>21944577</v>
      </c>
      <c r="R964">
        <f t="shared" si="27"/>
        <v>17.958878861050728</v>
      </c>
      <c r="U964">
        <v>4587</v>
      </c>
      <c r="V964">
        <v>3476</v>
      </c>
      <c r="W964">
        <v>5697</v>
      </c>
      <c r="X964">
        <v>2967</v>
      </c>
      <c r="Y964">
        <v>60.7</v>
      </c>
      <c r="Z964">
        <v>54.3</v>
      </c>
      <c r="AA964">
        <v>67.099999999999994</v>
      </c>
    </row>
    <row r="965" spans="1:27" x14ac:dyDescent="0.25">
      <c r="A965" t="s">
        <v>233</v>
      </c>
      <c r="B965" t="s">
        <v>168</v>
      </c>
      <c r="C965" s="76">
        <v>43981</v>
      </c>
      <c r="D965">
        <v>35013</v>
      </c>
      <c r="E965">
        <v>27317</v>
      </c>
      <c r="F965">
        <v>42709</v>
      </c>
      <c r="G965">
        <v>25282</v>
      </c>
      <c r="H965">
        <v>58.1</v>
      </c>
      <c r="I965">
        <v>54.1</v>
      </c>
      <c r="J965">
        <v>62</v>
      </c>
      <c r="K965">
        <v>3807</v>
      </c>
      <c r="L965">
        <v>2473</v>
      </c>
      <c r="M965">
        <v>5141</v>
      </c>
      <c r="N965">
        <v>6.3</v>
      </c>
      <c r="O965">
        <v>4.4000000000000004</v>
      </c>
      <c r="P965">
        <v>8.1999999999999993</v>
      </c>
      <c r="Q965">
        <f t="shared" si="28"/>
        <v>21944577</v>
      </c>
      <c r="R965">
        <f t="shared" ref="R965:R1028" si="29">K965/(Q965)*100000</f>
        <v>17.34824963816801</v>
      </c>
      <c r="U965">
        <v>4679</v>
      </c>
      <c r="V965">
        <v>3427</v>
      </c>
      <c r="W965">
        <v>5931</v>
      </c>
      <c r="X965">
        <v>3213</v>
      </c>
      <c r="Y965">
        <v>59.3</v>
      </c>
      <c r="Z965">
        <v>53.1</v>
      </c>
      <c r="AA965">
        <v>65.5</v>
      </c>
    </row>
    <row r="966" spans="1:27" x14ac:dyDescent="0.25">
      <c r="A966" t="s">
        <v>233</v>
      </c>
      <c r="B966" t="s">
        <v>168</v>
      </c>
      <c r="C966" s="76">
        <v>43982</v>
      </c>
      <c r="D966">
        <v>33439</v>
      </c>
      <c r="E966">
        <v>25955</v>
      </c>
      <c r="F966">
        <v>40924</v>
      </c>
      <c r="G966">
        <v>25466</v>
      </c>
      <c r="H966">
        <v>56.8</v>
      </c>
      <c r="I966">
        <v>52.8</v>
      </c>
      <c r="J966">
        <v>60.7</v>
      </c>
      <c r="K966">
        <v>3893</v>
      </c>
      <c r="L966">
        <v>2561</v>
      </c>
      <c r="M966">
        <v>5226</v>
      </c>
      <c r="N966">
        <v>6.6</v>
      </c>
      <c r="O966">
        <v>4.7</v>
      </c>
      <c r="P966">
        <v>8.6</v>
      </c>
      <c r="Q966">
        <f t="shared" si="28"/>
        <v>21944577</v>
      </c>
      <c r="R966">
        <f t="shared" si="29"/>
        <v>17.74014600509274</v>
      </c>
      <c r="U966">
        <v>4439</v>
      </c>
      <c r="V966">
        <v>3199</v>
      </c>
      <c r="W966">
        <v>5679</v>
      </c>
      <c r="X966">
        <v>3271</v>
      </c>
      <c r="Y966">
        <v>57.6</v>
      </c>
      <c r="Z966">
        <v>51.1</v>
      </c>
      <c r="AA966">
        <v>64</v>
      </c>
    </row>
    <row r="967" spans="1:27" x14ac:dyDescent="0.25">
      <c r="A967" t="s">
        <v>233</v>
      </c>
      <c r="B967" t="s">
        <v>168</v>
      </c>
      <c r="C967" s="76">
        <v>43983</v>
      </c>
      <c r="D967">
        <v>34866</v>
      </c>
      <c r="E967">
        <v>27076</v>
      </c>
      <c r="F967">
        <v>42657</v>
      </c>
      <c r="G967">
        <v>24300</v>
      </c>
      <c r="H967">
        <v>58.9</v>
      </c>
      <c r="I967">
        <v>55</v>
      </c>
      <c r="J967">
        <v>62.9</v>
      </c>
      <c r="K967">
        <v>3764</v>
      </c>
      <c r="L967">
        <v>2445</v>
      </c>
      <c r="M967">
        <v>5084</v>
      </c>
      <c r="N967">
        <v>6.4</v>
      </c>
      <c r="O967">
        <v>4.5</v>
      </c>
      <c r="P967">
        <v>8.3000000000000007</v>
      </c>
      <c r="Q967">
        <f t="shared" si="28"/>
        <v>21944577</v>
      </c>
      <c r="R967">
        <f t="shared" si="29"/>
        <v>17.152301454705643</v>
      </c>
      <c r="U967">
        <v>4579</v>
      </c>
      <c r="V967">
        <v>3296</v>
      </c>
      <c r="W967">
        <v>5863</v>
      </c>
      <c r="X967">
        <v>3209</v>
      </c>
      <c r="Y967">
        <v>58.8</v>
      </c>
      <c r="Z967">
        <v>52.6</v>
      </c>
      <c r="AA967">
        <v>65</v>
      </c>
    </row>
    <row r="968" spans="1:27" x14ac:dyDescent="0.25">
      <c r="A968" t="s">
        <v>233</v>
      </c>
      <c r="B968" t="s">
        <v>168</v>
      </c>
      <c r="C968" s="76">
        <v>43984</v>
      </c>
      <c r="D968">
        <v>35386</v>
      </c>
      <c r="E968">
        <v>27502</v>
      </c>
      <c r="F968">
        <v>43270</v>
      </c>
      <c r="G968">
        <v>24036</v>
      </c>
      <c r="H968">
        <v>59.6</v>
      </c>
      <c r="I968">
        <v>55.6</v>
      </c>
      <c r="J968">
        <v>63.5</v>
      </c>
      <c r="K968">
        <v>3919</v>
      </c>
      <c r="L968">
        <v>2436</v>
      </c>
      <c r="M968">
        <v>5402</v>
      </c>
      <c r="N968">
        <v>6.6</v>
      </c>
      <c r="O968">
        <v>4.5</v>
      </c>
      <c r="P968">
        <v>8.6999999999999993</v>
      </c>
      <c r="Q968">
        <f t="shared" si="28"/>
        <v>21944577</v>
      </c>
      <c r="R968">
        <f t="shared" si="29"/>
        <v>17.858626302069982</v>
      </c>
      <c r="U968">
        <v>4373</v>
      </c>
      <c r="V968">
        <v>3138</v>
      </c>
      <c r="W968">
        <v>5609</v>
      </c>
      <c r="X968">
        <v>3093</v>
      </c>
      <c r="Y968">
        <v>58.6</v>
      </c>
      <c r="Z968">
        <v>52.4</v>
      </c>
      <c r="AA968">
        <v>64.8</v>
      </c>
    </row>
    <row r="969" spans="1:27" x14ac:dyDescent="0.25">
      <c r="A969" t="s">
        <v>233</v>
      </c>
      <c r="B969" t="s">
        <v>168</v>
      </c>
      <c r="C969" s="76">
        <v>43985</v>
      </c>
      <c r="D969">
        <v>34976</v>
      </c>
      <c r="E969">
        <v>27095</v>
      </c>
      <c r="F969">
        <v>42857</v>
      </c>
      <c r="G969">
        <v>23836</v>
      </c>
      <c r="H969">
        <v>59.5</v>
      </c>
      <c r="I969">
        <v>55.4</v>
      </c>
      <c r="J969">
        <v>63.5</v>
      </c>
      <c r="K969">
        <v>3637</v>
      </c>
      <c r="L969">
        <v>2314</v>
      </c>
      <c r="M969">
        <v>4960</v>
      </c>
      <c r="N969">
        <v>6.2</v>
      </c>
      <c r="O969">
        <v>4.4000000000000004</v>
      </c>
      <c r="P969">
        <v>8</v>
      </c>
      <c r="Q969">
        <f t="shared" si="28"/>
        <v>21944577</v>
      </c>
      <c r="R969">
        <f t="shared" si="29"/>
        <v>16.573570773316796</v>
      </c>
      <c r="U969">
        <v>4435</v>
      </c>
      <c r="V969">
        <v>3149</v>
      </c>
      <c r="W969">
        <v>5720</v>
      </c>
      <c r="X969">
        <v>2886</v>
      </c>
      <c r="Y969">
        <v>60.6</v>
      </c>
      <c r="Z969">
        <v>53.9</v>
      </c>
      <c r="AA969">
        <v>67.3</v>
      </c>
    </row>
    <row r="970" spans="1:27" x14ac:dyDescent="0.25">
      <c r="A970" t="s">
        <v>233</v>
      </c>
      <c r="B970" t="s">
        <v>168</v>
      </c>
      <c r="C970" s="76">
        <v>43986</v>
      </c>
      <c r="D970">
        <v>34787</v>
      </c>
      <c r="E970">
        <v>27168</v>
      </c>
      <c r="F970">
        <v>42406</v>
      </c>
      <c r="G970">
        <v>23364</v>
      </c>
      <c r="H970">
        <v>59.8</v>
      </c>
      <c r="I970">
        <v>56</v>
      </c>
      <c r="J970">
        <v>63.7</v>
      </c>
      <c r="K970">
        <v>3408</v>
      </c>
      <c r="L970">
        <v>2345</v>
      </c>
      <c r="M970">
        <v>4471</v>
      </c>
      <c r="N970">
        <v>5.9</v>
      </c>
      <c r="O970">
        <v>4.5</v>
      </c>
      <c r="P970">
        <v>7.2</v>
      </c>
      <c r="Q970">
        <f t="shared" si="28"/>
        <v>21944577</v>
      </c>
      <c r="R970">
        <f t="shared" si="29"/>
        <v>15.530032773017224</v>
      </c>
      <c r="U970">
        <v>4517</v>
      </c>
      <c r="V970">
        <v>3359</v>
      </c>
      <c r="W970">
        <v>5674</v>
      </c>
      <c r="X970">
        <v>2840</v>
      </c>
      <c r="Y970">
        <v>61.4</v>
      </c>
      <c r="Z970">
        <v>55</v>
      </c>
      <c r="AA970">
        <v>67.8</v>
      </c>
    </row>
    <row r="971" spans="1:27" x14ac:dyDescent="0.25">
      <c r="A971" t="s">
        <v>233</v>
      </c>
      <c r="B971" t="s">
        <v>168</v>
      </c>
      <c r="C971" s="76">
        <v>43987</v>
      </c>
      <c r="D971">
        <v>35527</v>
      </c>
      <c r="E971">
        <v>27785</v>
      </c>
      <c r="F971">
        <v>43270</v>
      </c>
      <c r="G971">
        <v>25358</v>
      </c>
      <c r="H971">
        <v>58.4</v>
      </c>
      <c r="I971">
        <v>54.5</v>
      </c>
      <c r="J971">
        <v>62.2</v>
      </c>
      <c r="K971">
        <v>3657</v>
      </c>
      <c r="L971">
        <v>2521</v>
      </c>
      <c r="M971">
        <v>4793</v>
      </c>
      <c r="N971">
        <v>6</v>
      </c>
      <c r="O971">
        <v>4.5999999999999996</v>
      </c>
      <c r="P971">
        <v>7.4</v>
      </c>
      <c r="Q971">
        <f t="shared" si="28"/>
        <v>21944577</v>
      </c>
      <c r="R971">
        <f t="shared" si="29"/>
        <v>16.664709463299292</v>
      </c>
      <c r="U971">
        <v>4867</v>
      </c>
      <c r="V971">
        <v>3652</v>
      </c>
      <c r="W971">
        <v>6083</v>
      </c>
      <c r="X971">
        <v>3154</v>
      </c>
      <c r="Y971">
        <v>60.7</v>
      </c>
      <c r="Z971">
        <v>54.8</v>
      </c>
      <c r="AA971">
        <v>66.5</v>
      </c>
    </row>
    <row r="972" spans="1:27" x14ac:dyDescent="0.25">
      <c r="A972" t="s">
        <v>233</v>
      </c>
      <c r="B972" t="s">
        <v>168</v>
      </c>
      <c r="C972" s="76">
        <v>43988</v>
      </c>
      <c r="D972">
        <v>33803</v>
      </c>
      <c r="E972">
        <v>26532</v>
      </c>
      <c r="F972">
        <v>41075</v>
      </c>
      <c r="G972">
        <v>25978</v>
      </c>
      <c r="H972">
        <v>56.5</v>
      </c>
      <c r="I972">
        <v>52.6</v>
      </c>
      <c r="J972">
        <v>60.5</v>
      </c>
      <c r="K972">
        <v>3623</v>
      </c>
      <c r="L972">
        <v>2501</v>
      </c>
      <c r="M972">
        <v>4745</v>
      </c>
      <c r="N972">
        <v>6.1</v>
      </c>
      <c r="O972">
        <v>4.5999999999999996</v>
      </c>
      <c r="P972">
        <v>7.5</v>
      </c>
      <c r="Q972">
        <f t="shared" si="28"/>
        <v>21944577</v>
      </c>
      <c r="R972">
        <f t="shared" si="29"/>
        <v>16.509773690329052</v>
      </c>
      <c r="U972">
        <v>4787</v>
      </c>
      <c r="V972">
        <v>3633</v>
      </c>
      <c r="W972">
        <v>5940</v>
      </c>
      <c r="X972">
        <v>3228</v>
      </c>
      <c r="Y972">
        <v>59.7</v>
      </c>
      <c r="Z972">
        <v>53.5</v>
      </c>
      <c r="AA972">
        <v>65.900000000000006</v>
      </c>
    </row>
    <row r="973" spans="1:27" x14ac:dyDescent="0.25">
      <c r="A973" t="s">
        <v>233</v>
      </c>
      <c r="B973" t="s">
        <v>168</v>
      </c>
      <c r="C973" s="76">
        <v>43989</v>
      </c>
      <c r="D973">
        <v>32919</v>
      </c>
      <c r="E973">
        <v>25822</v>
      </c>
      <c r="F973">
        <v>40016</v>
      </c>
      <c r="G973">
        <v>26333</v>
      </c>
      <c r="H973">
        <v>55.6</v>
      </c>
      <c r="I973">
        <v>51.6</v>
      </c>
      <c r="J973">
        <v>59.5</v>
      </c>
      <c r="K973">
        <v>3937</v>
      </c>
      <c r="L973">
        <v>2679</v>
      </c>
      <c r="M973">
        <v>5194</v>
      </c>
      <c r="N973">
        <v>6.6</v>
      </c>
      <c r="O973">
        <v>4.9000000000000004</v>
      </c>
      <c r="P973">
        <v>8.4</v>
      </c>
      <c r="Q973">
        <f t="shared" si="28"/>
        <v>21944577</v>
      </c>
      <c r="R973">
        <f t="shared" si="29"/>
        <v>17.940651123054227</v>
      </c>
      <c r="U973">
        <v>4559</v>
      </c>
      <c r="V973">
        <v>3470</v>
      </c>
      <c r="W973">
        <v>5649</v>
      </c>
      <c r="X973">
        <v>3386</v>
      </c>
      <c r="Y973">
        <v>57.4</v>
      </c>
      <c r="Z973">
        <v>51.2</v>
      </c>
      <c r="AA973">
        <v>63.6</v>
      </c>
    </row>
    <row r="974" spans="1:27" x14ac:dyDescent="0.25">
      <c r="A974" t="s">
        <v>233</v>
      </c>
      <c r="B974" t="s">
        <v>168</v>
      </c>
      <c r="C974" s="76">
        <v>43990</v>
      </c>
      <c r="D974">
        <v>33690</v>
      </c>
      <c r="E974">
        <v>26315</v>
      </c>
      <c r="F974">
        <v>41064</v>
      </c>
      <c r="G974">
        <v>24934</v>
      </c>
      <c r="H974">
        <v>57.5</v>
      </c>
      <c r="I974">
        <v>53.5</v>
      </c>
      <c r="J974">
        <v>61.4</v>
      </c>
      <c r="K974">
        <v>4054</v>
      </c>
      <c r="L974">
        <v>2727</v>
      </c>
      <c r="M974">
        <v>5381</v>
      </c>
      <c r="N974">
        <v>6.9</v>
      </c>
      <c r="O974">
        <v>5</v>
      </c>
      <c r="P974">
        <v>8.8000000000000007</v>
      </c>
      <c r="Q974">
        <f t="shared" si="28"/>
        <v>21944577</v>
      </c>
      <c r="R974">
        <f t="shared" si="29"/>
        <v>18.473812459451825</v>
      </c>
      <c r="U974">
        <v>4702</v>
      </c>
      <c r="V974">
        <v>3581</v>
      </c>
      <c r="W974">
        <v>5823</v>
      </c>
      <c r="X974">
        <v>3094</v>
      </c>
      <c r="Y974">
        <v>60.3</v>
      </c>
      <c r="Z974">
        <v>53.8</v>
      </c>
      <c r="AA974">
        <v>66.8</v>
      </c>
    </row>
    <row r="975" spans="1:27" x14ac:dyDescent="0.25">
      <c r="A975" t="s">
        <v>233</v>
      </c>
      <c r="B975" t="s">
        <v>168</v>
      </c>
      <c r="C975" s="76">
        <v>43991</v>
      </c>
      <c r="D975">
        <v>35377</v>
      </c>
      <c r="E975">
        <v>26399</v>
      </c>
      <c r="F975">
        <v>44354</v>
      </c>
      <c r="G975">
        <v>19970</v>
      </c>
      <c r="H975">
        <v>63.9</v>
      </c>
      <c r="I975">
        <v>60</v>
      </c>
      <c r="J975">
        <v>67.8</v>
      </c>
      <c r="K975">
        <v>3911</v>
      </c>
      <c r="L975">
        <v>2016</v>
      </c>
      <c r="M975">
        <v>5807</v>
      </c>
      <c r="N975">
        <v>7.1</v>
      </c>
      <c r="O975">
        <v>4</v>
      </c>
      <c r="P975">
        <v>10.1</v>
      </c>
      <c r="Q975">
        <f t="shared" si="28"/>
        <v>21944577</v>
      </c>
      <c r="R975">
        <f t="shared" si="29"/>
        <v>17.822170826076984</v>
      </c>
      <c r="U975">
        <v>4956</v>
      </c>
      <c r="V975">
        <v>3595</v>
      </c>
      <c r="W975">
        <v>6318</v>
      </c>
      <c r="X975">
        <v>1510</v>
      </c>
      <c r="Y975">
        <v>76.599999999999994</v>
      </c>
      <c r="Z975">
        <v>71.7</v>
      </c>
      <c r="AA975">
        <v>81.599999999999994</v>
      </c>
    </row>
    <row r="976" spans="1:27" x14ac:dyDescent="0.25">
      <c r="A976" t="s">
        <v>233</v>
      </c>
      <c r="B976" t="s">
        <v>168</v>
      </c>
      <c r="C976" s="76">
        <v>43992</v>
      </c>
      <c r="D976">
        <v>35268</v>
      </c>
      <c r="E976">
        <v>25978</v>
      </c>
      <c r="F976">
        <v>44558</v>
      </c>
      <c r="G976">
        <v>19228</v>
      </c>
      <c r="H976">
        <v>64.7</v>
      </c>
      <c r="I976">
        <v>60.9</v>
      </c>
      <c r="J976">
        <v>68.599999999999994</v>
      </c>
      <c r="K976">
        <v>3516</v>
      </c>
      <c r="L976">
        <v>2025</v>
      </c>
      <c r="M976">
        <v>5007</v>
      </c>
      <c r="N976">
        <v>6.5</v>
      </c>
      <c r="O976">
        <v>4.2</v>
      </c>
      <c r="P976">
        <v>8.6999999999999993</v>
      </c>
      <c r="Q976">
        <f t="shared" si="28"/>
        <v>21944577</v>
      </c>
      <c r="R976">
        <f t="shared" si="29"/>
        <v>16.022181698922701</v>
      </c>
      <c r="U976">
        <v>4558</v>
      </c>
      <c r="V976">
        <v>3219</v>
      </c>
      <c r="W976">
        <v>5897</v>
      </c>
      <c r="X976">
        <v>1246</v>
      </c>
      <c r="Y976">
        <v>78.5</v>
      </c>
      <c r="Z976">
        <v>73.900000000000006</v>
      </c>
      <c r="AA976">
        <v>83.1</v>
      </c>
    </row>
    <row r="977" spans="1:27" x14ac:dyDescent="0.25">
      <c r="A977" t="s">
        <v>233</v>
      </c>
      <c r="B977" t="s">
        <v>168</v>
      </c>
      <c r="C977" s="76">
        <v>43993</v>
      </c>
      <c r="D977">
        <v>36962</v>
      </c>
      <c r="E977">
        <v>27800</v>
      </c>
      <c r="F977">
        <v>46123</v>
      </c>
      <c r="G977">
        <v>18664</v>
      </c>
      <c r="H977">
        <v>66.400000000000006</v>
      </c>
      <c r="I977">
        <v>62.7</v>
      </c>
      <c r="J977">
        <v>70.2</v>
      </c>
      <c r="K977">
        <v>3298</v>
      </c>
      <c r="L977">
        <v>2223</v>
      </c>
      <c r="M977">
        <v>4373</v>
      </c>
      <c r="N977">
        <v>5.9</v>
      </c>
      <c r="O977">
        <v>4.5999999999999996</v>
      </c>
      <c r="P977">
        <v>7.3</v>
      </c>
      <c r="Q977">
        <f t="shared" si="28"/>
        <v>21944577</v>
      </c>
      <c r="R977">
        <f t="shared" si="29"/>
        <v>15.028769978113498</v>
      </c>
      <c r="U977">
        <v>4987</v>
      </c>
      <c r="V977">
        <v>3652</v>
      </c>
      <c r="W977">
        <v>6323</v>
      </c>
      <c r="X977">
        <v>1582</v>
      </c>
      <c r="Y977">
        <v>75.900000000000006</v>
      </c>
      <c r="Z977">
        <v>71.099999999999994</v>
      </c>
      <c r="AA977">
        <v>80.8</v>
      </c>
    </row>
    <row r="978" spans="1:27" x14ac:dyDescent="0.25">
      <c r="A978" t="s">
        <v>233</v>
      </c>
      <c r="B978" t="s">
        <v>168</v>
      </c>
      <c r="C978" s="76">
        <v>43994</v>
      </c>
      <c r="D978">
        <v>38488</v>
      </c>
      <c r="E978">
        <v>28952</v>
      </c>
      <c r="F978">
        <v>48025</v>
      </c>
      <c r="G978">
        <v>19069</v>
      </c>
      <c r="H978">
        <v>66.900000000000006</v>
      </c>
      <c r="I978">
        <v>63.1</v>
      </c>
      <c r="J978">
        <v>70.599999999999994</v>
      </c>
      <c r="K978">
        <v>3407</v>
      </c>
      <c r="L978">
        <v>2317</v>
      </c>
      <c r="M978">
        <v>4496</v>
      </c>
      <c r="N978">
        <v>5.9</v>
      </c>
      <c r="O978">
        <v>4.5999999999999996</v>
      </c>
      <c r="P978">
        <v>7.2</v>
      </c>
      <c r="Q978">
        <f t="shared" si="28"/>
        <v>21944577</v>
      </c>
      <c r="R978">
        <f t="shared" si="29"/>
        <v>15.5254758385181</v>
      </c>
      <c r="U978">
        <v>5075</v>
      </c>
      <c r="V978">
        <v>3696</v>
      </c>
      <c r="W978">
        <v>6453</v>
      </c>
      <c r="X978">
        <v>1606</v>
      </c>
      <c r="Y978">
        <v>76</v>
      </c>
      <c r="Z978">
        <v>70.900000000000006</v>
      </c>
      <c r="AA978">
        <v>81</v>
      </c>
    </row>
    <row r="979" spans="1:27" x14ac:dyDescent="0.25">
      <c r="A979" t="s">
        <v>233</v>
      </c>
      <c r="B979" t="s">
        <v>168</v>
      </c>
      <c r="C979" s="76">
        <v>43995</v>
      </c>
      <c r="D979">
        <v>34742</v>
      </c>
      <c r="E979">
        <v>27183</v>
      </c>
      <c r="F979">
        <v>42302</v>
      </c>
      <c r="G979">
        <v>24285</v>
      </c>
      <c r="H979">
        <v>58.9</v>
      </c>
      <c r="I979">
        <v>54.9</v>
      </c>
      <c r="J979">
        <v>62.8</v>
      </c>
      <c r="K979">
        <v>3374</v>
      </c>
      <c r="L979">
        <v>2459</v>
      </c>
      <c r="M979">
        <v>4289</v>
      </c>
      <c r="N979">
        <v>5.7</v>
      </c>
      <c r="O979">
        <v>4.7</v>
      </c>
      <c r="P979">
        <v>6.8</v>
      </c>
      <c r="Q979">
        <f t="shared" si="28"/>
        <v>21944577</v>
      </c>
      <c r="R979">
        <f t="shared" si="29"/>
        <v>15.375097000046981</v>
      </c>
      <c r="U979">
        <v>4788</v>
      </c>
      <c r="V979">
        <v>3629</v>
      </c>
      <c r="W979">
        <v>5946</v>
      </c>
      <c r="X979">
        <v>3081</v>
      </c>
      <c r="Y979">
        <v>60.8</v>
      </c>
      <c r="Z979">
        <v>54.3</v>
      </c>
      <c r="AA979">
        <v>67.3</v>
      </c>
    </row>
    <row r="980" spans="1:27" x14ac:dyDescent="0.25">
      <c r="A980" t="s">
        <v>233</v>
      </c>
      <c r="B980" t="s">
        <v>168</v>
      </c>
      <c r="C980" s="76">
        <v>43996</v>
      </c>
      <c r="D980">
        <v>35212</v>
      </c>
      <c r="E980">
        <v>27399</v>
      </c>
      <c r="F980">
        <v>43025</v>
      </c>
      <c r="G980">
        <v>24942</v>
      </c>
      <c r="H980">
        <v>58.5</v>
      </c>
      <c r="I980">
        <v>54.6</v>
      </c>
      <c r="J980">
        <v>62.5</v>
      </c>
      <c r="K980">
        <v>3475</v>
      </c>
      <c r="L980">
        <v>2544</v>
      </c>
      <c r="M980">
        <v>4406</v>
      </c>
      <c r="N980">
        <v>5.8</v>
      </c>
      <c r="O980">
        <v>4.7</v>
      </c>
      <c r="P980">
        <v>6.8</v>
      </c>
      <c r="Q980">
        <f t="shared" si="28"/>
        <v>21944577</v>
      </c>
      <c r="R980">
        <f t="shared" si="29"/>
        <v>15.835347384458585</v>
      </c>
      <c r="U980">
        <v>5040</v>
      </c>
      <c r="V980">
        <v>3702</v>
      </c>
      <c r="W980">
        <v>6379</v>
      </c>
      <c r="X980">
        <v>3234</v>
      </c>
      <c r="Y980">
        <v>60.9</v>
      </c>
      <c r="Z980">
        <v>54.7</v>
      </c>
      <c r="AA980">
        <v>67.2</v>
      </c>
    </row>
    <row r="981" spans="1:27" x14ac:dyDescent="0.25">
      <c r="A981" t="s">
        <v>233</v>
      </c>
      <c r="B981" t="s">
        <v>168</v>
      </c>
      <c r="C981" s="76">
        <v>43997</v>
      </c>
      <c r="D981">
        <v>36146</v>
      </c>
      <c r="E981">
        <v>28156</v>
      </c>
      <c r="F981">
        <v>44136</v>
      </c>
      <c r="G981">
        <v>23913</v>
      </c>
      <c r="H981">
        <v>60.2</v>
      </c>
      <c r="I981">
        <v>56.3</v>
      </c>
      <c r="J981">
        <v>64.099999999999994</v>
      </c>
      <c r="K981">
        <v>3288</v>
      </c>
      <c r="L981">
        <v>2411</v>
      </c>
      <c r="M981">
        <v>4165</v>
      </c>
      <c r="N981">
        <v>5.5</v>
      </c>
      <c r="O981">
        <v>4.5</v>
      </c>
      <c r="P981">
        <v>6.5</v>
      </c>
      <c r="Q981">
        <f t="shared" si="28"/>
        <v>21944577</v>
      </c>
      <c r="R981">
        <f t="shared" si="29"/>
        <v>14.983200633122252</v>
      </c>
      <c r="U981">
        <v>5048</v>
      </c>
      <c r="V981">
        <v>3714</v>
      </c>
      <c r="W981">
        <v>6382</v>
      </c>
      <c r="X981">
        <v>3179</v>
      </c>
      <c r="Y981">
        <v>61.4</v>
      </c>
      <c r="Z981">
        <v>55.2</v>
      </c>
      <c r="AA981">
        <v>67.599999999999994</v>
      </c>
    </row>
    <row r="982" spans="1:27" x14ac:dyDescent="0.25">
      <c r="A982" t="s">
        <v>233</v>
      </c>
      <c r="B982" t="s">
        <v>168</v>
      </c>
      <c r="C982" s="76">
        <v>43998</v>
      </c>
      <c r="D982">
        <v>36135</v>
      </c>
      <c r="E982">
        <v>28139</v>
      </c>
      <c r="F982">
        <v>44132</v>
      </c>
      <c r="G982">
        <v>22589</v>
      </c>
      <c r="H982">
        <v>61.5</v>
      </c>
      <c r="I982">
        <v>57.6</v>
      </c>
      <c r="J982">
        <v>65.400000000000006</v>
      </c>
      <c r="K982">
        <v>3528</v>
      </c>
      <c r="L982">
        <v>2517</v>
      </c>
      <c r="M982">
        <v>4539</v>
      </c>
      <c r="N982">
        <v>6</v>
      </c>
      <c r="O982">
        <v>4.8</v>
      </c>
      <c r="P982">
        <v>7.2</v>
      </c>
      <c r="Q982">
        <f t="shared" si="28"/>
        <v>21944577</v>
      </c>
      <c r="R982">
        <f t="shared" si="29"/>
        <v>16.076864912912196</v>
      </c>
      <c r="U982">
        <v>4709</v>
      </c>
      <c r="V982">
        <v>3455</v>
      </c>
      <c r="W982">
        <v>5962</v>
      </c>
      <c r="X982">
        <v>2975</v>
      </c>
      <c r="Y982">
        <v>61.3</v>
      </c>
      <c r="Z982">
        <v>54.6</v>
      </c>
      <c r="AA982">
        <v>68</v>
      </c>
    </row>
    <row r="983" spans="1:27" x14ac:dyDescent="0.25">
      <c r="A983" t="s">
        <v>233</v>
      </c>
      <c r="B983" t="s">
        <v>168</v>
      </c>
      <c r="C983" s="76">
        <v>43999</v>
      </c>
      <c r="D983">
        <v>35859</v>
      </c>
      <c r="E983">
        <v>27160</v>
      </c>
      <c r="F983">
        <v>44558</v>
      </c>
      <c r="G983">
        <v>22594</v>
      </c>
      <c r="H983">
        <v>61.3</v>
      </c>
      <c r="I983">
        <v>57</v>
      </c>
      <c r="J983">
        <v>65.7</v>
      </c>
      <c r="K983">
        <v>3726</v>
      </c>
      <c r="L983">
        <v>2375</v>
      </c>
      <c r="M983">
        <v>5077</v>
      </c>
      <c r="N983">
        <v>6.4</v>
      </c>
      <c r="O983">
        <v>4.7</v>
      </c>
      <c r="P983">
        <v>8.1</v>
      </c>
      <c r="Q983">
        <f t="shared" si="28"/>
        <v>21944577</v>
      </c>
      <c r="R983">
        <f t="shared" si="29"/>
        <v>16.979137943738902</v>
      </c>
      <c r="U983">
        <v>5366</v>
      </c>
      <c r="V983">
        <v>3538</v>
      </c>
      <c r="W983">
        <v>7195</v>
      </c>
      <c r="X983">
        <v>3165</v>
      </c>
      <c r="Y983">
        <v>62.9</v>
      </c>
      <c r="Z983">
        <v>56.9</v>
      </c>
      <c r="AA983">
        <v>68.900000000000006</v>
      </c>
    </row>
    <row r="984" spans="1:27" x14ac:dyDescent="0.25">
      <c r="A984" t="s">
        <v>233</v>
      </c>
      <c r="B984" t="s">
        <v>168</v>
      </c>
      <c r="C984" s="76">
        <v>44000</v>
      </c>
      <c r="D984">
        <v>37968</v>
      </c>
      <c r="E984">
        <v>29805</v>
      </c>
      <c r="F984">
        <v>46130</v>
      </c>
      <c r="G984">
        <v>22421</v>
      </c>
      <c r="H984">
        <v>62.9</v>
      </c>
      <c r="I984">
        <v>59</v>
      </c>
      <c r="J984">
        <v>66.7</v>
      </c>
      <c r="K984">
        <v>3706</v>
      </c>
      <c r="L984">
        <v>2655</v>
      </c>
      <c r="M984">
        <v>4758</v>
      </c>
      <c r="N984">
        <v>6.1</v>
      </c>
      <c r="O984">
        <v>5</v>
      </c>
      <c r="P984">
        <v>7.3</v>
      </c>
      <c r="Q984">
        <f t="shared" si="28"/>
        <v>21944577</v>
      </c>
      <c r="R984">
        <f t="shared" si="29"/>
        <v>16.887999253756405</v>
      </c>
      <c r="U984">
        <v>4983</v>
      </c>
      <c r="V984">
        <v>3703</v>
      </c>
      <c r="W984">
        <v>6263</v>
      </c>
      <c r="X984">
        <v>2905</v>
      </c>
      <c r="Y984">
        <v>63.2</v>
      </c>
      <c r="Z984">
        <v>56.6</v>
      </c>
      <c r="AA984">
        <v>69.8</v>
      </c>
    </row>
    <row r="985" spans="1:27" x14ac:dyDescent="0.25">
      <c r="A985" t="s">
        <v>233</v>
      </c>
      <c r="B985" t="s">
        <v>168</v>
      </c>
      <c r="C985" s="76">
        <v>44001</v>
      </c>
      <c r="D985">
        <v>45874</v>
      </c>
      <c r="E985">
        <v>38465</v>
      </c>
      <c r="F985">
        <v>53283</v>
      </c>
      <c r="G985">
        <v>15721</v>
      </c>
      <c r="H985">
        <v>74.5</v>
      </c>
      <c r="I985">
        <v>72.3</v>
      </c>
      <c r="J985">
        <v>76.7</v>
      </c>
      <c r="K985">
        <v>4211</v>
      </c>
      <c r="L985">
        <v>3359</v>
      </c>
      <c r="M985">
        <v>5064</v>
      </c>
      <c r="N985">
        <v>6.8</v>
      </c>
      <c r="O985">
        <v>5.9</v>
      </c>
      <c r="P985">
        <v>7.8</v>
      </c>
      <c r="Q985">
        <f t="shared" si="28"/>
        <v>21944577</v>
      </c>
      <c r="R985">
        <f t="shared" si="29"/>
        <v>19.189251175814416</v>
      </c>
      <c r="U985">
        <v>7086</v>
      </c>
      <c r="V985">
        <v>5434</v>
      </c>
      <c r="W985">
        <v>8739</v>
      </c>
      <c r="X985">
        <v>3081</v>
      </c>
      <c r="Y985">
        <v>69.7</v>
      </c>
      <c r="Z985">
        <v>66.599999999999994</v>
      </c>
      <c r="AA985">
        <v>72.8</v>
      </c>
    </row>
    <row r="986" spans="1:27" x14ac:dyDescent="0.25">
      <c r="A986" t="s">
        <v>233</v>
      </c>
      <c r="B986" t="s">
        <v>168</v>
      </c>
      <c r="C986" s="76">
        <v>44002</v>
      </c>
      <c r="D986">
        <v>44238</v>
      </c>
      <c r="E986">
        <v>36995</v>
      </c>
      <c r="F986">
        <v>51481</v>
      </c>
      <c r="G986">
        <v>16941</v>
      </c>
      <c r="H986">
        <v>72.3</v>
      </c>
      <c r="I986">
        <v>70.099999999999994</v>
      </c>
      <c r="J986">
        <v>74.5</v>
      </c>
      <c r="K986">
        <v>4316</v>
      </c>
      <c r="L986">
        <v>3436</v>
      </c>
      <c r="M986">
        <v>5196</v>
      </c>
      <c r="N986">
        <v>7.1</v>
      </c>
      <c r="O986">
        <v>6.1</v>
      </c>
      <c r="P986">
        <v>8</v>
      </c>
      <c r="Q986">
        <f t="shared" si="28"/>
        <v>21944577</v>
      </c>
      <c r="R986">
        <f t="shared" si="29"/>
        <v>19.667729298222518</v>
      </c>
      <c r="U986">
        <v>6874</v>
      </c>
      <c r="V986">
        <v>5235</v>
      </c>
      <c r="W986">
        <v>8514</v>
      </c>
      <c r="X986">
        <v>3137</v>
      </c>
      <c r="Y986">
        <v>68.7</v>
      </c>
      <c r="Z986">
        <v>65.5</v>
      </c>
      <c r="AA986">
        <v>71.8</v>
      </c>
    </row>
    <row r="987" spans="1:27" x14ac:dyDescent="0.25">
      <c r="A987" t="s">
        <v>233</v>
      </c>
      <c r="B987" t="s">
        <v>168</v>
      </c>
      <c r="C987" s="76">
        <v>44003</v>
      </c>
      <c r="D987">
        <v>38827</v>
      </c>
      <c r="E987">
        <v>30091</v>
      </c>
      <c r="F987">
        <v>47563</v>
      </c>
      <c r="G987">
        <v>17166</v>
      </c>
      <c r="H987">
        <v>69.3</v>
      </c>
      <c r="I987">
        <v>66.5</v>
      </c>
      <c r="J987">
        <v>72.099999999999994</v>
      </c>
      <c r="K987">
        <v>4129</v>
      </c>
      <c r="L987">
        <v>3023</v>
      </c>
      <c r="M987">
        <v>5234</v>
      </c>
      <c r="N987">
        <v>7.4</v>
      </c>
      <c r="O987">
        <v>6.1</v>
      </c>
      <c r="P987">
        <v>8.6</v>
      </c>
      <c r="Q987">
        <f t="shared" si="28"/>
        <v>21944577</v>
      </c>
      <c r="R987">
        <f t="shared" si="29"/>
        <v>18.815582546886183</v>
      </c>
      <c r="U987">
        <v>5665</v>
      </c>
      <c r="V987">
        <v>3930</v>
      </c>
      <c r="W987">
        <v>7401</v>
      </c>
      <c r="X987">
        <v>2796</v>
      </c>
      <c r="Y987">
        <v>67</v>
      </c>
      <c r="Z987">
        <v>62.5</v>
      </c>
      <c r="AA987">
        <v>71.400000000000006</v>
      </c>
    </row>
    <row r="988" spans="1:27" x14ac:dyDescent="0.25">
      <c r="A988" t="s">
        <v>233</v>
      </c>
      <c r="B988" t="s">
        <v>168</v>
      </c>
      <c r="C988" s="76">
        <v>44004</v>
      </c>
      <c r="D988">
        <v>38782</v>
      </c>
      <c r="E988">
        <v>30267</v>
      </c>
      <c r="F988">
        <v>47297</v>
      </c>
      <c r="G988">
        <v>16599</v>
      </c>
      <c r="H988">
        <v>70</v>
      </c>
      <c r="I988">
        <v>67</v>
      </c>
      <c r="J988">
        <v>73</v>
      </c>
      <c r="K988">
        <v>4228</v>
      </c>
      <c r="L988">
        <v>3083</v>
      </c>
      <c r="M988">
        <v>5373</v>
      </c>
      <c r="N988">
        <v>7.6</v>
      </c>
      <c r="O988">
        <v>6.3</v>
      </c>
      <c r="P988">
        <v>9</v>
      </c>
      <c r="Q988">
        <f t="shared" si="28"/>
        <v>21944577</v>
      </c>
      <c r="R988">
        <f t="shared" si="29"/>
        <v>19.266719062299536</v>
      </c>
      <c r="U988">
        <v>5617</v>
      </c>
      <c r="V988">
        <v>3954</v>
      </c>
      <c r="W988">
        <v>7281</v>
      </c>
      <c r="X988">
        <v>2650</v>
      </c>
      <c r="Y988">
        <v>67.900000000000006</v>
      </c>
      <c r="Z988">
        <v>63.7</v>
      </c>
      <c r="AA988">
        <v>72.2</v>
      </c>
    </row>
    <row r="989" spans="1:27" x14ac:dyDescent="0.25">
      <c r="A989" t="s">
        <v>233</v>
      </c>
      <c r="B989" t="s">
        <v>168</v>
      </c>
      <c r="C989" s="76">
        <v>44005</v>
      </c>
      <c r="D989">
        <v>46339</v>
      </c>
      <c r="E989">
        <v>38848</v>
      </c>
      <c r="F989">
        <v>53829</v>
      </c>
      <c r="G989">
        <v>15826</v>
      </c>
      <c r="H989">
        <v>74.5</v>
      </c>
      <c r="I989">
        <v>72.2</v>
      </c>
      <c r="J989">
        <v>76.900000000000006</v>
      </c>
      <c r="K989">
        <v>5256</v>
      </c>
      <c r="L989">
        <v>4202</v>
      </c>
      <c r="M989">
        <v>6310</v>
      </c>
      <c r="N989">
        <v>8.5</v>
      </c>
      <c r="O989">
        <v>7.4</v>
      </c>
      <c r="P989">
        <v>9.5</v>
      </c>
      <c r="Q989">
        <f t="shared" si="28"/>
        <v>21944577</v>
      </c>
      <c r="R989">
        <f t="shared" si="29"/>
        <v>23.951247727399803</v>
      </c>
      <c r="U989">
        <v>7198</v>
      </c>
      <c r="V989">
        <v>5513</v>
      </c>
      <c r="W989">
        <v>8884</v>
      </c>
      <c r="X989">
        <v>3093</v>
      </c>
      <c r="Y989">
        <v>69.900000000000006</v>
      </c>
      <c r="Z989">
        <v>66.7</v>
      </c>
      <c r="AA989">
        <v>73.2</v>
      </c>
    </row>
    <row r="990" spans="1:27" x14ac:dyDescent="0.25">
      <c r="A990" t="s">
        <v>233</v>
      </c>
      <c r="B990" t="s">
        <v>168</v>
      </c>
      <c r="C990" s="76">
        <v>44006</v>
      </c>
      <c r="D990">
        <v>46773</v>
      </c>
      <c r="E990">
        <v>39056</v>
      </c>
      <c r="F990">
        <v>54490</v>
      </c>
      <c r="G990">
        <v>14845</v>
      </c>
      <c r="H990">
        <v>75.900000000000006</v>
      </c>
      <c r="I990">
        <v>73.900000000000006</v>
      </c>
      <c r="J990">
        <v>77.900000000000006</v>
      </c>
      <c r="K990">
        <v>5389</v>
      </c>
      <c r="L990">
        <v>4314</v>
      </c>
      <c r="M990">
        <v>6465</v>
      </c>
      <c r="N990">
        <v>8.6999999999999993</v>
      </c>
      <c r="O990">
        <v>7.6</v>
      </c>
      <c r="P990">
        <v>9.9</v>
      </c>
      <c r="Q990">
        <f t="shared" si="28"/>
        <v>21944577</v>
      </c>
      <c r="R990">
        <f t="shared" si="29"/>
        <v>24.5573200157834</v>
      </c>
      <c r="U990">
        <v>7158</v>
      </c>
      <c r="V990">
        <v>5328</v>
      </c>
      <c r="W990">
        <v>8987</v>
      </c>
      <c r="X990">
        <v>2972</v>
      </c>
      <c r="Y990">
        <v>70.7</v>
      </c>
      <c r="Z990">
        <v>67.2</v>
      </c>
      <c r="AA990">
        <v>74.099999999999994</v>
      </c>
    </row>
    <row r="991" spans="1:27" x14ac:dyDescent="0.25">
      <c r="A991" t="s">
        <v>233</v>
      </c>
      <c r="B991" t="s">
        <v>168</v>
      </c>
      <c r="C991" s="76">
        <v>44007</v>
      </c>
      <c r="D991">
        <v>46769</v>
      </c>
      <c r="E991">
        <v>39162</v>
      </c>
      <c r="F991">
        <v>54377</v>
      </c>
      <c r="G991">
        <v>14819</v>
      </c>
      <c r="H991">
        <v>75.900000000000006</v>
      </c>
      <c r="I991">
        <v>73.8</v>
      </c>
      <c r="J991">
        <v>78</v>
      </c>
      <c r="K991">
        <v>5527</v>
      </c>
      <c r="L991">
        <v>4452</v>
      </c>
      <c r="M991">
        <v>6603</v>
      </c>
      <c r="N991">
        <v>9</v>
      </c>
      <c r="O991">
        <v>7.9</v>
      </c>
      <c r="P991">
        <v>10.1</v>
      </c>
      <c r="Q991">
        <f t="shared" si="28"/>
        <v>21944577</v>
      </c>
      <c r="R991">
        <f t="shared" si="29"/>
        <v>25.186176976662619</v>
      </c>
      <c r="U991">
        <v>7052</v>
      </c>
      <c r="V991">
        <v>5405</v>
      </c>
      <c r="W991">
        <v>8699</v>
      </c>
      <c r="X991">
        <v>2968</v>
      </c>
      <c r="Y991">
        <v>70.400000000000006</v>
      </c>
      <c r="Z991">
        <v>67.2</v>
      </c>
      <c r="AA991">
        <v>73.599999999999994</v>
      </c>
    </row>
    <row r="992" spans="1:27" x14ac:dyDescent="0.25">
      <c r="A992" t="s">
        <v>233</v>
      </c>
      <c r="B992" t="s">
        <v>168</v>
      </c>
      <c r="C992" s="76">
        <v>44008</v>
      </c>
      <c r="D992">
        <v>46447</v>
      </c>
      <c r="E992">
        <v>38879</v>
      </c>
      <c r="F992">
        <v>54015</v>
      </c>
      <c r="G992">
        <v>14959</v>
      </c>
      <c r="H992">
        <v>75.599999999999994</v>
      </c>
      <c r="I992">
        <v>73.599999999999994</v>
      </c>
      <c r="J992">
        <v>77.7</v>
      </c>
      <c r="K992">
        <v>5694</v>
      </c>
      <c r="L992">
        <v>4625</v>
      </c>
      <c r="M992">
        <v>6762</v>
      </c>
      <c r="N992">
        <v>9.3000000000000007</v>
      </c>
      <c r="O992">
        <v>8.1999999999999993</v>
      </c>
      <c r="P992">
        <v>10.3</v>
      </c>
      <c r="Q992">
        <f t="shared" si="28"/>
        <v>21944577</v>
      </c>
      <c r="R992">
        <f t="shared" si="29"/>
        <v>25.947185038016457</v>
      </c>
      <c r="U992">
        <v>7024</v>
      </c>
      <c r="V992">
        <v>5369</v>
      </c>
      <c r="W992">
        <v>8679</v>
      </c>
      <c r="X992">
        <v>3124</v>
      </c>
      <c r="Y992">
        <v>69.2</v>
      </c>
      <c r="Z992">
        <v>65.3</v>
      </c>
      <c r="AA992">
        <v>73.099999999999994</v>
      </c>
    </row>
    <row r="993" spans="1:27" x14ac:dyDescent="0.25">
      <c r="A993" t="s">
        <v>233</v>
      </c>
      <c r="B993" t="s">
        <v>168</v>
      </c>
      <c r="C993" s="76">
        <v>44009</v>
      </c>
      <c r="D993">
        <v>44550</v>
      </c>
      <c r="E993">
        <v>37237</v>
      </c>
      <c r="F993">
        <v>51862</v>
      </c>
      <c r="G993">
        <v>19026</v>
      </c>
      <c r="H993">
        <v>70.099999999999994</v>
      </c>
      <c r="I993">
        <v>67.400000000000006</v>
      </c>
      <c r="J993">
        <v>72.8</v>
      </c>
      <c r="K993">
        <v>6072</v>
      </c>
      <c r="L993">
        <v>4941</v>
      </c>
      <c r="M993">
        <v>7202</v>
      </c>
      <c r="N993">
        <v>9.6</v>
      </c>
      <c r="O993">
        <v>8.4</v>
      </c>
      <c r="P993">
        <v>10.7</v>
      </c>
      <c r="Q993">
        <f t="shared" si="28"/>
        <v>21944577</v>
      </c>
      <c r="R993">
        <f t="shared" si="29"/>
        <v>27.66970627868562</v>
      </c>
      <c r="U993">
        <v>6679</v>
      </c>
      <c r="V993">
        <v>5114</v>
      </c>
      <c r="W993">
        <v>8243</v>
      </c>
      <c r="X993">
        <v>3529</v>
      </c>
      <c r="Y993">
        <v>65.400000000000006</v>
      </c>
      <c r="Z993">
        <v>61.6</v>
      </c>
      <c r="AA993">
        <v>69.3</v>
      </c>
    </row>
    <row r="994" spans="1:27" x14ac:dyDescent="0.25">
      <c r="A994" t="s">
        <v>233</v>
      </c>
      <c r="B994" t="s">
        <v>168</v>
      </c>
      <c r="C994" s="76">
        <v>44010</v>
      </c>
      <c r="D994">
        <v>37163</v>
      </c>
      <c r="E994">
        <v>29136</v>
      </c>
      <c r="F994">
        <v>45191</v>
      </c>
      <c r="G994">
        <v>22644</v>
      </c>
      <c r="H994">
        <v>62.1</v>
      </c>
      <c r="I994">
        <v>58.1</v>
      </c>
      <c r="J994">
        <v>66.2</v>
      </c>
      <c r="K994">
        <v>5935</v>
      </c>
      <c r="L994">
        <v>4483</v>
      </c>
      <c r="M994">
        <v>7388</v>
      </c>
      <c r="N994">
        <v>9.9</v>
      </c>
      <c r="O994">
        <v>8.4</v>
      </c>
      <c r="P994">
        <v>11.4</v>
      </c>
      <c r="Q994">
        <f t="shared" si="28"/>
        <v>21944577</v>
      </c>
      <c r="R994">
        <f t="shared" si="29"/>
        <v>27.045406252305526</v>
      </c>
      <c r="U994">
        <v>4992</v>
      </c>
      <c r="V994">
        <v>3651</v>
      </c>
      <c r="W994">
        <v>6334</v>
      </c>
      <c r="X994">
        <v>3319</v>
      </c>
      <c r="Y994">
        <v>60.1</v>
      </c>
      <c r="Z994">
        <v>54.3</v>
      </c>
      <c r="AA994">
        <v>65.900000000000006</v>
      </c>
    </row>
    <row r="995" spans="1:27" x14ac:dyDescent="0.25">
      <c r="A995" t="s">
        <v>233</v>
      </c>
      <c r="B995" t="s">
        <v>168</v>
      </c>
      <c r="C995" s="76">
        <v>44011</v>
      </c>
      <c r="D995">
        <v>44210</v>
      </c>
      <c r="E995">
        <v>37021</v>
      </c>
      <c r="F995">
        <v>51400</v>
      </c>
      <c r="G995">
        <v>19090</v>
      </c>
      <c r="H995">
        <v>69.8</v>
      </c>
      <c r="I995">
        <v>67.2</v>
      </c>
      <c r="J995">
        <v>72.5</v>
      </c>
      <c r="K995">
        <v>6605</v>
      </c>
      <c r="L995">
        <v>5442</v>
      </c>
      <c r="M995">
        <v>7768</v>
      </c>
      <c r="N995">
        <v>10.4</v>
      </c>
      <c r="O995">
        <v>9.3000000000000007</v>
      </c>
      <c r="P995">
        <v>11.5</v>
      </c>
      <c r="Q995">
        <f t="shared" si="28"/>
        <v>21944577</v>
      </c>
      <c r="R995">
        <f t="shared" si="29"/>
        <v>30.098552366719122</v>
      </c>
      <c r="U995">
        <v>6714</v>
      </c>
      <c r="V995">
        <v>5155</v>
      </c>
      <c r="W995">
        <v>8272</v>
      </c>
      <c r="X995">
        <v>3566</v>
      </c>
      <c r="Y995">
        <v>65.3</v>
      </c>
      <c r="Z995">
        <v>61.7</v>
      </c>
      <c r="AA995">
        <v>68.900000000000006</v>
      </c>
    </row>
    <row r="996" spans="1:27" x14ac:dyDescent="0.25">
      <c r="A996" t="s">
        <v>233</v>
      </c>
      <c r="B996" t="s">
        <v>168</v>
      </c>
      <c r="C996" s="76">
        <v>44012</v>
      </c>
      <c r="D996">
        <v>46931</v>
      </c>
      <c r="E996">
        <v>39335</v>
      </c>
      <c r="F996">
        <v>54526</v>
      </c>
      <c r="G996">
        <v>14137</v>
      </c>
      <c r="H996">
        <v>76.900000000000006</v>
      </c>
      <c r="I996">
        <v>74.8</v>
      </c>
      <c r="J996">
        <v>78.900000000000006</v>
      </c>
      <c r="K996">
        <v>7387</v>
      </c>
      <c r="L996">
        <v>6076</v>
      </c>
      <c r="M996">
        <v>8698</v>
      </c>
      <c r="N996">
        <v>12.1</v>
      </c>
      <c r="O996">
        <v>10.9</v>
      </c>
      <c r="P996">
        <v>13.3</v>
      </c>
      <c r="Q996">
        <f t="shared" si="28"/>
        <v>21944577</v>
      </c>
      <c r="R996">
        <f t="shared" si="29"/>
        <v>33.662075145034692</v>
      </c>
      <c r="U996">
        <v>7103</v>
      </c>
      <c r="V996">
        <v>5464</v>
      </c>
      <c r="W996">
        <v>8742</v>
      </c>
      <c r="X996">
        <v>3037</v>
      </c>
      <c r="Y996">
        <v>70.099999999999994</v>
      </c>
      <c r="Z996">
        <v>66.8</v>
      </c>
      <c r="AA996">
        <v>73.3</v>
      </c>
    </row>
    <row r="997" spans="1:27" x14ac:dyDescent="0.25">
      <c r="A997" t="s">
        <v>233</v>
      </c>
      <c r="B997" t="s">
        <v>168</v>
      </c>
      <c r="C997" s="76">
        <v>44013</v>
      </c>
      <c r="D997">
        <v>47548</v>
      </c>
      <c r="E997">
        <v>39846</v>
      </c>
      <c r="F997">
        <v>55249</v>
      </c>
      <c r="G997">
        <v>13616</v>
      </c>
      <c r="H997">
        <v>77.7</v>
      </c>
      <c r="I997">
        <v>75.400000000000006</v>
      </c>
      <c r="J997">
        <v>80.099999999999994</v>
      </c>
      <c r="K997">
        <v>7676</v>
      </c>
      <c r="L997">
        <v>6294</v>
      </c>
      <c r="M997">
        <v>9058</v>
      </c>
      <c r="N997">
        <v>12.5</v>
      </c>
      <c r="O997">
        <v>11.2</v>
      </c>
      <c r="P997">
        <v>13.9</v>
      </c>
      <c r="Q997">
        <f t="shared" si="28"/>
        <v>21944577</v>
      </c>
      <c r="R997">
        <f t="shared" si="29"/>
        <v>34.979029215281749</v>
      </c>
      <c r="U997">
        <v>7129</v>
      </c>
      <c r="V997">
        <v>5473</v>
      </c>
      <c r="W997">
        <v>8784</v>
      </c>
      <c r="X997">
        <v>2956</v>
      </c>
      <c r="Y997">
        <v>70.7</v>
      </c>
      <c r="Z997">
        <v>66.8</v>
      </c>
      <c r="AA997">
        <v>74.599999999999994</v>
      </c>
    </row>
    <row r="998" spans="1:27" x14ac:dyDescent="0.25">
      <c r="A998" t="s">
        <v>233</v>
      </c>
      <c r="B998" t="s">
        <v>168</v>
      </c>
      <c r="C998" s="76">
        <v>44014</v>
      </c>
      <c r="D998">
        <v>47578</v>
      </c>
      <c r="E998">
        <v>39861</v>
      </c>
      <c r="F998">
        <v>55294</v>
      </c>
      <c r="G998">
        <v>13216</v>
      </c>
      <c r="H998">
        <v>78.3</v>
      </c>
      <c r="I998">
        <v>76.099999999999994</v>
      </c>
      <c r="J998">
        <v>80.400000000000006</v>
      </c>
      <c r="K998">
        <v>7988</v>
      </c>
      <c r="L998">
        <v>6577</v>
      </c>
      <c r="M998">
        <v>9400</v>
      </c>
      <c r="N998">
        <v>13.1</v>
      </c>
      <c r="O998">
        <v>11.8</v>
      </c>
      <c r="P998">
        <v>14.4</v>
      </c>
      <c r="Q998">
        <f t="shared" si="28"/>
        <v>21944577</v>
      </c>
      <c r="R998">
        <f t="shared" si="29"/>
        <v>36.400792779008682</v>
      </c>
      <c r="U998">
        <v>7351</v>
      </c>
      <c r="V998">
        <v>5689</v>
      </c>
      <c r="W998">
        <v>9012</v>
      </c>
      <c r="X998">
        <v>2770</v>
      </c>
      <c r="Y998">
        <v>72.599999999999994</v>
      </c>
      <c r="Z998">
        <v>69</v>
      </c>
      <c r="AA998">
        <v>76.3</v>
      </c>
    </row>
    <row r="999" spans="1:27" x14ac:dyDescent="0.25">
      <c r="A999" t="s">
        <v>233</v>
      </c>
      <c r="B999" t="s">
        <v>168</v>
      </c>
      <c r="C999" s="76">
        <v>44015</v>
      </c>
      <c r="D999">
        <v>46293</v>
      </c>
      <c r="E999">
        <v>38758</v>
      </c>
      <c r="F999">
        <v>53829</v>
      </c>
      <c r="G999">
        <v>16710</v>
      </c>
      <c r="H999">
        <v>73.5</v>
      </c>
      <c r="I999">
        <v>70.599999999999994</v>
      </c>
      <c r="J999">
        <v>76.3</v>
      </c>
      <c r="K999">
        <v>7998</v>
      </c>
      <c r="L999">
        <v>6586</v>
      </c>
      <c r="M999">
        <v>9410</v>
      </c>
      <c r="N999">
        <v>12.7</v>
      </c>
      <c r="O999">
        <v>11.4</v>
      </c>
      <c r="P999">
        <v>14</v>
      </c>
      <c r="Q999">
        <f t="shared" ref="Q999:Q1062" si="30">VLOOKUP(B999,$AE$4:$AF$55,2,FALSE)</f>
        <v>21944577</v>
      </c>
      <c r="R999">
        <f t="shared" si="29"/>
        <v>36.446362123999933</v>
      </c>
      <c r="U999">
        <v>6863</v>
      </c>
      <c r="V999">
        <v>5292</v>
      </c>
      <c r="W999">
        <v>8434</v>
      </c>
      <c r="X999">
        <v>3318</v>
      </c>
      <c r="Y999">
        <v>67.400000000000006</v>
      </c>
      <c r="Z999">
        <v>63.5</v>
      </c>
      <c r="AA999">
        <v>71.3</v>
      </c>
    </row>
    <row r="1000" spans="1:27" x14ac:dyDescent="0.25">
      <c r="A1000" t="s">
        <v>233</v>
      </c>
      <c r="B1000" t="s">
        <v>168</v>
      </c>
      <c r="C1000" s="76">
        <v>44016</v>
      </c>
      <c r="D1000">
        <v>43720</v>
      </c>
      <c r="E1000">
        <v>36585</v>
      </c>
      <c r="F1000">
        <v>50855</v>
      </c>
      <c r="G1000">
        <v>18500</v>
      </c>
      <c r="H1000">
        <v>70.3</v>
      </c>
      <c r="I1000">
        <v>67.400000000000006</v>
      </c>
      <c r="J1000">
        <v>73.099999999999994</v>
      </c>
      <c r="K1000">
        <v>8373</v>
      </c>
      <c r="L1000">
        <v>6905</v>
      </c>
      <c r="M1000">
        <v>9840</v>
      </c>
      <c r="N1000">
        <v>13.5</v>
      </c>
      <c r="O1000">
        <v>12.1</v>
      </c>
      <c r="P1000">
        <v>14.8</v>
      </c>
      <c r="Q1000">
        <f t="shared" si="30"/>
        <v>21944577</v>
      </c>
      <c r="R1000">
        <f t="shared" si="29"/>
        <v>38.155212561171723</v>
      </c>
      <c r="U1000">
        <v>6717</v>
      </c>
      <c r="V1000">
        <v>5178</v>
      </c>
      <c r="W1000">
        <v>8256</v>
      </c>
      <c r="X1000">
        <v>3452</v>
      </c>
      <c r="Y1000">
        <v>66.099999999999994</v>
      </c>
      <c r="Z1000">
        <v>62.2</v>
      </c>
      <c r="AA1000">
        <v>70</v>
      </c>
    </row>
    <row r="1001" spans="1:27" x14ac:dyDescent="0.25">
      <c r="A1001" t="s">
        <v>233</v>
      </c>
      <c r="B1001" t="s">
        <v>168</v>
      </c>
      <c r="C1001" s="76">
        <v>44017</v>
      </c>
      <c r="D1001">
        <v>43038</v>
      </c>
      <c r="E1001">
        <v>36049</v>
      </c>
      <c r="F1001">
        <v>50027</v>
      </c>
      <c r="G1001">
        <v>18886</v>
      </c>
      <c r="H1001">
        <v>69.5</v>
      </c>
      <c r="I1001">
        <v>66.599999999999994</v>
      </c>
      <c r="J1001">
        <v>72.400000000000006</v>
      </c>
      <c r="K1001">
        <v>8723</v>
      </c>
      <c r="L1001">
        <v>7213</v>
      </c>
      <c r="M1001">
        <v>10233</v>
      </c>
      <c r="N1001">
        <v>14.1</v>
      </c>
      <c r="O1001">
        <v>12.7</v>
      </c>
      <c r="P1001">
        <v>15.5</v>
      </c>
      <c r="Q1001">
        <f t="shared" si="30"/>
        <v>21944577</v>
      </c>
      <c r="R1001">
        <f t="shared" si="29"/>
        <v>39.750139635865388</v>
      </c>
      <c r="U1001">
        <v>6704</v>
      </c>
      <c r="V1001">
        <v>5156</v>
      </c>
      <c r="W1001">
        <v>8252</v>
      </c>
      <c r="X1001">
        <v>3459</v>
      </c>
      <c r="Y1001">
        <v>66</v>
      </c>
      <c r="Z1001">
        <v>61.9</v>
      </c>
      <c r="AA1001">
        <v>70</v>
      </c>
    </row>
    <row r="1002" spans="1:27" x14ac:dyDescent="0.25">
      <c r="A1002" t="s">
        <v>233</v>
      </c>
      <c r="B1002" t="s">
        <v>168</v>
      </c>
      <c r="C1002" s="76">
        <v>44018</v>
      </c>
      <c r="D1002">
        <v>44856</v>
      </c>
      <c r="E1002">
        <v>37588</v>
      </c>
      <c r="F1002">
        <v>52123</v>
      </c>
      <c r="G1002">
        <v>17739</v>
      </c>
      <c r="H1002">
        <v>71.7</v>
      </c>
      <c r="I1002">
        <v>68.8</v>
      </c>
      <c r="J1002">
        <v>74.5</v>
      </c>
      <c r="K1002">
        <v>9277</v>
      </c>
      <c r="L1002">
        <v>7658</v>
      </c>
      <c r="M1002">
        <v>10897</v>
      </c>
      <c r="N1002">
        <v>14.8</v>
      </c>
      <c r="O1002">
        <v>13.4</v>
      </c>
      <c r="P1002">
        <v>16.3</v>
      </c>
      <c r="Q1002">
        <f t="shared" si="30"/>
        <v>21944577</v>
      </c>
      <c r="R1002">
        <f t="shared" si="29"/>
        <v>42.274681348380518</v>
      </c>
      <c r="U1002">
        <v>6892</v>
      </c>
      <c r="V1002">
        <v>5322</v>
      </c>
      <c r="W1002">
        <v>8461</v>
      </c>
      <c r="X1002">
        <v>3430</v>
      </c>
      <c r="Y1002">
        <v>66.8</v>
      </c>
      <c r="Z1002">
        <v>62.8</v>
      </c>
      <c r="AA1002">
        <v>70.8</v>
      </c>
    </row>
    <row r="1003" spans="1:27" x14ac:dyDescent="0.25">
      <c r="A1003" t="s">
        <v>233</v>
      </c>
      <c r="B1003" t="s">
        <v>168</v>
      </c>
      <c r="C1003" s="76">
        <v>44019</v>
      </c>
      <c r="D1003">
        <v>45812</v>
      </c>
      <c r="E1003">
        <v>38518</v>
      </c>
      <c r="F1003">
        <v>53106</v>
      </c>
      <c r="G1003">
        <v>17264</v>
      </c>
      <c r="H1003">
        <v>72.599999999999994</v>
      </c>
      <c r="I1003">
        <v>69.5</v>
      </c>
      <c r="J1003">
        <v>75.8</v>
      </c>
      <c r="K1003">
        <v>9195</v>
      </c>
      <c r="L1003">
        <v>7615</v>
      </c>
      <c r="M1003">
        <v>10775</v>
      </c>
      <c r="N1003">
        <v>14.6</v>
      </c>
      <c r="O1003">
        <v>13.1</v>
      </c>
      <c r="P1003">
        <v>16</v>
      </c>
      <c r="Q1003">
        <f t="shared" si="30"/>
        <v>21944577</v>
      </c>
      <c r="R1003">
        <f t="shared" si="29"/>
        <v>41.901012719452282</v>
      </c>
      <c r="U1003">
        <v>7137</v>
      </c>
      <c r="V1003">
        <v>5585</v>
      </c>
      <c r="W1003">
        <v>8689</v>
      </c>
      <c r="X1003">
        <v>3107</v>
      </c>
      <c r="Y1003">
        <v>69.7</v>
      </c>
      <c r="Z1003">
        <v>64.599999999999994</v>
      </c>
      <c r="AA1003">
        <v>74.8</v>
      </c>
    </row>
    <row r="1004" spans="1:27" x14ac:dyDescent="0.25">
      <c r="A1004" t="s">
        <v>234</v>
      </c>
      <c r="B1004" t="s">
        <v>178</v>
      </c>
      <c r="C1004" s="76">
        <v>43922</v>
      </c>
      <c r="D1004">
        <v>14012</v>
      </c>
      <c r="E1004">
        <v>5182</v>
      </c>
      <c r="F1004">
        <v>22843</v>
      </c>
      <c r="G1004">
        <v>11018</v>
      </c>
      <c r="H1004">
        <v>56</v>
      </c>
      <c r="I1004">
        <v>44.6</v>
      </c>
      <c r="J1004">
        <v>67.3</v>
      </c>
      <c r="K1004">
        <v>2305</v>
      </c>
      <c r="L1004">
        <v>737</v>
      </c>
      <c r="M1004">
        <v>3873</v>
      </c>
      <c r="N1004">
        <v>9.1999999999999993</v>
      </c>
      <c r="O1004">
        <v>6.3</v>
      </c>
      <c r="P1004">
        <v>12.1</v>
      </c>
      <c r="Q1004">
        <f t="shared" si="30"/>
        <v>10830007</v>
      </c>
      <c r="R1004">
        <f t="shared" si="29"/>
        <v>21.283458080867351</v>
      </c>
      <c r="U1004">
        <v>2193</v>
      </c>
      <c r="V1004">
        <v>538</v>
      </c>
      <c r="W1004">
        <v>3848</v>
      </c>
      <c r="X1004">
        <v>1112</v>
      </c>
      <c r="Y1004">
        <v>66.400000000000006</v>
      </c>
      <c r="Z1004">
        <v>58.2</v>
      </c>
      <c r="AA1004">
        <v>74.599999999999994</v>
      </c>
    </row>
    <row r="1005" spans="1:27" x14ac:dyDescent="0.25">
      <c r="A1005" t="s">
        <v>234</v>
      </c>
      <c r="B1005" t="s">
        <v>178</v>
      </c>
      <c r="C1005" s="76">
        <v>43923</v>
      </c>
      <c r="D1005">
        <v>13360</v>
      </c>
      <c r="E1005">
        <v>6372</v>
      </c>
      <c r="F1005">
        <v>20347</v>
      </c>
      <c r="G1005">
        <v>9565</v>
      </c>
      <c r="H1005">
        <v>58.3</v>
      </c>
      <c r="I1005">
        <v>47.7</v>
      </c>
      <c r="J1005">
        <v>68.900000000000006</v>
      </c>
      <c r="K1005">
        <v>2065</v>
      </c>
      <c r="L1005">
        <v>1029</v>
      </c>
      <c r="M1005">
        <v>3102</v>
      </c>
      <c r="N1005">
        <v>9</v>
      </c>
      <c r="O1005">
        <v>6</v>
      </c>
      <c r="P1005">
        <v>12</v>
      </c>
      <c r="Q1005">
        <f t="shared" si="30"/>
        <v>10830007</v>
      </c>
      <c r="R1005">
        <f t="shared" si="29"/>
        <v>19.067393031232573</v>
      </c>
      <c r="U1005">
        <v>2173</v>
      </c>
      <c r="V1005">
        <v>908</v>
      </c>
      <c r="W1005">
        <v>3438</v>
      </c>
      <c r="X1005">
        <v>1540</v>
      </c>
      <c r="Y1005">
        <v>58.5</v>
      </c>
      <c r="Z1005">
        <v>48.3</v>
      </c>
      <c r="AA1005">
        <v>68.8</v>
      </c>
    </row>
    <row r="1006" spans="1:27" x14ac:dyDescent="0.25">
      <c r="A1006" t="s">
        <v>234</v>
      </c>
      <c r="B1006" t="s">
        <v>178</v>
      </c>
      <c r="C1006" s="76">
        <v>43924</v>
      </c>
      <c r="D1006">
        <v>13039</v>
      </c>
      <c r="E1006">
        <v>6183</v>
      </c>
      <c r="F1006">
        <v>19896</v>
      </c>
      <c r="G1006">
        <v>10004</v>
      </c>
      <c r="H1006">
        <v>56.6</v>
      </c>
      <c r="I1006">
        <v>46.3</v>
      </c>
      <c r="J1006">
        <v>66.900000000000006</v>
      </c>
      <c r="K1006">
        <v>1932</v>
      </c>
      <c r="L1006">
        <v>979</v>
      </c>
      <c r="M1006">
        <v>2884</v>
      </c>
      <c r="N1006">
        <v>8.4</v>
      </c>
      <c r="O1006">
        <v>5.6</v>
      </c>
      <c r="P1006">
        <v>11.1</v>
      </c>
      <c r="Q1006">
        <f t="shared" si="30"/>
        <v>10830007</v>
      </c>
      <c r="R1006">
        <f t="shared" si="29"/>
        <v>17.839323649559969</v>
      </c>
      <c r="U1006">
        <v>2381</v>
      </c>
      <c r="V1006">
        <v>959</v>
      </c>
      <c r="W1006">
        <v>3803</v>
      </c>
      <c r="X1006">
        <v>1258</v>
      </c>
      <c r="Y1006">
        <v>65.400000000000006</v>
      </c>
      <c r="Z1006">
        <v>55.6</v>
      </c>
      <c r="AA1006">
        <v>75.3</v>
      </c>
    </row>
    <row r="1007" spans="1:27" x14ac:dyDescent="0.25">
      <c r="A1007" t="s">
        <v>234</v>
      </c>
      <c r="B1007" t="s">
        <v>178</v>
      </c>
      <c r="C1007" s="76">
        <v>43925</v>
      </c>
      <c r="D1007">
        <v>12931</v>
      </c>
      <c r="E1007">
        <v>6085</v>
      </c>
      <c r="F1007">
        <v>19777</v>
      </c>
      <c r="G1007">
        <v>10148</v>
      </c>
      <c r="H1007">
        <v>56</v>
      </c>
      <c r="I1007">
        <v>46</v>
      </c>
      <c r="J1007">
        <v>66.099999999999994</v>
      </c>
      <c r="K1007">
        <v>2119</v>
      </c>
      <c r="L1007">
        <v>1034</v>
      </c>
      <c r="M1007">
        <v>3203</v>
      </c>
      <c r="N1007">
        <v>9.1999999999999993</v>
      </c>
      <c r="O1007">
        <v>6.4</v>
      </c>
      <c r="P1007">
        <v>12</v>
      </c>
      <c r="Q1007">
        <f t="shared" si="30"/>
        <v>10830007</v>
      </c>
      <c r="R1007">
        <f t="shared" si="29"/>
        <v>19.566007667400399</v>
      </c>
      <c r="U1007">
        <v>2278</v>
      </c>
      <c r="V1007">
        <v>874</v>
      </c>
      <c r="W1007">
        <v>3683</v>
      </c>
      <c r="X1007">
        <v>1471</v>
      </c>
      <c r="Y1007">
        <v>60.8</v>
      </c>
      <c r="Z1007">
        <v>46.7</v>
      </c>
      <c r="AA1007">
        <v>74.8</v>
      </c>
    </row>
    <row r="1008" spans="1:27" x14ac:dyDescent="0.25">
      <c r="A1008" t="s">
        <v>234</v>
      </c>
      <c r="B1008" t="s">
        <v>178</v>
      </c>
      <c r="C1008" s="76">
        <v>43926</v>
      </c>
      <c r="D1008">
        <v>12657</v>
      </c>
      <c r="E1008">
        <v>6016</v>
      </c>
      <c r="F1008">
        <v>19298</v>
      </c>
      <c r="G1008">
        <v>10463</v>
      </c>
      <c r="H1008">
        <v>54.7</v>
      </c>
      <c r="I1008">
        <v>43.5</v>
      </c>
      <c r="J1008">
        <v>66</v>
      </c>
      <c r="K1008">
        <v>2097</v>
      </c>
      <c r="L1008">
        <v>1000</v>
      </c>
      <c r="M1008">
        <v>3194</v>
      </c>
      <c r="N1008">
        <v>9.1</v>
      </c>
      <c r="O1008">
        <v>5.8</v>
      </c>
      <c r="P1008">
        <v>12.3</v>
      </c>
      <c r="Q1008">
        <f t="shared" si="30"/>
        <v>10830007</v>
      </c>
      <c r="R1008">
        <f t="shared" si="29"/>
        <v>19.362868371183879</v>
      </c>
      <c r="U1008">
        <v>1982</v>
      </c>
      <c r="V1008">
        <v>805</v>
      </c>
      <c r="W1008">
        <v>3159</v>
      </c>
      <c r="X1008">
        <v>1763</v>
      </c>
      <c r="Y1008">
        <v>52.9</v>
      </c>
      <c r="Z1008">
        <v>39.1</v>
      </c>
      <c r="AA1008">
        <v>66.8</v>
      </c>
    </row>
    <row r="1009" spans="1:27" x14ac:dyDescent="0.25">
      <c r="A1009" t="s">
        <v>234</v>
      </c>
      <c r="B1009" t="s">
        <v>178</v>
      </c>
      <c r="C1009" s="76">
        <v>43927</v>
      </c>
      <c r="D1009">
        <v>13057</v>
      </c>
      <c r="E1009">
        <v>6041</v>
      </c>
      <c r="F1009">
        <v>20074</v>
      </c>
      <c r="G1009">
        <v>10545</v>
      </c>
      <c r="H1009">
        <v>55.3</v>
      </c>
      <c r="I1009">
        <v>43</v>
      </c>
      <c r="J1009">
        <v>67.599999999999994</v>
      </c>
      <c r="K1009">
        <v>2552</v>
      </c>
      <c r="L1009">
        <v>1309</v>
      </c>
      <c r="M1009">
        <v>3795</v>
      </c>
      <c r="N1009">
        <v>10.8</v>
      </c>
      <c r="O1009">
        <v>7.6</v>
      </c>
      <c r="P1009">
        <v>14.1</v>
      </c>
      <c r="Q1009">
        <f t="shared" si="30"/>
        <v>10830007</v>
      </c>
      <c r="R1009">
        <f t="shared" si="29"/>
        <v>23.56415836111648</v>
      </c>
      <c r="U1009">
        <v>2640</v>
      </c>
      <c r="V1009">
        <v>826</v>
      </c>
      <c r="W1009">
        <v>4454</v>
      </c>
      <c r="X1009">
        <v>1235</v>
      </c>
      <c r="Y1009">
        <v>68.099999999999994</v>
      </c>
      <c r="Z1009">
        <v>55.4</v>
      </c>
      <c r="AA1009">
        <v>80.8</v>
      </c>
    </row>
    <row r="1010" spans="1:27" x14ac:dyDescent="0.25">
      <c r="A1010" t="s">
        <v>234</v>
      </c>
      <c r="B1010" t="s">
        <v>178</v>
      </c>
      <c r="C1010" s="76">
        <v>43928</v>
      </c>
      <c r="D1010">
        <v>13690</v>
      </c>
      <c r="E1010">
        <v>6589</v>
      </c>
      <c r="F1010">
        <v>20792</v>
      </c>
      <c r="G1010">
        <v>9556</v>
      </c>
      <c r="H1010">
        <v>58.9</v>
      </c>
      <c r="I1010">
        <v>48.9</v>
      </c>
      <c r="J1010">
        <v>68.900000000000006</v>
      </c>
      <c r="K1010">
        <v>2413</v>
      </c>
      <c r="L1010">
        <v>1244</v>
      </c>
      <c r="M1010">
        <v>3582</v>
      </c>
      <c r="N1010">
        <v>10.4</v>
      </c>
      <c r="O1010">
        <v>7.1</v>
      </c>
      <c r="P1010">
        <v>13.7</v>
      </c>
      <c r="Q1010">
        <f t="shared" si="30"/>
        <v>10830007</v>
      </c>
      <c r="R1010">
        <f t="shared" si="29"/>
        <v>22.280687353203003</v>
      </c>
      <c r="U1010">
        <v>2721</v>
      </c>
      <c r="V1010">
        <v>775</v>
      </c>
      <c r="W1010">
        <v>4667</v>
      </c>
      <c r="X1010">
        <v>1482</v>
      </c>
      <c r="Y1010">
        <v>64.7</v>
      </c>
      <c r="Z1010">
        <v>55.5</v>
      </c>
      <c r="AA1010">
        <v>74</v>
      </c>
    </row>
    <row r="1011" spans="1:27" x14ac:dyDescent="0.25">
      <c r="A1011" t="s">
        <v>234</v>
      </c>
      <c r="B1011" t="s">
        <v>178</v>
      </c>
      <c r="C1011" s="76">
        <v>43929</v>
      </c>
      <c r="D1011">
        <v>14201</v>
      </c>
      <c r="E1011">
        <v>5978</v>
      </c>
      <c r="F1011">
        <v>22423</v>
      </c>
      <c r="G1011">
        <v>7997</v>
      </c>
      <c r="H1011">
        <v>64</v>
      </c>
      <c r="I1011">
        <v>57.8</v>
      </c>
      <c r="J1011">
        <v>70.099999999999994</v>
      </c>
      <c r="K1011">
        <v>2376</v>
      </c>
      <c r="L1011">
        <v>1154</v>
      </c>
      <c r="M1011">
        <v>3597</v>
      </c>
      <c r="N1011">
        <v>10.7</v>
      </c>
      <c r="O1011">
        <v>8.1999999999999993</v>
      </c>
      <c r="P1011">
        <v>13.2</v>
      </c>
      <c r="Q1011">
        <f t="shared" si="30"/>
        <v>10830007</v>
      </c>
      <c r="R1011">
        <f t="shared" si="29"/>
        <v>21.93904399138431</v>
      </c>
      <c r="U1011">
        <v>2689</v>
      </c>
      <c r="V1011">
        <v>568</v>
      </c>
      <c r="W1011">
        <v>4810</v>
      </c>
      <c r="X1011">
        <v>1559</v>
      </c>
      <c r="Y1011">
        <v>63.3</v>
      </c>
      <c r="Z1011">
        <v>54.5</v>
      </c>
      <c r="AA1011">
        <v>72.099999999999994</v>
      </c>
    </row>
    <row r="1012" spans="1:27" x14ac:dyDescent="0.25">
      <c r="A1012" t="s">
        <v>234</v>
      </c>
      <c r="B1012" t="s">
        <v>178</v>
      </c>
      <c r="C1012" s="76">
        <v>43930</v>
      </c>
      <c r="D1012">
        <v>13876</v>
      </c>
      <c r="E1012">
        <v>5820</v>
      </c>
      <c r="F1012">
        <v>21932</v>
      </c>
      <c r="G1012">
        <v>7998</v>
      </c>
      <c r="H1012">
        <v>63.4</v>
      </c>
      <c r="I1012">
        <v>56.9</v>
      </c>
      <c r="J1012">
        <v>70</v>
      </c>
      <c r="K1012">
        <v>2466</v>
      </c>
      <c r="L1012">
        <v>1149</v>
      </c>
      <c r="M1012">
        <v>3783</v>
      </c>
      <c r="N1012">
        <v>11.3</v>
      </c>
      <c r="O1012">
        <v>8.6</v>
      </c>
      <c r="P1012">
        <v>14</v>
      </c>
      <c r="Q1012">
        <f t="shared" si="30"/>
        <v>10830007</v>
      </c>
      <c r="R1012">
        <f t="shared" si="29"/>
        <v>22.770068384997352</v>
      </c>
      <c r="U1012">
        <v>2577</v>
      </c>
      <c r="V1012">
        <v>567</v>
      </c>
      <c r="W1012">
        <v>4587</v>
      </c>
      <c r="X1012">
        <v>1201</v>
      </c>
      <c r="Y1012">
        <v>68.2</v>
      </c>
      <c r="Z1012">
        <v>56.4</v>
      </c>
      <c r="AA1012">
        <v>80</v>
      </c>
    </row>
    <row r="1013" spans="1:27" x14ac:dyDescent="0.25">
      <c r="A1013" t="s">
        <v>234</v>
      </c>
      <c r="B1013" t="s">
        <v>178</v>
      </c>
      <c r="C1013" s="76">
        <v>43931</v>
      </c>
      <c r="D1013">
        <v>13941</v>
      </c>
      <c r="E1013">
        <v>8128</v>
      </c>
      <c r="F1013">
        <v>19754</v>
      </c>
      <c r="G1013">
        <v>9439</v>
      </c>
      <c r="H1013">
        <v>59.6</v>
      </c>
      <c r="I1013">
        <v>54.4</v>
      </c>
      <c r="J1013">
        <v>64.8</v>
      </c>
      <c r="K1013">
        <v>2709</v>
      </c>
      <c r="L1013">
        <v>1540</v>
      </c>
      <c r="M1013">
        <v>3878</v>
      </c>
      <c r="N1013">
        <v>11.6</v>
      </c>
      <c r="O1013">
        <v>9.5</v>
      </c>
      <c r="P1013">
        <v>13.7</v>
      </c>
      <c r="Q1013">
        <f t="shared" si="30"/>
        <v>10830007</v>
      </c>
      <c r="R1013">
        <f t="shared" si="29"/>
        <v>25.013834247752563</v>
      </c>
      <c r="U1013">
        <v>2550</v>
      </c>
      <c r="V1013">
        <v>1218</v>
      </c>
      <c r="W1013">
        <v>3882</v>
      </c>
      <c r="X1013">
        <v>1229</v>
      </c>
      <c r="Y1013">
        <v>67.5</v>
      </c>
      <c r="Z1013">
        <v>60.2</v>
      </c>
      <c r="AA1013">
        <v>74.8</v>
      </c>
    </row>
    <row r="1014" spans="1:27" x14ac:dyDescent="0.25">
      <c r="A1014" t="s">
        <v>234</v>
      </c>
      <c r="B1014" t="s">
        <v>178</v>
      </c>
      <c r="C1014" s="76">
        <v>43932</v>
      </c>
      <c r="D1014">
        <v>13299</v>
      </c>
      <c r="E1014">
        <v>7733</v>
      </c>
      <c r="F1014">
        <v>18864</v>
      </c>
      <c r="G1014">
        <v>10100</v>
      </c>
      <c r="H1014">
        <v>56.8</v>
      </c>
      <c r="I1014">
        <v>51.3</v>
      </c>
      <c r="J1014">
        <v>62.3</v>
      </c>
      <c r="K1014">
        <v>2561</v>
      </c>
      <c r="L1014">
        <v>1466</v>
      </c>
      <c r="M1014">
        <v>3656</v>
      </c>
      <c r="N1014">
        <v>10.9</v>
      </c>
      <c r="O1014">
        <v>8.6999999999999993</v>
      </c>
      <c r="P1014">
        <v>13.2</v>
      </c>
      <c r="Q1014">
        <f t="shared" si="30"/>
        <v>10830007</v>
      </c>
      <c r="R1014">
        <f t="shared" si="29"/>
        <v>23.647260800477785</v>
      </c>
      <c r="U1014">
        <v>2550</v>
      </c>
      <c r="V1014">
        <v>1165</v>
      </c>
      <c r="W1014">
        <v>3935</v>
      </c>
      <c r="X1014">
        <v>1205</v>
      </c>
      <c r="Y1014">
        <v>67.900000000000006</v>
      </c>
      <c r="Z1014">
        <v>58.8</v>
      </c>
      <c r="AA1014">
        <v>77</v>
      </c>
    </row>
    <row r="1015" spans="1:27" x14ac:dyDescent="0.25">
      <c r="A1015" t="s">
        <v>234</v>
      </c>
      <c r="B1015" t="s">
        <v>178</v>
      </c>
      <c r="C1015" s="76">
        <v>43933</v>
      </c>
      <c r="D1015">
        <v>12580</v>
      </c>
      <c r="E1015">
        <v>7276</v>
      </c>
      <c r="F1015">
        <v>17885</v>
      </c>
      <c r="G1015">
        <v>10891</v>
      </c>
      <c r="H1015">
        <v>53.6</v>
      </c>
      <c r="I1015">
        <v>47.4</v>
      </c>
      <c r="J1015">
        <v>59.8</v>
      </c>
      <c r="K1015">
        <v>2413</v>
      </c>
      <c r="L1015">
        <v>1361</v>
      </c>
      <c r="M1015">
        <v>3465</v>
      </c>
      <c r="N1015">
        <v>10.3</v>
      </c>
      <c r="O1015">
        <v>8</v>
      </c>
      <c r="P1015">
        <v>12.5</v>
      </c>
      <c r="Q1015">
        <f t="shared" si="30"/>
        <v>10830007</v>
      </c>
      <c r="R1015">
        <f t="shared" si="29"/>
        <v>22.280687353203003</v>
      </c>
      <c r="U1015">
        <v>2351</v>
      </c>
      <c r="V1015">
        <v>1047</v>
      </c>
      <c r="W1015">
        <v>3655</v>
      </c>
      <c r="X1015">
        <v>1424</v>
      </c>
      <c r="Y1015">
        <v>62.3</v>
      </c>
      <c r="Z1015">
        <v>52.9</v>
      </c>
      <c r="AA1015">
        <v>71.599999999999994</v>
      </c>
    </row>
    <row r="1016" spans="1:27" x14ac:dyDescent="0.25">
      <c r="A1016" t="s">
        <v>234</v>
      </c>
      <c r="B1016" t="s">
        <v>178</v>
      </c>
      <c r="C1016" s="76">
        <v>43934</v>
      </c>
      <c r="D1016">
        <v>13069</v>
      </c>
      <c r="E1016">
        <v>7682</v>
      </c>
      <c r="F1016">
        <v>18457</v>
      </c>
      <c r="G1016">
        <v>10542</v>
      </c>
      <c r="H1016">
        <v>55.4</v>
      </c>
      <c r="I1016">
        <v>50.7</v>
      </c>
      <c r="J1016">
        <v>60</v>
      </c>
      <c r="K1016">
        <v>2526</v>
      </c>
      <c r="L1016">
        <v>1384</v>
      </c>
      <c r="M1016">
        <v>3668</v>
      </c>
      <c r="N1016">
        <v>10.7</v>
      </c>
      <c r="O1016">
        <v>8.6</v>
      </c>
      <c r="P1016">
        <v>12.8</v>
      </c>
      <c r="Q1016">
        <f t="shared" si="30"/>
        <v>10830007</v>
      </c>
      <c r="R1016">
        <f t="shared" si="29"/>
        <v>23.324084647406046</v>
      </c>
      <c r="U1016">
        <v>2445</v>
      </c>
      <c r="V1016">
        <v>1055</v>
      </c>
      <c r="W1016">
        <v>3835</v>
      </c>
      <c r="X1016">
        <v>1373</v>
      </c>
      <c r="Y1016">
        <v>64</v>
      </c>
      <c r="Z1016">
        <v>52.9</v>
      </c>
      <c r="AA1016">
        <v>75.2</v>
      </c>
    </row>
    <row r="1017" spans="1:27" x14ac:dyDescent="0.25">
      <c r="A1017" t="s">
        <v>234</v>
      </c>
      <c r="B1017" t="s">
        <v>178</v>
      </c>
      <c r="C1017" s="76">
        <v>43935</v>
      </c>
      <c r="D1017">
        <v>12951</v>
      </c>
      <c r="E1017">
        <v>8554</v>
      </c>
      <c r="F1017">
        <v>17349</v>
      </c>
      <c r="G1017">
        <v>9691</v>
      </c>
      <c r="H1017">
        <v>57.2</v>
      </c>
      <c r="I1017">
        <v>53.1</v>
      </c>
      <c r="J1017">
        <v>61.3</v>
      </c>
      <c r="K1017">
        <v>2420</v>
      </c>
      <c r="L1017">
        <v>1530</v>
      </c>
      <c r="M1017">
        <v>3309</v>
      </c>
      <c r="N1017">
        <v>10.7</v>
      </c>
      <c r="O1017">
        <v>8.8000000000000007</v>
      </c>
      <c r="P1017">
        <v>12.6</v>
      </c>
      <c r="Q1017">
        <f t="shared" si="30"/>
        <v>10830007</v>
      </c>
      <c r="R1017">
        <f t="shared" si="29"/>
        <v>22.345322583817353</v>
      </c>
      <c r="U1017">
        <v>2237</v>
      </c>
      <c r="V1017">
        <v>1288</v>
      </c>
      <c r="W1017">
        <v>3187</v>
      </c>
      <c r="X1017">
        <v>1069</v>
      </c>
      <c r="Y1017">
        <v>67.7</v>
      </c>
      <c r="Z1017">
        <v>59.6</v>
      </c>
      <c r="AA1017">
        <v>75.7</v>
      </c>
    </row>
    <row r="1018" spans="1:27" x14ac:dyDescent="0.25">
      <c r="A1018" t="s">
        <v>234</v>
      </c>
      <c r="B1018" t="s">
        <v>178</v>
      </c>
      <c r="C1018" s="76">
        <v>43936</v>
      </c>
      <c r="D1018">
        <v>13349</v>
      </c>
      <c r="E1018">
        <v>8672</v>
      </c>
      <c r="F1018">
        <v>18026</v>
      </c>
      <c r="G1018">
        <v>8975</v>
      </c>
      <c r="H1018">
        <v>59.8</v>
      </c>
      <c r="I1018">
        <v>55.7</v>
      </c>
      <c r="J1018">
        <v>63.9</v>
      </c>
      <c r="K1018">
        <v>2450</v>
      </c>
      <c r="L1018">
        <v>1511</v>
      </c>
      <c r="M1018">
        <v>3388</v>
      </c>
      <c r="N1018">
        <v>11</v>
      </c>
      <c r="O1018">
        <v>8.9</v>
      </c>
      <c r="P1018">
        <v>13.1</v>
      </c>
      <c r="Q1018">
        <f t="shared" si="30"/>
        <v>10830007</v>
      </c>
      <c r="R1018">
        <f t="shared" si="29"/>
        <v>22.6223307150217</v>
      </c>
      <c r="U1018">
        <v>2314</v>
      </c>
      <c r="V1018">
        <v>1300</v>
      </c>
      <c r="W1018">
        <v>3329</v>
      </c>
      <c r="X1018">
        <v>1038</v>
      </c>
      <c r="Y1018">
        <v>69</v>
      </c>
      <c r="Z1018">
        <v>60.6</v>
      </c>
      <c r="AA1018">
        <v>77.5</v>
      </c>
    </row>
    <row r="1019" spans="1:27" x14ac:dyDescent="0.25">
      <c r="A1019" t="s">
        <v>234</v>
      </c>
      <c r="B1019" t="s">
        <v>178</v>
      </c>
      <c r="C1019" s="76">
        <v>43937</v>
      </c>
      <c r="D1019">
        <v>13280</v>
      </c>
      <c r="E1019">
        <v>8951</v>
      </c>
      <c r="F1019">
        <v>17609</v>
      </c>
      <c r="G1019">
        <v>9008</v>
      </c>
      <c r="H1019">
        <v>59.6</v>
      </c>
      <c r="I1019">
        <v>54.9</v>
      </c>
      <c r="J1019">
        <v>64.3</v>
      </c>
      <c r="K1019">
        <v>2330</v>
      </c>
      <c r="L1019">
        <v>1456</v>
      </c>
      <c r="M1019">
        <v>3204</v>
      </c>
      <c r="N1019">
        <v>10.5</v>
      </c>
      <c r="O1019">
        <v>8.5</v>
      </c>
      <c r="P1019">
        <v>12.4</v>
      </c>
      <c r="Q1019">
        <f t="shared" si="30"/>
        <v>10830007</v>
      </c>
      <c r="R1019">
        <f t="shared" si="29"/>
        <v>21.514298190204308</v>
      </c>
      <c r="U1019">
        <v>2244</v>
      </c>
      <c r="V1019">
        <v>1373</v>
      </c>
      <c r="W1019">
        <v>3116</v>
      </c>
      <c r="X1019">
        <v>1070</v>
      </c>
      <c r="Y1019">
        <v>67.7</v>
      </c>
      <c r="Z1019">
        <v>61.4</v>
      </c>
      <c r="AA1019">
        <v>74</v>
      </c>
    </row>
    <row r="1020" spans="1:27" x14ac:dyDescent="0.25">
      <c r="A1020" t="s">
        <v>234</v>
      </c>
      <c r="B1020" t="s">
        <v>178</v>
      </c>
      <c r="C1020" s="76">
        <v>43938</v>
      </c>
      <c r="D1020">
        <v>12882</v>
      </c>
      <c r="E1020">
        <v>8716</v>
      </c>
      <c r="F1020">
        <v>17048</v>
      </c>
      <c r="G1020">
        <v>9430</v>
      </c>
      <c r="H1020">
        <v>57.7</v>
      </c>
      <c r="I1020">
        <v>53.5</v>
      </c>
      <c r="J1020">
        <v>61.9</v>
      </c>
      <c r="K1020">
        <v>2264</v>
      </c>
      <c r="L1020">
        <v>1398</v>
      </c>
      <c r="M1020">
        <v>3130</v>
      </c>
      <c r="N1020">
        <v>10.1</v>
      </c>
      <c r="O1020">
        <v>8.1</v>
      </c>
      <c r="P1020">
        <v>12.2</v>
      </c>
      <c r="Q1020">
        <f t="shared" si="30"/>
        <v>10830007</v>
      </c>
      <c r="R1020">
        <f t="shared" si="29"/>
        <v>20.904880301554744</v>
      </c>
      <c r="U1020">
        <v>2171</v>
      </c>
      <c r="V1020">
        <v>1319</v>
      </c>
      <c r="W1020">
        <v>3024</v>
      </c>
      <c r="X1020">
        <v>1117</v>
      </c>
      <c r="Y1020">
        <v>66</v>
      </c>
      <c r="Z1020">
        <v>59.4</v>
      </c>
      <c r="AA1020">
        <v>72.7</v>
      </c>
    </row>
    <row r="1021" spans="1:27" x14ac:dyDescent="0.25">
      <c r="A1021" t="s">
        <v>234</v>
      </c>
      <c r="B1021" t="s">
        <v>178</v>
      </c>
      <c r="C1021" s="76">
        <v>43939</v>
      </c>
      <c r="D1021">
        <v>12430</v>
      </c>
      <c r="E1021">
        <v>8401</v>
      </c>
      <c r="F1021">
        <v>16459</v>
      </c>
      <c r="G1021">
        <v>10036</v>
      </c>
      <c r="H1021">
        <v>55.3</v>
      </c>
      <c r="I1021">
        <v>50.1</v>
      </c>
      <c r="J1021">
        <v>60.6</v>
      </c>
      <c r="K1021">
        <v>2085</v>
      </c>
      <c r="L1021">
        <v>1288</v>
      </c>
      <c r="M1021">
        <v>2882</v>
      </c>
      <c r="N1021">
        <v>9.3000000000000007</v>
      </c>
      <c r="O1021">
        <v>7.4</v>
      </c>
      <c r="P1021">
        <v>11.2</v>
      </c>
      <c r="Q1021">
        <f t="shared" si="30"/>
        <v>10830007</v>
      </c>
      <c r="R1021">
        <f t="shared" si="29"/>
        <v>19.252065118702138</v>
      </c>
      <c r="U1021">
        <v>2087</v>
      </c>
      <c r="V1021">
        <v>1280</v>
      </c>
      <c r="W1021">
        <v>2894</v>
      </c>
      <c r="X1021">
        <v>1209</v>
      </c>
      <c r="Y1021">
        <v>63.3</v>
      </c>
      <c r="Z1021">
        <v>56.8</v>
      </c>
      <c r="AA1021">
        <v>69.900000000000006</v>
      </c>
    </row>
    <row r="1022" spans="1:27" x14ac:dyDescent="0.25">
      <c r="A1022" t="s">
        <v>234</v>
      </c>
      <c r="B1022" t="s">
        <v>178</v>
      </c>
      <c r="C1022" s="76">
        <v>43940</v>
      </c>
      <c r="D1022">
        <v>12485</v>
      </c>
      <c r="E1022">
        <v>8336</v>
      </c>
      <c r="F1022">
        <v>16634</v>
      </c>
      <c r="G1022">
        <v>10003</v>
      </c>
      <c r="H1022">
        <v>55.5</v>
      </c>
      <c r="I1022">
        <v>50.4</v>
      </c>
      <c r="J1022">
        <v>60.7</v>
      </c>
      <c r="K1022">
        <v>2142</v>
      </c>
      <c r="L1022">
        <v>1301</v>
      </c>
      <c r="M1022">
        <v>2983</v>
      </c>
      <c r="N1022">
        <v>9.5</v>
      </c>
      <c r="O1022">
        <v>7.4</v>
      </c>
      <c r="P1022">
        <v>11.6</v>
      </c>
      <c r="Q1022">
        <f t="shared" si="30"/>
        <v>10830007</v>
      </c>
      <c r="R1022">
        <f t="shared" si="29"/>
        <v>19.7783805679904</v>
      </c>
      <c r="U1022">
        <v>2183</v>
      </c>
      <c r="V1022">
        <v>1291</v>
      </c>
      <c r="W1022">
        <v>3075</v>
      </c>
      <c r="X1022">
        <v>1202</v>
      </c>
      <c r="Y1022">
        <v>64.5</v>
      </c>
      <c r="Z1022">
        <v>57.9</v>
      </c>
      <c r="AA1022">
        <v>71.099999999999994</v>
      </c>
    </row>
    <row r="1023" spans="1:27" x14ac:dyDescent="0.25">
      <c r="A1023" t="s">
        <v>234</v>
      </c>
      <c r="B1023" t="s">
        <v>178</v>
      </c>
      <c r="C1023" s="76">
        <v>43941</v>
      </c>
      <c r="D1023">
        <v>13399</v>
      </c>
      <c r="E1023">
        <v>9408</v>
      </c>
      <c r="F1023">
        <v>17389</v>
      </c>
      <c r="G1023">
        <v>9199</v>
      </c>
      <c r="H1023">
        <v>59.3</v>
      </c>
      <c r="I1023">
        <v>54.5</v>
      </c>
      <c r="J1023">
        <v>64</v>
      </c>
      <c r="K1023">
        <v>2886</v>
      </c>
      <c r="L1023">
        <v>1766</v>
      </c>
      <c r="M1023">
        <v>4006</v>
      </c>
      <c r="N1023">
        <v>12.8</v>
      </c>
      <c r="O1023">
        <v>9.4</v>
      </c>
      <c r="P1023">
        <v>16.100000000000001</v>
      </c>
      <c r="Q1023">
        <f t="shared" si="30"/>
        <v>10830007</v>
      </c>
      <c r="R1023">
        <f t="shared" si="29"/>
        <v>26.64818222185821</v>
      </c>
      <c r="U1023">
        <v>2295</v>
      </c>
      <c r="V1023">
        <v>1471</v>
      </c>
      <c r="W1023">
        <v>3119</v>
      </c>
      <c r="X1023">
        <v>1138</v>
      </c>
      <c r="Y1023">
        <v>66.900000000000006</v>
      </c>
      <c r="Z1023">
        <v>60.6</v>
      </c>
      <c r="AA1023">
        <v>73.099999999999994</v>
      </c>
    </row>
    <row r="1024" spans="1:27" x14ac:dyDescent="0.25">
      <c r="A1024" t="s">
        <v>234</v>
      </c>
      <c r="B1024" t="s">
        <v>178</v>
      </c>
      <c r="C1024" s="76">
        <v>43942</v>
      </c>
      <c r="D1024">
        <v>13874</v>
      </c>
      <c r="E1024">
        <v>9635</v>
      </c>
      <c r="F1024">
        <v>18112</v>
      </c>
      <c r="G1024">
        <v>9006</v>
      </c>
      <c r="H1024">
        <v>60.6</v>
      </c>
      <c r="I1024">
        <v>54.7</v>
      </c>
      <c r="J1024">
        <v>66.599999999999994</v>
      </c>
      <c r="K1024">
        <v>3004</v>
      </c>
      <c r="L1024">
        <v>1876</v>
      </c>
      <c r="M1024">
        <v>4131</v>
      </c>
      <c r="N1024">
        <v>13.1</v>
      </c>
      <c r="O1024">
        <v>9.9</v>
      </c>
      <c r="P1024">
        <v>16.399999999999999</v>
      </c>
      <c r="Q1024">
        <f t="shared" si="30"/>
        <v>10830007</v>
      </c>
      <c r="R1024">
        <f t="shared" si="29"/>
        <v>27.737747537928648</v>
      </c>
      <c r="U1024">
        <v>2384</v>
      </c>
      <c r="V1024">
        <v>1543</v>
      </c>
      <c r="W1024">
        <v>3226</v>
      </c>
      <c r="X1024">
        <v>1061</v>
      </c>
      <c r="Y1024">
        <v>69.2</v>
      </c>
      <c r="Z1024">
        <v>63.2</v>
      </c>
      <c r="AA1024">
        <v>75.2</v>
      </c>
    </row>
    <row r="1025" spans="1:27" x14ac:dyDescent="0.25">
      <c r="A1025" t="s">
        <v>234</v>
      </c>
      <c r="B1025" t="s">
        <v>178</v>
      </c>
      <c r="C1025" s="76">
        <v>43943</v>
      </c>
      <c r="D1025">
        <v>13847</v>
      </c>
      <c r="E1025">
        <v>9689</v>
      </c>
      <c r="F1025">
        <v>18006</v>
      </c>
      <c r="G1025">
        <v>8656</v>
      </c>
      <c r="H1025">
        <v>61.5</v>
      </c>
      <c r="I1025">
        <v>57</v>
      </c>
      <c r="J1025">
        <v>66.099999999999994</v>
      </c>
      <c r="K1025">
        <v>2921</v>
      </c>
      <c r="L1025">
        <v>1792</v>
      </c>
      <c r="M1025">
        <v>4050</v>
      </c>
      <c r="N1025">
        <v>13</v>
      </c>
      <c r="O1025">
        <v>9.6999999999999993</v>
      </c>
      <c r="P1025">
        <v>16.3</v>
      </c>
      <c r="Q1025">
        <f t="shared" si="30"/>
        <v>10830007</v>
      </c>
      <c r="R1025">
        <f t="shared" si="29"/>
        <v>26.971358374929952</v>
      </c>
      <c r="U1025">
        <v>2387</v>
      </c>
      <c r="V1025">
        <v>1521</v>
      </c>
      <c r="W1025">
        <v>3253</v>
      </c>
      <c r="X1025">
        <v>973</v>
      </c>
      <c r="Y1025">
        <v>71</v>
      </c>
      <c r="Z1025">
        <v>65.400000000000006</v>
      </c>
      <c r="AA1025">
        <v>76.7</v>
      </c>
    </row>
    <row r="1026" spans="1:27" x14ac:dyDescent="0.25">
      <c r="A1026" t="s">
        <v>234</v>
      </c>
      <c r="B1026" t="s">
        <v>178</v>
      </c>
      <c r="C1026" s="76">
        <v>43944</v>
      </c>
      <c r="D1026">
        <v>13752</v>
      </c>
      <c r="E1026">
        <v>9645</v>
      </c>
      <c r="F1026">
        <v>17859</v>
      </c>
      <c r="G1026">
        <v>9061</v>
      </c>
      <c r="H1026">
        <v>60.3</v>
      </c>
      <c r="I1026">
        <v>56</v>
      </c>
      <c r="J1026">
        <v>64.599999999999994</v>
      </c>
      <c r="K1026">
        <v>2981</v>
      </c>
      <c r="L1026">
        <v>1825</v>
      </c>
      <c r="M1026">
        <v>4137</v>
      </c>
      <c r="N1026">
        <v>13.1</v>
      </c>
      <c r="O1026">
        <v>9.6999999999999993</v>
      </c>
      <c r="P1026">
        <v>16.399999999999999</v>
      </c>
      <c r="Q1026">
        <f t="shared" si="30"/>
        <v>10830007</v>
      </c>
      <c r="R1026">
        <f t="shared" si="29"/>
        <v>27.525374637338647</v>
      </c>
      <c r="U1026">
        <v>2292</v>
      </c>
      <c r="V1026">
        <v>1461</v>
      </c>
      <c r="W1026">
        <v>3123</v>
      </c>
      <c r="X1026">
        <v>1038</v>
      </c>
      <c r="Y1026">
        <v>68.8</v>
      </c>
      <c r="Z1026">
        <v>62.8</v>
      </c>
      <c r="AA1026">
        <v>74.900000000000006</v>
      </c>
    </row>
    <row r="1027" spans="1:27" x14ac:dyDescent="0.25">
      <c r="A1027" t="s">
        <v>234</v>
      </c>
      <c r="B1027" t="s">
        <v>178</v>
      </c>
      <c r="C1027" s="76">
        <v>43945</v>
      </c>
      <c r="D1027">
        <v>13924</v>
      </c>
      <c r="E1027">
        <v>9751</v>
      </c>
      <c r="F1027">
        <v>18097</v>
      </c>
      <c r="G1027">
        <v>8874</v>
      </c>
      <c r="H1027">
        <v>61.1</v>
      </c>
      <c r="I1027">
        <v>56.6</v>
      </c>
      <c r="J1027">
        <v>65.599999999999994</v>
      </c>
      <c r="K1027">
        <v>2865</v>
      </c>
      <c r="L1027">
        <v>1710</v>
      </c>
      <c r="M1027">
        <v>4020</v>
      </c>
      <c r="N1027">
        <v>12.6</v>
      </c>
      <c r="O1027">
        <v>9.1</v>
      </c>
      <c r="P1027">
        <v>16</v>
      </c>
      <c r="Q1027">
        <f t="shared" si="30"/>
        <v>10830007</v>
      </c>
      <c r="R1027">
        <f t="shared" si="29"/>
        <v>26.454276530015168</v>
      </c>
      <c r="U1027">
        <v>2257</v>
      </c>
      <c r="V1027">
        <v>1436</v>
      </c>
      <c r="W1027">
        <v>3079</v>
      </c>
      <c r="X1027">
        <v>1244</v>
      </c>
      <c r="Y1027">
        <v>64.5</v>
      </c>
      <c r="Z1027">
        <v>57.5</v>
      </c>
      <c r="AA1027">
        <v>71.400000000000006</v>
      </c>
    </row>
    <row r="1028" spans="1:27" x14ac:dyDescent="0.25">
      <c r="A1028" t="s">
        <v>234</v>
      </c>
      <c r="B1028" t="s">
        <v>178</v>
      </c>
      <c r="C1028" s="76">
        <v>43946</v>
      </c>
      <c r="D1028">
        <v>13650</v>
      </c>
      <c r="E1028">
        <v>9378</v>
      </c>
      <c r="F1028">
        <v>17922</v>
      </c>
      <c r="G1028">
        <v>8850</v>
      </c>
      <c r="H1028">
        <v>60.7</v>
      </c>
      <c r="I1028">
        <v>56.3</v>
      </c>
      <c r="J1028">
        <v>65</v>
      </c>
      <c r="K1028">
        <v>2853</v>
      </c>
      <c r="L1028">
        <v>1639</v>
      </c>
      <c r="M1028">
        <v>4068</v>
      </c>
      <c r="N1028">
        <v>12.7</v>
      </c>
      <c r="O1028">
        <v>9</v>
      </c>
      <c r="P1028">
        <v>16.3</v>
      </c>
      <c r="Q1028">
        <f t="shared" si="30"/>
        <v>10830007</v>
      </c>
      <c r="R1028">
        <f t="shared" si="29"/>
        <v>26.343473277533434</v>
      </c>
      <c r="U1028">
        <v>2288</v>
      </c>
      <c r="V1028">
        <v>1422</v>
      </c>
      <c r="W1028">
        <v>3155</v>
      </c>
      <c r="X1028">
        <v>1011</v>
      </c>
      <c r="Y1028">
        <v>69.400000000000006</v>
      </c>
      <c r="Z1028">
        <v>63.9</v>
      </c>
      <c r="AA1028">
        <v>74.8</v>
      </c>
    </row>
    <row r="1029" spans="1:27" x14ac:dyDescent="0.25">
      <c r="A1029" t="s">
        <v>234</v>
      </c>
      <c r="B1029" t="s">
        <v>178</v>
      </c>
      <c r="C1029" s="76">
        <v>43947</v>
      </c>
      <c r="D1029">
        <v>13676</v>
      </c>
      <c r="E1029">
        <v>9333</v>
      </c>
      <c r="F1029">
        <v>18020</v>
      </c>
      <c r="G1029">
        <v>8976</v>
      </c>
      <c r="H1029">
        <v>60.4</v>
      </c>
      <c r="I1029">
        <v>56.2</v>
      </c>
      <c r="J1029">
        <v>64.5</v>
      </c>
      <c r="K1029">
        <v>2990</v>
      </c>
      <c r="L1029">
        <v>1693</v>
      </c>
      <c r="M1029">
        <v>4288</v>
      </c>
      <c r="N1029">
        <v>13.2</v>
      </c>
      <c r="O1029">
        <v>9.4</v>
      </c>
      <c r="P1029">
        <v>17</v>
      </c>
      <c r="Q1029">
        <f t="shared" si="30"/>
        <v>10830007</v>
      </c>
      <c r="R1029">
        <f t="shared" ref="R1029:R1092" si="31">K1029/(Q1029)*100000</f>
        <v>27.608477076699948</v>
      </c>
      <c r="U1029">
        <v>2257</v>
      </c>
      <c r="V1029">
        <v>1390</v>
      </c>
      <c r="W1029">
        <v>3123</v>
      </c>
      <c r="X1029">
        <v>1042</v>
      </c>
      <c r="Y1029">
        <v>68.400000000000006</v>
      </c>
      <c r="Z1029">
        <v>62.6</v>
      </c>
      <c r="AA1029">
        <v>74.2</v>
      </c>
    </row>
    <row r="1030" spans="1:27" x14ac:dyDescent="0.25">
      <c r="A1030" t="s">
        <v>234</v>
      </c>
      <c r="B1030" t="s">
        <v>178</v>
      </c>
      <c r="C1030" s="76">
        <v>43948</v>
      </c>
      <c r="D1030">
        <v>13830</v>
      </c>
      <c r="E1030">
        <v>9546</v>
      </c>
      <c r="F1030">
        <v>18115</v>
      </c>
      <c r="G1030">
        <v>8682</v>
      </c>
      <c r="H1030">
        <v>61.4</v>
      </c>
      <c r="I1030">
        <v>57.4</v>
      </c>
      <c r="J1030">
        <v>65.400000000000006</v>
      </c>
      <c r="K1030">
        <v>3044</v>
      </c>
      <c r="L1030">
        <v>1742</v>
      </c>
      <c r="M1030">
        <v>4347</v>
      </c>
      <c r="N1030">
        <v>13.5</v>
      </c>
      <c r="O1030">
        <v>9.6999999999999993</v>
      </c>
      <c r="P1030">
        <v>17.399999999999999</v>
      </c>
      <c r="Q1030">
        <f t="shared" si="30"/>
        <v>10830007</v>
      </c>
      <c r="R1030">
        <f t="shared" si="31"/>
        <v>28.107091712867778</v>
      </c>
      <c r="U1030">
        <v>2261</v>
      </c>
      <c r="V1030">
        <v>1411</v>
      </c>
      <c r="W1030">
        <v>3110</v>
      </c>
      <c r="X1030">
        <v>1007</v>
      </c>
      <c r="Y1030">
        <v>69.2</v>
      </c>
      <c r="Z1030">
        <v>63.5</v>
      </c>
      <c r="AA1030">
        <v>74.900000000000006</v>
      </c>
    </row>
    <row r="1031" spans="1:27" x14ac:dyDescent="0.25">
      <c r="A1031" t="s">
        <v>234</v>
      </c>
      <c r="B1031" t="s">
        <v>178</v>
      </c>
      <c r="C1031" s="76">
        <v>43949</v>
      </c>
      <c r="D1031">
        <v>14252</v>
      </c>
      <c r="E1031">
        <v>9848</v>
      </c>
      <c r="F1031">
        <v>18655</v>
      </c>
      <c r="G1031">
        <v>8663</v>
      </c>
      <c r="H1031">
        <v>62.2</v>
      </c>
      <c r="I1031">
        <v>57.9</v>
      </c>
      <c r="J1031">
        <v>66.400000000000006</v>
      </c>
      <c r="K1031">
        <v>3241</v>
      </c>
      <c r="L1031">
        <v>1892</v>
      </c>
      <c r="M1031">
        <v>4590</v>
      </c>
      <c r="N1031">
        <v>14.1</v>
      </c>
      <c r="O1031">
        <v>10.3</v>
      </c>
      <c r="P1031">
        <v>17.899999999999999</v>
      </c>
      <c r="Q1031">
        <f t="shared" si="30"/>
        <v>10830007</v>
      </c>
      <c r="R1031">
        <f t="shared" si="31"/>
        <v>29.926111774442994</v>
      </c>
      <c r="U1031">
        <v>2362</v>
      </c>
      <c r="V1031">
        <v>1480</v>
      </c>
      <c r="W1031">
        <v>3244</v>
      </c>
      <c r="X1031">
        <v>995</v>
      </c>
      <c r="Y1031">
        <v>70.400000000000006</v>
      </c>
      <c r="Z1031">
        <v>64.5</v>
      </c>
      <c r="AA1031">
        <v>76.2</v>
      </c>
    </row>
    <row r="1032" spans="1:27" x14ac:dyDescent="0.25">
      <c r="A1032" t="s">
        <v>234</v>
      </c>
      <c r="B1032" t="s">
        <v>178</v>
      </c>
      <c r="C1032" s="76">
        <v>43950</v>
      </c>
      <c r="D1032">
        <v>14580</v>
      </c>
      <c r="E1032">
        <v>10202</v>
      </c>
      <c r="F1032">
        <v>18958</v>
      </c>
      <c r="G1032">
        <v>8576</v>
      </c>
      <c r="H1032">
        <v>63</v>
      </c>
      <c r="I1032">
        <v>58.1</v>
      </c>
      <c r="J1032">
        <v>67.8</v>
      </c>
      <c r="K1032">
        <v>3165</v>
      </c>
      <c r="L1032">
        <v>1846</v>
      </c>
      <c r="M1032">
        <v>4484</v>
      </c>
      <c r="N1032">
        <v>13.7</v>
      </c>
      <c r="O1032">
        <v>9.8000000000000007</v>
      </c>
      <c r="P1032">
        <v>17.600000000000001</v>
      </c>
      <c r="Q1032">
        <f t="shared" si="30"/>
        <v>10830007</v>
      </c>
      <c r="R1032">
        <f t="shared" si="31"/>
        <v>29.224357842058641</v>
      </c>
      <c r="U1032">
        <v>2388</v>
      </c>
      <c r="V1032">
        <v>1545</v>
      </c>
      <c r="W1032">
        <v>3231</v>
      </c>
      <c r="X1032">
        <v>1031</v>
      </c>
      <c r="Y1032">
        <v>69.8</v>
      </c>
      <c r="Z1032">
        <v>64.900000000000006</v>
      </c>
      <c r="AA1032">
        <v>74.8</v>
      </c>
    </row>
    <row r="1033" spans="1:27" x14ac:dyDescent="0.25">
      <c r="A1033" t="s">
        <v>234</v>
      </c>
      <c r="B1033" t="s">
        <v>178</v>
      </c>
      <c r="C1033" s="76">
        <v>43951</v>
      </c>
      <c r="D1033">
        <v>14263</v>
      </c>
      <c r="E1033">
        <v>9990</v>
      </c>
      <c r="F1033">
        <v>18536</v>
      </c>
      <c r="G1033">
        <v>9348</v>
      </c>
      <c r="H1033">
        <v>60.4</v>
      </c>
      <c r="I1033">
        <v>55</v>
      </c>
      <c r="J1033">
        <v>65.8</v>
      </c>
      <c r="K1033">
        <v>3153</v>
      </c>
      <c r="L1033">
        <v>1843</v>
      </c>
      <c r="M1033">
        <v>4463</v>
      </c>
      <c r="N1033">
        <v>13.4</v>
      </c>
      <c r="O1033">
        <v>9.5</v>
      </c>
      <c r="P1033">
        <v>17.2</v>
      </c>
      <c r="Q1033">
        <f t="shared" si="30"/>
        <v>10830007</v>
      </c>
      <c r="R1033">
        <f t="shared" si="31"/>
        <v>29.113554589576907</v>
      </c>
      <c r="U1033">
        <v>2323</v>
      </c>
      <c r="V1033">
        <v>1484</v>
      </c>
      <c r="W1033">
        <v>3163</v>
      </c>
      <c r="X1033">
        <v>1058</v>
      </c>
      <c r="Y1033">
        <v>68.7</v>
      </c>
      <c r="Z1033">
        <v>62.8</v>
      </c>
      <c r="AA1033">
        <v>74.599999999999994</v>
      </c>
    </row>
    <row r="1034" spans="1:27" x14ac:dyDescent="0.25">
      <c r="A1034" t="s">
        <v>234</v>
      </c>
      <c r="B1034" t="s">
        <v>178</v>
      </c>
      <c r="C1034" s="76">
        <v>43952</v>
      </c>
      <c r="D1034">
        <v>14342</v>
      </c>
      <c r="E1034">
        <v>9881</v>
      </c>
      <c r="F1034">
        <v>18803</v>
      </c>
      <c r="G1034">
        <v>9042</v>
      </c>
      <c r="H1034">
        <v>61.3</v>
      </c>
      <c r="I1034">
        <v>56.3</v>
      </c>
      <c r="J1034">
        <v>66.3</v>
      </c>
      <c r="K1034">
        <v>3217</v>
      </c>
      <c r="L1034">
        <v>1873</v>
      </c>
      <c r="M1034">
        <v>4561</v>
      </c>
      <c r="N1034">
        <v>13.8</v>
      </c>
      <c r="O1034">
        <v>10</v>
      </c>
      <c r="P1034">
        <v>17.5</v>
      </c>
      <c r="Q1034">
        <f t="shared" si="30"/>
        <v>10830007</v>
      </c>
      <c r="R1034">
        <f t="shared" si="31"/>
        <v>29.704505269479512</v>
      </c>
      <c r="U1034">
        <v>2346</v>
      </c>
      <c r="V1034">
        <v>1462</v>
      </c>
      <c r="W1034">
        <v>3229</v>
      </c>
      <c r="X1034">
        <v>1064</v>
      </c>
      <c r="Y1034">
        <v>68.8</v>
      </c>
      <c r="Z1034">
        <v>62.8</v>
      </c>
      <c r="AA1034">
        <v>74.7</v>
      </c>
    </row>
    <row r="1035" spans="1:27" x14ac:dyDescent="0.25">
      <c r="A1035" t="s">
        <v>234</v>
      </c>
      <c r="B1035" t="s">
        <v>178</v>
      </c>
      <c r="C1035" s="76">
        <v>43953</v>
      </c>
      <c r="D1035">
        <v>13917</v>
      </c>
      <c r="E1035">
        <v>9648</v>
      </c>
      <c r="F1035">
        <v>18185</v>
      </c>
      <c r="G1035">
        <v>9754</v>
      </c>
      <c r="H1035">
        <v>58.8</v>
      </c>
      <c r="I1035">
        <v>52.9</v>
      </c>
      <c r="J1035">
        <v>64.7</v>
      </c>
      <c r="K1035">
        <v>3191</v>
      </c>
      <c r="L1035">
        <v>1901</v>
      </c>
      <c r="M1035">
        <v>4480</v>
      </c>
      <c r="N1035">
        <v>13.5</v>
      </c>
      <c r="O1035">
        <v>9.8000000000000007</v>
      </c>
      <c r="P1035">
        <v>17.2</v>
      </c>
      <c r="Q1035">
        <f t="shared" si="30"/>
        <v>10830007</v>
      </c>
      <c r="R1035">
        <f t="shared" si="31"/>
        <v>29.464431555769075</v>
      </c>
      <c r="U1035">
        <v>2374</v>
      </c>
      <c r="V1035">
        <v>1512</v>
      </c>
      <c r="W1035">
        <v>3235</v>
      </c>
      <c r="X1035">
        <v>1180</v>
      </c>
      <c r="Y1035">
        <v>66.8</v>
      </c>
      <c r="Z1035">
        <v>58.9</v>
      </c>
      <c r="AA1035">
        <v>74.7</v>
      </c>
    </row>
    <row r="1036" spans="1:27" x14ac:dyDescent="0.25">
      <c r="A1036" t="s">
        <v>234</v>
      </c>
      <c r="B1036" t="s">
        <v>178</v>
      </c>
      <c r="C1036" s="76">
        <v>43954</v>
      </c>
      <c r="D1036">
        <v>13779</v>
      </c>
      <c r="E1036">
        <v>9593</v>
      </c>
      <c r="F1036">
        <v>17965</v>
      </c>
      <c r="G1036">
        <v>9943</v>
      </c>
      <c r="H1036">
        <v>58.1</v>
      </c>
      <c r="I1036">
        <v>52.6</v>
      </c>
      <c r="J1036">
        <v>63.5</v>
      </c>
      <c r="K1036">
        <v>3137</v>
      </c>
      <c r="L1036">
        <v>1821</v>
      </c>
      <c r="M1036">
        <v>4452</v>
      </c>
      <c r="N1036">
        <v>13.2</v>
      </c>
      <c r="O1036">
        <v>9.4</v>
      </c>
      <c r="P1036">
        <v>17.100000000000001</v>
      </c>
      <c r="Q1036">
        <f t="shared" si="30"/>
        <v>10830007</v>
      </c>
      <c r="R1036">
        <f t="shared" si="31"/>
        <v>28.965816919601256</v>
      </c>
      <c r="U1036">
        <v>2315</v>
      </c>
      <c r="V1036">
        <v>1467</v>
      </c>
      <c r="W1036">
        <v>3163</v>
      </c>
      <c r="X1036">
        <v>1224</v>
      </c>
      <c r="Y1036">
        <v>65.400000000000006</v>
      </c>
      <c r="Z1036">
        <v>57.8</v>
      </c>
      <c r="AA1036">
        <v>73.099999999999994</v>
      </c>
    </row>
    <row r="1037" spans="1:27" x14ac:dyDescent="0.25">
      <c r="A1037" t="s">
        <v>234</v>
      </c>
      <c r="B1037" t="s">
        <v>178</v>
      </c>
      <c r="C1037" s="76">
        <v>43955</v>
      </c>
      <c r="D1037">
        <v>13969</v>
      </c>
      <c r="E1037">
        <v>9752</v>
      </c>
      <c r="F1037">
        <v>18186</v>
      </c>
      <c r="G1037">
        <v>9798</v>
      </c>
      <c r="H1037">
        <v>58.8</v>
      </c>
      <c r="I1037">
        <v>53.2</v>
      </c>
      <c r="J1037">
        <v>64.3</v>
      </c>
      <c r="K1037">
        <v>3382</v>
      </c>
      <c r="L1037">
        <v>1933</v>
      </c>
      <c r="M1037">
        <v>4830</v>
      </c>
      <c r="N1037">
        <v>14.2</v>
      </c>
      <c r="O1037">
        <v>9.9</v>
      </c>
      <c r="P1037">
        <v>18.600000000000001</v>
      </c>
      <c r="Q1037">
        <f t="shared" si="30"/>
        <v>10830007</v>
      </c>
      <c r="R1037">
        <f t="shared" si="31"/>
        <v>31.228049991103425</v>
      </c>
      <c r="U1037">
        <v>2289</v>
      </c>
      <c r="V1037">
        <v>1448</v>
      </c>
      <c r="W1037">
        <v>3129</v>
      </c>
      <c r="X1037">
        <v>1161</v>
      </c>
      <c r="Y1037">
        <v>66.3</v>
      </c>
      <c r="Z1037">
        <v>57.9</v>
      </c>
      <c r="AA1037">
        <v>74.8</v>
      </c>
    </row>
    <row r="1038" spans="1:27" x14ac:dyDescent="0.25">
      <c r="A1038" t="s">
        <v>234</v>
      </c>
      <c r="B1038" t="s">
        <v>178</v>
      </c>
      <c r="C1038" s="76">
        <v>43956</v>
      </c>
      <c r="D1038">
        <v>14923</v>
      </c>
      <c r="E1038">
        <v>10412</v>
      </c>
      <c r="F1038">
        <v>19434</v>
      </c>
      <c r="G1038">
        <v>8772</v>
      </c>
      <c r="H1038">
        <v>63</v>
      </c>
      <c r="I1038">
        <v>57.2</v>
      </c>
      <c r="J1038">
        <v>68.8</v>
      </c>
      <c r="K1038">
        <v>3294</v>
      </c>
      <c r="L1038">
        <v>1873</v>
      </c>
      <c r="M1038">
        <v>4715</v>
      </c>
      <c r="N1038">
        <v>13.9</v>
      </c>
      <c r="O1038">
        <v>9.6</v>
      </c>
      <c r="P1038">
        <v>18.2</v>
      </c>
      <c r="Q1038">
        <f t="shared" si="30"/>
        <v>10830007</v>
      </c>
      <c r="R1038">
        <f t="shared" si="31"/>
        <v>30.415492806237339</v>
      </c>
      <c r="U1038">
        <v>2338</v>
      </c>
      <c r="V1038">
        <v>1475</v>
      </c>
      <c r="W1038">
        <v>3201</v>
      </c>
      <c r="X1038">
        <v>1056</v>
      </c>
      <c r="Y1038">
        <v>68.900000000000006</v>
      </c>
      <c r="Z1038">
        <v>60</v>
      </c>
      <c r="AA1038">
        <v>77.7</v>
      </c>
    </row>
    <row r="1039" spans="1:27" x14ac:dyDescent="0.25">
      <c r="A1039" t="s">
        <v>234</v>
      </c>
      <c r="B1039" t="s">
        <v>178</v>
      </c>
      <c r="C1039" s="76">
        <v>43957</v>
      </c>
      <c r="D1039">
        <v>15076</v>
      </c>
      <c r="E1039">
        <v>10560</v>
      </c>
      <c r="F1039">
        <v>19591</v>
      </c>
      <c r="G1039">
        <v>8486</v>
      </c>
      <c r="H1039">
        <v>64</v>
      </c>
      <c r="I1039">
        <v>58.2</v>
      </c>
      <c r="J1039">
        <v>69.7</v>
      </c>
      <c r="K1039">
        <v>3211</v>
      </c>
      <c r="L1039">
        <v>1823</v>
      </c>
      <c r="M1039">
        <v>4599</v>
      </c>
      <c r="N1039">
        <v>13.6</v>
      </c>
      <c r="O1039">
        <v>9.4</v>
      </c>
      <c r="P1039">
        <v>17.899999999999999</v>
      </c>
      <c r="Q1039">
        <f t="shared" si="30"/>
        <v>10830007</v>
      </c>
      <c r="R1039">
        <f t="shared" si="31"/>
        <v>29.649103643238643</v>
      </c>
      <c r="U1039">
        <v>2371</v>
      </c>
      <c r="V1039">
        <v>1486</v>
      </c>
      <c r="W1039">
        <v>3255</v>
      </c>
      <c r="X1039">
        <v>1033</v>
      </c>
      <c r="Y1039">
        <v>69.7</v>
      </c>
      <c r="Z1039">
        <v>60.9</v>
      </c>
      <c r="AA1039">
        <v>78.5</v>
      </c>
    </row>
    <row r="1040" spans="1:27" x14ac:dyDescent="0.25">
      <c r="A1040" t="s">
        <v>234</v>
      </c>
      <c r="B1040" t="s">
        <v>178</v>
      </c>
      <c r="C1040" s="76">
        <v>43958</v>
      </c>
      <c r="D1040">
        <v>15229</v>
      </c>
      <c r="E1040">
        <v>10665</v>
      </c>
      <c r="F1040">
        <v>19794</v>
      </c>
      <c r="G1040">
        <v>8533</v>
      </c>
      <c r="H1040">
        <v>64.099999999999994</v>
      </c>
      <c r="I1040">
        <v>58.4</v>
      </c>
      <c r="J1040">
        <v>69.8</v>
      </c>
      <c r="K1040">
        <v>3118</v>
      </c>
      <c r="L1040">
        <v>1625</v>
      </c>
      <c r="M1040">
        <v>4612</v>
      </c>
      <c r="N1040">
        <v>13.1</v>
      </c>
      <c r="O1040">
        <v>8.3000000000000007</v>
      </c>
      <c r="P1040">
        <v>18</v>
      </c>
      <c r="Q1040">
        <f t="shared" si="30"/>
        <v>10830007</v>
      </c>
      <c r="R1040">
        <f t="shared" si="31"/>
        <v>28.790378436505165</v>
      </c>
      <c r="U1040">
        <v>2350</v>
      </c>
      <c r="V1040">
        <v>1467</v>
      </c>
      <c r="W1040">
        <v>3233</v>
      </c>
      <c r="X1040">
        <v>925</v>
      </c>
      <c r="Y1040">
        <v>71.8</v>
      </c>
      <c r="Z1040">
        <v>65.099999999999994</v>
      </c>
      <c r="AA1040">
        <v>78.400000000000006</v>
      </c>
    </row>
    <row r="1041" spans="1:27" x14ac:dyDescent="0.25">
      <c r="A1041" t="s">
        <v>234</v>
      </c>
      <c r="B1041" t="s">
        <v>178</v>
      </c>
      <c r="C1041" s="76">
        <v>43959</v>
      </c>
      <c r="D1041">
        <v>14918</v>
      </c>
      <c r="E1041">
        <v>10464</v>
      </c>
      <c r="F1041">
        <v>19371</v>
      </c>
      <c r="G1041">
        <v>8835</v>
      </c>
      <c r="H1041">
        <v>62.8</v>
      </c>
      <c r="I1041">
        <v>56.8</v>
      </c>
      <c r="J1041">
        <v>68.900000000000006</v>
      </c>
      <c r="K1041">
        <v>2522</v>
      </c>
      <c r="L1041">
        <v>1418</v>
      </c>
      <c r="M1041">
        <v>3626</v>
      </c>
      <c r="N1041">
        <v>10.6</v>
      </c>
      <c r="O1041">
        <v>7.3</v>
      </c>
      <c r="P1041">
        <v>13.9</v>
      </c>
      <c r="Q1041">
        <f t="shared" si="30"/>
        <v>10830007</v>
      </c>
      <c r="R1041">
        <f t="shared" si="31"/>
        <v>23.287150229912132</v>
      </c>
      <c r="U1041">
        <v>2287</v>
      </c>
      <c r="V1041">
        <v>1429</v>
      </c>
      <c r="W1041">
        <v>3146</v>
      </c>
      <c r="X1041">
        <v>1006</v>
      </c>
      <c r="Y1041">
        <v>69.5</v>
      </c>
      <c r="Z1041">
        <v>63.4</v>
      </c>
      <c r="AA1041">
        <v>75.5</v>
      </c>
    </row>
    <row r="1042" spans="1:27" x14ac:dyDescent="0.25">
      <c r="A1042" t="s">
        <v>234</v>
      </c>
      <c r="B1042" t="s">
        <v>178</v>
      </c>
      <c r="C1042" s="76">
        <v>43960</v>
      </c>
      <c r="D1042">
        <v>14511</v>
      </c>
      <c r="E1042">
        <v>10123</v>
      </c>
      <c r="F1042">
        <v>18899</v>
      </c>
      <c r="G1042">
        <v>9500</v>
      </c>
      <c r="H1042">
        <v>60.4</v>
      </c>
      <c r="I1042">
        <v>54.8</v>
      </c>
      <c r="J1042">
        <v>66.099999999999994</v>
      </c>
      <c r="K1042">
        <v>2077</v>
      </c>
      <c r="L1042">
        <v>1337</v>
      </c>
      <c r="M1042">
        <v>2817</v>
      </c>
      <c r="N1042">
        <v>8.6999999999999993</v>
      </c>
      <c r="O1042">
        <v>6.8</v>
      </c>
      <c r="P1042">
        <v>10.5</v>
      </c>
      <c r="Q1042">
        <f t="shared" si="30"/>
        <v>10830007</v>
      </c>
      <c r="R1042">
        <f t="shared" si="31"/>
        <v>19.178196283714314</v>
      </c>
      <c r="U1042">
        <v>2275</v>
      </c>
      <c r="V1042">
        <v>1418</v>
      </c>
      <c r="W1042">
        <v>3131</v>
      </c>
      <c r="X1042">
        <v>992</v>
      </c>
      <c r="Y1042">
        <v>69.599999999999994</v>
      </c>
      <c r="Z1042">
        <v>63.3</v>
      </c>
      <c r="AA1042">
        <v>76</v>
      </c>
    </row>
    <row r="1043" spans="1:27" x14ac:dyDescent="0.25">
      <c r="A1043" t="s">
        <v>234</v>
      </c>
      <c r="B1043" t="s">
        <v>178</v>
      </c>
      <c r="C1043" s="76">
        <v>43961</v>
      </c>
      <c r="D1043">
        <v>13809</v>
      </c>
      <c r="E1043">
        <v>9631</v>
      </c>
      <c r="F1043">
        <v>17988</v>
      </c>
      <c r="G1043">
        <v>10136</v>
      </c>
      <c r="H1043">
        <v>57.7</v>
      </c>
      <c r="I1043">
        <v>52.2</v>
      </c>
      <c r="J1043">
        <v>63.1</v>
      </c>
      <c r="K1043">
        <v>2127</v>
      </c>
      <c r="L1043">
        <v>1315</v>
      </c>
      <c r="M1043">
        <v>2939</v>
      </c>
      <c r="N1043">
        <v>8.9</v>
      </c>
      <c r="O1043">
        <v>6.7</v>
      </c>
      <c r="P1043">
        <v>11.1</v>
      </c>
      <c r="Q1043">
        <f t="shared" si="30"/>
        <v>10830007</v>
      </c>
      <c r="R1043">
        <f t="shared" si="31"/>
        <v>19.639876502388226</v>
      </c>
      <c r="U1043">
        <v>2246</v>
      </c>
      <c r="V1043">
        <v>1388</v>
      </c>
      <c r="W1043">
        <v>3104</v>
      </c>
      <c r="X1043">
        <v>999</v>
      </c>
      <c r="Y1043">
        <v>69.2</v>
      </c>
      <c r="Z1043">
        <v>62.4</v>
      </c>
      <c r="AA1043">
        <v>76.099999999999994</v>
      </c>
    </row>
    <row r="1044" spans="1:27" x14ac:dyDescent="0.25">
      <c r="A1044" t="s">
        <v>234</v>
      </c>
      <c r="B1044" t="s">
        <v>178</v>
      </c>
      <c r="C1044" s="76">
        <v>43962</v>
      </c>
      <c r="D1044">
        <v>13951</v>
      </c>
      <c r="E1044">
        <v>9752</v>
      </c>
      <c r="F1044">
        <v>18151</v>
      </c>
      <c r="G1044">
        <v>9917</v>
      </c>
      <c r="H1044">
        <v>58.5</v>
      </c>
      <c r="I1044">
        <v>52.9</v>
      </c>
      <c r="J1044">
        <v>64</v>
      </c>
      <c r="K1044">
        <v>2100</v>
      </c>
      <c r="L1044">
        <v>1276</v>
      </c>
      <c r="M1044">
        <v>2924</v>
      </c>
      <c r="N1044">
        <v>8.8000000000000007</v>
      </c>
      <c r="O1044">
        <v>6.5</v>
      </c>
      <c r="P1044">
        <v>11.1</v>
      </c>
      <c r="Q1044">
        <f t="shared" si="30"/>
        <v>10830007</v>
      </c>
      <c r="R1044">
        <f t="shared" si="31"/>
        <v>19.390569184304315</v>
      </c>
      <c r="U1044">
        <v>2219</v>
      </c>
      <c r="V1044">
        <v>1376</v>
      </c>
      <c r="W1044">
        <v>3061</v>
      </c>
      <c r="X1044">
        <v>1095</v>
      </c>
      <c r="Y1044">
        <v>66.900000000000006</v>
      </c>
      <c r="Z1044">
        <v>61.1</v>
      </c>
      <c r="AA1044">
        <v>72.8</v>
      </c>
    </row>
    <row r="1045" spans="1:27" x14ac:dyDescent="0.25">
      <c r="A1045" t="s">
        <v>234</v>
      </c>
      <c r="B1045" t="s">
        <v>178</v>
      </c>
      <c r="C1045" s="76">
        <v>43963</v>
      </c>
      <c r="D1045">
        <v>14716</v>
      </c>
      <c r="E1045">
        <v>10243</v>
      </c>
      <c r="F1045">
        <v>19189</v>
      </c>
      <c r="G1045">
        <v>9185</v>
      </c>
      <c r="H1045">
        <v>61.6</v>
      </c>
      <c r="I1045">
        <v>55.6</v>
      </c>
      <c r="J1045">
        <v>67.5</v>
      </c>
      <c r="K1045">
        <v>1915</v>
      </c>
      <c r="L1045">
        <v>1230</v>
      </c>
      <c r="M1045">
        <v>2601</v>
      </c>
      <c r="N1045">
        <v>8</v>
      </c>
      <c r="O1045">
        <v>6.3</v>
      </c>
      <c r="P1045">
        <v>9.8000000000000007</v>
      </c>
      <c r="Q1045">
        <f t="shared" si="30"/>
        <v>10830007</v>
      </c>
      <c r="R1045">
        <f t="shared" si="31"/>
        <v>17.68235237521084</v>
      </c>
      <c r="U1045">
        <v>2228</v>
      </c>
      <c r="V1045">
        <v>1378</v>
      </c>
      <c r="W1045">
        <v>3078</v>
      </c>
      <c r="X1045">
        <v>1079</v>
      </c>
      <c r="Y1045">
        <v>67.400000000000006</v>
      </c>
      <c r="Z1045">
        <v>61.3</v>
      </c>
      <c r="AA1045">
        <v>73.5</v>
      </c>
    </row>
    <row r="1046" spans="1:27" x14ac:dyDescent="0.25">
      <c r="A1046" t="s">
        <v>234</v>
      </c>
      <c r="B1046" t="s">
        <v>178</v>
      </c>
      <c r="C1046" s="76">
        <v>43964</v>
      </c>
      <c r="D1046">
        <v>14920</v>
      </c>
      <c r="E1046">
        <v>10387</v>
      </c>
      <c r="F1046">
        <v>19453</v>
      </c>
      <c r="G1046">
        <v>8875</v>
      </c>
      <c r="H1046">
        <v>62.7</v>
      </c>
      <c r="I1046">
        <v>56.7</v>
      </c>
      <c r="J1046">
        <v>68.7</v>
      </c>
      <c r="K1046">
        <v>1884</v>
      </c>
      <c r="L1046">
        <v>1229</v>
      </c>
      <c r="M1046">
        <v>2539</v>
      </c>
      <c r="N1046">
        <v>7.9</v>
      </c>
      <c r="O1046">
        <v>6.3</v>
      </c>
      <c r="P1046">
        <v>9.5</v>
      </c>
      <c r="Q1046">
        <f t="shared" si="30"/>
        <v>10830007</v>
      </c>
      <c r="R1046">
        <f t="shared" si="31"/>
        <v>17.396110639633012</v>
      </c>
      <c r="U1046">
        <v>2282</v>
      </c>
      <c r="V1046">
        <v>1414</v>
      </c>
      <c r="W1046">
        <v>3151</v>
      </c>
      <c r="X1046">
        <v>939</v>
      </c>
      <c r="Y1046">
        <v>70.8</v>
      </c>
      <c r="Z1046">
        <v>64</v>
      </c>
      <c r="AA1046">
        <v>77.7</v>
      </c>
    </row>
    <row r="1047" spans="1:27" x14ac:dyDescent="0.25">
      <c r="A1047" t="s">
        <v>234</v>
      </c>
      <c r="B1047" t="s">
        <v>178</v>
      </c>
      <c r="C1047" s="76">
        <v>43965</v>
      </c>
      <c r="D1047">
        <v>14923</v>
      </c>
      <c r="E1047">
        <v>10370</v>
      </c>
      <c r="F1047">
        <v>19477</v>
      </c>
      <c r="G1047">
        <v>8957</v>
      </c>
      <c r="H1047">
        <v>62.5</v>
      </c>
      <c r="I1047">
        <v>56.4</v>
      </c>
      <c r="J1047">
        <v>68.5</v>
      </c>
      <c r="K1047">
        <v>1955</v>
      </c>
      <c r="L1047">
        <v>1257</v>
      </c>
      <c r="M1047">
        <v>2654</v>
      </c>
      <c r="N1047">
        <v>8.1999999999999993</v>
      </c>
      <c r="O1047">
        <v>6.4</v>
      </c>
      <c r="P1047">
        <v>9.9</v>
      </c>
      <c r="Q1047">
        <f t="shared" si="30"/>
        <v>10830007</v>
      </c>
      <c r="R1047">
        <f t="shared" si="31"/>
        <v>18.051696550149966</v>
      </c>
      <c r="U1047">
        <v>2279</v>
      </c>
      <c r="V1047">
        <v>1435</v>
      </c>
      <c r="W1047">
        <v>3124</v>
      </c>
      <c r="X1047">
        <v>957</v>
      </c>
      <c r="Y1047">
        <v>70.400000000000006</v>
      </c>
      <c r="Z1047">
        <v>64.400000000000006</v>
      </c>
      <c r="AA1047">
        <v>76.5</v>
      </c>
    </row>
    <row r="1048" spans="1:27" x14ac:dyDescent="0.25">
      <c r="A1048" t="s">
        <v>234</v>
      </c>
      <c r="B1048" t="s">
        <v>178</v>
      </c>
      <c r="C1048" s="76">
        <v>43966</v>
      </c>
      <c r="D1048">
        <v>14311</v>
      </c>
      <c r="E1048">
        <v>9958</v>
      </c>
      <c r="F1048">
        <v>18665</v>
      </c>
      <c r="G1048">
        <v>8936</v>
      </c>
      <c r="H1048">
        <v>61.6</v>
      </c>
      <c r="I1048">
        <v>56.2</v>
      </c>
      <c r="J1048">
        <v>66.900000000000006</v>
      </c>
      <c r="K1048">
        <v>1859</v>
      </c>
      <c r="L1048">
        <v>1176</v>
      </c>
      <c r="M1048">
        <v>2542</v>
      </c>
      <c r="N1048">
        <v>8</v>
      </c>
      <c r="O1048">
        <v>6.2</v>
      </c>
      <c r="P1048">
        <v>9.8000000000000007</v>
      </c>
      <c r="Q1048">
        <f t="shared" si="30"/>
        <v>10830007</v>
      </c>
      <c r="R1048">
        <f t="shared" si="31"/>
        <v>17.165270530296056</v>
      </c>
      <c r="U1048">
        <v>2279</v>
      </c>
      <c r="V1048">
        <v>1431</v>
      </c>
      <c r="W1048">
        <v>3126</v>
      </c>
      <c r="X1048">
        <v>968</v>
      </c>
      <c r="Y1048">
        <v>70.3</v>
      </c>
      <c r="Z1048">
        <v>63.6</v>
      </c>
      <c r="AA1048">
        <v>77</v>
      </c>
    </row>
    <row r="1049" spans="1:27" x14ac:dyDescent="0.25">
      <c r="A1049" t="s">
        <v>234</v>
      </c>
      <c r="B1049" t="s">
        <v>178</v>
      </c>
      <c r="C1049" s="76">
        <v>43967</v>
      </c>
      <c r="D1049">
        <v>14329</v>
      </c>
      <c r="E1049">
        <v>9971</v>
      </c>
      <c r="F1049">
        <v>18688</v>
      </c>
      <c r="G1049">
        <v>9729</v>
      </c>
      <c r="H1049">
        <v>59.6</v>
      </c>
      <c r="I1049">
        <v>53.5</v>
      </c>
      <c r="J1049">
        <v>65.599999999999994</v>
      </c>
      <c r="K1049">
        <v>1758</v>
      </c>
      <c r="L1049">
        <v>1092</v>
      </c>
      <c r="M1049">
        <v>2423</v>
      </c>
      <c r="N1049">
        <v>7.3</v>
      </c>
      <c r="O1049">
        <v>5.5</v>
      </c>
      <c r="P1049">
        <v>9.1</v>
      </c>
      <c r="Q1049">
        <f t="shared" si="30"/>
        <v>10830007</v>
      </c>
      <c r="R1049">
        <f t="shared" si="31"/>
        <v>16.232676488574754</v>
      </c>
      <c r="U1049">
        <v>2315</v>
      </c>
      <c r="V1049">
        <v>1443</v>
      </c>
      <c r="W1049">
        <v>3188</v>
      </c>
      <c r="X1049">
        <v>890</v>
      </c>
      <c r="Y1049">
        <v>72.2</v>
      </c>
      <c r="Z1049">
        <v>63.7</v>
      </c>
      <c r="AA1049">
        <v>80.7</v>
      </c>
    </row>
    <row r="1050" spans="1:27" x14ac:dyDescent="0.25">
      <c r="A1050" t="s">
        <v>234</v>
      </c>
      <c r="B1050" t="s">
        <v>178</v>
      </c>
      <c r="C1050" s="76">
        <v>43968</v>
      </c>
      <c r="D1050">
        <v>13919</v>
      </c>
      <c r="E1050">
        <v>9689</v>
      </c>
      <c r="F1050">
        <v>18149</v>
      </c>
      <c r="G1050">
        <v>10113</v>
      </c>
      <c r="H1050">
        <v>57.9</v>
      </c>
      <c r="I1050">
        <v>52.2</v>
      </c>
      <c r="J1050">
        <v>63.6</v>
      </c>
      <c r="K1050">
        <v>1722</v>
      </c>
      <c r="L1050">
        <v>1073</v>
      </c>
      <c r="M1050">
        <v>2372</v>
      </c>
      <c r="N1050">
        <v>7.2</v>
      </c>
      <c r="O1050">
        <v>5.4</v>
      </c>
      <c r="P1050">
        <v>9</v>
      </c>
      <c r="Q1050">
        <f t="shared" si="30"/>
        <v>10830007</v>
      </c>
      <c r="R1050">
        <f t="shared" si="31"/>
        <v>15.900266731129538</v>
      </c>
      <c r="U1050">
        <v>2280</v>
      </c>
      <c r="V1050">
        <v>1428</v>
      </c>
      <c r="W1050">
        <v>3132</v>
      </c>
      <c r="X1050">
        <v>985</v>
      </c>
      <c r="Y1050">
        <v>69.8</v>
      </c>
      <c r="Z1050">
        <v>63</v>
      </c>
      <c r="AA1050">
        <v>76.599999999999994</v>
      </c>
    </row>
    <row r="1051" spans="1:27" x14ac:dyDescent="0.25">
      <c r="A1051" t="s">
        <v>234</v>
      </c>
      <c r="B1051" t="s">
        <v>178</v>
      </c>
      <c r="C1051" s="76">
        <v>43969</v>
      </c>
      <c r="D1051">
        <v>14271</v>
      </c>
      <c r="E1051">
        <v>9885</v>
      </c>
      <c r="F1051">
        <v>18658</v>
      </c>
      <c r="G1051">
        <v>9834</v>
      </c>
      <c r="H1051">
        <v>59.2</v>
      </c>
      <c r="I1051">
        <v>53.2</v>
      </c>
      <c r="J1051">
        <v>65.2</v>
      </c>
      <c r="K1051">
        <v>1897</v>
      </c>
      <c r="L1051">
        <v>1189</v>
      </c>
      <c r="M1051">
        <v>2606</v>
      </c>
      <c r="N1051">
        <v>7.9</v>
      </c>
      <c r="O1051">
        <v>5.9</v>
      </c>
      <c r="P1051">
        <v>9.8000000000000007</v>
      </c>
      <c r="Q1051">
        <f t="shared" si="30"/>
        <v>10830007</v>
      </c>
      <c r="R1051">
        <f t="shared" si="31"/>
        <v>17.51614749648823</v>
      </c>
      <c r="U1051">
        <v>2206</v>
      </c>
      <c r="V1051">
        <v>1373</v>
      </c>
      <c r="W1051">
        <v>3039</v>
      </c>
      <c r="X1051">
        <v>1022</v>
      </c>
      <c r="Y1051">
        <v>68.3</v>
      </c>
      <c r="Z1051">
        <v>60.9</v>
      </c>
      <c r="AA1051">
        <v>75.8</v>
      </c>
    </row>
    <row r="1052" spans="1:27" x14ac:dyDescent="0.25">
      <c r="A1052" t="s">
        <v>234</v>
      </c>
      <c r="B1052" t="s">
        <v>178</v>
      </c>
      <c r="C1052" s="76">
        <v>43970</v>
      </c>
      <c r="D1052">
        <v>15180</v>
      </c>
      <c r="E1052">
        <v>10380</v>
      </c>
      <c r="F1052">
        <v>19980</v>
      </c>
      <c r="G1052">
        <v>8672</v>
      </c>
      <c r="H1052">
        <v>63.6</v>
      </c>
      <c r="I1052">
        <v>57.8</v>
      </c>
      <c r="J1052">
        <v>69.5</v>
      </c>
      <c r="K1052">
        <v>1875</v>
      </c>
      <c r="L1052">
        <v>1172</v>
      </c>
      <c r="M1052">
        <v>2577</v>
      </c>
      <c r="N1052">
        <v>7.9</v>
      </c>
      <c r="O1052">
        <v>6.1</v>
      </c>
      <c r="P1052">
        <v>9.6999999999999993</v>
      </c>
      <c r="Q1052">
        <f t="shared" si="30"/>
        <v>10830007</v>
      </c>
      <c r="R1052">
        <f t="shared" si="31"/>
        <v>17.313008200271707</v>
      </c>
      <c r="U1052">
        <v>2294</v>
      </c>
      <c r="V1052">
        <v>1404</v>
      </c>
      <c r="W1052">
        <v>3184</v>
      </c>
      <c r="X1052">
        <v>889</v>
      </c>
      <c r="Y1052">
        <v>72.099999999999994</v>
      </c>
      <c r="Z1052">
        <v>64.8</v>
      </c>
      <c r="AA1052">
        <v>79.3</v>
      </c>
    </row>
    <row r="1053" spans="1:27" x14ac:dyDescent="0.25">
      <c r="A1053" t="s">
        <v>234</v>
      </c>
      <c r="B1053" t="s">
        <v>178</v>
      </c>
      <c r="C1053" s="76">
        <v>43971</v>
      </c>
      <c r="D1053">
        <v>15213</v>
      </c>
      <c r="E1053">
        <v>10361</v>
      </c>
      <c r="F1053">
        <v>20065</v>
      </c>
      <c r="G1053">
        <v>8598</v>
      </c>
      <c r="H1053">
        <v>63.9</v>
      </c>
      <c r="I1053">
        <v>57.3</v>
      </c>
      <c r="J1053">
        <v>70.5</v>
      </c>
      <c r="K1053">
        <v>1847</v>
      </c>
      <c r="L1053">
        <v>1155</v>
      </c>
      <c r="M1053">
        <v>2539</v>
      </c>
      <c r="N1053">
        <v>7.8</v>
      </c>
      <c r="O1053">
        <v>6</v>
      </c>
      <c r="P1053">
        <v>9.5</v>
      </c>
      <c r="Q1053">
        <f t="shared" si="30"/>
        <v>10830007</v>
      </c>
      <c r="R1053">
        <f t="shared" si="31"/>
        <v>17.054467277814318</v>
      </c>
      <c r="U1053">
        <v>2346</v>
      </c>
      <c r="V1053">
        <v>1442</v>
      </c>
      <c r="W1053">
        <v>3249</v>
      </c>
      <c r="X1053">
        <v>832</v>
      </c>
      <c r="Y1053">
        <v>73.8</v>
      </c>
      <c r="Z1053">
        <v>66.900000000000006</v>
      </c>
      <c r="AA1053">
        <v>80.7</v>
      </c>
    </row>
    <row r="1054" spans="1:27" x14ac:dyDescent="0.25">
      <c r="A1054" t="s">
        <v>234</v>
      </c>
      <c r="B1054" t="s">
        <v>178</v>
      </c>
      <c r="C1054" s="76">
        <v>43972</v>
      </c>
      <c r="D1054">
        <v>15571</v>
      </c>
      <c r="E1054">
        <v>10207</v>
      </c>
      <c r="F1054">
        <v>20935</v>
      </c>
      <c r="G1054">
        <v>8184</v>
      </c>
      <c r="H1054">
        <v>65.5</v>
      </c>
      <c r="I1054">
        <v>59.3</v>
      </c>
      <c r="J1054">
        <v>71.8</v>
      </c>
      <c r="K1054">
        <v>1809</v>
      </c>
      <c r="L1054">
        <v>1082</v>
      </c>
      <c r="M1054">
        <v>2535</v>
      </c>
      <c r="N1054">
        <v>7.6</v>
      </c>
      <c r="O1054">
        <v>5.8</v>
      </c>
      <c r="P1054">
        <v>9.5</v>
      </c>
      <c r="Q1054">
        <f t="shared" si="30"/>
        <v>10830007</v>
      </c>
      <c r="R1054">
        <f t="shared" si="31"/>
        <v>16.703590311622143</v>
      </c>
      <c r="U1054">
        <v>2373</v>
      </c>
      <c r="V1054">
        <v>1375</v>
      </c>
      <c r="W1054">
        <v>3372</v>
      </c>
      <c r="X1054">
        <v>803</v>
      </c>
      <c r="Y1054">
        <v>74.7</v>
      </c>
      <c r="Z1054">
        <v>68.2</v>
      </c>
      <c r="AA1054">
        <v>81.2</v>
      </c>
    </row>
    <row r="1055" spans="1:27" x14ac:dyDescent="0.25">
      <c r="A1055" t="s">
        <v>234</v>
      </c>
      <c r="B1055" t="s">
        <v>178</v>
      </c>
      <c r="C1055" s="76">
        <v>43973</v>
      </c>
      <c r="D1055">
        <v>15275</v>
      </c>
      <c r="E1055">
        <v>9991</v>
      </c>
      <c r="F1055">
        <v>20558</v>
      </c>
      <c r="G1055">
        <v>8505</v>
      </c>
      <c r="H1055">
        <v>64.2</v>
      </c>
      <c r="I1055">
        <v>58.3</v>
      </c>
      <c r="J1055">
        <v>70.2</v>
      </c>
      <c r="K1055">
        <v>1710</v>
      </c>
      <c r="L1055">
        <v>1040</v>
      </c>
      <c r="M1055">
        <v>2379</v>
      </c>
      <c r="N1055">
        <v>7.2</v>
      </c>
      <c r="O1055">
        <v>5.5</v>
      </c>
      <c r="P1055">
        <v>8.9</v>
      </c>
      <c r="Q1055">
        <f t="shared" si="30"/>
        <v>10830007</v>
      </c>
      <c r="R1055">
        <f t="shared" si="31"/>
        <v>15.789463478647797</v>
      </c>
      <c r="U1055">
        <v>2313</v>
      </c>
      <c r="V1055">
        <v>1335</v>
      </c>
      <c r="W1055">
        <v>3291</v>
      </c>
      <c r="X1055">
        <v>814</v>
      </c>
      <c r="Y1055">
        <v>74</v>
      </c>
      <c r="Z1055">
        <v>67.599999999999994</v>
      </c>
      <c r="AA1055">
        <v>80.3</v>
      </c>
    </row>
    <row r="1056" spans="1:27" x14ac:dyDescent="0.25">
      <c r="A1056" t="s">
        <v>234</v>
      </c>
      <c r="B1056" t="s">
        <v>178</v>
      </c>
      <c r="C1056" s="76">
        <v>43974</v>
      </c>
      <c r="D1056">
        <v>14744</v>
      </c>
      <c r="E1056">
        <v>9608</v>
      </c>
      <c r="F1056">
        <v>19880</v>
      </c>
      <c r="G1056">
        <v>8992</v>
      </c>
      <c r="H1056">
        <v>62.1</v>
      </c>
      <c r="I1056">
        <v>56.1</v>
      </c>
      <c r="J1056">
        <v>68.2</v>
      </c>
      <c r="K1056">
        <v>1610</v>
      </c>
      <c r="L1056">
        <v>1045</v>
      </c>
      <c r="M1056">
        <v>2176</v>
      </c>
      <c r="N1056">
        <v>6.8</v>
      </c>
      <c r="O1056">
        <v>5.5</v>
      </c>
      <c r="P1056">
        <v>8</v>
      </c>
      <c r="Q1056">
        <f t="shared" si="30"/>
        <v>10830007</v>
      </c>
      <c r="R1056">
        <f t="shared" si="31"/>
        <v>14.866103041299972</v>
      </c>
      <c r="U1056">
        <v>2317</v>
      </c>
      <c r="V1056">
        <v>1363</v>
      </c>
      <c r="W1056">
        <v>3271</v>
      </c>
      <c r="X1056">
        <v>801</v>
      </c>
      <c r="Y1056">
        <v>74.3</v>
      </c>
      <c r="Z1056">
        <v>67.8</v>
      </c>
      <c r="AA1056">
        <v>80.900000000000006</v>
      </c>
    </row>
    <row r="1057" spans="1:27" x14ac:dyDescent="0.25">
      <c r="A1057" t="s">
        <v>234</v>
      </c>
      <c r="B1057" t="s">
        <v>178</v>
      </c>
      <c r="C1057" s="76">
        <v>43975</v>
      </c>
      <c r="D1057">
        <v>13539</v>
      </c>
      <c r="E1057">
        <v>8810</v>
      </c>
      <c r="F1057">
        <v>18269</v>
      </c>
      <c r="G1057">
        <v>10260</v>
      </c>
      <c r="H1057">
        <v>56.9</v>
      </c>
      <c r="I1057">
        <v>50</v>
      </c>
      <c r="J1057">
        <v>63.8</v>
      </c>
      <c r="K1057">
        <v>1565</v>
      </c>
      <c r="L1057">
        <v>996</v>
      </c>
      <c r="M1057">
        <v>2135</v>
      </c>
      <c r="N1057">
        <v>6.6</v>
      </c>
      <c r="O1057">
        <v>5.3</v>
      </c>
      <c r="P1057">
        <v>7.9</v>
      </c>
      <c r="Q1057">
        <f t="shared" si="30"/>
        <v>10830007</v>
      </c>
      <c r="R1057">
        <f t="shared" si="31"/>
        <v>14.450590844493453</v>
      </c>
      <c r="U1057">
        <v>2357</v>
      </c>
      <c r="V1057">
        <v>1357</v>
      </c>
      <c r="W1057">
        <v>3357</v>
      </c>
      <c r="X1057">
        <v>765</v>
      </c>
      <c r="Y1057">
        <v>75.5</v>
      </c>
      <c r="Z1057">
        <v>68.8</v>
      </c>
      <c r="AA1057">
        <v>82.2</v>
      </c>
    </row>
    <row r="1058" spans="1:27" x14ac:dyDescent="0.25">
      <c r="A1058" t="s">
        <v>234</v>
      </c>
      <c r="B1058" t="s">
        <v>178</v>
      </c>
      <c r="C1058" s="76">
        <v>43976</v>
      </c>
      <c r="D1058">
        <v>14170</v>
      </c>
      <c r="E1058">
        <v>9236</v>
      </c>
      <c r="F1058">
        <v>19104</v>
      </c>
      <c r="G1058">
        <v>9359</v>
      </c>
      <c r="H1058">
        <v>60.2</v>
      </c>
      <c r="I1058">
        <v>53.6</v>
      </c>
      <c r="J1058">
        <v>66.8</v>
      </c>
      <c r="K1058">
        <v>1596</v>
      </c>
      <c r="L1058">
        <v>1002</v>
      </c>
      <c r="M1058">
        <v>2189</v>
      </c>
      <c r="N1058">
        <v>6.8</v>
      </c>
      <c r="O1058">
        <v>5.4</v>
      </c>
      <c r="P1058">
        <v>8.1</v>
      </c>
      <c r="Q1058">
        <f t="shared" si="30"/>
        <v>10830007</v>
      </c>
      <c r="R1058">
        <f t="shared" si="31"/>
        <v>14.736832580071278</v>
      </c>
      <c r="U1058">
        <v>2067</v>
      </c>
      <c r="V1058">
        <v>1214</v>
      </c>
      <c r="W1058">
        <v>2921</v>
      </c>
      <c r="X1058">
        <v>821</v>
      </c>
      <c r="Y1058">
        <v>71.599999999999994</v>
      </c>
      <c r="Z1058">
        <v>62.9</v>
      </c>
      <c r="AA1058">
        <v>80.3</v>
      </c>
    </row>
    <row r="1059" spans="1:27" x14ac:dyDescent="0.25">
      <c r="A1059" t="s">
        <v>234</v>
      </c>
      <c r="B1059" t="s">
        <v>178</v>
      </c>
      <c r="C1059" s="76">
        <v>43977</v>
      </c>
      <c r="D1059">
        <v>14259</v>
      </c>
      <c r="E1059">
        <v>9334</v>
      </c>
      <c r="F1059">
        <v>19185</v>
      </c>
      <c r="G1059">
        <v>9380</v>
      </c>
      <c r="H1059">
        <v>60.3</v>
      </c>
      <c r="I1059">
        <v>53.7</v>
      </c>
      <c r="J1059">
        <v>66.900000000000006</v>
      </c>
      <c r="K1059">
        <v>1623</v>
      </c>
      <c r="L1059">
        <v>1030</v>
      </c>
      <c r="M1059">
        <v>2216</v>
      </c>
      <c r="N1059">
        <v>6.9</v>
      </c>
      <c r="O1059">
        <v>5.5</v>
      </c>
      <c r="P1059">
        <v>8.1999999999999993</v>
      </c>
      <c r="Q1059">
        <f t="shared" si="30"/>
        <v>10830007</v>
      </c>
      <c r="R1059">
        <f t="shared" si="31"/>
        <v>14.986139898155189</v>
      </c>
      <c r="U1059">
        <v>2243</v>
      </c>
      <c r="V1059">
        <v>1290</v>
      </c>
      <c r="W1059">
        <v>3195</v>
      </c>
      <c r="X1059">
        <v>785</v>
      </c>
      <c r="Y1059">
        <v>74.099999999999994</v>
      </c>
      <c r="Z1059">
        <v>66.599999999999994</v>
      </c>
      <c r="AA1059">
        <v>81.5</v>
      </c>
    </row>
    <row r="1060" spans="1:27" x14ac:dyDescent="0.25">
      <c r="A1060" t="s">
        <v>234</v>
      </c>
      <c r="B1060" t="s">
        <v>178</v>
      </c>
      <c r="C1060" s="76">
        <v>43978</v>
      </c>
      <c r="D1060">
        <v>15228</v>
      </c>
      <c r="E1060">
        <v>9885</v>
      </c>
      <c r="F1060">
        <v>20570</v>
      </c>
      <c r="G1060">
        <v>8221</v>
      </c>
      <c r="H1060">
        <v>64.900000000000006</v>
      </c>
      <c r="I1060">
        <v>57.7</v>
      </c>
      <c r="J1060">
        <v>72.099999999999994</v>
      </c>
      <c r="K1060">
        <v>1563</v>
      </c>
      <c r="L1060">
        <v>977</v>
      </c>
      <c r="M1060">
        <v>2148</v>
      </c>
      <c r="N1060">
        <v>6.7</v>
      </c>
      <c r="O1060">
        <v>5.4</v>
      </c>
      <c r="P1060">
        <v>7.9</v>
      </c>
      <c r="Q1060">
        <f t="shared" si="30"/>
        <v>10830007</v>
      </c>
      <c r="R1060">
        <f t="shared" si="31"/>
        <v>14.432123635746494</v>
      </c>
      <c r="U1060">
        <v>2308</v>
      </c>
      <c r="V1060">
        <v>1337</v>
      </c>
      <c r="W1060">
        <v>3280</v>
      </c>
      <c r="X1060">
        <v>690</v>
      </c>
      <c r="Y1060">
        <v>77</v>
      </c>
      <c r="Z1060">
        <v>70.7</v>
      </c>
      <c r="AA1060">
        <v>83.2</v>
      </c>
    </row>
    <row r="1061" spans="1:27" x14ac:dyDescent="0.25">
      <c r="A1061" t="s">
        <v>234</v>
      </c>
      <c r="B1061" t="s">
        <v>178</v>
      </c>
      <c r="C1061" s="76">
        <v>43979</v>
      </c>
      <c r="D1061">
        <v>14851</v>
      </c>
      <c r="E1061">
        <v>9356</v>
      </c>
      <c r="F1061">
        <v>20346</v>
      </c>
      <c r="G1061">
        <v>9309</v>
      </c>
      <c r="H1061">
        <v>61.5</v>
      </c>
      <c r="I1061">
        <v>51.5</v>
      </c>
      <c r="J1061">
        <v>71.5</v>
      </c>
      <c r="K1061">
        <v>1575</v>
      </c>
      <c r="L1061">
        <v>927</v>
      </c>
      <c r="M1061">
        <v>2222</v>
      </c>
      <c r="N1061">
        <v>6.5</v>
      </c>
      <c r="O1061">
        <v>5</v>
      </c>
      <c r="P1061">
        <v>8</v>
      </c>
      <c r="Q1061">
        <f t="shared" si="30"/>
        <v>10830007</v>
      </c>
      <c r="R1061">
        <f t="shared" si="31"/>
        <v>14.542926888228235</v>
      </c>
      <c r="U1061">
        <v>2276</v>
      </c>
      <c r="V1061">
        <v>1311</v>
      </c>
      <c r="W1061">
        <v>3241</v>
      </c>
      <c r="X1061">
        <v>668</v>
      </c>
      <c r="Y1061">
        <v>77.3</v>
      </c>
      <c r="Z1061">
        <v>70.400000000000006</v>
      </c>
      <c r="AA1061">
        <v>84.3</v>
      </c>
    </row>
    <row r="1062" spans="1:27" x14ac:dyDescent="0.25">
      <c r="A1062" t="s">
        <v>234</v>
      </c>
      <c r="B1062" t="s">
        <v>178</v>
      </c>
      <c r="C1062" s="76">
        <v>43980</v>
      </c>
      <c r="D1062">
        <v>15362</v>
      </c>
      <c r="E1062">
        <v>9923</v>
      </c>
      <c r="F1062">
        <v>20800</v>
      </c>
      <c r="G1062">
        <v>7876</v>
      </c>
      <c r="H1062">
        <v>66.099999999999994</v>
      </c>
      <c r="I1062">
        <v>59.8</v>
      </c>
      <c r="J1062">
        <v>72.400000000000006</v>
      </c>
      <c r="K1062">
        <v>1520</v>
      </c>
      <c r="L1062">
        <v>931</v>
      </c>
      <c r="M1062">
        <v>2110</v>
      </c>
      <c r="N1062">
        <v>6.5</v>
      </c>
      <c r="O1062">
        <v>5.2</v>
      </c>
      <c r="P1062">
        <v>7.9</v>
      </c>
      <c r="Q1062">
        <f t="shared" si="30"/>
        <v>10830007</v>
      </c>
      <c r="R1062">
        <f t="shared" si="31"/>
        <v>14.03507864768693</v>
      </c>
      <c r="U1062">
        <v>2249</v>
      </c>
      <c r="V1062">
        <v>1328</v>
      </c>
      <c r="W1062">
        <v>3170</v>
      </c>
      <c r="X1062">
        <v>709</v>
      </c>
      <c r="Y1062">
        <v>76</v>
      </c>
      <c r="Z1062">
        <v>69.099999999999994</v>
      </c>
      <c r="AA1062">
        <v>82.9</v>
      </c>
    </row>
    <row r="1063" spans="1:27" x14ac:dyDescent="0.25">
      <c r="A1063" t="s">
        <v>234</v>
      </c>
      <c r="B1063" t="s">
        <v>178</v>
      </c>
      <c r="C1063" s="76">
        <v>43981</v>
      </c>
      <c r="D1063">
        <v>14815</v>
      </c>
      <c r="E1063">
        <v>9632</v>
      </c>
      <c r="F1063">
        <v>19998</v>
      </c>
      <c r="G1063">
        <v>8655</v>
      </c>
      <c r="H1063">
        <v>63.1</v>
      </c>
      <c r="I1063">
        <v>56.9</v>
      </c>
      <c r="J1063">
        <v>69.3</v>
      </c>
      <c r="K1063">
        <v>1505</v>
      </c>
      <c r="L1063">
        <v>943</v>
      </c>
      <c r="M1063">
        <v>2068</v>
      </c>
      <c r="N1063">
        <v>6.4</v>
      </c>
      <c r="O1063">
        <v>5.0999999999999996</v>
      </c>
      <c r="P1063">
        <v>7.7</v>
      </c>
      <c r="Q1063">
        <f t="shared" ref="Q1063:Q1126" si="32">VLOOKUP(B1063,$AE$4:$AF$55,2,FALSE)</f>
        <v>10830007</v>
      </c>
      <c r="R1063">
        <f t="shared" si="31"/>
        <v>13.896574582084758</v>
      </c>
      <c r="U1063">
        <v>2338</v>
      </c>
      <c r="V1063">
        <v>1378</v>
      </c>
      <c r="W1063">
        <v>3297</v>
      </c>
      <c r="X1063">
        <v>801</v>
      </c>
      <c r="Y1063">
        <v>74.5</v>
      </c>
      <c r="Z1063">
        <v>67.599999999999994</v>
      </c>
      <c r="AA1063">
        <v>81.3</v>
      </c>
    </row>
    <row r="1064" spans="1:27" x14ac:dyDescent="0.25">
      <c r="A1064" t="s">
        <v>234</v>
      </c>
      <c r="B1064" t="s">
        <v>178</v>
      </c>
      <c r="C1064" s="76">
        <v>43982</v>
      </c>
      <c r="D1064">
        <v>14298</v>
      </c>
      <c r="E1064">
        <v>9201</v>
      </c>
      <c r="F1064">
        <v>19395</v>
      </c>
      <c r="G1064">
        <v>9206</v>
      </c>
      <c r="H1064">
        <v>60.8</v>
      </c>
      <c r="I1064">
        <v>53.7</v>
      </c>
      <c r="J1064">
        <v>67.900000000000006</v>
      </c>
      <c r="K1064">
        <v>1479</v>
      </c>
      <c r="L1064">
        <v>902</v>
      </c>
      <c r="M1064">
        <v>2057</v>
      </c>
      <c r="N1064">
        <v>6.3</v>
      </c>
      <c r="O1064">
        <v>4.9000000000000004</v>
      </c>
      <c r="P1064">
        <v>7.6</v>
      </c>
      <c r="Q1064">
        <f t="shared" si="32"/>
        <v>10830007</v>
      </c>
      <c r="R1064">
        <f t="shared" si="31"/>
        <v>13.656500868374323</v>
      </c>
      <c r="U1064">
        <v>2216</v>
      </c>
      <c r="V1064">
        <v>1281</v>
      </c>
      <c r="W1064">
        <v>3151</v>
      </c>
      <c r="X1064">
        <v>843</v>
      </c>
      <c r="Y1064">
        <v>72.400000000000006</v>
      </c>
      <c r="Z1064">
        <v>66.2</v>
      </c>
      <c r="AA1064">
        <v>78.7</v>
      </c>
    </row>
    <row r="1065" spans="1:27" x14ac:dyDescent="0.25">
      <c r="A1065" t="s">
        <v>234</v>
      </c>
      <c r="B1065" t="s">
        <v>178</v>
      </c>
      <c r="C1065" s="76">
        <v>43983</v>
      </c>
      <c r="D1065">
        <v>14395</v>
      </c>
      <c r="E1065">
        <v>9317</v>
      </c>
      <c r="F1065">
        <v>19473</v>
      </c>
      <c r="G1065">
        <v>9128</v>
      </c>
      <c r="H1065">
        <v>61.2</v>
      </c>
      <c r="I1065">
        <v>54.2</v>
      </c>
      <c r="J1065">
        <v>68.2</v>
      </c>
      <c r="K1065">
        <v>1428</v>
      </c>
      <c r="L1065">
        <v>875</v>
      </c>
      <c r="M1065">
        <v>1982</v>
      </c>
      <c r="N1065">
        <v>6.1</v>
      </c>
      <c r="O1065">
        <v>4.8</v>
      </c>
      <c r="P1065">
        <v>7.4</v>
      </c>
      <c r="Q1065">
        <f t="shared" si="32"/>
        <v>10830007</v>
      </c>
      <c r="R1065">
        <f t="shared" si="31"/>
        <v>13.185587045326933</v>
      </c>
      <c r="U1065">
        <v>2215</v>
      </c>
      <c r="V1065">
        <v>1273</v>
      </c>
      <c r="W1065">
        <v>3156</v>
      </c>
      <c r="X1065">
        <v>832</v>
      </c>
      <c r="Y1065">
        <v>72.7</v>
      </c>
      <c r="Z1065">
        <v>66</v>
      </c>
      <c r="AA1065">
        <v>79.400000000000006</v>
      </c>
    </row>
    <row r="1066" spans="1:27" x14ac:dyDescent="0.25">
      <c r="A1066" t="s">
        <v>234</v>
      </c>
      <c r="B1066" t="s">
        <v>178</v>
      </c>
      <c r="C1066" s="76">
        <v>43984</v>
      </c>
      <c r="D1066">
        <v>15244</v>
      </c>
      <c r="E1066">
        <v>9861</v>
      </c>
      <c r="F1066">
        <v>20626</v>
      </c>
      <c r="G1066">
        <v>8416</v>
      </c>
      <c r="H1066">
        <v>64.400000000000006</v>
      </c>
      <c r="I1066">
        <v>56.7</v>
      </c>
      <c r="J1066">
        <v>72.2</v>
      </c>
      <c r="K1066">
        <v>1454</v>
      </c>
      <c r="L1066">
        <v>887</v>
      </c>
      <c r="M1066">
        <v>2020</v>
      </c>
      <c r="N1066">
        <v>6.1</v>
      </c>
      <c r="O1066">
        <v>4.8</v>
      </c>
      <c r="P1066">
        <v>7.5</v>
      </c>
      <c r="Q1066">
        <f t="shared" si="32"/>
        <v>10830007</v>
      </c>
      <c r="R1066">
        <f t="shared" si="31"/>
        <v>13.425660759037369</v>
      </c>
      <c r="U1066">
        <v>2318</v>
      </c>
      <c r="V1066">
        <v>1335</v>
      </c>
      <c r="W1066">
        <v>3300</v>
      </c>
      <c r="X1066">
        <v>726</v>
      </c>
      <c r="Y1066">
        <v>76.099999999999994</v>
      </c>
      <c r="Z1066">
        <v>69.7</v>
      </c>
      <c r="AA1066">
        <v>82.6</v>
      </c>
    </row>
    <row r="1067" spans="1:27" x14ac:dyDescent="0.25">
      <c r="A1067" t="s">
        <v>234</v>
      </c>
      <c r="B1067" t="s">
        <v>178</v>
      </c>
      <c r="C1067" s="76">
        <v>43985</v>
      </c>
      <c r="D1067">
        <v>15688</v>
      </c>
      <c r="E1067">
        <v>9999</v>
      </c>
      <c r="F1067">
        <v>21377</v>
      </c>
      <c r="G1067">
        <v>8034</v>
      </c>
      <c r="H1067">
        <v>66.099999999999994</v>
      </c>
      <c r="I1067">
        <v>58</v>
      </c>
      <c r="J1067">
        <v>74.2</v>
      </c>
      <c r="K1067">
        <v>1477</v>
      </c>
      <c r="L1067">
        <v>843</v>
      </c>
      <c r="M1067">
        <v>2111</v>
      </c>
      <c r="N1067">
        <v>6.2</v>
      </c>
      <c r="O1067">
        <v>4.5999999999999996</v>
      </c>
      <c r="P1067">
        <v>7.9</v>
      </c>
      <c r="Q1067">
        <f t="shared" si="32"/>
        <v>10830007</v>
      </c>
      <c r="R1067">
        <f t="shared" si="31"/>
        <v>13.638033659627366</v>
      </c>
      <c r="U1067">
        <v>2333</v>
      </c>
      <c r="V1067">
        <v>1309</v>
      </c>
      <c r="W1067">
        <v>3358</v>
      </c>
      <c r="X1067">
        <v>723</v>
      </c>
      <c r="Y1067">
        <v>76.3</v>
      </c>
      <c r="Z1067">
        <v>69.900000000000006</v>
      </c>
      <c r="AA1067">
        <v>82.8</v>
      </c>
    </row>
    <row r="1068" spans="1:27" x14ac:dyDescent="0.25">
      <c r="A1068" t="s">
        <v>234</v>
      </c>
      <c r="B1068" t="s">
        <v>178</v>
      </c>
      <c r="C1068" s="76">
        <v>43986</v>
      </c>
      <c r="D1068">
        <v>15780</v>
      </c>
      <c r="E1068">
        <v>10268</v>
      </c>
      <c r="F1068">
        <v>21292</v>
      </c>
      <c r="G1068">
        <v>8152</v>
      </c>
      <c r="H1068">
        <v>65.900000000000006</v>
      </c>
      <c r="I1068">
        <v>58.2</v>
      </c>
      <c r="J1068">
        <v>73.599999999999994</v>
      </c>
      <c r="K1068">
        <v>1472</v>
      </c>
      <c r="L1068">
        <v>901</v>
      </c>
      <c r="M1068">
        <v>2043</v>
      </c>
      <c r="N1068">
        <v>6.2</v>
      </c>
      <c r="O1068">
        <v>4.7</v>
      </c>
      <c r="P1068">
        <v>7.6</v>
      </c>
      <c r="Q1068">
        <f t="shared" si="32"/>
        <v>10830007</v>
      </c>
      <c r="R1068">
        <f t="shared" si="31"/>
        <v>13.591865637759977</v>
      </c>
      <c r="U1068">
        <v>2420</v>
      </c>
      <c r="V1068">
        <v>1420</v>
      </c>
      <c r="W1068">
        <v>3421</v>
      </c>
      <c r="X1068">
        <v>696</v>
      </c>
      <c r="Y1068">
        <v>77.7</v>
      </c>
      <c r="Z1068">
        <v>71.8</v>
      </c>
      <c r="AA1068">
        <v>83.5</v>
      </c>
    </row>
    <row r="1069" spans="1:27" x14ac:dyDescent="0.25">
      <c r="A1069" t="s">
        <v>234</v>
      </c>
      <c r="B1069" t="s">
        <v>178</v>
      </c>
      <c r="C1069" s="76">
        <v>43987</v>
      </c>
      <c r="D1069">
        <v>15996</v>
      </c>
      <c r="E1069">
        <v>10366</v>
      </c>
      <c r="F1069">
        <v>21625</v>
      </c>
      <c r="G1069">
        <v>8248</v>
      </c>
      <c r="H1069">
        <v>66</v>
      </c>
      <c r="I1069">
        <v>59.4</v>
      </c>
      <c r="J1069">
        <v>72.599999999999994</v>
      </c>
      <c r="K1069">
        <v>1389</v>
      </c>
      <c r="L1069">
        <v>843</v>
      </c>
      <c r="M1069">
        <v>1934</v>
      </c>
      <c r="N1069">
        <v>5.7</v>
      </c>
      <c r="O1069">
        <v>4.4000000000000004</v>
      </c>
      <c r="P1069">
        <v>7</v>
      </c>
      <c r="Q1069">
        <f t="shared" si="32"/>
        <v>10830007</v>
      </c>
      <c r="R1069">
        <f t="shared" si="31"/>
        <v>12.825476474761283</v>
      </c>
      <c r="U1069">
        <v>2600</v>
      </c>
      <c r="V1069">
        <v>1493</v>
      </c>
      <c r="W1069">
        <v>3706</v>
      </c>
      <c r="X1069">
        <v>832</v>
      </c>
      <c r="Y1069">
        <v>75.8</v>
      </c>
      <c r="Z1069">
        <v>69.099999999999994</v>
      </c>
      <c r="AA1069">
        <v>82.4</v>
      </c>
    </row>
    <row r="1070" spans="1:27" x14ac:dyDescent="0.25">
      <c r="A1070" t="s">
        <v>234</v>
      </c>
      <c r="B1070" t="s">
        <v>178</v>
      </c>
      <c r="C1070" s="76">
        <v>43988</v>
      </c>
      <c r="D1070">
        <v>15399</v>
      </c>
      <c r="E1070">
        <v>9967</v>
      </c>
      <c r="F1070">
        <v>20832</v>
      </c>
      <c r="G1070">
        <v>8849</v>
      </c>
      <c r="H1070">
        <v>63.5</v>
      </c>
      <c r="I1070">
        <v>56.7</v>
      </c>
      <c r="J1070">
        <v>70.3</v>
      </c>
      <c r="K1070">
        <v>1434</v>
      </c>
      <c r="L1070">
        <v>863</v>
      </c>
      <c r="M1070">
        <v>2006</v>
      </c>
      <c r="N1070">
        <v>5.9</v>
      </c>
      <c r="O1070">
        <v>4.5</v>
      </c>
      <c r="P1070">
        <v>7.3</v>
      </c>
      <c r="Q1070">
        <f t="shared" si="32"/>
        <v>10830007</v>
      </c>
      <c r="R1070">
        <f t="shared" si="31"/>
        <v>13.240988671567802</v>
      </c>
      <c r="U1070">
        <v>2495</v>
      </c>
      <c r="V1070">
        <v>1422</v>
      </c>
      <c r="W1070">
        <v>3569</v>
      </c>
      <c r="X1070">
        <v>867</v>
      </c>
      <c r="Y1070">
        <v>74.2</v>
      </c>
      <c r="Z1070">
        <v>66.5</v>
      </c>
      <c r="AA1070">
        <v>81.900000000000006</v>
      </c>
    </row>
    <row r="1071" spans="1:27" x14ac:dyDescent="0.25">
      <c r="A1071" t="s">
        <v>234</v>
      </c>
      <c r="B1071" t="s">
        <v>178</v>
      </c>
      <c r="C1071" s="76">
        <v>43989</v>
      </c>
      <c r="D1071">
        <v>15066</v>
      </c>
      <c r="E1071">
        <v>9780</v>
      </c>
      <c r="F1071">
        <v>20352</v>
      </c>
      <c r="G1071">
        <v>9085</v>
      </c>
      <c r="H1071">
        <v>62.4</v>
      </c>
      <c r="I1071">
        <v>55.9</v>
      </c>
      <c r="J1071">
        <v>68.8</v>
      </c>
      <c r="K1071">
        <v>1475</v>
      </c>
      <c r="L1071">
        <v>893</v>
      </c>
      <c r="M1071">
        <v>2057</v>
      </c>
      <c r="N1071">
        <v>6.1</v>
      </c>
      <c r="O1071">
        <v>4.7</v>
      </c>
      <c r="P1071">
        <v>7.5</v>
      </c>
      <c r="Q1071">
        <f t="shared" si="32"/>
        <v>10830007</v>
      </c>
      <c r="R1071">
        <f t="shared" si="31"/>
        <v>13.619566450880411</v>
      </c>
      <c r="U1071">
        <v>2344</v>
      </c>
      <c r="V1071">
        <v>1316</v>
      </c>
      <c r="W1071">
        <v>3371</v>
      </c>
      <c r="X1071">
        <v>1056</v>
      </c>
      <c r="Y1071">
        <v>68.900000000000006</v>
      </c>
      <c r="Z1071">
        <v>60.3</v>
      </c>
      <c r="AA1071">
        <v>77.5</v>
      </c>
    </row>
    <row r="1072" spans="1:27" x14ac:dyDescent="0.25">
      <c r="A1072" t="s">
        <v>234</v>
      </c>
      <c r="B1072" t="s">
        <v>178</v>
      </c>
      <c r="C1072" s="76">
        <v>43990</v>
      </c>
      <c r="D1072">
        <v>15001</v>
      </c>
      <c r="E1072">
        <v>9575</v>
      </c>
      <c r="F1072">
        <v>20427</v>
      </c>
      <c r="G1072">
        <v>9071</v>
      </c>
      <c r="H1072">
        <v>62.3</v>
      </c>
      <c r="I1072">
        <v>55.7</v>
      </c>
      <c r="J1072">
        <v>69</v>
      </c>
      <c r="K1072">
        <v>1496</v>
      </c>
      <c r="L1072">
        <v>881</v>
      </c>
      <c r="M1072">
        <v>2111</v>
      </c>
      <c r="N1072">
        <v>6.2</v>
      </c>
      <c r="O1072">
        <v>4.7</v>
      </c>
      <c r="P1072">
        <v>7.8</v>
      </c>
      <c r="Q1072">
        <f t="shared" si="32"/>
        <v>10830007</v>
      </c>
      <c r="R1072">
        <f t="shared" si="31"/>
        <v>13.813472142723453</v>
      </c>
      <c r="U1072">
        <v>2346</v>
      </c>
      <c r="V1072">
        <v>1337</v>
      </c>
      <c r="W1072">
        <v>3355</v>
      </c>
      <c r="X1072">
        <v>912</v>
      </c>
      <c r="Y1072">
        <v>72</v>
      </c>
      <c r="Z1072">
        <v>64.400000000000006</v>
      </c>
      <c r="AA1072">
        <v>79.599999999999994</v>
      </c>
    </row>
    <row r="1073" spans="1:27" x14ac:dyDescent="0.25">
      <c r="A1073" t="s">
        <v>234</v>
      </c>
      <c r="B1073" t="s">
        <v>178</v>
      </c>
      <c r="C1073" s="76">
        <v>43991</v>
      </c>
      <c r="D1073">
        <v>16157</v>
      </c>
      <c r="E1073">
        <v>10405</v>
      </c>
      <c r="F1073">
        <v>21909</v>
      </c>
      <c r="G1073">
        <v>7900</v>
      </c>
      <c r="H1073">
        <v>67.2</v>
      </c>
      <c r="I1073">
        <v>60.5</v>
      </c>
      <c r="J1073">
        <v>73.8</v>
      </c>
      <c r="K1073">
        <v>1524</v>
      </c>
      <c r="L1073">
        <v>885</v>
      </c>
      <c r="M1073">
        <v>2164</v>
      </c>
      <c r="N1073">
        <v>6.3</v>
      </c>
      <c r="O1073">
        <v>4.7</v>
      </c>
      <c r="P1073">
        <v>8</v>
      </c>
      <c r="Q1073">
        <f t="shared" si="32"/>
        <v>10830007</v>
      </c>
      <c r="R1073">
        <f t="shared" si="31"/>
        <v>14.072013065180844</v>
      </c>
      <c r="U1073">
        <v>2573</v>
      </c>
      <c r="V1073">
        <v>1482</v>
      </c>
      <c r="W1073">
        <v>3663</v>
      </c>
      <c r="X1073">
        <v>907</v>
      </c>
      <c r="Y1073">
        <v>73.900000000000006</v>
      </c>
      <c r="Z1073">
        <v>67.900000000000006</v>
      </c>
      <c r="AA1073">
        <v>79.900000000000006</v>
      </c>
    </row>
    <row r="1074" spans="1:27" x14ac:dyDescent="0.25">
      <c r="A1074" t="s">
        <v>234</v>
      </c>
      <c r="B1074" t="s">
        <v>178</v>
      </c>
      <c r="C1074" s="76">
        <v>43992</v>
      </c>
      <c r="D1074">
        <v>16176</v>
      </c>
      <c r="E1074">
        <v>10265</v>
      </c>
      <c r="F1074">
        <v>22087</v>
      </c>
      <c r="G1074">
        <v>7853</v>
      </c>
      <c r="H1074">
        <v>67.3</v>
      </c>
      <c r="I1074">
        <v>59.1</v>
      </c>
      <c r="J1074">
        <v>75.5</v>
      </c>
      <c r="K1074">
        <v>1519</v>
      </c>
      <c r="L1074">
        <v>849</v>
      </c>
      <c r="M1074">
        <v>2188</v>
      </c>
      <c r="N1074">
        <v>6.3</v>
      </c>
      <c r="O1074">
        <v>4.5</v>
      </c>
      <c r="P1074">
        <v>8.1</v>
      </c>
      <c r="Q1074">
        <f t="shared" si="32"/>
        <v>10830007</v>
      </c>
      <c r="R1074">
        <f t="shared" si="31"/>
        <v>14.025845043313454</v>
      </c>
      <c r="U1074">
        <v>2480</v>
      </c>
      <c r="V1074">
        <v>1384</v>
      </c>
      <c r="W1074">
        <v>3577</v>
      </c>
      <c r="X1074">
        <v>892</v>
      </c>
      <c r="Y1074">
        <v>73.5</v>
      </c>
      <c r="Z1074">
        <v>67.2</v>
      </c>
      <c r="AA1074">
        <v>79.900000000000006</v>
      </c>
    </row>
    <row r="1075" spans="1:27" x14ac:dyDescent="0.25">
      <c r="A1075" t="s">
        <v>234</v>
      </c>
      <c r="B1075" t="s">
        <v>178</v>
      </c>
      <c r="C1075" s="76">
        <v>43993</v>
      </c>
      <c r="D1075">
        <v>16512</v>
      </c>
      <c r="E1075">
        <v>10753</v>
      </c>
      <c r="F1075">
        <v>22270</v>
      </c>
      <c r="G1075">
        <v>7703</v>
      </c>
      <c r="H1075">
        <v>68.2</v>
      </c>
      <c r="I1075">
        <v>61.3</v>
      </c>
      <c r="J1075">
        <v>75.099999999999994</v>
      </c>
      <c r="K1075">
        <v>1579</v>
      </c>
      <c r="L1075">
        <v>925</v>
      </c>
      <c r="M1075">
        <v>2233</v>
      </c>
      <c r="N1075">
        <v>6.5</v>
      </c>
      <c r="O1075">
        <v>4.8</v>
      </c>
      <c r="P1075">
        <v>8.1999999999999993</v>
      </c>
      <c r="Q1075">
        <f t="shared" si="32"/>
        <v>10830007</v>
      </c>
      <c r="R1075">
        <f t="shared" si="31"/>
        <v>14.579861305722149</v>
      </c>
      <c r="U1075">
        <v>2569</v>
      </c>
      <c r="V1075">
        <v>1467</v>
      </c>
      <c r="W1075">
        <v>3672</v>
      </c>
      <c r="X1075">
        <v>824</v>
      </c>
      <c r="Y1075">
        <v>75.7</v>
      </c>
      <c r="Z1075">
        <v>69.2</v>
      </c>
      <c r="AA1075">
        <v>82.3</v>
      </c>
    </row>
    <row r="1076" spans="1:27" x14ac:dyDescent="0.25">
      <c r="A1076" t="s">
        <v>234</v>
      </c>
      <c r="B1076" t="s">
        <v>178</v>
      </c>
      <c r="C1076" s="76">
        <v>43994</v>
      </c>
      <c r="D1076">
        <v>16384</v>
      </c>
      <c r="E1076">
        <v>10644</v>
      </c>
      <c r="F1076">
        <v>22123</v>
      </c>
      <c r="G1076">
        <v>8029</v>
      </c>
      <c r="H1076">
        <v>67.099999999999994</v>
      </c>
      <c r="I1076">
        <v>60.2</v>
      </c>
      <c r="J1076">
        <v>74</v>
      </c>
      <c r="K1076">
        <v>1541</v>
      </c>
      <c r="L1076">
        <v>926</v>
      </c>
      <c r="M1076">
        <v>2156</v>
      </c>
      <c r="N1076">
        <v>6.3</v>
      </c>
      <c r="O1076">
        <v>4.8</v>
      </c>
      <c r="P1076">
        <v>7.9</v>
      </c>
      <c r="Q1076">
        <f t="shared" si="32"/>
        <v>10830007</v>
      </c>
      <c r="R1076">
        <f t="shared" si="31"/>
        <v>14.228984339529973</v>
      </c>
      <c r="U1076">
        <v>2594</v>
      </c>
      <c r="V1076">
        <v>1493</v>
      </c>
      <c r="W1076">
        <v>3696</v>
      </c>
      <c r="X1076">
        <v>826</v>
      </c>
      <c r="Y1076">
        <v>75.8</v>
      </c>
      <c r="Z1076">
        <v>69.5</v>
      </c>
      <c r="AA1076">
        <v>82.2</v>
      </c>
    </row>
    <row r="1077" spans="1:27" x14ac:dyDescent="0.25">
      <c r="A1077" t="s">
        <v>234</v>
      </c>
      <c r="B1077" t="s">
        <v>178</v>
      </c>
      <c r="C1077" s="76">
        <v>43995</v>
      </c>
      <c r="D1077">
        <v>15781</v>
      </c>
      <c r="E1077">
        <v>10259</v>
      </c>
      <c r="F1077">
        <v>21302</v>
      </c>
      <c r="G1077">
        <v>8692</v>
      </c>
      <c r="H1077">
        <v>64.5</v>
      </c>
      <c r="I1077">
        <v>57.6</v>
      </c>
      <c r="J1077">
        <v>71.400000000000006</v>
      </c>
      <c r="K1077">
        <v>1598</v>
      </c>
      <c r="L1077">
        <v>941</v>
      </c>
      <c r="M1077">
        <v>2255</v>
      </c>
      <c r="N1077">
        <v>6.5</v>
      </c>
      <c r="O1077">
        <v>4.8</v>
      </c>
      <c r="P1077">
        <v>8.3000000000000007</v>
      </c>
      <c r="Q1077">
        <f t="shared" si="32"/>
        <v>10830007</v>
      </c>
      <c r="R1077">
        <f t="shared" si="31"/>
        <v>14.755299788818233</v>
      </c>
      <c r="U1077">
        <v>2523</v>
      </c>
      <c r="V1077">
        <v>1467</v>
      </c>
      <c r="W1077">
        <v>3580</v>
      </c>
      <c r="X1077">
        <v>906</v>
      </c>
      <c r="Y1077">
        <v>73.599999999999994</v>
      </c>
      <c r="Z1077">
        <v>67.2</v>
      </c>
      <c r="AA1077">
        <v>79.900000000000006</v>
      </c>
    </row>
    <row r="1078" spans="1:27" x14ac:dyDescent="0.25">
      <c r="A1078" t="s">
        <v>234</v>
      </c>
      <c r="B1078" t="s">
        <v>178</v>
      </c>
      <c r="C1078" s="76">
        <v>43996</v>
      </c>
      <c r="D1078">
        <v>15121</v>
      </c>
      <c r="E1078">
        <v>9860</v>
      </c>
      <c r="F1078">
        <v>20383</v>
      </c>
      <c r="G1078">
        <v>9150</v>
      </c>
      <c r="H1078">
        <v>62.3</v>
      </c>
      <c r="I1078">
        <v>55.8</v>
      </c>
      <c r="J1078">
        <v>68.8</v>
      </c>
      <c r="K1078">
        <v>1689</v>
      </c>
      <c r="L1078">
        <v>977</v>
      </c>
      <c r="M1078">
        <v>2400</v>
      </c>
      <c r="N1078">
        <v>7</v>
      </c>
      <c r="O1078">
        <v>5</v>
      </c>
      <c r="P1078">
        <v>8.9</v>
      </c>
      <c r="Q1078">
        <f t="shared" si="32"/>
        <v>10830007</v>
      </c>
      <c r="R1078">
        <f t="shared" si="31"/>
        <v>15.595557786804754</v>
      </c>
      <c r="U1078">
        <v>2400</v>
      </c>
      <c r="V1078">
        <v>1392</v>
      </c>
      <c r="W1078">
        <v>3409</v>
      </c>
      <c r="X1078">
        <v>1025</v>
      </c>
      <c r="Y1078">
        <v>70.099999999999994</v>
      </c>
      <c r="Z1078">
        <v>63.4</v>
      </c>
      <c r="AA1078">
        <v>76.7</v>
      </c>
    </row>
    <row r="1079" spans="1:27" x14ac:dyDescent="0.25">
      <c r="A1079" t="s">
        <v>234</v>
      </c>
      <c r="B1079" t="s">
        <v>178</v>
      </c>
      <c r="C1079" s="76">
        <v>43997</v>
      </c>
      <c r="D1079">
        <v>15292</v>
      </c>
      <c r="E1079">
        <v>10002</v>
      </c>
      <c r="F1079">
        <v>20582</v>
      </c>
      <c r="G1079">
        <v>8908</v>
      </c>
      <c r="H1079">
        <v>63.2</v>
      </c>
      <c r="I1079">
        <v>56.9</v>
      </c>
      <c r="J1079">
        <v>69.400000000000006</v>
      </c>
      <c r="K1079">
        <v>1611</v>
      </c>
      <c r="L1079">
        <v>937</v>
      </c>
      <c r="M1079">
        <v>2285</v>
      </c>
      <c r="N1079">
        <v>6.7</v>
      </c>
      <c r="O1079">
        <v>4.9000000000000004</v>
      </c>
      <c r="P1079">
        <v>8.5</v>
      </c>
      <c r="Q1079">
        <f t="shared" si="32"/>
        <v>10830007</v>
      </c>
      <c r="R1079">
        <f t="shared" si="31"/>
        <v>14.875336645673451</v>
      </c>
      <c r="U1079">
        <v>2452</v>
      </c>
      <c r="V1079">
        <v>1436</v>
      </c>
      <c r="W1079">
        <v>3467</v>
      </c>
      <c r="X1079">
        <v>976</v>
      </c>
      <c r="Y1079">
        <v>71.5</v>
      </c>
      <c r="Z1079">
        <v>65.2</v>
      </c>
      <c r="AA1079">
        <v>77.8</v>
      </c>
    </row>
    <row r="1080" spans="1:27" x14ac:dyDescent="0.25">
      <c r="A1080" t="s">
        <v>234</v>
      </c>
      <c r="B1080" t="s">
        <v>178</v>
      </c>
      <c r="C1080" s="76">
        <v>43998</v>
      </c>
      <c r="D1080">
        <v>15639</v>
      </c>
      <c r="E1080">
        <v>10103</v>
      </c>
      <c r="F1080">
        <v>21175</v>
      </c>
      <c r="G1080">
        <v>8466</v>
      </c>
      <c r="H1080">
        <v>64.900000000000006</v>
      </c>
      <c r="I1080">
        <v>56.9</v>
      </c>
      <c r="J1080">
        <v>72.8</v>
      </c>
      <c r="K1080">
        <v>1484</v>
      </c>
      <c r="L1080">
        <v>864</v>
      </c>
      <c r="M1080">
        <v>2103</v>
      </c>
      <c r="N1080">
        <v>6.2</v>
      </c>
      <c r="O1080">
        <v>4.5</v>
      </c>
      <c r="P1080">
        <v>7.8</v>
      </c>
      <c r="Q1080">
        <f t="shared" si="32"/>
        <v>10830007</v>
      </c>
      <c r="R1080">
        <f t="shared" si="31"/>
        <v>13.702668890241716</v>
      </c>
      <c r="U1080">
        <v>2514</v>
      </c>
      <c r="V1080">
        <v>1440</v>
      </c>
      <c r="W1080">
        <v>3589</v>
      </c>
      <c r="X1080">
        <v>823</v>
      </c>
      <c r="Y1080">
        <v>75.3</v>
      </c>
      <c r="Z1080">
        <v>69.2</v>
      </c>
      <c r="AA1080">
        <v>81.400000000000006</v>
      </c>
    </row>
    <row r="1081" spans="1:27" x14ac:dyDescent="0.25">
      <c r="A1081" t="s">
        <v>234</v>
      </c>
      <c r="B1081" t="s">
        <v>178</v>
      </c>
      <c r="C1081" s="76">
        <v>43999</v>
      </c>
      <c r="D1081">
        <v>15699</v>
      </c>
      <c r="E1081">
        <v>10062</v>
      </c>
      <c r="F1081">
        <v>21337</v>
      </c>
      <c r="G1081">
        <v>9196</v>
      </c>
      <c r="H1081">
        <v>63.1</v>
      </c>
      <c r="I1081">
        <v>51.9</v>
      </c>
      <c r="J1081">
        <v>74.2</v>
      </c>
      <c r="K1081">
        <v>1586</v>
      </c>
      <c r="L1081">
        <v>914</v>
      </c>
      <c r="M1081">
        <v>2259</v>
      </c>
      <c r="N1081">
        <v>6.4</v>
      </c>
      <c r="O1081">
        <v>4.5</v>
      </c>
      <c r="P1081">
        <v>8.3000000000000007</v>
      </c>
      <c r="Q1081">
        <f t="shared" si="32"/>
        <v>10830007</v>
      </c>
      <c r="R1081">
        <f t="shared" si="31"/>
        <v>14.644496536336495</v>
      </c>
      <c r="U1081">
        <v>2511</v>
      </c>
      <c r="V1081">
        <v>1420</v>
      </c>
      <c r="W1081">
        <v>3602</v>
      </c>
      <c r="X1081">
        <v>836</v>
      </c>
      <c r="Y1081">
        <v>75</v>
      </c>
      <c r="Z1081">
        <v>67.099999999999994</v>
      </c>
      <c r="AA1081">
        <v>82.9</v>
      </c>
    </row>
    <row r="1082" spans="1:27" x14ac:dyDescent="0.25">
      <c r="A1082" t="s">
        <v>234</v>
      </c>
      <c r="B1082" t="s">
        <v>178</v>
      </c>
      <c r="C1082" s="76">
        <v>44000</v>
      </c>
      <c r="D1082">
        <v>16341</v>
      </c>
      <c r="E1082">
        <v>10676</v>
      </c>
      <c r="F1082">
        <v>22006</v>
      </c>
      <c r="G1082">
        <v>7736</v>
      </c>
      <c r="H1082">
        <v>67.900000000000006</v>
      </c>
      <c r="I1082">
        <v>60.9</v>
      </c>
      <c r="J1082">
        <v>74.8</v>
      </c>
      <c r="K1082">
        <v>1605</v>
      </c>
      <c r="L1082">
        <v>961</v>
      </c>
      <c r="M1082">
        <v>2250</v>
      </c>
      <c r="N1082">
        <v>6.7</v>
      </c>
      <c r="O1082">
        <v>5</v>
      </c>
      <c r="P1082">
        <v>8.3000000000000007</v>
      </c>
      <c r="Q1082">
        <f t="shared" si="32"/>
        <v>10830007</v>
      </c>
      <c r="R1082">
        <f t="shared" si="31"/>
        <v>14.819935019432583</v>
      </c>
      <c r="U1082">
        <v>2546</v>
      </c>
      <c r="V1082">
        <v>1478</v>
      </c>
      <c r="W1082">
        <v>3614</v>
      </c>
      <c r="X1082">
        <v>876</v>
      </c>
      <c r="Y1082">
        <v>74.400000000000006</v>
      </c>
      <c r="Z1082">
        <v>67.5</v>
      </c>
      <c r="AA1082">
        <v>81.3</v>
      </c>
    </row>
    <row r="1083" spans="1:27" x14ac:dyDescent="0.25">
      <c r="A1083" t="s">
        <v>234</v>
      </c>
      <c r="B1083" t="s">
        <v>178</v>
      </c>
      <c r="C1083" s="76">
        <v>44001</v>
      </c>
      <c r="D1083">
        <v>15827</v>
      </c>
      <c r="E1083">
        <v>10313</v>
      </c>
      <c r="F1083">
        <v>21341</v>
      </c>
      <c r="G1083">
        <v>7928</v>
      </c>
      <c r="H1083">
        <v>66.599999999999994</v>
      </c>
      <c r="I1083">
        <v>59.4</v>
      </c>
      <c r="J1083">
        <v>73.900000000000006</v>
      </c>
      <c r="K1083">
        <v>1621</v>
      </c>
      <c r="L1083">
        <v>968</v>
      </c>
      <c r="M1083">
        <v>2274</v>
      </c>
      <c r="N1083">
        <v>6.8</v>
      </c>
      <c r="O1083">
        <v>5.0999999999999996</v>
      </c>
      <c r="P1083">
        <v>8.6</v>
      </c>
      <c r="Q1083">
        <f t="shared" si="32"/>
        <v>10830007</v>
      </c>
      <c r="R1083">
        <f t="shared" si="31"/>
        <v>14.967672689408234</v>
      </c>
      <c r="U1083">
        <v>2470</v>
      </c>
      <c r="V1083">
        <v>1430</v>
      </c>
      <c r="W1083">
        <v>3510</v>
      </c>
      <c r="X1083">
        <v>846</v>
      </c>
      <c r="Y1083">
        <v>74.5</v>
      </c>
      <c r="Z1083">
        <v>67.8</v>
      </c>
      <c r="AA1083">
        <v>81.2</v>
      </c>
    </row>
    <row r="1084" spans="1:27" x14ac:dyDescent="0.25">
      <c r="A1084" t="s">
        <v>234</v>
      </c>
      <c r="B1084" t="s">
        <v>178</v>
      </c>
      <c r="C1084" s="76">
        <v>44002</v>
      </c>
      <c r="D1084">
        <v>15306</v>
      </c>
      <c r="E1084">
        <v>10073</v>
      </c>
      <c r="F1084">
        <v>20538</v>
      </c>
      <c r="G1084">
        <v>8489</v>
      </c>
      <c r="H1084">
        <v>64.3</v>
      </c>
      <c r="I1084">
        <v>57.7</v>
      </c>
      <c r="J1084">
        <v>71</v>
      </c>
      <c r="K1084">
        <v>1585</v>
      </c>
      <c r="L1084">
        <v>965</v>
      </c>
      <c r="M1084">
        <v>2204</v>
      </c>
      <c r="N1084">
        <v>6.7</v>
      </c>
      <c r="O1084">
        <v>5</v>
      </c>
      <c r="P1084">
        <v>8.3000000000000007</v>
      </c>
      <c r="Q1084">
        <f t="shared" si="32"/>
        <v>10830007</v>
      </c>
      <c r="R1084">
        <f t="shared" si="31"/>
        <v>14.635262931963016</v>
      </c>
      <c r="U1084">
        <v>2431</v>
      </c>
      <c r="V1084">
        <v>1430</v>
      </c>
      <c r="W1084">
        <v>3432</v>
      </c>
      <c r="X1084">
        <v>1019</v>
      </c>
      <c r="Y1084">
        <v>70.5</v>
      </c>
      <c r="Z1084">
        <v>63.8</v>
      </c>
      <c r="AA1084">
        <v>77.099999999999994</v>
      </c>
    </row>
    <row r="1085" spans="1:27" x14ac:dyDescent="0.25">
      <c r="A1085" t="s">
        <v>234</v>
      </c>
      <c r="B1085" t="s">
        <v>178</v>
      </c>
      <c r="C1085" s="76">
        <v>44003</v>
      </c>
      <c r="D1085">
        <v>14309</v>
      </c>
      <c r="E1085">
        <v>9358</v>
      </c>
      <c r="F1085">
        <v>19259</v>
      </c>
      <c r="G1085">
        <v>9414</v>
      </c>
      <c r="H1085">
        <v>60.3</v>
      </c>
      <c r="I1085">
        <v>53.5</v>
      </c>
      <c r="J1085">
        <v>67.099999999999994</v>
      </c>
      <c r="K1085">
        <v>1675</v>
      </c>
      <c r="L1085">
        <v>1021</v>
      </c>
      <c r="M1085">
        <v>2330</v>
      </c>
      <c r="N1085">
        <v>7.1</v>
      </c>
      <c r="O1085">
        <v>5.3</v>
      </c>
      <c r="P1085">
        <v>8.8000000000000007</v>
      </c>
      <c r="Q1085">
        <f t="shared" si="32"/>
        <v>10830007</v>
      </c>
      <c r="R1085">
        <f t="shared" si="31"/>
        <v>15.466287325576058</v>
      </c>
      <c r="U1085">
        <v>2354</v>
      </c>
      <c r="V1085">
        <v>1373</v>
      </c>
      <c r="W1085">
        <v>3335</v>
      </c>
      <c r="X1085">
        <v>1053</v>
      </c>
      <c r="Y1085">
        <v>69.099999999999994</v>
      </c>
      <c r="Z1085">
        <v>62.4</v>
      </c>
      <c r="AA1085">
        <v>75.8</v>
      </c>
    </row>
    <row r="1086" spans="1:27" x14ac:dyDescent="0.25">
      <c r="A1086" t="s">
        <v>234</v>
      </c>
      <c r="B1086" t="s">
        <v>178</v>
      </c>
      <c r="C1086" s="76">
        <v>44004</v>
      </c>
      <c r="D1086">
        <v>14773</v>
      </c>
      <c r="E1086">
        <v>9672</v>
      </c>
      <c r="F1086">
        <v>19873</v>
      </c>
      <c r="G1086">
        <v>8954</v>
      </c>
      <c r="H1086">
        <v>62.3</v>
      </c>
      <c r="I1086">
        <v>55.7</v>
      </c>
      <c r="J1086">
        <v>68.8</v>
      </c>
      <c r="K1086">
        <v>1730</v>
      </c>
      <c r="L1086">
        <v>1041</v>
      </c>
      <c r="M1086">
        <v>2419</v>
      </c>
      <c r="N1086">
        <v>7.3</v>
      </c>
      <c r="O1086">
        <v>5.5</v>
      </c>
      <c r="P1086">
        <v>9.1</v>
      </c>
      <c r="Q1086">
        <f t="shared" si="32"/>
        <v>10830007</v>
      </c>
      <c r="R1086">
        <f t="shared" si="31"/>
        <v>15.974135566117363</v>
      </c>
      <c r="U1086">
        <v>2371</v>
      </c>
      <c r="V1086">
        <v>1380</v>
      </c>
      <c r="W1086">
        <v>3361</v>
      </c>
      <c r="X1086">
        <v>972</v>
      </c>
      <c r="Y1086">
        <v>70.900000000000006</v>
      </c>
      <c r="Z1086">
        <v>63.8</v>
      </c>
      <c r="AA1086">
        <v>78</v>
      </c>
    </row>
    <row r="1087" spans="1:27" x14ac:dyDescent="0.25">
      <c r="A1087" t="s">
        <v>234</v>
      </c>
      <c r="B1087" t="s">
        <v>178</v>
      </c>
      <c r="C1087" s="76">
        <v>44005</v>
      </c>
      <c r="D1087">
        <v>15568</v>
      </c>
      <c r="E1087">
        <v>10145</v>
      </c>
      <c r="F1087">
        <v>20991</v>
      </c>
      <c r="G1087">
        <v>8100</v>
      </c>
      <c r="H1087">
        <v>65.8</v>
      </c>
      <c r="I1087">
        <v>58.9</v>
      </c>
      <c r="J1087">
        <v>72.599999999999994</v>
      </c>
      <c r="K1087">
        <v>1792</v>
      </c>
      <c r="L1087">
        <v>1061</v>
      </c>
      <c r="M1087">
        <v>2523</v>
      </c>
      <c r="N1087">
        <v>7.6</v>
      </c>
      <c r="O1087">
        <v>5.6</v>
      </c>
      <c r="P1087">
        <v>9.5</v>
      </c>
      <c r="Q1087">
        <f t="shared" si="32"/>
        <v>10830007</v>
      </c>
      <c r="R1087">
        <f t="shared" si="31"/>
        <v>16.546619037273015</v>
      </c>
      <c r="U1087">
        <v>2441</v>
      </c>
      <c r="V1087">
        <v>1417</v>
      </c>
      <c r="W1087">
        <v>3465</v>
      </c>
      <c r="X1087">
        <v>863</v>
      </c>
      <c r="Y1087">
        <v>73.900000000000006</v>
      </c>
      <c r="Z1087">
        <v>67.2</v>
      </c>
      <c r="AA1087">
        <v>80.599999999999994</v>
      </c>
    </row>
    <row r="1088" spans="1:27" x14ac:dyDescent="0.25">
      <c r="A1088" t="s">
        <v>234</v>
      </c>
      <c r="B1088" t="s">
        <v>178</v>
      </c>
      <c r="C1088" s="76">
        <v>44006</v>
      </c>
      <c r="D1088">
        <v>16054</v>
      </c>
      <c r="E1088">
        <v>10456</v>
      </c>
      <c r="F1088">
        <v>21653</v>
      </c>
      <c r="G1088">
        <v>7684</v>
      </c>
      <c r="H1088">
        <v>67.599999999999994</v>
      </c>
      <c r="I1088">
        <v>58.6</v>
      </c>
      <c r="J1088">
        <v>76.599999999999994</v>
      </c>
      <c r="K1088">
        <v>1854</v>
      </c>
      <c r="L1088">
        <v>1072</v>
      </c>
      <c r="M1088">
        <v>2637</v>
      </c>
      <c r="N1088">
        <v>7.8</v>
      </c>
      <c r="O1088">
        <v>5.6</v>
      </c>
      <c r="P1088">
        <v>10</v>
      </c>
      <c r="Q1088">
        <f t="shared" si="32"/>
        <v>10830007</v>
      </c>
      <c r="R1088">
        <f t="shared" si="31"/>
        <v>17.119102508428664</v>
      </c>
      <c r="U1088">
        <v>2474</v>
      </c>
      <c r="V1088">
        <v>1422</v>
      </c>
      <c r="W1088">
        <v>3527</v>
      </c>
      <c r="X1088">
        <v>694</v>
      </c>
      <c r="Y1088">
        <v>78.099999999999994</v>
      </c>
      <c r="Z1088">
        <v>71.900000000000006</v>
      </c>
      <c r="AA1088">
        <v>84.3</v>
      </c>
    </row>
    <row r="1089" spans="1:27" x14ac:dyDescent="0.25">
      <c r="A1089" t="s">
        <v>234</v>
      </c>
      <c r="B1089" t="s">
        <v>178</v>
      </c>
      <c r="C1089" s="76">
        <v>44007</v>
      </c>
      <c r="D1089">
        <v>16567</v>
      </c>
      <c r="E1089">
        <v>10767</v>
      </c>
      <c r="F1089">
        <v>22367</v>
      </c>
      <c r="G1089">
        <v>7263</v>
      </c>
      <c r="H1089">
        <v>69.5</v>
      </c>
      <c r="I1089">
        <v>61.7</v>
      </c>
      <c r="J1089">
        <v>77.3</v>
      </c>
      <c r="K1089">
        <v>2031</v>
      </c>
      <c r="L1089">
        <v>1221</v>
      </c>
      <c r="M1089">
        <v>2841</v>
      </c>
      <c r="N1089">
        <v>8.5</v>
      </c>
      <c r="O1089">
        <v>6.4</v>
      </c>
      <c r="P1089">
        <v>10.6</v>
      </c>
      <c r="Q1089">
        <f t="shared" si="32"/>
        <v>10830007</v>
      </c>
      <c r="R1089">
        <f t="shared" si="31"/>
        <v>18.753450482534316</v>
      </c>
      <c r="U1089">
        <v>2697</v>
      </c>
      <c r="V1089">
        <v>1578</v>
      </c>
      <c r="W1089">
        <v>3816</v>
      </c>
      <c r="X1089">
        <v>771</v>
      </c>
      <c r="Y1089">
        <v>77.8</v>
      </c>
      <c r="Z1089">
        <v>71.400000000000006</v>
      </c>
      <c r="AA1089">
        <v>84.1</v>
      </c>
    </row>
    <row r="1090" spans="1:27" x14ac:dyDescent="0.25">
      <c r="A1090" t="s">
        <v>234</v>
      </c>
      <c r="B1090" t="s">
        <v>178</v>
      </c>
      <c r="C1090" s="76">
        <v>44008</v>
      </c>
      <c r="D1090">
        <v>16196</v>
      </c>
      <c r="E1090">
        <v>10667</v>
      </c>
      <c r="F1090">
        <v>21726</v>
      </c>
      <c r="G1090">
        <v>7634</v>
      </c>
      <c r="H1090">
        <v>68</v>
      </c>
      <c r="I1090">
        <v>60.9</v>
      </c>
      <c r="J1090">
        <v>75</v>
      </c>
      <c r="K1090">
        <v>1947</v>
      </c>
      <c r="L1090">
        <v>1206</v>
      </c>
      <c r="M1090">
        <v>2688</v>
      </c>
      <c r="N1090">
        <v>8.1999999999999993</v>
      </c>
      <c r="O1090">
        <v>6.2</v>
      </c>
      <c r="P1090">
        <v>10.1</v>
      </c>
      <c r="Q1090">
        <f t="shared" si="32"/>
        <v>10830007</v>
      </c>
      <c r="R1090">
        <f t="shared" si="31"/>
        <v>17.977827715162142</v>
      </c>
      <c r="U1090">
        <v>2570</v>
      </c>
      <c r="V1090">
        <v>1523</v>
      </c>
      <c r="W1090">
        <v>3617</v>
      </c>
      <c r="X1090">
        <v>803</v>
      </c>
      <c r="Y1090">
        <v>76.2</v>
      </c>
      <c r="Z1090">
        <v>69.3</v>
      </c>
      <c r="AA1090">
        <v>83.1</v>
      </c>
    </row>
    <row r="1091" spans="1:27" x14ac:dyDescent="0.25">
      <c r="A1091" t="s">
        <v>234</v>
      </c>
      <c r="B1091" t="s">
        <v>178</v>
      </c>
      <c r="C1091" s="76">
        <v>44009</v>
      </c>
      <c r="D1091">
        <v>15614</v>
      </c>
      <c r="E1091">
        <v>10301</v>
      </c>
      <c r="F1091">
        <v>20928</v>
      </c>
      <c r="G1091">
        <v>8167</v>
      </c>
      <c r="H1091">
        <v>65.7</v>
      </c>
      <c r="I1091">
        <v>58.8</v>
      </c>
      <c r="J1091">
        <v>72.5</v>
      </c>
      <c r="K1091">
        <v>1958</v>
      </c>
      <c r="L1091">
        <v>1207</v>
      </c>
      <c r="M1091">
        <v>2710</v>
      </c>
      <c r="N1091">
        <v>8.1999999999999993</v>
      </c>
      <c r="O1091">
        <v>6.2</v>
      </c>
      <c r="P1091">
        <v>10.3</v>
      </c>
      <c r="Q1091">
        <f t="shared" si="32"/>
        <v>10830007</v>
      </c>
      <c r="R1091">
        <f t="shared" si="31"/>
        <v>18.079397363270402</v>
      </c>
      <c r="U1091">
        <v>2517</v>
      </c>
      <c r="V1091">
        <v>1499</v>
      </c>
      <c r="W1091">
        <v>3536</v>
      </c>
      <c r="X1091">
        <v>873</v>
      </c>
      <c r="Y1091">
        <v>74.3</v>
      </c>
      <c r="Z1091">
        <v>67.8</v>
      </c>
      <c r="AA1091">
        <v>80.7</v>
      </c>
    </row>
    <row r="1092" spans="1:27" x14ac:dyDescent="0.25">
      <c r="A1092" t="s">
        <v>234</v>
      </c>
      <c r="B1092" t="s">
        <v>178</v>
      </c>
      <c r="C1092" s="76">
        <v>44010</v>
      </c>
      <c r="D1092">
        <v>14797</v>
      </c>
      <c r="E1092">
        <v>9663</v>
      </c>
      <c r="F1092">
        <v>19931</v>
      </c>
      <c r="G1092">
        <v>8941</v>
      </c>
      <c r="H1092">
        <v>62.3</v>
      </c>
      <c r="I1092">
        <v>55.5</v>
      </c>
      <c r="J1092">
        <v>69.099999999999994</v>
      </c>
      <c r="K1092">
        <v>2045</v>
      </c>
      <c r="L1092">
        <v>1244</v>
      </c>
      <c r="M1092">
        <v>2845</v>
      </c>
      <c r="N1092">
        <v>8.6</v>
      </c>
      <c r="O1092">
        <v>6.4</v>
      </c>
      <c r="P1092">
        <v>10.8</v>
      </c>
      <c r="Q1092">
        <f t="shared" si="32"/>
        <v>10830007</v>
      </c>
      <c r="R1092">
        <f t="shared" si="31"/>
        <v>18.882720943763012</v>
      </c>
      <c r="U1092">
        <v>2459</v>
      </c>
      <c r="V1092">
        <v>1432</v>
      </c>
      <c r="W1092">
        <v>3485</v>
      </c>
      <c r="X1092">
        <v>874</v>
      </c>
      <c r="Y1092">
        <v>73.8</v>
      </c>
      <c r="Z1092">
        <v>66.900000000000006</v>
      </c>
      <c r="AA1092">
        <v>80.7</v>
      </c>
    </row>
    <row r="1093" spans="1:27" x14ac:dyDescent="0.25">
      <c r="A1093" t="s">
        <v>234</v>
      </c>
      <c r="B1093" t="s">
        <v>178</v>
      </c>
      <c r="C1093" s="76">
        <v>44011</v>
      </c>
      <c r="D1093">
        <v>15545</v>
      </c>
      <c r="E1093">
        <v>10343</v>
      </c>
      <c r="F1093">
        <v>20747</v>
      </c>
      <c r="G1093">
        <v>8535</v>
      </c>
      <c r="H1093">
        <v>64.599999999999994</v>
      </c>
      <c r="I1093">
        <v>57.8</v>
      </c>
      <c r="J1093">
        <v>71.3</v>
      </c>
      <c r="K1093">
        <v>2265</v>
      </c>
      <c r="L1093">
        <v>1414</v>
      </c>
      <c r="M1093">
        <v>3115</v>
      </c>
      <c r="N1093">
        <v>9.4</v>
      </c>
      <c r="O1093">
        <v>6.9</v>
      </c>
      <c r="P1093">
        <v>11.9</v>
      </c>
      <c r="Q1093">
        <f t="shared" si="32"/>
        <v>10830007</v>
      </c>
      <c r="R1093">
        <f t="shared" ref="R1093:R1156" si="33">K1093/(Q1093)*100000</f>
        <v>20.914113905928225</v>
      </c>
      <c r="U1093">
        <v>2634</v>
      </c>
      <c r="V1093">
        <v>1555</v>
      </c>
      <c r="W1093">
        <v>3713</v>
      </c>
      <c r="X1093">
        <v>893</v>
      </c>
      <c r="Y1093">
        <v>74.7</v>
      </c>
      <c r="Z1093">
        <v>66.599999999999994</v>
      </c>
      <c r="AA1093">
        <v>82.7</v>
      </c>
    </row>
    <row r="1094" spans="1:27" x14ac:dyDescent="0.25">
      <c r="A1094" t="s">
        <v>234</v>
      </c>
      <c r="B1094" t="s">
        <v>178</v>
      </c>
      <c r="C1094" s="76">
        <v>44012</v>
      </c>
      <c r="D1094">
        <v>16379</v>
      </c>
      <c r="E1094">
        <v>10969</v>
      </c>
      <c r="F1094">
        <v>21790</v>
      </c>
      <c r="G1094">
        <v>7754</v>
      </c>
      <c r="H1094">
        <v>67.900000000000006</v>
      </c>
      <c r="I1094">
        <v>61.1</v>
      </c>
      <c r="J1094">
        <v>74.599999999999994</v>
      </c>
      <c r="K1094">
        <v>2429</v>
      </c>
      <c r="L1094">
        <v>1515</v>
      </c>
      <c r="M1094">
        <v>3344</v>
      </c>
      <c r="N1094">
        <v>10.1</v>
      </c>
      <c r="O1094">
        <v>7.3</v>
      </c>
      <c r="P1094">
        <v>12.8</v>
      </c>
      <c r="Q1094">
        <f t="shared" si="32"/>
        <v>10830007</v>
      </c>
      <c r="R1094">
        <f t="shared" si="33"/>
        <v>22.428425023178654</v>
      </c>
      <c r="U1094">
        <v>2714</v>
      </c>
      <c r="V1094">
        <v>1638</v>
      </c>
      <c r="W1094">
        <v>3791</v>
      </c>
      <c r="X1094">
        <v>825</v>
      </c>
      <c r="Y1094">
        <v>76.7</v>
      </c>
      <c r="Z1094">
        <v>69.8</v>
      </c>
      <c r="AA1094">
        <v>83.6</v>
      </c>
    </row>
    <row r="1095" spans="1:27" x14ac:dyDescent="0.25">
      <c r="A1095" t="s">
        <v>234</v>
      </c>
      <c r="B1095" t="s">
        <v>178</v>
      </c>
      <c r="C1095" s="76">
        <v>44013</v>
      </c>
      <c r="D1095">
        <v>16869</v>
      </c>
      <c r="E1095">
        <v>11315</v>
      </c>
      <c r="F1095">
        <v>22422</v>
      </c>
      <c r="G1095">
        <v>7487</v>
      </c>
      <c r="H1095">
        <v>69.3</v>
      </c>
      <c r="I1095">
        <v>62.1</v>
      </c>
      <c r="J1095">
        <v>76.400000000000006</v>
      </c>
      <c r="K1095">
        <v>2649</v>
      </c>
      <c r="L1095">
        <v>1681</v>
      </c>
      <c r="M1095">
        <v>3617</v>
      </c>
      <c r="N1095">
        <v>10.9</v>
      </c>
      <c r="O1095">
        <v>8.1</v>
      </c>
      <c r="P1095">
        <v>13.7</v>
      </c>
      <c r="Q1095">
        <f t="shared" si="32"/>
        <v>10830007</v>
      </c>
      <c r="R1095">
        <f t="shared" si="33"/>
        <v>24.459817985343868</v>
      </c>
      <c r="U1095">
        <v>2834</v>
      </c>
      <c r="V1095">
        <v>1712</v>
      </c>
      <c r="W1095">
        <v>3955</v>
      </c>
      <c r="X1095">
        <v>751</v>
      </c>
      <c r="Y1095">
        <v>79</v>
      </c>
      <c r="Z1095">
        <v>72.900000000000006</v>
      </c>
      <c r="AA1095">
        <v>85.2</v>
      </c>
    </row>
    <row r="1096" spans="1:27" x14ac:dyDescent="0.25">
      <c r="A1096" t="s">
        <v>234</v>
      </c>
      <c r="B1096" t="s">
        <v>178</v>
      </c>
      <c r="C1096" s="76">
        <v>44014</v>
      </c>
      <c r="D1096">
        <v>16590</v>
      </c>
      <c r="E1096">
        <v>10935</v>
      </c>
      <c r="F1096">
        <v>22244</v>
      </c>
      <c r="G1096">
        <v>7717</v>
      </c>
      <c r="H1096">
        <v>68.3</v>
      </c>
      <c r="I1096">
        <v>60.8</v>
      </c>
      <c r="J1096">
        <v>75.7</v>
      </c>
      <c r="K1096">
        <v>2688</v>
      </c>
      <c r="L1096">
        <v>1664</v>
      </c>
      <c r="M1096">
        <v>3712</v>
      </c>
      <c r="N1096">
        <v>11.1</v>
      </c>
      <c r="O1096">
        <v>8.5</v>
      </c>
      <c r="P1096">
        <v>13.7</v>
      </c>
      <c r="Q1096">
        <f t="shared" si="32"/>
        <v>10830007</v>
      </c>
      <c r="R1096">
        <f t="shared" si="33"/>
        <v>24.81992855590952</v>
      </c>
      <c r="U1096">
        <v>2697</v>
      </c>
      <c r="V1096">
        <v>1576</v>
      </c>
      <c r="W1096">
        <v>3818</v>
      </c>
      <c r="X1096">
        <v>696</v>
      </c>
      <c r="Y1096">
        <v>79.5</v>
      </c>
      <c r="Z1096">
        <v>73.099999999999994</v>
      </c>
      <c r="AA1096">
        <v>85.9</v>
      </c>
    </row>
    <row r="1097" spans="1:27" x14ac:dyDescent="0.25">
      <c r="A1097" t="s">
        <v>234</v>
      </c>
      <c r="B1097" t="s">
        <v>178</v>
      </c>
      <c r="C1097" s="76">
        <v>44015</v>
      </c>
      <c r="D1097">
        <v>16436</v>
      </c>
      <c r="E1097">
        <v>10778</v>
      </c>
      <c r="F1097">
        <v>22095</v>
      </c>
      <c r="G1097">
        <v>7670</v>
      </c>
      <c r="H1097">
        <v>68.2</v>
      </c>
      <c r="I1097">
        <v>60.6</v>
      </c>
      <c r="J1097">
        <v>75.7</v>
      </c>
      <c r="K1097">
        <v>2681</v>
      </c>
      <c r="L1097">
        <v>1669</v>
      </c>
      <c r="M1097">
        <v>3693</v>
      </c>
      <c r="N1097">
        <v>11.1</v>
      </c>
      <c r="O1097">
        <v>8.6</v>
      </c>
      <c r="P1097">
        <v>13.6</v>
      </c>
      <c r="Q1097">
        <f t="shared" si="32"/>
        <v>10830007</v>
      </c>
      <c r="R1097">
        <f t="shared" si="33"/>
        <v>24.755293325295174</v>
      </c>
      <c r="U1097">
        <v>2694</v>
      </c>
      <c r="V1097">
        <v>1579</v>
      </c>
      <c r="W1097">
        <v>3809</v>
      </c>
      <c r="X1097">
        <v>682</v>
      </c>
      <c r="Y1097">
        <v>79.8</v>
      </c>
      <c r="Z1097">
        <v>73.900000000000006</v>
      </c>
      <c r="AA1097">
        <v>85.7</v>
      </c>
    </row>
    <row r="1098" spans="1:27" x14ac:dyDescent="0.25">
      <c r="A1098" t="s">
        <v>234</v>
      </c>
      <c r="B1098" t="s">
        <v>178</v>
      </c>
      <c r="C1098" s="76">
        <v>44016</v>
      </c>
      <c r="D1098">
        <v>15476</v>
      </c>
      <c r="E1098">
        <v>10136</v>
      </c>
      <c r="F1098">
        <v>20815</v>
      </c>
      <c r="G1098">
        <v>8614</v>
      </c>
      <c r="H1098">
        <v>64.2</v>
      </c>
      <c r="I1098">
        <v>57.1</v>
      </c>
      <c r="J1098">
        <v>71.400000000000006</v>
      </c>
      <c r="K1098">
        <v>2826</v>
      </c>
      <c r="L1098">
        <v>1769</v>
      </c>
      <c r="M1098">
        <v>3884</v>
      </c>
      <c r="N1098">
        <v>11.7</v>
      </c>
      <c r="O1098">
        <v>9.3000000000000007</v>
      </c>
      <c r="P1098">
        <v>14.1</v>
      </c>
      <c r="Q1098">
        <f t="shared" si="32"/>
        <v>10830007</v>
      </c>
      <c r="R1098">
        <f t="shared" si="33"/>
        <v>26.094165959449516</v>
      </c>
      <c r="U1098">
        <v>2617</v>
      </c>
      <c r="V1098">
        <v>1518</v>
      </c>
      <c r="W1098">
        <v>3717</v>
      </c>
      <c r="X1098">
        <v>760</v>
      </c>
      <c r="Y1098">
        <v>77.5</v>
      </c>
      <c r="Z1098">
        <v>71.400000000000006</v>
      </c>
      <c r="AA1098">
        <v>83.6</v>
      </c>
    </row>
    <row r="1099" spans="1:27" x14ac:dyDescent="0.25">
      <c r="A1099" t="s">
        <v>234</v>
      </c>
      <c r="B1099" t="s">
        <v>178</v>
      </c>
      <c r="C1099" s="76">
        <v>44017</v>
      </c>
      <c r="D1099">
        <v>15408</v>
      </c>
      <c r="E1099">
        <v>10104</v>
      </c>
      <c r="F1099">
        <v>20713</v>
      </c>
      <c r="G1099">
        <v>8624</v>
      </c>
      <c r="H1099">
        <v>64.099999999999994</v>
      </c>
      <c r="I1099">
        <v>56.9</v>
      </c>
      <c r="J1099">
        <v>71.3</v>
      </c>
      <c r="K1099">
        <v>2913</v>
      </c>
      <c r="L1099">
        <v>1819</v>
      </c>
      <c r="M1099">
        <v>4006</v>
      </c>
      <c r="N1099">
        <v>12.1</v>
      </c>
      <c r="O1099">
        <v>9.5</v>
      </c>
      <c r="P1099">
        <v>14.7</v>
      </c>
      <c r="Q1099">
        <f t="shared" si="32"/>
        <v>10830007</v>
      </c>
      <c r="R1099">
        <f t="shared" si="33"/>
        <v>26.897489539942129</v>
      </c>
      <c r="U1099">
        <v>2574</v>
      </c>
      <c r="V1099">
        <v>1502</v>
      </c>
      <c r="W1099">
        <v>3646</v>
      </c>
      <c r="X1099">
        <v>806</v>
      </c>
      <c r="Y1099">
        <v>76.2</v>
      </c>
      <c r="Z1099">
        <v>69.8</v>
      </c>
      <c r="AA1099">
        <v>82.5</v>
      </c>
    </row>
    <row r="1100" spans="1:27" x14ac:dyDescent="0.25">
      <c r="A1100" t="s">
        <v>234</v>
      </c>
      <c r="B1100" t="s">
        <v>178</v>
      </c>
      <c r="C1100" s="76">
        <v>44018</v>
      </c>
      <c r="D1100">
        <v>15995</v>
      </c>
      <c r="E1100">
        <v>10503</v>
      </c>
      <c r="F1100">
        <v>21487</v>
      </c>
      <c r="G1100">
        <v>7919</v>
      </c>
      <c r="H1100">
        <v>66.900000000000006</v>
      </c>
      <c r="I1100">
        <v>59.5</v>
      </c>
      <c r="J1100">
        <v>74.3</v>
      </c>
      <c r="K1100">
        <v>3073</v>
      </c>
      <c r="L1100">
        <v>1915</v>
      </c>
      <c r="M1100">
        <v>4231</v>
      </c>
      <c r="N1100">
        <v>12.9</v>
      </c>
      <c r="O1100">
        <v>10.1</v>
      </c>
      <c r="P1100">
        <v>15.6</v>
      </c>
      <c r="Q1100">
        <f t="shared" si="32"/>
        <v>10830007</v>
      </c>
      <c r="R1100">
        <f t="shared" si="33"/>
        <v>28.374866239698644</v>
      </c>
      <c r="U1100">
        <v>2616</v>
      </c>
      <c r="V1100">
        <v>1528</v>
      </c>
      <c r="W1100">
        <v>3703</v>
      </c>
      <c r="X1100">
        <v>755</v>
      </c>
      <c r="Y1100">
        <v>77.599999999999994</v>
      </c>
      <c r="Z1100">
        <v>70.7</v>
      </c>
      <c r="AA1100">
        <v>84.5</v>
      </c>
    </row>
    <row r="1101" spans="1:27" x14ac:dyDescent="0.25">
      <c r="A1101" t="s">
        <v>234</v>
      </c>
      <c r="B1101" t="s">
        <v>178</v>
      </c>
      <c r="C1101" s="76">
        <v>44019</v>
      </c>
      <c r="D1101">
        <v>16828</v>
      </c>
      <c r="E1101">
        <v>11092</v>
      </c>
      <c r="F1101">
        <v>22564</v>
      </c>
      <c r="G1101">
        <v>7142</v>
      </c>
      <c r="H1101">
        <v>70.2</v>
      </c>
      <c r="I1101">
        <v>62.7</v>
      </c>
      <c r="J1101">
        <v>77.7</v>
      </c>
      <c r="K1101">
        <v>3206</v>
      </c>
      <c r="L1101">
        <v>1984</v>
      </c>
      <c r="M1101">
        <v>4429</v>
      </c>
      <c r="N1101">
        <v>13.4</v>
      </c>
      <c r="O1101">
        <v>10.5</v>
      </c>
      <c r="P1101">
        <v>16.2</v>
      </c>
      <c r="Q1101">
        <f t="shared" si="32"/>
        <v>10830007</v>
      </c>
      <c r="R1101">
        <f t="shared" si="33"/>
        <v>29.602935621371252</v>
      </c>
      <c r="U1101">
        <v>2745</v>
      </c>
      <c r="V1101">
        <v>1632</v>
      </c>
      <c r="W1101">
        <v>3858</v>
      </c>
      <c r="X1101">
        <v>629</v>
      </c>
      <c r="Y1101">
        <v>81.400000000000006</v>
      </c>
      <c r="Z1101">
        <v>75.400000000000006</v>
      </c>
      <c r="AA1101">
        <v>87.3</v>
      </c>
    </row>
    <row r="1102" spans="1:27" x14ac:dyDescent="0.25">
      <c r="A1102" t="s">
        <v>235</v>
      </c>
      <c r="B1102" t="s">
        <v>212</v>
      </c>
      <c r="C1102" s="76">
        <v>43922</v>
      </c>
      <c r="D1102">
        <v>1107</v>
      </c>
      <c r="E1102">
        <v>112</v>
      </c>
      <c r="F1102">
        <v>2102</v>
      </c>
      <c r="G1102">
        <v>589</v>
      </c>
      <c r="H1102">
        <v>65.3</v>
      </c>
      <c r="I1102">
        <v>56.5</v>
      </c>
      <c r="J1102">
        <v>74.099999999999994</v>
      </c>
      <c r="K1102">
        <v>46</v>
      </c>
      <c r="L1102">
        <v>0</v>
      </c>
      <c r="M1102">
        <v>104</v>
      </c>
      <c r="N1102">
        <v>2.7</v>
      </c>
      <c r="O1102">
        <v>0.5</v>
      </c>
      <c r="P1102">
        <v>4.9000000000000004</v>
      </c>
      <c r="Q1102">
        <f t="shared" si="32"/>
        <v>1406430</v>
      </c>
      <c r="R1102">
        <f t="shared" si="33"/>
        <v>3.2706924624759144</v>
      </c>
      <c r="U1102">
        <v>255</v>
      </c>
      <c r="V1102">
        <v>0</v>
      </c>
      <c r="W1102">
        <v>650</v>
      </c>
      <c r="X1102">
        <v>199</v>
      </c>
      <c r="Y1102">
        <v>56.1</v>
      </c>
      <c r="Z1102">
        <v>20.100000000000001</v>
      </c>
      <c r="AA1102">
        <v>92.2</v>
      </c>
    </row>
    <row r="1103" spans="1:27" x14ac:dyDescent="0.25">
      <c r="A1103" t="s">
        <v>235</v>
      </c>
      <c r="B1103" t="s">
        <v>212</v>
      </c>
      <c r="C1103" s="76">
        <v>43923</v>
      </c>
      <c r="D1103">
        <v>1066</v>
      </c>
      <c r="E1103">
        <v>108</v>
      </c>
      <c r="F1103">
        <v>2024</v>
      </c>
      <c r="G1103">
        <v>630</v>
      </c>
      <c r="H1103">
        <v>62.9</v>
      </c>
      <c r="I1103">
        <v>56</v>
      </c>
      <c r="J1103">
        <v>69.7</v>
      </c>
      <c r="K1103">
        <v>50</v>
      </c>
      <c r="L1103">
        <v>0</v>
      </c>
      <c r="M1103">
        <v>112</v>
      </c>
      <c r="N1103">
        <v>3</v>
      </c>
      <c r="O1103">
        <v>0.7</v>
      </c>
      <c r="P1103">
        <v>5.2</v>
      </c>
      <c r="Q1103">
        <f t="shared" si="32"/>
        <v>1406430</v>
      </c>
      <c r="R1103">
        <f t="shared" si="33"/>
        <v>3.5551005026912113</v>
      </c>
      <c r="U1103">
        <v>233</v>
      </c>
      <c r="V1103">
        <v>0</v>
      </c>
      <c r="W1103">
        <v>594</v>
      </c>
      <c r="X1103">
        <v>221</v>
      </c>
      <c r="Y1103">
        <v>51.3</v>
      </c>
      <c r="Z1103">
        <v>16.3</v>
      </c>
      <c r="AA1103">
        <v>86.4</v>
      </c>
    </row>
    <row r="1104" spans="1:27" x14ac:dyDescent="0.25">
      <c r="A1104" t="s">
        <v>235</v>
      </c>
      <c r="B1104" t="s">
        <v>212</v>
      </c>
      <c r="C1104" s="76">
        <v>43924</v>
      </c>
      <c r="D1104">
        <v>952</v>
      </c>
      <c r="E1104">
        <v>5</v>
      </c>
      <c r="F1104">
        <v>1898</v>
      </c>
      <c r="G1104">
        <v>570</v>
      </c>
      <c r="H1104">
        <v>62.5</v>
      </c>
      <c r="I1104">
        <v>52.1</v>
      </c>
      <c r="J1104">
        <v>73</v>
      </c>
      <c r="K1104">
        <v>56</v>
      </c>
      <c r="L1104">
        <v>0</v>
      </c>
      <c r="M1104">
        <v>155</v>
      </c>
      <c r="N1104">
        <v>3.7</v>
      </c>
      <c r="O1104">
        <v>0</v>
      </c>
      <c r="P1104">
        <v>9.4</v>
      </c>
      <c r="Q1104">
        <f t="shared" si="32"/>
        <v>1406430</v>
      </c>
      <c r="R1104">
        <f t="shared" si="33"/>
        <v>3.9817125630141565</v>
      </c>
      <c r="U1104">
        <v>220</v>
      </c>
      <c r="V1104">
        <v>0</v>
      </c>
      <c r="W1104">
        <v>549</v>
      </c>
      <c r="X1104">
        <v>173</v>
      </c>
      <c r="Y1104">
        <v>55.9</v>
      </c>
      <c r="Z1104">
        <v>29.4</v>
      </c>
      <c r="AA1104">
        <v>82.3</v>
      </c>
    </row>
    <row r="1105" spans="1:27" x14ac:dyDescent="0.25">
      <c r="A1105" t="s">
        <v>235</v>
      </c>
      <c r="B1105" t="s">
        <v>212</v>
      </c>
      <c r="C1105" s="76">
        <v>43925</v>
      </c>
      <c r="D1105">
        <v>939</v>
      </c>
      <c r="E1105">
        <v>0</v>
      </c>
      <c r="F1105">
        <v>1881</v>
      </c>
      <c r="G1105">
        <v>583</v>
      </c>
      <c r="H1105">
        <v>61.7</v>
      </c>
      <c r="I1105">
        <v>49.7</v>
      </c>
      <c r="J1105">
        <v>73.7</v>
      </c>
      <c r="K1105">
        <v>42</v>
      </c>
      <c r="L1105">
        <v>0</v>
      </c>
      <c r="M1105">
        <v>101</v>
      </c>
      <c r="N1105">
        <v>2.8</v>
      </c>
      <c r="O1105">
        <v>0.2</v>
      </c>
      <c r="P1105">
        <v>5.4</v>
      </c>
      <c r="Q1105">
        <f t="shared" si="32"/>
        <v>1406430</v>
      </c>
      <c r="R1105">
        <f t="shared" si="33"/>
        <v>2.9862844222606171</v>
      </c>
      <c r="U1105">
        <v>240</v>
      </c>
      <c r="V1105">
        <v>0</v>
      </c>
      <c r="W1105">
        <v>610</v>
      </c>
      <c r="X1105">
        <v>153</v>
      </c>
      <c r="Y1105">
        <v>61.1</v>
      </c>
      <c r="Z1105">
        <v>36.1</v>
      </c>
      <c r="AA1105">
        <v>86.2</v>
      </c>
    </row>
    <row r="1106" spans="1:27" x14ac:dyDescent="0.25">
      <c r="A1106" t="s">
        <v>235</v>
      </c>
      <c r="B1106" t="s">
        <v>212</v>
      </c>
      <c r="C1106" s="76">
        <v>43926</v>
      </c>
      <c r="D1106">
        <v>921</v>
      </c>
      <c r="E1106">
        <v>0</v>
      </c>
      <c r="F1106">
        <v>1866</v>
      </c>
      <c r="G1106">
        <v>600</v>
      </c>
      <c r="H1106">
        <v>60.5</v>
      </c>
      <c r="I1106">
        <v>46.1</v>
      </c>
      <c r="J1106">
        <v>75</v>
      </c>
      <c r="K1106">
        <v>48</v>
      </c>
      <c r="L1106">
        <v>0</v>
      </c>
      <c r="M1106">
        <v>116</v>
      </c>
      <c r="N1106">
        <v>3.2</v>
      </c>
      <c r="O1106">
        <v>0</v>
      </c>
      <c r="P1106">
        <v>6.4</v>
      </c>
      <c r="Q1106">
        <f t="shared" si="32"/>
        <v>1406430</v>
      </c>
      <c r="R1106">
        <f t="shared" si="33"/>
        <v>3.4128964825835628</v>
      </c>
      <c r="U1106">
        <v>187</v>
      </c>
      <c r="V1106">
        <v>0</v>
      </c>
      <c r="W1106">
        <v>496</v>
      </c>
      <c r="X1106">
        <v>206</v>
      </c>
      <c r="Y1106">
        <v>47.5</v>
      </c>
      <c r="Z1106">
        <v>10.9</v>
      </c>
      <c r="AA1106">
        <v>84.1</v>
      </c>
    </row>
    <row r="1107" spans="1:27" x14ac:dyDescent="0.25">
      <c r="A1107" t="s">
        <v>235</v>
      </c>
      <c r="B1107" t="s">
        <v>212</v>
      </c>
      <c r="C1107" s="76">
        <v>43927</v>
      </c>
      <c r="D1107">
        <v>925</v>
      </c>
      <c r="E1107">
        <v>0</v>
      </c>
      <c r="F1107">
        <v>1855</v>
      </c>
      <c r="G1107">
        <v>597</v>
      </c>
      <c r="H1107">
        <v>60.8</v>
      </c>
      <c r="I1107">
        <v>49.6</v>
      </c>
      <c r="J1107">
        <v>71.900000000000006</v>
      </c>
      <c r="K1107">
        <v>39</v>
      </c>
      <c r="L1107">
        <v>0</v>
      </c>
      <c r="M1107">
        <v>98</v>
      </c>
      <c r="N1107">
        <v>2.6</v>
      </c>
      <c r="O1107">
        <v>0</v>
      </c>
      <c r="P1107">
        <v>5.5</v>
      </c>
      <c r="Q1107">
        <f t="shared" si="32"/>
        <v>1406430</v>
      </c>
      <c r="R1107">
        <f t="shared" si="33"/>
        <v>2.7729783920991444</v>
      </c>
      <c r="U1107">
        <v>213</v>
      </c>
      <c r="V1107">
        <v>0</v>
      </c>
      <c r="W1107">
        <v>552</v>
      </c>
      <c r="X1107">
        <v>181</v>
      </c>
      <c r="Y1107">
        <v>54.1</v>
      </c>
      <c r="Z1107">
        <v>23.1</v>
      </c>
      <c r="AA1107">
        <v>85</v>
      </c>
    </row>
    <row r="1108" spans="1:27" x14ac:dyDescent="0.25">
      <c r="A1108" t="s">
        <v>235</v>
      </c>
      <c r="B1108" t="s">
        <v>212</v>
      </c>
      <c r="C1108" s="76">
        <v>43928</v>
      </c>
      <c r="D1108">
        <v>928</v>
      </c>
      <c r="E1108">
        <v>1</v>
      </c>
      <c r="F1108">
        <v>1854</v>
      </c>
      <c r="G1108">
        <v>594</v>
      </c>
      <c r="H1108">
        <v>61</v>
      </c>
      <c r="I1108">
        <v>50.2</v>
      </c>
      <c r="J1108">
        <v>71.7</v>
      </c>
      <c r="K1108">
        <v>39</v>
      </c>
      <c r="L1108">
        <v>0</v>
      </c>
      <c r="M1108">
        <v>91</v>
      </c>
      <c r="N1108">
        <v>2.6</v>
      </c>
      <c r="O1108">
        <v>0.3</v>
      </c>
      <c r="P1108">
        <v>4.8</v>
      </c>
      <c r="Q1108">
        <f t="shared" si="32"/>
        <v>1406430</v>
      </c>
      <c r="R1108">
        <f t="shared" si="33"/>
        <v>2.7729783920991444</v>
      </c>
      <c r="U1108">
        <v>267</v>
      </c>
      <c r="V1108">
        <v>0</v>
      </c>
      <c r="W1108">
        <v>734</v>
      </c>
      <c r="X1108">
        <v>126</v>
      </c>
      <c r="Y1108">
        <v>68</v>
      </c>
      <c r="Z1108">
        <v>13</v>
      </c>
      <c r="AA1108">
        <v>100</v>
      </c>
    </row>
    <row r="1109" spans="1:27" x14ac:dyDescent="0.25">
      <c r="A1109" t="s">
        <v>235</v>
      </c>
      <c r="B1109" t="s">
        <v>212</v>
      </c>
      <c r="C1109" s="76">
        <v>43929</v>
      </c>
      <c r="D1109">
        <v>897</v>
      </c>
      <c r="E1109">
        <v>20</v>
      </c>
      <c r="F1109">
        <v>1774</v>
      </c>
      <c r="G1109">
        <v>625</v>
      </c>
      <c r="H1109">
        <v>59</v>
      </c>
      <c r="I1109">
        <v>53.2</v>
      </c>
      <c r="J1109">
        <v>64.7</v>
      </c>
      <c r="K1109">
        <v>37</v>
      </c>
      <c r="L1109">
        <v>0</v>
      </c>
      <c r="M1109">
        <v>87</v>
      </c>
      <c r="N1109">
        <v>2.5</v>
      </c>
      <c r="O1109">
        <v>0.1</v>
      </c>
      <c r="P1109">
        <v>4.8</v>
      </c>
      <c r="Q1109">
        <f t="shared" si="32"/>
        <v>1406430</v>
      </c>
      <c r="R1109">
        <f t="shared" si="33"/>
        <v>2.630774371991496</v>
      </c>
      <c r="U1109">
        <v>234</v>
      </c>
      <c r="V1109">
        <v>0</v>
      </c>
      <c r="W1109">
        <v>594</v>
      </c>
      <c r="X1109">
        <v>160</v>
      </c>
      <c r="Y1109">
        <v>59.4</v>
      </c>
      <c r="Z1109">
        <v>31.5</v>
      </c>
      <c r="AA1109">
        <v>87.3</v>
      </c>
    </row>
    <row r="1110" spans="1:27" x14ac:dyDescent="0.25">
      <c r="A1110" t="s">
        <v>235</v>
      </c>
      <c r="B1110" t="s">
        <v>212</v>
      </c>
      <c r="C1110" s="76">
        <v>43930</v>
      </c>
      <c r="D1110">
        <v>904</v>
      </c>
      <c r="E1110">
        <v>14</v>
      </c>
      <c r="F1110">
        <v>1793</v>
      </c>
      <c r="G1110">
        <v>618</v>
      </c>
      <c r="H1110">
        <v>59.4</v>
      </c>
      <c r="I1110">
        <v>53.3</v>
      </c>
      <c r="J1110">
        <v>65.400000000000006</v>
      </c>
      <c r="K1110">
        <v>42</v>
      </c>
      <c r="L1110">
        <v>0</v>
      </c>
      <c r="M1110">
        <v>100</v>
      </c>
      <c r="N1110">
        <v>2.8</v>
      </c>
      <c r="O1110">
        <v>0</v>
      </c>
      <c r="P1110">
        <v>5.6</v>
      </c>
      <c r="Q1110">
        <f t="shared" si="32"/>
        <v>1406430</v>
      </c>
      <c r="R1110">
        <f t="shared" si="33"/>
        <v>2.9862844222606171</v>
      </c>
      <c r="U1110">
        <v>243</v>
      </c>
      <c r="V1110">
        <v>0</v>
      </c>
      <c r="W1110">
        <v>599</v>
      </c>
      <c r="X1110">
        <v>150</v>
      </c>
      <c r="Y1110">
        <v>61.9</v>
      </c>
      <c r="Z1110">
        <v>36.1</v>
      </c>
      <c r="AA1110">
        <v>87.7</v>
      </c>
    </row>
    <row r="1111" spans="1:27" x14ac:dyDescent="0.25">
      <c r="A1111" t="s">
        <v>235</v>
      </c>
      <c r="B1111" t="s">
        <v>212</v>
      </c>
      <c r="C1111" s="76">
        <v>43931</v>
      </c>
      <c r="D1111">
        <v>860</v>
      </c>
      <c r="E1111">
        <v>13</v>
      </c>
      <c r="F1111">
        <v>1707</v>
      </c>
      <c r="G1111">
        <v>662</v>
      </c>
      <c r="H1111">
        <v>56.5</v>
      </c>
      <c r="I1111">
        <v>51.5</v>
      </c>
      <c r="J1111">
        <v>61.5</v>
      </c>
      <c r="K1111">
        <v>41</v>
      </c>
      <c r="L1111">
        <v>0</v>
      </c>
      <c r="M1111">
        <v>104</v>
      </c>
      <c r="N1111">
        <v>2.7</v>
      </c>
      <c r="O1111">
        <v>0</v>
      </c>
      <c r="P1111">
        <v>6</v>
      </c>
      <c r="Q1111">
        <f t="shared" si="32"/>
        <v>1406430</v>
      </c>
      <c r="R1111">
        <f t="shared" si="33"/>
        <v>2.9151824122067929</v>
      </c>
      <c r="U1111">
        <v>64</v>
      </c>
      <c r="V1111">
        <v>0</v>
      </c>
      <c r="W1111">
        <v>138</v>
      </c>
      <c r="X1111">
        <v>53</v>
      </c>
      <c r="Y1111">
        <v>54.5</v>
      </c>
      <c r="Z1111">
        <v>35</v>
      </c>
      <c r="AA1111">
        <v>74.099999999999994</v>
      </c>
    </row>
    <row r="1112" spans="1:27" x14ac:dyDescent="0.25">
      <c r="A1112" t="s">
        <v>235</v>
      </c>
      <c r="B1112" t="s">
        <v>212</v>
      </c>
      <c r="C1112" s="76">
        <v>43932</v>
      </c>
      <c r="D1112">
        <v>836</v>
      </c>
      <c r="E1112">
        <v>2</v>
      </c>
      <c r="F1112">
        <v>1671</v>
      </c>
      <c r="G1112">
        <v>685</v>
      </c>
      <c r="H1112">
        <v>55</v>
      </c>
      <c r="I1112">
        <v>47.6</v>
      </c>
      <c r="J1112">
        <v>62.4</v>
      </c>
      <c r="K1112">
        <v>37</v>
      </c>
      <c r="L1112">
        <v>0</v>
      </c>
      <c r="M1112">
        <v>88</v>
      </c>
      <c r="N1112">
        <v>2.4</v>
      </c>
      <c r="O1112">
        <v>0.1</v>
      </c>
      <c r="P1112">
        <v>4.7</v>
      </c>
      <c r="Q1112">
        <f t="shared" si="32"/>
        <v>1406430</v>
      </c>
      <c r="R1112">
        <f t="shared" si="33"/>
        <v>2.630774371991496</v>
      </c>
      <c r="U1112">
        <v>59</v>
      </c>
      <c r="V1112">
        <v>0</v>
      </c>
      <c r="W1112">
        <v>137</v>
      </c>
      <c r="X1112">
        <v>58</v>
      </c>
      <c r="Y1112">
        <v>50.5</v>
      </c>
      <c r="Z1112">
        <v>17.399999999999999</v>
      </c>
      <c r="AA1112">
        <v>83.7</v>
      </c>
    </row>
    <row r="1113" spans="1:27" x14ac:dyDescent="0.25">
      <c r="A1113" t="s">
        <v>235</v>
      </c>
      <c r="B1113" t="s">
        <v>212</v>
      </c>
      <c r="C1113" s="76">
        <v>43933</v>
      </c>
      <c r="D1113">
        <v>857</v>
      </c>
      <c r="E1113">
        <v>4</v>
      </c>
      <c r="F1113">
        <v>1710</v>
      </c>
      <c r="G1113">
        <v>664</v>
      </c>
      <c r="H1113">
        <v>56.3</v>
      </c>
      <c r="I1113">
        <v>50.1</v>
      </c>
      <c r="J1113">
        <v>62.6</v>
      </c>
      <c r="K1113">
        <v>36</v>
      </c>
      <c r="L1113">
        <v>0</v>
      </c>
      <c r="M1113">
        <v>83</v>
      </c>
      <c r="N1113">
        <v>2.4</v>
      </c>
      <c r="O1113">
        <v>0.4</v>
      </c>
      <c r="P1113">
        <v>4.3</v>
      </c>
      <c r="Q1113">
        <f t="shared" si="32"/>
        <v>1406430</v>
      </c>
      <c r="R1113">
        <f t="shared" si="33"/>
        <v>2.5596723619376718</v>
      </c>
      <c r="U1113">
        <v>52</v>
      </c>
      <c r="V1113">
        <v>0</v>
      </c>
      <c r="W1113">
        <v>124</v>
      </c>
      <c r="X1113">
        <v>65</v>
      </c>
      <c r="Y1113">
        <v>44.7</v>
      </c>
      <c r="Z1113">
        <v>13.6</v>
      </c>
      <c r="AA1113">
        <v>75.7</v>
      </c>
    </row>
    <row r="1114" spans="1:27" x14ac:dyDescent="0.25">
      <c r="A1114" t="s">
        <v>235</v>
      </c>
      <c r="B1114" t="s">
        <v>212</v>
      </c>
      <c r="C1114" s="76">
        <v>43934</v>
      </c>
      <c r="D1114">
        <v>1091</v>
      </c>
      <c r="E1114">
        <v>260</v>
      </c>
      <c r="F1114">
        <v>1922</v>
      </c>
      <c r="G1114">
        <v>929</v>
      </c>
      <c r="H1114">
        <v>54</v>
      </c>
      <c r="I1114">
        <v>50</v>
      </c>
      <c r="J1114">
        <v>58</v>
      </c>
      <c r="K1114">
        <v>28</v>
      </c>
      <c r="L1114">
        <v>0</v>
      </c>
      <c r="M1114">
        <v>65</v>
      </c>
      <c r="N1114">
        <v>1.4</v>
      </c>
      <c r="O1114">
        <v>0</v>
      </c>
      <c r="P1114">
        <v>2.7</v>
      </c>
      <c r="Q1114">
        <f t="shared" si="32"/>
        <v>1406430</v>
      </c>
      <c r="R1114">
        <f t="shared" si="33"/>
        <v>1.9908562815070783</v>
      </c>
      <c r="U1114">
        <v>173</v>
      </c>
      <c r="V1114">
        <v>0</v>
      </c>
      <c r="W1114">
        <v>374</v>
      </c>
      <c r="X1114">
        <v>118</v>
      </c>
      <c r="Y1114">
        <v>59.4</v>
      </c>
      <c r="Z1114">
        <v>48.2</v>
      </c>
      <c r="AA1114">
        <v>70.599999999999994</v>
      </c>
    </row>
    <row r="1115" spans="1:27" x14ac:dyDescent="0.25">
      <c r="A1115" t="s">
        <v>235</v>
      </c>
      <c r="B1115" t="s">
        <v>212</v>
      </c>
      <c r="C1115" s="76">
        <v>43935</v>
      </c>
      <c r="D1115">
        <v>1148</v>
      </c>
      <c r="E1115">
        <v>266</v>
      </c>
      <c r="F1115">
        <v>2029</v>
      </c>
      <c r="G1115">
        <v>872</v>
      </c>
      <c r="H1115">
        <v>56.8</v>
      </c>
      <c r="I1115">
        <v>52</v>
      </c>
      <c r="J1115">
        <v>61.7</v>
      </c>
      <c r="K1115">
        <v>28</v>
      </c>
      <c r="L1115">
        <v>0</v>
      </c>
      <c r="M1115">
        <v>67</v>
      </c>
      <c r="N1115">
        <v>1.4</v>
      </c>
      <c r="O1115">
        <v>0</v>
      </c>
      <c r="P1115">
        <v>2.7</v>
      </c>
      <c r="Q1115">
        <f t="shared" si="32"/>
        <v>1406430</v>
      </c>
      <c r="R1115">
        <f t="shared" si="33"/>
        <v>1.9908562815070783</v>
      </c>
      <c r="U1115">
        <v>182</v>
      </c>
      <c r="V1115">
        <v>0</v>
      </c>
      <c r="W1115">
        <v>399</v>
      </c>
      <c r="X1115">
        <v>108</v>
      </c>
      <c r="Y1115">
        <v>62.7</v>
      </c>
      <c r="Z1115">
        <v>51.4</v>
      </c>
      <c r="AA1115">
        <v>74.099999999999994</v>
      </c>
    </row>
    <row r="1116" spans="1:27" x14ac:dyDescent="0.25">
      <c r="A1116" t="s">
        <v>235</v>
      </c>
      <c r="B1116" t="s">
        <v>212</v>
      </c>
      <c r="C1116" s="76">
        <v>43936</v>
      </c>
      <c r="D1116">
        <v>1215</v>
      </c>
      <c r="E1116">
        <v>304</v>
      </c>
      <c r="F1116">
        <v>2126</v>
      </c>
      <c r="G1116">
        <v>805</v>
      </c>
      <c r="H1116">
        <v>60.2</v>
      </c>
      <c r="I1116">
        <v>55.7</v>
      </c>
      <c r="J1116">
        <v>64.599999999999994</v>
      </c>
      <c r="K1116">
        <v>22</v>
      </c>
      <c r="L1116">
        <v>0</v>
      </c>
      <c r="M1116">
        <v>51</v>
      </c>
      <c r="N1116">
        <v>1.1000000000000001</v>
      </c>
      <c r="O1116">
        <v>0.1</v>
      </c>
      <c r="P1116">
        <v>2.1</v>
      </c>
      <c r="Q1116">
        <f t="shared" si="32"/>
        <v>1406430</v>
      </c>
      <c r="R1116">
        <f t="shared" si="33"/>
        <v>1.564244221184133</v>
      </c>
      <c r="U1116">
        <v>192</v>
      </c>
      <c r="V1116">
        <v>0</v>
      </c>
      <c r="W1116">
        <v>412</v>
      </c>
      <c r="X1116">
        <v>98</v>
      </c>
      <c r="Y1116">
        <v>66.2</v>
      </c>
      <c r="Z1116">
        <v>58.3</v>
      </c>
      <c r="AA1116">
        <v>74</v>
      </c>
    </row>
    <row r="1117" spans="1:27" x14ac:dyDescent="0.25">
      <c r="A1117" t="s">
        <v>235</v>
      </c>
      <c r="B1117" t="s">
        <v>212</v>
      </c>
      <c r="C1117" s="76">
        <v>43937</v>
      </c>
      <c r="D1117">
        <v>1177</v>
      </c>
      <c r="E1117">
        <v>295</v>
      </c>
      <c r="F1117">
        <v>2059</v>
      </c>
      <c r="G1117">
        <v>843</v>
      </c>
      <c r="H1117">
        <v>58.3</v>
      </c>
      <c r="I1117">
        <v>53.1</v>
      </c>
      <c r="J1117">
        <v>63.4</v>
      </c>
      <c r="K1117">
        <v>25</v>
      </c>
      <c r="L1117">
        <v>0</v>
      </c>
      <c r="M1117">
        <v>53</v>
      </c>
      <c r="N1117">
        <v>1.2</v>
      </c>
      <c r="O1117">
        <v>0.4</v>
      </c>
      <c r="P1117">
        <v>2.1</v>
      </c>
      <c r="Q1117">
        <f t="shared" si="32"/>
        <v>1406430</v>
      </c>
      <c r="R1117">
        <f t="shared" si="33"/>
        <v>1.7775502513456056</v>
      </c>
      <c r="U1117">
        <v>189</v>
      </c>
      <c r="V1117">
        <v>0</v>
      </c>
      <c r="W1117">
        <v>407</v>
      </c>
      <c r="X1117">
        <v>102</v>
      </c>
      <c r="Y1117">
        <v>64.900000000000006</v>
      </c>
      <c r="Z1117">
        <v>55.5</v>
      </c>
      <c r="AA1117">
        <v>74.3</v>
      </c>
    </row>
    <row r="1118" spans="1:27" x14ac:dyDescent="0.25">
      <c r="A1118" t="s">
        <v>235</v>
      </c>
      <c r="B1118" t="s">
        <v>212</v>
      </c>
      <c r="C1118" s="76">
        <v>43938</v>
      </c>
      <c r="D1118">
        <v>1160</v>
      </c>
      <c r="E1118">
        <v>282</v>
      </c>
      <c r="F1118">
        <v>2037</v>
      </c>
      <c r="G1118">
        <v>845</v>
      </c>
      <c r="H1118">
        <v>57.9</v>
      </c>
      <c r="I1118">
        <v>52.6</v>
      </c>
      <c r="J1118">
        <v>63.1</v>
      </c>
      <c r="K1118">
        <v>21</v>
      </c>
      <c r="L1118">
        <v>0</v>
      </c>
      <c r="M1118">
        <v>47</v>
      </c>
      <c r="N1118">
        <v>1</v>
      </c>
      <c r="O1118">
        <v>0.1</v>
      </c>
      <c r="P1118">
        <v>1.9</v>
      </c>
      <c r="Q1118">
        <f t="shared" si="32"/>
        <v>1406430</v>
      </c>
      <c r="R1118">
        <f t="shared" si="33"/>
        <v>1.4931422111303085</v>
      </c>
      <c r="U1118">
        <v>190</v>
      </c>
      <c r="V1118">
        <v>0</v>
      </c>
      <c r="W1118">
        <v>408</v>
      </c>
      <c r="X1118">
        <v>104</v>
      </c>
      <c r="Y1118">
        <v>64.7</v>
      </c>
      <c r="Z1118">
        <v>56.8</v>
      </c>
      <c r="AA1118">
        <v>72.599999999999994</v>
      </c>
    </row>
    <row r="1119" spans="1:27" x14ac:dyDescent="0.25">
      <c r="A1119" t="s">
        <v>235</v>
      </c>
      <c r="B1119" t="s">
        <v>212</v>
      </c>
      <c r="C1119" s="76">
        <v>43939</v>
      </c>
      <c r="D1119">
        <v>1186</v>
      </c>
      <c r="E1119">
        <v>290</v>
      </c>
      <c r="F1119">
        <v>2083</v>
      </c>
      <c r="G1119">
        <v>820</v>
      </c>
      <c r="H1119">
        <v>59.1</v>
      </c>
      <c r="I1119">
        <v>51.8</v>
      </c>
      <c r="J1119">
        <v>66.5</v>
      </c>
      <c r="K1119">
        <v>27</v>
      </c>
      <c r="L1119">
        <v>0</v>
      </c>
      <c r="M1119">
        <v>57</v>
      </c>
      <c r="N1119">
        <v>1.4</v>
      </c>
      <c r="O1119">
        <v>0.4</v>
      </c>
      <c r="P1119">
        <v>2.2999999999999998</v>
      </c>
      <c r="Q1119">
        <f t="shared" si="32"/>
        <v>1406430</v>
      </c>
      <c r="R1119">
        <f t="shared" si="33"/>
        <v>1.9197542714532541</v>
      </c>
      <c r="U1119">
        <v>189</v>
      </c>
      <c r="V1119">
        <v>0</v>
      </c>
      <c r="W1119">
        <v>398</v>
      </c>
      <c r="X1119">
        <v>104</v>
      </c>
      <c r="Y1119">
        <v>64.5</v>
      </c>
      <c r="Z1119">
        <v>58.1</v>
      </c>
      <c r="AA1119">
        <v>70.8</v>
      </c>
    </row>
    <row r="1120" spans="1:27" x14ac:dyDescent="0.25">
      <c r="A1120" t="s">
        <v>235</v>
      </c>
      <c r="B1120" t="s">
        <v>212</v>
      </c>
      <c r="C1120" s="76">
        <v>43940</v>
      </c>
      <c r="D1120">
        <v>1189</v>
      </c>
      <c r="E1120">
        <v>280</v>
      </c>
      <c r="F1120">
        <v>2098</v>
      </c>
      <c r="G1120">
        <v>813</v>
      </c>
      <c r="H1120">
        <v>59.4</v>
      </c>
      <c r="I1120">
        <v>52.1</v>
      </c>
      <c r="J1120">
        <v>66.7</v>
      </c>
      <c r="K1120">
        <v>21</v>
      </c>
      <c r="L1120">
        <v>0</v>
      </c>
      <c r="M1120">
        <v>50</v>
      </c>
      <c r="N1120">
        <v>1.1000000000000001</v>
      </c>
      <c r="O1120">
        <v>0.1</v>
      </c>
      <c r="P1120">
        <v>2</v>
      </c>
      <c r="Q1120">
        <f t="shared" si="32"/>
        <v>1406430</v>
      </c>
      <c r="R1120">
        <f t="shared" si="33"/>
        <v>1.4931422111303085</v>
      </c>
      <c r="U1120">
        <v>195</v>
      </c>
      <c r="V1120">
        <v>0</v>
      </c>
      <c r="W1120">
        <v>424</v>
      </c>
      <c r="X1120">
        <v>99</v>
      </c>
      <c r="Y1120">
        <v>66.400000000000006</v>
      </c>
      <c r="Z1120">
        <v>54.4</v>
      </c>
      <c r="AA1120">
        <v>78.3</v>
      </c>
    </row>
    <row r="1121" spans="1:27" x14ac:dyDescent="0.25">
      <c r="A1121" t="s">
        <v>235</v>
      </c>
      <c r="B1121" t="s">
        <v>212</v>
      </c>
      <c r="C1121" s="76">
        <v>43941</v>
      </c>
      <c r="D1121">
        <v>1205</v>
      </c>
      <c r="E1121">
        <v>301</v>
      </c>
      <c r="F1121">
        <v>2109</v>
      </c>
      <c r="G1121">
        <v>789</v>
      </c>
      <c r="H1121">
        <v>60.4</v>
      </c>
      <c r="I1121">
        <v>55.9</v>
      </c>
      <c r="J1121">
        <v>64.900000000000006</v>
      </c>
      <c r="K1121">
        <v>20</v>
      </c>
      <c r="L1121">
        <v>0</v>
      </c>
      <c r="M1121">
        <v>46</v>
      </c>
      <c r="N1121">
        <v>1</v>
      </c>
      <c r="O1121">
        <v>0.1</v>
      </c>
      <c r="P1121">
        <v>1.9</v>
      </c>
      <c r="Q1121">
        <f t="shared" si="32"/>
        <v>1406430</v>
      </c>
      <c r="R1121">
        <f t="shared" si="33"/>
        <v>1.4220402010764843</v>
      </c>
      <c r="U1121">
        <v>191</v>
      </c>
      <c r="V1121">
        <v>0</v>
      </c>
      <c r="W1121">
        <v>409</v>
      </c>
      <c r="X1121">
        <v>101</v>
      </c>
      <c r="Y1121">
        <v>65.3</v>
      </c>
      <c r="Z1121">
        <v>57.2</v>
      </c>
      <c r="AA1121">
        <v>73.400000000000006</v>
      </c>
    </row>
    <row r="1122" spans="1:27" x14ac:dyDescent="0.25">
      <c r="A1122" t="s">
        <v>235</v>
      </c>
      <c r="B1122" t="s">
        <v>212</v>
      </c>
      <c r="C1122" s="76">
        <v>43942</v>
      </c>
      <c r="D1122">
        <v>1205</v>
      </c>
      <c r="E1122">
        <v>270</v>
      </c>
      <c r="F1122">
        <v>2140</v>
      </c>
      <c r="G1122">
        <v>764</v>
      </c>
      <c r="H1122">
        <v>61.2</v>
      </c>
      <c r="I1122">
        <v>56.7</v>
      </c>
      <c r="J1122">
        <v>65.7</v>
      </c>
      <c r="K1122">
        <v>27</v>
      </c>
      <c r="L1122">
        <v>0</v>
      </c>
      <c r="M1122">
        <v>67</v>
      </c>
      <c r="N1122">
        <v>1.4</v>
      </c>
      <c r="O1122">
        <v>0</v>
      </c>
      <c r="P1122">
        <v>2.8</v>
      </c>
      <c r="Q1122">
        <f t="shared" si="32"/>
        <v>1406430</v>
      </c>
      <c r="R1122">
        <f t="shared" si="33"/>
        <v>1.9197542714532541</v>
      </c>
      <c r="U1122">
        <v>186</v>
      </c>
      <c r="V1122">
        <v>0</v>
      </c>
      <c r="W1122">
        <v>398</v>
      </c>
      <c r="X1122">
        <v>106</v>
      </c>
      <c r="Y1122">
        <v>63.6</v>
      </c>
      <c r="Z1122">
        <v>56.3</v>
      </c>
      <c r="AA1122">
        <v>70.900000000000006</v>
      </c>
    </row>
    <row r="1123" spans="1:27" x14ac:dyDescent="0.25">
      <c r="A1123" t="s">
        <v>235</v>
      </c>
      <c r="B1123" t="s">
        <v>212</v>
      </c>
      <c r="C1123" s="76">
        <v>43943</v>
      </c>
      <c r="D1123">
        <v>785</v>
      </c>
      <c r="E1123">
        <v>149</v>
      </c>
      <c r="F1123">
        <v>1421</v>
      </c>
      <c r="G1123">
        <v>596</v>
      </c>
      <c r="H1123">
        <v>56.8</v>
      </c>
      <c r="I1123">
        <v>50.7</v>
      </c>
      <c r="J1123">
        <v>63</v>
      </c>
      <c r="K1123">
        <v>8</v>
      </c>
      <c r="L1123">
        <v>0</v>
      </c>
      <c r="M1123">
        <v>19</v>
      </c>
      <c r="N1123">
        <v>0.6</v>
      </c>
      <c r="O1123">
        <v>0</v>
      </c>
      <c r="P1123">
        <v>1.3</v>
      </c>
      <c r="Q1123">
        <f t="shared" si="32"/>
        <v>1406430</v>
      </c>
      <c r="R1123">
        <f t="shared" si="33"/>
        <v>0.56881608043059384</v>
      </c>
      <c r="U1123">
        <v>162</v>
      </c>
      <c r="V1123">
        <v>0</v>
      </c>
      <c r="W1123">
        <v>372</v>
      </c>
      <c r="X1123">
        <v>83</v>
      </c>
      <c r="Y1123">
        <v>66.2</v>
      </c>
      <c r="Z1123">
        <v>56.5</v>
      </c>
      <c r="AA1123">
        <v>75.900000000000006</v>
      </c>
    </row>
    <row r="1124" spans="1:27" x14ac:dyDescent="0.25">
      <c r="A1124" t="s">
        <v>235</v>
      </c>
      <c r="B1124" t="s">
        <v>212</v>
      </c>
      <c r="C1124" s="76">
        <v>43944</v>
      </c>
      <c r="D1124">
        <v>912</v>
      </c>
      <c r="E1124">
        <v>230</v>
      </c>
      <c r="F1124">
        <v>1594</v>
      </c>
      <c r="G1124">
        <v>561</v>
      </c>
      <c r="H1124">
        <v>61.9</v>
      </c>
      <c r="I1124">
        <v>53.3</v>
      </c>
      <c r="J1124">
        <v>70.599999999999994</v>
      </c>
      <c r="K1124">
        <v>15</v>
      </c>
      <c r="L1124">
        <v>0</v>
      </c>
      <c r="M1124">
        <v>34</v>
      </c>
      <c r="N1124">
        <v>1</v>
      </c>
      <c r="O1124">
        <v>0</v>
      </c>
      <c r="P1124">
        <v>2.1</v>
      </c>
      <c r="Q1124">
        <f t="shared" si="32"/>
        <v>1406430</v>
      </c>
      <c r="R1124">
        <f t="shared" si="33"/>
        <v>1.0665301508073635</v>
      </c>
      <c r="U1124">
        <v>156</v>
      </c>
      <c r="V1124">
        <v>0</v>
      </c>
      <c r="W1124">
        <v>365</v>
      </c>
      <c r="X1124">
        <v>85</v>
      </c>
      <c r="Y1124">
        <v>64.900000000000006</v>
      </c>
      <c r="Z1124">
        <v>55</v>
      </c>
      <c r="AA1124">
        <v>74.8</v>
      </c>
    </row>
    <row r="1125" spans="1:27" x14ac:dyDescent="0.25">
      <c r="A1125" t="s">
        <v>235</v>
      </c>
      <c r="B1125" t="s">
        <v>212</v>
      </c>
      <c r="C1125" s="76">
        <v>43945</v>
      </c>
      <c r="D1125">
        <v>956</v>
      </c>
      <c r="E1125">
        <v>224</v>
      </c>
      <c r="F1125">
        <v>1688</v>
      </c>
      <c r="G1125">
        <v>576</v>
      </c>
      <c r="H1125">
        <v>62.4</v>
      </c>
      <c r="I1125">
        <v>54.8</v>
      </c>
      <c r="J1125">
        <v>70.099999999999994</v>
      </c>
      <c r="K1125">
        <v>3</v>
      </c>
      <c r="L1125">
        <v>0</v>
      </c>
      <c r="M1125">
        <v>7</v>
      </c>
      <c r="N1125">
        <v>0.2</v>
      </c>
      <c r="O1125">
        <v>0</v>
      </c>
      <c r="P1125">
        <v>0.5</v>
      </c>
      <c r="Q1125">
        <f t="shared" si="32"/>
        <v>1406430</v>
      </c>
      <c r="R1125">
        <f t="shared" si="33"/>
        <v>0.21330603016147268</v>
      </c>
      <c r="U1125">
        <v>166</v>
      </c>
      <c r="V1125">
        <v>0</v>
      </c>
      <c r="W1125">
        <v>379</v>
      </c>
      <c r="X1125">
        <v>75</v>
      </c>
      <c r="Y1125">
        <v>69</v>
      </c>
      <c r="Z1125">
        <v>60.2</v>
      </c>
      <c r="AA1125">
        <v>77.8</v>
      </c>
    </row>
    <row r="1126" spans="1:27" x14ac:dyDescent="0.25">
      <c r="A1126" t="s">
        <v>235</v>
      </c>
      <c r="B1126" t="s">
        <v>212</v>
      </c>
      <c r="C1126" s="76">
        <v>43946</v>
      </c>
      <c r="D1126">
        <v>995</v>
      </c>
      <c r="E1126">
        <v>214</v>
      </c>
      <c r="F1126">
        <v>1776</v>
      </c>
      <c r="G1126">
        <v>531</v>
      </c>
      <c r="H1126">
        <v>65.2</v>
      </c>
      <c r="I1126">
        <v>54.6</v>
      </c>
      <c r="J1126">
        <v>75.8</v>
      </c>
      <c r="K1126">
        <v>13</v>
      </c>
      <c r="L1126">
        <v>0</v>
      </c>
      <c r="M1126">
        <v>37</v>
      </c>
      <c r="N1126">
        <v>0.8</v>
      </c>
      <c r="O1126">
        <v>0</v>
      </c>
      <c r="P1126">
        <v>2.2999999999999998</v>
      </c>
      <c r="Q1126">
        <f t="shared" si="32"/>
        <v>1406430</v>
      </c>
      <c r="R1126">
        <f t="shared" si="33"/>
        <v>0.92432613069971492</v>
      </c>
      <c r="U1126">
        <v>169</v>
      </c>
      <c r="V1126">
        <v>0</v>
      </c>
      <c r="W1126">
        <v>396</v>
      </c>
      <c r="X1126">
        <v>67</v>
      </c>
      <c r="Y1126">
        <v>71.5</v>
      </c>
      <c r="Z1126">
        <v>51.2</v>
      </c>
      <c r="AA1126">
        <v>91.7</v>
      </c>
    </row>
    <row r="1127" spans="1:27" x14ac:dyDescent="0.25">
      <c r="A1127" t="s">
        <v>235</v>
      </c>
      <c r="B1127" t="s">
        <v>212</v>
      </c>
      <c r="C1127" s="76">
        <v>43947</v>
      </c>
      <c r="D1127">
        <v>997</v>
      </c>
      <c r="E1127">
        <v>205</v>
      </c>
      <c r="F1127">
        <v>1789</v>
      </c>
      <c r="G1127">
        <v>520</v>
      </c>
      <c r="H1127">
        <v>65.7</v>
      </c>
      <c r="I1127">
        <v>53.4</v>
      </c>
      <c r="J1127">
        <v>78</v>
      </c>
      <c r="K1127">
        <v>8</v>
      </c>
      <c r="L1127">
        <v>0</v>
      </c>
      <c r="M1127">
        <v>19</v>
      </c>
      <c r="N1127">
        <v>0.5</v>
      </c>
      <c r="O1127">
        <v>0</v>
      </c>
      <c r="P1127">
        <v>1.2</v>
      </c>
      <c r="Q1127">
        <f t="shared" ref="Q1127:Q1190" si="34">VLOOKUP(B1127,$AE$4:$AF$55,2,FALSE)</f>
        <v>1406430</v>
      </c>
      <c r="R1127">
        <f t="shared" si="33"/>
        <v>0.56881608043059384</v>
      </c>
      <c r="U1127">
        <v>176</v>
      </c>
      <c r="V1127">
        <v>0</v>
      </c>
      <c r="W1127">
        <v>418</v>
      </c>
      <c r="X1127">
        <v>63</v>
      </c>
      <c r="Y1127">
        <v>73.7</v>
      </c>
      <c r="Z1127">
        <v>57.9</v>
      </c>
      <c r="AA1127">
        <v>89.4</v>
      </c>
    </row>
    <row r="1128" spans="1:27" x14ac:dyDescent="0.25">
      <c r="A1128" t="s">
        <v>235</v>
      </c>
      <c r="B1128" t="s">
        <v>212</v>
      </c>
      <c r="C1128" s="76">
        <v>43948</v>
      </c>
      <c r="D1128">
        <v>1311</v>
      </c>
      <c r="E1128">
        <v>393</v>
      </c>
      <c r="F1128">
        <v>2229</v>
      </c>
      <c r="G1128">
        <v>929</v>
      </c>
      <c r="H1128">
        <v>58.5</v>
      </c>
      <c r="I1128">
        <v>52.7</v>
      </c>
      <c r="J1128">
        <v>64.400000000000006</v>
      </c>
      <c r="K1128">
        <v>17</v>
      </c>
      <c r="L1128">
        <v>0</v>
      </c>
      <c r="M1128">
        <v>37</v>
      </c>
      <c r="N1128">
        <v>0.7</v>
      </c>
      <c r="O1128">
        <v>0.2</v>
      </c>
      <c r="P1128">
        <v>1.3</v>
      </c>
      <c r="Q1128">
        <f t="shared" si="34"/>
        <v>1406430</v>
      </c>
      <c r="R1128">
        <f t="shared" si="33"/>
        <v>1.2087341709150117</v>
      </c>
      <c r="U1128">
        <v>196</v>
      </c>
      <c r="V1128">
        <v>0</v>
      </c>
      <c r="W1128">
        <v>434</v>
      </c>
      <c r="X1128">
        <v>121</v>
      </c>
      <c r="Y1128">
        <v>61.8</v>
      </c>
      <c r="Z1128">
        <v>42.4</v>
      </c>
      <c r="AA1128">
        <v>81.2</v>
      </c>
    </row>
    <row r="1129" spans="1:27" x14ac:dyDescent="0.25">
      <c r="A1129" t="s">
        <v>235</v>
      </c>
      <c r="B1129" t="s">
        <v>212</v>
      </c>
      <c r="C1129" s="76">
        <v>43949</v>
      </c>
      <c r="D1129">
        <v>1371</v>
      </c>
      <c r="E1129">
        <v>410</v>
      </c>
      <c r="F1129">
        <v>2333</v>
      </c>
      <c r="G1129">
        <v>869</v>
      </c>
      <c r="H1129">
        <v>61.2</v>
      </c>
      <c r="I1129">
        <v>54.8</v>
      </c>
      <c r="J1129">
        <v>67.7</v>
      </c>
      <c r="K1129">
        <v>12</v>
      </c>
      <c r="L1129">
        <v>0</v>
      </c>
      <c r="M1129">
        <v>25</v>
      </c>
      <c r="N1129">
        <v>0.5</v>
      </c>
      <c r="O1129">
        <v>0.1</v>
      </c>
      <c r="P1129">
        <v>1</v>
      </c>
      <c r="Q1129">
        <f t="shared" si="34"/>
        <v>1406430</v>
      </c>
      <c r="R1129">
        <f t="shared" si="33"/>
        <v>0.8532241206458907</v>
      </c>
      <c r="U1129">
        <v>199</v>
      </c>
      <c r="V1129">
        <v>0</v>
      </c>
      <c r="W1129">
        <v>438</v>
      </c>
      <c r="X1129">
        <v>118</v>
      </c>
      <c r="Y1129">
        <v>62.8</v>
      </c>
      <c r="Z1129">
        <v>44.4</v>
      </c>
      <c r="AA1129">
        <v>81.099999999999994</v>
      </c>
    </row>
    <row r="1130" spans="1:27" x14ac:dyDescent="0.25">
      <c r="A1130" t="s">
        <v>235</v>
      </c>
      <c r="B1130" t="s">
        <v>212</v>
      </c>
      <c r="C1130" s="76">
        <v>43950</v>
      </c>
      <c r="D1130">
        <v>1391</v>
      </c>
      <c r="E1130">
        <v>376</v>
      </c>
      <c r="F1130">
        <v>2407</v>
      </c>
      <c r="G1130">
        <v>849</v>
      </c>
      <c r="H1130">
        <v>62.1</v>
      </c>
      <c r="I1130">
        <v>51.8</v>
      </c>
      <c r="J1130">
        <v>72.400000000000006</v>
      </c>
      <c r="K1130">
        <v>21</v>
      </c>
      <c r="L1130">
        <v>0</v>
      </c>
      <c r="M1130">
        <v>53</v>
      </c>
      <c r="N1130">
        <v>0.9</v>
      </c>
      <c r="O1130">
        <v>0</v>
      </c>
      <c r="P1130">
        <v>2</v>
      </c>
      <c r="Q1130">
        <f t="shared" si="34"/>
        <v>1406430</v>
      </c>
      <c r="R1130">
        <f t="shared" si="33"/>
        <v>1.4931422111303085</v>
      </c>
      <c r="U1130">
        <v>208</v>
      </c>
      <c r="V1130">
        <v>0</v>
      </c>
      <c r="W1130">
        <v>461</v>
      </c>
      <c r="X1130">
        <v>110</v>
      </c>
      <c r="Y1130">
        <v>65.400000000000006</v>
      </c>
      <c r="Z1130">
        <v>44.9</v>
      </c>
      <c r="AA1130">
        <v>85.8</v>
      </c>
    </row>
    <row r="1131" spans="1:27" x14ac:dyDescent="0.25">
      <c r="A1131" t="s">
        <v>235</v>
      </c>
      <c r="B1131" t="s">
        <v>212</v>
      </c>
      <c r="C1131" s="76">
        <v>43951</v>
      </c>
      <c r="D1131">
        <v>1406</v>
      </c>
      <c r="E1131">
        <v>389</v>
      </c>
      <c r="F1131">
        <v>2422</v>
      </c>
      <c r="G1131">
        <v>834</v>
      </c>
      <c r="H1131">
        <v>62.8</v>
      </c>
      <c r="I1131">
        <v>53.4</v>
      </c>
      <c r="J1131">
        <v>72.099999999999994</v>
      </c>
      <c r="K1131">
        <v>22</v>
      </c>
      <c r="L1131">
        <v>0</v>
      </c>
      <c r="M1131">
        <v>49</v>
      </c>
      <c r="N1131">
        <v>1</v>
      </c>
      <c r="O1131">
        <v>0.1</v>
      </c>
      <c r="P1131">
        <v>1.8</v>
      </c>
      <c r="Q1131">
        <f t="shared" si="34"/>
        <v>1406430</v>
      </c>
      <c r="R1131">
        <f t="shared" si="33"/>
        <v>1.564244221184133</v>
      </c>
      <c r="U1131">
        <v>217</v>
      </c>
      <c r="V1131">
        <v>0</v>
      </c>
      <c r="W1131">
        <v>484</v>
      </c>
      <c r="X1131">
        <v>100</v>
      </c>
      <c r="Y1131">
        <v>68.5</v>
      </c>
      <c r="Z1131">
        <v>45.6</v>
      </c>
      <c r="AA1131">
        <v>91.5</v>
      </c>
    </row>
    <row r="1132" spans="1:27" x14ac:dyDescent="0.25">
      <c r="A1132" t="s">
        <v>235</v>
      </c>
      <c r="B1132" t="s">
        <v>212</v>
      </c>
      <c r="C1132" s="76">
        <v>43952</v>
      </c>
      <c r="D1132">
        <v>1373</v>
      </c>
      <c r="E1132">
        <v>391</v>
      </c>
      <c r="F1132">
        <v>2354</v>
      </c>
      <c r="G1132">
        <v>867</v>
      </c>
      <c r="H1132">
        <v>61.3</v>
      </c>
      <c r="I1132">
        <v>51.8</v>
      </c>
      <c r="J1132">
        <v>70.8</v>
      </c>
      <c r="K1132">
        <v>15</v>
      </c>
      <c r="L1132">
        <v>0</v>
      </c>
      <c r="M1132">
        <v>36</v>
      </c>
      <c r="N1132">
        <v>0.7</v>
      </c>
      <c r="O1132">
        <v>0</v>
      </c>
      <c r="P1132">
        <v>1.4</v>
      </c>
      <c r="Q1132">
        <f t="shared" si="34"/>
        <v>1406430</v>
      </c>
      <c r="R1132">
        <f t="shared" si="33"/>
        <v>1.0665301508073635</v>
      </c>
      <c r="U1132">
        <v>215</v>
      </c>
      <c r="V1132">
        <v>0</v>
      </c>
      <c r="W1132">
        <v>470</v>
      </c>
      <c r="X1132">
        <v>101</v>
      </c>
      <c r="Y1132">
        <v>68.099999999999994</v>
      </c>
      <c r="Z1132">
        <v>49</v>
      </c>
      <c r="AA1132">
        <v>87.2</v>
      </c>
    </row>
    <row r="1133" spans="1:27" x14ac:dyDescent="0.25">
      <c r="A1133" t="s">
        <v>235</v>
      </c>
      <c r="B1133" t="s">
        <v>212</v>
      </c>
      <c r="C1133" s="76">
        <v>43953</v>
      </c>
      <c r="D1133">
        <v>1357</v>
      </c>
      <c r="E1133">
        <v>378</v>
      </c>
      <c r="F1133">
        <v>2336</v>
      </c>
      <c r="G1133">
        <v>890</v>
      </c>
      <c r="H1133">
        <v>60.4</v>
      </c>
      <c r="I1133">
        <v>50.1</v>
      </c>
      <c r="J1133">
        <v>70.599999999999994</v>
      </c>
      <c r="K1133">
        <v>22</v>
      </c>
      <c r="L1133">
        <v>0</v>
      </c>
      <c r="M1133">
        <v>47</v>
      </c>
      <c r="N1133">
        <v>1</v>
      </c>
      <c r="O1133">
        <v>0.1</v>
      </c>
      <c r="P1133">
        <v>1.9</v>
      </c>
      <c r="Q1133">
        <f t="shared" si="34"/>
        <v>1406430</v>
      </c>
      <c r="R1133">
        <f t="shared" si="33"/>
        <v>1.564244221184133</v>
      </c>
      <c r="U1133">
        <v>211</v>
      </c>
      <c r="V1133">
        <v>0</v>
      </c>
      <c r="W1133">
        <v>463</v>
      </c>
      <c r="X1133">
        <v>106</v>
      </c>
      <c r="Y1133">
        <v>66.599999999999994</v>
      </c>
      <c r="Z1133">
        <v>44.8</v>
      </c>
      <c r="AA1133">
        <v>88.4</v>
      </c>
    </row>
    <row r="1134" spans="1:27" x14ac:dyDescent="0.25">
      <c r="A1134" t="s">
        <v>235</v>
      </c>
      <c r="B1134" t="s">
        <v>212</v>
      </c>
      <c r="C1134" s="76">
        <v>43954</v>
      </c>
      <c r="D1134">
        <v>1223</v>
      </c>
      <c r="E1134">
        <v>342</v>
      </c>
      <c r="F1134">
        <v>2104</v>
      </c>
      <c r="G1134">
        <v>1017</v>
      </c>
      <c r="H1134">
        <v>54.6</v>
      </c>
      <c r="I1134">
        <v>47.1</v>
      </c>
      <c r="J1134">
        <v>62.1</v>
      </c>
      <c r="K1134">
        <v>33</v>
      </c>
      <c r="L1134">
        <v>0</v>
      </c>
      <c r="M1134">
        <v>68</v>
      </c>
      <c r="N1134">
        <v>1.5</v>
      </c>
      <c r="O1134">
        <v>0.3</v>
      </c>
      <c r="P1134">
        <v>2.6</v>
      </c>
      <c r="Q1134">
        <f t="shared" si="34"/>
        <v>1406430</v>
      </c>
      <c r="R1134">
        <f t="shared" si="33"/>
        <v>2.3463663317761991</v>
      </c>
      <c r="U1134">
        <v>212</v>
      </c>
      <c r="V1134">
        <v>0</v>
      </c>
      <c r="W1134">
        <v>467</v>
      </c>
      <c r="X1134">
        <v>101</v>
      </c>
      <c r="Y1134">
        <v>67.7</v>
      </c>
      <c r="Z1134">
        <v>43.8</v>
      </c>
      <c r="AA1134">
        <v>91.6</v>
      </c>
    </row>
    <row r="1135" spans="1:27" x14ac:dyDescent="0.25">
      <c r="A1135" t="s">
        <v>235</v>
      </c>
      <c r="B1135" t="s">
        <v>212</v>
      </c>
      <c r="C1135" s="76">
        <v>43955</v>
      </c>
      <c r="D1135">
        <v>1335</v>
      </c>
      <c r="E1135">
        <v>374</v>
      </c>
      <c r="F1135">
        <v>2296</v>
      </c>
      <c r="G1135">
        <v>912</v>
      </c>
      <c r="H1135">
        <v>59.4</v>
      </c>
      <c r="I1135">
        <v>51.2</v>
      </c>
      <c r="J1135">
        <v>67.7</v>
      </c>
      <c r="K1135">
        <v>20</v>
      </c>
      <c r="L1135">
        <v>0</v>
      </c>
      <c r="M1135">
        <v>45</v>
      </c>
      <c r="N1135">
        <v>0.9</v>
      </c>
      <c r="O1135">
        <v>0</v>
      </c>
      <c r="P1135">
        <v>1.8</v>
      </c>
      <c r="Q1135">
        <f t="shared" si="34"/>
        <v>1406430</v>
      </c>
      <c r="R1135">
        <f t="shared" si="33"/>
        <v>1.4220402010764843</v>
      </c>
      <c r="U1135">
        <v>219</v>
      </c>
      <c r="V1135">
        <v>0</v>
      </c>
      <c r="W1135">
        <v>485</v>
      </c>
      <c r="X1135">
        <v>94</v>
      </c>
      <c r="Y1135">
        <v>69.900000000000006</v>
      </c>
      <c r="Z1135">
        <v>48.8</v>
      </c>
      <c r="AA1135">
        <v>91</v>
      </c>
    </row>
    <row r="1136" spans="1:27" x14ac:dyDescent="0.25">
      <c r="A1136" t="s">
        <v>235</v>
      </c>
      <c r="B1136" t="s">
        <v>212</v>
      </c>
      <c r="C1136" s="76">
        <v>43956</v>
      </c>
      <c r="D1136">
        <v>1385</v>
      </c>
      <c r="E1136">
        <v>397</v>
      </c>
      <c r="F1136">
        <v>2373</v>
      </c>
      <c r="G1136">
        <v>862</v>
      </c>
      <c r="H1136">
        <v>61.6</v>
      </c>
      <c r="I1136">
        <v>54.3</v>
      </c>
      <c r="J1136">
        <v>68.900000000000006</v>
      </c>
      <c r="K1136">
        <v>42</v>
      </c>
      <c r="L1136">
        <v>0</v>
      </c>
      <c r="M1136">
        <v>89</v>
      </c>
      <c r="N1136">
        <v>1.9</v>
      </c>
      <c r="O1136">
        <v>0.7</v>
      </c>
      <c r="P1136">
        <v>3.1</v>
      </c>
      <c r="Q1136">
        <f t="shared" si="34"/>
        <v>1406430</v>
      </c>
      <c r="R1136">
        <f t="shared" si="33"/>
        <v>2.9862844222606171</v>
      </c>
      <c r="U1136">
        <v>210</v>
      </c>
      <c r="V1136">
        <v>0</v>
      </c>
      <c r="W1136">
        <v>466</v>
      </c>
      <c r="X1136">
        <v>103</v>
      </c>
      <c r="Y1136">
        <v>67.099999999999994</v>
      </c>
      <c r="Z1136">
        <v>49.2</v>
      </c>
      <c r="AA1136">
        <v>85</v>
      </c>
    </row>
    <row r="1137" spans="1:27" x14ac:dyDescent="0.25">
      <c r="A1137" t="s">
        <v>235</v>
      </c>
      <c r="B1137" t="s">
        <v>212</v>
      </c>
      <c r="C1137" s="76">
        <v>43957</v>
      </c>
      <c r="D1137">
        <v>1383</v>
      </c>
      <c r="E1137">
        <v>398</v>
      </c>
      <c r="F1137">
        <v>2368</v>
      </c>
      <c r="G1137">
        <v>864</v>
      </c>
      <c r="H1137">
        <v>61.6</v>
      </c>
      <c r="I1137">
        <v>54.4</v>
      </c>
      <c r="J1137">
        <v>68.7</v>
      </c>
      <c r="K1137">
        <v>19</v>
      </c>
      <c r="L1137">
        <v>0</v>
      </c>
      <c r="M1137">
        <v>55</v>
      </c>
      <c r="N1137">
        <v>0.9</v>
      </c>
      <c r="O1137">
        <v>0</v>
      </c>
      <c r="P1137">
        <v>2.1</v>
      </c>
      <c r="Q1137">
        <f t="shared" si="34"/>
        <v>1406430</v>
      </c>
      <c r="R1137">
        <f t="shared" si="33"/>
        <v>1.3509381910226601</v>
      </c>
      <c r="U1137">
        <v>195</v>
      </c>
      <c r="V1137">
        <v>0</v>
      </c>
      <c r="W1137">
        <v>431</v>
      </c>
      <c r="X1137">
        <v>118</v>
      </c>
      <c r="Y1137">
        <v>62.2</v>
      </c>
      <c r="Z1137">
        <v>47.2</v>
      </c>
      <c r="AA1137">
        <v>77.2</v>
      </c>
    </row>
    <row r="1138" spans="1:27" x14ac:dyDescent="0.25">
      <c r="A1138" t="s">
        <v>235</v>
      </c>
      <c r="B1138" t="s">
        <v>212</v>
      </c>
      <c r="C1138" s="76">
        <v>43958</v>
      </c>
      <c r="D1138">
        <v>1396</v>
      </c>
      <c r="E1138">
        <v>421</v>
      </c>
      <c r="F1138">
        <v>2371</v>
      </c>
      <c r="G1138">
        <v>851</v>
      </c>
      <c r="H1138">
        <v>62.1</v>
      </c>
      <c r="I1138">
        <v>55.1</v>
      </c>
      <c r="J1138">
        <v>69.2</v>
      </c>
      <c r="K1138">
        <v>17</v>
      </c>
      <c r="L1138">
        <v>0</v>
      </c>
      <c r="M1138">
        <v>41</v>
      </c>
      <c r="N1138">
        <v>0.8</v>
      </c>
      <c r="O1138">
        <v>0</v>
      </c>
      <c r="P1138">
        <v>1.6</v>
      </c>
      <c r="Q1138">
        <f t="shared" si="34"/>
        <v>1406430</v>
      </c>
      <c r="R1138">
        <f t="shared" si="33"/>
        <v>1.2087341709150117</v>
      </c>
      <c r="U1138">
        <v>205</v>
      </c>
      <c r="V1138">
        <v>0</v>
      </c>
      <c r="W1138">
        <v>446</v>
      </c>
      <c r="X1138">
        <v>110</v>
      </c>
      <c r="Y1138">
        <v>65.099999999999994</v>
      </c>
      <c r="Z1138">
        <v>51.1</v>
      </c>
      <c r="AA1138">
        <v>79</v>
      </c>
    </row>
    <row r="1139" spans="1:27" x14ac:dyDescent="0.25">
      <c r="A1139" t="s">
        <v>235</v>
      </c>
      <c r="B1139" t="s">
        <v>212</v>
      </c>
      <c r="C1139" s="76">
        <v>43959</v>
      </c>
      <c r="D1139">
        <v>1369</v>
      </c>
      <c r="E1139">
        <v>426</v>
      </c>
      <c r="F1139">
        <v>2312</v>
      </c>
      <c r="G1139">
        <v>853</v>
      </c>
      <c r="H1139">
        <v>61.6</v>
      </c>
      <c r="I1139">
        <v>55.4</v>
      </c>
      <c r="J1139">
        <v>67.8</v>
      </c>
      <c r="K1139">
        <v>22</v>
      </c>
      <c r="L1139">
        <v>0</v>
      </c>
      <c r="M1139">
        <v>47</v>
      </c>
      <c r="N1139">
        <v>1</v>
      </c>
      <c r="O1139">
        <v>0</v>
      </c>
      <c r="P1139">
        <v>1.9</v>
      </c>
      <c r="Q1139">
        <f t="shared" si="34"/>
        <v>1406430</v>
      </c>
      <c r="R1139">
        <f t="shared" si="33"/>
        <v>1.564244221184133</v>
      </c>
      <c r="U1139">
        <v>210</v>
      </c>
      <c r="V1139">
        <v>0</v>
      </c>
      <c r="W1139">
        <v>455</v>
      </c>
      <c r="X1139">
        <v>124</v>
      </c>
      <c r="Y1139">
        <v>62.9</v>
      </c>
      <c r="Z1139">
        <v>46.6</v>
      </c>
      <c r="AA1139">
        <v>79.2</v>
      </c>
    </row>
    <row r="1140" spans="1:27" x14ac:dyDescent="0.25">
      <c r="A1140" t="s">
        <v>235</v>
      </c>
      <c r="B1140" t="s">
        <v>212</v>
      </c>
      <c r="C1140" s="76">
        <v>43960</v>
      </c>
      <c r="D1140">
        <v>1348</v>
      </c>
      <c r="E1140">
        <v>388</v>
      </c>
      <c r="F1140">
        <v>2307</v>
      </c>
      <c r="G1140">
        <v>899</v>
      </c>
      <c r="H1140">
        <v>60</v>
      </c>
      <c r="I1140">
        <v>52.9</v>
      </c>
      <c r="J1140">
        <v>67</v>
      </c>
      <c r="K1140">
        <v>29</v>
      </c>
      <c r="L1140">
        <v>0</v>
      </c>
      <c r="M1140">
        <v>67</v>
      </c>
      <c r="N1140">
        <v>1.3</v>
      </c>
      <c r="O1140">
        <v>0</v>
      </c>
      <c r="P1140">
        <v>2.6</v>
      </c>
      <c r="Q1140">
        <f t="shared" si="34"/>
        <v>1406430</v>
      </c>
      <c r="R1140">
        <f t="shared" si="33"/>
        <v>2.0619582915609027</v>
      </c>
      <c r="U1140">
        <v>189</v>
      </c>
      <c r="V1140">
        <v>0</v>
      </c>
      <c r="W1140">
        <v>420</v>
      </c>
      <c r="X1140">
        <v>123</v>
      </c>
      <c r="Y1140">
        <v>60.7</v>
      </c>
      <c r="Z1140">
        <v>45.3</v>
      </c>
      <c r="AA1140">
        <v>76</v>
      </c>
    </row>
    <row r="1141" spans="1:27" x14ac:dyDescent="0.25">
      <c r="A1141" t="s">
        <v>235</v>
      </c>
      <c r="B1141" t="s">
        <v>212</v>
      </c>
      <c r="C1141" s="76">
        <v>43961</v>
      </c>
      <c r="D1141">
        <v>1335</v>
      </c>
      <c r="E1141">
        <v>376</v>
      </c>
      <c r="F1141">
        <v>2294</v>
      </c>
      <c r="G1141">
        <v>912</v>
      </c>
      <c r="H1141">
        <v>59.4</v>
      </c>
      <c r="I1141">
        <v>51.4</v>
      </c>
      <c r="J1141">
        <v>67.5</v>
      </c>
      <c r="K1141">
        <v>21</v>
      </c>
      <c r="L1141">
        <v>0</v>
      </c>
      <c r="M1141">
        <v>50</v>
      </c>
      <c r="N1141">
        <v>0.9</v>
      </c>
      <c r="O1141">
        <v>0</v>
      </c>
      <c r="P1141">
        <v>2</v>
      </c>
      <c r="Q1141">
        <f t="shared" si="34"/>
        <v>1406430</v>
      </c>
      <c r="R1141">
        <f t="shared" si="33"/>
        <v>1.4931422111303085</v>
      </c>
      <c r="U1141">
        <v>189</v>
      </c>
      <c r="V1141">
        <v>0</v>
      </c>
      <c r="W1141">
        <v>415</v>
      </c>
      <c r="X1141">
        <v>125</v>
      </c>
      <c r="Y1141">
        <v>60.1</v>
      </c>
      <c r="Z1141">
        <v>44.5</v>
      </c>
      <c r="AA1141">
        <v>75.599999999999994</v>
      </c>
    </row>
    <row r="1142" spans="1:27" x14ac:dyDescent="0.25">
      <c r="A1142" t="s">
        <v>235</v>
      </c>
      <c r="B1142" t="s">
        <v>212</v>
      </c>
      <c r="C1142" s="76">
        <v>43962</v>
      </c>
      <c r="D1142">
        <v>1390</v>
      </c>
      <c r="E1142">
        <v>403</v>
      </c>
      <c r="F1142">
        <v>2377</v>
      </c>
      <c r="G1142">
        <v>857</v>
      </c>
      <c r="H1142">
        <v>61.9</v>
      </c>
      <c r="I1142">
        <v>54</v>
      </c>
      <c r="J1142">
        <v>69.7</v>
      </c>
      <c r="K1142">
        <v>22</v>
      </c>
      <c r="L1142">
        <v>0</v>
      </c>
      <c r="M1142">
        <v>52</v>
      </c>
      <c r="N1142">
        <v>1</v>
      </c>
      <c r="O1142">
        <v>0</v>
      </c>
      <c r="P1142">
        <v>2</v>
      </c>
      <c r="Q1142">
        <f t="shared" si="34"/>
        <v>1406430</v>
      </c>
      <c r="R1142">
        <f t="shared" si="33"/>
        <v>1.564244221184133</v>
      </c>
      <c r="U1142">
        <v>185</v>
      </c>
      <c r="V1142">
        <v>0</v>
      </c>
      <c r="W1142">
        <v>417</v>
      </c>
      <c r="X1142">
        <v>128</v>
      </c>
      <c r="Y1142">
        <v>59.1</v>
      </c>
      <c r="Z1142">
        <v>42</v>
      </c>
      <c r="AA1142">
        <v>76.3</v>
      </c>
    </row>
    <row r="1143" spans="1:27" x14ac:dyDescent="0.25">
      <c r="A1143" t="s">
        <v>235</v>
      </c>
      <c r="B1143" t="s">
        <v>212</v>
      </c>
      <c r="C1143" s="76">
        <v>43963</v>
      </c>
      <c r="D1143">
        <v>1403</v>
      </c>
      <c r="E1143">
        <v>424</v>
      </c>
      <c r="F1143">
        <v>2382</v>
      </c>
      <c r="G1143">
        <v>836</v>
      </c>
      <c r="H1143">
        <v>62.7</v>
      </c>
      <c r="I1143">
        <v>55.4</v>
      </c>
      <c r="J1143">
        <v>69.900000000000006</v>
      </c>
      <c r="K1143">
        <v>14</v>
      </c>
      <c r="L1143">
        <v>0</v>
      </c>
      <c r="M1143">
        <v>31</v>
      </c>
      <c r="N1143">
        <v>0.6</v>
      </c>
      <c r="O1143">
        <v>0.1</v>
      </c>
      <c r="P1143">
        <v>1.2</v>
      </c>
      <c r="Q1143">
        <f t="shared" si="34"/>
        <v>1406430</v>
      </c>
      <c r="R1143">
        <f t="shared" si="33"/>
        <v>0.99542814075353914</v>
      </c>
      <c r="U1143">
        <v>108</v>
      </c>
      <c r="V1143">
        <v>7</v>
      </c>
      <c r="W1143">
        <v>209</v>
      </c>
      <c r="X1143">
        <v>205</v>
      </c>
      <c r="Y1143">
        <v>34.6</v>
      </c>
      <c r="Z1143">
        <v>22.7</v>
      </c>
      <c r="AA1143">
        <v>46.4</v>
      </c>
    </row>
    <row r="1144" spans="1:27" x14ac:dyDescent="0.25">
      <c r="A1144" t="s">
        <v>235</v>
      </c>
      <c r="B1144" t="s">
        <v>212</v>
      </c>
      <c r="C1144" s="76">
        <v>43964</v>
      </c>
      <c r="D1144">
        <v>1452</v>
      </c>
      <c r="E1144">
        <v>436</v>
      </c>
      <c r="F1144">
        <v>2468</v>
      </c>
      <c r="G1144">
        <v>788</v>
      </c>
      <c r="H1144">
        <v>64.8</v>
      </c>
      <c r="I1144">
        <v>57.6</v>
      </c>
      <c r="J1144">
        <v>72.099999999999994</v>
      </c>
      <c r="K1144">
        <v>9</v>
      </c>
      <c r="L1144">
        <v>0</v>
      </c>
      <c r="M1144">
        <v>24</v>
      </c>
      <c r="N1144">
        <v>0.4</v>
      </c>
      <c r="O1144">
        <v>0</v>
      </c>
      <c r="P1144">
        <v>0.9</v>
      </c>
      <c r="Q1144">
        <f t="shared" si="34"/>
        <v>1406430</v>
      </c>
      <c r="R1144">
        <f t="shared" si="33"/>
        <v>0.63991809048441795</v>
      </c>
      <c r="U1144">
        <v>197</v>
      </c>
      <c r="V1144">
        <v>0</v>
      </c>
      <c r="W1144">
        <v>429</v>
      </c>
      <c r="X1144">
        <v>116</v>
      </c>
      <c r="Y1144">
        <v>63.1</v>
      </c>
      <c r="Z1144">
        <v>48.4</v>
      </c>
      <c r="AA1144">
        <v>77.7</v>
      </c>
    </row>
    <row r="1145" spans="1:27" x14ac:dyDescent="0.25">
      <c r="A1145" t="s">
        <v>235</v>
      </c>
      <c r="B1145" t="s">
        <v>212</v>
      </c>
      <c r="C1145" s="76">
        <v>43965</v>
      </c>
      <c r="D1145">
        <v>1479</v>
      </c>
      <c r="E1145">
        <v>441</v>
      </c>
      <c r="F1145">
        <v>2516</v>
      </c>
      <c r="G1145">
        <v>761</v>
      </c>
      <c r="H1145">
        <v>66</v>
      </c>
      <c r="I1145">
        <v>59.6</v>
      </c>
      <c r="J1145">
        <v>72.400000000000006</v>
      </c>
      <c r="K1145">
        <v>11</v>
      </c>
      <c r="L1145">
        <v>0</v>
      </c>
      <c r="M1145">
        <v>25</v>
      </c>
      <c r="N1145">
        <v>0.5</v>
      </c>
      <c r="O1145">
        <v>0</v>
      </c>
      <c r="P1145">
        <v>0.9</v>
      </c>
      <c r="Q1145">
        <f t="shared" si="34"/>
        <v>1406430</v>
      </c>
      <c r="R1145">
        <f t="shared" si="33"/>
        <v>0.78212211059206649</v>
      </c>
      <c r="U1145">
        <v>185</v>
      </c>
      <c r="V1145">
        <v>0</v>
      </c>
      <c r="W1145">
        <v>418</v>
      </c>
      <c r="X1145">
        <v>127</v>
      </c>
      <c r="Y1145">
        <v>59.3</v>
      </c>
      <c r="Z1145">
        <v>42.1</v>
      </c>
      <c r="AA1145">
        <v>76.5</v>
      </c>
    </row>
    <row r="1146" spans="1:27" x14ac:dyDescent="0.25">
      <c r="A1146" t="s">
        <v>235</v>
      </c>
      <c r="B1146" t="s">
        <v>212</v>
      </c>
      <c r="C1146" s="76">
        <v>43966</v>
      </c>
      <c r="D1146">
        <v>1411</v>
      </c>
      <c r="E1146">
        <v>403</v>
      </c>
      <c r="F1146">
        <v>2418</v>
      </c>
      <c r="G1146">
        <v>829</v>
      </c>
      <c r="H1146">
        <v>63</v>
      </c>
      <c r="I1146">
        <v>55.9</v>
      </c>
      <c r="J1146">
        <v>70.099999999999994</v>
      </c>
      <c r="K1146">
        <v>12</v>
      </c>
      <c r="L1146">
        <v>0</v>
      </c>
      <c r="M1146">
        <v>28</v>
      </c>
      <c r="N1146">
        <v>0.5</v>
      </c>
      <c r="O1146">
        <v>0</v>
      </c>
      <c r="P1146">
        <v>1.1000000000000001</v>
      </c>
      <c r="Q1146">
        <f t="shared" si="34"/>
        <v>1406430</v>
      </c>
      <c r="R1146">
        <f t="shared" si="33"/>
        <v>0.8532241206458907</v>
      </c>
      <c r="U1146">
        <v>188</v>
      </c>
      <c r="V1146">
        <v>0</v>
      </c>
      <c r="W1146">
        <v>418</v>
      </c>
      <c r="X1146">
        <v>125</v>
      </c>
      <c r="Y1146">
        <v>60.1</v>
      </c>
      <c r="Z1146">
        <v>42.8</v>
      </c>
      <c r="AA1146">
        <v>77.400000000000006</v>
      </c>
    </row>
    <row r="1147" spans="1:27" x14ac:dyDescent="0.25">
      <c r="A1147" t="s">
        <v>235</v>
      </c>
      <c r="B1147" t="s">
        <v>212</v>
      </c>
      <c r="C1147" s="76">
        <v>43967</v>
      </c>
      <c r="D1147">
        <v>1368</v>
      </c>
      <c r="E1147">
        <v>381</v>
      </c>
      <c r="F1147">
        <v>2356</v>
      </c>
      <c r="G1147">
        <v>871</v>
      </c>
      <c r="H1147">
        <v>61.1</v>
      </c>
      <c r="I1147">
        <v>53</v>
      </c>
      <c r="J1147">
        <v>69.2</v>
      </c>
      <c r="K1147">
        <v>15</v>
      </c>
      <c r="L1147">
        <v>0</v>
      </c>
      <c r="M1147">
        <v>32</v>
      </c>
      <c r="N1147">
        <v>0.7</v>
      </c>
      <c r="O1147">
        <v>0</v>
      </c>
      <c r="P1147">
        <v>1.3</v>
      </c>
      <c r="Q1147">
        <f t="shared" si="34"/>
        <v>1406430</v>
      </c>
      <c r="R1147">
        <f t="shared" si="33"/>
        <v>1.0665301508073635</v>
      </c>
      <c r="U1147">
        <v>199</v>
      </c>
      <c r="V1147">
        <v>0</v>
      </c>
      <c r="W1147">
        <v>449</v>
      </c>
      <c r="X1147">
        <v>117</v>
      </c>
      <c r="Y1147">
        <v>63</v>
      </c>
      <c r="Z1147">
        <v>39.299999999999997</v>
      </c>
      <c r="AA1147">
        <v>86.7</v>
      </c>
    </row>
    <row r="1148" spans="1:27" x14ac:dyDescent="0.25">
      <c r="A1148" t="s">
        <v>235</v>
      </c>
      <c r="B1148" t="s">
        <v>212</v>
      </c>
      <c r="C1148" s="76">
        <v>43968</v>
      </c>
      <c r="D1148">
        <v>1284</v>
      </c>
      <c r="E1148">
        <v>351</v>
      </c>
      <c r="F1148">
        <v>2216</v>
      </c>
      <c r="G1148">
        <v>956</v>
      </c>
      <c r="H1148">
        <v>57.3</v>
      </c>
      <c r="I1148">
        <v>49.1</v>
      </c>
      <c r="J1148">
        <v>65.5</v>
      </c>
      <c r="K1148">
        <v>9</v>
      </c>
      <c r="L1148">
        <v>0</v>
      </c>
      <c r="M1148">
        <v>22</v>
      </c>
      <c r="N1148">
        <v>0.4</v>
      </c>
      <c r="O1148">
        <v>0</v>
      </c>
      <c r="P1148">
        <v>0.9</v>
      </c>
      <c r="Q1148">
        <f t="shared" si="34"/>
        <v>1406430</v>
      </c>
      <c r="R1148">
        <f t="shared" si="33"/>
        <v>0.63991809048441795</v>
      </c>
      <c r="U1148">
        <v>198</v>
      </c>
      <c r="V1148">
        <v>0</v>
      </c>
      <c r="W1148">
        <v>445</v>
      </c>
      <c r="X1148">
        <v>118</v>
      </c>
      <c r="Y1148">
        <v>62.7</v>
      </c>
      <c r="Z1148">
        <v>39.299999999999997</v>
      </c>
      <c r="AA1148">
        <v>86.1</v>
      </c>
    </row>
    <row r="1149" spans="1:27" x14ac:dyDescent="0.25">
      <c r="A1149" t="s">
        <v>235</v>
      </c>
      <c r="B1149" t="s">
        <v>212</v>
      </c>
      <c r="C1149" s="76">
        <v>43969</v>
      </c>
      <c r="D1149">
        <v>1406</v>
      </c>
      <c r="E1149">
        <v>390</v>
      </c>
      <c r="F1149">
        <v>2421</v>
      </c>
      <c r="G1149">
        <v>834</v>
      </c>
      <c r="H1149">
        <v>62.8</v>
      </c>
      <c r="I1149">
        <v>54.4</v>
      </c>
      <c r="J1149">
        <v>71.099999999999994</v>
      </c>
      <c r="K1149">
        <v>2</v>
      </c>
      <c r="L1149">
        <v>0</v>
      </c>
      <c r="M1149">
        <v>6</v>
      </c>
      <c r="N1149">
        <v>0.1</v>
      </c>
      <c r="O1149">
        <v>0</v>
      </c>
      <c r="P1149">
        <v>0.2</v>
      </c>
      <c r="Q1149">
        <f t="shared" si="34"/>
        <v>1406430</v>
      </c>
      <c r="R1149">
        <f t="shared" si="33"/>
        <v>0.14220402010764846</v>
      </c>
      <c r="U1149">
        <v>202</v>
      </c>
      <c r="V1149">
        <v>0</v>
      </c>
      <c r="W1149">
        <v>448</v>
      </c>
      <c r="X1149">
        <v>114</v>
      </c>
      <c r="Y1149">
        <v>64</v>
      </c>
      <c r="Z1149">
        <v>45.6</v>
      </c>
      <c r="AA1149">
        <v>82.3</v>
      </c>
    </row>
    <row r="1150" spans="1:27" x14ac:dyDescent="0.25">
      <c r="A1150" t="s">
        <v>235</v>
      </c>
      <c r="B1150" t="s">
        <v>212</v>
      </c>
      <c r="C1150" s="76">
        <v>43970</v>
      </c>
      <c r="D1150">
        <v>1423</v>
      </c>
      <c r="E1150">
        <v>407</v>
      </c>
      <c r="F1150">
        <v>2440</v>
      </c>
      <c r="G1150">
        <v>816</v>
      </c>
      <c r="H1150">
        <v>63.5</v>
      </c>
      <c r="I1150">
        <v>55.8</v>
      </c>
      <c r="J1150">
        <v>71.3</v>
      </c>
      <c r="K1150">
        <v>7</v>
      </c>
      <c r="L1150">
        <v>0</v>
      </c>
      <c r="M1150">
        <v>16</v>
      </c>
      <c r="N1150">
        <v>0.3</v>
      </c>
      <c r="O1150">
        <v>0</v>
      </c>
      <c r="P1150">
        <v>0.6</v>
      </c>
      <c r="Q1150">
        <f t="shared" si="34"/>
        <v>1406430</v>
      </c>
      <c r="R1150">
        <f t="shared" si="33"/>
        <v>0.49771407037676957</v>
      </c>
      <c r="U1150">
        <v>209</v>
      </c>
      <c r="V1150">
        <v>0</v>
      </c>
      <c r="W1150">
        <v>475</v>
      </c>
      <c r="X1150">
        <v>108</v>
      </c>
      <c r="Y1150">
        <v>65.900000000000006</v>
      </c>
      <c r="Z1150">
        <v>43.2</v>
      </c>
      <c r="AA1150">
        <v>88.6</v>
      </c>
    </row>
    <row r="1151" spans="1:27" x14ac:dyDescent="0.25">
      <c r="A1151" t="s">
        <v>235</v>
      </c>
      <c r="B1151" t="s">
        <v>212</v>
      </c>
      <c r="C1151" s="76">
        <v>43971</v>
      </c>
      <c r="D1151">
        <v>1128</v>
      </c>
      <c r="E1151">
        <v>209</v>
      </c>
      <c r="F1151">
        <v>2046</v>
      </c>
      <c r="G1151">
        <v>496</v>
      </c>
      <c r="H1151">
        <v>69.5</v>
      </c>
      <c r="I1151">
        <v>61</v>
      </c>
      <c r="J1151">
        <v>78</v>
      </c>
      <c r="K1151">
        <v>6</v>
      </c>
      <c r="L1151">
        <v>0</v>
      </c>
      <c r="M1151">
        <v>12</v>
      </c>
      <c r="N1151">
        <v>0.3</v>
      </c>
      <c r="O1151">
        <v>0.1</v>
      </c>
      <c r="P1151">
        <v>0.6</v>
      </c>
      <c r="Q1151">
        <f t="shared" si="34"/>
        <v>1406430</v>
      </c>
      <c r="R1151">
        <f t="shared" si="33"/>
        <v>0.42661206032294535</v>
      </c>
      <c r="U1151">
        <v>192</v>
      </c>
      <c r="V1151">
        <v>0</v>
      </c>
      <c r="W1151">
        <v>459</v>
      </c>
      <c r="X1151">
        <v>60</v>
      </c>
      <c r="Y1151">
        <v>76.3</v>
      </c>
      <c r="Z1151">
        <v>56.4</v>
      </c>
      <c r="AA1151">
        <v>96.3</v>
      </c>
    </row>
    <row r="1152" spans="1:27" x14ac:dyDescent="0.25">
      <c r="A1152" t="s">
        <v>235</v>
      </c>
      <c r="B1152" t="s">
        <v>212</v>
      </c>
      <c r="C1152" s="76">
        <v>43972</v>
      </c>
      <c r="D1152">
        <v>1182</v>
      </c>
      <c r="E1152">
        <v>207</v>
      </c>
      <c r="F1152">
        <v>2157</v>
      </c>
      <c r="G1152">
        <v>441</v>
      </c>
      <c r="H1152">
        <v>72.8</v>
      </c>
      <c r="I1152">
        <v>62.3</v>
      </c>
      <c r="J1152">
        <v>83.4</v>
      </c>
      <c r="K1152">
        <v>4</v>
      </c>
      <c r="L1152">
        <v>0</v>
      </c>
      <c r="M1152">
        <v>8</v>
      </c>
      <c r="N1152">
        <v>0.2</v>
      </c>
      <c r="O1152">
        <v>0</v>
      </c>
      <c r="P1152">
        <v>0.4</v>
      </c>
      <c r="Q1152">
        <f t="shared" si="34"/>
        <v>1406430</v>
      </c>
      <c r="R1152">
        <f t="shared" si="33"/>
        <v>0.28440804021529692</v>
      </c>
      <c r="U1152">
        <v>195</v>
      </c>
      <c r="V1152">
        <v>0</v>
      </c>
      <c r="W1152">
        <v>467</v>
      </c>
      <c r="X1152">
        <v>57</v>
      </c>
      <c r="Y1152">
        <v>77.5</v>
      </c>
      <c r="Z1152">
        <v>55.7</v>
      </c>
      <c r="AA1152">
        <v>99.4</v>
      </c>
    </row>
    <row r="1153" spans="1:27" x14ac:dyDescent="0.25">
      <c r="A1153" t="s">
        <v>235</v>
      </c>
      <c r="B1153" t="s">
        <v>212</v>
      </c>
      <c r="C1153" s="76">
        <v>43973</v>
      </c>
      <c r="D1153">
        <v>1191</v>
      </c>
      <c r="E1153">
        <v>203</v>
      </c>
      <c r="F1153">
        <v>2179</v>
      </c>
      <c r="G1153">
        <v>432</v>
      </c>
      <c r="H1153">
        <v>73.400000000000006</v>
      </c>
      <c r="I1153">
        <v>61.1</v>
      </c>
      <c r="J1153">
        <v>85.7</v>
      </c>
      <c r="K1153">
        <v>6</v>
      </c>
      <c r="L1153">
        <v>0</v>
      </c>
      <c r="M1153">
        <v>12</v>
      </c>
      <c r="N1153">
        <v>0.3</v>
      </c>
      <c r="O1153">
        <v>0.1</v>
      </c>
      <c r="P1153">
        <v>0.6</v>
      </c>
      <c r="Q1153">
        <f t="shared" si="34"/>
        <v>1406430</v>
      </c>
      <c r="R1153">
        <f t="shared" si="33"/>
        <v>0.42661206032294535</v>
      </c>
      <c r="U1153">
        <v>185</v>
      </c>
      <c r="V1153">
        <v>0</v>
      </c>
      <c r="W1153">
        <v>447</v>
      </c>
      <c r="X1153">
        <v>67</v>
      </c>
      <c r="Y1153">
        <v>73.400000000000006</v>
      </c>
      <c r="Z1153">
        <v>50.7</v>
      </c>
      <c r="AA1153">
        <v>96</v>
      </c>
    </row>
    <row r="1154" spans="1:27" x14ac:dyDescent="0.25">
      <c r="A1154" t="s">
        <v>235</v>
      </c>
      <c r="B1154" t="s">
        <v>212</v>
      </c>
      <c r="C1154" s="76">
        <v>43974</v>
      </c>
      <c r="D1154">
        <v>998</v>
      </c>
      <c r="E1154">
        <v>108</v>
      </c>
      <c r="F1154">
        <v>1888</v>
      </c>
      <c r="G1154">
        <v>499</v>
      </c>
      <c r="H1154">
        <v>66.7</v>
      </c>
      <c r="I1154">
        <v>53.9</v>
      </c>
      <c r="J1154">
        <v>79.400000000000006</v>
      </c>
      <c r="K1154">
        <v>8</v>
      </c>
      <c r="L1154">
        <v>0</v>
      </c>
      <c r="M1154">
        <v>17</v>
      </c>
      <c r="N1154">
        <v>0.5</v>
      </c>
      <c r="O1154">
        <v>0</v>
      </c>
      <c r="P1154">
        <v>1</v>
      </c>
      <c r="Q1154">
        <f t="shared" si="34"/>
        <v>1406430</v>
      </c>
      <c r="R1154">
        <f t="shared" si="33"/>
        <v>0.56881608043059384</v>
      </c>
      <c r="U1154">
        <v>199</v>
      </c>
      <c r="V1154">
        <v>0</v>
      </c>
      <c r="W1154">
        <v>477</v>
      </c>
      <c r="X1154">
        <v>53</v>
      </c>
      <c r="Y1154">
        <v>79.099999999999994</v>
      </c>
      <c r="Z1154">
        <v>57.1</v>
      </c>
      <c r="AA1154">
        <v>100</v>
      </c>
    </row>
    <row r="1155" spans="1:27" x14ac:dyDescent="0.25">
      <c r="A1155" t="s">
        <v>235</v>
      </c>
      <c r="B1155" t="s">
        <v>212</v>
      </c>
      <c r="C1155" s="76">
        <v>43975</v>
      </c>
      <c r="D1155">
        <v>995</v>
      </c>
      <c r="E1155">
        <v>117</v>
      </c>
      <c r="F1155">
        <v>1874</v>
      </c>
      <c r="G1155">
        <v>502</v>
      </c>
      <c r="H1155">
        <v>66.5</v>
      </c>
      <c r="I1155">
        <v>53.7</v>
      </c>
      <c r="J1155">
        <v>79.2</v>
      </c>
      <c r="K1155">
        <v>14</v>
      </c>
      <c r="L1155">
        <v>0</v>
      </c>
      <c r="M1155">
        <v>31</v>
      </c>
      <c r="N1155">
        <v>0.9</v>
      </c>
      <c r="O1155">
        <v>0.1</v>
      </c>
      <c r="P1155">
        <v>1.8</v>
      </c>
      <c r="Q1155">
        <f t="shared" si="34"/>
        <v>1406430</v>
      </c>
      <c r="R1155">
        <f t="shared" si="33"/>
        <v>0.99542814075353914</v>
      </c>
      <c r="U1155">
        <v>185</v>
      </c>
      <c r="V1155">
        <v>0</v>
      </c>
      <c r="W1155">
        <v>458</v>
      </c>
      <c r="X1155">
        <v>66</v>
      </c>
      <c r="Y1155">
        <v>73.599999999999994</v>
      </c>
      <c r="Z1155">
        <v>43.6</v>
      </c>
      <c r="AA1155">
        <v>100</v>
      </c>
    </row>
    <row r="1156" spans="1:27" x14ac:dyDescent="0.25">
      <c r="A1156" t="s">
        <v>235</v>
      </c>
      <c r="B1156" t="s">
        <v>212</v>
      </c>
      <c r="C1156" s="76">
        <v>43976</v>
      </c>
      <c r="D1156">
        <v>1402</v>
      </c>
      <c r="E1156">
        <v>329</v>
      </c>
      <c r="F1156">
        <v>2474</v>
      </c>
      <c r="G1156">
        <v>677</v>
      </c>
      <c r="H1156">
        <v>67.400000000000006</v>
      </c>
      <c r="I1156">
        <v>61</v>
      </c>
      <c r="J1156">
        <v>73.900000000000006</v>
      </c>
      <c r="K1156">
        <v>3</v>
      </c>
      <c r="L1156">
        <v>0</v>
      </c>
      <c r="M1156">
        <v>7</v>
      </c>
      <c r="N1156">
        <v>0.1</v>
      </c>
      <c r="O1156">
        <v>0</v>
      </c>
      <c r="P1156">
        <v>0.3</v>
      </c>
      <c r="Q1156">
        <f t="shared" si="34"/>
        <v>1406430</v>
      </c>
      <c r="R1156">
        <f t="shared" si="33"/>
        <v>0.21330603016147268</v>
      </c>
      <c r="U1156">
        <v>214</v>
      </c>
      <c r="V1156">
        <v>0</v>
      </c>
      <c r="W1156">
        <v>482</v>
      </c>
      <c r="X1156">
        <v>110</v>
      </c>
      <c r="Y1156">
        <v>66.2</v>
      </c>
      <c r="Z1156">
        <v>43.2</v>
      </c>
      <c r="AA1156">
        <v>89.1</v>
      </c>
    </row>
    <row r="1157" spans="1:27" x14ac:dyDescent="0.25">
      <c r="A1157" t="s">
        <v>235</v>
      </c>
      <c r="B1157" t="s">
        <v>212</v>
      </c>
      <c r="C1157" s="76">
        <v>43977</v>
      </c>
      <c r="D1157">
        <v>1407</v>
      </c>
      <c r="E1157">
        <v>326</v>
      </c>
      <c r="F1157">
        <v>2487</v>
      </c>
      <c r="G1157">
        <v>672</v>
      </c>
      <c r="H1157">
        <v>67.7</v>
      </c>
      <c r="I1157">
        <v>61.9</v>
      </c>
      <c r="J1157">
        <v>73.5</v>
      </c>
      <c r="K1157">
        <v>3</v>
      </c>
      <c r="L1157">
        <v>0</v>
      </c>
      <c r="M1157">
        <v>6</v>
      </c>
      <c r="N1157">
        <v>0.1</v>
      </c>
      <c r="O1157">
        <v>0</v>
      </c>
      <c r="P1157">
        <v>0.2</v>
      </c>
      <c r="Q1157">
        <f t="shared" si="34"/>
        <v>1406430</v>
      </c>
      <c r="R1157">
        <f t="shared" ref="R1157:R1220" si="35">K1157/(Q1157)*100000</f>
        <v>0.21330603016147268</v>
      </c>
      <c r="U1157">
        <v>217</v>
      </c>
      <c r="V1157">
        <v>0</v>
      </c>
      <c r="W1157">
        <v>482</v>
      </c>
      <c r="X1157">
        <v>107</v>
      </c>
      <c r="Y1157">
        <v>66.900000000000006</v>
      </c>
      <c r="Z1157">
        <v>46.9</v>
      </c>
      <c r="AA1157">
        <v>87</v>
      </c>
    </row>
    <row r="1158" spans="1:27" x14ac:dyDescent="0.25">
      <c r="A1158" t="s">
        <v>235</v>
      </c>
      <c r="B1158" t="s">
        <v>212</v>
      </c>
      <c r="C1158" s="76">
        <v>43978</v>
      </c>
      <c r="D1158">
        <v>1528</v>
      </c>
      <c r="E1158">
        <v>340</v>
      </c>
      <c r="F1158">
        <v>2715</v>
      </c>
      <c r="G1158">
        <v>676</v>
      </c>
      <c r="H1158">
        <v>69.3</v>
      </c>
      <c r="I1158">
        <v>64.099999999999994</v>
      </c>
      <c r="J1158">
        <v>74.599999999999994</v>
      </c>
      <c r="K1158">
        <v>5</v>
      </c>
      <c r="L1158">
        <v>0</v>
      </c>
      <c r="M1158">
        <v>14</v>
      </c>
      <c r="N1158">
        <v>0.2</v>
      </c>
      <c r="O1158">
        <v>0</v>
      </c>
      <c r="P1158">
        <v>0.6</v>
      </c>
      <c r="Q1158">
        <f t="shared" si="34"/>
        <v>1406430</v>
      </c>
      <c r="R1158">
        <f t="shared" si="35"/>
        <v>0.35551005026912108</v>
      </c>
      <c r="U1158">
        <v>248</v>
      </c>
      <c r="V1158">
        <v>0</v>
      </c>
      <c r="W1158">
        <v>579</v>
      </c>
      <c r="X1158">
        <v>125</v>
      </c>
      <c r="Y1158">
        <v>66.5</v>
      </c>
      <c r="Z1158">
        <v>44.9</v>
      </c>
      <c r="AA1158">
        <v>88.2</v>
      </c>
    </row>
    <row r="1159" spans="1:27" x14ac:dyDescent="0.25">
      <c r="A1159" t="s">
        <v>235</v>
      </c>
      <c r="B1159" t="s">
        <v>212</v>
      </c>
      <c r="C1159" s="76">
        <v>43979</v>
      </c>
      <c r="D1159">
        <v>1532</v>
      </c>
      <c r="E1159">
        <v>302</v>
      </c>
      <c r="F1159">
        <v>2761</v>
      </c>
      <c r="G1159">
        <v>672</v>
      </c>
      <c r="H1159">
        <v>69.5</v>
      </c>
      <c r="I1159">
        <v>64.8</v>
      </c>
      <c r="J1159">
        <v>74.2</v>
      </c>
      <c r="K1159">
        <v>1</v>
      </c>
      <c r="L1159">
        <v>0</v>
      </c>
      <c r="M1159">
        <v>3</v>
      </c>
      <c r="N1159">
        <v>0</v>
      </c>
      <c r="O1159">
        <v>0</v>
      </c>
      <c r="P1159">
        <v>0.1</v>
      </c>
      <c r="Q1159">
        <f t="shared" si="34"/>
        <v>1406430</v>
      </c>
      <c r="R1159">
        <f t="shared" si="35"/>
        <v>7.110201005382423E-2</v>
      </c>
      <c r="U1159">
        <v>261</v>
      </c>
      <c r="V1159">
        <v>0</v>
      </c>
      <c r="W1159">
        <v>603</v>
      </c>
      <c r="X1159">
        <v>117</v>
      </c>
      <c r="Y1159">
        <v>69</v>
      </c>
      <c r="Z1159">
        <v>48.6</v>
      </c>
      <c r="AA1159">
        <v>89.5</v>
      </c>
    </row>
    <row r="1160" spans="1:27" x14ac:dyDescent="0.25">
      <c r="A1160" t="s">
        <v>235</v>
      </c>
      <c r="B1160" t="s">
        <v>212</v>
      </c>
      <c r="C1160" s="76">
        <v>43980</v>
      </c>
      <c r="D1160">
        <v>1593</v>
      </c>
      <c r="E1160">
        <v>120</v>
      </c>
      <c r="F1160">
        <v>3066</v>
      </c>
      <c r="G1160">
        <v>738</v>
      </c>
      <c r="H1160">
        <v>68.400000000000006</v>
      </c>
      <c r="I1160">
        <v>62.1</v>
      </c>
      <c r="J1160">
        <v>74.599999999999994</v>
      </c>
      <c r="K1160">
        <v>7</v>
      </c>
      <c r="L1160">
        <v>0</v>
      </c>
      <c r="M1160">
        <v>15</v>
      </c>
      <c r="N1160">
        <v>0.3</v>
      </c>
      <c r="O1160">
        <v>0</v>
      </c>
      <c r="P1160">
        <v>0.6</v>
      </c>
      <c r="Q1160">
        <f t="shared" si="34"/>
        <v>1406430</v>
      </c>
      <c r="R1160">
        <f t="shared" si="35"/>
        <v>0.49771407037676957</v>
      </c>
      <c r="U1160">
        <v>317</v>
      </c>
      <c r="V1160">
        <v>0</v>
      </c>
      <c r="W1160">
        <v>788</v>
      </c>
      <c r="X1160">
        <v>160</v>
      </c>
      <c r="Y1160">
        <v>66.5</v>
      </c>
      <c r="Z1160">
        <v>45.9</v>
      </c>
      <c r="AA1160">
        <v>87</v>
      </c>
    </row>
    <row r="1161" spans="1:27" x14ac:dyDescent="0.25">
      <c r="A1161" t="s">
        <v>235</v>
      </c>
      <c r="B1161" t="s">
        <v>212</v>
      </c>
      <c r="C1161" s="76">
        <v>43981</v>
      </c>
      <c r="D1161">
        <v>1477</v>
      </c>
      <c r="E1161">
        <v>323</v>
      </c>
      <c r="F1161">
        <v>2630</v>
      </c>
      <c r="G1161">
        <v>709</v>
      </c>
      <c r="H1161">
        <v>67.599999999999994</v>
      </c>
      <c r="I1161">
        <v>61.6</v>
      </c>
      <c r="J1161">
        <v>73.5</v>
      </c>
      <c r="K1161">
        <v>5</v>
      </c>
      <c r="L1161">
        <v>0</v>
      </c>
      <c r="M1161">
        <v>11</v>
      </c>
      <c r="N1161">
        <v>0.2</v>
      </c>
      <c r="O1161">
        <v>0</v>
      </c>
      <c r="P1161">
        <v>0.5</v>
      </c>
      <c r="Q1161">
        <f t="shared" si="34"/>
        <v>1406430</v>
      </c>
      <c r="R1161">
        <f t="shared" si="35"/>
        <v>0.35551005026912108</v>
      </c>
      <c r="U1161">
        <v>234</v>
      </c>
      <c r="V1161">
        <v>0</v>
      </c>
      <c r="W1161">
        <v>549</v>
      </c>
      <c r="X1161">
        <v>156</v>
      </c>
      <c r="Y1161">
        <v>60</v>
      </c>
      <c r="Z1161">
        <v>36.9</v>
      </c>
      <c r="AA1161">
        <v>83.1</v>
      </c>
    </row>
    <row r="1162" spans="1:27" x14ac:dyDescent="0.25">
      <c r="A1162" t="s">
        <v>235</v>
      </c>
      <c r="B1162" t="s">
        <v>212</v>
      </c>
      <c r="C1162" s="76">
        <v>43982</v>
      </c>
      <c r="D1162">
        <v>1450</v>
      </c>
      <c r="E1162">
        <v>309</v>
      </c>
      <c r="F1162">
        <v>2592</v>
      </c>
      <c r="G1162">
        <v>735</v>
      </c>
      <c r="H1162">
        <v>66.400000000000006</v>
      </c>
      <c r="I1162">
        <v>59.8</v>
      </c>
      <c r="J1162">
        <v>72.900000000000006</v>
      </c>
      <c r="K1162">
        <v>3</v>
      </c>
      <c r="L1162">
        <v>0</v>
      </c>
      <c r="M1162">
        <v>9</v>
      </c>
      <c r="N1162">
        <v>0.1</v>
      </c>
      <c r="O1162">
        <v>0</v>
      </c>
      <c r="P1162">
        <v>0.4</v>
      </c>
      <c r="Q1162">
        <f t="shared" si="34"/>
        <v>1406430</v>
      </c>
      <c r="R1162">
        <f t="shared" si="35"/>
        <v>0.21330603016147268</v>
      </c>
      <c r="U1162">
        <v>233</v>
      </c>
      <c r="V1162">
        <v>0</v>
      </c>
      <c r="W1162">
        <v>546</v>
      </c>
      <c r="X1162">
        <v>158</v>
      </c>
      <c r="Y1162">
        <v>59.5</v>
      </c>
      <c r="Z1162">
        <v>35.9</v>
      </c>
      <c r="AA1162">
        <v>83.2</v>
      </c>
    </row>
    <row r="1163" spans="1:27" x14ac:dyDescent="0.25">
      <c r="A1163" t="s">
        <v>235</v>
      </c>
      <c r="B1163" t="s">
        <v>212</v>
      </c>
      <c r="C1163" s="76">
        <v>43983</v>
      </c>
      <c r="D1163">
        <v>1427</v>
      </c>
      <c r="E1163">
        <v>297</v>
      </c>
      <c r="F1163">
        <v>2556</v>
      </c>
      <c r="G1163">
        <v>759</v>
      </c>
      <c r="H1163">
        <v>65.3</v>
      </c>
      <c r="I1163">
        <v>59.8</v>
      </c>
      <c r="J1163">
        <v>70.8</v>
      </c>
      <c r="K1163">
        <v>3</v>
      </c>
      <c r="L1163">
        <v>0</v>
      </c>
      <c r="M1163">
        <v>10</v>
      </c>
      <c r="N1163">
        <v>0.2</v>
      </c>
      <c r="O1163">
        <v>0</v>
      </c>
      <c r="P1163">
        <v>0.4</v>
      </c>
      <c r="Q1163">
        <f t="shared" si="34"/>
        <v>1406430</v>
      </c>
      <c r="R1163">
        <f t="shared" si="35"/>
        <v>0.21330603016147268</v>
      </c>
      <c r="U1163">
        <v>215</v>
      </c>
      <c r="V1163">
        <v>0</v>
      </c>
      <c r="W1163">
        <v>519</v>
      </c>
      <c r="X1163">
        <v>180</v>
      </c>
      <c r="Y1163">
        <v>54.4</v>
      </c>
      <c r="Z1163">
        <v>28.3</v>
      </c>
      <c r="AA1163">
        <v>80.599999999999994</v>
      </c>
    </row>
    <row r="1164" spans="1:27" x14ac:dyDescent="0.25">
      <c r="A1164" t="s">
        <v>235</v>
      </c>
      <c r="B1164" t="s">
        <v>212</v>
      </c>
      <c r="C1164" s="76">
        <v>43984</v>
      </c>
      <c r="D1164">
        <v>1529</v>
      </c>
      <c r="E1164">
        <v>172</v>
      </c>
      <c r="F1164">
        <v>2886</v>
      </c>
      <c r="G1164">
        <v>784</v>
      </c>
      <c r="H1164">
        <v>66.099999999999994</v>
      </c>
      <c r="I1164">
        <v>61.7</v>
      </c>
      <c r="J1164">
        <v>70.5</v>
      </c>
      <c r="K1164">
        <v>7</v>
      </c>
      <c r="L1164">
        <v>0</v>
      </c>
      <c r="M1164">
        <v>13</v>
      </c>
      <c r="N1164">
        <v>0.3</v>
      </c>
      <c r="O1164">
        <v>0</v>
      </c>
      <c r="P1164">
        <v>0.6</v>
      </c>
      <c r="Q1164">
        <f t="shared" si="34"/>
        <v>1406430</v>
      </c>
      <c r="R1164">
        <f t="shared" si="35"/>
        <v>0.49771407037676957</v>
      </c>
      <c r="U1164">
        <v>299</v>
      </c>
      <c r="V1164">
        <v>0</v>
      </c>
      <c r="W1164">
        <v>735</v>
      </c>
      <c r="X1164">
        <v>194</v>
      </c>
      <c r="Y1164">
        <v>60.6</v>
      </c>
      <c r="Z1164">
        <v>40.9</v>
      </c>
      <c r="AA1164">
        <v>80.400000000000006</v>
      </c>
    </row>
    <row r="1165" spans="1:27" x14ac:dyDescent="0.25">
      <c r="A1165" t="s">
        <v>235</v>
      </c>
      <c r="B1165" t="s">
        <v>212</v>
      </c>
      <c r="C1165" s="76">
        <v>43985</v>
      </c>
      <c r="D1165">
        <v>1755</v>
      </c>
      <c r="E1165">
        <v>0</v>
      </c>
      <c r="F1165">
        <v>4140</v>
      </c>
      <c r="G1165">
        <v>738</v>
      </c>
      <c r="H1165">
        <v>70.400000000000006</v>
      </c>
      <c r="I1165">
        <v>61.3</v>
      </c>
      <c r="J1165">
        <v>79.5</v>
      </c>
      <c r="K1165">
        <v>13</v>
      </c>
      <c r="L1165">
        <v>0</v>
      </c>
      <c r="M1165">
        <v>30</v>
      </c>
      <c r="N1165">
        <v>0.5</v>
      </c>
      <c r="O1165">
        <v>0</v>
      </c>
      <c r="P1165">
        <v>1.3</v>
      </c>
      <c r="Q1165">
        <f t="shared" si="34"/>
        <v>1406430</v>
      </c>
      <c r="R1165">
        <f t="shared" si="35"/>
        <v>0.92432613069971492</v>
      </c>
      <c r="U1165">
        <v>520</v>
      </c>
      <c r="V1165">
        <v>0</v>
      </c>
      <c r="W1165">
        <v>1429</v>
      </c>
      <c r="X1165">
        <v>197</v>
      </c>
      <c r="Y1165">
        <v>72.599999999999994</v>
      </c>
      <c r="Z1165">
        <v>59.4</v>
      </c>
      <c r="AA1165">
        <v>85.7</v>
      </c>
    </row>
    <row r="1166" spans="1:27" x14ac:dyDescent="0.25">
      <c r="A1166" t="s">
        <v>235</v>
      </c>
      <c r="B1166" t="s">
        <v>212</v>
      </c>
      <c r="C1166" s="76">
        <v>43986</v>
      </c>
      <c r="D1166">
        <v>1155</v>
      </c>
      <c r="E1166">
        <v>0</v>
      </c>
      <c r="F1166">
        <v>2490</v>
      </c>
      <c r="G1166">
        <v>550</v>
      </c>
      <c r="H1166">
        <v>67.8</v>
      </c>
      <c r="I1166">
        <v>58</v>
      </c>
      <c r="J1166">
        <v>77.599999999999994</v>
      </c>
      <c r="K1166">
        <v>8</v>
      </c>
      <c r="L1166">
        <v>0</v>
      </c>
      <c r="M1166">
        <v>17</v>
      </c>
      <c r="N1166">
        <v>0.5</v>
      </c>
      <c r="O1166">
        <v>0</v>
      </c>
      <c r="P1166">
        <v>1</v>
      </c>
      <c r="Q1166">
        <f t="shared" si="34"/>
        <v>1406430</v>
      </c>
      <c r="R1166">
        <f t="shared" si="35"/>
        <v>0.56881608043059384</v>
      </c>
      <c r="U1166">
        <v>269</v>
      </c>
      <c r="V1166">
        <v>0</v>
      </c>
      <c r="W1166">
        <v>713</v>
      </c>
      <c r="X1166">
        <v>131</v>
      </c>
      <c r="Y1166">
        <v>67.3</v>
      </c>
      <c r="Z1166">
        <v>50.6</v>
      </c>
      <c r="AA1166">
        <v>84</v>
      </c>
    </row>
    <row r="1167" spans="1:27" x14ac:dyDescent="0.25">
      <c r="A1167" t="s">
        <v>235</v>
      </c>
      <c r="B1167" t="s">
        <v>212</v>
      </c>
      <c r="C1167" s="76">
        <v>43987</v>
      </c>
      <c r="D1167">
        <v>1125</v>
      </c>
      <c r="E1167">
        <v>0</v>
      </c>
      <c r="F1167">
        <v>2376</v>
      </c>
      <c r="G1167">
        <v>580</v>
      </c>
      <c r="H1167">
        <v>66</v>
      </c>
      <c r="I1167">
        <v>60.7</v>
      </c>
      <c r="J1167">
        <v>71.2</v>
      </c>
      <c r="K1167">
        <v>5</v>
      </c>
      <c r="L1167">
        <v>0</v>
      </c>
      <c r="M1167">
        <v>12</v>
      </c>
      <c r="N1167">
        <v>0.3</v>
      </c>
      <c r="O1167">
        <v>0</v>
      </c>
      <c r="P1167">
        <v>0.6</v>
      </c>
      <c r="Q1167">
        <f t="shared" si="34"/>
        <v>1406430</v>
      </c>
      <c r="R1167">
        <f t="shared" si="35"/>
        <v>0.35551005026912108</v>
      </c>
      <c r="U1167">
        <v>289</v>
      </c>
      <c r="V1167">
        <v>0</v>
      </c>
      <c r="W1167">
        <v>753</v>
      </c>
      <c r="X1167">
        <v>111</v>
      </c>
      <c r="Y1167">
        <v>72.3</v>
      </c>
      <c r="Z1167">
        <v>57.9</v>
      </c>
      <c r="AA1167">
        <v>86.8</v>
      </c>
    </row>
    <row r="1168" spans="1:27" x14ac:dyDescent="0.25">
      <c r="A1168" t="s">
        <v>235</v>
      </c>
      <c r="B1168" t="s">
        <v>212</v>
      </c>
      <c r="C1168" s="76">
        <v>43988</v>
      </c>
      <c r="D1168">
        <v>955</v>
      </c>
      <c r="E1168">
        <v>0</v>
      </c>
      <c r="F1168">
        <v>1951</v>
      </c>
      <c r="G1168">
        <v>541</v>
      </c>
      <c r="H1168">
        <v>63.8</v>
      </c>
      <c r="I1168">
        <v>56.2</v>
      </c>
      <c r="J1168">
        <v>71.400000000000006</v>
      </c>
      <c r="K1168">
        <v>5</v>
      </c>
      <c r="L1168">
        <v>0</v>
      </c>
      <c r="M1168">
        <v>15</v>
      </c>
      <c r="N1168">
        <v>0.3</v>
      </c>
      <c r="O1168">
        <v>0</v>
      </c>
      <c r="P1168">
        <v>0.9</v>
      </c>
      <c r="Q1168">
        <f t="shared" si="34"/>
        <v>1406430</v>
      </c>
      <c r="R1168">
        <f t="shared" si="35"/>
        <v>0.35551005026912108</v>
      </c>
      <c r="U1168">
        <v>216</v>
      </c>
      <c r="V1168">
        <v>0</v>
      </c>
      <c r="W1168">
        <v>525</v>
      </c>
      <c r="X1168">
        <v>87</v>
      </c>
      <c r="Y1168">
        <v>71.400000000000006</v>
      </c>
      <c r="Z1168">
        <v>60.3</v>
      </c>
      <c r="AA1168">
        <v>82.5</v>
      </c>
    </row>
    <row r="1169" spans="1:27" x14ac:dyDescent="0.25">
      <c r="A1169" t="s">
        <v>235</v>
      </c>
      <c r="B1169" t="s">
        <v>212</v>
      </c>
      <c r="C1169" s="76">
        <v>43989</v>
      </c>
      <c r="D1169">
        <v>907</v>
      </c>
      <c r="E1169">
        <v>56</v>
      </c>
      <c r="F1169">
        <v>1757</v>
      </c>
      <c r="G1169">
        <v>546</v>
      </c>
      <c r="H1169">
        <v>62.4</v>
      </c>
      <c r="I1169">
        <v>55.6</v>
      </c>
      <c r="J1169">
        <v>69.2</v>
      </c>
      <c r="K1169">
        <v>3</v>
      </c>
      <c r="L1169">
        <v>0</v>
      </c>
      <c r="M1169">
        <v>7</v>
      </c>
      <c r="N1169">
        <v>0.2</v>
      </c>
      <c r="O1169">
        <v>0</v>
      </c>
      <c r="P1169">
        <v>0.4</v>
      </c>
      <c r="Q1169">
        <f t="shared" si="34"/>
        <v>1406430</v>
      </c>
      <c r="R1169">
        <f t="shared" si="35"/>
        <v>0.21330603016147268</v>
      </c>
      <c r="U1169">
        <v>182</v>
      </c>
      <c r="V1169">
        <v>0</v>
      </c>
      <c r="W1169">
        <v>419</v>
      </c>
      <c r="X1169">
        <v>72</v>
      </c>
      <c r="Y1169">
        <v>71.7</v>
      </c>
      <c r="Z1169">
        <v>61.8</v>
      </c>
      <c r="AA1169">
        <v>81.599999999999994</v>
      </c>
    </row>
    <row r="1170" spans="1:27" x14ac:dyDescent="0.25">
      <c r="A1170" t="s">
        <v>235</v>
      </c>
      <c r="B1170" t="s">
        <v>212</v>
      </c>
      <c r="C1170" s="76">
        <v>43990</v>
      </c>
      <c r="D1170">
        <v>874</v>
      </c>
      <c r="E1170">
        <v>60</v>
      </c>
      <c r="F1170">
        <v>1687</v>
      </c>
      <c r="G1170">
        <v>579</v>
      </c>
      <c r="H1170">
        <v>60.1</v>
      </c>
      <c r="I1170">
        <v>56</v>
      </c>
      <c r="J1170">
        <v>64.3</v>
      </c>
      <c r="K1170">
        <v>3</v>
      </c>
      <c r="L1170">
        <v>0</v>
      </c>
      <c r="M1170">
        <v>7</v>
      </c>
      <c r="N1170">
        <v>0.2</v>
      </c>
      <c r="O1170">
        <v>0</v>
      </c>
      <c r="P1170">
        <v>0.4</v>
      </c>
      <c r="Q1170">
        <f t="shared" si="34"/>
        <v>1406430</v>
      </c>
      <c r="R1170">
        <f t="shared" si="35"/>
        <v>0.21330603016147268</v>
      </c>
      <c r="U1170">
        <v>175</v>
      </c>
      <c r="V1170">
        <v>0</v>
      </c>
      <c r="W1170">
        <v>403</v>
      </c>
      <c r="X1170">
        <v>80</v>
      </c>
      <c r="Y1170">
        <v>68.7</v>
      </c>
      <c r="Z1170">
        <v>58.5</v>
      </c>
      <c r="AA1170">
        <v>78.900000000000006</v>
      </c>
    </row>
    <row r="1171" spans="1:27" x14ac:dyDescent="0.25">
      <c r="A1171" t="s">
        <v>235</v>
      </c>
      <c r="B1171" t="s">
        <v>212</v>
      </c>
      <c r="C1171" s="76">
        <v>43991</v>
      </c>
      <c r="D1171">
        <v>1105</v>
      </c>
      <c r="E1171">
        <v>0</v>
      </c>
      <c r="F1171">
        <v>2325</v>
      </c>
      <c r="G1171">
        <v>600</v>
      </c>
      <c r="H1171">
        <v>64.8</v>
      </c>
      <c r="I1171">
        <v>60.3</v>
      </c>
      <c r="J1171">
        <v>69.400000000000006</v>
      </c>
      <c r="K1171">
        <v>9</v>
      </c>
      <c r="L1171">
        <v>0</v>
      </c>
      <c r="M1171">
        <v>21</v>
      </c>
      <c r="N1171">
        <v>0.5</v>
      </c>
      <c r="O1171">
        <v>0.1</v>
      </c>
      <c r="P1171">
        <v>0.9</v>
      </c>
      <c r="Q1171">
        <f t="shared" si="34"/>
        <v>1406430</v>
      </c>
      <c r="R1171">
        <f t="shared" si="35"/>
        <v>0.63991809048441795</v>
      </c>
      <c r="U1171">
        <v>260</v>
      </c>
      <c r="V1171">
        <v>0</v>
      </c>
      <c r="W1171">
        <v>676</v>
      </c>
      <c r="X1171">
        <v>140</v>
      </c>
      <c r="Y1171">
        <v>65</v>
      </c>
      <c r="Z1171">
        <v>51.9</v>
      </c>
      <c r="AA1171">
        <v>78</v>
      </c>
    </row>
    <row r="1172" spans="1:27" x14ac:dyDescent="0.25">
      <c r="A1172" t="s">
        <v>235</v>
      </c>
      <c r="B1172" t="s">
        <v>212</v>
      </c>
      <c r="C1172" s="76">
        <v>43992</v>
      </c>
      <c r="D1172">
        <v>1662</v>
      </c>
      <c r="E1172">
        <v>0</v>
      </c>
      <c r="F1172">
        <v>3843</v>
      </c>
      <c r="G1172">
        <v>790</v>
      </c>
      <c r="H1172">
        <v>67.8</v>
      </c>
      <c r="I1172">
        <v>65.5</v>
      </c>
      <c r="J1172">
        <v>70.099999999999994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f t="shared" si="34"/>
        <v>1406430</v>
      </c>
      <c r="R1172">
        <f t="shared" si="35"/>
        <v>0</v>
      </c>
      <c r="U1172">
        <v>480</v>
      </c>
      <c r="V1172">
        <v>0</v>
      </c>
      <c r="W1172">
        <v>1307</v>
      </c>
      <c r="X1172">
        <v>211</v>
      </c>
      <c r="Y1172">
        <v>69.400000000000006</v>
      </c>
      <c r="Z1172">
        <v>63.1</v>
      </c>
      <c r="AA1172">
        <v>75.8</v>
      </c>
    </row>
    <row r="1173" spans="1:27" x14ac:dyDescent="0.25">
      <c r="A1173" t="s">
        <v>235</v>
      </c>
      <c r="B1173" t="s">
        <v>212</v>
      </c>
      <c r="C1173" s="76">
        <v>43993</v>
      </c>
      <c r="D1173">
        <v>1233</v>
      </c>
      <c r="E1173">
        <v>0</v>
      </c>
      <c r="F1173">
        <v>2591</v>
      </c>
      <c r="G1173">
        <v>472</v>
      </c>
      <c r="H1173">
        <v>72.3</v>
      </c>
      <c r="I1173">
        <v>69.5</v>
      </c>
      <c r="J1173">
        <v>75.099999999999994</v>
      </c>
      <c r="K1173">
        <v>8</v>
      </c>
      <c r="L1173">
        <v>0</v>
      </c>
      <c r="M1173">
        <v>22</v>
      </c>
      <c r="N1173">
        <v>0.4</v>
      </c>
      <c r="O1173">
        <v>0</v>
      </c>
      <c r="P1173">
        <v>1.2</v>
      </c>
      <c r="Q1173">
        <f t="shared" si="34"/>
        <v>1406430</v>
      </c>
      <c r="R1173">
        <f t="shared" si="35"/>
        <v>0.56881608043059384</v>
      </c>
      <c r="U1173">
        <v>278</v>
      </c>
      <c r="V1173">
        <v>0</v>
      </c>
      <c r="W1173">
        <v>698</v>
      </c>
      <c r="X1173">
        <v>122</v>
      </c>
      <c r="Y1173">
        <v>69.599999999999994</v>
      </c>
      <c r="Z1173">
        <v>62</v>
      </c>
      <c r="AA1173">
        <v>77.099999999999994</v>
      </c>
    </row>
    <row r="1174" spans="1:27" x14ac:dyDescent="0.25">
      <c r="A1174" t="s">
        <v>235</v>
      </c>
      <c r="B1174" t="s">
        <v>212</v>
      </c>
      <c r="C1174" s="76">
        <v>43994</v>
      </c>
      <c r="D1174">
        <v>1228</v>
      </c>
      <c r="E1174">
        <v>0</v>
      </c>
      <c r="F1174">
        <v>2618</v>
      </c>
      <c r="G1174">
        <v>477</v>
      </c>
      <c r="H1174">
        <v>72</v>
      </c>
      <c r="I1174">
        <v>64.3</v>
      </c>
      <c r="J1174">
        <v>79.7</v>
      </c>
      <c r="K1174">
        <v>8</v>
      </c>
      <c r="L1174">
        <v>0</v>
      </c>
      <c r="M1174">
        <v>17</v>
      </c>
      <c r="N1174">
        <v>0.5</v>
      </c>
      <c r="O1174">
        <v>0.3</v>
      </c>
      <c r="P1174">
        <v>0.7</v>
      </c>
      <c r="Q1174">
        <f t="shared" si="34"/>
        <v>1406430</v>
      </c>
      <c r="R1174">
        <f t="shared" si="35"/>
        <v>0.56881608043059384</v>
      </c>
      <c r="U1174">
        <v>260</v>
      </c>
      <c r="V1174">
        <v>0</v>
      </c>
      <c r="W1174">
        <v>675</v>
      </c>
      <c r="X1174">
        <v>140</v>
      </c>
      <c r="Y1174">
        <v>65</v>
      </c>
      <c r="Z1174">
        <v>52.6</v>
      </c>
      <c r="AA1174">
        <v>77.3</v>
      </c>
    </row>
    <row r="1175" spans="1:27" x14ac:dyDescent="0.25">
      <c r="A1175" t="s">
        <v>235</v>
      </c>
      <c r="B1175" t="s">
        <v>212</v>
      </c>
      <c r="C1175" s="76">
        <v>43995</v>
      </c>
      <c r="D1175">
        <v>1065</v>
      </c>
      <c r="E1175">
        <v>0</v>
      </c>
      <c r="F1175">
        <v>2197</v>
      </c>
      <c r="G1175">
        <v>640</v>
      </c>
      <c r="H1175">
        <v>62.5</v>
      </c>
      <c r="I1175">
        <v>56.7</v>
      </c>
      <c r="J1175">
        <v>68.3</v>
      </c>
      <c r="K1175">
        <v>3</v>
      </c>
      <c r="L1175">
        <v>0</v>
      </c>
      <c r="M1175">
        <v>7</v>
      </c>
      <c r="N1175">
        <v>0.1</v>
      </c>
      <c r="O1175">
        <v>0</v>
      </c>
      <c r="P1175">
        <v>0.4</v>
      </c>
      <c r="Q1175">
        <f t="shared" si="34"/>
        <v>1406430</v>
      </c>
      <c r="R1175">
        <f t="shared" si="35"/>
        <v>0.21330603016147268</v>
      </c>
      <c r="U1175">
        <v>248</v>
      </c>
      <c r="V1175">
        <v>0</v>
      </c>
      <c r="W1175">
        <v>652</v>
      </c>
      <c r="X1175">
        <v>152</v>
      </c>
      <c r="Y1175">
        <v>62.1</v>
      </c>
      <c r="Z1175">
        <v>48.2</v>
      </c>
      <c r="AA1175">
        <v>76</v>
      </c>
    </row>
    <row r="1176" spans="1:27" x14ac:dyDescent="0.25">
      <c r="A1176" t="s">
        <v>235</v>
      </c>
      <c r="B1176" t="s">
        <v>212</v>
      </c>
      <c r="C1176" s="76">
        <v>43996</v>
      </c>
      <c r="D1176">
        <v>908</v>
      </c>
      <c r="E1176">
        <v>145</v>
      </c>
      <c r="F1176">
        <v>1670</v>
      </c>
      <c r="G1176">
        <v>697</v>
      </c>
      <c r="H1176">
        <v>56.6</v>
      </c>
      <c r="I1176">
        <v>48.2</v>
      </c>
      <c r="J1176">
        <v>64.900000000000006</v>
      </c>
      <c r="K1176">
        <v>2</v>
      </c>
      <c r="L1176">
        <v>0</v>
      </c>
      <c r="M1176">
        <v>5</v>
      </c>
      <c r="N1176">
        <v>0.1</v>
      </c>
      <c r="O1176">
        <v>0</v>
      </c>
      <c r="P1176">
        <v>0.3</v>
      </c>
      <c r="Q1176">
        <f t="shared" si="34"/>
        <v>1406430</v>
      </c>
      <c r="R1176">
        <f t="shared" si="35"/>
        <v>0.14220402010764846</v>
      </c>
      <c r="U1176">
        <v>177</v>
      </c>
      <c r="V1176">
        <v>0</v>
      </c>
      <c r="W1176">
        <v>450</v>
      </c>
      <c r="X1176">
        <v>108</v>
      </c>
      <c r="Y1176">
        <v>62</v>
      </c>
      <c r="Z1176">
        <v>47.5</v>
      </c>
      <c r="AA1176">
        <v>76.5</v>
      </c>
    </row>
    <row r="1177" spans="1:27" x14ac:dyDescent="0.25">
      <c r="A1177" t="s">
        <v>235</v>
      </c>
      <c r="B1177" t="s">
        <v>212</v>
      </c>
      <c r="C1177" s="76">
        <v>43997</v>
      </c>
      <c r="D1177">
        <v>1379</v>
      </c>
      <c r="E1177">
        <v>272</v>
      </c>
      <c r="F1177">
        <v>2486</v>
      </c>
      <c r="G1177">
        <v>766</v>
      </c>
      <c r="H1177">
        <v>64.3</v>
      </c>
      <c r="I1177">
        <v>57.5</v>
      </c>
      <c r="J1177">
        <v>71.099999999999994</v>
      </c>
      <c r="K1177">
        <v>9</v>
      </c>
      <c r="L1177">
        <v>0</v>
      </c>
      <c r="M1177">
        <v>23</v>
      </c>
      <c r="N1177">
        <v>0.4</v>
      </c>
      <c r="O1177">
        <v>0</v>
      </c>
      <c r="P1177">
        <v>0.9</v>
      </c>
      <c r="Q1177">
        <f t="shared" si="34"/>
        <v>1406430</v>
      </c>
      <c r="R1177">
        <f t="shared" si="35"/>
        <v>0.63991809048441795</v>
      </c>
      <c r="U1177">
        <v>218</v>
      </c>
      <c r="V1177">
        <v>0</v>
      </c>
      <c r="W1177">
        <v>502</v>
      </c>
      <c r="X1177">
        <v>152</v>
      </c>
      <c r="Y1177">
        <v>58.9</v>
      </c>
      <c r="Z1177">
        <v>44.8</v>
      </c>
      <c r="AA1177">
        <v>73.099999999999994</v>
      </c>
    </row>
    <row r="1178" spans="1:27" x14ac:dyDescent="0.25">
      <c r="A1178" t="s">
        <v>235</v>
      </c>
      <c r="B1178" t="s">
        <v>212</v>
      </c>
      <c r="C1178" s="76">
        <v>43998</v>
      </c>
      <c r="D1178">
        <v>1526</v>
      </c>
      <c r="E1178">
        <v>109</v>
      </c>
      <c r="F1178">
        <v>2942</v>
      </c>
      <c r="G1178">
        <v>747</v>
      </c>
      <c r="H1178">
        <v>67.099999999999994</v>
      </c>
      <c r="I1178">
        <v>61.8</v>
      </c>
      <c r="J1178">
        <v>72.5</v>
      </c>
      <c r="K1178">
        <v>14</v>
      </c>
      <c r="L1178">
        <v>0</v>
      </c>
      <c r="M1178">
        <v>31</v>
      </c>
      <c r="N1178">
        <v>0.6</v>
      </c>
      <c r="O1178">
        <v>0.1</v>
      </c>
      <c r="P1178">
        <v>1.1000000000000001</v>
      </c>
      <c r="Q1178">
        <f t="shared" si="34"/>
        <v>1406430</v>
      </c>
      <c r="R1178">
        <f t="shared" si="35"/>
        <v>0.99542814075353914</v>
      </c>
      <c r="U1178">
        <v>286</v>
      </c>
      <c r="V1178">
        <v>0</v>
      </c>
      <c r="W1178">
        <v>680</v>
      </c>
      <c r="X1178">
        <v>181</v>
      </c>
      <c r="Y1178">
        <v>61.2</v>
      </c>
      <c r="Z1178">
        <v>53</v>
      </c>
      <c r="AA1178">
        <v>69.3</v>
      </c>
    </row>
    <row r="1179" spans="1:27" x14ac:dyDescent="0.25">
      <c r="A1179" t="s">
        <v>235</v>
      </c>
      <c r="B1179" t="s">
        <v>212</v>
      </c>
      <c r="C1179" s="76">
        <v>43999</v>
      </c>
      <c r="D1179">
        <v>0</v>
      </c>
      <c r="E1179">
        <v>0</v>
      </c>
      <c r="F1179">
        <v>0</v>
      </c>
      <c r="G1179">
        <v>24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f t="shared" si="34"/>
        <v>1406430</v>
      </c>
      <c r="R1179">
        <f t="shared" si="35"/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</row>
    <row r="1180" spans="1:27" x14ac:dyDescent="0.25">
      <c r="A1180" t="s">
        <v>235</v>
      </c>
      <c r="B1180" t="s">
        <v>212</v>
      </c>
      <c r="C1180" s="76">
        <v>44000</v>
      </c>
      <c r="D1180">
        <v>786</v>
      </c>
      <c r="E1180">
        <v>0</v>
      </c>
      <c r="F1180">
        <v>1729</v>
      </c>
      <c r="G1180">
        <v>518</v>
      </c>
      <c r="H1180">
        <v>60.3</v>
      </c>
      <c r="I1180">
        <v>42.6</v>
      </c>
      <c r="J1180">
        <v>78</v>
      </c>
      <c r="K1180">
        <v>3</v>
      </c>
      <c r="L1180">
        <v>0</v>
      </c>
      <c r="M1180">
        <v>9</v>
      </c>
      <c r="N1180">
        <v>0.2</v>
      </c>
      <c r="O1180">
        <v>0</v>
      </c>
      <c r="P1180">
        <v>0.7</v>
      </c>
      <c r="Q1180">
        <f t="shared" si="34"/>
        <v>1406430</v>
      </c>
      <c r="R1180">
        <f t="shared" si="35"/>
        <v>0.21330603016147268</v>
      </c>
      <c r="U1180">
        <v>46</v>
      </c>
      <c r="V1180">
        <v>0</v>
      </c>
      <c r="W1180">
        <v>110</v>
      </c>
      <c r="X1180">
        <v>66</v>
      </c>
      <c r="Y1180">
        <v>41.1</v>
      </c>
      <c r="Z1180">
        <v>19.899999999999999</v>
      </c>
      <c r="AA1180">
        <v>62.3</v>
      </c>
    </row>
    <row r="1181" spans="1:27" x14ac:dyDescent="0.25">
      <c r="A1181" t="s">
        <v>235</v>
      </c>
      <c r="B1181" t="s">
        <v>212</v>
      </c>
      <c r="C1181" s="76">
        <v>44001</v>
      </c>
      <c r="D1181">
        <v>1098</v>
      </c>
      <c r="E1181">
        <v>37</v>
      </c>
      <c r="F1181">
        <v>2159</v>
      </c>
      <c r="G1181">
        <v>480</v>
      </c>
      <c r="H1181">
        <v>69.599999999999994</v>
      </c>
      <c r="I1181">
        <v>61.4</v>
      </c>
      <c r="J1181">
        <v>77.8</v>
      </c>
      <c r="K1181">
        <v>10</v>
      </c>
      <c r="L1181">
        <v>0</v>
      </c>
      <c r="M1181">
        <v>21</v>
      </c>
      <c r="N1181">
        <v>0.6</v>
      </c>
      <c r="O1181">
        <v>0.2</v>
      </c>
      <c r="P1181">
        <v>1</v>
      </c>
      <c r="Q1181">
        <f t="shared" si="34"/>
        <v>1406430</v>
      </c>
      <c r="R1181">
        <f t="shared" si="35"/>
        <v>0.71102010053824216</v>
      </c>
      <c r="U1181">
        <v>202</v>
      </c>
      <c r="V1181">
        <v>0</v>
      </c>
      <c r="W1181">
        <v>498</v>
      </c>
      <c r="X1181">
        <v>93</v>
      </c>
      <c r="Y1181">
        <v>68.5</v>
      </c>
      <c r="Z1181">
        <v>54.3</v>
      </c>
      <c r="AA1181">
        <v>82.7</v>
      </c>
    </row>
    <row r="1182" spans="1:27" x14ac:dyDescent="0.25">
      <c r="A1182" t="s">
        <v>235</v>
      </c>
      <c r="B1182" t="s">
        <v>212</v>
      </c>
      <c r="C1182" s="76">
        <v>44002</v>
      </c>
      <c r="D1182">
        <v>1106</v>
      </c>
      <c r="E1182">
        <v>0</v>
      </c>
      <c r="F1182">
        <v>2357</v>
      </c>
      <c r="G1182">
        <v>599</v>
      </c>
      <c r="H1182">
        <v>64.900000000000006</v>
      </c>
      <c r="I1182">
        <v>57.3</v>
      </c>
      <c r="J1182">
        <v>72.400000000000006</v>
      </c>
      <c r="K1182">
        <v>13</v>
      </c>
      <c r="L1182">
        <v>0</v>
      </c>
      <c r="M1182">
        <v>30</v>
      </c>
      <c r="N1182">
        <v>0.8</v>
      </c>
      <c r="O1182">
        <v>0</v>
      </c>
      <c r="P1182">
        <v>1.6</v>
      </c>
      <c r="Q1182">
        <f t="shared" si="34"/>
        <v>1406430</v>
      </c>
      <c r="R1182">
        <f t="shared" si="35"/>
        <v>0.92432613069971492</v>
      </c>
      <c r="U1182">
        <v>266</v>
      </c>
      <c r="V1182">
        <v>0</v>
      </c>
      <c r="W1182">
        <v>690</v>
      </c>
      <c r="X1182">
        <v>126</v>
      </c>
      <c r="Y1182">
        <v>67.900000000000006</v>
      </c>
      <c r="Z1182">
        <v>56.8</v>
      </c>
      <c r="AA1182">
        <v>78.900000000000006</v>
      </c>
    </row>
    <row r="1183" spans="1:27" x14ac:dyDescent="0.25">
      <c r="A1183" t="s">
        <v>235</v>
      </c>
      <c r="B1183" t="s">
        <v>212</v>
      </c>
      <c r="C1183" s="76">
        <v>44003</v>
      </c>
      <c r="D1183">
        <v>1060</v>
      </c>
      <c r="E1183">
        <v>0</v>
      </c>
      <c r="F1183">
        <v>2263</v>
      </c>
      <c r="G1183">
        <v>645</v>
      </c>
      <c r="H1183">
        <v>62.2</v>
      </c>
      <c r="I1183">
        <v>54</v>
      </c>
      <c r="J1183">
        <v>70.3</v>
      </c>
      <c r="K1183">
        <v>21</v>
      </c>
      <c r="L1183">
        <v>0</v>
      </c>
      <c r="M1183">
        <v>48</v>
      </c>
      <c r="N1183">
        <v>1.2</v>
      </c>
      <c r="O1183">
        <v>0</v>
      </c>
      <c r="P1183">
        <v>2.4</v>
      </c>
      <c r="Q1183">
        <f t="shared" si="34"/>
        <v>1406430</v>
      </c>
      <c r="R1183">
        <f t="shared" si="35"/>
        <v>1.4931422111303085</v>
      </c>
      <c r="U1183">
        <v>256</v>
      </c>
      <c r="V1183">
        <v>0</v>
      </c>
      <c r="W1183">
        <v>672</v>
      </c>
      <c r="X1183">
        <v>136</v>
      </c>
      <c r="Y1183">
        <v>65.3</v>
      </c>
      <c r="Z1183">
        <v>53.6</v>
      </c>
      <c r="AA1183">
        <v>77</v>
      </c>
    </row>
    <row r="1184" spans="1:27" x14ac:dyDescent="0.25">
      <c r="A1184" t="s">
        <v>235</v>
      </c>
      <c r="B1184" t="s">
        <v>212</v>
      </c>
      <c r="C1184" s="76">
        <v>44004</v>
      </c>
      <c r="D1184">
        <v>1375</v>
      </c>
      <c r="E1184">
        <v>253</v>
      </c>
      <c r="F1184">
        <v>2496</v>
      </c>
      <c r="G1184">
        <v>770</v>
      </c>
      <c r="H1184">
        <v>64.099999999999994</v>
      </c>
      <c r="I1184">
        <v>56.4</v>
      </c>
      <c r="J1184">
        <v>71.8</v>
      </c>
      <c r="K1184">
        <v>23</v>
      </c>
      <c r="L1184">
        <v>0</v>
      </c>
      <c r="M1184">
        <v>49</v>
      </c>
      <c r="N1184">
        <v>1.1000000000000001</v>
      </c>
      <c r="O1184">
        <v>0.5</v>
      </c>
      <c r="P1184">
        <v>1.7</v>
      </c>
      <c r="Q1184">
        <f t="shared" si="34"/>
        <v>1406430</v>
      </c>
      <c r="R1184">
        <f t="shared" si="35"/>
        <v>1.6353462312379572</v>
      </c>
      <c r="U1184">
        <v>229</v>
      </c>
      <c r="V1184">
        <v>0</v>
      </c>
      <c r="W1184">
        <v>511</v>
      </c>
      <c r="X1184">
        <v>136</v>
      </c>
      <c r="Y1184">
        <v>62.8</v>
      </c>
      <c r="Z1184">
        <v>55</v>
      </c>
      <c r="AA1184">
        <v>70.599999999999994</v>
      </c>
    </row>
    <row r="1185" spans="1:27" x14ac:dyDescent="0.25">
      <c r="A1185" t="s">
        <v>235</v>
      </c>
      <c r="B1185" t="s">
        <v>212</v>
      </c>
      <c r="C1185" s="76">
        <v>44005</v>
      </c>
      <c r="D1185">
        <v>1412</v>
      </c>
      <c r="E1185">
        <v>270</v>
      </c>
      <c r="F1185">
        <v>2555</v>
      </c>
      <c r="G1185">
        <v>739</v>
      </c>
      <c r="H1185">
        <v>65.7</v>
      </c>
      <c r="I1185">
        <v>57.6</v>
      </c>
      <c r="J1185">
        <v>73.7</v>
      </c>
      <c r="K1185">
        <v>20</v>
      </c>
      <c r="L1185">
        <v>0</v>
      </c>
      <c r="M1185">
        <v>44</v>
      </c>
      <c r="N1185">
        <v>0.9</v>
      </c>
      <c r="O1185">
        <v>0.2</v>
      </c>
      <c r="P1185">
        <v>1.6</v>
      </c>
      <c r="Q1185">
        <f t="shared" si="34"/>
        <v>1406430</v>
      </c>
      <c r="R1185">
        <f t="shared" si="35"/>
        <v>1.4220402010764843</v>
      </c>
      <c r="U1185">
        <v>212</v>
      </c>
      <c r="V1185">
        <v>0</v>
      </c>
      <c r="W1185">
        <v>485</v>
      </c>
      <c r="X1185">
        <v>153</v>
      </c>
      <c r="Y1185">
        <v>58.2</v>
      </c>
      <c r="Z1185">
        <v>46.3</v>
      </c>
      <c r="AA1185">
        <v>70.099999999999994</v>
      </c>
    </row>
    <row r="1186" spans="1:27" x14ac:dyDescent="0.25">
      <c r="A1186" t="s">
        <v>235</v>
      </c>
      <c r="B1186" t="s">
        <v>212</v>
      </c>
      <c r="C1186" s="76">
        <v>44006</v>
      </c>
      <c r="D1186">
        <v>1738</v>
      </c>
      <c r="E1186">
        <v>0</v>
      </c>
      <c r="F1186">
        <v>4046</v>
      </c>
      <c r="G1186">
        <v>714</v>
      </c>
      <c r="H1186">
        <v>70.900000000000006</v>
      </c>
      <c r="I1186">
        <v>62.4</v>
      </c>
      <c r="J1186">
        <v>79.3</v>
      </c>
      <c r="K1186">
        <v>20</v>
      </c>
      <c r="L1186">
        <v>0</v>
      </c>
      <c r="M1186">
        <v>45</v>
      </c>
      <c r="N1186">
        <v>0.8</v>
      </c>
      <c r="O1186">
        <v>0.5</v>
      </c>
      <c r="P1186">
        <v>1</v>
      </c>
      <c r="Q1186">
        <f t="shared" si="34"/>
        <v>1406430</v>
      </c>
      <c r="R1186">
        <f t="shared" si="35"/>
        <v>1.4220402010764843</v>
      </c>
      <c r="U1186">
        <v>456</v>
      </c>
      <c r="V1186">
        <v>0</v>
      </c>
      <c r="W1186">
        <v>1247</v>
      </c>
      <c r="X1186">
        <v>228</v>
      </c>
      <c r="Y1186">
        <v>66.7</v>
      </c>
      <c r="Z1186">
        <v>61.3</v>
      </c>
      <c r="AA1186">
        <v>72.099999999999994</v>
      </c>
    </row>
    <row r="1187" spans="1:27" x14ac:dyDescent="0.25">
      <c r="A1187" t="s">
        <v>235</v>
      </c>
      <c r="B1187" t="s">
        <v>212</v>
      </c>
      <c r="C1187" s="76">
        <v>44007</v>
      </c>
      <c r="D1187">
        <v>935</v>
      </c>
      <c r="E1187">
        <v>9</v>
      </c>
      <c r="F1187">
        <v>1860</v>
      </c>
      <c r="G1187">
        <v>588</v>
      </c>
      <c r="H1187">
        <v>61.4</v>
      </c>
      <c r="I1187">
        <v>49.7</v>
      </c>
      <c r="J1187">
        <v>73.099999999999994</v>
      </c>
      <c r="K1187">
        <v>10</v>
      </c>
      <c r="L1187">
        <v>0</v>
      </c>
      <c r="M1187">
        <v>21</v>
      </c>
      <c r="N1187">
        <v>0.7</v>
      </c>
      <c r="O1187">
        <v>0.3</v>
      </c>
      <c r="P1187">
        <v>1.1000000000000001</v>
      </c>
      <c r="Q1187">
        <f t="shared" si="34"/>
        <v>1406430</v>
      </c>
      <c r="R1187">
        <f t="shared" si="35"/>
        <v>0.71102010053824216</v>
      </c>
      <c r="U1187">
        <v>190</v>
      </c>
      <c r="V1187">
        <v>0</v>
      </c>
      <c r="W1187">
        <v>479</v>
      </c>
      <c r="X1187">
        <v>92</v>
      </c>
      <c r="Y1187">
        <v>67.3</v>
      </c>
      <c r="Z1187">
        <v>53.8</v>
      </c>
      <c r="AA1187">
        <v>80.900000000000006</v>
      </c>
    </row>
    <row r="1188" spans="1:27" x14ac:dyDescent="0.25">
      <c r="A1188" t="s">
        <v>235</v>
      </c>
      <c r="B1188" t="s">
        <v>212</v>
      </c>
      <c r="C1188" s="76">
        <v>44008</v>
      </c>
      <c r="D1188">
        <v>972</v>
      </c>
      <c r="E1188">
        <v>0</v>
      </c>
      <c r="F1188">
        <v>1989</v>
      </c>
      <c r="G1188">
        <v>524</v>
      </c>
      <c r="H1188">
        <v>65</v>
      </c>
      <c r="I1188">
        <v>55.9</v>
      </c>
      <c r="J1188">
        <v>74.099999999999994</v>
      </c>
      <c r="K1188">
        <v>15</v>
      </c>
      <c r="L1188">
        <v>0</v>
      </c>
      <c r="M1188">
        <v>31</v>
      </c>
      <c r="N1188">
        <v>1</v>
      </c>
      <c r="O1188">
        <v>0.5</v>
      </c>
      <c r="P1188">
        <v>1.5</v>
      </c>
      <c r="Q1188">
        <f t="shared" si="34"/>
        <v>1406430</v>
      </c>
      <c r="R1188">
        <f t="shared" si="35"/>
        <v>1.0665301508073635</v>
      </c>
      <c r="U1188">
        <v>182</v>
      </c>
      <c r="V1188">
        <v>0</v>
      </c>
      <c r="W1188">
        <v>458</v>
      </c>
      <c r="X1188">
        <v>113</v>
      </c>
      <c r="Y1188">
        <v>61.7</v>
      </c>
      <c r="Z1188">
        <v>45.9</v>
      </c>
      <c r="AA1188">
        <v>77.5</v>
      </c>
    </row>
    <row r="1189" spans="1:27" x14ac:dyDescent="0.25">
      <c r="A1189" t="s">
        <v>235</v>
      </c>
      <c r="B1189" t="s">
        <v>212</v>
      </c>
      <c r="C1189" s="76">
        <v>44009</v>
      </c>
      <c r="D1189">
        <v>891</v>
      </c>
      <c r="E1189">
        <v>73</v>
      </c>
      <c r="F1189">
        <v>1708</v>
      </c>
      <c r="G1189">
        <v>567</v>
      </c>
      <c r="H1189">
        <v>61.1</v>
      </c>
      <c r="I1189">
        <v>53.1</v>
      </c>
      <c r="J1189">
        <v>69.099999999999994</v>
      </c>
      <c r="K1189">
        <v>13</v>
      </c>
      <c r="L1189">
        <v>0</v>
      </c>
      <c r="M1189">
        <v>28</v>
      </c>
      <c r="N1189">
        <v>0.9</v>
      </c>
      <c r="O1189">
        <v>0.3</v>
      </c>
      <c r="P1189">
        <v>1.5</v>
      </c>
      <c r="Q1189">
        <f t="shared" si="34"/>
        <v>1406430</v>
      </c>
      <c r="R1189">
        <f t="shared" si="35"/>
        <v>0.92432613069971492</v>
      </c>
      <c r="U1189">
        <v>156</v>
      </c>
      <c r="V1189">
        <v>0</v>
      </c>
      <c r="W1189">
        <v>373</v>
      </c>
      <c r="X1189">
        <v>91</v>
      </c>
      <c r="Y1189">
        <v>63.1</v>
      </c>
      <c r="Z1189">
        <v>47.1</v>
      </c>
      <c r="AA1189">
        <v>79</v>
      </c>
    </row>
    <row r="1190" spans="1:27" x14ac:dyDescent="0.25">
      <c r="A1190" t="s">
        <v>235</v>
      </c>
      <c r="B1190" t="s">
        <v>212</v>
      </c>
      <c r="C1190" s="76">
        <v>44010</v>
      </c>
      <c r="D1190">
        <v>1086</v>
      </c>
      <c r="E1190">
        <v>68</v>
      </c>
      <c r="F1190">
        <v>2104</v>
      </c>
      <c r="G1190">
        <v>498</v>
      </c>
      <c r="H1190">
        <v>68.599999999999994</v>
      </c>
      <c r="I1190">
        <v>61.9</v>
      </c>
      <c r="J1190">
        <v>75.3</v>
      </c>
      <c r="K1190">
        <v>17</v>
      </c>
      <c r="L1190">
        <v>0</v>
      </c>
      <c r="M1190">
        <v>37</v>
      </c>
      <c r="N1190">
        <v>1</v>
      </c>
      <c r="O1190">
        <v>0</v>
      </c>
      <c r="P1190">
        <v>2.2000000000000002</v>
      </c>
      <c r="Q1190">
        <f t="shared" si="34"/>
        <v>1406430</v>
      </c>
      <c r="R1190">
        <f t="shared" si="35"/>
        <v>1.2087341709150117</v>
      </c>
      <c r="U1190">
        <v>193</v>
      </c>
      <c r="V1190">
        <v>0</v>
      </c>
      <c r="W1190">
        <v>468</v>
      </c>
      <c r="X1190">
        <v>103</v>
      </c>
      <c r="Y1190">
        <v>65.3</v>
      </c>
      <c r="Z1190">
        <v>55.9</v>
      </c>
      <c r="AA1190">
        <v>74.7</v>
      </c>
    </row>
    <row r="1191" spans="1:27" x14ac:dyDescent="0.25">
      <c r="A1191" t="s">
        <v>235</v>
      </c>
      <c r="B1191" t="s">
        <v>212</v>
      </c>
      <c r="C1191" s="76">
        <v>44011</v>
      </c>
      <c r="D1191">
        <v>1157</v>
      </c>
      <c r="E1191">
        <v>149</v>
      </c>
      <c r="F1191">
        <v>2166</v>
      </c>
      <c r="G1191">
        <v>404</v>
      </c>
      <c r="H1191">
        <v>74.099999999999994</v>
      </c>
      <c r="I1191">
        <v>66.900000000000006</v>
      </c>
      <c r="J1191">
        <v>81.3</v>
      </c>
      <c r="K1191">
        <v>7</v>
      </c>
      <c r="L1191">
        <v>0</v>
      </c>
      <c r="M1191">
        <v>16</v>
      </c>
      <c r="N1191">
        <v>0.4</v>
      </c>
      <c r="O1191">
        <v>0</v>
      </c>
      <c r="P1191">
        <v>1</v>
      </c>
      <c r="Q1191">
        <f t="shared" ref="Q1191:Q1254" si="36">VLOOKUP(B1191,$AE$4:$AF$55,2,FALSE)</f>
        <v>1406430</v>
      </c>
      <c r="R1191">
        <f t="shared" si="35"/>
        <v>0.49771407037676957</v>
      </c>
      <c r="U1191">
        <v>179</v>
      </c>
      <c r="V1191">
        <v>0</v>
      </c>
      <c r="W1191">
        <v>443</v>
      </c>
      <c r="X1191">
        <v>107</v>
      </c>
      <c r="Y1191">
        <v>62.6</v>
      </c>
      <c r="Z1191">
        <v>53.5</v>
      </c>
      <c r="AA1191">
        <v>71.599999999999994</v>
      </c>
    </row>
    <row r="1192" spans="1:27" x14ac:dyDescent="0.25">
      <c r="A1192" t="s">
        <v>235</v>
      </c>
      <c r="B1192" t="s">
        <v>212</v>
      </c>
      <c r="C1192" s="76">
        <v>44012</v>
      </c>
      <c r="D1192">
        <v>1308</v>
      </c>
      <c r="E1192">
        <v>0</v>
      </c>
      <c r="F1192">
        <v>2691</v>
      </c>
      <c r="G1192">
        <v>374</v>
      </c>
      <c r="H1192">
        <v>77.7</v>
      </c>
      <c r="I1192">
        <v>69.599999999999994</v>
      </c>
      <c r="J1192">
        <v>85.9</v>
      </c>
      <c r="K1192">
        <v>10</v>
      </c>
      <c r="L1192">
        <v>0</v>
      </c>
      <c r="M1192">
        <v>21</v>
      </c>
      <c r="N1192">
        <v>0.6</v>
      </c>
      <c r="O1192">
        <v>0.2</v>
      </c>
      <c r="P1192">
        <v>1</v>
      </c>
      <c r="Q1192">
        <f t="shared" si="36"/>
        <v>1406430</v>
      </c>
      <c r="R1192">
        <f t="shared" si="35"/>
        <v>0.71102010053824216</v>
      </c>
      <c r="U1192">
        <v>252</v>
      </c>
      <c r="V1192">
        <v>0</v>
      </c>
      <c r="W1192">
        <v>634</v>
      </c>
      <c r="X1192">
        <v>131</v>
      </c>
      <c r="Y1192">
        <v>65.8</v>
      </c>
      <c r="Z1192">
        <v>61.8</v>
      </c>
      <c r="AA1192">
        <v>69.8</v>
      </c>
    </row>
    <row r="1193" spans="1:27" x14ac:dyDescent="0.25">
      <c r="A1193" t="s">
        <v>235</v>
      </c>
      <c r="B1193" t="s">
        <v>212</v>
      </c>
      <c r="C1193" s="76">
        <v>44013</v>
      </c>
      <c r="D1193">
        <v>1363</v>
      </c>
      <c r="E1193">
        <v>0</v>
      </c>
      <c r="F1193">
        <v>2810</v>
      </c>
      <c r="G1193">
        <v>319</v>
      </c>
      <c r="H1193">
        <v>81.099999999999994</v>
      </c>
      <c r="I1193">
        <v>73.400000000000006</v>
      </c>
      <c r="J1193">
        <v>88.7</v>
      </c>
      <c r="K1193">
        <v>10</v>
      </c>
      <c r="L1193">
        <v>0</v>
      </c>
      <c r="M1193">
        <v>21</v>
      </c>
      <c r="N1193">
        <v>0.6</v>
      </c>
      <c r="O1193">
        <v>0.2</v>
      </c>
      <c r="P1193">
        <v>1</v>
      </c>
      <c r="Q1193">
        <f t="shared" si="36"/>
        <v>1406430</v>
      </c>
      <c r="R1193">
        <f t="shared" si="35"/>
        <v>0.71102010053824216</v>
      </c>
      <c r="U1193">
        <v>254</v>
      </c>
      <c r="V1193">
        <v>0</v>
      </c>
      <c r="W1193">
        <v>641</v>
      </c>
      <c r="X1193">
        <v>130</v>
      </c>
      <c r="Y1193">
        <v>66.099999999999994</v>
      </c>
      <c r="Z1193">
        <v>62</v>
      </c>
      <c r="AA1193">
        <v>70.2</v>
      </c>
    </row>
    <row r="1194" spans="1:27" x14ac:dyDescent="0.25">
      <c r="A1194" t="s">
        <v>235</v>
      </c>
      <c r="B1194" t="s">
        <v>212</v>
      </c>
      <c r="C1194" s="76">
        <v>44014</v>
      </c>
      <c r="D1194">
        <v>1352</v>
      </c>
      <c r="E1194">
        <v>0</v>
      </c>
      <c r="F1194">
        <v>2883</v>
      </c>
      <c r="G1194">
        <v>353</v>
      </c>
      <c r="H1194">
        <v>79.3</v>
      </c>
      <c r="I1194">
        <v>68.3</v>
      </c>
      <c r="J1194">
        <v>90.4</v>
      </c>
      <c r="K1194">
        <v>10</v>
      </c>
      <c r="L1194">
        <v>0</v>
      </c>
      <c r="M1194">
        <v>25</v>
      </c>
      <c r="N1194">
        <v>0.6</v>
      </c>
      <c r="O1194">
        <v>0</v>
      </c>
      <c r="P1194">
        <v>1.4</v>
      </c>
      <c r="Q1194">
        <f t="shared" si="36"/>
        <v>1406430</v>
      </c>
      <c r="R1194">
        <f t="shared" si="35"/>
        <v>0.71102010053824216</v>
      </c>
      <c r="U1194">
        <v>189</v>
      </c>
      <c r="V1194">
        <v>0</v>
      </c>
      <c r="W1194">
        <v>560</v>
      </c>
      <c r="X1194">
        <v>203</v>
      </c>
      <c r="Y1194">
        <v>48.2</v>
      </c>
      <c r="Z1194">
        <v>19.8</v>
      </c>
      <c r="AA1194">
        <v>76.599999999999994</v>
      </c>
    </row>
    <row r="1195" spans="1:27" x14ac:dyDescent="0.25">
      <c r="A1195" t="s">
        <v>235</v>
      </c>
      <c r="B1195" t="s">
        <v>212</v>
      </c>
      <c r="C1195" s="76">
        <v>44015</v>
      </c>
      <c r="D1195">
        <v>1237</v>
      </c>
      <c r="E1195">
        <v>0</v>
      </c>
      <c r="F1195">
        <v>2646</v>
      </c>
      <c r="G1195">
        <v>468</v>
      </c>
      <c r="H1195">
        <v>72.5</v>
      </c>
      <c r="I1195">
        <v>64.400000000000006</v>
      </c>
      <c r="J1195">
        <v>80.7</v>
      </c>
      <c r="K1195">
        <v>17</v>
      </c>
      <c r="L1195">
        <v>0</v>
      </c>
      <c r="M1195">
        <v>36</v>
      </c>
      <c r="N1195">
        <v>1</v>
      </c>
      <c r="O1195">
        <v>0.1</v>
      </c>
      <c r="P1195">
        <v>1.8</v>
      </c>
      <c r="Q1195">
        <f t="shared" si="36"/>
        <v>1406430</v>
      </c>
      <c r="R1195">
        <f t="shared" si="35"/>
        <v>1.2087341709150117</v>
      </c>
      <c r="U1195">
        <v>263</v>
      </c>
      <c r="V1195">
        <v>0</v>
      </c>
      <c r="W1195">
        <v>675</v>
      </c>
      <c r="X1195">
        <v>129</v>
      </c>
      <c r="Y1195">
        <v>67.099999999999994</v>
      </c>
      <c r="Z1195">
        <v>59</v>
      </c>
      <c r="AA1195">
        <v>75.2</v>
      </c>
    </row>
    <row r="1196" spans="1:27" x14ac:dyDescent="0.25">
      <c r="A1196" t="s">
        <v>235</v>
      </c>
      <c r="B1196" t="s">
        <v>212</v>
      </c>
      <c r="C1196" s="76">
        <v>44016</v>
      </c>
      <c r="D1196">
        <v>1116</v>
      </c>
      <c r="E1196">
        <v>0</v>
      </c>
      <c r="F1196">
        <v>2363</v>
      </c>
      <c r="G1196">
        <v>589</v>
      </c>
      <c r="H1196">
        <v>65.5</v>
      </c>
      <c r="I1196">
        <v>60.8</v>
      </c>
      <c r="J1196">
        <v>70.2</v>
      </c>
      <c r="K1196">
        <v>8</v>
      </c>
      <c r="L1196">
        <v>0</v>
      </c>
      <c r="M1196">
        <v>19</v>
      </c>
      <c r="N1196">
        <v>0.5</v>
      </c>
      <c r="O1196">
        <v>0</v>
      </c>
      <c r="P1196">
        <v>0.9</v>
      </c>
      <c r="Q1196">
        <f t="shared" si="36"/>
        <v>1406430</v>
      </c>
      <c r="R1196">
        <f t="shared" si="35"/>
        <v>0.56881608043059384</v>
      </c>
      <c r="U1196">
        <v>263</v>
      </c>
      <c r="V1196">
        <v>0</v>
      </c>
      <c r="W1196">
        <v>670</v>
      </c>
      <c r="X1196">
        <v>129</v>
      </c>
      <c r="Y1196">
        <v>67.099999999999994</v>
      </c>
      <c r="Z1196">
        <v>60.8</v>
      </c>
      <c r="AA1196">
        <v>73.400000000000006</v>
      </c>
    </row>
    <row r="1197" spans="1:27" x14ac:dyDescent="0.25">
      <c r="A1197" t="s">
        <v>235</v>
      </c>
      <c r="B1197" t="s">
        <v>212</v>
      </c>
      <c r="C1197" s="76">
        <v>44017</v>
      </c>
      <c r="D1197">
        <v>1036</v>
      </c>
      <c r="E1197">
        <v>0</v>
      </c>
      <c r="F1197">
        <v>2179</v>
      </c>
      <c r="G1197">
        <v>669</v>
      </c>
      <c r="H1197">
        <v>60.8</v>
      </c>
      <c r="I1197">
        <v>57.5</v>
      </c>
      <c r="J1197">
        <v>64</v>
      </c>
      <c r="K1197">
        <v>8</v>
      </c>
      <c r="L1197">
        <v>0</v>
      </c>
      <c r="M1197">
        <v>19</v>
      </c>
      <c r="N1197">
        <v>0.5</v>
      </c>
      <c r="O1197">
        <v>0</v>
      </c>
      <c r="P1197">
        <v>0.9</v>
      </c>
      <c r="Q1197">
        <f t="shared" si="36"/>
        <v>1406430</v>
      </c>
      <c r="R1197">
        <f t="shared" si="35"/>
        <v>0.56881608043059384</v>
      </c>
      <c r="U1197">
        <v>256</v>
      </c>
      <c r="V1197">
        <v>0</v>
      </c>
      <c r="W1197">
        <v>660</v>
      </c>
      <c r="X1197">
        <v>137</v>
      </c>
      <c r="Y1197">
        <v>65.2</v>
      </c>
      <c r="Z1197">
        <v>56.9</v>
      </c>
      <c r="AA1197">
        <v>73.5</v>
      </c>
    </row>
    <row r="1198" spans="1:27" x14ac:dyDescent="0.25">
      <c r="A1198" t="s">
        <v>235</v>
      </c>
      <c r="B1198" t="s">
        <v>212</v>
      </c>
      <c r="C1198" s="76">
        <v>44018</v>
      </c>
      <c r="D1198">
        <v>1105</v>
      </c>
      <c r="E1198">
        <v>0</v>
      </c>
      <c r="F1198">
        <v>2316</v>
      </c>
      <c r="G1198">
        <v>600</v>
      </c>
      <c r="H1198">
        <v>64.8</v>
      </c>
      <c r="I1198">
        <v>61.6</v>
      </c>
      <c r="J1198">
        <v>68</v>
      </c>
      <c r="K1198">
        <v>13</v>
      </c>
      <c r="L1198">
        <v>0</v>
      </c>
      <c r="M1198">
        <v>30</v>
      </c>
      <c r="N1198">
        <v>0.8</v>
      </c>
      <c r="O1198">
        <v>0</v>
      </c>
      <c r="P1198">
        <v>1.8</v>
      </c>
      <c r="Q1198">
        <f t="shared" si="36"/>
        <v>1406430</v>
      </c>
      <c r="R1198">
        <f t="shared" si="35"/>
        <v>0.92432613069971492</v>
      </c>
      <c r="U1198">
        <v>255</v>
      </c>
      <c r="V1198">
        <v>0</v>
      </c>
      <c r="W1198">
        <v>654</v>
      </c>
      <c r="X1198">
        <v>137</v>
      </c>
      <c r="Y1198">
        <v>65.099999999999994</v>
      </c>
      <c r="Z1198">
        <v>58.3</v>
      </c>
      <c r="AA1198">
        <v>71.8</v>
      </c>
    </row>
    <row r="1199" spans="1:27" x14ac:dyDescent="0.25">
      <c r="A1199" t="s">
        <v>235</v>
      </c>
      <c r="B1199" t="s">
        <v>212</v>
      </c>
      <c r="C1199" s="76">
        <v>44019</v>
      </c>
      <c r="D1199">
        <v>1146</v>
      </c>
      <c r="E1199">
        <v>0</v>
      </c>
      <c r="F1199">
        <v>2397</v>
      </c>
      <c r="G1199">
        <v>559</v>
      </c>
      <c r="H1199">
        <v>67.2</v>
      </c>
      <c r="I1199">
        <v>59.9</v>
      </c>
      <c r="J1199">
        <v>74.5</v>
      </c>
      <c r="K1199">
        <v>20</v>
      </c>
      <c r="L1199">
        <v>0</v>
      </c>
      <c r="M1199">
        <v>48</v>
      </c>
      <c r="N1199">
        <v>1.1000000000000001</v>
      </c>
      <c r="O1199">
        <v>0</v>
      </c>
      <c r="P1199">
        <v>2.4</v>
      </c>
      <c r="Q1199">
        <f t="shared" si="36"/>
        <v>1406430</v>
      </c>
      <c r="R1199">
        <f t="shared" si="35"/>
        <v>1.4220402010764843</v>
      </c>
      <c r="U1199">
        <v>268</v>
      </c>
      <c r="V1199">
        <v>0</v>
      </c>
      <c r="W1199">
        <v>692</v>
      </c>
      <c r="X1199">
        <v>124</v>
      </c>
      <c r="Y1199">
        <v>68.400000000000006</v>
      </c>
      <c r="Z1199">
        <v>54.8</v>
      </c>
      <c r="AA1199">
        <v>82</v>
      </c>
    </row>
    <row r="1200" spans="1:27" x14ac:dyDescent="0.25">
      <c r="A1200" t="s">
        <v>236</v>
      </c>
      <c r="B1200" t="s">
        <v>204</v>
      </c>
      <c r="C1200" s="76">
        <v>43922</v>
      </c>
      <c r="D1200">
        <v>1375</v>
      </c>
      <c r="E1200">
        <v>58</v>
      </c>
      <c r="F1200">
        <v>2692</v>
      </c>
      <c r="G1200">
        <v>2235</v>
      </c>
      <c r="H1200">
        <v>38.1</v>
      </c>
      <c r="I1200">
        <v>14</v>
      </c>
      <c r="J1200">
        <v>62.1</v>
      </c>
      <c r="K1200">
        <v>87</v>
      </c>
      <c r="L1200">
        <v>0</v>
      </c>
      <c r="M1200">
        <v>246</v>
      </c>
      <c r="N1200">
        <v>2.4</v>
      </c>
      <c r="O1200">
        <v>0</v>
      </c>
      <c r="P1200">
        <v>6.1</v>
      </c>
      <c r="Q1200">
        <f t="shared" si="36"/>
        <v>3167974</v>
      </c>
      <c r="R1200">
        <f t="shared" si="35"/>
        <v>2.746234659754152</v>
      </c>
      <c r="U1200">
        <v>151</v>
      </c>
      <c r="V1200">
        <v>0</v>
      </c>
      <c r="W1200">
        <v>382</v>
      </c>
      <c r="X1200">
        <v>237</v>
      </c>
      <c r="Y1200">
        <v>38.9</v>
      </c>
      <c r="Z1200">
        <v>4</v>
      </c>
      <c r="AA1200">
        <v>73.7</v>
      </c>
    </row>
    <row r="1201" spans="1:27" x14ac:dyDescent="0.25">
      <c r="A1201" t="s">
        <v>236</v>
      </c>
      <c r="B1201" t="s">
        <v>204</v>
      </c>
      <c r="C1201" s="76">
        <v>43923</v>
      </c>
      <c r="D1201">
        <v>2050</v>
      </c>
      <c r="E1201">
        <v>252</v>
      </c>
      <c r="F1201">
        <v>3848</v>
      </c>
      <c r="G1201">
        <v>3196</v>
      </c>
      <c r="H1201">
        <v>39.1</v>
      </c>
      <c r="I1201">
        <v>26.5</v>
      </c>
      <c r="J1201">
        <v>51.6</v>
      </c>
      <c r="K1201">
        <v>169</v>
      </c>
      <c r="L1201">
        <v>0</v>
      </c>
      <c r="M1201">
        <v>363</v>
      </c>
      <c r="N1201">
        <v>3.2</v>
      </c>
      <c r="O1201">
        <v>1.2</v>
      </c>
      <c r="P1201">
        <v>5.2</v>
      </c>
      <c r="Q1201">
        <f t="shared" si="36"/>
        <v>3167974</v>
      </c>
      <c r="R1201">
        <f t="shared" si="35"/>
        <v>5.3346397413615136</v>
      </c>
      <c r="U1201">
        <v>253</v>
      </c>
      <c r="V1201">
        <v>0</v>
      </c>
      <c r="W1201">
        <v>564</v>
      </c>
      <c r="X1201">
        <v>363</v>
      </c>
      <c r="Y1201">
        <v>41</v>
      </c>
      <c r="Z1201">
        <v>16.8</v>
      </c>
      <c r="AA1201">
        <v>65.3</v>
      </c>
    </row>
    <row r="1202" spans="1:27" x14ac:dyDescent="0.25">
      <c r="A1202" t="s">
        <v>236</v>
      </c>
      <c r="B1202" t="s">
        <v>204</v>
      </c>
      <c r="C1202" s="76">
        <v>43924</v>
      </c>
      <c r="D1202">
        <v>1949</v>
      </c>
      <c r="E1202">
        <v>385</v>
      </c>
      <c r="F1202">
        <v>3512</v>
      </c>
      <c r="G1202">
        <v>3826</v>
      </c>
      <c r="H1202">
        <v>33.700000000000003</v>
      </c>
      <c r="I1202">
        <v>24</v>
      </c>
      <c r="J1202">
        <v>43.5</v>
      </c>
      <c r="K1202">
        <v>181</v>
      </c>
      <c r="L1202">
        <v>0</v>
      </c>
      <c r="M1202">
        <v>411</v>
      </c>
      <c r="N1202">
        <v>3.1</v>
      </c>
      <c r="O1202">
        <v>0.7</v>
      </c>
      <c r="P1202">
        <v>5.5</v>
      </c>
      <c r="Q1202">
        <f t="shared" si="36"/>
        <v>3167974</v>
      </c>
      <c r="R1202">
        <f t="shared" si="35"/>
        <v>5.71343072891381</v>
      </c>
      <c r="U1202">
        <v>249</v>
      </c>
      <c r="V1202">
        <v>0</v>
      </c>
      <c r="W1202">
        <v>543</v>
      </c>
      <c r="X1202">
        <v>294</v>
      </c>
      <c r="Y1202">
        <v>45.9</v>
      </c>
      <c r="Z1202">
        <v>27.5</v>
      </c>
      <c r="AA1202">
        <v>64.3</v>
      </c>
    </row>
    <row r="1203" spans="1:27" x14ac:dyDescent="0.25">
      <c r="A1203" t="s">
        <v>236</v>
      </c>
      <c r="B1203" t="s">
        <v>204</v>
      </c>
      <c r="C1203" s="76">
        <v>43925</v>
      </c>
      <c r="D1203">
        <v>1828</v>
      </c>
      <c r="E1203">
        <v>287</v>
      </c>
      <c r="F1203">
        <v>3369</v>
      </c>
      <c r="G1203">
        <v>4024</v>
      </c>
      <c r="H1203">
        <v>31.2</v>
      </c>
      <c r="I1203">
        <v>21.3</v>
      </c>
      <c r="J1203">
        <v>41.2</v>
      </c>
      <c r="K1203">
        <v>151</v>
      </c>
      <c r="L1203">
        <v>0</v>
      </c>
      <c r="M1203">
        <v>340</v>
      </c>
      <c r="N1203">
        <v>2.6</v>
      </c>
      <c r="O1203">
        <v>0.6</v>
      </c>
      <c r="P1203">
        <v>4.5999999999999996</v>
      </c>
      <c r="Q1203">
        <f t="shared" si="36"/>
        <v>3167974</v>
      </c>
      <c r="R1203">
        <f t="shared" si="35"/>
        <v>4.7664532600330682</v>
      </c>
      <c r="U1203">
        <v>237</v>
      </c>
      <c r="V1203">
        <v>0</v>
      </c>
      <c r="W1203">
        <v>534</v>
      </c>
      <c r="X1203">
        <v>308</v>
      </c>
      <c r="Y1203">
        <v>43.4</v>
      </c>
      <c r="Z1203">
        <v>21</v>
      </c>
      <c r="AA1203">
        <v>65.8</v>
      </c>
    </row>
    <row r="1204" spans="1:27" x14ac:dyDescent="0.25">
      <c r="A1204" t="s">
        <v>236</v>
      </c>
      <c r="B1204" t="s">
        <v>204</v>
      </c>
      <c r="C1204" s="76">
        <v>43926</v>
      </c>
      <c r="D1204">
        <v>2014</v>
      </c>
      <c r="E1204">
        <v>432</v>
      </c>
      <c r="F1204">
        <v>3597</v>
      </c>
      <c r="G1204">
        <v>3860</v>
      </c>
      <c r="H1204">
        <v>34.299999999999997</v>
      </c>
      <c r="I1204">
        <v>26.1</v>
      </c>
      <c r="J1204">
        <v>42.5</v>
      </c>
      <c r="K1204">
        <v>161</v>
      </c>
      <c r="L1204">
        <v>0</v>
      </c>
      <c r="M1204">
        <v>392</v>
      </c>
      <c r="N1204">
        <v>2.7</v>
      </c>
      <c r="O1204">
        <v>0.1</v>
      </c>
      <c r="P1204">
        <v>5.3</v>
      </c>
      <c r="Q1204">
        <f t="shared" si="36"/>
        <v>3167974</v>
      </c>
      <c r="R1204">
        <f t="shared" si="35"/>
        <v>5.0821124163266491</v>
      </c>
      <c r="U1204">
        <v>209</v>
      </c>
      <c r="V1204">
        <v>0</v>
      </c>
      <c r="W1204">
        <v>459</v>
      </c>
      <c r="X1204">
        <v>329</v>
      </c>
      <c r="Y1204">
        <v>38.799999999999997</v>
      </c>
      <c r="Z1204">
        <v>22.6</v>
      </c>
      <c r="AA1204">
        <v>55</v>
      </c>
    </row>
    <row r="1205" spans="1:27" x14ac:dyDescent="0.25">
      <c r="A1205" t="s">
        <v>236</v>
      </c>
      <c r="B1205" t="s">
        <v>204</v>
      </c>
      <c r="C1205" s="76">
        <v>43927</v>
      </c>
      <c r="D1205">
        <v>2070</v>
      </c>
      <c r="E1205">
        <v>410</v>
      </c>
      <c r="F1205">
        <v>3729</v>
      </c>
      <c r="G1205">
        <v>3798</v>
      </c>
      <c r="H1205">
        <v>35.299999999999997</v>
      </c>
      <c r="I1205">
        <v>26.8</v>
      </c>
      <c r="J1205">
        <v>43.8</v>
      </c>
      <c r="K1205">
        <v>179</v>
      </c>
      <c r="L1205">
        <v>0</v>
      </c>
      <c r="M1205">
        <v>395</v>
      </c>
      <c r="N1205">
        <v>3</v>
      </c>
      <c r="O1205">
        <v>0.9</v>
      </c>
      <c r="P1205">
        <v>5.2</v>
      </c>
      <c r="Q1205">
        <f t="shared" si="36"/>
        <v>3167974</v>
      </c>
      <c r="R1205">
        <f t="shared" si="35"/>
        <v>5.6502988976550945</v>
      </c>
      <c r="U1205">
        <v>198</v>
      </c>
      <c r="V1205">
        <v>0</v>
      </c>
      <c r="W1205">
        <v>471</v>
      </c>
      <c r="X1205">
        <v>243</v>
      </c>
      <c r="Y1205">
        <v>44.7</v>
      </c>
      <c r="Z1205">
        <v>26.7</v>
      </c>
      <c r="AA1205">
        <v>62.7</v>
      </c>
    </row>
    <row r="1206" spans="1:27" x14ac:dyDescent="0.25">
      <c r="A1206" t="s">
        <v>236</v>
      </c>
      <c r="B1206" t="s">
        <v>204</v>
      </c>
      <c r="C1206" s="76">
        <v>43928</v>
      </c>
      <c r="D1206">
        <v>2270</v>
      </c>
      <c r="E1206">
        <v>387</v>
      </c>
      <c r="F1206">
        <v>4153</v>
      </c>
      <c r="G1206">
        <v>3514</v>
      </c>
      <c r="H1206">
        <v>39.200000000000003</v>
      </c>
      <c r="I1206">
        <v>28.5</v>
      </c>
      <c r="J1206">
        <v>50</v>
      </c>
      <c r="K1206">
        <v>232</v>
      </c>
      <c r="L1206">
        <v>0</v>
      </c>
      <c r="M1206">
        <v>531</v>
      </c>
      <c r="N1206">
        <v>4</v>
      </c>
      <c r="O1206">
        <v>0.9</v>
      </c>
      <c r="P1206">
        <v>7.1</v>
      </c>
      <c r="Q1206">
        <f t="shared" si="36"/>
        <v>3167974</v>
      </c>
      <c r="R1206">
        <f t="shared" si="35"/>
        <v>7.323292426011073</v>
      </c>
      <c r="U1206">
        <v>213</v>
      </c>
      <c r="V1206">
        <v>0</v>
      </c>
      <c r="W1206">
        <v>523</v>
      </c>
      <c r="X1206">
        <v>216</v>
      </c>
      <c r="Y1206">
        <v>49.6</v>
      </c>
      <c r="Z1206">
        <v>27.9</v>
      </c>
      <c r="AA1206">
        <v>71.400000000000006</v>
      </c>
    </row>
    <row r="1207" spans="1:27" x14ac:dyDescent="0.25">
      <c r="A1207" t="s">
        <v>236</v>
      </c>
      <c r="B1207" t="s">
        <v>204</v>
      </c>
      <c r="C1207" s="76">
        <v>43929</v>
      </c>
      <c r="D1207">
        <v>2416</v>
      </c>
      <c r="E1207">
        <v>847</v>
      </c>
      <c r="F1207">
        <v>3985</v>
      </c>
      <c r="G1207">
        <v>4337</v>
      </c>
      <c r="H1207">
        <v>35.799999999999997</v>
      </c>
      <c r="I1207">
        <v>27.8</v>
      </c>
      <c r="J1207">
        <v>43.7</v>
      </c>
      <c r="K1207">
        <v>253</v>
      </c>
      <c r="L1207">
        <v>9</v>
      </c>
      <c r="M1207">
        <v>497</v>
      </c>
      <c r="N1207">
        <v>3.7</v>
      </c>
      <c r="O1207">
        <v>1.8</v>
      </c>
      <c r="P1207">
        <v>5.7</v>
      </c>
      <c r="Q1207">
        <f t="shared" si="36"/>
        <v>3167974</v>
      </c>
      <c r="R1207">
        <f t="shared" si="35"/>
        <v>7.9861766542275916</v>
      </c>
      <c r="U1207">
        <v>233</v>
      </c>
      <c r="V1207">
        <v>0</v>
      </c>
      <c r="W1207">
        <v>481</v>
      </c>
      <c r="X1207">
        <v>317</v>
      </c>
      <c r="Y1207">
        <v>42.2</v>
      </c>
      <c r="Z1207">
        <v>29.5</v>
      </c>
      <c r="AA1207">
        <v>55</v>
      </c>
    </row>
    <row r="1208" spans="1:27" x14ac:dyDescent="0.25">
      <c r="A1208" t="s">
        <v>236</v>
      </c>
      <c r="B1208" t="s">
        <v>204</v>
      </c>
      <c r="C1208" s="76">
        <v>43930</v>
      </c>
      <c r="D1208">
        <v>2276</v>
      </c>
      <c r="E1208">
        <v>793</v>
      </c>
      <c r="F1208">
        <v>3758</v>
      </c>
      <c r="G1208">
        <v>4509</v>
      </c>
      <c r="H1208">
        <v>33.5</v>
      </c>
      <c r="I1208">
        <v>26.9</v>
      </c>
      <c r="J1208">
        <v>40.200000000000003</v>
      </c>
      <c r="K1208">
        <v>228</v>
      </c>
      <c r="L1208">
        <v>21</v>
      </c>
      <c r="M1208">
        <v>436</v>
      </c>
      <c r="N1208">
        <v>3.4</v>
      </c>
      <c r="O1208">
        <v>1.7</v>
      </c>
      <c r="P1208">
        <v>5</v>
      </c>
      <c r="Q1208">
        <f t="shared" si="36"/>
        <v>3167974</v>
      </c>
      <c r="R1208">
        <f t="shared" si="35"/>
        <v>7.1970287634936394</v>
      </c>
      <c r="U1208">
        <v>264</v>
      </c>
      <c r="V1208">
        <v>9</v>
      </c>
      <c r="W1208">
        <v>518</v>
      </c>
      <c r="X1208">
        <v>287</v>
      </c>
      <c r="Y1208">
        <v>48</v>
      </c>
      <c r="Z1208">
        <v>35.6</v>
      </c>
      <c r="AA1208">
        <v>60.3</v>
      </c>
    </row>
    <row r="1209" spans="1:27" x14ac:dyDescent="0.25">
      <c r="A1209" t="s">
        <v>236</v>
      </c>
      <c r="B1209" t="s">
        <v>204</v>
      </c>
      <c r="C1209" s="76">
        <v>43931</v>
      </c>
      <c r="D1209">
        <v>2691</v>
      </c>
      <c r="E1209">
        <v>898</v>
      </c>
      <c r="F1209">
        <v>4484</v>
      </c>
      <c r="G1209">
        <v>5049</v>
      </c>
      <c r="H1209">
        <v>34.799999999999997</v>
      </c>
      <c r="I1209">
        <v>29.2</v>
      </c>
      <c r="J1209">
        <v>40.299999999999997</v>
      </c>
      <c r="K1209">
        <v>303</v>
      </c>
      <c r="L1209">
        <v>61</v>
      </c>
      <c r="M1209">
        <v>545</v>
      </c>
      <c r="N1209">
        <v>3.9</v>
      </c>
      <c r="O1209">
        <v>2.6</v>
      </c>
      <c r="P1209">
        <v>5.3</v>
      </c>
      <c r="Q1209">
        <f t="shared" si="36"/>
        <v>3167974</v>
      </c>
      <c r="R1209">
        <f t="shared" si="35"/>
        <v>9.5644724356954942</v>
      </c>
      <c r="U1209">
        <v>295</v>
      </c>
      <c r="V1209">
        <v>44</v>
      </c>
      <c r="W1209">
        <v>546</v>
      </c>
      <c r="X1209">
        <v>324</v>
      </c>
      <c r="Y1209">
        <v>47.6</v>
      </c>
      <c r="Z1209">
        <v>37</v>
      </c>
      <c r="AA1209">
        <v>58.3</v>
      </c>
    </row>
    <row r="1210" spans="1:27" x14ac:dyDescent="0.25">
      <c r="A1210" t="s">
        <v>236</v>
      </c>
      <c r="B1210" t="s">
        <v>204</v>
      </c>
      <c r="C1210" s="76">
        <v>43932</v>
      </c>
      <c r="D1210">
        <v>2709</v>
      </c>
      <c r="E1210">
        <v>792</v>
      </c>
      <c r="F1210">
        <v>4626</v>
      </c>
      <c r="G1210">
        <v>4927</v>
      </c>
      <c r="H1210">
        <v>35.5</v>
      </c>
      <c r="I1210">
        <v>29.9</v>
      </c>
      <c r="J1210">
        <v>41</v>
      </c>
      <c r="K1210">
        <v>250</v>
      </c>
      <c r="L1210">
        <v>42</v>
      </c>
      <c r="M1210">
        <v>458</v>
      </c>
      <c r="N1210">
        <v>3.3</v>
      </c>
      <c r="O1210">
        <v>2.1</v>
      </c>
      <c r="P1210">
        <v>4.5</v>
      </c>
      <c r="Q1210">
        <f t="shared" si="36"/>
        <v>3167974</v>
      </c>
      <c r="R1210">
        <f t="shared" si="35"/>
        <v>7.8914789073395175</v>
      </c>
      <c r="U1210">
        <v>311</v>
      </c>
      <c r="V1210">
        <v>18</v>
      </c>
      <c r="W1210">
        <v>605</v>
      </c>
      <c r="X1210">
        <v>305</v>
      </c>
      <c r="Y1210">
        <v>50.5</v>
      </c>
      <c r="Z1210">
        <v>40.1</v>
      </c>
      <c r="AA1210">
        <v>60.9</v>
      </c>
    </row>
    <row r="1211" spans="1:27" x14ac:dyDescent="0.25">
      <c r="A1211" t="s">
        <v>236</v>
      </c>
      <c r="B1211" t="s">
        <v>204</v>
      </c>
      <c r="C1211" s="76">
        <v>43933</v>
      </c>
      <c r="D1211">
        <v>2698</v>
      </c>
      <c r="E1211">
        <v>877</v>
      </c>
      <c r="F1211">
        <v>4519</v>
      </c>
      <c r="G1211">
        <v>4907</v>
      </c>
      <c r="H1211">
        <v>35.5</v>
      </c>
      <c r="I1211">
        <v>29.7</v>
      </c>
      <c r="J1211">
        <v>41.3</v>
      </c>
      <c r="K1211">
        <v>235</v>
      </c>
      <c r="L1211">
        <v>35</v>
      </c>
      <c r="M1211">
        <v>435</v>
      </c>
      <c r="N1211">
        <v>3.1</v>
      </c>
      <c r="O1211">
        <v>1.6</v>
      </c>
      <c r="P1211">
        <v>4.5</v>
      </c>
      <c r="Q1211">
        <f t="shared" si="36"/>
        <v>3167974</v>
      </c>
      <c r="R1211">
        <f t="shared" si="35"/>
        <v>7.4179901728991462</v>
      </c>
      <c r="U1211">
        <v>290</v>
      </c>
      <c r="V1211">
        <v>17</v>
      </c>
      <c r="W1211">
        <v>563</v>
      </c>
      <c r="X1211">
        <v>335</v>
      </c>
      <c r="Y1211">
        <v>46.4</v>
      </c>
      <c r="Z1211">
        <v>37.1</v>
      </c>
      <c r="AA1211">
        <v>55.6</v>
      </c>
    </row>
    <row r="1212" spans="1:27" x14ac:dyDescent="0.25">
      <c r="A1212" t="s">
        <v>236</v>
      </c>
      <c r="B1212" t="s">
        <v>204</v>
      </c>
      <c r="C1212" s="76">
        <v>43934</v>
      </c>
      <c r="D1212">
        <v>2934</v>
      </c>
      <c r="E1212">
        <v>993</v>
      </c>
      <c r="F1212">
        <v>4875</v>
      </c>
      <c r="G1212">
        <v>4955</v>
      </c>
      <c r="H1212">
        <v>37.200000000000003</v>
      </c>
      <c r="I1212">
        <v>31.1</v>
      </c>
      <c r="J1212">
        <v>43.2</v>
      </c>
      <c r="K1212">
        <v>242</v>
      </c>
      <c r="L1212">
        <v>43</v>
      </c>
      <c r="M1212">
        <v>440</v>
      </c>
      <c r="N1212">
        <v>3.1</v>
      </c>
      <c r="O1212">
        <v>1.6</v>
      </c>
      <c r="P1212">
        <v>4.5999999999999996</v>
      </c>
      <c r="Q1212">
        <f t="shared" si="36"/>
        <v>3167974</v>
      </c>
      <c r="R1212">
        <f t="shared" si="35"/>
        <v>7.6389515823046521</v>
      </c>
      <c r="U1212">
        <v>302</v>
      </c>
      <c r="V1212">
        <v>36</v>
      </c>
      <c r="W1212">
        <v>567</v>
      </c>
      <c r="X1212">
        <v>341</v>
      </c>
      <c r="Y1212">
        <v>47</v>
      </c>
      <c r="Z1212">
        <v>37.9</v>
      </c>
      <c r="AA1212">
        <v>56.1</v>
      </c>
    </row>
    <row r="1213" spans="1:27" x14ac:dyDescent="0.25">
      <c r="A1213" t="s">
        <v>236</v>
      </c>
      <c r="B1213" t="s">
        <v>204</v>
      </c>
      <c r="C1213" s="76">
        <v>43935</v>
      </c>
      <c r="D1213">
        <v>3129</v>
      </c>
      <c r="E1213">
        <v>1089</v>
      </c>
      <c r="F1213">
        <v>5169</v>
      </c>
      <c r="G1213">
        <v>4654</v>
      </c>
      <c r="H1213">
        <v>40.200000000000003</v>
      </c>
      <c r="I1213">
        <v>34.200000000000003</v>
      </c>
      <c r="J1213">
        <v>46.2</v>
      </c>
      <c r="K1213">
        <v>294</v>
      </c>
      <c r="L1213">
        <v>90</v>
      </c>
      <c r="M1213">
        <v>498</v>
      </c>
      <c r="N1213">
        <v>3.8</v>
      </c>
      <c r="O1213">
        <v>2.5</v>
      </c>
      <c r="P1213">
        <v>5.0999999999999996</v>
      </c>
      <c r="Q1213">
        <f t="shared" si="36"/>
        <v>3167974</v>
      </c>
      <c r="R1213">
        <f t="shared" si="35"/>
        <v>9.2803791950312728</v>
      </c>
      <c r="U1213">
        <v>306</v>
      </c>
      <c r="V1213">
        <v>46</v>
      </c>
      <c r="W1213">
        <v>566</v>
      </c>
      <c r="X1213">
        <v>330</v>
      </c>
      <c r="Y1213">
        <v>48.1</v>
      </c>
      <c r="Z1213">
        <v>40.4</v>
      </c>
      <c r="AA1213">
        <v>55.7</v>
      </c>
    </row>
    <row r="1214" spans="1:27" x14ac:dyDescent="0.25">
      <c r="A1214" t="s">
        <v>236</v>
      </c>
      <c r="B1214" t="s">
        <v>204</v>
      </c>
      <c r="C1214" s="76">
        <v>43936</v>
      </c>
      <c r="D1214">
        <v>3525</v>
      </c>
      <c r="E1214">
        <v>1283</v>
      </c>
      <c r="F1214">
        <v>5766</v>
      </c>
      <c r="G1214">
        <v>4286</v>
      </c>
      <c r="H1214">
        <v>45.1</v>
      </c>
      <c r="I1214">
        <v>37.9</v>
      </c>
      <c r="J1214">
        <v>52.3</v>
      </c>
      <c r="K1214">
        <v>320</v>
      </c>
      <c r="L1214">
        <v>100</v>
      </c>
      <c r="M1214">
        <v>539</v>
      </c>
      <c r="N1214">
        <v>4.0999999999999996</v>
      </c>
      <c r="O1214">
        <v>2.5</v>
      </c>
      <c r="P1214">
        <v>5.7</v>
      </c>
      <c r="Q1214">
        <f t="shared" si="36"/>
        <v>3167974</v>
      </c>
      <c r="R1214">
        <f t="shared" si="35"/>
        <v>10.101093001394581</v>
      </c>
      <c r="U1214">
        <v>320</v>
      </c>
      <c r="V1214">
        <v>52</v>
      </c>
      <c r="W1214">
        <v>588</v>
      </c>
      <c r="X1214">
        <v>316</v>
      </c>
      <c r="Y1214">
        <v>50.3</v>
      </c>
      <c r="Z1214">
        <v>40.299999999999997</v>
      </c>
      <c r="AA1214">
        <v>60.3</v>
      </c>
    </row>
    <row r="1215" spans="1:27" x14ac:dyDescent="0.25">
      <c r="A1215" t="s">
        <v>236</v>
      </c>
      <c r="B1215" t="s">
        <v>204</v>
      </c>
      <c r="C1215" s="76">
        <v>43937</v>
      </c>
      <c r="D1215">
        <v>3376</v>
      </c>
      <c r="E1215">
        <v>1332</v>
      </c>
      <c r="F1215">
        <v>5420</v>
      </c>
      <c r="G1215">
        <v>4718</v>
      </c>
      <c r="H1215">
        <v>41.7</v>
      </c>
      <c r="I1215">
        <v>36.700000000000003</v>
      </c>
      <c r="J1215">
        <v>46.7</v>
      </c>
      <c r="K1215">
        <v>308</v>
      </c>
      <c r="L1215">
        <v>86</v>
      </c>
      <c r="M1215">
        <v>531</v>
      </c>
      <c r="N1215">
        <v>3.8</v>
      </c>
      <c r="O1215">
        <v>2.2999999999999998</v>
      </c>
      <c r="P1215">
        <v>5.3</v>
      </c>
      <c r="Q1215">
        <f t="shared" si="36"/>
        <v>3167974</v>
      </c>
      <c r="R1215">
        <f t="shared" si="35"/>
        <v>9.7223020138422864</v>
      </c>
      <c r="U1215">
        <v>342</v>
      </c>
      <c r="V1215">
        <v>48</v>
      </c>
      <c r="W1215">
        <v>636</v>
      </c>
      <c r="X1215">
        <v>382</v>
      </c>
      <c r="Y1215">
        <v>47.2</v>
      </c>
      <c r="Z1215">
        <v>37</v>
      </c>
      <c r="AA1215">
        <v>57.5</v>
      </c>
    </row>
    <row r="1216" spans="1:27" x14ac:dyDescent="0.25">
      <c r="A1216" t="s">
        <v>236</v>
      </c>
      <c r="B1216" t="s">
        <v>204</v>
      </c>
      <c r="C1216" s="76">
        <v>43938</v>
      </c>
      <c r="D1216">
        <v>3393</v>
      </c>
      <c r="E1216">
        <v>1169</v>
      </c>
      <c r="F1216">
        <v>5616</v>
      </c>
      <c r="G1216">
        <v>5024</v>
      </c>
      <c r="H1216">
        <v>40.299999999999997</v>
      </c>
      <c r="I1216">
        <v>34.6</v>
      </c>
      <c r="J1216">
        <v>46</v>
      </c>
      <c r="K1216">
        <v>359</v>
      </c>
      <c r="L1216">
        <v>89</v>
      </c>
      <c r="M1216">
        <v>628</v>
      </c>
      <c r="N1216">
        <v>4.3</v>
      </c>
      <c r="O1216">
        <v>2.2000000000000002</v>
      </c>
      <c r="P1216">
        <v>6.3</v>
      </c>
      <c r="Q1216">
        <f t="shared" si="36"/>
        <v>3167974</v>
      </c>
      <c r="R1216">
        <f t="shared" si="35"/>
        <v>11.332163710939547</v>
      </c>
      <c r="U1216">
        <v>463</v>
      </c>
      <c r="V1216">
        <v>16</v>
      </c>
      <c r="W1216">
        <v>910</v>
      </c>
      <c r="X1216">
        <v>351</v>
      </c>
      <c r="Y1216">
        <v>56.9</v>
      </c>
      <c r="Z1216">
        <v>51.2</v>
      </c>
      <c r="AA1216">
        <v>62.5</v>
      </c>
    </row>
    <row r="1217" spans="1:27" x14ac:dyDescent="0.25">
      <c r="A1217" t="s">
        <v>236</v>
      </c>
      <c r="B1217" t="s">
        <v>204</v>
      </c>
      <c r="C1217" s="76">
        <v>43939</v>
      </c>
      <c r="D1217">
        <v>3450</v>
      </c>
      <c r="E1217">
        <v>1277</v>
      </c>
      <c r="F1217">
        <v>5623</v>
      </c>
      <c r="G1217">
        <v>4935</v>
      </c>
      <c r="H1217">
        <v>41.1</v>
      </c>
      <c r="I1217">
        <v>36.5</v>
      </c>
      <c r="J1217">
        <v>45.8</v>
      </c>
      <c r="K1217">
        <v>398</v>
      </c>
      <c r="L1217">
        <v>93</v>
      </c>
      <c r="M1217">
        <v>703</v>
      </c>
      <c r="N1217">
        <v>4.7</v>
      </c>
      <c r="O1217">
        <v>2.6</v>
      </c>
      <c r="P1217">
        <v>6.9</v>
      </c>
      <c r="Q1217">
        <f t="shared" si="36"/>
        <v>3167974</v>
      </c>
      <c r="R1217">
        <f t="shared" si="35"/>
        <v>12.563234420484511</v>
      </c>
      <c r="U1217">
        <v>457</v>
      </c>
      <c r="V1217">
        <v>41</v>
      </c>
      <c r="W1217">
        <v>873</v>
      </c>
      <c r="X1217">
        <v>350</v>
      </c>
      <c r="Y1217">
        <v>56.6</v>
      </c>
      <c r="Z1217">
        <v>50.7</v>
      </c>
      <c r="AA1217">
        <v>62.5</v>
      </c>
    </row>
    <row r="1218" spans="1:27" x14ac:dyDescent="0.25">
      <c r="A1218" t="s">
        <v>236</v>
      </c>
      <c r="B1218" t="s">
        <v>204</v>
      </c>
      <c r="C1218" s="76">
        <v>43940</v>
      </c>
      <c r="D1218">
        <v>3393</v>
      </c>
      <c r="E1218">
        <v>1259</v>
      </c>
      <c r="F1218">
        <v>5527</v>
      </c>
      <c r="G1218">
        <v>4842</v>
      </c>
      <c r="H1218">
        <v>41.2</v>
      </c>
      <c r="I1218">
        <v>35.9</v>
      </c>
      <c r="J1218">
        <v>46.5</v>
      </c>
      <c r="K1218">
        <v>321</v>
      </c>
      <c r="L1218">
        <v>96</v>
      </c>
      <c r="M1218">
        <v>546</v>
      </c>
      <c r="N1218">
        <v>3.9</v>
      </c>
      <c r="O1218">
        <v>2.7</v>
      </c>
      <c r="P1218">
        <v>5.0999999999999996</v>
      </c>
      <c r="Q1218">
        <f t="shared" si="36"/>
        <v>3167974</v>
      </c>
      <c r="R1218">
        <f t="shared" si="35"/>
        <v>10.132658917023941</v>
      </c>
      <c r="U1218">
        <v>437</v>
      </c>
      <c r="V1218">
        <v>9</v>
      </c>
      <c r="W1218">
        <v>864</v>
      </c>
      <c r="X1218">
        <v>243</v>
      </c>
      <c r="Y1218">
        <v>64.3</v>
      </c>
      <c r="Z1218">
        <v>44.5</v>
      </c>
      <c r="AA1218">
        <v>84.1</v>
      </c>
    </row>
    <row r="1219" spans="1:27" x14ac:dyDescent="0.25">
      <c r="A1219" t="s">
        <v>236</v>
      </c>
      <c r="B1219" t="s">
        <v>204</v>
      </c>
      <c r="C1219" s="76">
        <v>43941</v>
      </c>
      <c r="D1219">
        <v>3666</v>
      </c>
      <c r="E1219">
        <v>1129</v>
      </c>
      <c r="F1219">
        <v>6204</v>
      </c>
      <c r="G1219">
        <v>4611</v>
      </c>
      <c r="H1219">
        <v>44.3</v>
      </c>
      <c r="I1219">
        <v>35.9</v>
      </c>
      <c r="J1219">
        <v>52.7</v>
      </c>
      <c r="K1219">
        <v>319</v>
      </c>
      <c r="L1219">
        <v>72</v>
      </c>
      <c r="M1219">
        <v>566</v>
      </c>
      <c r="N1219">
        <v>3.9</v>
      </c>
      <c r="O1219">
        <v>2.5</v>
      </c>
      <c r="P1219">
        <v>5.2</v>
      </c>
      <c r="Q1219">
        <f t="shared" si="36"/>
        <v>3167974</v>
      </c>
      <c r="R1219">
        <f t="shared" si="35"/>
        <v>10.069527085765223</v>
      </c>
      <c r="U1219">
        <v>450</v>
      </c>
      <c r="V1219">
        <v>37</v>
      </c>
      <c r="W1219">
        <v>863</v>
      </c>
      <c r="X1219">
        <v>361</v>
      </c>
      <c r="Y1219">
        <v>55.5</v>
      </c>
      <c r="Z1219">
        <v>50.1</v>
      </c>
      <c r="AA1219">
        <v>61</v>
      </c>
    </row>
    <row r="1220" spans="1:27" x14ac:dyDescent="0.25">
      <c r="A1220" t="s">
        <v>236</v>
      </c>
      <c r="B1220" t="s">
        <v>204</v>
      </c>
      <c r="C1220" s="76">
        <v>43942</v>
      </c>
      <c r="D1220">
        <v>3535</v>
      </c>
      <c r="E1220">
        <v>1241</v>
      </c>
      <c r="F1220">
        <v>5830</v>
      </c>
      <c r="G1220">
        <v>4687</v>
      </c>
      <c r="H1220">
        <v>43</v>
      </c>
      <c r="I1220">
        <v>37.200000000000003</v>
      </c>
      <c r="J1220">
        <v>48.8</v>
      </c>
      <c r="K1220">
        <v>409</v>
      </c>
      <c r="L1220">
        <v>76</v>
      </c>
      <c r="M1220">
        <v>742</v>
      </c>
      <c r="N1220">
        <v>5</v>
      </c>
      <c r="O1220">
        <v>3</v>
      </c>
      <c r="P1220">
        <v>6.9</v>
      </c>
      <c r="Q1220">
        <f t="shared" si="36"/>
        <v>3167974</v>
      </c>
      <c r="R1220">
        <f t="shared" si="35"/>
        <v>12.910459492407449</v>
      </c>
      <c r="U1220">
        <v>444</v>
      </c>
      <c r="V1220">
        <v>22</v>
      </c>
      <c r="W1220">
        <v>865</v>
      </c>
      <c r="X1220">
        <v>349</v>
      </c>
      <c r="Y1220">
        <v>56</v>
      </c>
      <c r="Z1220">
        <v>52.8</v>
      </c>
      <c r="AA1220">
        <v>59.2</v>
      </c>
    </row>
    <row r="1221" spans="1:27" x14ac:dyDescent="0.25">
      <c r="A1221" t="s">
        <v>236</v>
      </c>
      <c r="B1221" t="s">
        <v>204</v>
      </c>
      <c r="C1221" s="76">
        <v>43943</v>
      </c>
      <c r="D1221">
        <v>3600</v>
      </c>
      <c r="E1221">
        <v>1178</v>
      </c>
      <c r="F1221">
        <v>6022</v>
      </c>
      <c r="G1221">
        <v>4642</v>
      </c>
      <c r="H1221">
        <v>43.7</v>
      </c>
      <c r="I1221">
        <v>36.700000000000003</v>
      </c>
      <c r="J1221">
        <v>50.7</v>
      </c>
      <c r="K1221">
        <v>383</v>
      </c>
      <c r="L1221">
        <v>79</v>
      </c>
      <c r="M1221">
        <v>686</v>
      </c>
      <c r="N1221">
        <v>4.5999999999999996</v>
      </c>
      <c r="O1221">
        <v>3</v>
      </c>
      <c r="P1221">
        <v>6.3</v>
      </c>
      <c r="Q1221">
        <f t="shared" si="36"/>
        <v>3167974</v>
      </c>
      <c r="R1221">
        <f t="shared" ref="R1221:R1284" si="37">K1221/(Q1221)*100000</f>
        <v>12.089745686044141</v>
      </c>
      <c r="U1221">
        <v>473</v>
      </c>
      <c r="V1221">
        <v>0</v>
      </c>
      <c r="W1221">
        <v>950</v>
      </c>
      <c r="X1221">
        <v>315</v>
      </c>
      <c r="Y1221">
        <v>60.1</v>
      </c>
      <c r="Z1221">
        <v>55</v>
      </c>
      <c r="AA1221">
        <v>65.2</v>
      </c>
    </row>
    <row r="1222" spans="1:27" x14ac:dyDescent="0.25">
      <c r="A1222" t="s">
        <v>236</v>
      </c>
      <c r="B1222" t="s">
        <v>204</v>
      </c>
      <c r="C1222" s="76">
        <v>43944</v>
      </c>
      <c r="D1222">
        <v>3780</v>
      </c>
      <c r="E1222">
        <v>1212</v>
      </c>
      <c r="F1222">
        <v>6348</v>
      </c>
      <c r="G1222">
        <v>4436</v>
      </c>
      <c r="H1222">
        <v>46</v>
      </c>
      <c r="I1222">
        <v>38.4</v>
      </c>
      <c r="J1222">
        <v>53.6</v>
      </c>
      <c r="K1222">
        <v>417</v>
      </c>
      <c r="L1222">
        <v>80</v>
      </c>
      <c r="M1222">
        <v>753</v>
      </c>
      <c r="N1222">
        <v>5.0999999999999996</v>
      </c>
      <c r="O1222">
        <v>3.2</v>
      </c>
      <c r="P1222">
        <v>7</v>
      </c>
      <c r="Q1222">
        <f t="shared" si="36"/>
        <v>3167974</v>
      </c>
      <c r="R1222">
        <f t="shared" si="37"/>
        <v>13.162986817442313</v>
      </c>
      <c r="U1222">
        <v>484</v>
      </c>
      <c r="V1222">
        <v>0</v>
      </c>
      <c r="W1222">
        <v>980</v>
      </c>
      <c r="X1222">
        <v>302</v>
      </c>
      <c r="Y1222">
        <v>61.6</v>
      </c>
      <c r="Z1222">
        <v>54.5</v>
      </c>
      <c r="AA1222">
        <v>68.599999999999994</v>
      </c>
    </row>
    <row r="1223" spans="1:27" x14ac:dyDescent="0.25">
      <c r="A1223" t="s">
        <v>236</v>
      </c>
      <c r="B1223" t="s">
        <v>204</v>
      </c>
      <c r="C1223" s="76">
        <v>43945</v>
      </c>
      <c r="D1223">
        <v>3887</v>
      </c>
      <c r="E1223">
        <v>1250</v>
      </c>
      <c r="F1223">
        <v>6524</v>
      </c>
      <c r="G1223">
        <v>4534</v>
      </c>
      <c r="H1223">
        <v>46.2</v>
      </c>
      <c r="I1223">
        <v>38.9</v>
      </c>
      <c r="J1223">
        <v>53.4</v>
      </c>
      <c r="K1223">
        <v>345</v>
      </c>
      <c r="L1223">
        <v>79</v>
      </c>
      <c r="M1223">
        <v>612</v>
      </c>
      <c r="N1223">
        <v>4.0999999999999996</v>
      </c>
      <c r="O1223">
        <v>2.7</v>
      </c>
      <c r="P1223">
        <v>5.5</v>
      </c>
      <c r="Q1223">
        <f t="shared" si="36"/>
        <v>3167974</v>
      </c>
      <c r="R1223">
        <f t="shared" si="37"/>
        <v>10.890240892128533</v>
      </c>
      <c r="U1223">
        <v>500</v>
      </c>
      <c r="V1223">
        <v>3</v>
      </c>
      <c r="W1223">
        <v>996</v>
      </c>
      <c r="X1223">
        <v>310</v>
      </c>
      <c r="Y1223">
        <v>61.7</v>
      </c>
      <c r="Z1223">
        <v>54.1</v>
      </c>
      <c r="AA1223">
        <v>69.3</v>
      </c>
    </row>
    <row r="1224" spans="1:27" x14ac:dyDescent="0.25">
      <c r="A1224" t="s">
        <v>236</v>
      </c>
      <c r="B1224" t="s">
        <v>204</v>
      </c>
      <c r="C1224" s="76">
        <v>43946</v>
      </c>
      <c r="D1224">
        <v>3682</v>
      </c>
      <c r="E1224">
        <v>1172</v>
      </c>
      <c r="F1224">
        <v>6192</v>
      </c>
      <c r="G1224">
        <v>4748</v>
      </c>
      <c r="H1224">
        <v>43.7</v>
      </c>
      <c r="I1224">
        <v>36.5</v>
      </c>
      <c r="J1224">
        <v>50.8</v>
      </c>
      <c r="K1224">
        <v>309</v>
      </c>
      <c r="L1224">
        <v>69</v>
      </c>
      <c r="M1224">
        <v>550</v>
      </c>
      <c r="N1224">
        <v>3.7</v>
      </c>
      <c r="O1224">
        <v>2.5</v>
      </c>
      <c r="P1224">
        <v>4.9000000000000004</v>
      </c>
      <c r="Q1224">
        <f t="shared" si="36"/>
        <v>3167974</v>
      </c>
      <c r="R1224">
        <f t="shared" si="37"/>
        <v>9.7538679294716442</v>
      </c>
      <c r="U1224">
        <v>479</v>
      </c>
      <c r="V1224">
        <v>19</v>
      </c>
      <c r="W1224">
        <v>940</v>
      </c>
      <c r="X1224">
        <v>330</v>
      </c>
      <c r="Y1224">
        <v>59.2</v>
      </c>
      <c r="Z1224">
        <v>54.8</v>
      </c>
      <c r="AA1224">
        <v>63.6</v>
      </c>
    </row>
    <row r="1225" spans="1:27" x14ac:dyDescent="0.25">
      <c r="A1225" t="s">
        <v>236</v>
      </c>
      <c r="B1225" t="s">
        <v>204</v>
      </c>
      <c r="C1225" s="76">
        <v>43947</v>
      </c>
      <c r="D1225">
        <v>3615</v>
      </c>
      <c r="E1225">
        <v>1158</v>
      </c>
      <c r="F1225">
        <v>6072</v>
      </c>
      <c r="G1225">
        <v>4862</v>
      </c>
      <c r="H1225">
        <v>42.6</v>
      </c>
      <c r="I1225">
        <v>35.6</v>
      </c>
      <c r="J1225">
        <v>49.6</v>
      </c>
      <c r="K1225">
        <v>346</v>
      </c>
      <c r="L1225">
        <v>81</v>
      </c>
      <c r="M1225">
        <v>611</v>
      </c>
      <c r="N1225">
        <v>4.0999999999999996</v>
      </c>
      <c r="O1225">
        <v>2.8</v>
      </c>
      <c r="P1225">
        <v>5.4</v>
      </c>
      <c r="Q1225">
        <f t="shared" si="36"/>
        <v>3167974</v>
      </c>
      <c r="R1225">
        <f t="shared" si="37"/>
        <v>10.921806807757891</v>
      </c>
      <c r="U1225">
        <v>431</v>
      </c>
      <c r="V1225">
        <v>11</v>
      </c>
      <c r="W1225">
        <v>851</v>
      </c>
      <c r="X1225">
        <v>371</v>
      </c>
      <c r="Y1225">
        <v>53.8</v>
      </c>
      <c r="Z1225">
        <v>49.2</v>
      </c>
      <c r="AA1225">
        <v>58.3</v>
      </c>
    </row>
    <row r="1226" spans="1:27" x14ac:dyDescent="0.25">
      <c r="A1226" t="s">
        <v>236</v>
      </c>
      <c r="B1226" t="s">
        <v>204</v>
      </c>
      <c r="C1226" s="76">
        <v>43948</v>
      </c>
      <c r="D1226">
        <v>3634</v>
      </c>
      <c r="E1226">
        <v>1224</v>
      </c>
      <c r="F1226">
        <v>6044</v>
      </c>
      <c r="G1226">
        <v>4846</v>
      </c>
      <c r="H1226">
        <v>42.9</v>
      </c>
      <c r="I1226">
        <v>36.700000000000003</v>
      </c>
      <c r="J1226">
        <v>49.1</v>
      </c>
      <c r="K1226">
        <v>355</v>
      </c>
      <c r="L1226">
        <v>82</v>
      </c>
      <c r="M1226">
        <v>628</v>
      </c>
      <c r="N1226">
        <v>4.2</v>
      </c>
      <c r="O1226">
        <v>2.9</v>
      </c>
      <c r="P1226">
        <v>5.4</v>
      </c>
      <c r="Q1226">
        <f t="shared" si="36"/>
        <v>3167974</v>
      </c>
      <c r="R1226">
        <f t="shared" si="37"/>
        <v>11.205900048422114</v>
      </c>
      <c r="U1226">
        <v>449</v>
      </c>
      <c r="V1226">
        <v>7</v>
      </c>
      <c r="W1226">
        <v>892</v>
      </c>
      <c r="X1226">
        <v>355</v>
      </c>
      <c r="Y1226">
        <v>55.8</v>
      </c>
      <c r="Z1226">
        <v>47.9</v>
      </c>
      <c r="AA1226">
        <v>63.8</v>
      </c>
    </row>
    <row r="1227" spans="1:27" x14ac:dyDescent="0.25">
      <c r="A1227" t="s">
        <v>236</v>
      </c>
      <c r="B1227" t="s">
        <v>204</v>
      </c>
      <c r="C1227" s="76">
        <v>43949</v>
      </c>
      <c r="D1227">
        <v>3919</v>
      </c>
      <c r="E1227">
        <v>2155</v>
      </c>
      <c r="F1227">
        <v>5684</v>
      </c>
      <c r="G1227">
        <v>4567</v>
      </c>
      <c r="H1227">
        <v>46.2</v>
      </c>
      <c r="I1227">
        <v>41.1</v>
      </c>
      <c r="J1227">
        <v>51.3</v>
      </c>
      <c r="K1227">
        <v>435</v>
      </c>
      <c r="L1227">
        <v>228</v>
      </c>
      <c r="M1227">
        <v>642</v>
      </c>
      <c r="N1227">
        <v>5.0999999999999996</v>
      </c>
      <c r="O1227">
        <v>4.0999999999999996</v>
      </c>
      <c r="P1227">
        <v>6.1</v>
      </c>
      <c r="Q1227">
        <f t="shared" si="36"/>
        <v>3167974</v>
      </c>
      <c r="R1227">
        <f t="shared" si="37"/>
        <v>13.731173298770759</v>
      </c>
      <c r="U1227">
        <v>387</v>
      </c>
      <c r="V1227">
        <v>146</v>
      </c>
      <c r="W1227">
        <v>628</v>
      </c>
      <c r="X1227">
        <v>389</v>
      </c>
      <c r="Y1227">
        <v>49.9</v>
      </c>
      <c r="Z1227">
        <v>41.1</v>
      </c>
      <c r="AA1227">
        <v>58.7</v>
      </c>
    </row>
    <row r="1228" spans="1:27" x14ac:dyDescent="0.25">
      <c r="A1228" t="s">
        <v>236</v>
      </c>
      <c r="B1228" t="s">
        <v>204</v>
      </c>
      <c r="C1228" s="76">
        <v>43950</v>
      </c>
      <c r="D1228">
        <v>3964</v>
      </c>
      <c r="E1228">
        <v>2196</v>
      </c>
      <c r="F1228">
        <v>5733</v>
      </c>
      <c r="G1228">
        <v>4576</v>
      </c>
      <c r="H1228">
        <v>46.4</v>
      </c>
      <c r="I1228">
        <v>41.5</v>
      </c>
      <c r="J1228">
        <v>51.3</v>
      </c>
      <c r="K1228">
        <v>473</v>
      </c>
      <c r="L1228">
        <v>253</v>
      </c>
      <c r="M1228">
        <v>693</v>
      </c>
      <c r="N1228">
        <v>5.5</v>
      </c>
      <c r="O1228">
        <v>4.3</v>
      </c>
      <c r="P1228">
        <v>6.7</v>
      </c>
      <c r="Q1228">
        <f t="shared" si="36"/>
        <v>3167974</v>
      </c>
      <c r="R1228">
        <f t="shared" si="37"/>
        <v>14.930678092686366</v>
      </c>
      <c r="U1228">
        <v>404</v>
      </c>
      <c r="V1228">
        <v>161</v>
      </c>
      <c r="W1228">
        <v>647</v>
      </c>
      <c r="X1228">
        <v>383</v>
      </c>
      <c r="Y1228">
        <v>51.3</v>
      </c>
      <c r="Z1228">
        <v>40.799999999999997</v>
      </c>
      <c r="AA1228">
        <v>61.9</v>
      </c>
    </row>
    <row r="1229" spans="1:27" x14ac:dyDescent="0.25">
      <c r="A1229" t="s">
        <v>236</v>
      </c>
      <c r="B1229" t="s">
        <v>204</v>
      </c>
      <c r="C1229" s="76">
        <v>43951</v>
      </c>
      <c r="D1229">
        <v>3771</v>
      </c>
      <c r="E1229">
        <v>2063</v>
      </c>
      <c r="F1229">
        <v>5479</v>
      </c>
      <c r="G1229">
        <v>4727</v>
      </c>
      <c r="H1229">
        <v>44.4</v>
      </c>
      <c r="I1229">
        <v>38.799999999999997</v>
      </c>
      <c r="J1229">
        <v>50</v>
      </c>
      <c r="K1229">
        <v>498</v>
      </c>
      <c r="L1229">
        <v>259</v>
      </c>
      <c r="M1229">
        <v>737</v>
      </c>
      <c r="N1229">
        <v>5.9</v>
      </c>
      <c r="O1229">
        <v>4.4000000000000004</v>
      </c>
      <c r="P1229">
        <v>7.3</v>
      </c>
      <c r="Q1229">
        <f t="shared" si="36"/>
        <v>3167974</v>
      </c>
      <c r="R1229">
        <f t="shared" si="37"/>
        <v>15.71982598342032</v>
      </c>
      <c r="U1229">
        <v>390</v>
      </c>
      <c r="V1229">
        <v>151</v>
      </c>
      <c r="W1229">
        <v>629</v>
      </c>
      <c r="X1229">
        <v>316</v>
      </c>
      <c r="Y1229">
        <v>55.3</v>
      </c>
      <c r="Z1229">
        <v>37.299999999999997</v>
      </c>
      <c r="AA1229">
        <v>73.3</v>
      </c>
    </row>
    <row r="1230" spans="1:27" x14ac:dyDescent="0.25">
      <c r="A1230" t="s">
        <v>236</v>
      </c>
      <c r="B1230" t="s">
        <v>204</v>
      </c>
      <c r="C1230" s="76">
        <v>43952</v>
      </c>
      <c r="D1230">
        <v>3913</v>
      </c>
      <c r="E1230">
        <v>2147</v>
      </c>
      <c r="F1230">
        <v>5679</v>
      </c>
      <c r="G1230">
        <v>4617</v>
      </c>
      <c r="H1230">
        <v>45.9</v>
      </c>
      <c r="I1230">
        <v>40.9</v>
      </c>
      <c r="J1230">
        <v>50.8</v>
      </c>
      <c r="K1230">
        <v>475</v>
      </c>
      <c r="L1230">
        <v>242</v>
      </c>
      <c r="M1230">
        <v>707</v>
      </c>
      <c r="N1230">
        <v>5.6</v>
      </c>
      <c r="O1230">
        <v>4.2</v>
      </c>
      <c r="P1230">
        <v>6.9</v>
      </c>
      <c r="Q1230">
        <f t="shared" si="36"/>
        <v>3167974</v>
      </c>
      <c r="R1230">
        <f t="shared" si="37"/>
        <v>14.993809923945081</v>
      </c>
      <c r="U1230">
        <v>390</v>
      </c>
      <c r="V1230">
        <v>155</v>
      </c>
      <c r="W1230">
        <v>625</v>
      </c>
      <c r="X1230">
        <v>323</v>
      </c>
      <c r="Y1230">
        <v>54.7</v>
      </c>
      <c r="Z1230">
        <v>38.799999999999997</v>
      </c>
      <c r="AA1230">
        <v>70.599999999999994</v>
      </c>
    </row>
    <row r="1231" spans="1:27" x14ac:dyDescent="0.25">
      <c r="A1231" t="s">
        <v>236</v>
      </c>
      <c r="B1231" t="s">
        <v>204</v>
      </c>
      <c r="C1231" s="76">
        <v>43953</v>
      </c>
      <c r="D1231">
        <v>3864</v>
      </c>
      <c r="E1231">
        <v>2103</v>
      </c>
      <c r="F1231">
        <v>5625</v>
      </c>
      <c r="G1231">
        <v>4594</v>
      </c>
      <c r="H1231">
        <v>45.7</v>
      </c>
      <c r="I1231">
        <v>40.4</v>
      </c>
      <c r="J1231">
        <v>51</v>
      </c>
      <c r="K1231">
        <v>489</v>
      </c>
      <c r="L1231">
        <v>251</v>
      </c>
      <c r="M1231">
        <v>727</v>
      </c>
      <c r="N1231">
        <v>5.8</v>
      </c>
      <c r="O1231">
        <v>4.4000000000000004</v>
      </c>
      <c r="P1231">
        <v>7.2</v>
      </c>
      <c r="Q1231">
        <f t="shared" si="36"/>
        <v>3167974</v>
      </c>
      <c r="R1231">
        <f t="shared" si="37"/>
        <v>15.435732742756096</v>
      </c>
      <c r="U1231">
        <v>389</v>
      </c>
      <c r="V1231">
        <v>158</v>
      </c>
      <c r="W1231">
        <v>620</v>
      </c>
      <c r="X1231">
        <v>327</v>
      </c>
      <c r="Y1231">
        <v>54.3</v>
      </c>
      <c r="Z1231">
        <v>39.700000000000003</v>
      </c>
      <c r="AA1231">
        <v>69</v>
      </c>
    </row>
    <row r="1232" spans="1:27" x14ac:dyDescent="0.25">
      <c r="A1232" t="s">
        <v>236</v>
      </c>
      <c r="B1232" t="s">
        <v>204</v>
      </c>
      <c r="C1232" s="76">
        <v>43954</v>
      </c>
      <c r="D1232">
        <v>3671</v>
      </c>
      <c r="E1232">
        <v>1983</v>
      </c>
      <c r="F1232">
        <v>5358</v>
      </c>
      <c r="G1232">
        <v>4766</v>
      </c>
      <c r="H1232">
        <v>43.5</v>
      </c>
      <c r="I1232">
        <v>38.299999999999997</v>
      </c>
      <c r="J1232">
        <v>48.7</v>
      </c>
      <c r="K1232">
        <v>503</v>
      </c>
      <c r="L1232">
        <v>240</v>
      </c>
      <c r="M1232">
        <v>767</v>
      </c>
      <c r="N1232">
        <v>6</v>
      </c>
      <c r="O1232">
        <v>4.4000000000000004</v>
      </c>
      <c r="P1232">
        <v>7.5</v>
      </c>
      <c r="Q1232">
        <f t="shared" si="36"/>
        <v>3167974</v>
      </c>
      <c r="R1232">
        <f t="shared" si="37"/>
        <v>15.877655561567108</v>
      </c>
      <c r="U1232">
        <v>416</v>
      </c>
      <c r="V1232">
        <v>160</v>
      </c>
      <c r="W1232">
        <v>673</v>
      </c>
      <c r="X1232">
        <v>337</v>
      </c>
      <c r="Y1232">
        <v>55.2</v>
      </c>
      <c r="Z1232">
        <v>39.700000000000003</v>
      </c>
      <c r="AA1232">
        <v>70.8</v>
      </c>
    </row>
    <row r="1233" spans="1:27" x14ac:dyDescent="0.25">
      <c r="A1233" t="s">
        <v>236</v>
      </c>
      <c r="B1233" t="s">
        <v>204</v>
      </c>
      <c r="C1233" s="76">
        <v>43955</v>
      </c>
      <c r="D1233">
        <v>3752</v>
      </c>
      <c r="E1233">
        <v>2039</v>
      </c>
      <c r="F1233">
        <v>5465</v>
      </c>
      <c r="G1233">
        <v>4711</v>
      </c>
      <c r="H1233">
        <v>44.3</v>
      </c>
      <c r="I1233">
        <v>39.5</v>
      </c>
      <c r="J1233">
        <v>49.1</v>
      </c>
      <c r="K1233">
        <v>524</v>
      </c>
      <c r="L1233">
        <v>244</v>
      </c>
      <c r="M1233">
        <v>803</v>
      </c>
      <c r="N1233">
        <v>6.2</v>
      </c>
      <c r="O1233">
        <v>4.5999999999999996</v>
      </c>
      <c r="P1233">
        <v>7.8</v>
      </c>
      <c r="Q1233">
        <f t="shared" si="36"/>
        <v>3167974</v>
      </c>
      <c r="R1233">
        <f t="shared" si="37"/>
        <v>16.540539789783629</v>
      </c>
      <c r="U1233">
        <v>391</v>
      </c>
      <c r="V1233">
        <v>148</v>
      </c>
      <c r="W1233">
        <v>635</v>
      </c>
      <c r="X1233">
        <v>410</v>
      </c>
      <c r="Y1233">
        <v>48.8</v>
      </c>
      <c r="Z1233">
        <v>39.5</v>
      </c>
      <c r="AA1233">
        <v>58</v>
      </c>
    </row>
    <row r="1234" spans="1:27" x14ac:dyDescent="0.25">
      <c r="A1234" t="s">
        <v>236</v>
      </c>
      <c r="B1234" t="s">
        <v>204</v>
      </c>
      <c r="C1234" s="76">
        <v>43956</v>
      </c>
      <c r="D1234">
        <v>3892</v>
      </c>
      <c r="E1234">
        <v>2136</v>
      </c>
      <c r="F1234">
        <v>5647</v>
      </c>
      <c r="G1234">
        <v>4600</v>
      </c>
      <c r="H1234">
        <v>45.8</v>
      </c>
      <c r="I1234">
        <v>41.2</v>
      </c>
      <c r="J1234">
        <v>50.5</v>
      </c>
      <c r="K1234">
        <v>536</v>
      </c>
      <c r="L1234">
        <v>243</v>
      </c>
      <c r="M1234">
        <v>829</v>
      </c>
      <c r="N1234">
        <v>6.3</v>
      </c>
      <c r="O1234">
        <v>4.5</v>
      </c>
      <c r="P1234">
        <v>8.1999999999999993</v>
      </c>
      <c r="Q1234">
        <f t="shared" si="36"/>
        <v>3167974</v>
      </c>
      <c r="R1234">
        <f t="shared" si="37"/>
        <v>16.919330777335926</v>
      </c>
      <c r="U1234">
        <v>514</v>
      </c>
      <c r="V1234">
        <v>194</v>
      </c>
      <c r="W1234">
        <v>834</v>
      </c>
      <c r="X1234">
        <v>483</v>
      </c>
      <c r="Y1234">
        <v>51.5</v>
      </c>
      <c r="Z1234">
        <v>44</v>
      </c>
      <c r="AA1234">
        <v>59</v>
      </c>
    </row>
    <row r="1235" spans="1:27" x14ac:dyDescent="0.25">
      <c r="A1235" t="s">
        <v>236</v>
      </c>
      <c r="B1235" t="s">
        <v>204</v>
      </c>
      <c r="C1235" s="76">
        <v>43957</v>
      </c>
      <c r="D1235">
        <v>3925</v>
      </c>
      <c r="E1235">
        <v>2148</v>
      </c>
      <c r="F1235">
        <v>5703</v>
      </c>
      <c r="G1235">
        <v>4615</v>
      </c>
      <c r="H1235">
        <v>46</v>
      </c>
      <c r="I1235">
        <v>41.2</v>
      </c>
      <c r="J1235">
        <v>50.7</v>
      </c>
      <c r="K1235">
        <v>534</v>
      </c>
      <c r="L1235">
        <v>246</v>
      </c>
      <c r="M1235">
        <v>821</v>
      </c>
      <c r="N1235">
        <v>6.3</v>
      </c>
      <c r="O1235">
        <v>4.5</v>
      </c>
      <c r="P1235">
        <v>8</v>
      </c>
      <c r="Q1235">
        <f t="shared" si="36"/>
        <v>3167974</v>
      </c>
      <c r="R1235">
        <f t="shared" si="37"/>
        <v>16.85619894607721</v>
      </c>
      <c r="U1235">
        <v>544</v>
      </c>
      <c r="V1235">
        <v>202</v>
      </c>
      <c r="W1235">
        <v>885</v>
      </c>
      <c r="X1235">
        <v>474</v>
      </c>
      <c r="Y1235">
        <v>53.5</v>
      </c>
      <c r="Z1235">
        <v>45.1</v>
      </c>
      <c r="AA1235">
        <v>61.8</v>
      </c>
    </row>
    <row r="1236" spans="1:27" x14ac:dyDescent="0.25">
      <c r="A1236" t="s">
        <v>236</v>
      </c>
      <c r="B1236" t="s">
        <v>204</v>
      </c>
      <c r="C1236" s="76">
        <v>43958</v>
      </c>
      <c r="D1236">
        <v>3973</v>
      </c>
      <c r="E1236">
        <v>2183</v>
      </c>
      <c r="F1236">
        <v>5762</v>
      </c>
      <c r="G1236">
        <v>4584</v>
      </c>
      <c r="H1236">
        <v>46.4</v>
      </c>
      <c r="I1236">
        <v>41.7</v>
      </c>
      <c r="J1236">
        <v>51.2</v>
      </c>
      <c r="K1236">
        <v>493</v>
      </c>
      <c r="L1236">
        <v>222</v>
      </c>
      <c r="M1236">
        <v>764</v>
      </c>
      <c r="N1236">
        <v>5.8</v>
      </c>
      <c r="O1236">
        <v>4.2</v>
      </c>
      <c r="P1236">
        <v>7.3</v>
      </c>
      <c r="Q1236">
        <f t="shared" si="36"/>
        <v>3167974</v>
      </c>
      <c r="R1236">
        <f t="shared" si="37"/>
        <v>15.561996405273527</v>
      </c>
      <c r="U1236">
        <v>525</v>
      </c>
      <c r="V1236">
        <v>198</v>
      </c>
      <c r="W1236">
        <v>851</v>
      </c>
      <c r="X1236">
        <v>531</v>
      </c>
      <c r="Y1236">
        <v>49.7</v>
      </c>
      <c r="Z1236">
        <v>42.4</v>
      </c>
      <c r="AA1236">
        <v>56.9</v>
      </c>
    </row>
    <row r="1237" spans="1:27" x14ac:dyDescent="0.25">
      <c r="A1237" t="s">
        <v>236</v>
      </c>
      <c r="B1237" t="s">
        <v>204</v>
      </c>
      <c r="C1237" s="76">
        <v>43959</v>
      </c>
      <c r="D1237">
        <v>3897</v>
      </c>
      <c r="E1237">
        <v>2139</v>
      </c>
      <c r="F1237">
        <v>5656</v>
      </c>
      <c r="G1237">
        <v>4637</v>
      </c>
      <c r="H1237">
        <v>45.7</v>
      </c>
      <c r="I1237">
        <v>40.799999999999997</v>
      </c>
      <c r="J1237">
        <v>50.6</v>
      </c>
      <c r="K1237">
        <v>481</v>
      </c>
      <c r="L1237">
        <v>204</v>
      </c>
      <c r="M1237">
        <v>757</v>
      </c>
      <c r="N1237">
        <v>5.6</v>
      </c>
      <c r="O1237">
        <v>4</v>
      </c>
      <c r="P1237">
        <v>7.3</v>
      </c>
      <c r="Q1237">
        <f t="shared" si="36"/>
        <v>3167974</v>
      </c>
      <c r="R1237">
        <f t="shared" si="37"/>
        <v>15.183205417721233</v>
      </c>
      <c r="U1237">
        <v>514</v>
      </c>
      <c r="V1237">
        <v>192</v>
      </c>
      <c r="W1237">
        <v>836</v>
      </c>
      <c r="X1237">
        <v>512</v>
      </c>
      <c r="Y1237">
        <v>50</v>
      </c>
      <c r="Z1237">
        <v>44.1</v>
      </c>
      <c r="AA1237">
        <v>56</v>
      </c>
    </row>
    <row r="1238" spans="1:27" x14ac:dyDescent="0.25">
      <c r="A1238" t="s">
        <v>236</v>
      </c>
      <c r="B1238" t="s">
        <v>204</v>
      </c>
      <c r="C1238" s="76">
        <v>43960</v>
      </c>
      <c r="D1238">
        <v>3809</v>
      </c>
      <c r="E1238">
        <v>2074</v>
      </c>
      <c r="F1238">
        <v>5544</v>
      </c>
      <c r="G1238">
        <v>4609</v>
      </c>
      <c r="H1238">
        <v>45.2</v>
      </c>
      <c r="I1238">
        <v>39.9</v>
      </c>
      <c r="J1238">
        <v>50.5</v>
      </c>
      <c r="K1238">
        <v>508</v>
      </c>
      <c r="L1238">
        <v>218</v>
      </c>
      <c r="M1238">
        <v>797</v>
      </c>
      <c r="N1238">
        <v>6</v>
      </c>
      <c r="O1238">
        <v>4.2</v>
      </c>
      <c r="P1238">
        <v>7.9</v>
      </c>
      <c r="Q1238">
        <f t="shared" si="36"/>
        <v>3167974</v>
      </c>
      <c r="R1238">
        <f t="shared" si="37"/>
        <v>16.035485139713899</v>
      </c>
      <c r="U1238">
        <v>506</v>
      </c>
      <c r="V1238">
        <v>186</v>
      </c>
      <c r="W1238">
        <v>826</v>
      </c>
      <c r="X1238">
        <v>450</v>
      </c>
      <c r="Y1238">
        <v>52.9</v>
      </c>
      <c r="Z1238">
        <v>44.9</v>
      </c>
      <c r="AA1238">
        <v>60.8</v>
      </c>
    </row>
    <row r="1239" spans="1:27" x14ac:dyDescent="0.25">
      <c r="A1239" t="s">
        <v>236</v>
      </c>
      <c r="B1239" t="s">
        <v>204</v>
      </c>
      <c r="C1239" s="76">
        <v>43961</v>
      </c>
      <c r="D1239">
        <v>3804</v>
      </c>
      <c r="E1239">
        <v>2078</v>
      </c>
      <c r="F1239">
        <v>5530</v>
      </c>
      <c r="G1239">
        <v>4611</v>
      </c>
      <c r="H1239">
        <v>45.2</v>
      </c>
      <c r="I1239">
        <v>39.6</v>
      </c>
      <c r="J1239">
        <v>50.8</v>
      </c>
      <c r="K1239">
        <v>484</v>
      </c>
      <c r="L1239">
        <v>212</v>
      </c>
      <c r="M1239">
        <v>755</v>
      </c>
      <c r="N1239">
        <v>5.8</v>
      </c>
      <c r="O1239">
        <v>4.0999999999999996</v>
      </c>
      <c r="P1239">
        <v>7.4</v>
      </c>
      <c r="Q1239">
        <f t="shared" si="36"/>
        <v>3167974</v>
      </c>
      <c r="R1239">
        <f t="shared" si="37"/>
        <v>15.277903164609304</v>
      </c>
      <c r="U1239">
        <v>510</v>
      </c>
      <c r="V1239">
        <v>185</v>
      </c>
      <c r="W1239">
        <v>836</v>
      </c>
      <c r="X1239">
        <v>449</v>
      </c>
      <c r="Y1239">
        <v>53.2</v>
      </c>
      <c r="Z1239">
        <v>45.6</v>
      </c>
      <c r="AA1239">
        <v>60.8</v>
      </c>
    </row>
    <row r="1240" spans="1:27" x14ac:dyDescent="0.25">
      <c r="A1240" t="s">
        <v>236</v>
      </c>
      <c r="B1240" t="s">
        <v>204</v>
      </c>
      <c r="C1240" s="76">
        <v>43962</v>
      </c>
      <c r="D1240">
        <v>3813</v>
      </c>
      <c r="E1240">
        <v>2092</v>
      </c>
      <c r="F1240">
        <v>5535</v>
      </c>
      <c r="G1240">
        <v>4610</v>
      </c>
      <c r="H1240">
        <v>45.3</v>
      </c>
      <c r="I1240">
        <v>40.4</v>
      </c>
      <c r="J1240">
        <v>50.2</v>
      </c>
      <c r="K1240">
        <v>488</v>
      </c>
      <c r="L1240">
        <v>203</v>
      </c>
      <c r="M1240">
        <v>772</v>
      </c>
      <c r="N1240">
        <v>5.8</v>
      </c>
      <c r="O1240">
        <v>4.0999999999999996</v>
      </c>
      <c r="P1240">
        <v>7.5</v>
      </c>
      <c r="Q1240">
        <f t="shared" si="36"/>
        <v>3167974</v>
      </c>
      <c r="R1240">
        <f t="shared" si="37"/>
        <v>15.404166827126737</v>
      </c>
      <c r="U1240">
        <v>499</v>
      </c>
      <c r="V1240">
        <v>179</v>
      </c>
      <c r="W1240">
        <v>820</v>
      </c>
      <c r="X1240">
        <v>459</v>
      </c>
      <c r="Y1240">
        <v>52</v>
      </c>
      <c r="Z1240">
        <v>44.5</v>
      </c>
      <c r="AA1240">
        <v>59.6</v>
      </c>
    </row>
    <row r="1241" spans="1:27" x14ac:dyDescent="0.25">
      <c r="A1241" t="s">
        <v>236</v>
      </c>
      <c r="B1241" t="s">
        <v>204</v>
      </c>
      <c r="C1241" s="76">
        <v>43963</v>
      </c>
      <c r="D1241">
        <v>4082</v>
      </c>
      <c r="E1241">
        <v>2223</v>
      </c>
      <c r="F1241">
        <v>5940</v>
      </c>
      <c r="G1241">
        <v>4394</v>
      </c>
      <c r="H1241">
        <v>48.2</v>
      </c>
      <c r="I1241">
        <v>42.5</v>
      </c>
      <c r="J1241">
        <v>53.8</v>
      </c>
      <c r="K1241">
        <v>507</v>
      </c>
      <c r="L1241">
        <v>210</v>
      </c>
      <c r="M1241">
        <v>804</v>
      </c>
      <c r="N1241">
        <v>6</v>
      </c>
      <c r="O1241">
        <v>4.0999999999999996</v>
      </c>
      <c r="P1241">
        <v>7.8</v>
      </c>
      <c r="Q1241">
        <f t="shared" si="36"/>
        <v>3167974</v>
      </c>
      <c r="R1241">
        <f t="shared" si="37"/>
        <v>16.003919224084541</v>
      </c>
      <c r="U1241">
        <v>512</v>
      </c>
      <c r="V1241">
        <v>178</v>
      </c>
      <c r="W1241">
        <v>845</v>
      </c>
      <c r="X1241">
        <v>448</v>
      </c>
      <c r="Y1241">
        <v>53.3</v>
      </c>
      <c r="Z1241">
        <v>45</v>
      </c>
      <c r="AA1241">
        <v>61.6</v>
      </c>
    </row>
    <row r="1242" spans="1:27" x14ac:dyDescent="0.25">
      <c r="A1242" t="s">
        <v>236</v>
      </c>
      <c r="B1242" t="s">
        <v>204</v>
      </c>
      <c r="C1242" s="76">
        <v>43964</v>
      </c>
      <c r="D1242">
        <v>4269</v>
      </c>
      <c r="E1242">
        <v>2361</v>
      </c>
      <c r="F1242">
        <v>6178</v>
      </c>
      <c r="G1242">
        <v>4185</v>
      </c>
      <c r="H1242">
        <v>50.5</v>
      </c>
      <c r="I1242">
        <v>45.3</v>
      </c>
      <c r="J1242">
        <v>55.7</v>
      </c>
      <c r="K1242">
        <v>527</v>
      </c>
      <c r="L1242">
        <v>229</v>
      </c>
      <c r="M1242">
        <v>825</v>
      </c>
      <c r="N1242">
        <v>6.2</v>
      </c>
      <c r="O1242">
        <v>4.4000000000000004</v>
      </c>
      <c r="P1242">
        <v>8</v>
      </c>
      <c r="Q1242">
        <f t="shared" si="36"/>
        <v>3167974</v>
      </c>
      <c r="R1242">
        <f t="shared" si="37"/>
        <v>16.635237536671703</v>
      </c>
      <c r="U1242">
        <v>506</v>
      </c>
      <c r="V1242">
        <v>177</v>
      </c>
      <c r="W1242">
        <v>836</v>
      </c>
      <c r="X1242">
        <v>460</v>
      </c>
      <c r="Y1242">
        <v>52.4</v>
      </c>
      <c r="Z1242">
        <v>44.4</v>
      </c>
      <c r="AA1242">
        <v>60.4</v>
      </c>
    </row>
    <row r="1243" spans="1:27" x14ac:dyDescent="0.25">
      <c r="A1243" t="s">
        <v>236</v>
      </c>
      <c r="B1243" t="s">
        <v>204</v>
      </c>
      <c r="C1243" s="76">
        <v>43965</v>
      </c>
      <c r="D1243">
        <v>4261</v>
      </c>
      <c r="E1243">
        <v>2345</v>
      </c>
      <c r="F1243">
        <v>6177</v>
      </c>
      <c r="G1243">
        <v>4176</v>
      </c>
      <c r="H1243">
        <v>50.5</v>
      </c>
      <c r="I1243">
        <v>45.2</v>
      </c>
      <c r="J1243">
        <v>55.8</v>
      </c>
      <c r="K1243">
        <v>490</v>
      </c>
      <c r="L1243">
        <v>208</v>
      </c>
      <c r="M1243">
        <v>772</v>
      </c>
      <c r="N1243">
        <v>5.8</v>
      </c>
      <c r="O1243">
        <v>4.0999999999999996</v>
      </c>
      <c r="P1243">
        <v>7.5</v>
      </c>
      <c r="Q1243">
        <f t="shared" si="36"/>
        <v>3167974</v>
      </c>
      <c r="R1243">
        <f t="shared" si="37"/>
        <v>15.467298658385452</v>
      </c>
      <c r="U1243">
        <v>515</v>
      </c>
      <c r="V1243">
        <v>174</v>
      </c>
      <c r="W1243">
        <v>856</v>
      </c>
      <c r="X1243">
        <v>447</v>
      </c>
      <c r="Y1243">
        <v>53.5</v>
      </c>
      <c r="Z1243">
        <v>44.9</v>
      </c>
      <c r="AA1243">
        <v>62.1</v>
      </c>
    </row>
    <row r="1244" spans="1:27" x14ac:dyDescent="0.25">
      <c r="A1244" t="s">
        <v>236</v>
      </c>
      <c r="B1244" t="s">
        <v>204</v>
      </c>
      <c r="C1244" s="76">
        <v>43966</v>
      </c>
      <c r="D1244">
        <v>4235</v>
      </c>
      <c r="E1244">
        <v>2331</v>
      </c>
      <c r="F1244">
        <v>6139</v>
      </c>
      <c r="G1244">
        <v>4244</v>
      </c>
      <c r="H1244">
        <v>49.9</v>
      </c>
      <c r="I1244">
        <v>44.6</v>
      </c>
      <c r="J1244">
        <v>55.2</v>
      </c>
      <c r="K1244">
        <v>499</v>
      </c>
      <c r="L1244">
        <v>225</v>
      </c>
      <c r="M1244">
        <v>774</v>
      </c>
      <c r="N1244">
        <v>5.9</v>
      </c>
      <c r="O1244">
        <v>4.3</v>
      </c>
      <c r="P1244">
        <v>7.5</v>
      </c>
      <c r="Q1244">
        <f t="shared" si="36"/>
        <v>3167974</v>
      </c>
      <c r="R1244">
        <f t="shared" si="37"/>
        <v>15.751391899049676</v>
      </c>
      <c r="U1244">
        <v>517</v>
      </c>
      <c r="V1244">
        <v>176</v>
      </c>
      <c r="W1244">
        <v>857</v>
      </c>
      <c r="X1244">
        <v>447</v>
      </c>
      <c r="Y1244">
        <v>53.6</v>
      </c>
      <c r="Z1244">
        <v>45.7</v>
      </c>
      <c r="AA1244">
        <v>61.5</v>
      </c>
    </row>
    <row r="1245" spans="1:27" x14ac:dyDescent="0.25">
      <c r="A1245" t="s">
        <v>236</v>
      </c>
      <c r="B1245" t="s">
        <v>204</v>
      </c>
      <c r="C1245" s="76">
        <v>43967</v>
      </c>
      <c r="D1245">
        <v>4020</v>
      </c>
      <c r="E1245">
        <v>2233</v>
      </c>
      <c r="F1245">
        <v>5806</v>
      </c>
      <c r="G1245">
        <v>4429</v>
      </c>
      <c r="H1245">
        <v>47.6</v>
      </c>
      <c r="I1245">
        <v>42.9</v>
      </c>
      <c r="J1245">
        <v>52.2</v>
      </c>
      <c r="K1245">
        <v>475</v>
      </c>
      <c r="L1245">
        <v>209</v>
      </c>
      <c r="M1245">
        <v>741</v>
      </c>
      <c r="N1245">
        <v>5.6</v>
      </c>
      <c r="O1245">
        <v>4</v>
      </c>
      <c r="P1245">
        <v>7.2</v>
      </c>
      <c r="Q1245">
        <f t="shared" si="36"/>
        <v>3167974</v>
      </c>
      <c r="R1245">
        <f t="shared" si="37"/>
        <v>14.993809923945081</v>
      </c>
      <c r="U1245">
        <v>478</v>
      </c>
      <c r="V1245">
        <v>167</v>
      </c>
      <c r="W1245">
        <v>790</v>
      </c>
      <c r="X1245">
        <v>486</v>
      </c>
      <c r="Y1245">
        <v>49.6</v>
      </c>
      <c r="Z1245">
        <v>42.3</v>
      </c>
      <c r="AA1245">
        <v>57</v>
      </c>
    </row>
    <row r="1246" spans="1:27" x14ac:dyDescent="0.25">
      <c r="A1246" t="s">
        <v>236</v>
      </c>
      <c r="B1246" t="s">
        <v>204</v>
      </c>
      <c r="C1246" s="76">
        <v>43968</v>
      </c>
      <c r="D1246">
        <v>3959</v>
      </c>
      <c r="E1246">
        <v>2175</v>
      </c>
      <c r="F1246">
        <v>5743</v>
      </c>
      <c r="G1246">
        <v>4524</v>
      </c>
      <c r="H1246">
        <v>46.7</v>
      </c>
      <c r="I1246">
        <v>41.7</v>
      </c>
      <c r="J1246">
        <v>51.6</v>
      </c>
      <c r="K1246">
        <v>481</v>
      </c>
      <c r="L1246">
        <v>205</v>
      </c>
      <c r="M1246">
        <v>758</v>
      </c>
      <c r="N1246">
        <v>5.7</v>
      </c>
      <c r="O1246">
        <v>4</v>
      </c>
      <c r="P1246">
        <v>7.4</v>
      </c>
      <c r="Q1246">
        <f t="shared" si="36"/>
        <v>3167974</v>
      </c>
      <c r="R1246">
        <f t="shared" si="37"/>
        <v>15.183205417721233</v>
      </c>
      <c r="U1246">
        <v>465</v>
      </c>
      <c r="V1246">
        <v>160</v>
      </c>
      <c r="W1246">
        <v>769</v>
      </c>
      <c r="X1246">
        <v>500</v>
      </c>
      <c r="Y1246">
        <v>48.2</v>
      </c>
      <c r="Z1246">
        <v>41.1</v>
      </c>
      <c r="AA1246">
        <v>55.3</v>
      </c>
    </row>
    <row r="1247" spans="1:27" x14ac:dyDescent="0.25">
      <c r="A1247" t="s">
        <v>236</v>
      </c>
      <c r="B1247" t="s">
        <v>204</v>
      </c>
      <c r="C1247" s="76">
        <v>43969</v>
      </c>
      <c r="D1247">
        <v>4147</v>
      </c>
      <c r="E1247">
        <v>2286</v>
      </c>
      <c r="F1247">
        <v>6008</v>
      </c>
      <c r="G1247">
        <v>4359</v>
      </c>
      <c r="H1247">
        <v>48.8</v>
      </c>
      <c r="I1247">
        <v>43.7</v>
      </c>
      <c r="J1247">
        <v>53.8</v>
      </c>
      <c r="K1247">
        <v>483</v>
      </c>
      <c r="L1247">
        <v>200</v>
      </c>
      <c r="M1247">
        <v>766</v>
      </c>
      <c r="N1247">
        <v>5.7</v>
      </c>
      <c r="O1247">
        <v>3.9</v>
      </c>
      <c r="P1247">
        <v>7.5</v>
      </c>
      <c r="Q1247">
        <f t="shared" si="36"/>
        <v>3167974</v>
      </c>
      <c r="R1247">
        <f t="shared" si="37"/>
        <v>15.246337248979948</v>
      </c>
      <c r="U1247">
        <v>525</v>
      </c>
      <c r="V1247">
        <v>186</v>
      </c>
      <c r="W1247">
        <v>865</v>
      </c>
      <c r="X1247">
        <v>443</v>
      </c>
      <c r="Y1247">
        <v>54.2</v>
      </c>
      <c r="Z1247">
        <v>46.1</v>
      </c>
      <c r="AA1247">
        <v>62.3</v>
      </c>
    </row>
    <row r="1248" spans="1:27" x14ac:dyDescent="0.25">
      <c r="A1248" t="s">
        <v>236</v>
      </c>
      <c r="B1248" t="s">
        <v>204</v>
      </c>
      <c r="C1248" s="76">
        <v>43970</v>
      </c>
      <c r="D1248">
        <v>4255</v>
      </c>
      <c r="E1248">
        <v>2321</v>
      </c>
      <c r="F1248">
        <v>6188</v>
      </c>
      <c r="G1248">
        <v>4193</v>
      </c>
      <c r="H1248">
        <v>50.4</v>
      </c>
      <c r="I1248">
        <v>44.4</v>
      </c>
      <c r="J1248">
        <v>56.4</v>
      </c>
      <c r="K1248">
        <v>495</v>
      </c>
      <c r="L1248">
        <v>207</v>
      </c>
      <c r="M1248">
        <v>783</v>
      </c>
      <c r="N1248">
        <v>5.9</v>
      </c>
      <c r="O1248">
        <v>4.0999999999999996</v>
      </c>
      <c r="P1248">
        <v>7.6</v>
      </c>
      <c r="Q1248">
        <f t="shared" si="36"/>
        <v>3167974</v>
      </c>
      <c r="R1248">
        <f t="shared" si="37"/>
        <v>15.625128236532245</v>
      </c>
      <c r="U1248">
        <v>512</v>
      </c>
      <c r="V1248">
        <v>172</v>
      </c>
      <c r="W1248">
        <v>851</v>
      </c>
      <c r="X1248">
        <v>466</v>
      </c>
      <c r="Y1248">
        <v>52.3</v>
      </c>
      <c r="Z1248">
        <v>43.5</v>
      </c>
      <c r="AA1248">
        <v>61.2</v>
      </c>
    </row>
    <row r="1249" spans="1:27" x14ac:dyDescent="0.25">
      <c r="A1249" t="s">
        <v>236</v>
      </c>
      <c r="B1249" t="s">
        <v>204</v>
      </c>
      <c r="C1249" s="76">
        <v>43971</v>
      </c>
      <c r="D1249">
        <v>4345</v>
      </c>
      <c r="E1249">
        <v>2427</v>
      </c>
      <c r="F1249">
        <v>6263</v>
      </c>
      <c r="G1249">
        <v>4121</v>
      </c>
      <c r="H1249">
        <v>51.3</v>
      </c>
      <c r="I1249">
        <v>46.2</v>
      </c>
      <c r="J1249">
        <v>56.5</v>
      </c>
      <c r="K1249">
        <v>492</v>
      </c>
      <c r="L1249">
        <v>217</v>
      </c>
      <c r="M1249">
        <v>767</v>
      </c>
      <c r="N1249">
        <v>5.8</v>
      </c>
      <c r="O1249">
        <v>4.0999999999999996</v>
      </c>
      <c r="P1249">
        <v>7.5</v>
      </c>
      <c r="Q1249">
        <f t="shared" si="36"/>
        <v>3167974</v>
      </c>
      <c r="R1249">
        <f t="shared" si="37"/>
        <v>15.53043048964417</v>
      </c>
      <c r="U1249">
        <v>531</v>
      </c>
      <c r="V1249">
        <v>194</v>
      </c>
      <c r="W1249">
        <v>868</v>
      </c>
      <c r="X1249">
        <v>434</v>
      </c>
      <c r="Y1249">
        <v>55</v>
      </c>
      <c r="Z1249">
        <v>47.4</v>
      </c>
      <c r="AA1249">
        <v>62.6</v>
      </c>
    </row>
    <row r="1250" spans="1:27" x14ac:dyDescent="0.25">
      <c r="A1250" t="s">
        <v>236</v>
      </c>
      <c r="B1250" t="s">
        <v>204</v>
      </c>
      <c r="C1250" s="76">
        <v>43972</v>
      </c>
      <c r="D1250">
        <v>4397</v>
      </c>
      <c r="E1250">
        <v>2449</v>
      </c>
      <c r="F1250">
        <v>6346</v>
      </c>
      <c r="G1250">
        <v>4017</v>
      </c>
      <c r="H1250">
        <v>52.3</v>
      </c>
      <c r="I1250">
        <v>47.4</v>
      </c>
      <c r="J1250">
        <v>57.1</v>
      </c>
      <c r="K1250">
        <v>495</v>
      </c>
      <c r="L1250">
        <v>209</v>
      </c>
      <c r="M1250">
        <v>781</v>
      </c>
      <c r="N1250">
        <v>5.9</v>
      </c>
      <c r="O1250">
        <v>4.0999999999999996</v>
      </c>
      <c r="P1250">
        <v>7.7</v>
      </c>
      <c r="Q1250">
        <f t="shared" si="36"/>
        <v>3167974</v>
      </c>
      <c r="R1250">
        <f t="shared" si="37"/>
        <v>15.625128236532245</v>
      </c>
      <c r="U1250">
        <v>530</v>
      </c>
      <c r="V1250">
        <v>178</v>
      </c>
      <c r="W1250">
        <v>882</v>
      </c>
      <c r="X1250">
        <v>467</v>
      </c>
      <c r="Y1250">
        <v>53.1</v>
      </c>
      <c r="Z1250">
        <v>45.7</v>
      </c>
      <c r="AA1250">
        <v>60.5</v>
      </c>
    </row>
    <row r="1251" spans="1:27" x14ac:dyDescent="0.25">
      <c r="A1251" t="s">
        <v>236</v>
      </c>
      <c r="B1251" t="s">
        <v>204</v>
      </c>
      <c r="C1251" s="76">
        <v>43973</v>
      </c>
      <c r="D1251">
        <v>4349</v>
      </c>
      <c r="E1251">
        <v>2389</v>
      </c>
      <c r="F1251">
        <v>6309</v>
      </c>
      <c r="G1251">
        <v>4063</v>
      </c>
      <c r="H1251">
        <v>51.7</v>
      </c>
      <c r="I1251">
        <v>46.8</v>
      </c>
      <c r="J1251">
        <v>56.6</v>
      </c>
      <c r="K1251">
        <v>470</v>
      </c>
      <c r="L1251">
        <v>194</v>
      </c>
      <c r="M1251">
        <v>747</v>
      </c>
      <c r="N1251">
        <v>5.6</v>
      </c>
      <c r="O1251">
        <v>3.8</v>
      </c>
      <c r="P1251">
        <v>7.4</v>
      </c>
      <c r="Q1251">
        <f t="shared" si="36"/>
        <v>3167974</v>
      </c>
      <c r="R1251">
        <f t="shared" si="37"/>
        <v>14.835980345798292</v>
      </c>
      <c r="U1251">
        <v>525</v>
      </c>
      <c r="V1251">
        <v>178</v>
      </c>
      <c r="W1251">
        <v>871</v>
      </c>
      <c r="X1251">
        <v>476</v>
      </c>
      <c r="Y1251">
        <v>52.4</v>
      </c>
      <c r="Z1251">
        <v>45</v>
      </c>
      <c r="AA1251">
        <v>59.8</v>
      </c>
    </row>
    <row r="1252" spans="1:27" x14ac:dyDescent="0.25">
      <c r="A1252" t="s">
        <v>236</v>
      </c>
      <c r="B1252" t="s">
        <v>204</v>
      </c>
      <c r="C1252" s="76">
        <v>43974</v>
      </c>
      <c r="D1252">
        <v>4102</v>
      </c>
      <c r="E1252">
        <v>2240</v>
      </c>
      <c r="F1252">
        <v>5965</v>
      </c>
      <c r="G1252">
        <v>4315</v>
      </c>
      <c r="H1252">
        <v>48.7</v>
      </c>
      <c r="I1252">
        <v>43.6</v>
      </c>
      <c r="J1252">
        <v>53.9</v>
      </c>
      <c r="K1252">
        <v>496</v>
      </c>
      <c r="L1252">
        <v>208</v>
      </c>
      <c r="M1252">
        <v>783</v>
      </c>
      <c r="N1252">
        <v>5.9</v>
      </c>
      <c r="O1252">
        <v>3.9</v>
      </c>
      <c r="P1252">
        <v>7.9</v>
      </c>
      <c r="Q1252">
        <f t="shared" si="36"/>
        <v>3167974</v>
      </c>
      <c r="R1252">
        <f t="shared" si="37"/>
        <v>15.656694152161604</v>
      </c>
      <c r="U1252">
        <v>517</v>
      </c>
      <c r="V1252">
        <v>171</v>
      </c>
      <c r="W1252">
        <v>862</v>
      </c>
      <c r="X1252">
        <v>531</v>
      </c>
      <c r="Y1252">
        <v>49.2</v>
      </c>
      <c r="Z1252">
        <v>40.5</v>
      </c>
      <c r="AA1252">
        <v>58</v>
      </c>
    </row>
    <row r="1253" spans="1:27" x14ac:dyDescent="0.25">
      <c r="A1253" t="s">
        <v>236</v>
      </c>
      <c r="B1253" t="s">
        <v>204</v>
      </c>
      <c r="C1253" s="76">
        <v>43975</v>
      </c>
      <c r="D1253">
        <v>3950</v>
      </c>
      <c r="E1253">
        <v>2132</v>
      </c>
      <c r="F1253">
        <v>5767</v>
      </c>
      <c r="G1253">
        <v>4469</v>
      </c>
      <c r="H1253">
        <v>46.9</v>
      </c>
      <c r="I1253">
        <v>41.9</v>
      </c>
      <c r="J1253">
        <v>51.9</v>
      </c>
      <c r="K1253">
        <v>470</v>
      </c>
      <c r="L1253">
        <v>188</v>
      </c>
      <c r="M1253">
        <v>752</v>
      </c>
      <c r="N1253">
        <v>5.6</v>
      </c>
      <c r="O1253">
        <v>3.6</v>
      </c>
      <c r="P1253">
        <v>7.5</v>
      </c>
      <c r="Q1253">
        <f t="shared" si="36"/>
        <v>3167974</v>
      </c>
      <c r="R1253">
        <f t="shared" si="37"/>
        <v>14.835980345798292</v>
      </c>
      <c r="U1253">
        <v>523</v>
      </c>
      <c r="V1253">
        <v>176</v>
      </c>
      <c r="W1253">
        <v>870</v>
      </c>
      <c r="X1253">
        <v>511</v>
      </c>
      <c r="Y1253">
        <v>50.5</v>
      </c>
      <c r="Z1253">
        <v>42</v>
      </c>
      <c r="AA1253">
        <v>59</v>
      </c>
    </row>
    <row r="1254" spans="1:27" x14ac:dyDescent="0.25">
      <c r="A1254" t="s">
        <v>236</v>
      </c>
      <c r="B1254" t="s">
        <v>204</v>
      </c>
      <c r="C1254" s="76">
        <v>43976</v>
      </c>
      <c r="D1254">
        <v>4019</v>
      </c>
      <c r="E1254">
        <v>2117</v>
      </c>
      <c r="F1254">
        <v>5921</v>
      </c>
      <c r="G1254">
        <v>4272</v>
      </c>
      <c r="H1254">
        <v>48.5</v>
      </c>
      <c r="I1254">
        <v>42.6</v>
      </c>
      <c r="J1254">
        <v>54.4</v>
      </c>
      <c r="K1254">
        <v>499</v>
      </c>
      <c r="L1254">
        <v>214</v>
      </c>
      <c r="M1254">
        <v>783</v>
      </c>
      <c r="N1254">
        <v>6</v>
      </c>
      <c r="O1254">
        <v>4</v>
      </c>
      <c r="P1254">
        <v>8</v>
      </c>
      <c r="Q1254">
        <f t="shared" si="36"/>
        <v>3167974</v>
      </c>
      <c r="R1254">
        <f t="shared" si="37"/>
        <v>15.751391899049676</v>
      </c>
      <c r="U1254">
        <v>520</v>
      </c>
      <c r="V1254">
        <v>167</v>
      </c>
      <c r="W1254">
        <v>872</v>
      </c>
      <c r="X1254">
        <v>515</v>
      </c>
      <c r="Y1254">
        <v>50.3</v>
      </c>
      <c r="Z1254">
        <v>40.799999999999997</v>
      </c>
      <c r="AA1254">
        <v>59.7</v>
      </c>
    </row>
    <row r="1255" spans="1:27" x14ac:dyDescent="0.25">
      <c r="A1255" t="s">
        <v>236</v>
      </c>
      <c r="B1255" t="s">
        <v>204</v>
      </c>
      <c r="C1255" s="76">
        <v>43977</v>
      </c>
      <c r="D1255">
        <v>4086</v>
      </c>
      <c r="E1255">
        <v>2221</v>
      </c>
      <c r="F1255">
        <v>5952</v>
      </c>
      <c r="G1255">
        <v>4248</v>
      </c>
      <c r="H1255">
        <v>49</v>
      </c>
      <c r="I1255">
        <v>44.2</v>
      </c>
      <c r="J1255">
        <v>53.8</v>
      </c>
      <c r="K1255">
        <v>494</v>
      </c>
      <c r="L1255">
        <v>211</v>
      </c>
      <c r="M1255">
        <v>777</v>
      </c>
      <c r="N1255">
        <v>5.9</v>
      </c>
      <c r="O1255">
        <v>4</v>
      </c>
      <c r="P1255">
        <v>7.8</v>
      </c>
      <c r="Q1255">
        <f t="shared" ref="Q1255:Q1318" si="38">VLOOKUP(B1255,$AE$4:$AF$55,2,FALSE)</f>
        <v>3167974</v>
      </c>
      <c r="R1255">
        <f t="shared" si="37"/>
        <v>15.593562320902887</v>
      </c>
      <c r="U1255">
        <v>483</v>
      </c>
      <c r="V1255">
        <v>153</v>
      </c>
      <c r="W1255">
        <v>812</v>
      </c>
      <c r="X1255">
        <v>498</v>
      </c>
      <c r="Y1255">
        <v>49.2</v>
      </c>
      <c r="Z1255">
        <v>41.6</v>
      </c>
      <c r="AA1255">
        <v>56.9</v>
      </c>
    </row>
    <row r="1256" spans="1:27" x14ac:dyDescent="0.25">
      <c r="A1256" t="s">
        <v>236</v>
      </c>
      <c r="B1256" t="s">
        <v>204</v>
      </c>
      <c r="C1256" s="76">
        <v>43978</v>
      </c>
      <c r="D1256">
        <v>4181</v>
      </c>
      <c r="E1256">
        <v>2287</v>
      </c>
      <c r="F1256">
        <v>6075</v>
      </c>
      <c r="G1256">
        <v>4136</v>
      </c>
      <c r="H1256">
        <v>50.3</v>
      </c>
      <c r="I1256">
        <v>45.5</v>
      </c>
      <c r="J1256">
        <v>55.1</v>
      </c>
      <c r="K1256">
        <v>498</v>
      </c>
      <c r="L1256">
        <v>218</v>
      </c>
      <c r="M1256">
        <v>778</v>
      </c>
      <c r="N1256">
        <v>6</v>
      </c>
      <c r="O1256">
        <v>4.2</v>
      </c>
      <c r="P1256">
        <v>7.8</v>
      </c>
      <c r="Q1256">
        <f t="shared" si="38"/>
        <v>3167974</v>
      </c>
      <c r="R1256">
        <f t="shared" si="37"/>
        <v>15.71982598342032</v>
      </c>
      <c r="U1256">
        <v>498</v>
      </c>
      <c r="V1256">
        <v>165</v>
      </c>
      <c r="W1256">
        <v>831</v>
      </c>
      <c r="X1256">
        <v>485</v>
      </c>
      <c r="Y1256">
        <v>50.6</v>
      </c>
      <c r="Z1256">
        <v>43.1</v>
      </c>
      <c r="AA1256">
        <v>58.1</v>
      </c>
    </row>
    <row r="1257" spans="1:27" x14ac:dyDescent="0.25">
      <c r="A1257" t="s">
        <v>236</v>
      </c>
      <c r="B1257" t="s">
        <v>204</v>
      </c>
      <c r="C1257" s="76">
        <v>43979</v>
      </c>
      <c r="D1257">
        <v>4316</v>
      </c>
      <c r="E1257">
        <v>2318</v>
      </c>
      <c r="F1257">
        <v>6313</v>
      </c>
      <c r="G1257">
        <v>3972</v>
      </c>
      <c r="H1257">
        <v>52.1</v>
      </c>
      <c r="I1257">
        <v>46.9</v>
      </c>
      <c r="J1257">
        <v>57.3</v>
      </c>
      <c r="K1257">
        <v>496</v>
      </c>
      <c r="L1257">
        <v>212</v>
      </c>
      <c r="M1257">
        <v>780</v>
      </c>
      <c r="N1257">
        <v>6</v>
      </c>
      <c r="O1257">
        <v>4.2</v>
      </c>
      <c r="P1257">
        <v>7.8</v>
      </c>
      <c r="Q1257">
        <f t="shared" si="38"/>
        <v>3167974</v>
      </c>
      <c r="R1257">
        <f t="shared" si="37"/>
        <v>15.656694152161604</v>
      </c>
      <c r="U1257">
        <v>539</v>
      </c>
      <c r="V1257">
        <v>189</v>
      </c>
      <c r="W1257">
        <v>889</v>
      </c>
      <c r="X1257">
        <v>447</v>
      </c>
      <c r="Y1257">
        <v>54.7</v>
      </c>
      <c r="Z1257">
        <v>47.9</v>
      </c>
      <c r="AA1257">
        <v>61.5</v>
      </c>
    </row>
    <row r="1258" spans="1:27" x14ac:dyDescent="0.25">
      <c r="A1258" t="s">
        <v>236</v>
      </c>
      <c r="B1258" t="s">
        <v>204</v>
      </c>
      <c r="C1258" s="76">
        <v>43980</v>
      </c>
      <c r="D1258">
        <v>4485</v>
      </c>
      <c r="E1258">
        <v>2462</v>
      </c>
      <c r="F1258">
        <v>6508</v>
      </c>
      <c r="G1258">
        <v>3966</v>
      </c>
      <c r="H1258">
        <v>53.1</v>
      </c>
      <c r="I1258">
        <v>47.6</v>
      </c>
      <c r="J1258">
        <v>58.5</v>
      </c>
      <c r="K1258">
        <v>460</v>
      </c>
      <c r="L1258">
        <v>210</v>
      </c>
      <c r="M1258">
        <v>709</v>
      </c>
      <c r="N1258">
        <v>5.4</v>
      </c>
      <c r="O1258">
        <v>3.9</v>
      </c>
      <c r="P1258">
        <v>7</v>
      </c>
      <c r="Q1258">
        <f t="shared" si="38"/>
        <v>3167974</v>
      </c>
      <c r="R1258">
        <f t="shared" si="37"/>
        <v>14.520321189504712</v>
      </c>
      <c r="U1258">
        <v>555</v>
      </c>
      <c r="V1258">
        <v>206</v>
      </c>
      <c r="W1258">
        <v>904</v>
      </c>
      <c r="X1258">
        <v>477</v>
      </c>
      <c r="Y1258">
        <v>53.8</v>
      </c>
      <c r="Z1258">
        <v>45.8</v>
      </c>
      <c r="AA1258">
        <v>61.7</v>
      </c>
    </row>
    <row r="1259" spans="1:27" x14ac:dyDescent="0.25">
      <c r="A1259" t="s">
        <v>236</v>
      </c>
      <c r="B1259" t="s">
        <v>204</v>
      </c>
      <c r="C1259" s="76">
        <v>43981</v>
      </c>
      <c r="D1259">
        <v>3999</v>
      </c>
      <c r="E1259">
        <v>2225</v>
      </c>
      <c r="F1259">
        <v>5772</v>
      </c>
      <c r="G1259">
        <v>4399</v>
      </c>
      <c r="H1259">
        <v>47.6</v>
      </c>
      <c r="I1259">
        <v>42.6</v>
      </c>
      <c r="J1259">
        <v>52.6</v>
      </c>
      <c r="K1259">
        <v>434</v>
      </c>
      <c r="L1259">
        <v>198</v>
      </c>
      <c r="M1259">
        <v>671</v>
      </c>
      <c r="N1259">
        <v>5.2</v>
      </c>
      <c r="O1259">
        <v>3.6</v>
      </c>
      <c r="P1259">
        <v>6.7</v>
      </c>
      <c r="Q1259">
        <f t="shared" si="38"/>
        <v>3167974</v>
      </c>
      <c r="R1259">
        <f t="shared" si="37"/>
        <v>13.699607383141403</v>
      </c>
      <c r="U1259">
        <v>525</v>
      </c>
      <c r="V1259">
        <v>177</v>
      </c>
      <c r="W1259">
        <v>874</v>
      </c>
      <c r="X1259">
        <v>490</v>
      </c>
      <c r="Y1259">
        <v>51.8</v>
      </c>
      <c r="Z1259">
        <v>42.5</v>
      </c>
      <c r="AA1259">
        <v>61</v>
      </c>
    </row>
    <row r="1260" spans="1:27" x14ac:dyDescent="0.25">
      <c r="A1260" t="s">
        <v>236</v>
      </c>
      <c r="B1260" t="s">
        <v>204</v>
      </c>
      <c r="C1260" s="76">
        <v>43982</v>
      </c>
      <c r="D1260">
        <v>3735</v>
      </c>
      <c r="E1260">
        <v>2018</v>
      </c>
      <c r="F1260">
        <v>5452</v>
      </c>
      <c r="G1260">
        <v>4546</v>
      </c>
      <c r="H1260">
        <v>45.1</v>
      </c>
      <c r="I1260">
        <v>40.200000000000003</v>
      </c>
      <c r="J1260">
        <v>50</v>
      </c>
      <c r="K1260">
        <v>418</v>
      </c>
      <c r="L1260">
        <v>172</v>
      </c>
      <c r="M1260">
        <v>663</v>
      </c>
      <c r="N1260">
        <v>5</v>
      </c>
      <c r="O1260">
        <v>3.3</v>
      </c>
      <c r="P1260">
        <v>6.8</v>
      </c>
      <c r="Q1260">
        <f t="shared" si="38"/>
        <v>3167974</v>
      </c>
      <c r="R1260">
        <f t="shared" si="37"/>
        <v>13.194552733071673</v>
      </c>
      <c r="U1260">
        <v>472</v>
      </c>
      <c r="V1260">
        <v>148</v>
      </c>
      <c r="W1260">
        <v>795</v>
      </c>
      <c r="X1260">
        <v>508</v>
      </c>
      <c r="Y1260">
        <v>48.2</v>
      </c>
      <c r="Z1260">
        <v>40.5</v>
      </c>
      <c r="AA1260">
        <v>55.9</v>
      </c>
    </row>
    <row r="1261" spans="1:27" x14ac:dyDescent="0.25">
      <c r="A1261" t="s">
        <v>236</v>
      </c>
      <c r="B1261" t="s">
        <v>204</v>
      </c>
      <c r="C1261" s="76">
        <v>43983</v>
      </c>
      <c r="D1261">
        <v>3948</v>
      </c>
      <c r="E1261">
        <v>2154</v>
      </c>
      <c r="F1261">
        <v>5743</v>
      </c>
      <c r="G1261">
        <v>4376</v>
      </c>
      <c r="H1261">
        <v>47.4</v>
      </c>
      <c r="I1261">
        <v>42.7</v>
      </c>
      <c r="J1261">
        <v>52.2</v>
      </c>
      <c r="K1261">
        <v>422</v>
      </c>
      <c r="L1261">
        <v>177</v>
      </c>
      <c r="M1261">
        <v>668</v>
      </c>
      <c r="N1261">
        <v>5.0999999999999996</v>
      </c>
      <c r="O1261">
        <v>3.3</v>
      </c>
      <c r="P1261">
        <v>6.9</v>
      </c>
      <c r="Q1261">
        <f t="shared" si="38"/>
        <v>3167974</v>
      </c>
      <c r="R1261">
        <f t="shared" si="37"/>
        <v>13.320816395589105</v>
      </c>
      <c r="U1261">
        <v>511</v>
      </c>
      <c r="V1261">
        <v>174</v>
      </c>
      <c r="W1261">
        <v>847</v>
      </c>
      <c r="X1261">
        <v>479</v>
      </c>
      <c r="Y1261">
        <v>51.6</v>
      </c>
      <c r="Z1261">
        <v>44</v>
      </c>
      <c r="AA1261">
        <v>59.2</v>
      </c>
    </row>
    <row r="1262" spans="1:27" x14ac:dyDescent="0.25">
      <c r="A1262" t="s">
        <v>236</v>
      </c>
      <c r="B1262" t="s">
        <v>204</v>
      </c>
      <c r="C1262" s="76">
        <v>43984</v>
      </c>
      <c r="D1262">
        <v>4085</v>
      </c>
      <c r="E1262">
        <v>2215</v>
      </c>
      <c r="F1262">
        <v>5955</v>
      </c>
      <c r="G1262">
        <v>4242</v>
      </c>
      <c r="H1262">
        <v>49.1</v>
      </c>
      <c r="I1262">
        <v>44.3</v>
      </c>
      <c r="J1262">
        <v>53.8</v>
      </c>
      <c r="K1262">
        <v>417</v>
      </c>
      <c r="L1262">
        <v>169</v>
      </c>
      <c r="M1262">
        <v>664</v>
      </c>
      <c r="N1262">
        <v>5</v>
      </c>
      <c r="O1262">
        <v>3.3</v>
      </c>
      <c r="P1262">
        <v>6.7</v>
      </c>
      <c r="Q1262">
        <f t="shared" si="38"/>
        <v>3167974</v>
      </c>
      <c r="R1262">
        <f t="shared" si="37"/>
        <v>13.162986817442313</v>
      </c>
      <c r="U1262">
        <v>526</v>
      </c>
      <c r="V1262">
        <v>183</v>
      </c>
      <c r="W1262">
        <v>870</v>
      </c>
      <c r="X1262">
        <v>468</v>
      </c>
      <c r="Y1262">
        <v>52.9</v>
      </c>
      <c r="Z1262">
        <v>45.8</v>
      </c>
      <c r="AA1262">
        <v>60.1</v>
      </c>
    </row>
    <row r="1263" spans="1:27" x14ac:dyDescent="0.25">
      <c r="A1263" t="s">
        <v>236</v>
      </c>
      <c r="B1263" t="s">
        <v>204</v>
      </c>
      <c r="C1263" s="76">
        <v>43985</v>
      </c>
      <c r="D1263">
        <v>4565</v>
      </c>
      <c r="E1263">
        <v>2194</v>
      </c>
      <c r="F1263">
        <v>6936</v>
      </c>
      <c r="G1263">
        <v>4073</v>
      </c>
      <c r="H1263">
        <v>52.8</v>
      </c>
      <c r="I1263">
        <v>47.4</v>
      </c>
      <c r="J1263">
        <v>58.3</v>
      </c>
      <c r="K1263">
        <v>446</v>
      </c>
      <c r="L1263">
        <v>163</v>
      </c>
      <c r="M1263">
        <v>728</v>
      </c>
      <c r="N1263">
        <v>5.2</v>
      </c>
      <c r="O1263">
        <v>3.5</v>
      </c>
      <c r="P1263">
        <v>6.9</v>
      </c>
      <c r="Q1263">
        <f t="shared" si="38"/>
        <v>3167974</v>
      </c>
      <c r="R1263">
        <f t="shared" si="37"/>
        <v>14.0783983706937</v>
      </c>
      <c r="U1263">
        <v>592</v>
      </c>
      <c r="V1263">
        <v>160</v>
      </c>
      <c r="W1263">
        <v>1024</v>
      </c>
      <c r="X1263">
        <v>471</v>
      </c>
      <c r="Y1263">
        <v>55.7</v>
      </c>
      <c r="Z1263">
        <v>49</v>
      </c>
      <c r="AA1263">
        <v>62.4</v>
      </c>
    </row>
    <row r="1264" spans="1:27" x14ac:dyDescent="0.25">
      <c r="A1264" t="s">
        <v>236</v>
      </c>
      <c r="B1264" t="s">
        <v>204</v>
      </c>
      <c r="C1264" s="76">
        <v>43986</v>
      </c>
      <c r="D1264">
        <v>4383</v>
      </c>
      <c r="E1264">
        <v>2080</v>
      </c>
      <c r="F1264">
        <v>6686</v>
      </c>
      <c r="G1264">
        <v>3575</v>
      </c>
      <c r="H1264">
        <v>55.1</v>
      </c>
      <c r="I1264">
        <v>49.5</v>
      </c>
      <c r="J1264">
        <v>60.7</v>
      </c>
      <c r="K1264">
        <v>375</v>
      </c>
      <c r="L1264">
        <v>110</v>
      </c>
      <c r="M1264">
        <v>639</v>
      </c>
      <c r="N1264">
        <v>4.7</v>
      </c>
      <c r="O1264">
        <v>2.7</v>
      </c>
      <c r="P1264">
        <v>6.7</v>
      </c>
      <c r="Q1264">
        <f t="shared" si="38"/>
        <v>3167974</v>
      </c>
      <c r="R1264">
        <f t="shared" si="37"/>
        <v>11.837218361009276</v>
      </c>
      <c r="U1264">
        <v>481</v>
      </c>
      <c r="V1264">
        <v>113</v>
      </c>
      <c r="W1264">
        <v>848</v>
      </c>
      <c r="X1264">
        <v>520</v>
      </c>
      <c r="Y1264">
        <v>48</v>
      </c>
      <c r="Z1264">
        <v>39.700000000000003</v>
      </c>
      <c r="AA1264">
        <v>56.3</v>
      </c>
    </row>
    <row r="1265" spans="1:27" x14ac:dyDescent="0.25">
      <c r="A1265" t="s">
        <v>236</v>
      </c>
      <c r="B1265" t="s">
        <v>204</v>
      </c>
      <c r="C1265" s="76">
        <v>43987</v>
      </c>
      <c r="D1265">
        <v>4176</v>
      </c>
      <c r="E1265">
        <v>2035</v>
      </c>
      <c r="F1265">
        <v>6318</v>
      </c>
      <c r="G1265">
        <v>3894</v>
      </c>
      <c r="H1265">
        <v>51.7</v>
      </c>
      <c r="I1265">
        <v>46.1</v>
      </c>
      <c r="J1265">
        <v>57.4</v>
      </c>
      <c r="K1265">
        <v>329</v>
      </c>
      <c r="L1265">
        <v>101</v>
      </c>
      <c r="M1265">
        <v>557</v>
      </c>
      <c r="N1265">
        <v>4.0999999999999996</v>
      </c>
      <c r="O1265">
        <v>2.5</v>
      </c>
      <c r="P1265">
        <v>5.7</v>
      </c>
      <c r="Q1265">
        <f t="shared" si="38"/>
        <v>3167974</v>
      </c>
      <c r="R1265">
        <f t="shared" si="37"/>
        <v>10.385186242058804</v>
      </c>
      <c r="U1265">
        <v>493</v>
      </c>
      <c r="V1265">
        <v>125</v>
      </c>
      <c r="W1265">
        <v>862</v>
      </c>
      <c r="X1265">
        <v>523</v>
      </c>
      <c r="Y1265">
        <v>48.5</v>
      </c>
      <c r="Z1265">
        <v>39.200000000000003</v>
      </c>
      <c r="AA1265">
        <v>57.8</v>
      </c>
    </row>
    <row r="1266" spans="1:27" x14ac:dyDescent="0.25">
      <c r="A1266" t="s">
        <v>236</v>
      </c>
      <c r="B1266" t="s">
        <v>204</v>
      </c>
      <c r="C1266" s="76">
        <v>43988</v>
      </c>
      <c r="D1266">
        <v>3904</v>
      </c>
      <c r="E1266">
        <v>1867</v>
      </c>
      <c r="F1266">
        <v>5941</v>
      </c>
      <c r="G1266">
        <v>4194</v>
      </c>
      <c r="H1266">
        <v>48.2</v>
      </c>
      <c r="I1266">
        <v>41.9</v>
      </c>
      <c r="J1266">
        <v>54.5</v>
      </c>
      <c r="K1266">
        <v>331</v>
      </c>
      <c r="L1266">
        <v>102</v>
      </c>
      <c r="M1266">
        <v>560</v>
      </c>
      <c r="N1266">
        <v>4.0999999999999996</v>
      </c>
      <c r="O1266">
        <v>2.4</v>
      </c>
      <c r="P1266">
        <v>5.8</v>
      </c>
      <c r="Q1266">
        <f t="shared" si="38"/>
        <v>3167974</v>
      </c>
      <c r="R1266">
        <f t="shared" si="37"/>
        <v>10.448318073317521</v>
      </c>
      <c r="U1266">
        <v>468</v>
      </c>
      <c r="V1266">
        <v>105</v>
      </c>
      <c r="W1266">
        <v>831</v>
      </c>
      <c r="X1266">
        <v>545</v>
      </c>
      <c r="Y1266">
        <v>46.2</v>
      </c>
      <c r="Z1266">
        <v>37.6</v>
      </c>
      <c r="AA1266">
        <v>54.8</v>
      </c>
    </row>
    <row r="1267" spans="1:27" x14ac:dyDescent="0.25">
      <c r="A1267" t="s">
        <v>236</v>
      </c>
      <c r="B1267" t="s">
        <v>204</v>
      </c>
      <c r="C1267" s="76">
        <v>43989</v>
      </c>
      <c r="D1267">
        <v>4010</v>
      </c>
      <c r="E1267">
        <v>2171</v>
      </c>
      <c r="F1267">
        <v>5849</v>
      </c>
      <c r="G1267">
        <v>4389</v>
      </c>
      <c r="H1267">
        <v>47.7</v>
      </c>
      <c r="I1267">
        <v>40.799999999999997</v>
      </c>
      <c r="J1267">
        <v>54.7</v>
      </c>
      <c r="K1267">
        <v>402</v>
      </c>
      <c r="L1267">
        <v>185</v>
      </c>
      <c r="M1267">
        <v>620</v>
      </c>
      <c r="N1267">
        <v>4.8</v>
      </c>
      <c r="O1267">
        <v>3.2</v>
      </c>
      <c r="P1267">
        <v>6.3</v>
      </c>
      <c r="Q1267">
        <f t="shared" si="38"/>
        <v>3167974</v>
      </c>
      <c r="R1267">
        <f t="shared" si="37"/>
        <v>12.689498083001942</v>
      </c>
      <c r="U1267">
        <v>524</v>
      </c>
      <c r="V1267">
        <v>177</v>
      </c>
      <c r="W1267">
        <v>872</v>
      </c>
      <c r="X1267">
        <v>484</v>
      </c>
      <c r="Y1267">
        <v>52</v>
      </c>
      <c r="Z1267">
        <v>40.200000000000003</v>
      </c>
      <c r="AA1267">
        <v>63.9</v>
      </c>
    </row>
    <row r="1268" spans="1:27" x14ac:dyDescent="0.25">
      <c r="A1268" t="s">
        <v>236</v>
      </c>
      <c r="B1268" t="s">
        <v>204</v>
      </c>
      <c r="C1268" s="76">
        <v>43990</v>
      </c>
      <c r="D1268">
        <v>4061</v>
      </c>
      <c r="E1268">
        <v>2219</v>
      </c>
      <c r="F1268">
        <v>5902</v>
      </c>
      <c r="G1268">
        <v>4320</v>
      </c>
      <c r="H1268">
        <v>48.5</v>
      </c>
      <c r="I1268">
        <v>43.2</v>
      </c>
      <c r="J1268">
        <v>53.7</v>
      </c>
      <c r="K1268">
        <v>341</v>
      </c>
      <c r="L1268">
        <v>155</v>
      </c>
      <c r="M1268">
        <v>527</v>
      </c>
      <c r="N1268">
        <v>4.0999999999999996</v>
      </c>
      <c r="O1268">
        <v>2.8</v>
      </c>
      <c r="P1268">
        <v>5.3</v>
      </c>
      <c r="Q1268">
        <f t="shared" si="38"/>
        <v>3167974</v>
      </c>
      <c r="R1268">
        <f t="shared" si="37"/>
        <v>10.763977229611102</v>
      </c>
      <c r="U1268">
        <v>550</v>
      </c>
      <c r="V1268">
        <v>196</v>
      </c>
      <c r="W1268">
        <v>903</v>
      </c>
      <c r="X1268">
        <v>467</v>
      </c>
      <c r="Y1268">
        <v>54.1</v>
      </c>
      <c r="Z1268">
        <v>45.7</v>
      </c>
      <c r="AA1268">
        <v>62.4</v>
      </c>
    </row>
    <row r="1269" spans="1:27" x14ac:dyDescent="0.25">
      <c r="A1269" t="s">
        <v>236</v>
      </c>
      <c r="B1269" t="s">
        <v>204</v>
      </c>
      <c r="C1269" s="76">
        <v>43991</v>
      </c>
      <c r="D1269">
        <v>4228</v>
      </c>
      <c r="E1269">
        <v>2328</v>
      </c>
      <c r="F1269">
        <v>6127</v>
      </c>
      <c r="G1269">
        <v>4203</v>
      </c>
      <c r="H1269">
        <v>50.1</v>
      </c>
      <c r="I1269">
        <v>44.8</v>
      </c>
      <c r="J1269">
        <v>55.5</v>
      </c>
      <c r="K1269">
        <v>323</v>
      </c>
      <c r="L1269">
        <v>141</v>
      </c>
      <c r="M1269">
        <v>504</v>
      </c>
      <c r="N1269">
        <v>3.8</v>
      </c>
      <c r="O1269">
        <v>2.6</v>
      </c>
      <c r="P1269">
        <v>5.0999999999999996</v>
      </c>
      <c r="Q1269">
        <f t="shared" si="38"/>
        <v>3167974</v>
      </c>
      <c r="R1269">
        <f t="shared" si="37"/>
        <v>10.195790748282656</v>
      </c>
      <c r="U1269">
        <v>546</v>
      </c>
      <c r="V1269">
        <v>182</v>
      </c>
      <c r="W1269">
        <v>910</v>
      </c>
      <c r="X1269">
        <v>464</v>
      </c>
      <c r="Y1269">
        <v>54</v>
      </c>
      <c r="Z1269">
        <v>42.5</v>
      </c>
      <c r="AA1269">
        <v>65.599999999999994</v>
      </c>
    </row>
    <row r="1270" spans="1:27" x14ac:dyDescent="0.25">
      <c r="A1270" t="s">
        <v>236</v>
      </c>
      <c r="B1270" t="s">
        <v>204</v>
      </c>
      <c r="C1270" s="76">
        <v>43992</v>
      </c>
      <c r="D1270">
        <v>4342</v>
      </c>
      <c r="E1270">
        <v>1974</v>
      </c>
      <c r="F1270">
        <v>6710</v>
      </c>
      <c r="G1270">
        <v>4042</v>
      </c>
      <c r="H1270">
        <v>51.8</v>
      </c>
      <c r="I1270">
        <v>45.8</v>
      </c>
      <c r="J1270">
        <v>57.8</v>
      </c>
      <c r="K1270">
        <v>327</v>
      </c>
      <c r="L1270">
        <v>130</v>
      </c>
      <c r="M1270">
        <v>524</v>
      </c>
      <c r="N1270">
        <v>3.9</v>
      </c>
      <c r="O1270">
        <v>2.7</v>
      </c>
      <c r="P1270">
        <v>5.0999999999999996</v>
      </c>
      <c r="Q1270">
        <f t="shared" si="38"/>
        <v>3167974</v>
      </c>
      <c r="R1270">
        <f t="shared" si="37"/>
        <v>10.322054410800089</v>
      </c>
      <c r="U1270">
        <v>620</v>
      </c>
      <c r="V1270">
        <v>166</v>
      </c>
      <c r="W1270">
        <v>1074</v>
      </c>
      <c r="X1270">
        <v>446</v>
      </c>
      <c r="Y1270">
        <v>58.2</v>
      </c>
      <c r="Z1270">
        <v>51.1</v>
      </c>
      <c r="AA1270">
        <v>65.3</v>
      </c>
    </row>
    <row r="1271" spans="1:27" x14ac:dyDescent="0.25">
      <c r="A1271" t="s">
        <v>236</v>
      </c>
      <c r="B1271" t="s">
        <v>204</v>
      </c>
      <c r="C1271" s="76">
        <v>43993</v>
      </c>
      <c r="D1271">
        <v>4435</v>
      </c>
      <c r="E1271">
        <v>2420</v>
      </c>
      <c r="F1271">
        <v>6451</v>
      </c>
      <c r="G1271">
        <v>4110</v>
      </c>
      <c r="H1271">
        <v>51.9</v>
      </c>
      <c r="I1271">
        <v>46.5</v>
      </c>
      <c r="J1271">
        <v>57.3</v>
      </c>
      <c r="K1271">
        <v>285</v>
      </c>
      <c r="L1271">
        <v>119</v>
      </c>
      <c r="M1271">
        <v>452</v>
      </c>
      <c r="N1271">
        <v>3.3</v>
      </c>
      <c r="O1271">
        <v>2.2000000000000002</v>
      </c>
      <c r="P1271">
        <v>4.5</v>
      </c>
      <c r="Q1271">
        <f t="shared" si="38"/>
        <v>3167974</v>
      </c>
      <c r="R1271">
        <f t="shared" si="37"/>
        <v>8.9962859543670497</v>
      </c>
      <c r="U1271">
        <v>550</v>
      </c>
      <c r="V1271">
        <v>201</v>
      </c>
      <c r="W1271">
        <v>899</v>
      </c>
      <c r="X1271">
        <v>469</v>
      </c>
      <c r="Y1271">
        <v>53.9</v>
      </c>
      <c r="Z1271">
        <v>46.9</v>
      </c>
      <c r="AA1271">
        <v>60.9</v>
      </c>
    </row>
    <row r="1272" spans="1:27" x14ac:dyDescent="0.25">
      <c r="A1272" t="s">
        <v>236</v>
      </c>
      <c r="B1272" t="s">
        <v>204</v>
      </c>
      <c r="C1272" s="76">
        <v>43994</v>
      </c>
      <c r="D1272">
        <v>4278</v>
      </c>
      <c r="E1272">
        <v>2368</v>
      </c>
      <c r="F1272">
        <v>6188</v>
      </c>
      <c r="G1272">
        <v>4120</v>
      </c>
      <c r="H1272">
        <v>50.9</v>
      </c>
      <c r="I1272">
        <v>46</v>
      </c>
      <c r="J1272">
        <v>55.8</v>
      </c>
      <c r="K1272">
        <v>275</v>
      </c>
      <c r="L1272">
        <v>129</v>
      </c>
      <c r="M1272">
        <v>422</v>
      </c>
      <c r="N1272">
        <v>3.3</v>
      </c>
      <c r="O1272">
        <v>2.2999999999999998</v>
      </c>
      <c r="P1272">
        <v>4.3</v>
      </c>
      <c r="Q1272">
        <f t="shared" si="38"/>
        <v>3167974</v>
      </c>
      <c r="R1272">
        <f t="shared" si="37"/>
        <v>8.6806267980734688</v>
      </c>
      <c r="U1272">
        <v>537</v>
      </c>
      <c r="V1272">
        <v>200</v>
      </c>
      <c r="W1272">
        <v>873</v>
      </c>
      <c r="X1272">
        <v>468</v>
      </c>
      <c r="Y1272">
        <v>53.4</v>
      </c>
      <c r="Z1272">
        <v>46.1</v>
      </c>
      <c r="AA1272">
        <v>60.7</v>
      </c>
    </row>
    <row r="1273" spans="1:27" x14ac:dyDescent="0.25">
      <c r="A1273" t="s">
        <v>236</v>
      </c>
      <c r="B1273" t="s">
        <v>204</v>
      </c>
      <c r="C1273" s="76">
        <v>43995</v>
      </c>
      <c r="D1273">
        <v>4354</v>
      </c>
      <c r="E1273">
        <v>2387</v>
      </c>
      <c r="F1273">
        <v>6320</v>
      </c>
      <c r="G1273">
        <v>4025</v>
      </c>
      <c r="H1273">
        <v>52</v>
      </c>
      <c r="I1273">
        <v>46.7</v>
      </c>
      <c r="J1273">
        <v>57.2</v>
      </c>
      <c r="K1273">
        <v>284</v>
      </c>
      <c r="L1273">
        <v>134</v>
      </c>
      <c r="M1273">
        <v>435</v>
      </c>
      <c r="N1273">
        <v>3.4</v>
      </c>
      <c r="O1273">
        <v>2.2999999999999998</v>
      </c>
      <c r="P1273">
        <v>4.5</v>
      </c>
      <c r="Q1273">
        <f t="shared" si="38"/>
        <v>3167974</v>
      </c>
      <c r="R1273">
        <f t="shared" si="37"/>
        <v>8.964720038737692</v>
      </c>
      <c r="U1273">
        <v>527</v>
      </c>
      <c r="V1273">
        <v>184</v>
      </c>
      <c r="W1273">
        <v>870</v>
      </c>
      <c r="X1273">
        <v>468</v>
      </c>
      <c r="Y1273">
        <v>53</v>
      </c>
      <c r="Z1273">
        <v>45.9</v>
      </c>
      <c r="AA1273">
        <v>60</v>
      </c>
    </row>
    <row r="1274" spans="1:27" x14ac:dyDescent="0.25">
      <c r="A1274" t="s">
        <v>236</v>
      </c>
      <c r="B1274" t="s">
        <v>204</v>
      </c>
      <c r="C1274" s="76">
        <v>43996</v>
      </c>
      <c r="D1274">
        <v>4069</v>
      </c>
      <c r="E1274">
        <v>2218</v>
      </c>
      <c r="F1274">
        <v>5920</v>
      </c>
      <c r="G1274">
        <v>4296</v>
      </c>
      <c r="H1274">
        <v>48.6</v>
      </c>
      <c r="I1274">
        <v>43.5</v>
      </c>
      <c r="J1274">
        <v>53.8</v>
      </c>
      <c r="K1274">
        <v>265</v>
      </c>
      <c r="L1274">
        <v>122</v>
      </c>
      <c r="M1274">
        <v>408</v>
      </c>
      <c r="N1274">
        <v>3.2</v>
      </c>
      <c r="O1274">
        <v>2</v>
      </c>
      <c r="P1274">
        <v>4.3</v>
      </c>
      <c r="Q1274">
        <f t="shared" si="38"/>
        <v>3167974</v>
      </c>
      <c r="R1274">
        <f t="shared" si="37"/>
        <v>8.3649676417798879</v>
      </c>
      <c r="U1274">
        <v>489</v>
      </c>
      <c r="V1274">
        <v>153</v>
      </c>
      <c r="W1274">
        <v>824</v>
      </c>
      <c r="X1274">
        <v>506</v>
      </c>
      <c r="Y1274">
        <v>49.2</v>
      </c>
      <c r="Z1274">
        <v>40.799999999999997</v>
      </c>
      <c r="AA1274">
        <v>57.6</v>
      </c>
    </row>
    <row r="1275" spans="1:27" x14ac:dyDescent="0.25">
      <c r="A1275" t="s">
        <v>236</v>
      </c>
      <c r="B1275" t="s">
        <v>204</v>
      </c>
      <c r="C1275" s="76">
        <v>43997</v>
      </c>
      <c r="D1275">
        <v>4131</v>
      </c>
      <c r="E1275">
        <v>2299</v>
      </c>
      <c r="F1275">
        <v>5962</v>
      </c>
      <c r="G1275">
        <v>4213</v>
      </c>
      <c r="H1275">
        <v>49.5</v>
      </c>
      <c r="I1275">
        <v>44.9</v>
      </c>
      <c r="J1275">
        <v>54.1</v>
      </c>
      <c r="K1275">
        <v>240</v>
      </c>
      <c r="L1275">
        <v>104</v>
      </c>
      <c r="M1275">
        <v>376</v>
      </c>
      <c r="N1275">
        <v>2.9</v>
      </c>
      <c r="O1275">
        <v>1.8</v>
      </c>
      <c r="P1275">
        <v>4</v>
      </c>
      <c r="Q1275">
        <f t="shared" si="38"/>
        <v>3167974</v>
      </c>
      <c r="R1275">
        <f t="shared" si="37"/>
        <v>7.5758197510459366</v>
      </c>
      <c r="U1275">
        <v>484</v>
      </c>
      <c r="V1275">
        <v>168</v>
      </c>
      <c r="W1275">
        <v>800</v>
      </c>
      <c r="X1275">
        <v>512</v>
      </c>
      <c r="Y1275">
        <v>48.7</v>
      </c>
      <c r="Z1275">
        <v>41.5</v>
      </c>
      <c r="AA1275">
        <v>55.8</v>
      </c>
    </row>
    <row r="1276" spans="1:27" x14ac:dyDescent="0.25">
      <c r="A1276" t="s">
        <v>236</v>
      </c>
      <c r="B1276" t="s">
        <v>204</v>
      </c>
      <c r="C1276" s="76">
        <v>43998</v>
      </c>
      <c r="D1276">
        <v>4316</v>
      </c>
      <c r="E1276">
        <v>2373</v>
      </c>
      <c r="F1276">
        <v>6259</v>
      </c>
      <c r="G1276">
        <v>3907</v>
      </c>
      <c r="H1276">
        <v>52.5</v>
      </c>
      <c r="I1276">
        <v>48</v>
      </c>
      <c r="J1276">
        <v>57</v>
      </c>
      <c r="K1276">
        <v>264</v>
      </c>
      <c r="L1276">
        <v>102</v>
      </c>
      <c r="M1276">
        <v>427</v>
      </c>
      <c r="N1276">
        <v>3.2</v>
      </c>
      <c r="O1276">
        <v>1.8</v>
      </c>
      <c r="P1276">
        <v>4.5999999999999996</v>
      </c>
      <c r="Q1276">
        <f t="shared" si="38"/>
        <v>3167974</v>
      </c>
      <c r="R1276">
        <f t="shared" si="37"/>
        <v>8.3334017261505302</v>
      </c>
      <c r="U1276">
        <v>528</v>
      </c>
      <c r="V1276">
        <v>184</v>
      </c>
      <c r="W1276">
        <v>873</v>
      </c>
      <c r="X1276">
        <v>442</v>
      </c>
      <c r="Y1276">
        <v>54.5</v>
      </c>
      <c r="Z1276">
        <v>47.1</v>
      </c>
      <c r="AA1276">
        <v>61.8</v>
      </c>
    </row>
    <row r="1277" spans="1:27" x14ac:dyDescent="0.25">
      <c r="A1277" t="s">
        <v>236</v>
      </c>
      <c r="B1277" t="s">
        <v>204</v>
      </c>
      <c r="C1277" s="76">
        <v>43999</v>
      </c>
      <c r="D1277">
        <v>4580</v>
      </c>
      <c r="E1277">
        <v>2204</v>
      </c>
      <c r="F1277">
        <v>6957</v>
      </c>
      <c r="G1277">
        <v>4114</v>
      </c>
      <c r="H1277">
        <v>52.7</v>
      </c>
      <c r="I1277">
        <v>47.5</v>
      </c>
      <c r="J1277">
        <v>57.9</v>
      </c>
      <c r="K1277">
        <v>257</v>
      </c>
      <c r="L1277">
        <v>96</v>
      </c>
      <c r="M1277">
        <v>418</v>
      </c>
      <c r="N1277">
        <v>3</v>
      </c>
      <c r="O1277">
        <v>1.9</v>
      </c>
      <c r="P1277">
        <v>4</v>
      </c>
      <c r="Q1277">
        <f t="shared" si="38"/>
        <v>3167974</v>
      </c>
      <c r="R1277">
        <f t="shared" si="37"/>
        <v>8.1124403167450243</v>
      </c>
      <c r="U1277">
        <v>569</v>
      </c>
      <c r="V1277">
        <v>127</v>
      </c>
      <c r="W1277">
        <v>1012</v>
      </c>
      <c r="X1277">
        <v>484</v>
      </c>
      <c r="Y1277">
        <v>54.1</v>
      </c>
      <c r="Z1277">
        <v>44.4</v>
      </c>
      <c r="AA1277">
        <v>63.7</v>
      </c>
    </row>
    <row r="1278" spans="1:27" x14ac:dyDescent="0.25">
      <c r="A1278" t="s">
        <v>236</v>
      </c>
      <c r="B1278" t="s">
        <v>204</v>
      </c>
      <c r="C1278" s="76">
        <v>44000</v>
      </c>
      <c r="D1278">
        <v>4391</v>
      </c>
      <c r="E1278">
        <v>2466</v>
      </c>
      <c r="F1278">
        <v>6316</v>
      </c>
      <c r="G1278">
        <v>4044</v>
      </c>
      <c r="H1278">
        <v>52.1</v>
      </c>
      <c r="I1278">
        <v>47.6</v>
      </c>
      <c r="J1278">
        <v>56.5</v>
      </c>
      <c r="K1278">
        <v>278</v>
      </c>
      <c r="L1278">
        <v>140</v>
      </c>
      <c r="M1278">
        <v>416</v>
      </c>
      <c r="N1278">
        <v>3.3</v>
      </c>
      <c r="O1278">
        <v>2.4</v>
      </c>
      <c r="P1278">
        <v>4.2</v>
      </c>
      <c r="Q1278">
        <f t="shared" si="38"/>
        <v>3167974</v>
      </c>
      <c r="R1278">
        <f t="shared" si="37"/>
        <v>8.7753245449615438</v>
      </c>
      <c r="U1278">
        <v>543</v>
      </c>
      <c r="V1278">
        <v>205</v>
      </c>
      <c r="W1278">
        <v>881</v>
      </c>
      <c r="X1278">
        <v>456</v>
      </c>
      <c r="Y1278">
        <v>54.4</v>
      </c>
      <c r="Z1278">
        <v>48.2</v>
      </c>
      <c r="AA1278">
        <v>60.5</v>
      </c>
    </row>
    <row r="1279" spans="1:27" x14ac:dyDescent="0.25">
      <c r="A1279" t="s">
        <v>236</v>
      </c>
      <c r="B1279" t="s">
        <v>204</v>
      </c>
      <c r="C1279" s="76">
        <v>44001</v>
      </c>
      <c r="D1279">
        <v>4219</v>
      </c>
      <c r="E1279">
        <v>2362</v>
      </c>
      <c r="F1279">
        <v>6077</v>
      </c>
      <c r="G1279">
        <v>4225</v>
      </c>
      <c r="H1279">
        <v>50</v>
      </c>
      <c r="I1279">
        <v>45.5</v>
      </c>
      <c r="J1279">
        <v>54.4</v>
      </c>
      <c r="K1279">
        <v>258</v>
      </c>
      <c r="L1279">
        <v>132</v>
      </c>
      <c r="M1279">
        <v>384</v>
      </c>
      <c r="N1279">
        <v>3.1</v>
      </c>
      <c r="O1279">
        <v>2.2000000000000002</v>
      </c>
      <c r="P1279">
        <v>3.9</v>
      </c>
      <c r="Q1279">
        <f t="shared" si="38"/>
        <v>3167974</v>
      </c>
      <c r="R1279">
        <f t="shared" si="37"/>
        <v>8.144006232374382</v>
      </c>
      <c r="U1279">
        <v>520</v>
      </c>
      <c r="V1279">
        <v>198</v>
      </c>
      <c r="W1279">
        <v>842</v>
      </c>
      <c r="X1279">
        <v>494</v>
      </c>
      <c r="Y1279">
        <v>51.3</v>
      </c>
      <c r="Z1279">
        <v>45</v>
      </c>
      <c r="AA1279">
        <v>57.6</v>
      </c>
    </row>
    <row r="1280" spans="1:27" x14ac:dyDescent="0.25">
      <c r="A1280" t="s">
        <v>236</v>
      </c>
      <c r="B1280" t="s">
        <v>204</v>
      </c>
      <c r="C1280" s="76">
        <v>44002</v>
      </c>
      <c r="D1280">
        <v>4240</v>
      </c>
      <c r="E1280">
        <v>2370</v>
      </c>
      <c r="F1280">
        <v>6110</v>
      </c>
      <c r="G1280">
        <v>4226</v>
      </c>
      <c r="H1280">
        <v>50.1</v>
      </c>
      <c r="I1280">
        <v>45.2</v>
      </c>
      <c r="J1280">
        <v>54.9</v>
      </c>
      <c r="K1280">
        <v>223</v>
      </c>
      <c r="L1280">
        <v>111</v>
      </c>
      <c r="M1280">
        <v>335</v>
      </c>
      <c r="N1280">
        <v>2.6</v>
      </c>
      <c r="O1280">
        <v>1.9</v>
      </c>
      <c r="P1280">
        <v>3.4</v>
      </c>
      <c r="Q1280">
        <f t="shared" si="38"/>
        <v>3167974</v>
      </c>
      <c r="R1280">
        <f t="shared" si="37"/>
        <v>7.0391991853468499</v>
      </c>
      <c r="U1280">
        <v>533</v>
      </c>
      <c r="V1280">
        <v>210</v>
      </c>
      <c r="W1280">
        <v>855</v>
      </c>
      <c r="X1280">
        <v>485</v>
      </c>
      <c r="Y1280">
        <v>52.3</v>
      </c>
      <c r="Z1280">
        <v>46.1</v>
      </c>
      <c r="AA1280">
        <v>58.6</v>
      </c>
    </row>
    <row r="1281" spans="1:27" x14ac:dyDescent="0.25">
      <c r="A1281" t="s">
        <v>236</v>
      </c>
      <c r="B1281" t="s">
        <v>204</v>
      </c>
      <c r="C1281" s="76">
        <v>44003</v>
      </c>
      <c r="D1281">
        <v>4052</v>
      </c>
      <c r="E1281">
        <v>2224</v>
      </c>
      <c r="F1281">
        <v>5880</v>
      </c>
      <c r="G1281">
        <v>4474</v>
      </c>
      <c r="H1281">
        <v>47.5</v>
      </c>
      <c r="I1281">
        <v>42.2</v>
      </c>
      <c r="J1281">
        <v>52.8</v>
      </c>
      <c r="K1281">
        <v>224</v>
      </c>
      <c r="L1281">
        <v>108</v>
      </c>
      <c r="M1281">
        <v>341</v>
      </c>
      <c r="N1281">
        <v>2.6</v>
      </c>
      <c r="O1281">
        <v>1.8</v>
      </c>
      <c r="P1281">
        <v>3.5</v>
      </c>
      <c r="Q1281">
        <f t="shared" si="38"/>
        <v>3167974</v>
      </c>
      <c r="R1281">
        <f t="shared" si="37"/>
        <v>7.0707651009762076</v>
      </c>
      <c r="U1281">
        <v>513</v>
      </c>
      <c r="V1281">
        <v>185</v>
      </c>
      <c r="W1281">
        <v>841</v>
      </c>
      <c r="X1281">
        <v>510</v>
      </c>
      <c r="Y1281">
        <v>50.1</v>
      </c>
      <c r="Z1281">
        <v>38.700000000000003</v>
      </c>
      <c r="AA1281">
        <v>61.6</v>
      </c>
    </row>
    <row r="1282" spans="1:27" x14ac:dyDescent="0.25">
      <c r="A1282" t="s">
        <v>236</v>
      </c>
      <c r="B1282" t="s">
        <v>204</v>
      </c>
      <c r="C1282" s="76">
        <v>44004</v>
      </c>
      <c r="D1282">
        <v>4067</v>
      </c>
      <c r="E1282">
        <v>2230</v>
      </c>
      <c r="F1282">
        <v>5904</v>
      </c>
      <c r="G1282">
        <v>4424</v>
      </c>
      <c r="H1282">
        <v>47.9</v>
      </c>
      <c r="I1282">
        <v>42.9</v>
      </c>
      <c r="J1282">
        <v>52.9</v>
      </c>
      <c r="K1282">
        <v>185</v>
      </c>
      <c r="L1282">
        <v>85</v>
      </c>
      <c r="M1282">
        <v>286</v>
      </c>
      <c r="N1282">
        <v>2.2000000000000002</v>
      </c>
      <c r="O1282">
        <v>1.5</v>
      </c>
      <c r="P1282">
        <v>2.9</v>
      </c>
      <c r="Q1282">
        <f t="shared" si="38"/>
        <v>3167974</v>
      </c>
      <c r="R1282">
        <f t="shared" si="37"/>
        <v>5.8396943914312427</v>
      </c>
      <c r="U1282">
        <v>499</v>
      </c>
      <c r="V1282">
        <v>185</v>
      </c>
      <c r="W1282">
        <v>814</v>
      </c>
      <c r="X1282">
        <v>517</v>
      </c>
      <c r="Y1282">
        <v>49.1</v>
      </c>
      <c r="Z1282">
        <v>42.3</v>
      </c>
      <c r="AA1282">
        <v>56</v>
      </c>
    </row>
    <row r="1283" spans="1:27" x14ac:dyDescent="0.25">
      <c r="A1283" t="s">
        <v>236</v>
      </c>
      <c r="B1283" t="s">
        <v>204</v>
      </c>
      <c r="C1283" s="76">
        <v>44005</v>
      </c>
      <c r="D1283">
        <v>4388</v>
      </c>
      <c r="E1283">
        <v>2403</v>
      </c>
      <c r="F1283">
        <v>6374</v>
      </c>
      <c r="G1283">
        <v>4146</v>
      </c>
      <c r="H1283">
        <v>51.4</v>
      </c>
      <c r="I1283">
        <v>46</v>
      </c>
      <c r="J1283">
        <v>56.8</v>
      </c>
      <c r="K1283">
        <v>201</v>
      </c>
      <c r="L1283">
        <v>92</v>
      </c>
      <c r="M1283">
        <v>309</v>
      </c>
      <c r="N1283">
        <v>2.4</v>
      </c>
      <c r="O1283">
        <v>1.6</v>
      </c>
      <c r="P1283">
        <v>3.1</v>
      </c>
      <c r="Q1283">
        <f t="shared" si="38"/>
        <v>3167974</v>
      </c>
      <c r="R1283">
        <f t="shared" si="37"/>
        <v>6.3447490415009709</v>
      </c>
      <c r="U1283">
        <v>525</v>
      </c>
      <c r="V1283">
        <v>193</v>
      </c>
      <c r="W1283">
        <v>856</v>
      </c>
      <c r="X1283">
        <v>487</v>
      </c>
      <c r="Y1283">
        <v>51.8</v>
      </c>
      <c r="Z1283">
        <v>43.1</v>
      </c>
      <c r="AA1283">
        <v>60.6</v>
      </c>
    </row>
    <row r="1284" spans="1:27" x14ac:dyDescent="0.25">
      <c r="A1284" t="s">
        <v>236</v>
      </c>
      <c r="B1284" t="s">
        <v>204</v>
      </c>
      <c r="C1284" s="76">
        <v>44006</v>
      </c>
      <c r="D1284">
        <v>4377</v>
      </c>
      <c r="E1284">
        <v>2070</v>
      </c>
      <c r="F1284">
        <v>6684</v>
      </c>
      <c r="G1284">
        <v>4295</v>
      </c>
      <c r="H1284">
        <v>50.5</v>
      </c>
      <c r="I1284">
        <v>45</v>
      </c>
      <c r="J1284">
        <v>55.9</v>
      </c>
      <c r="K1284">
        <v>229</v>
      </c>
      <c r="L1284">
        <v>87</v>
      </c>
      <c r="M1284">
        <v>371</v>
      </c>
      <c r="N1284">
        <v>2.6</v>
      </c>
      <c r="O1284">
        <v>1.6</v>
      </c>
      <c r="P1284">
        <v>3.7</v>
      </c>
      <c r="Q1284">
        <f t="shared" si="38"/>
        <v>3167974</v>
      </c>
      <c r="R1284">
        <f t="shared" si="37"/>
        <v>7.2285946791229971</v>
      </c>
      <c r="U1284">
        <v>516</v>
      </c>
      <c r="V1284">
        <v>123</v>
      </c>
      <c r="W1284">
        <v>909</v>
      </c>
      <c r="X1284">
        <v>548</v>
      </c>
      <c r="Y1284">
        <v>48.5</v>
      </c>
      <c r="Z1284">
        <v>41.2</v>
      </c>
      <c r="AA1284">
        <v>55.8</v>
      </c>
    </row>
    <row r="1285" spans="1:27" x14ac:dyDescent="0.25">
      <c r="A1285" t="s">
        <v>236</v>
      </c>
      <c r="B1285" t="s">
        <v>204</v>
      </c>
      <c r="C1285" s="76">
        <v>44007</v>
      </c>
      <c r="D1285">
        <v>4227</v>
      </c>
      <c r="E1285">
        <v>2308</v>
      </c>
      <c r="F1285">
        <v>6147</v>
      </c>
      <c r="G1285">
        <v>4119</v>
      </c>
      <c r="H1285">
        <v>50.6</v>
      </c>
      <c r="I1285">
        <v>45.9</v>
      </c>
      <c r="J1285">
        <v>55.4</v>
      </c>
      <c r="K1285">
        <v>190</v>
      </c>
      <c r="L1285">
        <v>96</v>
      </c>
      <c r="M1285">
        <v>284</v>
      </c>
      <c r="N1285">
        <v>2.2999999999999998</v>
      </c>
      <c r="O1285">
        <v>1.6</v>
      </c>
      <c r="P1285">
        <v>2.9</v>
      </c>
      <c r="Q1285">
        <f t="shared" si="38"/>
        <v>3167974</v>
      </c>
      <c r="R1285">
        <f t="shared" ref="R1285:R1348" si="39">K1285/(Q1285)*100000</f>
        <v>5.9975239695780331</v>
      </c>
      <c r="U1285">
        <v>521</v>
      </c>
      <c r="V1285">
        <v>203</v>
      </c>
      <c r="W1285">
        <v>838</v>
      </c>
      <c r="X1285">
        <v>489</v>
      </c>
      <c r="Y1285">
        <v>51.5</v>
      </c>
      <c r="Z1285">
        <v>45.8</v>
      </c>
      <c r="AA1285">
        <v>57.2</v>
      </c>
    </row>
    <row r="1286" spans="1:27" x14ac:dyDescent="0.25">
      <c r="A1286" t="s">
        <v>236</v>
      </c>
      <c r="B1286" t="s">
        <v>204</v>
      </c>
      <c r="C1286" s="76">
        <v>44008</v>
      </c>
      <c r="D1286">
        <v>4426</v>
      </c>
      <c r="E1286">
        <v>2428</v>
      </c>
      <c r="F1286">
        <v>6424</v>
      </c>
      <c r="G1286">
        <v>4013</v>
      </c>
      <c r="H1286">
        <v>52.4</v>
      </c>
      <c r="I1286">
        <v>47.4</v>
      </c>
      <c r="J1286">
        <v>57.5</v>
      </c>
      <c r="K1286">
        <v>183</v>
      </c>
      <c r="L1286">
        <v>97</v>
      </c>
      <c r="M1286">
        <v>270</v>
      </c>
      <c r="N1286">
        <v>2.2000000000000002</v>
      </c>
      <c r="O1286">
        <v>1.6</v>
      </c>
      <c r="P1286">
        <v>2.8</v>
      </c>
      <c r="Q1286">
        <f t="shared" si="38"/>
        <v>3167974</v>
      </c>
      <c r="R1286">
        <f t="shared" si="39"/>
        <v>5.7765625601725272</v>
      </c>
      <c r="U1286">
        <v>495</v>
      </c>
      <c r="V1286">
        <v>175</v>
      </c>
      <c r="W1286">
        <v>815</v>
      </c>
      <c r="X1286">
        <v>499</v>
      </c>
      <c r="Y1286">
        <v>49.8</v>
      </c>
      <c r="Z1286">
        <v>42.7</v>
      </c>
      <c r="AA1286">
        <v>56.9</v>
      </c>
    </row>
    <row r="1287" spans="1:27" x14ac:dyDescent="0.25">
      <c r="A1287" t="s">
        <v>236</v>
      </c>
      <c r="B1287" t="s">
        <v>204</v>
      </c>
      <c r="C1287" s="76">
        <v>44009</v>
      </c>
      <c r="D1287">
        <v>4290</v>
      </c>
      <c r="E1287">
        <v>2387</v>
      </c>
      <c r="F1287">
        <v>6193</v>
      </c>
      <c r="G1287">
        <v>4117</v>
      </c>
      <c r="H1287">
        <v>51</v>
      </c>
      <c r="I1287">
        <v>46.3</v>
      </c>
      <c r="J1287">
        <v>55.7</v>
      </c>
      <c r="K1287">
        <v>147</v>
      </c>
      <c r="L1287">
        <v>75</v>
      </c>
      <c r="M1287">
        <v>220</v>
      </c>
      <c r="N1287">
        <v>1.8</v>
      </c>
      <c r="O1287">
        <v>1.2</v>
      </c>
      <c r="P1287">
        <v>2.2999999999999998</v>
      </c>
      <c r="Q1287">
        <f t="shared" si="38"/>
        <v>3167974</v>
      </c>
      <c r="R1287">
        <f t="shared" si="39"/>
        <v>4.6401895975156364</v>
      </c>
      <c r="U1287">
        <v>460</v>
      </c>
      <c r="V1287">
        <v>155</v>
      </c>
      <c r="W1287">
        <v>764</v>
      </c>
      <c r="X1287">
        <v>531</v>
      </c>
      <c r="Y1287">
        <v>46.4</v>
      </c>
      <c r="Z1287">
        <v>39.4</v>
      </c>
      <c r="AA1287">
        <v>53.3</v>
      </c>
    </row>
    <row r="1288" spans="1:27" x14ac:dyDescent="0.25">
      <c r="A1288" t="s">
        <v>236</v>
      </c>
      <c r="B1288" t="s">
        <v>204</v>
      </c>
      <c r="C1288" s="76">
        <v>44010</v>
      </c>
      <c r="D1288">
        <v>4116</v>
      </c>
      <c r="E1288">
        <v>2241</v>
      </c>
      <c r="F1288">
        <v>5991</v>
      </c>
      <c r="G1288">
        <v>4234</v>
      </c>
      <c r="H1288">
        <v>49.3</v>
      </c>
      <c r="I1288">
        <v>44.4</v>
      </c>
      <c r="J1288">
        <v>54.2</v>
      </c>
      <c r="K1288">
        <v>159</v>
      </c>
      <c r="L1288">
        <v>80</v>
      </c>
      <c r="M1288">
        <v>239</v>
      </c>
      <c r="N1288">
        <v>1.9</v>
      </c>
      <c r="O1288">
        <v>1.3</v>
      </c>
      <c r="P1288">
        <v>2.5</v>
      </c>
      <c r="Q1288">
        <f t="shared" si="38"/>
        <v>3167974</v>
      </c>
      <c r="R1288">
        <f t="shared" si="39"/>
        <v>5.0189805850679328</v>
      </c>
      <c r="U1288">
        <v>467</v>
      </c>
      <c r="V1288">
        <v>162</v>
      </c>
      <c r="W1288">
        <v>772</v>
      </c>
      <c r="X1288">
        <v>521</v>
      </c>
      <c r="Y1288">
        <v>47.2</v>
      </c>
      <c r="Z1288">
        <v>39.9</v>
      </c>
      <c r="AA1288">
        <v>54.5</v>
      </c>
    </row>
    <row r="1289" spans="1:27" x14ac:dyDescent="0.25">
      <c r="A1289" t="s">
        <v>236</v>
      </c>
      <c r="B1289" t="s">
        <v>204</v>
      </c>
      <c r="C1289" s="76">
        <v>44011</v>
      </c>
      <c r="D1289">
        <v>4177</v>
      </c>
      <c r="E1289">
        <v>2308</v>
      </c>
      <c r="F1289">
        <v>6045</v>
      </c>
      <c r="G1289">
        <v>4246</v>
      </c>
      <c r="H1289">
        <v>49.6</v>
      </c>
      <c r="I1289">
        <v>44.9</v>
      </c>
      <c r="J1289">
        <v>54.3</v>
      </c>
      <c r="K1289">
        <v>170</v>
      </c>
      <c r="L1289">
        <v>81</v>
      </c>
      <c r="M1289">
        <v>260</v>
      </c>
      <c r="N1289">
        <v>2</v>
      </c>
      <c r="O1289">
        <v>1.3</v>
      </c>
      <c r="P1289">
        <v>2.7</v>
      </c>
      <c r="Q1289">
        <f t="shared" si="38"/>
        <v>3167974</v>
      </c>
      <c r="R1289">
        <f t="shared" si="39"/>
        <v>5.3662056569908723</v>
      </c>
      <c r="U1289">
        <v>490</v>
      </c>
      <c r="V1289">
        <v>183</v>
      </c>
      <c r="W1289">
        <v>797</v>
      </c>
      <c r="X1289">
        <v>504</v>
      </c>
      <c r="Y1289">
        <v>49.2</v>
      </c>
      <c r="Z1289">
        <v>42.5</v>
      </c>
      <c r="AA1289">
        <v>55.9</v>
      </c>
    </row>
    <row r="1290" spans="1:27" x14ac:dyDescent="0.25">
      <c r="A1290" t="s">
        <v>236</v>
      </c>
      <c r="B1290" t="s">
        <v>204</v>
      </c>
      <c r="C1290" s="76">
        <v>44012</v>
      </c>
      <c r="D1290">
        <v>4323</v>
      </c>
      <c r="E1290">
        <v>2411</v>
      </c>
      <c r="F1290">
        <v>6234</v>
      </c>
      <c r="G1290">
        <v>4115</v>
      </c>
      <c r="H1290">
        <v>51.2</v>
      </c>
      <c r="I1290">
        <v>46.8</v>
      </c>
      <c r="J1290">
        <v>55.7</v>
      </c>
      <c r="K1290">
        <v>179</v>
      </c>
      <c r="L1290">
        <v>89</v>
      </c>
      <c r="M1290">
        <v>268</v>
      </c>
      <c r="N1290">
        <v>2.1</v>
      </c>
      <c r="O1290">
        <v>1.5</v>
      </c>
      <c r="P1290">
        <v>2.7</v>
      </c>
      <c r="Q1290">
        <f t="shared" si="38"/>
        <v>3167974</v>
      </c>
      <c r="R1290">
        <f t="shared" si="39"/>
        <v>5.6502988976550945</v>
      </c>
      <c r="U1290">
        <v>482</v>
      </c>
      <c r="V1290">
        <v>186</v>
      </c>
      <c r="W1290">
        <v>777</v>
      </c>
      <c r="X1290">
        <v>515</v>
      </c>
      <c r="Y1290">
        <v>48.4</v>
      </c>
      <c r="Z1290">
        <v>42.4</v>
      </c>
      <c r="AA1290">
        <v>54.3</v>
      </c>
    </row>
    <row r="1291" spans="1:27" x14ac:dyDescent="0.25">
      <c r="A1291" t="s">
        <v>236</v>
      </c>
      <c r="B1291" t="s">
        <v>204</v>
      </c>
      <c r="C1291" s="76">
        <v>44013</v>
      </c>
      <c r="D1291">
        <v>4427</v>
      </c>
      <c r="E1291">
        <v>2490</v>
      </c>
      <c r="F1291">
        <v>6364</v>
      </c>
      <c r="G1291">
        <v>4035</v>
      </c>
      <c r="H1291">
        <v>52.3</v>
      </c>
      <c r="I1291">
        <v>47.8</v>
      </c>
      <c r="J1291">
        <v>56.9</v>
      </c>
      <c r="K1291">
        <v>189</v>
      </c>
      <c r="L1291">
        <v>91</v>
      </c>
      <c r="M1291">
        <v>286</v>
      </c>
      <c r="N1291">
        <v>2.2000000000000002</v>
      </c>
      <c r="O1291">
        <v>1.6</v>
      </c>
      <c r="P1291">
        <v>2.9</v>
      </c>
      <c r="Q1291">
        <f t="shared" si="38"/>
        <v>3167974</v>
      </c>
      <c r="R1291">
        <f t="shared" si="39"/>
        <v>5.9659580539486745</v>
      </c>
      <c r="U1291">
        <v>501</v>
      </c>
      <c r="V1291">
        <v>197</v>
      </c>
      <c r="W1291">
        <v>805</v>
      </c>
      <c r="X1291">
        <v>532</v>
      </c>
      <c r="Y1291">
        <v>48.5</v>
      </c>
      <c r="Z1291">
        <v>41.4</v>
      </c>
      <c r="AA1291">
        <v>55.6</v>
      </c>
    </row>
    <row r="1292" spans="1:27" x14ac:dyDescent="0.25">
      <c r="A1292" t="s">
        <v>236</v>
      </c>
      <c r="B1292" t="s">
        <v>204</v>
      </c>
      <c r="C1292" s="76">
        <v>44014</v>
      </c>
      <c r="D1292">
        <v>4542</v>
      </c>
      <c r="E1292">
        <v>2543</v>
      </c>
      <c r="F1292">
        <v>6542</v>
      </c>
      <c r="G1292">
        <v>3836</v>
      </c>
      <c r="H1292">
        <v>54.2</v>
      </c>
      <c r="I1292">
        <v>49.2</v>
      </c>
      <c r="J1292">
        <v>59.2</v>
      </c>
      <c r="K1292">
        <v>196</v>
      </c>
      <c r="L1292">
        <v>88</v>
      </c>
      <c r="M1292">
        <v>303</v>
      </c>
      <c r="N1292">
        <v>2.2999999999999998</v>
      </c>
      <c r="O1292">
        <v>1.7</v>
      </c>
      <c r="P1292">
        <v>3</v>
      </c>
      <c r="Q1292">
        <f t="shared" si="38"/>
        <v>3167974</v>
      </c>
      <c r="R1292">
        <f t="shared" si="39"/>
        <v>6.1869194633541813</v>
      </c>
      <c r="U1292">
        <v>520</v>
      </c>
      <c r="V1292">
        <v>204</v>
      </c>
      <c r="W1292">
        <v>835</v>
      </c>
      <c r="X1292">
        <v>502</v>
      </c>
      <c r="Y1292">
        <v>50.9</v>
      </c>
      <c r="Z1292">
        <v>43.9</v>
      </c>
      <c r="AA1292">
        <v>57.8</v>
      </c>
    </row>
    <row r="1293" spans="1:27" x14ac:dyDescent="0.25">
      <c r="A1293" t="s">
        <v>236</v>
      </c>
      <c r="B1293" t="s">
        <v>204</v>
      </c>
      <c r="C1293" s="76">
        <v>44015</v>
      </c>
      <c r="D1293">
        <v>4231</v>
      </c>
      <c r="E1293">
        <v>2357</v>
      </c>
      <c r="F1293">
        <v>6105</v>
      </c>
      <c r="G1293">
        <v>4178</v>
      </c>
      <c r="H1293">
        <v>50.3</v>
      </c>
      <c r="I1293">
        <v>45.5</v>
      </c>
      <c r="J1293">
        <v>55.1</v>
      </c>
      <c r="K1293">
        <v>169</v>
      </c>
      <c r="L1293">
        <v>84</v>
      </c>
      <c r="M1293">
        <v>254</v>
      </c>
      <c r="N1293">
        <v>2</v>
      </c>
      <c r="O1293">
        <v>1.5</v>
      </c>
      <c r="P1293">
        <v>2.5</v>
      </c>
      <c r="Q1293">
        <f t="shared" si="38"/>
        <v>3167974</v>
      </c>
      <c r="R1293">
        <f t="shared" si="39"/>
        <v>5.3346397413615136</v>
      </c>
      <c r="U1293">
        <v>456</v>
      </c>
      <c r="V1293">
        <v>158</v>
      </c>
      <c r="W1293">
        <v>754</v>
      </c>
      <c r="X1293">
        <v>559</v>
      </c>
      <c r="Y1293">
        <v>44.9</v>
      </c>
      <c r="Z1293">
        <v>35.5</v>
      </c>
      <c r="AA1293">
        <v>54.3</v>
      </c>
    </row>
    <row r="1294" spans="1:27" x14ac:dyDescent="0.25">
      <c r="A1294" t="s">
        <v>236</v>
      </c>
      <c r="B1294" t="s">
        <v>204</v>
      </c>
      <c r="C1294" s="76">
        <v>44016</v>
      </c>
      <c r="D1294">
        <v>4007</v>
      </c>
      <c r="E1294">
        <v>2202</v>
      </c>
      <c r="F1294">
        <v>5813</v>
      </c>
      <c r="G1294">
        <v>4383</v>
      </c>
      <c r="H1294">
        <v>47.8</v>
      </c>
      <c r="I1294">
        <v>42.8</v>
      </c>
      <c r="J1294">
        <v>52.7</v>
      </c>
      <c r="K1294">
        <v>175</v>
      </c>
      <c r="L1294">
        <v>83</v>
      </c>
      <c r="M1294">
        <v>266</v>
      </c>
      <c r="N1294">
        <v>2.1</v>
      </c>
      <c r="O1294">
        <v>1.5</v>
      </c>
      <c r="P1294">
        <v>2.7</v>
      </c>
      <c r="Q1294">
        <f t="shared" si="38"/>
        <v>3167974</v>
      </c>
      <c r="R1294">
        <f t="shared" si="39"/>
        <v>5.5240352351376618</v>
      </c>
      <c r="U1294">
        <v>477</v>
      </c>
      <c r="V1294">
        <v>169</v>
      </c>
      <c r="W1294">
        <v>785</v>
      </c>
      <c r="X1294">
        <v>538</v>
      </c>
      <c r="Y1294">
        <v>47</v>
      </c>
      <c r="Z1294">
        <v>37.4</v>
      </c>
      <c r="AA1294">
        <v>56.6</v>
      </c>
    </row>
    <row r="1295" spans="1:27" x14ac:dyDescent="0.25">
      <c r="A1295" t="s">
        <v>236</v>
      </c>
      <c r="B1295" t="s">
        <v>204</v>
      </c>
      <c r="C1295" s="76">
        <v>44017</v>
      </c>
      <c r="D1295">
        <v>3789</v>
      </c>
      <c r="E1295">
        <v>2053</v>
      </c>
      <c r="F1295">
        <v>5525</v>
      </c>
      <c r="G1295">
        <v>4602</v>
      </c>
      <c r="H1295">
        <v>45.2</v>
      </c>
      <c r="I1295">
        <v>40</v>
      </c>
      <c r="J1295">
        <v>50.3</v>
      </c>
      <c r="K1295">
        <v>195</v>
      </c>
      <c r="L1295">
        <v>96</v>
      </c>
      <c r="M1295">
        <v>293</v>
      </c>
      <c r="N1295">
        <v>2.2999999999999998</v>
      </c>
      <c r="O1295">
        <v>1.7</v>
      </c>
      <c r="P1295">
        <v>2.9</v>
      </c>
      <c r="Q1295">
        <f t="shared" si="38"/>
        <v>3167974</v>
      </c>
      <c r="R1295">
        <f t="shared" si="39"/>
        <v>6.1553535477248236</v>
      </c>
      <c r="U1295">
        <v>461</v>
      </c>
      <c r="V1295">
        <v>164</v>
      </c>
      <c r="W1295">
        <v>757</v>
      </c>
      <c r="X1295">
        <v>558</v>
      </c>
      <c r="Y1295">
        <v>45.2</v>
      </c>
      <c r="Z1295">
        <v>36</v>
      </c>
      <c r="AA1295">
        <v>54.5</v>
      </c>
    </row>
    <row r="1296" spans="1:27" x14ac:dyDescent="0.25">
      <c r="A1296" t="s">
        <v>236</v>
      </c>
      <c r="B1296" t="s">
        <v>204</v>
      </c>
      <c r="C1296" s="76">
        <v>44018</v>
      </c>
      <c r="D1296">
        <v>4009</v>
      </c>
      <c r="E1296">
        <v>2190</v>
      </c>
      <c r="F1296">
        <v>5827</v>
      </c>
      <c r="G1296">
        <v>4404</v>
      </c>
      <c r="H1296">
        <v>47.7</v>
      </c>
      <c r="I1296">
        <v>42.6</v>
      </c>
      <c r="J1296">
        <v>52.7</v>
      </c>
      <c r="K1296">
        <v>190</v>
      </c>
      <c r="L1296">
        <v>85</v>
      </c>
      <c r="M1296">
        <v>295</v>
      </c>
      <c r="N1296">
        <v>2.2999999999999998</v>
      </c>
      <c r="O1296">
        <v>1.6</v>
      </c>
      <c r="P1296">
        <v>3</v>
      </c>
      <c r="Q1296">
        <f t="shared" si="38"/>
        <v>3167974</v>
      </c>
      <c r="R1296">
        <f t="shared" si="39"/>
        <v>5.9975239695780331</v>
      </c>
      <c r="U1296">
        <v>471</v>
      </c>
      <c r="V1296">
        <v>170</v>
      </c>
      <c r="W1296">
        <v>771</v>
      </c>
      <c r="X1296">
        <v>541</v>
      </c>
      <c r="Y1296">
        <v>46.5</v>
      </c>
      <c r="Z1296">
        <v>38.1</v>
      </c>
      <c r="AA1296">
        <v>54.9</v>
      </c>
    </row>
    <row r="1297" spans="1:27" x14ac:dyDescent="0.25">
      <c r="A1297" t="s">
        <v>236</v>
      </c>
      <c r="B1297" t="s">
        <v>204</v>
      </c>
      <c r="C1297" s="76">
        <v>44019</v>
      </c>
      <c r="D1297">
        <v>4257</v>
      </c>
      <c r="E1297">
        <v>2347</v>
      </c>
      <c r="F1297">
        <v>6167</v>
      </c>
      <c r="G1297">
        <v>4158</v>
      </c>
      <c r="H1297">
        <v>50.6</v>
      </c>
      <c r="I1297">
        <v>45.5</v>
      </c>
      <c r="J1297">
        <v>55.6</v>
      </c>
      <c r="K1297">
        <v>212</v>
      </c>
      <c r="L1297">
        <v>102</v>
      </c>
      <c r="M1297">
        <v>322</v>
      </c>
      <c r="N1297">
        <v>2.5</v>
      </c>
      <c r="O1297">
        <v>1.8</v>
      </c>
      <c r="P1297">
        <v>3.2</v>
      </c>
      <c r="Q1297">
        <f t="shared" si="38"/>
        <v>3167974</v>
      </c>
      <c r="R1297">
        <f t="shared" si="39"/>
        <v>6.6919741134239104</v>
      </c>
      <c r="U1297">
        <v>503</v>
      </c>
      <c r="V1297">
        <v>199</v>
      </c>
      <c r="W1297">
        <v>807</v>
      </c>
      <c r="X1297">
        <v>510</v>
      </c>
      <c r="Y1297">
        <v>49.7</v>
      </c>
      <c r="Z1297">
        <v>41.8</v>
      </c>
      <c r="AA1297">
        <v>57.5</v>
      </c>
    </row>
    <row r="1298" spans="1:27" x14ac:dyDescent="0.25">
      <c r="A1298" t="s">
        <v>237</v>
      </c>
      <c r="B1298" t="s">
        <v>210</v>
      </c>
      <c r="C1298" s="76">
        <v>43922</v>
      </c>
      <c r="D1298">
        <v>1459</v>
      </c>
      <c r="E1298">
        <v>424</v>
      </c>
      <c r="F1298">
        <v>2494</v>
      </c>
      <c r="G1298">
        <v>3029</v>
      </c>
      <c r="H1298">
        <v>32.5</v>
      </c>
      <c r="I1298">
        <v>26.5</v>
      </c>
      <c r="J1298">
        <v>38.6</v>
      </c>
      <c r="K1298">
        <v>97</v>
      </c>
      <c r="L1298">
        <v>0</v>
      </c>
      <c r="M1298">
        <v>203</v>
      </c>
      <c r="N1298">
        <v>2.2000000000000002</v>
      </c>
      <c r="O1298">
        <v>0.4</v>
      </c>
      <c r="P1298">
        <v>3.9</v>
      </c>
      <c r="Q1298">
        <f t="shared" si="38"/>
        <v>1860123</v>
      </c>
      <c r="R1298">
        <f t="shared" si="39"/>
        <v>5.2147089197864878</v>
      </c>
      <c r="U1298">
        <v>122</v>
      </c>
      <c r="V1298">
        <v>0</v>
      </c>
      <c r="W1298">
        <v>250</v>
      </c>
      <c r="X1298">
        <v>137</v>
      </c>
      <c r="Y1298">
        <v>47.2</v>
      </c>
      <c r="Z1298">
        <v>28.2</v>
      </c>
      <c r="AA1298">
        <v>66.3</v>
      </c>
    </row>
    <row r="1299" spans="1:27" x14ac:dyDescent="0.25">
      <c r="A1299" t="s">
        <v>237</v>
      </c>
      <c r="B1299" t="s">
        <v>210</v>
      </c>
      <c r="C1299" s="76">
        <v>43923</v>
      </c>
      <c r="D1299">
        <v>1437</v>
      </c>
      <c r="E1299">
        <v>404</v>
      </c>
      <c r="F1299">
        <v>2470</v>
      </c>
      <c r="G1299">
        <v>3046</v>
      </c>
      <c r="H1299">
        <v>32.1</v>
      </c>
      <c r="I1299">
        <v>26.5</v>
      </c>
      <c r="J1299">
        <v>37.6</v>
      </c>
      <c r="K1299">
        <v>96</v>
      </c>
      <c r="L1299">
        <v>0</v>
      </c>
      <c r="M1299">
        <v>199</v>
      </c>
      <c r="N1299">
        <v>2.1</v>
      </c>
      <c r="O1299">
        <v>0.4</v>
      </c>
      <c r="P1299">
        <v>3.8</v>
      </c>
      <c r="Q1299">
        <f t="shared" si="38"/>
        <v>1860123</v>
      </c>
      <c r="R1299">
        <f t="shared" si="39"/>
        <v>5.1609490340154931</v>
      </c>
      <c r="U1299">
        <v>111</v>
      </c>
      <c r="V1299">
        <v>0</v>
      </c>
      <c r="W1299">
        <v>224</v>
      </c>
      <c r="X1299">
        <v>156</v>
      </c>
      <c r="Y1299">
        <v>41.5</v>
      </c>
      <c r="Z1299">
        <v>25</v>
      </c>
      <c r="AA1299">
        <v>58</v>
      </c>
    </row>
    <row r="1300" spans="1:27" x14ac:dyDescent="0.25">
      <c r="A1300" t="s">
        <v>237</v>
      </c>
      <c r="B1300" t="s">
        <v>210</v>
      </c>
      <c r="C1300" s="76">
        <v>43924</v>
      </c>
      <c r="D1300">
        <v>1475</v>
      </c>
      <c r="E1300">
        <v>419</v>
      </c>
      <c r="F1300">
        <v>2530</v>
      </c>
      <c r="G1300">
        <v>2981</v>
      </c>
      <c r="H1300">
        <v>33.1</v>
      </c>
      <c r="I1300">
        <v>26.8</v>
      </c>
      <c r="J1300">
        <v>39.4</v>
      </c>
      <c r="K1300">
        <v>91</v>
      </c>
      <c r="L1300">
        <v>0</v>
      </c>
      <c r="M1300">
        <v>189</v>
      </c>
      <c r="N1300">
        <v>2</v>
      </c>
      <c r="O1300">
        <v>0.5</v>
      </c>
      <c r="P1300">
        <v>3.6</v>
      </c>
      <c r="Q1300">
        <f t="shared" si="38"/>
        <v>1860123</v>
      </c>
      <c r="R1300">
        <f t="shared" si="39"/>
        <v>4.8921496051605189</v>
      </c>
      <c r="U1300">
        <v>135</v>
      </c>
      <c r="V1300">
        <v>6</v>
      </c>
      <c r="W1300">
        <v>263</v>
      </c>
      <c r="X1300">
        <v>131</v>
      </c>
      <c r="Y1300">
        <v>50.7</v>
      </c>
      <c r="Z1300">
        <v>36.700000000000003</v>
      </c>
      <c r="AA1300">
        <v>64.8</v>
      </c>
    </row>
    <row r="1301" spans="1:27" x14ac:dyDescent="0.25">
      <c r="A1301" t="s">
        <v>237</v>
      </c>
      <c r="B1301" t="s">
        <v>210</v>
      </c>
      <c r="C1301" s="76">
        <v>43925</v>
      </c>
      <c r="D1301">
        <v>1375</v>
      </c>
      <c r="E1301">
        <v>487</v>
      </c>
      <c r="F1301">
        <v>2262</v>
      </c>
      <c r="G1301">
        <v>2992</v>
      </c>
      <c r="H1301">
        <v>31.5</v>
      </c>
      <c r="I1301">
        <v>23.8</v>
      </c>
      <c r="J1301">
        <v>39.200000000000003</v>
      </c>
      <c r="K1301">
        <v>86</v>
      </c>
      <c r="L1301">
        <v>8</v>
      </c>
      <c r="M1301">
        <v>164</v>
      </c>
      <c r="N1301">
        <v>2</v>
      </c>
      <c r="O1301">
        <v>0.8</v>
      </c>
      <c r="P1301">
        <v>3.1</v>
      </c>
      <c r="Q1301">
        <f t="shared" si="38"/>
        <v>1860123</v>
      </c>
      <c r="R1301">
        <f t="shared" si="39"/>
        <v>4.6233501763055447</v>
      </c>
      <c r="U1301">
        <v>129</v>
      </c>
      <c r="V1301">
        <v>23</v>
      </c>
      <c r="W1301">
        <v>235</v>
      </c>
      <c r="X1301">
        <v>143</v>
      </c>
      <c r="Y1301">
        <v>47.4</v>
      </c>
      <c r="Z1301">
        <v>34.200000000000003</v>
      </c>
      <c r="AA1301">
        <v>60.6</v>
      </c>
    </row>
    <row r="1302" spans="1:27" x14ac:dyDescent="0.25">
      <c r="A1302" t="s">
        <v>237</v>
      </c>
      <c r="B1302" t="s">
        <v>210</v>
      </c>
      <c r="C1302" s="76">
        <v>43926</v>
      </c>
      <c r="D1302">
        <v>1319</v>
      </c>
      <c r="E1302">
        <v>452</v>
      </c>
      <c r="F1302">
        <v>2185</v>
      </c>
      <c r="G1302">
        <v>2821</v>
      </c>
      <c r="H1302">
        <v>31.8</v>
      </c>
      <c r="I1302">
        <v>23.4</v>
      </c>
      <c r="J1302">
        <v>40.299999999999997</v>
      </c>
      <c r="K1302">
        <v>86</v>
      </c>
      <c r="L1302">
        <v>15</v>
      </c>
      <c r="M1302">
        <v>157</v>
      </c>
      <c r="N1302">
        <v>2.1</v>
      </c>
      <c r="O1302">
        <v>1.2</v>
      </c>
      <c r="P1302">
        <v>3</v>
      </c>
      <c r="Q1302">
        <f t="shared" si="38"/>
        <v>1860123</v>
      </c>
      <c r="R1302">
        <f t="shared" si="39"/>
        <v>4.6233501763055447</v>
      </c>
      <c r="U1302">
        <v>122</v>
      </c>
      <c r="V1302">
        <v>27</v>
      </c>
      <c r="W1302">
        <v>216</v>
      </c>
      <c r="X1302">
        <v>131</v>
      </c>
      <c r="Y1302">
        <v>48.1</v>
      </c>
      <c r="Z1302">
        <v>34.6</v>
      </c>
      <c r="AA1302">
        <v>61.6</v>
      </c>
    </row>
    <row r="1303" spans="1:27" x14ac:dyDescent="0.25">
      <c r="A1303" t="s">
        <v>237</v>
      </c>
      <c r="B1303" t="s">
        <v>210</v>
      </c>
      <c r="C1303" s="76">
        <v>43927</v>
      </c>
      <c r="D1303">
        <v>1432</v>
      </c>
      <c r="E1303">
        <v>582</v>
      </c>
      <c r="F1303">
        <v>2282</v>
      </c>
      <c r="G1303">
        <v>2694</v>
      </c>
      <c r="H1303">
        <v>34.700000000000003</v>
      </c>
      <c r="I1303">
        <v>27.2</v>
      </c>
      <c r="J1303">
        <v>42.2</v>
      </c>
      <c r="K1303">
        <v>89</v>
      </c>
      <c r="L1303">
        <v>26</v>
      </c>
      <c r="M1303">
        <v>152</v>
      </c>
      <c r="N1303">
        <v>2.2000000000000002</v>
      </c>
      <c r="O1303">
        <v>1.3</v>
      </c>
      <c r="P1303">
        <v>3</v>
      </c>
      <c r="Q1303">
        <f t="shared" si="38"/>
        <v>1860123</v>
      </c>
      <c r="R1303">
        <f t="shared" si="39"/>
        <v>4.7846298336185296</v>
      </c>
      <c r="U1303">
        <v>111</v>
      </c>
      <c r="V1303">
        <v>31</v>
      </c>
      <c r="W1303">
        <v>191</v>
      </c>
      <c r="X1303">
        <v>153</v>
      </c>
      <c r="Y1303">
        <v>42.1</v>
      </c>
      <c r="Z1303">
        <v>31.8</v>
      </c>
      <c r="AA1303">
        <v>52.3</v>
      </c>
    </row>
    <row r="1304" spans="1:27" x14ac:dyDescent="0.25">
      <c r="A1304" t="s">
        <v>237</v>
      </c>
      <c r="B1304" t="s">
        <v>210</v>
      </c>
      <c r="C1304" s="76">
        <v>43928</v>
      </c>
      <c r="D1304">
        <v>1494</v>
      </c>
      <c r="E1304">
        <v>588</v>
      </c>
      <c r="F1304">
        <v>2400</v>
      </c>
      <c r="G1304">
        <v>2653</v>
      </c>
      <c r="H1304">
        <v>36</v>
      </c>
      <c r="I1304">
        <v>27.2</v>
      </c>
      <c r="J1304">
        <v>44.8</v>
      </c>
      <c r="K1304">
        <v>95</v>
      </c>
      <c r="L1304">
        <v>36</v>
      </c>
      <c r="M1304">
        <v>153</v>
      </c>
      <c r="N1304">
        <v>2.2999999999999998</v>
      </c>
      <c r="O1304">
        <v>1.4</v>
      </c>
      <c r="P1304">
        <v>3.1</v>
      </c>
      <c r="Q1304">
        <f t="shared" si="38"/>
        <v>1860123</v>
      </c>
      <c r="R1304">
        <f t="shared" si="39"/>
        <v>5.1071891482444975</v>
      </c>
      <c r="U1304">
        <v>117</v>
      </c>
      <c r="V1304">
        <v>35</v>
      </c>
      <c r="W1304">
        <v>198</v>
      </c>
      <c r="X1304">
        <v>142</v>
      </c>
      <c r="Y1304">
        <v>45</v>
      </c>
      <c r="Z1304">
        <v>33.5</v>
      </c>
      <c r="AA1304">
        <v>56.5</v>
      </c>
    </row>
    <row r="1305" spans="1:27" x14ac:dyDescent="0.25">
      <c r="A1305" t="s">
        <v>237</v>
      </c>
      <c r="B1305" t="s">
        <v>210</v>
      </c>
      <c r="C1305" s="76">
        <v>43929</v>
      </c>
      <c r="D1305">
        <v>1537</v>
      </c>
      <c r="E1305">
        <v>635</v>
      </c>
      <c r="F1305">
        <v>2439</v>
      </c>
      <c r="G1305">
        <v>2613</v>
      </c>
      <c r="H1305">
        <v>37</v>
      </c>
      <c r="I1305">
        <v>29.2</v>
      </c>
      <c r="J1305">
        <v>44.9</v>
      </c>
      <c r="K1305">
        <v>86</v>
      </c>
      <c r="L1305">
        <v>29</v>
      </c>
      <c r="M1305">
        <v>142</v>
      </c>
      <c r="N1305">
        <v>2.1</v>
      </c>
      <c r="O1305">
        <v>1.3</v>
      </c>
      <c r="P1305">
        <v>2.8</v>
      </c>
      <c r="Q1305">
        <f t="shared" si="38"/>
        <v>1860123</v>
      </c>
      <c r="R1305">
        <f t="shared" si="39"/>
        <v>4.6233501763055447</v>
      </c>
      <c r="U1305">
        <v>129</v>
      </c>
      <c r="V1305">
        <v>38</v>
      </c>
      <c r="W1305">
        <v>220</v>
      </c>
      <c r="X1305">
        <v>120</v>
      </c>
      <c r="Y1305">
        <v>51.8</v>
      </c>
      <c r="Z1305">
        <v>37.5</v>
      </c>
      <c r="AA1305">
        <v>66</v>
      </c>
    </row>
    <row r="1306" spans="1:27" x14ac:dyDescent="0.25">
      <c r="A1306" t="s">
        <v>237</v>
      </c>
      <c r="B1306" t="s">
        <v>210</v>
      </c>
      <c r="C1306" s="76">
        <v>43930</v>
      </c>
      <c r="D1306">
        <v>1620</v>
      </c>
      <c r="E1306">
        <v>665</v>
      </c>
      <c r="F1306">
        <v>2575</v>
      </c>
      <c r="G1306">
        <v>2475</v>
      </c>
      <c r="H1306">
        <v>39.6</v>
      </c>
      <c r="I1306">
        <v>28.9</v>
      </c>
      <c r="J1306">
        <v>50.2</v>
      </c>
      <c r="K1306">
        <v>90</v>
      </c>
      <c r="L1306">
        <v>30</v>
      </c>
      <c r="M1306">
        <v>149</v>
      </c>
      <c r="N1306">
        <v>2.2000000000000002</v>
      </c>
      <c r="O1306">
        <v>1.3</v>
      </c>
      <c r="P1306">
        <v>3</v>
      </c>
      <c r="Q1306">
        <f t="shared" si="38"/>
        <v>1860123</v>
      </c>
      <c r="R1306">
        <f t="shared" si="39"/>
        <v>4.8383897193895242</v>
      </c>
      <c r="U1306">
        <v>135</v>
      </c>
      <c r="V1306">
        <v>46</v>
      </c>
      <c r="W1306">
        <v>224</v>
      </c>
      <c r="X1306">
        <v>156</v>
      </c>
      <c r="Y1306">
        <v>46.3</v>
      </c>
      <c r="Z1306">
        <v>35.200000000000003</v>
      </c>
      <c r="AA1306">
        <v>57.4</v>
      </c>
    </row>
    <row r="1307" spans="1:27" x14ac:dyDescent="0.25">
      <c r="A1307" t="s">
        <v>237</v>
      </c>
      <c r="B1307" t="s">
        <v>210</v>
      </c>
      <c r="C1307" s="76">
        <v>43931</v>
      </c>
      <c r="D1307">
        <v>1769</v>
      </c>
      <c r="E1307">
        <v>671</v>
      </c>
      <c r="F1307">
        <v>2866</v>
      </c>
      <c r="G1307">
        <v>2618</v>
      </c>
      <c r="H1307">
        <v>40.299999999999997</v>
      </c>
      <c r="I1307">
        <v>29.2</v>
      </c>
      <c r="J1307">
        <v>51.4</v>
      </c>
      <c r="K1307">
        <v>94</v>
      </c>
      <c r="L1307">
        <v>27</v>
      </c>
      <c r="M1307">
        <v>161</v>
      </c>
      <c r="N1307">
        <v>2.1</v>
      </c>
      <c r="O1307">
        <v>1.2</v>
      </c>
      <c r="P1307">
        <v>3.1</v>
      </c>
      <c r="Q1307">
        <f t="shared" si="38"/>
        <v>1860123</v>
      </c>
      <c r="R1307">
        <f t="shared" si="39"/>
        <v>5.0534292624735029</v>
      </c>
      <c r="U1307">
        <v>150</v>
      </c>
      <c r="V1307">
        <v>43</v>
      </c>
      <c r="W1307">
        <v>256</v>
      </c>
      <c r="X1307">
        <v>170</v>
      </c>
      <c r="Y1307">
        <v>46.7</v>
      </c>
      <c r="Z1307">
        <v>38.5</v>
      </c>
      <c r="AA1307">
        <v>55</v>
      </c>
    </row>
    <row r="1308" spans="1:27" x14ac:dyDescent="0.25">
      <c r="A1308" t="s">
        <v>237</v>
      </c>
      <c r="B1308" t="s">
        <v>210</v>
      </c>
      <c r="C1308" s="76">
        <v>43932</v>
      </c>
      <c r="D1308">
        <v>1570</v>
      </c>
      <c r="E1308">
        <v>638</v>
      </c>
      <c r="F1308">
        <v>2503</v>
      </c>
      <c r="G1308">
        <v>2839</v>
      </c>
      <c r="H1308">
        <v>35.6</v>
      </c>
      <c r="I1308">
        <v>27.1</v>
      </c>
      <c r="J1308">
        <v>44.2</v>
      </c>
      <c r="K1308">
        <v>86</v>
      </c>
      <c r="L1308">
        <v>24</v>
      </c>
      <c r="M1308">
        <v>149</v>
      </c>
      <c r="N1308">
        <v>2</v>
      </c>
      <c r="O1308">
        <v>1.1000000000000001</v>
      </c>
      <c r="P1308">
        <v>2.8</v>
      </c>
      <c r="Q1308">
        <f t="shared" si="38"/>
        <v>1860123</v>
      </c>
      <c r="R1308">
        <f t="shared" si="39"/>
        <v>4.6233501763055447</v>
      </c>
      <c r="U1308">
        <v>129</v>
      </c>
      <c r="V1308">
        <v>43</v>
      </c>
      <c r="W1308">
        <v>216</v>
      </c>
      <c r="X1308">
        <v>183</v>
      </c>
      <c r="Y1308">
        <v>41.5</v>
      </c>
      <c r="Z1308">
        <v>33.9</v>
      </c>
      <c r="AA1308">
        <v>49</v>
      </c>
    </row>
    <row r="1309" spans="1:27" x14ac:dyDescent="0.25">
      <c r="A1309" t="s">
        <v>237</v>
      </c>
      <c r="B1309" t="s">
        <v>210</v>
      </c>
      <c r="C1309" s="76">
        <v>43933</v>
      </c>
      <c r="D1309">
        <v>1458</v>
      </c>
      <c r="E1309">
        <v>584</v>
      </c>
      <c r="F1309">
        <v>2332</v>
      </c>
      <c r="G1309">
        <v>2922</v>
      </c>
      <c r="H1309">
        <v>33.299999999999997</v>
      </c>
      <c r="I1309">
        <v>24.5</v>
      </c>
      <c r="J1309">
        <v>42.1</v>
      </c>
      <c r="K1309">
        <v>85</v>
      </c>
      <c r="L1309">
        <v>24</v>
      </c>
      <c r="M1309">
        <v>146</v>
      </c>
      <c r="N1309">
        <v>1.9</v>
      </c>
      <c r="O1309">
        <v>1.1000000000000001</v>
      </c>
      <c r="P1309">
        <v>2.8</v>
      </c>
      <c r="Q1309">
        <f t="shared" si="38"/>
        <v>1860123</v>
      </c>
      <c r="R1309">
        <f t="shared" si="39"/>
        <v>4.56959029053455</v>
      </c>
      <c r="U1309">
        <v>124</v>
      </c>
      <c r="V1309">
        <v>40</v>
      </c>
      <c r="W1309">
        <v>207</v>
      </c>
      <c r="X1309">
        <v>188</v>
      </c>
      <c r="Y1309">
        <v>39.700000000000003</v>
      </c>
      <c r="Z1309">
        <v>33.1</v>
      </c>
      <c r="AA1309">
        <v>46.3</v>
      </c>
    </row>
    <row r="1310" spans="1:27" x14ac:dyDescent="0.25">
      <c r="A1310" t="s">
        <v>237</v>
      </c>
      <c r="B1310" t="s">
        <v>210</v>
      </c>
      <c r="C1310" s="76">
        <v>43934</v>
      </c>
      <c r="D1310">
        <v>1657</v>
      </c>
      <c r="E1310">
        <v>665</v>
      </c>
      <c r="F1310">
        <v>2649</v>
      </c>
      <c r="G1310">
        <v>2706</v>
      </c>
      <c r="H1310">
        <v>38</v>
      </c>
      <c r="I1310">
        <v>27.4</v>
      </c>
      <c r="J1310">
        <v>48.5</v>
      </c>
      <c r="K1310">
        <v>84</v>
      </c>
      <c r="L1310">
        <v>29</v>
      </c>
      <c r="M1310">
        <v>140</v>
      </c>
      <c r="N1310">
        <v>1.9</v>
      </c>
      <c r="O1310">
        <v>1.2</v>
      </c>
      <c r="P1310">
        <v>2.6</v>
      </c>
      <c r="Q1310">
        <f t="shared" si="38"/>
        <v>1860123</v>
      </c>
      <c r="R1310">
        <f t="shared" si="39"/>
        <v>4.5158304047635562</v>
      </c>
      <c r="U1310">
        <v>169</v>
      </c>
      <c r="V1310">
        <v>52</v>
      </c>
      <c r="W1310">
        <v>286</v>
      </c>
      <c r="X1310">
        <v>181</v>
      </c>
      <c r="Y1310">
        <v>48.3</v>
      </c>
      <c r="Z1310">
        <v>36.299999999999997</v>
      </c>
      <c r="AA1310">
        <v>60.2</v>
      </c>
    </row>
    <row r="1311" spans="1:27" x14ac:dyDescent="0.25">
      <c r="A1311" t="s">
        <v>237</v>
      </c>
      <c r="B1311" t="s">
        <v>210</v>
      </c>
      <c r="C1311" s="76">
        <v>43935</v>
      </c>
      <c r="D1311">
        <v>1609</v>
      </c>
      <c r="E1311">
        <v>754</v>
      </c>
      <c r="F1311">
        <v>2464</v>
      </c>
      <c r="G1311">
        <v>2603</v>
      </c>
      <c r="H1311">
        <v>38.200000000000003</v>
      </c>
      <c r="I1311">
        <v>28.9</v>
      </c>
      <c r="J1311">
        <v>47.5</v>
      </c>
      <c r="K1311">
        <v>79</v>
      </c>
      <c r="L1311">
        <v>35</v>
      </c>
      <c r="M1311">
        <v>123</v>
      </c>
      <c r="N1311">
        <v>1.9</v>
      </c>
      <c r="O1311">
        <v>1.2</v>
      </c>
      <c r="P1311">
        <v>2.6</v>
      </c>
      <c r="Q1311">
        <f t="shared" si="38"/>
        <v>1860123</v>
      </c>
      <c r="R1311">
        <f t="shared" si="39"/>
        <v>4.2470309759085829</v>
      </c>
      <c r="U1311">
        <v>166</v>
      </c>
      <c r="V1311">
        <v>62</v>
      </c>
      <c r="W1311">
        <v>269</v>
      </c>
      <c r="X1311">
        <v>171</v>
      </c>
      <c r="Y1311">
        <v>49.3</v>
      </c>
      <c r="Z1311">
        <v>37.799999999999997</v>
      </c>
      <c r="AA1311">
        <v>60.8</v>
      </c>
    </row>
    <row r="1312" spans="1:27" x14ac:dyDescent="0.25">
      <c r="A1312" t="s">
        <v>237</v>
      </c>
      <c r="B1312" t="s">
        <v>210</v>
      </c>
      <c r="C1312" s="76">
        <v>43936</v>
      </c>
      <c r="D1312">
        <v>1680</v>
      </c>
      <c r="E1312">
        <v>779</v>
      </c>
      <c r="F1312">
        <v>2582</v>
      </c>
      <c r="G1312">
        <v>2585</v>
      </c>
      <c r="H1312">
        <v>39.4</v>
      </c>
      <c r="I1312">
        <v>29.8</v>
      </c>
      <c r="J1312">
        <v>49.1</v>
      </c>
      <c r="K1312">
        <v>85</v>
      </c>
      <c r="L1312">
        <v>35</v>
      </c>
      <c r="M1312">
        <v>135</v>
      </c>
      <c r="N1312">
        <v>2</v>
      </c>
      <c r="O1312">
        <v>1.3</v>
      </c>
      <c r="P1312">
        <v>2.7</v>
      </c>
      <c r="Q1312">
        <f t="shared" si="38"/>
        <v>1860123</v>
      </c>
      <c r="R1312">
        <f t="shared" si="39"/>
        <v>4.56959029053455</v>
      </c>
      <c r="U1312">
        <v>166</v>
      </c>
      <c r="V1312">
        <v>58</v>
      </c>
      <c r="W1312">
        <v>274</v>
      </c>
      <c r="X1312">
        <v>170</v>
      </c>
      <c r="Y1312">
        <v>49.4</v>
      </c>
      <c r="Z1312">
        <v>35.4</v>
      </c>
      <c r="AA1312">
        <v>63.4</v>
      </c>
    </row>
    <row r="1313" spans="1:27" x14ac:dyDescent="0.25">
      <c r="A1313" t="s">
        <v>237</v>
      </c>
      <c r="B1313" t="s">
        <v>210</v>
      </c>
      <c r="C1313" s="76">
        <v>43937</v>
      </c>
      <c r="D1313">
        <v>1671</v>
      </c>
      <c r="E1313">
        <v>769</v>
      </c>
      <c r="F1313">
        <v>2573</v>
      </c>
      <c r="G1313">
        <v>2594</v>
      </c>
      <c r="H1313">
        <v>39.200000000000003</v>
      </c>
      <c r="I1313">
        <v>29.4</v>
      </c>
      <c r="J1313">
        <v>49</v>
      </c>
      <c r="K1313">
        <v>80</v>
      </c>
      <c r="L1313">
        <v>33</v>
      </c>
      <c r="M1313">
        <v>127</v>
      </c>
      <c r="N1313">
        <v>1.9</v>
      </c>
      <c r="O1313">
        <v>1.2</v>
      </c>
      <c r="P1313">
        <v>2.5</v>
      </c>
      <c r="Q1313">
        <f t="shared" si="38"/>
        <v>1860123</v>
      </c>
      <c r="R1313">
        <f t="shared" si="39"/>
        <v>4.3007908616795776</v>
      </c>
      <c r="U1313">
        <v>159</v>
      </c>
      <c r="V1313">
        <v>50</v>
      </c>
      <c r="W1313">
        <v>268</v>
      </c>
      <c r="X1313">
        <v>178</v>
      </c>
      <c r="Y1313">
        <v>47.2</v>
      </c>
      <c r="Z1313">
        <v>31.9</v>
      </c>
      <c r="AA1313">
        <v>62.4</v>
      </c>
    </row>
    <row r="1314" spans="1:27" x14ac:dyDescent="0.25">
      <c r="A1314" t="s">
        <v>237</v>
      </c>
      <c r="B1314" t="s">
        <v>210</v>
      </c>
      <c r="C1314" s="76">
        <v>43938</v>
      </c>
      <c r="D1314">
        <v>1551</v>
      </c>
      <c r="E1314">
        <v>735</v>
      </c>
      <c r="F1314">
        <v>2368</v>
      </c>
      <c r="G1314">
        <v>2682</v>
      </c>
      <c r="H1314">
        <v>36.6</v>
      </c>
      <c r="I1314">
        <v>28.3</v>
      </c>
      <c r="J1314">
        <v>45</v>
      </c>
      <c r="K1314">
        <v>69</v>
      </c>
      <c r="L1314">
        <v>25</v>
      </c>
      <c r="M1314">
        <v>113</v>
      </c>
      <c r="N1314">
        <v>1.6</v>
      </c>
      <c r="O1314">
        <v>0.9</v>
      </c>
      <c r="P1314">
        <v>2.4</v>
      </c>
      <c r="Q1314">
        <f t="shared" si="38"/>
        <v>1860123</v>
      </c>
      <c r="R1314">
        <f t="shared" si="39"/>
        <v>3.7094321181986354</v>
      </c>
      <c r="U1314">
        <v>160</v>
      </c>
      <c r="V1314">
        <v>53</v>
      </c>
      <c r="W1314">
        <v>268</v>
      </c>
      <c r="X1314">
        <v>172</v>
      </c>
      <c r="Y1314">
        <v>48.3</v>
      </c>
      <c r="Z1314">
        <v>30.7</v>
      </c>
      <c r="AA1314">
        <v>65.900000000000006</v>
      </c>
    </row>
    <row r="1315" spans="1:27" x14ac:dyDescent="0.25">
      <c r="A1315" t="s">
        <v>237</v>
      </c>
      <c r="B1315" t="s">
        <v>210</v>
      </c>
      <c r="C1315" s="76">
        <v>43939</v>
      </c>
      <c r="D1315">
        <v>1483</v>
      </c>
      <c r="E1315">
        <v>694</v>
      </c>
      <c r="F1315">
        <v>2272</v>
      </c>
      <c r="G1315">
        <v>2744</v>
      </c>
      <c r="H1315">
        <v>35.1</v>
      </c>
      <c r="I1315">
        <v>26.5</v>
      </c>
      <c r="J1315">
        <v>43.7</v>
      </c>
      <c r="K1315">
        <v>63</v>
      </c>
      <c r="L1315">
        <v>24</v>
      </c>
      <c r="M1315">
        <v>101</v>
      </c>
      <c r="N1315">
        <v>1.5</v>
      </c>
      <c r="O1315">
        <v>0.9</v>
      </c>
      <c r="P1315">
        <v>2.1</v>
      </c>
      <c r="Q1315">
        <f t="shared" si="38"/>
        <v>1860123</v>
      </c>
      <c r="R1315">
        <f t="shared" si="39"/>
        <v>3.386872803572667</v>
      </c>
      <c r="U1315">
        <v>152</v>
      </c>
      <c r="V1315">
        <v>52</v>
      </c>
      <c r="W1315">
        <v>253</v>
      </c>
      <c r="X1315">
        <v>180</v>
      </c>
      <c r="Y1315">
        <v>45.9</v>
      </c>
      <c r="Z1315">
        <v>30</v>
      </c>
      <c r="AA1315">
        <v>61.8</v>
      </c>
    </row>
    <row r="1316" spans="1:27" x14ac:dyDescent="0.25">
      <c r="A1316" t="s">
        <v>237</v>
      </c>
      <c r="B1316" t="s">
        <v>210</v>
      </c>
      <c r="C1316" s="76">
        <v>43940</v>
      </c>
      <c r="D1316">
        <v>1458</v>
      </c>
      <c r="E1316">
        <v>696</v>
      </c>
      <c r="F1316">
        <v>2219</v>
      </c>
      <c r="G1316">
        <v>2788</v>
      </c>
      <c r="H1316">
        <v>34.299999999999997</v>
      </c>
      <c r="I1316">
        <v>26.3</v>
      </c>
      <c r="J1316">
        <v>42.4</v>
      </c>
      <c r="K1316">
        <v>60</v>
      </c>
      <c r="L1316">
        <v>28</v>
      </c>
      <c r="M1316">
        <v>92</v>
      </c>
      <c r="N1316">
        <v>1.4</v>
      </c>
      <c r="O1316">
        <v>1</v>
      </c>
      <c r="P1316">
        <v>1.9</v>
      </c>
      <c r="Q1316">
        <f t="shared" si="38"/>
        <v>1860123</v>
      </c>
      <c r="R1316">
        <f t="shared" si="39"/>
        <v>3.225593146259683</v>
      </c>
      <c r="U1316">
        <v>171</v>
      </c>
      <c r="V1316">
        <v>68</v>
      </c>
      <c r="W1316">
        <v>274</v>
      </c>
      <c r="X1316">
        <v>171</v>
      </c>
      <c r="Y1316">
        <v>50</v>
      </c>
      <c r="Z1316">
        <v>37.200000000000003</v>
      </c>
      <c r="AA1316">
        <v>62.8</v>
      </c>
    </row>
    <row r="1317" spans="1:27" x14ac:dyDescent="0.25">
      <c r="A1317" t="s">
        <v>237</v>
      </c>
      <c r="B1317" t="s">
        <v>210</v>
      </c>
      <c r="C1317" s="76">
        <v>43941</v>
      </c>
      <c r="D1317">
        <v>1535</v>
      </c>
      <c r="E1317">
        <v>748</v>
      </c>
      <c r="F1317">
        <v>2321</v>
      </c>
      <c r="G1317">
        <v>2698</v>
      </c>
      <c r="H1317">
        <v>36.299999999999997</v>
      </c>
      <c r="I1317">
        <v>28.4</v>
      </c>
      <c r="J1317">
        <v>44.1</v>
      </c>
      <c r="K1317">
        <v>66</v>
      </c>
      <c r="L1317">
        <v>33</v>
      </c>
      <c r="M1317">
        <v>100</v>
      </c>
      <c r="N1317">
        <v>1.6</v>
      </c>
      <c r="O1317">
        <v>1</v>
      </c>
      <c r="P1317">
        <v>2.1</v>
      </c>
      <c r="Q1317">
        <f t="shared" si="38"/>
        <v>1860123</v>
      </c>
      <c r="R1317">
        <f t="shared" si="39"/>
        <v>3.5481524608856514</v>
      </c>
      <c r="U1317">
        <v>172</v>
      </c>
      <c r="V1317">
        <v>70</v>
      </c>
      <c r="W1317">
        <v>274</v>
      </c>
      <c r="X1317">
        <v>160</v>
      </c>
      <c r="Y1317">
        <v>51.8</v>
      </c>
      <c r="Z1317">
        <v>37.299999999999997</v>
      </c>
      <c r="AA1317">
        <v>66.3</v>
      </c>
    </row>
    <row r="1318" spans="1:27" x14ac:dyDescent="0.25">
      <c r="A1318" t="s">
        <v>237</v>
      </c>
      <c r="B1318" t="s">
        <v>210</v>
      </c>
      <c r="C1318" s="76">
        <v>43942</v>
      </c>
      <c r="D1318">
        <v>1716</v>
      </c>
      <c r="E1318">
        <v>808</v>
      </c>
      <c r="F1318">
        <v>2624</v>
      </c>
      <c r="G1318">
        <v>2448</v>
      </c>
      <c r="H1318">
        <v>41.2</v>
      </c>
      <c r="I1318">
        <v>32.299999999999997</v>
      </c>
      <c r="J1318">
        <v>50.1</v>
      </c>
      <c r="K1318">
        <v>78</v>
      </c>
      <c r="L1318">
        <v>30</v>
      </c>
      <c r="M1318">
        <v>126</v>
      </c>
      <c r="N1318">
        <v>1.9</v>
      </c>
      <c r="O1318">
        <v>1.1000000000000001</v>
      </c>
      <c r="P1318">
        <v>2.7</v>
      </c>
      <c r="Q1318">
        <f t="shared" si="38"/>
        <v>1860123</v>
      </c>
      <c r="R1318">
        <f t="shared" si="39"/>
        <v>4.1932710901375874</v>
      </c>
      <c r="U1318">
        <v>158</v>
      </c>
      <c r="V1318">
        <v>62</v>
      </c>
      <c r="W1318">
        <v>255</v>
      </c>
      <c r="X1318">
        <v>150</v>
      </c>
      <c r="Y1318">
        <v>51.4</v>
      </c>
      <c r="Z1318">
        <v>40.200000000000003</v>
      </c>
      <c r="AA1318">
        <v>62.6</v>
      </c>
    </row>
    <row r="1319" spans="1:27" x14ac:dyDescent="0.25">
      <c r="A1319" t="s">
        <v>237</v>
      </c>
      <c r="B1319" t="s">
        <v>210</v>
      </c>
      <c r="C1319" s="76">
        <v>43943</v>
      </c>
      <c r="D1319">
        <v>1722</v>
      </c>
      <c r="E1319">
        <v>798</v>
      </c>
      <c r="F1319">
        <v>2646</v>
      </c>
      <c r="G1319">
        <v>2453</v>
      </c>
      <c r="H1319">
        <v>41.2</v>
      </c>
      <c r="I1319">
        <v>32.1</v>
      </c>
      <c r="J1319">
        <v>50.3</v>
      </c>
      <c r="K1319">
        <v>62</v>
      </c>
      <c r="L1319">
        <v>23</v>
      </c>
      <c r="M1319">
        <v>101</v>
      </c>
      <c r="N1319">
        <v>1.5</v>
      </c>
      <c r="O1319">
        <v>0.8</v>
      </c>
      <c r="P1319">
        <v>2.1</v>
      </c>
      <c r="Q1319">
        <f t="shared" ref="Q1319:Q1382" si="40">VLOOKUP(B1319,$AE$4:$AF$55,2,FALSE)</f>
        <v>1860123</v>
      </c>
      <c r="R1319">
        <f t="shared" si="39"/>
        <v>3.3331129178016723</v>
      </c>
      <c r="U1319">
        <v>173</v>
      </c>
      <c r="V1319">
        <v>61</v>
      </c>
      <c r="W1319">
        <v>284</v>
      </c>
      <c r="X1319">
        <v>139</v>
      </c>
      <c r="Y1319">
        <v>55.5</v>
      </c>
      <c r="Z1319">
        <v>41.9</v>
      </c>
      <c r="AA1319">
        <v>69</v>
      </c>
    </row>
    <row r="1320" spans="1:27" x14ac:dyDescent="0.25">
      <c r="A1320" t="s">
        <v>237</v>
      </c>
      <c r="B1320" t="s">
        <v>210</v>
      </c>
      <c r="C1320" s="76">
        <v>43944</v>
      </c>
      <c r="D1320">
        <v>1606</v>
      </c>
      <c r="E1320">
        <v>730</v>
      </c>
      <c r="F1320">
        <v>2482</v>
      </c>
      <c r="G1320">
        <v>2565</v>
      </c>
      <c r="H1320">
        <v>38.5</v>
      </c>
      <c r="I1320">
        <v>29.5</v>
      </c>
      <c r="J1320">
        <v>47.5</v>
      </c>
      <c r="K1320">
        <v>61</v>
      </c>
      <c r="L1320">
        <v>18</v>
      </c>
      <c r="M1320">
        <v>103</v>
      </c>
      <c r="N1320">
        <v>1.5</v>
      </c>
      <c r="O1320">
        <v>0.7</v>
      </c>
      <c r="P1320">
        <v>2.2000000000000002</v>
      </c>
      <c r="Q1320">
        <f t="shared" si="40"/>
        <v>1860123</v>
      </c>
      <c r="R1320">
        <f t="shared" si="39"/>
        <v>3.2793530320306776</v>
      </c>
      <c r="U1320">
        <v>162</v>
      </c>
      <c r="V1320">
        <v>53</v>
      </c>
      <c r="W1320">
        <v>271</v>
      </c>
      <c r="X1320">
        <v>152</v>
      </c>
      <c r="Y1320">
        <v>51.5</v>
      </c>
      <c r="Z1320">
        <v>36.6</v>
      </c>
      <c r="AA1320">
        <v>66.3</v>
      </c>
    </row>
    <row r="1321" spans="1:27" x14ac:dyDescent="0.25">
      <c r="A1321" t="s">
        <v>237</v>
      </c>
      <c r="B1321" t="s">
        <v>210</v>
      </c>
      <c r="C1321" s="76">
        <v>43945</v>
      </c>
      <c r="D1321">
        <v>1548</v>
      </c>
      <c r="E1321">
        <v>690</v>
      </c>
      <c r="F1321">
        <v>2406</v>
      </c>
      <c r="G1321">
        <v>2629</v>
      </c>
      <c r="H1321">
        <v>37.1</v>
      </c>
      <c r="I1321">
        <v>27.9</v>
      </c>
      <c r="J1321">
        <v>46.2</v>
      </c>
      <c r="K1321">
        <v>38</v>
      </c>
      <c r="L1321">
        <v>13</v>
      </c>
      <c r="M1321">
        <v>62</v>
      </c>
      <c r="N1321">
        <v>0.9</v>
      </c>
      <c r="O1321">
        <v>0.5</v>
      </c>
      <c r="P1321">
        <v>1.3</v>
      </c>
      <c r="Q1321">
        <f t="shared" si="40"/>
        <v>1860123</v>
      </c>
      <c r="R1321">
        <f t="shared" si="39"/>
        <v>2.042875659297799</v>
      </c>
      <c r="U1321">
        <v>132</v>
      </c>
      <c r="V1321">
        <v>41</v>
      </c>
      <c r="W1321">
        <v>223</v>
      </c>
      <c r="X1321">
        <v>189</v>
      </c>
      <c r="Y1321">
        <v>41.1</v>
      </c>
      <c r="Z1321">
        <v>30</v>
      </c>
      <c r="AA1321">
        <v>52.1</v>
      </c>
    </row>
    <row r="1322" spans="1:27" x14ac:dyDescent="0.25">
      <c r="A1322" t="s">
        <v>237</v>
      </c>
      <c r="B1322" t="s">
        <v>210</v>
      </c>
      <c r="C1322" s="76">
        <v>43946</v>
      </c>
      <c r="D1322">
        <v>1503</v>
      </c>
      <c r="E1322">
        <v>682</v>
      </c>
      <c r="F1322">
        <v>2324</v>
      </c>
      <c r="G1322">
        <v>2667</v>
      </c>
      <c r="H1322">
        <v>36</v>
      </c>
      <c r="I1322">
        <v>27.1</v>
      </c>
      <c r="J1322">
        <v>45</v>
      </c>
      <c r="K1322">
        <v>45</v>
      </c>
      <c r="L1322">
        <v>17</v>
      </c>
      <c r="M1322">
        <v>73</v>
      </c>
      <c r="N1322">
        <v>1.1000000000000001</v>
      </c>
      <c r="O1322">
        <v>0.7</v>
      </c>
      <c r="P1322">
        <v>1.5</v>
      </c>
      <c r="Q1322">
        <f t="shared" si="40"/>
        <v>1860123</v>
      </c>
      <c r="R1322">
        <f t="shared" si="39"/>
        <v>2.4191948596947621</v>
      </c>
      <c r="U1322">
        <v>142</v>
      </c>
      <c r="V1322">
        <v>52</v>
      </c>
      <c r="W1322">
        <v>232</v>
      </c>
      <c r="X1322">
        <v>179</v>
      </c>
      <c r="Y1322">
        <v>44.2</v>
      </c>
      <c r="Z1322">
        <v>34.5</v>
      </c>
      <c r="AA1322">
        <v>53.9</v>
      </c>
    </row>
    <row r="1323" spans="1:27" x14ac:dyDescent="0.25">
      <c r="A1323" t="s">
        <v>237</v>
      </c>
      <c r="B1323" t="s">
        <v>210</v>
      </c>
      <c r="C1323" s="76">
        <v>43947</v>
      </c>
      <c r="D1323">
        <v>1507</v>
      </c>
      <c r="E1323">
        <v>676</v>
      </c>
      <c r="F1323">
        <v>2338</v>
      </c>
      <c r="G1323">
        <v>2653</v>
      </c>
      <c r="H1323">
        <v>36.200000000000003</v>
      </c>
      <c r="I1323">
        <v>27</v>
      </c>
      <c r="J1323">
        <v>45.5</v>
      </c>
      <c r="K1323">
        <v>48</v>
      </c>
      <c r="L1323">
        <v>18</v>
      </c>
      <c r="M1323">
        <v>79</v>
      </c>
      <c r="N1323">
        <v>1.2</v>
      </c>
      <c r="O1323">
        <v>0.6</v>
      </c>
      <c r="P1323">
        <v>1.7</v>
      </c>
      <c r="Q1323">
        <f t="shared" si="40"/>
        <v>1860123</v>
      </c>
      <c r="R1323">
        <f t="shared" si="39"/>
        <v>2.5804745170077465</v>
      </c>
      <c r="U1323">
        <v>151</v>
      </c>
      <c r="V1323">
        <v>54</v>
      </c>
      <c r="W1323">
        <v>247</v>
      </c>
      <c r="X1323">
        <v>170</v>
      </c>
      <c r="Y1323">
        <v>46.9</v>
      </c>
      <c r="Z1323">
        <v>37.299999999999997</v>
      </c>
      <c r="AA1323">
        <v>56.5</v>
      </c>
    </row>
    <row r="1324" spans="1:27" x14ac:dyDescent="0.25">
      <c r="A1324" t="s">
        <v>237</v>
      </c>
      <c r="B1324" t="s">
        <v>210</v>
      </c>
      <c r="C1324" s="76">
        <v>43948</v>
      </c>
      <c r="D1324">
        <v>1586</v>
      </c>
      <c r="E1324">
        <v>719</v>
      </c>
      <c r="F1324">
        <v>2453</v>
      </c>
      <c r="G1324">
        <v>2575</v>
      </c>
      <c r="H1324">
        <v>38.1</v>
      </c>
      <c r="I1324">
        <v>28.8</v>
      </c>
      <c r="J1324">
        <v>47.5</v>
      </c>
      <c r="K1324">
        <v>44</v>
      </c>
      <c r="L1324">
        <v>15</v>
      </c>
      <c r="M1324">
        <v>73</v>
      </c>
      <c r="N1324">
        <v>1.1000000000000001</v>
      </c>
      <c r="O1324">
        <v>0.6</v>
      </c>
      <c r="P1324">
        <v>1.5</v>
      </c>
      <c r="Q1324">
        <f t="shared" si="40"/>
        <v>1860123</v>
      </c>
      <c r="R1324">
        <f t="shared" si="39"/>
        <v>2.3654349739237674</v>
      </c>
      <c r="U1324">
        <v>139</v>
      </c>
      <c r="V1324">
        <v>57</v>
      </c>
      <c r="W1324">
        <v>220</v>
      </c>
      <c r="X1324">
        <v>182</v>
      </c>
      <c r="Y1324">
        <v>43.2</v>
      </c>
      <c r="Z1324">
        <v>34.1</v>
      </c>
      <c r="AA1324">
        <v>52.3</v>
      </c>
    </row>
    <row r="1325" spans="1:27" x14ac:dyDescent="0.25">
      <c r="A1325" t="s">
        <v>237</v>
      </c>
      <c r="B1325" t="s">
        <v>210</v>
      </c>
      <c r="C1325" s="76">
        <v>43949</v>
      </c>
      <c r="D1325">
        <v>1728</v>
      </c>
      <c r="E1325">
        <v>790</v>
      </c>
      <c r="F1325">
        <v>2666</v>
      </c>
      <c r="G1325">
        <v>2461</v>
      </c>
      <c r="H1325">
        <v>41.3</v>
      </c>
      <c r="I1325">
        <v>31.2</v>
      </c>
      <c r="J1325">
        <v>51.3</v>
      </c>
      <c r="K1325">
        <v>50</v>
      </c>
      <c r="L1325">
        <v>22</v>
      </c>
      <c r="M1325">
        <v>78</v>
      </c>
      <c r="N1325">
        <v>1.2</v>
      </c>
      <c r="O1325">
        <v>0.8</v>
      </c>
      <c r="P1325">
        <v>1.6</v>
      </c>
      <c r="Q1325">
        <f t="shared" si="40"/>
        <v>1860123</v>
      </c>
      <c r="R1325">
        <f t="shared" si="39"/>
        <v>2.6879942885497354</v>
      </c>
      <c r="U1325">
        <v>168</v>
      </c>
      <c r="V1325">
        <v>65</v>
      </c>
      <c r="W1325">
        <v>271</v>
      </c>
      <c r="X1325">
        <v>178</v>
      </c>
      <c r="Y1325">
        <v>48.4</v>
      </c>
      <c r="Z1325">
        <v>37.4</v>
      </c>
      <c r="AA1325">
        <v>59.5</v>
      </c>
    </row>
    <row r="1326" spans="1:27" x14ac:dyDescent="0.25">
      <c r="A1326" t="s">
        <v>237</v>
      </c>
      <c r="B1326" t="s">
        <v>210</v>
      </c>
      <c r="C1326" s="76">
        <v>43950</v>
      </c>
      <c r="D1326">
        <v>1742</v>
      </c>
      <c r="E1326">
        <v>799</v>
      </c>
      <c r="F1326">
        <v>2685</v>
      </c>
      <c r="G1326">
        <v>2466</v>
      </c>
      <c r="H1326">
        <v>41.4</v>
      </c>
      <c r="I1326">
        <v>31.4</v>
      </c>
      <c r="J1326">
        <v>51.4</v>
      </c>
      <c r="K1326">
        <v>49</v>
      </c>
      <c r="L1326">
        <v>15</v>
      </c>
      <c r="M1326">
        <v>82</v>
      </c>
      <c r="N1326">
        <v>1.2</v>
      </c>
      <c r="O1326">
        <v>0.6</v>
      </c>
      <c r="P1326">
        <v>1.7</v>
      </c>
      <c r="Q1326">
        <f t="shared" si="40"/>
        <v>1860123</v>
      </c>
      <c r="R1326">
        <f t="shared" si="39"/>
        <v>2.6342344027787412</v>
      </c>
      <c r="U1326">
        <v>157</v>
      </c>
      <c r="V1326">
        <v>60</v>
      </c>
      <c r="W1326">
        <v>254</v>
      </c>
      <c r="X1326">
        <v>193</v>
      </c>
      <c r="Y1326">
        <v>44.9</v>
      </c>
      <c r="Z1326">
        <v>37.1</v>
      </c>
      <c r="AA1326">
        <v>52.7</v>
      </c>
    </row>
    <row r="1327" spans="1:27" x14ac:dyDescent="0.25">
      <c r="A1327" t="s">
        <v>237</v>
      </c>
      <c r="B1327" t="s">
        <v>210</v>
      </c>
      <c r="C1327" s="76">
        <v>43951</v>
      </c>
      <c r="D1327">
        <v>1685</v>
      </c>
      <c r="E1327">
        <v>791</v>
      </c>
      <c r="F1327">
        <v>2579</v>
      </c>
      <c r="G1327">
        <v>2427</v>
      </c>
      <c r="H1327">
        <v>41</v>
      </c>
      <c r="I1327">
        <v>31.6</v>
      </c>
      <c r="J1327">
        <v>50.3</v>
      </c>
      <c r="K1327">
        <v>48</v>
      </c>
      <c r="L1327">
        <v>14</v>
      </c>
      <c r="M1327">
        <v>81</v>
      </c>
      <c r="N1327">
        <v>1.2</v>
      </c>
      <c r="O1327">
        <v>0.5</v>
      </c>
      <c r="P1327">
        <v>1.8</v>
      </c>
      <c r="Q1327">
        <f t="shared" si="40"/>
        <v>1860123</v>
      </c>
      <c r="R1327">
        <f t="shared" si="39"/>
        <v>2.5804745170077465</v>
      </c>
      <c r="U1327">
        <v>169</v>
      </c>
      <c r="V1327">
        <v>65</v>
      </c>
      <c r="W1327">
        <v>273</v>
      </c>
      <c r="X1327">
        <v>165</v>
      </c>
      <c r="Y1327">
        <v>50.7</v>
      </c>
      <c r="Z1327">
        <v>39.5</v>
      </c>
      <c r="AA1327">
        <v>61.9</v>
      </c>
    </row>
    <row r="1328" spans="1:27" x14ac:dyDescent="0.25">
      <c r="A1328" t="s">
        <v>237</v>
      </c>
      <c r="B1328" t="s">
        <v>210</v>
      </c>
      <c r="C1328" s="76">
        <v>43952</v>
      </c>
      <c r="D1328">
        <v>1625</v>
      </c>
      <c r="E1328">
        <v>766</v>
      </c>
      <c r="F1328">
        <v>2483</v>
      </c>
      <c r="G1328">
        <v>2532</v>
      </c>
      <c r="H1328">
        <v>39.1</v>
      </c>
      <c r="I1328">
        <v>29.9</v>
      </c>
      <c r="J1328">
        <v>48.3</v>
      </c>
      <c r="K1328">
        <v>42</v>
      </c>
      <c r="L1328">
        <v>13</v>
      </c>
      <c r="M1328">
        <v>70</v>
      </c>
      <c r="N1328">
        <v>1</v>
      </c>
      <c r="O1328">
        <v>0.5</v>
      </c>
      <c r="P1328">
        <v>1.5</v>
      </c>
      <c r="Q1328">
        <f t="shared" si="40"/>
        <v>1860123</v>
      </c>
      <c r="R1328">
        <f t="shared" si="39"/>
        <v>2.2579152023817781</v>
      </c>
      <c r="U1328">
        <v>167</v>
      </c>
      <c r="V1328">
        <v>63</v>
      </c>
      <c r="W1328">
        <v>272</v>
      </c>
      <c r="X1328">
        <v>163</v>
      </c>
      <c r="Y1328">
        <v>50.6</v>
      </c>
      <c r="Z1328">
        <v>38.299999999999997</v>
      </c>
      <c r="AA1328">
        <v>62.9</v>
      </c>
    </row>
    <row r="1329" spans="1:27" x14ac:dyDescent="0.25">
      <c r="A1329" t="s">
        <v>237</v>
      </c>
      <c r="B1329" t="s">
        <v>210</v>
      </c>
      <c r="C1329" s="76">
        <v>43953</v>
      </c>
      <c r="D1329">
        <v>1543</v>
      </c>
      <c r="E1329">
        <v>716</v>
      </c>
      <c r="F1329">
        <v>2370</v>
      </c>
      <c r="G1329">
        <v>2605</v>
      </c>
      <c r="H1329">
        <v>37.200000000000003</v>
      </c>
      <c r="I1329">
        <v>28.1</v>
      </c>
      <c r="J1329">
        <v>46.3</v>
      </c>
      <c r="K1329">
        <v>35</v>
      </c>
      <c r="L1329">
        <v>4</v>
      </c>
      <c r="M1329">
        <v>67</v>
      </c>
      <c r="N1329">
        <v>0.8</v>
      </c>
      <c r="O1329">
        <v>0.2</v>
      </c>
      <c r="P1329">
        <v>1.5</v>
      </c>
      <c r="Q1329">
        <f t="shared" si="40"/>
        <v>1860123</v>
      </c>
      <c r="R1329">
        <f t="shared" si="39"/>
        <v>1.8815960019848148</v>
      </c>
      <c r="U1329">
        <v>166</v>
      </c>
      <c r="V1329">
        <v>53</v>
      </c>
      <c r="W1329">
        <v>278</v>
      </c>
      <c r="X1329">
        <v>165</v>
      </c>
      <c r="Y1329">
        <v>50.2</v>
      </c>
      <c r="Z1329">
        <v>35.299999999999997</v>
      </c>
      <c r="AA1329">
        <v>65.099999999999994</v>
      </c>
    </row>
    <row r="1330" spans="1:27" x14ac:dyDescent="0.25">
      <c r="A1330" t="s">
        <v>237</v>
      </c>
      <c r="B1330" t="s">
        <v>210</v>
      </c>
      <c r="C1330" s="76">
        <v>43954</v>
      </c>
      <c r="D1330">
        <v>1505</v>
      </c>
      <c r="E1330">
        <v>694</v>
      </c>
      <c r="F1330">
        <v>2315</v>
      </c>
      <c r="G1330">
        <v>2545</v>
      </c>
      <c r="H1330">
        <v>37.200000000000003</v>
      </c>
      <c r="I1330">
        <v>27.8</v>
      </c>
      <c r="J1330">
        <v>46.5</v>
      </c>
      <c r="K1330">
        <v>40</v>
      </c>
      <c r="L1330">
        <v>12</v>
      </c>
      <c r="M1330">
        <v>68</v>
      </c>
      <c r="N1330">
        <v>1</v>
      </c>
      <c r="O1330">
        <v>0.4</v>
      </c>
      <c r="P1330">
        <v>1.5</v>
      </c>
      <c r="Q1330">
        <f t="shared" si="40"/>
        <v>1860123</v>
      </c>
      <c r="R1330">
        <f t="shared" si="39"/>
        <v>2.1503954308397888</v>
      </c>
      <c r="U1330">
        <v>151</v>
      </c>
      <c r="V1330">
        <v>46</v>
      </c>
      <c r="W1330">
        <v>256</v>
      </c>
      <c r="X1330">
        <v>178</v>
      </c>
      <c r="Y1330">
        <v>46</v>
      </c>
      <c r="Z1330">
        <v>31</v>
      </c>
      <c r="AA1330">
        <v>61.1</v>
      </c>
    </row>
    <row r="1331" spans="1:27" x14ac:dyDescent="0.25">
      <c r="A1331" t="s">
        <v>237</v>
      </c>
      <c r="B1331" t="s">
        <v>210</v>
      </c>
      <c r="C1331" s="76">
        <v>43955</v>
      </c>
      <c r="D1331">
        <v>1585</v>
      </c>
      <c r="E1331">
        <v>745</v>
      </c>
      <c r="F1331">
        <v>2426</v>
      </c>
      <c r="G1331">
        <v>2450</v>
      </c>
      <c r="H1331">
        <v>39.299999999999997</v>
      </c>
      <c r="I1331">
        <v>29.6</v>
      </c>
      <c r="J1331">
        <v>49</v>
      </c>
      <c r="K1331">
        <v>37</v>
      </c>
      <c r="L1331">
        <v>14</v>
      </c>
      <c r="M1331">
        <v>59</v>
      </c>
      <c r="N1331">
        <v>0.9</v>
      </c>
      <c r="O1331">
        <v>0.5</v>
      </c>
      <c r="P1331">
        <v>1.3</v>
      </c>
      <c r="Q1331">
        <f t="shared" si="40"/>
        <v>1860123</v>
      </c>
      <c r="R1331">
        <f t="shared" si="39"/>
        <v>1.9891157735268044</v>
      </c>
      <c r="U1331">
        <v>158</v>
      </c>
      <c r="V1331">
        <v>55</v>
      </c>
      <c r="W1331">
        <v>261</v>
      </c>
      <c r="X1331">
        <v>170</v>
      </c>
      <c r="Y1331">
        <v>48.3</v>
      </c>
      <c r="Z1331">
        <v>34.5</v>
      </c>
      <c r="AA1331">
        <v>62</v>
      </c>
    </row>
    <row r="1332" spans="1:27" x14ac:dyDescent="0.25">
      <c r="A1332" t="s">
        <v>237</v>
      </c>
      <c r="B1332" t="s">
        <v>210</v>
      </c>
      <c r="C1332" s="76">
        <v>43956</v>
      </c>
      <c r="D1332">
        <v>1659</v>
      </c>
      <c r="E1332">
        <v>786</v>
      </c>
      <c r="F1332">
        <v>2531</v>
      </c>
      <c r="G1332">
        <v>2437</v>
      </c>
      <c r="H1332">
        <v>40.5</v>
      </c>
      <c r="I1332">
        <v>31</v>
      </c>
      <c r="J1332">
        <v>50</v>
      </c>
      <c r="K1332">
        <v>53</v>
      </c>
      <c r="L1332">
        <v>21</v>
      </c>
      <c r="M1332">
        <v>85</v>
      </c>
      <c r="N1332">
        <v>1.3</v>
      </c>
      <c r="O1332">
        <v>0.9</v>
      </c>
      <c r="P1332">
        <v>1.7</v>
      </c>
      <c r="Q1332">
        <f t="shared" si="40"/>
        <v>1860123</v>
      </c>
      <c r="R1332">
        <f t="shared" si="39"/>
        <v>2.8492739458627199</v>
      </c>
      <c r="U1332">
        <v>187</v>
      </c>
      <c r="V1332">
        <v>70</v>
      </c>
      <c r="W1332">
        <v>305</v>
      </c>
      <c r="X1332">
        <v>140</v>
      </c>
      <c r="Y1332">
        <v>57.2</v>
      </c>
      <c r="Z1332">
        <v>42.8</v>
      </c>
      <c r="AA1332">
        <v>71.5</v>
      </c>
    </row>
    <row r="1333" spans="1:27" x14ac:dyDescent="0.25">
      <c r="A1333" t="s">
        <v>237</v>
      </c>
      <c r="B1333" t="s">
        <v>210</v>
      </c>
      <c r="C1333" s="76">
        <v>43957</v>
      </c>
      <c r="D1333">
        <v>1739</v>
      </c>
      <c r="E1333">
        <v>837</v>
      </c>
      <c r="F1333">
        <v>2641</v>
      </c>
      <c r="G1333">
        <v>2355</v>
      </c>
      <c r="H1333">
        <v>42.5</v>
      </c>
      <c r="I1333">
        <v>33.299999999999997</v>
      </c>
      <c r="J1333">
        <v>51.6</v>
      </c>
      <c r="K1333">
        <v>34</v>
      </c>
      <c r="L1333">
        <v>11</v>
      </c>
      <c r="M1333">
        <v>57</v>
      </c>
      <c r="N1333">
        <v>0.8</v>
      </c>
      <c r="O1333">
        <v>0.4</v>
      </c>
      <c r="P1333">
        <v>1.2</v>
      </c>
      <c r="Q1333">
        <f t="shared" si="40"/>
        <v>1860123</v>
      </c>
      <c r="R1333">
        <f t="shared" si="39"/>
        <v>1.8278361162138204</v>
      </c>
      <c r="U1333">
        <v>177</v>
      </c>
      <c r="V1333">
        <v>60</v>
      </c>
      <c r="W1333">
        <v>294</v>
      </c>
      <c r="X1333">
        <v>151</v>
      </c>
      <c r="Y1333">
        <v>54</v>
      </c>
      <c r="Z1333">
        <v>36.700000000000003</v>
      </c>
      <c r="AA1333">
        <v>71.400000000000006</v>
      </c>
    </row>
    <row r="1334" spans="1:27" x14ac:dyDescent="0.25">
      <c r="A1334" t="s">
        <v>237</v>
      </c>
      <c r="B1334" t="s">
        <v>210</v>
      </c>
      <c r="C1334" s="76">
        <v>43958</v>
      </c>
      <c r="D1334">
        <v>1693</v>
      </c>
      <c r="E1334">
        <v>784</v>
      </c>
      <c r="F1334">
        <v>2601</v>
      </c>
      <c r="G1334">
        <v>2399</v>
      </c>
      <c r="H1334">
        <v>41.4</v>
      </c>
      <c r="I1334">
        <v>32.200000000000003</v>
      </c>
      <c r="J1334">
        <v>50.5</v>
      </c>
      <c r="K1334">
        <v>38</v>
      </c>
      <c r="L1334">
        <v>12</v>
      </c>
      <c r="M1334">
        <v>65</v>
      </c>
      <c r="N1334">
        <v>0.9</v>
      </c>
      <c r="O1334">
        <v>0.4</v>
      </c>
      <c r="P1334">
        <v>1.4</v>
      </c>
      <c r="Q1334">
        <f t="shared" si="40"/>
        <v>1860123</v>
      </c>
      <c r="R1334">
        <f t="shared" si="39"/>
        <v>2.042875659297799</v>
      </c>
      <c r="U1334">
        <v>169</v>
      </c>
      <c r="V1334">
        <v>63</v>
      </c>
      <c r="W1334">
        <v>274</v>
      </c>
      <c r="X1334">
        <v>158</v>
      </c>
      <c r="Y1334">
        <v>51.6</v>
      </c>
      <c r="Z1334">
        <v>38.799999999999997</v>
      </c>
      <c r="AA1334">
        <v>64.400000000000006</v>
      </c>
    </row>
    <row r="1335" spans="1:27" x14ac:dyDescent="0.25">
      <c r="A1335" t="s">
        <v>237</v>
      </c>
      <c r="B1335" t="s">
        <v>210</v>
      </c>
      <c r="C1335" s="76">
        <v>43959</v>
      </c>
      <c r="D1335">
        <v>1602</v>
      </c>
      <c r="E1335">
        <v>731</v>
      </c>
      <c r="F1335">
        <v>2473</v>
      </c>
      <c r="G1335">
        <v>2493</v>
      </c>
      <c r="H1335">
        <v>39.1</v>
      </c>
      <c r="I1335">
        <v>29.7</v>
      </c>
      <c r="J1335">
        <v>48.5</v>
      </c>
      <c r="K1335">
        <v>29</v>
      </c>
      <c r="L1335">
        <v>7</v>
      </c>
      <c r="M1335">
        <v>52</v>
      </c>
      <c r="N1335">
        <v>0.7</v>
      </c>
      <c r="O1335">
        <v>0.3</v>
      </c>
      <c r="P1335">
        <v>1.1000000000000001</v>
      </c>
      <c r="Q1335">
        <f t="shared" si="40"/>
        <v>1860123</v>
      </c>
      <c r="R1335">
        <f t="shared" si="39"/>
        <v>1.5590366873588466</v>
      </c>
      <c r="U1335">
        <v>166</v>
      </c>
      <c r="V1335">
        <v>64</v>
      </c>
      <c r="W1335">
        <v>268</v>
      </c>
      <c r="X1335">
        <v>166</v>
      </c>
      <c r="Y1335">
        <v>49.9</v>
      </c>
      <c r="Z1335">
        <v>38.1</v>
      </c>
      <c r="AA1335">
        <v>61.8</v>
      </c>
    </row>
    <row r="1336" spans="1:27" x14ac:dyDescent="0.25">
      <c r="A1336" t="s">
        <v>237</v>
      </c>
      <c r="B1336" t="s">
        <v>210</v>
      </c>
      <c r="C1336" s="76">
        <v>43960</v>
      </c>
      <c r="D1336">
        <v>1522</v>
      </c>
      <c r="E1336">
        <v>691</v>
      </c>
      <c r="F1336">
        <v>2352</v>
      </c>
      <c r="G1336">
        <v>2522</v>
      </c>
      <c r="H1336">
        <v>37.6</v>
      </c>
      <c r="I1336">
        <v>27.4</v>
      </c>
      <c r="J1336">
        <v>47.8</v>
      </c>
      <c r="K1336">
        <v>29</v>
      </c>
      <c r="L1336">
        <v>11</v>
      </c>
      <c r="M1336">
        <v>48</v>
      </c>
      <c r="N1336">
        <v>0.7</v>
      </c>
      <c r="O1336">
        <v>0.4</v>
      </c>
      <c r="P1336">
        <v>1.1000000000000001</v>
      </c>
      <c r="Q1336">
        <f t="shared" si="40"/>
        <v>1860123</v>
      </c>
      <c r="R1336">
        <f t="shared" si="39"/>
        <v>1.5590366873588466</v>
      </c>
      <c r="U1336">
        <v>155</v>
      </c>
      <c r="V1336">
        <v>56</v>
      </c>
      <c r="W1336">
        <v>254</v>
      </c>
      <c r="X1336">
        <v>172</v>
      </c>
      <c r="Y1336">
        <v>47.3</v>
      </c>
      <c r="Z1336">
        <v>33.799999999999997</v>
      </c>
      <c r="AA1336">
        <v>60.8</v>
      </c>
    </row>
    <row r="1337" spans="1:27" x14ac:dyDescent="0.25">
      <c r="A1337" t="s">
        <v>237</v>
      </c>
      <c r="B1337" t="s">
        <v>210</v>
      </c>
      <c r="C1337" s="76">
        <v>43961</v>
      </c>
      <c r="D1337">
        <v>1496</v>
      </c>
      <c r="E1337">
        <v>691</v>
      </c>
      <c r="F1337">
        <v>2300</v>
      </c>
      <c r="G1337">
        <v>2537</v>
      </c>
      <c r="H1337">
        <v>37.1</v>
      </c>
      <c r="I1337">
        <v>27.4</v>
      </c>
      <c r="J1337">
        <v>46.8</v>
      </c>
      <c r="K1337">
        <v>32</v>
      </c>
      <c r="L1337">
        <v>11</v>
      </c>
      <c r="M1337">
        <v>54</v>
      </c>
      <c r="N1337">
        <v>0.8</v>
      </c>
      <c r="O1337">
        <v>0.4</v>
      </c>
      <c r="P1337">
        <v>1.2</v>
      </c>
      <c r="Q1337">
        <f t="shared" si="40"/>
        <v>1860123</v>
      </c>
      <c r="R1337">
        <f t="shared" si="39"/>
        <v>1.7203163446718308</v>
      </c>
      <c r="U1337">
        <v>151</v>
      </c>
      <c r="V1337">
        <v>53</v>
      </c>
      <c r="W1337">
        <v>250</v>
      </c>
      <c r="X1337">
        <v>180</v>
      </c>
      <c r="Y1337">
        <v>45.7</v>
      </c>
      <c r="Z1337">
        <v>32.299999999999997</v>
      </c>
      <c r="AA1337">
        <v>59</v>
      </c>
    </row>
    <row r="1338" spans="1:27" x14ac:dyDescent="0.25">
      <c r="A1338" t="s">
        <v>237</v>
      </c>
      <c r="B1338" t="s">
        <v>210</v>
      </c>
      <c r="C1338" s="76">
        <v>43962</v>
      </c>
      <c r="D1338">
        <v>1648</v>
      </c>
      <c r="E1338">
        <v>808</v>
      </c>
      <c r="F1338">
        <v>2488</v>
      </c>
      <c r="G1338">
        <v>2420</v>
      </c>
      <c r="H1338">
        <v>40.5</v>
      </c>
      <c r="I1338">
        <v>31.8</v>
      </c>
      <c r="J1338">
        <v>49.2</v>
      </c>
      <c r="K1338">
        <v>43</v>
      </c>
      <c r="L1338">
        <v>6</v>
      </c>
      <c r="M1338">
        <v>79</v>
      </c>
      <c r="N1338">
        <v>1</v>
      </c>
      <c r="O1338">
        <v>0.3</v>
      </c>
      <c r="P1338">
        <v>1.8</v>
      </c>
      <c r="Q1338">
        <f t="shared" si="40"/>
        <v>1860123</v>
      </c>
      <c r="R1338">
        <f t="shared" si="39"/>
        <v>2.3116750881527723</v>
      </c>
      <c r="U1338">
        <v>158</v>
      </c>
      <c r="V1338">
        <v>61</v>
      </c>
      <c r="W1338">
        <v>255</v>
      </c>
      <c r="X1338">
        <v>175</v>
      </c>
      <c r="Y1338">
        <v>47.4</v>
      </c>
      <c r="Z1338">
        <v>35.1</v>
      </c>
      <c r="AA1338">
        <v>59.7</v>
      </c>
    </row>
    <row r="1339" spans="1:27" x14ac:dyDescent="0.25">
      <c r="A1339" t="s">
        <v>237</v>
      </c>
      <c r="B1339" t="s">
        <v>210</v>
      </c>
      <c r="C1339" s="76">
        <v>43963</v>
      </c>
      <c r="D1339">
        <v>1774</v>
      </c>
      <c r="E1339">
        <v>861</v>
      </c>
      <c r="F1339">
        <v>2687</v>
      </c>
      <c r="G1339">
        <v>2376</v>
      </c>
      <c r="H1339">
        <v>42.7</v>
      </c>
      <c r="I1339">
        <v>34.4</v>
      </c>
      <c r="J1339">
        <v>51</v>
      </c>
      <c r="K1339">
        <v>41</v>
      </c>
      <c r="L1339">
        <v>13</v>
      </c>
      <c r="M1339">
        <v>69</v>
      </c>
      <c r="N1339">
        <v>1</v>
      </c>
      <c r="O1339">
        <v>0.4</v>
      </c>
      <c r="P1339">
        <v>1.6</v>
      </c>
      <c r="Q1339">
        <f t="shared" si="40"/>
        <v>1860123</v>
      </c>
      <c r="R1339">
        <f t="shared" si="39"/>
        <v>2.2041553166107835</v>
      </c>
      <c r="U1339">
        <v>170</v>
      </c>
      <c r="V1339">
        <v>70</v>
      </c>
      <c r="W1339">
        <v>270</v>
      </c>
      <c r="X1339">
        <v>163</v>
      </c>
      <c r="Y1339">
        <v>51.2</v>
      </c>
      <c r="Z1339">
        <v>40.1</v>
      </c>
      <c r="AA1339">
        <v>62.2</v>
      </c>
    </row>
    <row r="1340" spans="1:27" x14ac:dyDescent="0.25">
      <c r="A1340" t="s">
        <v>237</v>
      </c>
      <c r="B1340" t="s">
        <v>210</v>
      </c>
      <c r="C1340" s="76">
        <v>43964</v>
      </c>
      <c r="D1340">
        <v>1834</v>
      </c>
      <c r="E1340">
        <v>895</v>
      </c>
      <c r="F1340">
        <v>2774</v>
      </c>
      <c r="G1340">
        <v>2259</v>
      </c>
      <c r="H1340">
        <v>44.8</v>
      </c>
      <c r="I1340">
        <v>35</v>
      </c>
      <c r="J1340">
        <v>54.6</v>
      </c>
      <c r="K1340">
        <v>33</v>
      </c>
      <c r="L1340">
        <v>9</v>
      </c>
      <c r="M1340">
        <v>57</v>
      </c>
      <c r="N1340">
        <v>0.8</v>
      </c>
      <c r="O1340">
        <v>0.3</v>
      </c>
      <c r="P1340">
        <v>1.3</v>
      </c>
      <c r="Q1340">
        <f t="shared" si="40"/>
        <v>1860123</v>
      </c>
      <c r="R1340">
        <f t="shared" si="39"/>
        <v>1.7740762304428257</v>
      </c>
      <c r="U1340">
        <v>171</v>
      </c>
      <c r="V1340">
        <v>64</v>
      </c>
      <c r="W1340">
        <v>278</v>
      </c>
      <c r="X1340">
        <v>160</v>
      </c>
      <c r="Y1340">
        <v>51.6</v>
      </c>
      <c r="Z1340">
        <v>38.5</v>
      </c>
      <c r="AA1340">
        <v>64.8</v>
      </c>
    </row>
    <row r="1341" spans="1:27" x14ac:dyDescent="0.25">
      <c r="A1341" t="s">
        <v>237</v>
      </c>
      <c r="B1341" t="s">
        <v>210</v>
      </c>
      <c r="C1341" s="76">
        <v>43965</v>
      </c>
      <c r="D1341">
        <v>1818</v>
      </c>
      <c r="E1341">
        <v>886</v>
      </c>
      <c r="F1341">
        <v>2749</v>
      </c>
      <c r="G1341">
        <v>2357</v>
      </c>
      <c r="H1341">
        <v>43.5</v>
      </c>
      <c r="I1341">
        <v>33.9</v>
      </c>
      <c r="J1341">
        <v>53.2</v>
      </c>
      <c r="K1341">
        <v>27</v>
      </c>
      <c r="L1341">
        <v>4</v>
      </c>
      <c r="M1341">
        <v>51</v>
      </c>
      <c r="N1341">
        <v>0.7</v>
      </c>
      <c r="O1341">
        <v>0.2</v>
      </c>
      <c r="P1341">
        <v>1.1000000000000001</v>
      </c>
      <c r="Q1341">
        <f t="shared" si="40"/>
        <v>1860123</v>
      </c>
      <c r="R1341">
        <f t="shared" si="39"/>
        <v>1.4515169158168573</v>
      </c>
      <c r="U1341">
        <v>170</v>
      </c>
      <c r="V1341">
        <v>63</v>
      </c>
      <c r="W1341">
        <v>277</v>
      </c>
      <c r="X1341">
        <v>167</v>
      </c>
      <c r="Y1341">
        <v>50.5</v>
      </c>
      <c r="Z1341">
        <v>37.799999999999997</v>
      </c>
      <c r="AA1341">
        <v>63.1</v>
      </c>
    </row>
    <row r="1342" spans="1:27" x14ac:dyDescent="0.25">
      <c r="A1342" t="s">
        <v>237</v>
      </c>
      <c r="B1342" t="s">
        <v>210</v>
      </c>
      <c r="C1342" s="76">
        <v>43966</v>
      </c>
      <c r="D1342">
        <v>1738</v>
      </c>
      <c r="E1342">
        <v>840</v>
      </c>
      <c r="F1342">
        <v>2636</v>
      </c>
      <c r="G1342">
        <v>2421</v>
      </c>
      <c r="H1342">
        <v>41.8</v>
      </c>
      <c r="I1342">
        <v>32.299999999999997</v>
      </c>
      <c r="J1342">
        <v>51.3</v>
      </c>
      <c r="K1342">
        <v>35</v>
      </c>
      <c r="L1342">
        <v>10</v>
      </c>
      <c r="M1342">
        <v>59</v>
      </c>
      <c r="N1342">
        <v>0.8</v>
      </c>
      <c r="O1342">
        <v>0.3</v>
      </c>
      <c r="P1342">
        <v>1.3</v>
      </c>
      <c r="Q1342">
        <f t="shared" si="40"/>
        <v>1860123</v>
      </c>
      <c r="R1342">
        <f t="shared" si="39"/>
        <v>1.8815960019848148</v>
      </c>
      <c r="U1342">
        <v>175</v>
      </c>
      <c r="V1342">
        <v>65</v>
      </c>
      <c r="W1342">
        <v>285</v>
      </c>
      <c r="X1342">
        <v>162</v>
      </c>
      <c r="Y1342">
        <v>52</v>
      </c>
      <c r="Z1342">
        <v>38.1</v>
      </c>
      <c r="AA1342">
        <v>65.900000000000006</v>
      </c>
    </row>
    <row r="1343" spans="1:27" x14ac:dyDescent="0.25">
      <c r="A1343" t="s">
        <v>237</v>
      </c>
      <c r="B1343" t="s">
        <v>210</v>
      </c>
      <c r="C1343" s="76">
        <v>43967</v>
      </c>
      <c r="D1343">
        <v>1651</v>
      </c>
      <c r="E1343">
        <v>801</v>
      </c>
      <c r="F1343">
        <v>2501</v>
      </c>
      <c r="G1343">
        <v>2499</v>
      </c>
      <c r="H1343">
        <v>39.799999999999997</v>
      </c>
      <c r="I1343">
        <v>30.6</v>
      </c>
      <c r="J1343">
        <v>48.9</v>
      </c>
      <c r="K1343">
        <v>30</v>
      </c>
      <c r="L1343">
        <v>10</v>
      </c>
      <c r="M1343">
        <v>49</v>
      </c>
      <c r="N1343">
        <v>0.7</v>
      </c>
      <c r="O1343">
        <v>0.4</v>
      </c>
      <c r="P1343">
        <v>1.1000000000000001</v>
      </c>
      <c r="Q1343">
        <f t="shared" si="40"/>
        <v>1860123</v>
      </c>
      <c r="R1343">
        <f t="shared" si="39"/>
        <v>1.6127965731298415</v>
      </c>
      <c r="U1343">
        <v>176</v>
      </c>
      <c r="V1343">
        <v>68</v>
      </c>
      <c r="W1343">
        <v>284</v>
      </c>
      <c r="X1343">
        <v>161</v>
      </c>
      <c r="Y1343">
        <v>52.3</v>
      </c>
      <c r="Z1343">
        <v>38.200000000000003</v>
      </c>
      <c r="AA1343">
        <v>66.5</v>
      </c>
    </row>
    <row r="1344" spans="1:27" x14ac:dyDescent="0.25">
      <c r="A1344" t="s">
        <v>237</v>
      </c>
      <c r="B1344" t="s">
        <v>210</v>
      </c>
      <c r="C1344" s="76">
        <v>43968</v>
      </c>
      <c r="D1344">
        <v>1596</v>
      </c>
      <c r="E1344">
        <v>755</v>
      </c>
      <c r="F1344">
        <v>2438</v>
      </c>
      <c r="G1344">
        <v>2533</v>
      </c>
      <c r="H1344">
        <v>38.700000000000003</v>
      </c>
      <c r="I1344">
        <v>28.6</v>
      </c>
      <c r="J1344">
        <v>48.7</v>
      </c>
      <c r="K1344">
        <v>42</v>
      </c>
      <c r="L1344">
        <v>14</v>
      </c>
      <c r="M1344">
        <v>69</v>
      </c>
      <c r="N1344">
        <v>1</v>
      </c>
      <c r="O1344">
        <v>0.5</v>
      </c>
      <c r="P1344">
        <v>1.5</v>
      </c>
      <c r="Q1344">
        <f t="shared" si="40"/>
        <v>1860123</v>
      </c>
      <c r="R1344">
        <f t="shared" si="39"/>
        <v>2.2579152023817781</v>
      </c>
      <c r="U1344">
        <v>182</v>
      </c>
      <c r="V1344">
        <v>67</v>
      </c>
      <c r="W1344">
        <v>297</v>
      </c>
      <c r="X1344">
        <v>155</v>
      </c>
      <c r="Y1344">
        <v>54</v>
      </c>
      <c r="Z1344">
        <v>39</v>
      </c>
      <c r="AA1344">
        <v>69</v>
      </c>
    </row>
    <row r="1345" spans="1:27" x14ac:dyDescent="0.25">
      <c r="A1345" t="s">
        <v>237</v>
      </c>
      <c r="B1345" t="s">
        <v>210</v>
      </c>
      <c r="C1345" s="76">
        <v>43969</v>
      </c>
      <c r="D1345">
        <v>1682</v>
      </c>
      <c r="E1345">
        <v>809</v>
      </c>
      <c r="F1345">
        <v>2554</v>
      </c>
      <c r="G1345">
        <v>2426</v>
      </c>
      <c r="H1345">
        <v>40.9</v>
      </c>
      <c r="I1345">
        <v>32.1</v>
      </c>
      <c r="J1345">
        <v>49.8</v>
      </c>
      <c r="K1345">
        <v>41</v>
      </c>
      <c r="L1345">
        <v>12</v>
      </c>
      <c r="M1345">
        <v>70</v>
      </c>
      <c r="N1345">
        <v>1</v>
      </c>
      <c r="O1345">
        <v>0.4</v>
      </c>
      <c r="P1345">
        <v>1.6</v>
      </c>
      <c r="Q1345">
        <f t="shared" si="40"/>
        <v>1860123</v>
      </c>
      <c r="R1345">
        <f t="shared" si="39"/>
        <v>2.2041553166107835</v>
      </c>
      <c r="U1345">
        <v>194</v>
      </c>
      <c r="V1345">
        <v>76</v>
      </c>
      <c r="W1345">
        <v>313</v>
      </c>
      <c r="X1345">
        <v>137</v>
      </c>
      <c r="Y1345">
        <v>58.6</v>
      </c>
      <c r="Z1345">
        <v>44.9</v>
      </c>
      <c r="AA1345">
        <v>72.400000000000006</v>
      </c>
    </row>
    <row r="1346" spans="1:27" x14ac:dyDescent="0.25">
      <c r="A1346" t="s">
        <v>237</v>
      </c>
      <c r="B1346" t="s">
        <v>210</v>
      </c>
      <c r="C1346" s="76">
        <v>43970</v>
      </c>
      <c r="D1346">
        <v>1800</v>
      </c>
      <c r="E1346">
        <v>873</v>
      </c>
      <c r="F1346">
        <v>2728</v>
      </c>
      <c r="G1346">
        <v>2309</v>
      </c>
      <c r="H1346">
        <v>43.8</v>
      </c>
      <c r="I1346">
        <v>34.4</v>
      </c>
      <c r="J1346">
        <v>53.2</v>
      </c>
      <c r="K1346">
        <v>41</v>
      </c>
      <c r="L1346">
        <v>12</v>
      </c>
      <c r="M1346">
        <v>70</v>
      </c>
      <c r="N1346">
        <v>1</v>
      </c>
      <c r="O1346">
        <v>0.4</v>
      </c>
      <c r="P1346">
        <v>1.6</v>
      </c>
      <c r="Q1346">
        <f t="shared" si="40"/>
        <v>1860123</v>
      </c>
      <c r="R1346">
        <f t="shared" si="39"/>
        <v>2.2041553166107835</v>
      </c>
      <c r="U1346">
        <v>174</v>
      </c>
      <c r="V1346">
        <v>60</v>
      </c>
      <c r="W1346">
        <v>288</v>
      </c>
      <c r="X1346">
        <v>156</v>
      </c>
      <c r="Y1346">
        <v>52.7</v>
      </c>
      <c r="Z1346">
        <v>37</v>
      </c>
      <c r="AA1346">
        <v>68.400000000000006</v>
      </c>
    </row>
    <row r="1347" spans="1:27" x14ac:dyDescent="0.25">
      <c r="A1347" t="s">
        <v>237</v>
      </c>
      <c r="B1347" t="s">
        <v>210</v>
      </c>
      <c r="C1347" s="76">
        <v>43971</v>
      </c>
      <c r="D1347">
        <v>1868</v>
      </c>
      <c r="E1347">
        <v>902</v>
      </c>
      <c r="F1347">
        <v>2834</v>
      </c>
      <c r="G1347">
        <v>2248</v>
      </c>
      <c r="H1347">
        <v>45.4</v>
      </c>
      <c r="I1347">
        <v>35.200000000000003</v>
      </c>
      <c r="J1347">
        <v>55.5</v>
      </c>
      <c r="K1347">
        <v>47</v>
      </c>
      <c r="L1347">
        <v>10</v>
      </c>
      <c r="M1347">
        <v>84</v>
      </c>
      <c r="N1347">
        <v>1.1000000000000001</v>
      </c>
      <c r="O1347">
        <v>0.4</v>
      </c>
      <c r="P1347">
        <v>1.9</v>
      </c>
      <c r="Q1347">
        <f t="shared" si="40"/>
        <v>1860123</v>
      </c>
      <c r="R1347">
        <f t="shared" si="39"/>
        <v>2.5267146312367514</v>
      </c>
      <c r="U1347">
        <v>181</v>
      </c>
      <c r="V1347">
        <v>68</v>
      </c>
      <c r="W1347">
        <v>294</v>
      </c>
      <c r="X1347">
        <v>152</v>
      </c>
      <c r="Y1347">
        <v>54.4</v>
      </c>
      <c r="Z1347">
        <v>40.799999999999997</v>
      </c>
      <c r="AA1347">
        <v>68</v>
      </c>
    </row>
    <row r="1348" spans="1:27" x14ac:dyDescent="0.25">
      <c r="A1348" t="s">
        <v>237</v>
      </c>
      <c r="B1348" t="s">
        <v>210</v>
      </c>
      <c r="C1348" s="76">
        <v>43972</v>
      </c>
      <c r="D1348">
        <v>1823</v>
      </c>
      <c r="E1348">
        <v>870</v>
      </c>
      <c r="F1348">
        <v>2775</v>
      </c>
      <c r="G1348">
        <v>2346</v>
      </c>
      <c r="H1348">
        <v>43.7</v>
      </c>
      <c r="I1348">
        <v>33.6</v>
      </c>
      <c r="J1348">
        <v>53.8</v>
      </c>
      <c r="K1348">
        <v>37</v>
      </c>
      <c r="L1348">
        <v>11</v>
      </c>
      <c r="M1348">
        <v>63</v>
      </c>
      <c r="N1348">
        <v>0.9</v>
      </c>
      <c r="O1348">
        <v>0.4</v>
      </c>
      <c r="P1348">
        <v>1.4</v>
      </c>
      <c r="Q1348">
        <f t="shared" si="40"/>
        <v>1860123</v>
      </c>
      <c r="R1348">
        <f t="shared" si="39"/>
        <v>1.9891157735268044</v>
      </c>
      <c r="U1348">
        <v>189</v>
      </c>
      <c r="V1348">
        <v>65</v>
      </c>
      <c r="W1348">
        <v>312</v>
      </c>
      <c r="X1348">
        <v>147</v>
      </c>
      <c r="Y1348">
        <v>56.2</v>
      </c>
      <c r="Z1348">
        <v>38</v>
      </c>
      <c r="AA1348">
        <v>74.5</v>
      </c>
    </row>
    <row r="1349" spans="1:27" x14ac:dyDescent="0.25">
      <c r="A1349" t="s">
        <v>237</v>
      </c>
      <c r="B1349" t="s">
        <v>210</v>
      </c>
      <c r="C1349" s="76">
        <v>43973</v>
      </c>
      <c r="D1349">
        <v>1711</v>
      </c>
      <c r="E1349">
        <v>799</v>
      </c>
      <c r="F1349">
        <v>2623</v>
      </c>
      <c r="G1349">
        <v>2465</v>
      </c>
      <c r="H1349">
        <v>41</v>
      </c>
      <c r="I1349">
        <v>31.3</v>
      </c>
      <c r="J1349">
        <v>50.7</v>
      </c>
      <c r="K1349">
        <v>29</v>
      </c>
      <c r="L1349">
        <v>0</v>
      </c>
      <c r="M1349">
        <v>58</v>
      </c>
      <c r="N1349">
        <v>0.7</v>
      </c>
      <c r="O1349">
        <v>0.1</v>
      </c>
      <c r="P1349">
        <v>1.3</v>
      </c>
      <c r="Q1349">
        <f t="shared" si="40"/>
        <v>1860123</v>
      </c>
      <c r="R1349">
        <f t="shared" ref="R1349:R1412" si="41">K1349/(Q1349)*100000</f>
        <v>1.5590366873588466</v>
      </c>
      <c r="U1349">
        <v>173</v>
      </c>
      <c r="V1349">
        <v>63</v>
      </c>
      <c r="W1349">
        <v>283</v>
      </c>
      <c r="X1349">
        <v>161</v>
      </c>
      <c r="Y1349">
        <v>51.8</v>
      </c>
      <c r="Z1349">
        <v>37.799999999999997</v>
      </c>
      <c r="AA1349">
        <v>65.900000000000006</v>
      </c>
    </row>
    <row r="1350" spans="1:27" x14ac:dyDescent="0.25">
      <c r="A1350" t="s">
        <v>237</v>
      </c>
      <c r="B1350" t="s">
        <v>210</v>
      </c>
      <c r="C1350" s="76">
        <v>43974</v>
      </c>
      <c r="D1350">
        <v>1631</v>
      </c>
      <c r="E1350">
        <v>774</v>
      </c>
      <c r="F1350">
        <v>2489</v>
      </c>
      <c r="G1350">
        <v>2525</v>
      </c>
      <c r="H1350">
        <v>39.299999999999997</v>
      </c>
      <c r="I1350">
        <v>29.4</v>
      </c>
      <c r="J1350">
        <v>49.1</v>
      </c>
      <c r="K1350">
        <v>26</v>
      </c>
      <c r="L1350">
        <v>3</v>
      </c>
      <c r="M1350">
        <v>48</v>
      </c>
      <c r="N1350">
        <v>0.6</v>
      </c>
      <c r="O1350">
        <v>0.2</v>
      </c>
      <c r="P1350">
        <v>1</v>
      </c>
      <c r="Q1350">
        <f t="shared" si="40"/>
        <v>1860123</v>
      </c>
      <c r="R1350">
        <f t="shared" si="41"/>
        <v>1.3977570300458626</v>
      </c>
      <c r="U1350">
        <v>162</v>
      </c>
      <c r="V1350">
        <v>56</v>
      </c>
      <c r="W1350">
        <v>268</v>
      </c>
      <c r="X1350">
        <v>172</v>
      </c>
      <c r="Y1350">
        <v>48.4</v>
      </c>
      <c r="Z1350">
        <v>34.200000000000003</v>
      </c>
      <c r="AA1350">
        <v>62.7</v>
      </c>
    </row>
    <row r="1351" spans="1:27" x14ac:dyDescent="0.25">
      <c r="A1351" t="s">
        <v>237</v>
      </c>
      <c r="B1351" t="s">
        <v>210</v>
      </c>
      <c r="C1351" s="76">
        <v>43975</v>
      </c>
      <c r="D1351">
        <v>1613</v>
      </c>
      <c r="E1351">
        <v>775</v>
      </c>
      <c r="F1351">
        <v>2451</v>
      </c>
      <c r="G1351">
        <v>2554</v>
      </c>
      <c r="H1351">
        <v>38.700000000000003</v>
      </c>
      <c r="I1351">
        <v>29</v>
      </c>
      <c r="J1351">
        <v>48.4</v>
      </c>
      <c r="K1351">
        <v>31</v>
      </c>
      <c r="L1351">
        <v>7</v>
      </c>
      <c r="M1351">
        <v>54</v>
      </c>
      <c r="N1351">
        <v>0.7</v>
      </c>
      <c r="O1351">
        <v>0.3</v>
      </c>
      <c r="P1351">
        <v>1.1000000000000001</v>
      </c>
      <c r="Q1351">
        <f t="shared" si="40"/>
        <v>1860123</v>
      </c>
      <c r="R1351">
        <f t="shared" si="41"/>
        <v>1.6665564589008361</v>
      </c>
      <c r="U1351">
        <v>162</v>
      </c>
      <c r="V1351">
        <v>60</v>
      </c>
      <c r="W1351">
        <v>264</v>
      </c>
      <c r="X1351">
        <v>172</v>
      </c>
      <c r="Y1351">
        <v>48.5</v>
      </c>
      <c r="Z1351">
        <v>34.5</v>
      </c>
      <c r="AA1351">
        <v>62.4</v>
      </c>
    </row>
    <row r="1352" spans="1:27" x14ac:dyDescent="0.25">
      <c r="A1352" t="s">
        <v>237</v>
      </c>
      <c r="B1352" t="s">
        <v>210</v>
      </c>
      <c r="C1352" s="76">
        <v>43976</v>
      </c>
      <c r="D1352">
        <v>1569</v>
      </c>
      <c r="E1352">
        <v>747</v>
      </c>
      <c r="F1352">
        <v>2391</v>
      </c>
      <c r="G1352">
        <v>2655</v>
      </c>
      <c r="H1352">
        <v>37.1</v>
      </c>
      <c r="I1352">
        <v>27.3</v>
      </c>
      <c r="J1352">
        <v>46.9</v>
      </c>
      <c r="K1352">
        <v>21</v>
      </c>
      <c r="L1352">
        <v>0</v>
      </c>
      <c r="M1352">
        <v>43</v>
      </c>
      <c r="N1352">
        <v>0.5</v>
      </c>
      <c r="O1352">
        <v>0.1</v>
      </c>
      <c r="P1352">
        <v>0.9</v>
      </c>
      <c r="Q1352">
        <f t="shared" si="40"/>
        <v>1860123</v>
      </c>
      <c r="R1352">
        <f t="shared" si="41"/>
        <v>1.1289576011908891</v>
      </c>
      <c r="U1352">
        <v>164</v>
      </c>
      <c r="V1352">
        <v>59</v>
      </c>
      <c r="W1352">
        <v>269</v>
      </c>
      <c r="X1352">
        <v>153</v>
      </c>
      <c r="Y1352">
        <v>51.7</v>
      </c>
      <c r="Z1352">
        <v>37.6</v>
      </c>
      <c r="AA1352">
        <v>65.8</v>
      </c>
    </row>
    <row r="1353" spans="1:27" x14ac:dyDescent="0.25">
      <c r="A1353" t="s">
        <v>237</v>
      </c>
      <c r="B1353" t="s">
        <v>210</v>
      </c>
      <c r="C1353" s="76">
        <v>43977</v>
      </c>
      <c r="D1353">
        <v>1721</v>
      </c>
      <c r="E1353">
        <v>829</v>
      </c>
      <c r="F1353">
        <v>2613</v>
      </c>
      <c r="G1353">
        <v>2423</v>
      </c>
      <c r="H1353">
        <v>41.5</v>
      </c>
      <c r="I1353">
        <v>32.700000000000003</v>
      </c>
      <c r="J1353">
        <v>50.4</v>
      </c>
      <c r="K1353">
        <v>30</v>
      </c>
      <c r="L1353">
        <v>8</v>
      </c>
      <c r="M1353">
        <v>52</v>
      </c>
      <c r="N1353">
        <v>0.7</v>
      </c>
      <c r="O1353">
        <v>0.3</v>
      </c>
      <c r="P1353">
        <v>1.1000000000000001</v>
      </c>
      <c r="Q1353">
        <f t="shared" si="40"/>
        <v>1860123</v>
      </c>
      <c r="R1353">
        <f t="shared" si="41"/>
        <v>1.6127965731298415</v>
      </c>
      <c r="U1353">
        <v>160</v>
      </c>
      <c r="V1353">
        <v>60</v>
      </c>
      <c r="W1353">
        <v>261</v>
      </c>
      <c r="X1353">
        <v>155</v>
      </c>
      <c r="Y1353">
        <v>50.9</v>
      </c>
      <c r="Z1353">
        <v>41.5</v>
      </c>
      <c r="AA1353">
        <v>60.3</v>
      </c>
    </row>
    <row r="1354" spans="1:27" x14ac:dyDescent="0.25">
      <c r="A1354" t="s">
        <v>237</v>
      </c>
      <c r="B1354" t="s">
        <v>210</v>
      </c>
      <c r="C1354" s="76">
        <v>43978</v>
      </c>
      <c r="D1354">
        <v>1885</v>
      </c>
      <c r="E1354">
        <v>912</v>
      </c>
      <c r="F1354">
        <v>2858</v>
      </c>
      <c r="G1354">
        <v>2284</v>
      </c>
      <c r="H1354">
        <v>45.2</v>
      </c>
      <c r="I1354">
        <v>35.799999999999997</v>
      </c>
      <c r="J1354">
        <v>54.6</v>
      </c>
      <c r="K1354">
        <v>30</v>
      </c>
      <c r="L1354">
        <v>7</v>
      </c>
      <c r="M1354">
        <v>52</v>
      </c>
      <c r="N1354">
        <v>0.7</v>
      </c>
      <c r="O1354">
        <v>0.4</v>
      </c>
      <c r="P1354">
        <v>1.1000000000000001</v>
      </c>
      <c r="Q1354">
        <f t="shared" si="40"/>
        <v>1860123</v>
      </c>
      <c r="R1354">
        <f t="shared" si="41"/>
        <v>1.6127965731298415</v>
      </c>
      <c r="U1354">
        <v>181</v>
      </c>
      <c r="V1354">
        <v>67</v>
      </c>
      <c r="W1354">
        <v>295</v>
      </c>
      <c r="X1354">
        <v>128</v>
      </c>
      <c r="Y1354">
        <v>58.7</v>
      </c>
      <c r="Z1354">
        <v>47.9</v>
      </c>
      <c r="AA1354">
        <v>69.5</v>
      </c>
    </row>
    <row r="1355" spans="1:27" x14ac:dyDescent="0.25">
      <c r="A1355" t="s">
        <v>237</v>
      </c>
      <c r="B1355" t="s">
        <v>210</v>
      </c>
      <c r="C1355" s="76">
        <v>43979</v>
      </c>
      <c r="D1355">
        <v>1847</v>
      </c>
      <c r="E1355">
        <v>858</v>
      </c>
      <c r="F1355">
        <v>2836</v>
      </c>
      <c r="G1355">
        <v>2281</v>
      </c>
      <c r="H1355">
        <v>44.7</v>
      </c>
      <c r="I1355">
        <v>34.200000000000003</v>
      </c>
      <c r="J1355">
        <v>55.3</v>
      </c>
      <c r="K1355">
        <v>35</v>
      </c>
      <c r="L1355">
        <v>13</v>
      </c>
      <c r="M1355">
        <v>57</v>
      </c>
      <c r="N1355">
        <v>0.8</v>
      </c>
      <c r="O1355">
        <v>0.5</v>
      </c>
      <c r="P1355">
        <v>1.2</v>
      </c>
      <c r="Q1355">
        <f t="shared" si="40"/>
        <v>1860123</v>
      </c>
      <c r="R1355">
        <f t="shared" si="41"/>
        <v>1.8815960019848148</v>
      </c>
      <c r="U1355">
        <v>166</v>
      </c>
      <c r="V1355">
        <v>58</v>
      </c>
      <c r="W1355">
        <v>273</v>
      </c>
      <c r="X1355">
        <v>140</v>
      </c>
      <c r="Y1355">
        <v>54.3</v>
      </c>
      <c r="Z1355">
        <v>42.7</v>
      </c>
      <c r="AA1355">
        <v>65.8</v>
      </c>
    </row>
    <row r="1356" spans="1:27" x14ac:dyDescent="0.25">
      <c r="A1356" t="s">
        <v>237</v>
      </c>
      <c r="B1356" t="s">
        <v>210</v>
      </c>
      <c r="C1356" s="76">
        <v>43980</v>
      </c>
      <c r="D1356">
        <v>1823</v>
      </c>
      <c r="E1356">
        <v>873</v>
      </c>
      <c r="F1356">
        <v>2772</v>
      </c>
      <c r="G1356">
        <v>2321</v>
      </c>
      <c r="H1356">
        <v>44</v>
      </c>
      <c r="I1356">
        <v>33.299999999999997</v>
      </c>
      <c r="J1356">
        <v>54.7</v>
      </c>
      <c r="K1356">
        <v>37</v>
      </c>
      <c r="L1356">
        <v>14</v>
      </c>
      <c r="M1356">
        <v>60</v>
      </c>
      <c r="N1356">
        <v>0.9</v>
      </c>
      <c r="O1356">
        <v>0.6</v>
      </c>
      <c r="P1356">
        <v>1.2</v>
      </c>
      <c r="Q1356">
        <f t="shared" si="40"/>
        <v>1860123</v>
      </c>
      <c r="R1356">
        <f t="shared" si="41"/>
        <v>1.9891157735268044</v>
      </c>
      <c r="U1356">
        <v>167</v>
      </c>
      <c r="V1356">
        <v>59</v>
      </c>
      <c r="W1356">
        <v>276</v>
      </c>
      <c r="X1356">
        <v>164</v>
      </c>
      <c r="Y1356">
        <v>50.5</v>
      </c>
      <c r="Z1356">
        <v>36.5</v>
      </c>
      <c r="AA1356">
        <v>64.5</v>
      </c>
    </row>
    <row r="1357" spans="1:27" x14ac:dyDescent="0.25">
      <c r="A1357" t="s">
        <v>237</v>
      </c>
      <c r="B1357" t="s">
        <v>210</v>
      </c>
      <c r="C1357" s="76">
        <v>43981</v>
      </c>
      <c r="D1357">
        <v>1658</v>
      </c>
      <c r="E1357">
        <v>771</v>
      </c>
      <c r="F1357">
        <v>2546</v>
      </c>
      <c r="G1357">
        <v>2484</v>
      </c>
      <c r="H1357">
        <v>40</v>
      </c>
      <c r="I1357">
        <v>29.4</v>
      </c>
      <c r="J1357">
        <v>50.7</v>
      </c>
      <c r="K1357">
        <v>48</v>
      </c>
      <c r="L1357">
        <v>13</v>
      </c>
      <c r="M1357">
        <v>82</v>
      </c>
      <c r="N1357">
        <v>1.1000000000000001</v>
      </c>
      <c r="O1357">
        <v>0.6</v>
      </c>
      <c r="P1357">
        <v>1.7</v>
      </c>
      <c r="Q1357">
        <f t="shared" si="40"/>
        <v>1860123</v>
      </c>
      <c r="R1357">
        <f t="shared" si="41"/>
        <v>2.5804745170077465</v>
      </c>
      <c r="U1357">
        <v>162</v>
      </c>
      <c r="V1357">
        <v>59</v>
      </c>
      <c r="W1357">
        <v>266</v>
      </c>
      <c r="X1357">
        <v>169</v>
      </c>
      <c r="Y1357">
        <v>49</v>
      </c>
      <c r="Z1357">
        <v>35.9</v>
      </c>
      <c r="AA1357">
        <v>62.2</v>
      </c>
    </row>
    <row r="1358" spans="1:27" x14ac:dyDescent="0.25">
      <c r="A1358" t="s">
        <v>237</v>
      </c>
      <c r="B1358" t="s">
        <v>210</v>
      </c>
      <c r="C1358" s="76">
        <v>43982</v>
      </c>
      <c r="D1358">
        <v>1663</v>
      </c>
      <c r="E1358">
        <v>781</v>
      </c>
      <c r="F1358">
        <v>2545</v>
      </c>
      <c r="G1358">
        <v>2475</v>
      </c>
      <c r="H1358">
        <v>40.200000000000003</v>
      </c>
      <c r="I1358">
        <v>30.1</v>
      </c>
      <c r="J1358">
        <v>50.3</v>
      </c>
      <c r="K1358">
        <v>54</v>
      </c>
      <c r="L1358">
        <v>7</v>
      </c>
      <c r="M1358">
        <v>100</v>
      </c>
      <c r="N1358">
        <v>1.3</v>
      </c>
      <c r="O1358">
        <v>0.4</v>
      </c>
      <c r="P1358">
        <v>2.2000000000000002</v>
      </c>
      <c r="Q1358">
        <f t="shared" si="40"/>
        <v>1860123</v>
      </c>
      <c r="R1358">
        <f t="shared" si="41"/>
        <v>2.9030338316337145</v>
      </c>
      <c r="U1358">
        <v>152</v>
      </c>
      <c r="V1358">
        <v>48</v>
      </c>
      <c r="W1358">
        <v>255</v>
      </c>
      <c r="X1358">
        <v>160</v>
      </c>
      <c r="Y1358">
        <v>48.7</v>
      </c>
      <c r="Z1358">
        <v>34.9</v>
      </c>
      <c r="AA1358">
        <v>62.5</v>
      </c>
    </row>
    <row r="1359" spans="1:27" x14ac:dyDescent="0.25">
      <c r="A1359" t="s">
        <v>237</v>
      </c>
      <c r="B1359" t="s">
        <v>210</v>
      </c>
      <c r="C1359" s="76">
        <v>43983</v>
      </c>
      <c r="D1359">
        <v>1783</v>
      </c>
      <c r="E1359">
        <v>836</v>
      </c>
      <c r="F1359">
        <v>2729</v>
      </c>
      <c r="G1359">
        <v>2328</v>
      </c>
      <c r="H1359">
        <v>43.4</v>
      </c>
      <c r="I1359">
        <v>34.1</v>
      </c>
      <c r="J1359">
        <v>52.6</v>
      </c>
      <c r="K1359">
        <v>56</v>
      </c>
      <c r="L1359">
        <v>0</v>
      </c>
      <c r="M1359">
        <v>113</v>
      </c>
      <c r="N1359">
        <v>1.4</v>
      </c>
      <c r="O1359">
        <v>0.3</v>
      </c>
      <c r="P1359">
        <v>2.5</v>
      </c>
      <c r="Q1359">
        <f t="shared" si="40"/>
        <v>1860123</v>
      </c>
      <c r="R1359">
        <f t="shared" si="41"/>
        <v>3.0105536031757039</v>
      </c>
      <c r="U1359">
        <v>151</v>
      </c>
      <c r="V1359">
        <v>55</v>
      </c>
      <c r="W1359">
        <v>248</v>
      </c>
      <c r="X1359">
        <v>158</v>
      </c>
      <c r="Y1359">
        <v>48.8</v>
      </c>
      <c r="Z1359">
        <v>39</v>
      </c>
      <c r="AA1359">
        <v>58.7</v>
      </c>
    </row>
    <row r="1360" spans="1:27" x14ac:dyDescent="0.25">
      <c r="A1360" t="s">
        <v>237</v>
      </c>
      <c r="B1360" t="s">
        <v>210</v>
      </c>
      <c r="C1360" s="76">
        <v>43984</v>
      </c>
      <c r="D1360">
        <v>2094</v>
      </c>
      <c r="E1360">
        <v>586</v>
      </c>
      <c r="F1360">
        <v>3601</v>
      </c>
      <c r="G1360">
        <v>1552</v>
      </c>
      <c r="H1360">
        <v>57.4</v>
      </c>
      <c r="I1360">
        <v>45.2</v>
      </c>
      <c r="J1360">
        <v>69.599999999999994</v>
      </c>
      <c r="K1360">
        <v>39</v>
      </c>
      <c r="L1360">
        <v>0</v>
      </c>
      <c r="M1360">
        <v>91</v>
      </c>
      <c r="N1360">
        <v>1.1000000000000001</v>
      </c>
      <c r="O1360">
        <v>0</v>
      </c>
      <c r="P1360">
        <v>2.2000000000000002</v>
      </c>
      <c r="Q1360">
        <f t="shared" si="40"/>
        <v>1860123</v>
      </c>
      <c r="R1360">
        <f t="shared" si="41"/>
        <v>2.0966355450687937</v>
      </c>
      <c r="U1360">
        <v>189</v>
      </c>
      <c r="V1360">
        <v>21</v>
      </c>
      <c r="W1360">
        <v>357</v>
      </c>
      <c r="X1360">
        <v>154</v>
      </c>
      <c r="Y1360">
        <v>55</v>
      </c>
      <c r="Z1360">
        <v>40.299999999999997</v>
      </c>
      <c r="AA1360">
        <v>69.7</v>
      </c>
    </row>
    <row r="1361" spans="1:27" x14ac:dyDescent="0.25">
      <c r="A1361" t="s">
        <v>237</v>
      </c>
      <c r="B1361" t="s">
        <v>210</v>
      </c>
      <c r="C1361" s="76">
        <v>43985</v>
      </c>
      <c r="D1361">
        <v>2186</v>
      </c>
      <c r="E1361">
        <v>617</v>
      </c>
      <c r="F1361">
        <v>3754</v>
      </c>
      <c r="G1361">
        <v>1321</v>
      </c>
      <c r="H1361">
        <v>62.3</v>
      </c>
      <c r="I1361">
        <v>50.4</v>
      </c>
      <c r="J1361">
        <v>74.2</v>
      </c>
      <c r="K1361">
        <v>31</v>
      </c>
      <c r="L1361">
        <v>0</v>
      </c>
      <c r="M1361">
        <v>70</v>
      </c>
      <c r="N1361">
        <v>0.9</v>
      </c>
      <c r="O1361">
        <v>0.1</v>
      </c>
      <c r="P1361">
        <v>1.7</v>
      </c>
      <c r="Q1361">
        <f t="shared" si="40"/>
        <v>1860123</v>
      </c>
      <c r="R1361">
        <f t="shared" si="41"/>
        <v>1.6665564589008361</v>
      </c>
      <c r="U1361">
        <v>221</v>
      </c>
      <c r="V1361">
        <v>26</v>
      </c>
      <c r="W1361">
        <v>415</v>
      </c>
      <c r="X1361">
        <v>124</v>
      </c>
      <c r="Y1361">
        <v>64.099999999999994</v>
      </c>
      <c r="Z1361">
        <v>47.1</v>
      </c>
      <c r="AA1361">
        <v>81</v>
      </c>
    </row>
    <row r="1362" spans="1:27" x14ac:dyDescent="0.25">
      <c r="A1362" t="s">
        <v>237</v>
      </c>
      <c r="B1362" t="s">
        <v>210</v>
      </c>
      <c r="C1362" s="76">
        <v>43986</v>
      </c>
      <c r="D1362">
        <v>2142</v>
      </c>
      <c r="E1362">
        <v>618</v>
      </c>
      <c r="F1362">
        <v>3666</v>
      </c>
      <c r="G1362">
        <v>1472</v>
      </c>
      <c r="H1362">
        <v>59.3</v>
      </c>
      <c r="I1362">
        <v>46.5</v>
      </c>
      <c r="J1362">
        <v>72.099999999999994</v>
      </c>
      <c r="K1362">
        <v>49</v>
      </c>
      <c r="L1362">
        <v>1</v>
      </c>
      <c r="M1362">
        <v>96</v>
      </c>
      <c r="N1362">
        <v>1.3</v>
      </c>
      <c r="O1362">
        <v>0.4</v>
      </c>
      <c r="P1362">
        <v>2.2000000000000002</v>
      </c>
      <c r="Q1362">
        <f t="shared" si="40"/>
        <v>1860123</v>
      </c>
      <c r="R1362">
        <f t="shared" si="41"/>
        <v>2.6342344027787412</v>
      </c>
      <c r="U1362">
        <v>206</v>
      </c>
      <c r="V1362">
        <v>27</v>
      </c>
      <c r="W1362">
        <v>384</v>
      </c>
      <c r="X1362">
        <v>125</v>
      </c>
      <c r="Y1362">
        <v>62.3</v>
      </c>
      <c r="Z1362">
        <v>46.2</v>
      </c>
      <c r="AA1362">
        <v>78.400000000000006</v>
      </c>
    </row>
    <row r="1363" spans="1:27" x14ac:dyDescent="0.25">
      <c r="A1363" t="s">
        <v>237</v>
      </c>
      <c r="B1363" t="s">
        <v>210</v>
      </c>
      <c r="C1363" s="76">
        <v>43987</v>
      </c>
      <c r="D1363">
        <v>1783</v>
      </c>
      <c r="E1363">
        <v>822</v>
      </c>
      <c r="F1363">
        <v>2744</v>
      </c>
      <c r="G1363">
        <v>2420</v>
      </c>
      <c r="H1363">
        <v>42.4</v>
      </c>
      <c r="I1363">
        <v>32.200000000000003</v>
      </c>
      <c r="J1363">
        <v>52.6</v>
      </c>
      <c r="K1363">
        <v>29</v>
      </c>
      <c r="L1363">
        <v>8</v>
      </c>
      <c r="M1363">
        <v>51</v>
      </c>
      <c r="N1363">
        <v>0.7</v>
      </c>
      <c r="O1363">
        <v>0.3</v>
      </c>
      <c r="P1363">
        <v>1.1000000000000001</v>
      </c>
      <c r="Q1363">
        <f t="shared" si="40"/>
        <v>1860123</v>
      </c>
      <c r="R1363">
        <f t="shared" si="41"/>
        <v>1.5590366873588466</v>
      </c>
      <c r="U1363">
        <v>192</v>
      </c>
      <c r="V1363">
        <v>61</v>
      </c>
      <c r="W1363">
        <v>323</v>
      </c>
      <c r="X1363">
        <v>198</v>
      </c>
      <c r="Y1363">
        <v>49.3</v>
      </c>
      <c r="Z1363">
        <v>34.200000000000003</v>
      </c>
      <c r="AA1363">
        <v>64.400000000000006</v>
      </c>
    </row>
    <row r="1364" spans="1:27" x14ac:dyDescent="0.25">
      <c r="A1364" t="s">
        <v>237</v>
      </c>
      <c r="B1364" t="s">
        <v>210</v>
      </c>
      <c r="C1364" s="76">
        <v>43988</v>
      </c>
      <c r="D1364">
        <v>1726</v>
      </c>
      <c r="E1364">
        <v>793</v>
      </c>
      <c r="F1364">
        <v>2659</v>
      </c>
      <c r="G1364">
        <v>2516</v>
      </c>
      <c r="H1364">
        <v>40.700000000000003</v>
      </c>
      <c r="I1364">
        <v>30.3</v>
      </c>
      <c r="J1364">
        <v>51.1</v>
      </c>
      <c r="K1364">
        <v>28</v>
      </c>
      <c r="L1364">
        <v>9</v>
      </c>
      <c r="M1364">
        <v>47</v>
      </c>
      <c r="N1364">
        <v>0.7</v>
      </c>
      <c r="O1364">
        <v>0.3</v>
      </c>
      <c r="P1364">
        <v>1</v>
      </c>
      <c r="Q1364">
        <f t="shared" si="40"/>
        <v>1860123</v>
      </c>
      <c r="R1364">
        <f t="shared" si="41"/>
        <v>1.5052768015878519</v>
      </c>
      <c r="U1364">
        <v>182</v>
      </c>
      <c r="V1364">
        <v>56</v>
      </c>
      <c r="W1364">
        <v>308</v>
      </c>
      <c r="X1364">
        <v>211</v>
      </c>
      <c r="Y1364">
        <v>46.3</v>
      </c>
      <c r="Z1364">
        <v>31.1</v>
      </c>
      <c r="AA1364">
        <v>61.5</v>
      </c>
    </row>
    <row r="1365" spans="1:27" x14ac:dyDescent="0.25">
      <c r="A1365" t="s">
        <v>237</v>
      </c>
      <c r="B1365" t="s">
        <v>210</v>
      </c>
      <c r="C1365" s="76">
        <v>43989</v>
      </c>
      <c r="D1365">
        <v>1657</v>
      </c>
      <c r="E1365">
        <v>765</v>
      </c>
      <c r="F1365">
        <v>2549</v>
      </c>
      <c r="G1365">
        <v>2591</v>
      </c>
      <c r="H1365">
        <v>39</v>
      </c>
      <c r="I1365">
        <v>28.3</v>
      </c>
      <c r="J1365">
        <v>49.7</v>
      </c>
      <c r="K1365">
        <v>34</v>
      </c>
      <c r="L1365">
        <v>11</v>
      </c>
      <c r="M1365">
        <v>57</v>
      </c>
      <c r="N1365">
        <v>0.8</v>
      </c>
      <c r="O1365">
        <v>0.4</v>
      </c>
      <c r="P1365">
        <v>1.2</v>
      </c>
      <c r="Q1365">
        <f t="shared" si="40"/>
        <v>1860123</v>
      </c>
      <c r="R1365">
        <f t="shared" si="41"/>
        <v>1.8278361162138204</v>
      </c>
      <c r="U1365">
        <v>176</v>
      </c>
      <c r="V1365">
        <v>56</v>
      </c>
      <c r="W1365">
        <v>296</v>
      </c>
      <c r="X1365">
        <v>231</v>
      </c>
      <c r="Y1365">
        <v>43.2</v>
      </c>
      <c r="Z1365">
        <v>29.3</v>
      </c>
      <c r="AA1365">
        <v>57.2</v>
      </c>
    </row>
    <row r="1366" spans="1:27" x14ac:dyDescent="0.25">
      <c r="A1366" t="s">
        <v>237</v>
      </c>
      <c r="B1366" t="s">
        <v>210</v>
      </c>
      <c r="C1366" s="76">
        <v>43990</v>
      </c>
      <c r="D1366">
        <v>1736</v>
      </c>
      <c r="E1366">
        <v>815</v>
      </c>
      <c r="F1366">
        <v>2658</v>
      </c>
      <c r="G1366">
        <v>2543</v>
      </c>
      <c r="H1366">
        <v>40.6</v>
      </c>
      <c r="I1366">
        <v>30.7</v>
      </c>
      <c r="J1366">
        <v>50.5</v>
      </c>
      <c r="K1366">
        <v>30</v>
      </c>
      <c r="L1366">
        <v>10</v>
      </c>
      <c r="M1366">
        <v>51</v>
      </c>
      <c r="N1366">
        <v>0.7</v>
      </c>
      <c r="O1366">
        <v>0.4</v>
      </c>
      <c r="P1366">
        <v>1</v>
      </c>
      <c r="Q1366">
        <f t="shared" si="40"/>
        <v>1860123</v>
      </c>
      <c r="R1366">
        <f t="shared" si="41"/>
        <v>1.6127965731298415</v>
      </c>
      <c r="U1366">
        <v>187</v>
      </c>
      <c r="V1366">
        <v>63</v>
      </c>
      <c r="W1366">
        <v>312</v>
      </c>
      <c r="X1366">
        <v>221</v>
      </c>
      <c r="Y1366">
        <v>45.8</v>
      </c>
      <c r="Z1366">
        <v>30.8</v>
      </c>
      <c r="AA1366">
        <v>60.8</v>
      </c>
    </row>
    <row r="1367" spans="1:27" x14ac:dyDescent="0.25">
      <c r="A1367" t="s">
        <v>237</v>
      </c>
      <c r="B1367" t="s">
        <v>210</v>
      </c>
      <c r="C1367" s="76">
        <v>43991</v>
      </c>
      <c r="D1367">
        <v>1864</v>
      </c>
      <c r="E1367">
        <v>889</v>
      </c>
      <c r="F1367">
        <v>2840</v>
      </c>
      <c r="G1367">
        <v>2375</v>
      </c>
      <c r="H1367">
        <v>44</v>
      </c>
      <c r="I1367">
        <v>34.4</v>
      </c>
      <c r="J1367">
        <v>53.5</v>
      </c>
      <c r="K1367">
        <v>26</v>
      </c>
      <c r="L1367">
        <v>8</v>
      </c>
      <c r="M1367">
        <v>43</v>
      </c>
      <c r="N1367">
        <v>0.6</v>
      </c>
      <c r="O1367">
        <v>0.3</v>
      </c>
      <c r="P1367">
        <v>0.9</v>
      </c>
      <c r="Q1367">
        <f t="shared" si="40"/>
        <v>1860123</v>
      </c>
      <c r="R1367">
        <f t="shared" si="41"/>
        <v>1.3977570300458626</v>
      </c>
      <c r="U1367">
        <v>197</v>
      </c>
      <c r="V1367">
        <v>64</v>
      </c>
      <c r="W1367">
        <v>330</v>
      </c>
      <c r="X1367">
        <v>210</v>
      </c>
      <c r="Y1367">
        <v>48.5</v>
      </c>
      <c r="Z1367">
        <v>35</v>
      </c>
      <c r="AA1367">
        <v>62</v>
      </c>
    </row>
    <row r="1368" spans="1:27" x14ac:dyDescent="0.25">
      <c r="A1368" t="s">
        <v>237</v>
      </c>
      <c r="B1368" t="s">
        <v>210</v>
      </c>
      <c r="C1368" s="76">
        <v>43992</v>
      </c>
      <c r="D1368">
        <v>2256</v>
      </c>
      <c r="E1368">
        <v>652</v>
      </c>
      <c r="F1368">
        <v>3861</v>
      </c>
      <c r="G1368">
        <v>1376</v>
      </c>
      <c r="H1368">
        <v>62.1</v>
      </c>
      <c r="I1368">
        <v>48.3</v>
      </c>
      <c r="J1368">
        <v>75.900000000000006</v>
      </c>
      <c r="K1368">
        <v>32</v>
      </c>
      <c r="L1368">
        <v>0</v>
      </c>
      <c r="M1368">
        <v>66</v>
      </c>
      <c r="N1368">
        <v>0.9</v>
      </c>
      <c r="O1368">
        <v>0.4</v>
      </c>
      <c r="P1368">
        <v>1.3</v>
      </c>
      <c r="Q1368">
        <f t="shared" si="40"/>
        <v>1860123</v>
      </c>
      <c r="R1368">
        <f t="shared" si="41"/>
        <v>1.7203163446718308</v>
      </c>
      <c r="U1368">
        <v>256</v>
      </c>
      <c r="V1368">
        <v>45</v>
      </c>
      <c r="W1368">
        <v>467</v>
      </c>
      <c r="X1368">
        <v>235</v>
      </c>
      <c r="Y1368">
        <v>52.2</v>
      </c>
      <c r="Z1368">
        <v>37.6</v>
      </c>
      <c r="AA1368">
        <v>66.7</v>
      </c>
    </row>
    <row r="1369" spans="1:27" x14ac:dyDescent="0.25">
      <c r="A1369" t="s">
        <v>237</v>
      </c>
      <c r="B1369" t="s">
        <v>210</v>
      </c>
      <c r="C1369" s="76">
        <v>43993</v>
      </c>
      <c r="D1369">
        <v>1970</v>
      </c>
      <c r="E1369">
        <v>911</v>
      </c>
      <c r="F1369">
        <v>3029</v>
      </c>
      <c r="G1369">
        <v>2288</v>
      </c>
      <c r="H1369">
        <v>46.3</v>
      </c>
      <c r="I1369">
        <v>35.6</v>
      </c>
      <c r="J1369">
        <v>56.9</v>
      </c>
      <c r="K1369">
        <v>28</v>
      </c>
      <c r="L1369">
        <v>7</v>
      </c>
      <c r="M1369">
        <v>50</v>
      </c>
      <c r="N1369">
        <v>0.7</v>
      </c>
      <c r="O1369">
        <v>0.3</v>
      </c>
      <c r="P1369">
        <v>1.1000000000000001</v>
      </c>
      <c r="Q1369">
        <f t="shared" si="40"/>
        <v>1860123</v>
      </c>
      <c r="R1369">
        <f t="shared" si="41"/>
        <v>1.5052768015878519</v>
      </c>
      <c r="U1369">
        <v>220</v>
      </c>
      <c r="V1369">
        <v>74</v>
      </c>
      <c r="W1369">
        <v>367</v>
      </c>
      <c r="X1369">
        <v>197</v>
      </c>
      <c r="Y1369">
        <v>52.8</v>
      </c>
      <c r="Z1369">
        <v>36.4</v>
      </c>
      <c r="AA1369">
        <v>69.3</v>
      </c>
    </row>
    <row r="1370" spans="1:27" x14ac:dyDescent="0.25">
      <c r="A1370" t="s">
        <v>237</v>
      </c>
      <c r="B1370" t="s">
        <v>210</v>
      </c>
      <c r="C1370" s="76">
        <v>43994</v>
      </c>
      <c r="D1370">
        <v>1898</v>
      </c>
      <c r="E1370">
        <v>904</v>
      </c>
      <c r="F1370">
        <v>2893</v>
      </c>
      <c r="G1370">
        <v>2322</v>
      </c>
      <c r="H1370">
        <v>45</v>
      </c>
      <c r="I1370">
        <v>35.4</v>
      </c>
      <c r="J1370">
        <v>54.6</v>
      </c>
      <c r="K1370">
        <v>21</v>
      </c>
      <c r="L1370">
        <v>4</v>
      </c>
      <c r="M1370">
        <v>37</v>
      </c>
      <c r="N1370">
        <v>0.5</v>
      </c>
      <c r="O1370">
        <v>0.2</v>
      </c>
      <c r="P1370">
        <v>0.8</v>
      </c>
      <c r="Q1370">
        <f t="shared" si="40"/>
        <v>1860123</v>
      </c>
      <c r="R1370">
        <f t="shared" si="41"/>
        <v>1.1289576011908891</v>
      </c>
      <c r="U1370">
        <v>198</v>
      </c>
      <c r="V1370">
        <v>72</v>
      </c>
      <c r="W1370">
        <v>324</v>
      </c>
      <c r="X1370">
        <v>212</v>
      </c>
      <c r="Y1370">
        <v>48.3</v>
      </c>
      <c r="Z1370">
        <v>35.6</v>
      </c>
      <c r="AA1370">
        <v>61.1</v>
      </c>
    </row>
    <row r="1371" spans="1:27" x14ac:dyDescent="0.25">
      <c r="A1371" t="s">
        <v>237</v>
      </c>
      <c r="B1371" t="s">
        <v>210</v>
      </c>
      <c r="C1371" s="76">
        <v>43995</v>
      </c>
      <c r="D1371">
        <v>1777</v>
      </c>
      <c r="E1371">
        <v>823</v>
      </c>
      <c r="F1371">
        <v>2732</v>
      </c>
      <c r="G1371">
        <v>2447</v>
      </c>
      <c r="H1371">
        <v>42.1</v>
      </c>
      <c r="I1371">
        <v>31.9</v>
      </c>
      <c r="J1371">
        <v>52.3</v>
      </c>
      <c r="K1371">
        <v>26</v>
      </c>
      <c r="L1371">
        <v>3</v>
      </c>
      <c r="M1371">
        <v>49</v>
      </c>
      <c r="N1371">
        <v>0.6</v>
      </c>
      <c r="O1371">
        <v>0.2</v>
      </c>
      <c r="P1371">
        <v>1</v>
      </c>
      <c r="Q1371">
        <f t="shared" si="40"/>
        <v>1860123</v>
      </c>
      <c r="R1371">
        <f t="shared" si="41"/>
        <v>1.3977570300458626</v>
      </c>
      <c r="U1371">
        <v>191</v>
      </c>
      <c r="V1371">
        <v>65</v>
      </c>
      <c r="W1371">
        <v>317</v>
      </c>
      <c r="X1371">
        <v>216</v>
      </c>
      <c r="Y1371">
        <v>47</v>
      </c>
      <c r="Z1371">
        <v>32.9</v>
      </c>
      <c r="AA1371">
        <v>61</v>
      </c>
    </row>
    <row r="1372" spans="1:27" x14ac:dyDescent="0.25">
      <c r="A1372" t="s">
        <v>237</v>
      </c>
      <c r="B1372" t="s">
        <v>210</v>
      </c>
      <c r="C1372" s="76">
        <v>43996</v>
      </c>
      <c r="D1372">
        <v>1695</v>
      </c>
      <c r="E1372">
        <v>777</v>
      </c>
      <c r="F1372">
        <v>2612</v>
      </c>
      <c r="G1372">
        <v>2538</v>
      </c>
      <c r="H1372">
        <v>40</v>
      </c>
      <c r="I1372">
        <v>29.9</v>
      </c>
      <c r="J1372">
        <v>50.2</v>
      </c>
      <c r="K1372">
        <v>25</v>
      </c>
      <c r="L1372">
        <v>2</v>
      </c>
      <c r="M1372">
        <v>48</v>
      </c>
      <c r="N1372">
        <v>0.6</v>
      </c>
      <c r="O1372">
        <v>0.2</v>
      </c>
      <c r="P1372">
        <v>1</v>
      </c>
      <c r="Q1372">
        <f t="shared" si="40"/>
        <v>1860123</v>
      </c>
      <c r="R1372">
        <f t="shared" si="41"/>
        <v>1.3439971442748677</v>
      </c>
      <c r="U1372">
        <v>193</v>
      </c>
      <c r="V1372">
        <v>69</v>
      </c>
      <c r="W1372">
        <v>317</v>
      </c>
      <c r="X1372">
        <v>207</v>
      </c>
      <c r="Y1372">
        <v>48.3</v>
      </c>
      <c r="Z1372">
        <v>35.6</v>
      </c>
      <c r="AA1372">
        <v>61</v>
      </c>
    </row>
    <row r="1373" spans="1:27" x14ac:dyDescent="0.25">
      <c r="A1373" t="s">
        <v>237</v>
      </c>
      <c r="B1373" t="s">
        <v>210</v>
      </c>
      <c r="C1373" s="76">
        <v>43997</v>
      </c>
      <c r="D1373">
        <v>1853</v>
      </c>
      <c r="E1373">
        <v>856</v>
      </c>
      <c r="F1373">
        <v>2850</v>
      </c>
      <c r="G1373">
        <v>2319</v>
      </c>
      <c r="H1373">
        <v>44.4</v>
      </c>
      <c r="I1373">
        <v>34.5</v>
      </c>
      <c r="J1373">
        <v>54.3</v>
      </c>
      <c r="K1373">
        <v>25</v>
      </c>
      <c r="L1373">
        <v>6</v>
      </c>
      <c r="M1373">
        <v>43</v>
      </c>
      <c r="N1373">
        <v>0.6</v>
      </c>
      <c r="O1373">
        <v>0.3</v>
      </c>
      <c r="P1373">
        <v>0.9</v>
      </c>
      <c r="Q1373">
        <f t="shared" si="40"/>
        <v>1860123</v>
      </c>
      <c r="R1373">
        <f t="shared" si="41"/>
        <v>1.3439971442748677</v>
      </c>
      <c r="U1373">
        <v>187</v>
      </c>
      <c r="V1373">
        <v>66</v>
      </c>
      <c r="W1373">
        <v>308</v>
      </c>
      <c r="X1373">
        <v>197</v>
      </c>
      <c r="Y1373">
        <v>48.7</v>
      </c>
      <c r="Z1373">
        <v>36.9</v>
      </c>
      <c r="AA1373">
        <v>60.4</v>
      </c>
    </row>
    <row r="1374" spans="1:27" x14ac:dyDescent="0.25">
      <c r="A1374" t="s">
        <v>237</v>
      </c>
      <c r="B1374" t="s">
        <v>210</v>
      </c>
      <c r="C1374" s="76">
        <v>43998</v>
      </c>
      <c r="D1374">
        <v>1933</v>
      </c>
      <c r="E1374">
        <v>885</v>
      </c>
      <c r="F1374">
        <v>2980</v>
      </c>
      <c r="G1374">
        <v>2222</v>
      </c>
      <c r="H1374">
        <v>46.5</v>
      </c>
      <c r="I1374">
        <v>36.4</v>
      </c>
      <c r="J1374">
        <v>56.7</v>
      </c>
      <c r="K1374">
        <v>24</v>
      </c>
      <c r="L1374">
        <v>6</v>
      </c>
      <c r="M1374">
        <v>42</v>
      </c>
      <c r="N1374">
        <v>0.6</v>
      </c>
      <c r="O1374">
        <v>0.2</v>
      </c>
      <c r="P1374">
        <v>0.9</v>
      </c>
      <c r="Q1374">
        <f t="shared" si="40"/>
        <v>1860123</v>
      </c>
      <c r="R1374">
        <f t="shared" si="41"/>
        <v>1.2902372585038733</v>
      </c>
      <c r="U1374">
        <v>175</v>
      </c>
      <c r="V1374">
        <v>55</v>
      </c>
      <c r="W1374">
        <v>296</v>
      </c>
      <c r="X1374">
        <v>188</v>
      </c>
      <c r="Y1374">
        <v>48.3</v>
      </c>
      <c r="Z1374">
        <v>37.9</v>
      </c>
      <c r="AA1374">
        <v>58.6</v>
      </c>
    </row>
    <row r="1375" spans="1:27" x14ac:dyDescent="0.25">
      <c r="A1375" t="s">
        <v>237</v>
      </c>
      <c r="B1375" t="s">
        <v>210</v>
      </c>
      <c r="C1375" s="76">
        <v>43999</v>
      </c>
      <c r="D1375">
        <v>2219</v>
      </c>
      <c r="E1375">
        <v>579</v>
      </c>
      <c r="F1375">
        <v>3859</v>
      </c>
      <c r="G1375">
        <v>1511</v>
      </c>
      <c r="H1375">
        <v>59.5</v>
      </c>
      <c r="I1375">
        <v>44.3</v>
      </c>
      <c r="J1375">
        <v>74.7</v>
      </c>
      <c r="K1375">
        <v>34</v>
      </c>
      <c r="L1375">
        <v>0</v>
      </c>
      <c r="M1375">
        <v>68</v>
      </c>
      <c r="N1375">
        <v>0.9</v>
      </c>
      <c r="O1375">
        <v>0.4</v>
      </c>
      <c r="P1375">
        <v>1.4</v>
      </c>
      <c r="Q1375">
        <f t="shared" si="40"/>
        <v>1860123</v>
      </c>
      <c r="R1375">
        <f t="shared" si="41"/>
        <v>1.8278361162138204</v>
      </c>
      <c r="U1375">
        <v>250</v>
      </c>
      <c r="V1375">
        <v>43</v>
      </c>
      <c r="W1375">
        <v>457</v>
      </c>
      <c r="X1375">
        <v>228</v>
      </c>
      <c r="Y1375">
        <v>52.3</v>
      </c>
      <c r="Z1375">
        <v>39.299999999999997</v>
      </c>
      <c r="AA1375">
        <v>65.3</v>
      </c>
    </row>
    <row r="1376" spans="1:27" x14ac:dyDescent="0.25">
      <c r="A1376" t="s">
        <v>237</v>
      </c>
      <c r="B1376" t="s">
        <v>210</v>
      </c>
      <c r="C1376" s="76">
        <v>44000</v>
      </c>
      <c r="D1376">
        <v>1951</v>
      </c>
      <c r="E1376">
        <v>918</v>
      </c>
      <c r="F1376">
        <v>2985</v>
      </c>
      <c r="G1376">
        <v>2189</v>
      </c>
      <c r="H1376">
        <v>47.1</v>
      </c>
      <c r="I1376">
        <v>36.6</v>
      </c>
      <c r="J1376">
        <v>57.6</v>
      </c>
      <c r="K1376">
        <v>28</v>
      </c>
      <c r="L1376">
        <v>7</v>
      </c>
      <c r="M1376">
        <v>49</v>
      </c>
      <c r="N1376">
        <v>0.7</v>
      </c>
      <c r="O1376">
        <v>0.3</v>
      </c>
      <c r="P1376">
        <v>1</v>
      </c>
      <c r="Q1376">
        <f t="shared" si="40"/>
        <v>1860123</v>
      </c>
      <c r="R1376">
        <f t="shared" si="41"/>
        <v>1.5052768015878519</v>
      </c>
      <c r="U1376">
        <v>201</v>
      </c>
      <c r="V1376">
        <v>78</v>
      </c>
      <c r="W1376">
        <v>324</v>
      </c>
      <c r="X1376">
        <v>198</v>
      </c>
      <c r="Y1376">
        <v>50.4</v>
      </c>
      <c r="Z1376">
        <v>38.9</v>
      </c>
      <c r="AA1376">
        <v>62</v>
      </c>
    </row>
    <row r="1377" spans="1:27" x14ac:dyDescent="0.25">
      <c r="A1377" t="s">
        <v>237</v>
      </c>
      <c r="B1377" t="s">
        <v>210</v>
      </c>
      <c r="C1377" s="76">
        <v>44001</v>
      </c>
      <c r="D1377">
        <v>1920</v>
      </c>
      <c r="E1377">
        <v>923</v>
      </c>
      <c r="F1377">
        <v>2918</v>
      </c>
      <c r="G1377">
        <v>2299</v>
      </c>
      <c r="H1377">
        <v>45.5</v>
      </c>
      <c r="I1377">
        <v>35.1</v>
      </c>
      <c r="J1377">
        <v>55.9</v>
      </c>
      <c r="K1377">
        <v>34</v>
      </c>
      <c r="L1377">
        <v>10</v>
      </c>
      <c r="M1377">
        <v>58</v>
      </c>
      <c r="N1377">
        <v>0.8</v>
      </c>
      <c r="O1377">
        <v>0.4</v>
      </c>
      <c r="P1377">
        <v>1.2</v>
      </c>
      <c r="Q1377">
        <f t="shared" si="40"/>
        <v>1860123</v>
      </c>
      <c r="R1377">
        <f t="shared" si="41"/>
        <v>1.8278361162138204</v>
      </c>
      <c r="U1377">
        <v>220</v>
      </c>
      <c r="V1377">
        <v>85</v>
      </c>
      <c r="W1377">
        <v>354</v>
      </c>
      <c r="X1377">
        <v>194</v>
      </c>
      <c r="Y1377">
        <v>53.2</v>
      </c>
      <c r="Z1377">
        <v>39.4</v>
      </c>
      <c r="AA1377">
        <v>66.900000000000006</v>
      </c>
    </row>
    <row r="1378" spans="1:27" x14ac:dyDescent="0.25">
      <c r="A1378" t="s">
        <v>237</v>
      </c>
      <c r="B1378" t="s">
        <v>210</v>
      </c>
      <c r="C1378" s="76">
        <v>44002</v>
      </c>
      <c r="D1378">
        <v>1878</v>
      </c>
      <c r="E1378">
        <v>887</v>
      </c>
      <c r="F1378">
        <v>2868</v>
      </c>
      <c r="G1378">
        <v>2341</v>
      </c>
      <c r="H1378">
        <v>44.5</v>
      </c>
      <c r="I1378">
        <v>34</v>
      </c>
      <c r="J1378">
        <v>55.1</v>
      </c>
      <c r="K1378">
        <v>39</v>
      </c>
      <c r="L1378">
        <v>14</v>
      </c>
      <c r="M1378">
        <v>65</v>
      </c>
      <c r="N1378">
        <v>0.9</v>
      </c>
      <c r="O1378">
        <v>0.6</v>
      </c>
      <c r="P1378">
        <v>1.2</v>
      </c>
      <c r="Q1378">
        <f t="shared" si="40"/>
        <v>1860123</v>
      </c>
      <c r="R1378">
        <f t="shared" si="41"/>
        <v>2.0966355450687937</v>
      </c>
      <c r="U1378">
        <v>207</v>
      </c>
      <c r="V1378">
        <v>76</v>
      </c>
      <c r="W1378">
        <v>338</v>
      </c>
      <c r="X1378">
        <v>204</v>
      </c>
      <c r="Y1378">
        <v>50.3</v>
      </c>
      <c r="Z1378">
        <v>38.299999999999997</v>
      </c>
      <c r="AA1378">
        <v>62.3</v>
      </c>
    </row>
    <row r="1379" spans="1:27" x14ac:dyDescent="0.25">
      <c r="A1379" t="s">
        <v>237</v>
      </c>
      <c r="B1379" t="s">
        <v>210</v>
      </c>
      <c r="C1379" s="76">
        <v>44003</v>
      </c>
      <c r="D1379">
        <v>1857</v>
      </c>
      <c r="E1379">
        <v>890</v>
      </c>
      <c r="F1379">
        <v>2825</v>
      </c>
      <c r="G1379">
        <v>2244</v>
      </c>
      <c r="H1379">
        <v>45.3</v>
      </c>
      <c r="I1379">
        <v>35.1</v>
      </c>
      <c r="J1379">
        <v>55.5</v>
      </c>
      <c r="K1379">
        <v>54</v>
      </c>
      <c r="L1379">
        <v>18</v>
      </c>
      <c r="M1379">
        <v>89</v>
      </c>
      <c r="N1379">
        <v>1.3</v>
      </c>
      <c r="O1379">
        <v>0.7</v>
      </c>
      <c r="P1379">
        <v>1.9</v>
      </c>
      <c r="Q1379">
        <f t="shared" si="40"/>
        <v>1860123</v>
      </c>
      <c r="R1379">
        <f t="shared" si="41"/>
        <v>2.9030338316337145</v>
      </c>
      <c r="U1379">
        <v>186</v>
      </c>
      <c r="V1379">
        <v>71</v>
      </c>
      <c r="W1379">
        <v>300</v>
      </c>
      <c r="X1379">
        <v>210</v>
      </c>
      <c r="Y1379">
        <v>46.9</v>
      </c>
      <c r="Z1379">
        <v>37</v>
      </c>
      <c r="AA1379">
        <v>56.7</v>
      </c>
    </row>
    <row r="1380" spans="1:27" x14ac:dyDescent="0.25">
      <c r="A1380" t="s">
        <v>237</v>
      </c>
      <c r="B1380" t="s">
        <v>210</v>
      </c>
      <c r="C1380" s="76">
        <v>44004</v>
      </c>
      <c r="D1380">
        <v>1903</v>
      </c>
      <c r="E1380">
        <v>912</v>
      </c>
      <c r="F1380">
        <v>2895</v>
      </c>
      <c r="G1380">
        <v>2258</v>
      </c>
      <c r="H1380">
        <v>45.7</v>
      </c>
      <c r="I1380">
        <v>36.9</v>
      </c>
      <c r="J1380">
        <v>54.6</v>
      </c>
      <c r="K1380">
        <v>48</v>
      </c>
      <c r="L1380">
        <v>13</v>
      </c>
      <c r="M1380">
        <v>83</v>
      </c>
      <c r="N1380">
        <v>1.2</v>
      </c>
      <c r="O1380">
        <v>0.6</v>
      </c>
      <c r="P1380">
        <v>1.7</v>
      </c>
      <c r="Q1380">
        <f t="shared" si="40"/>
        <v>1860123</v>
      </c>
      <c r="R1380">
        <f t="shared" si="41"/>
        <v>2.5804745170077465</v>
      </c>
      <c r="U1380">
        <v>211</v>
      </c>
      <c r="V1380">
        <v>78</v>
      </c>
      <c r="W1380">
        <v>344</v>
      </c>
      <c r="X1380">
        <v>194</v>
      </c>
      <c r="Y1380">
        <v>52.1</v>
      </c>
      <c r="Z1380">
        <v>40.299999999999997</v>
      </c>
      <c r="AA1380">
        <v>63.9</v>
      </c>
    </row>
    <row r="1381" spans="1:27" x14ac:dyDescent="0.25">
      <c r="A1381" t="s">
        <v>237</v>
      </c>
      <c r="B1381" t="s">
        <v>210</v>
      </c>
      <c r="C1381" s="76">
        <v>44005</v>
      </c>
      <c r="D1381">
        <v>1942</v>
      </c>
      <c r="E1381">
        <v>928</v>
      </c>
      <c r="F1381">
        <v>2955</v>
      </c>
      <c r="G1381">
        <v>2214</v>
      </c>
      <c r="H1381">
        <v>46.7</v>
      </c>
      <c r="I1381">
        <v>38</v>
      </c>
      <c r="J1381">
        <v>55.4</v>
      </c>
      <c r="K1381">
        <v>35</v>
      </c>
      <c r="L1381">
        <v>9</v>
      </c>
      <c r="M1381">
        <v>61</v>
      </c>
      <c r="N1381">
        <v>0.9</v>
      </c>
      <c r="O1381">
        <v>0.4</v>
      </c>
      <c r="P1381">
        <v>1.3</v>
      </c>
      <c r="Q1381">
        <f t="shared" si="40"/>
        <v>1860123</v>
      </c>
      <c r="R1381">
        <f t="shared" si="41"/>
        <v>1.8815960019848148</v>
      </c>
      <c r="U1381">
        <v>217</v>
      </c>
      <c r="V1381">
        <v>74</v>
      </c>
      <c r="W1381">
        <v>361</v>
      </c>
      <c r="X1381">
        <v>183</v>
      </c>
      <c r="Y1381">
        <v>54.2</v>
      </c>
      <c r="Z1381">
        <v>40.4</v>
      </c>
      <c r="AA1381">
        <v>68.099999999999994</v>
      </c>
    </row>
    <row r="1382" spans="1:27" x14ac:dyDescent="0.25">
      <c r="A1382" t="s">
        <v>237</v>
      </c>
      <c r="B1382" t="s">
        <v>210</v>
      </c>
      <c r="C1382" s="76">
        <v>44006</v>
      </c>
      <c r="D1382">
        <v>2159</v>
      </c>
      <c r="E1382">
        <v>581</v>
      </c>
      <c r="F1382">
        <v>3738</v>
      </c>
      <c r="G1382">
        <v>1361</v>
      </c>
      <c r="H1382">
        <v>61.3</v>
      </c>
      <c r="I1382">
        <v>48.6</v>
      </c>
      <c r="J1382">
        <v>74.099999999999994</v>
      </c>
      <c r="K1382">
        <v>35</v>
      </c>
      <c r="L1382">
        <v>1</v>
      </c>
      <c r="M1382">
        <v>70</v>
      </c>
      <c r="N1382">
        <v>1</v>
      </c>
      <c r="O1382">
        <v>0.4</v>
      </c>
      <c r="P1382">
        <v>1.6</v>
      </c>
      <c r="Q1382">
        <f t="shared" si="40"/>
        <v>1860123</v>
      </c>
      <c r="R1382">
        <f t="shared" si="41"/>
        <v>1.8815960019848148</v>
      </c>
      <c r="U1382">
        <v>235</v>
      </c>
      <c r="V1382">
        <v>31</v>
      </c>
      <c r="W1382">
        <v>439</v>
      </c>
      <c r="X1382">
        <v>211</v>
      </c>
      <c r="Y1382">
        <v>52.7</v>
      </c>
      <c r="Z1382">
        <v>37</v>
      </c>
      <c r="AA1382">
        <v>68.400000000000006</v>
      </c>
    </row>
    <row r="1383" spans="1:27" x14ac:dyDescent="0.25">
      <c r="A1383" t="s">
        <v>237</v>
      </c>
      <c r="B1383" t="s">
        <v>210</v>
      </c>
      <c r="C1383" s="76">
        <v>44007</v>
      </c>
      <c r="D1383">
        <v>1998</v>
      </c>
      <c r="E1383">
        <v>948</v>
      </c>
      <c r="F1383">
        <v>3048</v>
      </c>
      <c r="G1383">
        <v>2206</v>
      </c>
      <c r="H1383">
        <v>47.5</v>
      </c>
      <c r="I1383">
        <v>38.299999999999997</v>
      </c>
      <c r="J1383">
        <v>56.8</v>
      </c>
      <c r="K1383">
        <v>43</v>
      </c>
      <c r="L1383">
        <v>15</v>
      </c>
      <c r="M1383">
        <v>72</v>
      </c>
      <c r="N1383">
        <v>1</v>
      </c>
      <c r="O1383">
        <v>0.6</v>
      </c>
      <c r="P1383">
        <v>1.5</v>
      </c>
      <c r="Q1383">
        <f t="shared" ref="Q1383:Q1446" si="42">VLOOKUP(B1383,$AE$4:$AF$55,2,FALSE)</f>
        <v>1860123</v>
      </c>
      <c r="R1383">
        <f t="shared" si="41"/>
        <v>2.3116750881527723</v>
      </c>
      <c r="U1383">
        <v>233</v>
      </c>
      <c r="V1383">
        <v>84</v>
      </c>
      <c r="W1383">
        <v>382</v>
      </c>
      <c r="X1383">
        <v>317</v>
      </c>
      <c r="Y1383">
        <v>42.3</v>
      </c>
      <c r="Z1383">
        <v>32.299999999999997</v>
      </c>
      <c r="AA1383">
        <v>52.4</v>
      </c>
    </row>
    <row r="1384" spans="1:27" x14ac:dyDescent="0.25">
      <c r="A1384" t="s">
        <v>237</v>
      </c>
      <c r="B1384" t="s">
        <v>210</v>
      </c>
      <c r="C1384" s="76">
        <v>44008</v>
      </c>
      <c r="D1384">
        <v>1951</v>
      </c>
      <c r="E1384">
        <v>920</v>
      </c>
      <c r="F1384">
        <v>2983</v>
      </c>
      <c r="G1384">
        <v>2228</v>
      </c>
      <c r="H1384">
        <v>46.7</v>
      </c>
      <c r="I1384">
        <v>37.1</v>
      </c>
      <c r="J1384">
        <v>56.2</v>
      </c>
      <c r="K1384">
        <v>46</v>
      </c>
      <c r="L1384">
        <v>15</v>
      </c>
      <c r="M1384">
        <v>77</v>
      </c>
      <c r="N1384">
        <v>1.1000000000000001</v>
      </c>
      <c r="O1384">
        <v>0.6</v>
      </c>
      <c r="P1384">
        <v>1.6</v>
      </c>
      <c r="Q1384">
        <f t="shared" si="42"/>
        <v>1860123</v>
      </c>
      <c r="R1384">
        <f t="shared" si="41"/>
        <v>2.4729547454657568</v>
      </c>
      <c r="U1384">
        <v>265</v>
      </c>
      <c r="V1384">
        <v>96</v>
      </c>
      <c r="W1384">
        <v>433</v>
      </c>
      <c r="X1384">
        <v>293</v>
      </c>
      <c r="Y1384">
        <v>47.5</v>
      </c>
      <c r="Z1384">
        <v>36.9</v>
      </c>
      <c r="AA1384">
        <v>58.1</v>
      </c>
    </row>
    <row r="1385" spans="1:27" x14ac:dyDescent="0.25">
      <c r="A1385" t="s">
        <v>237</v>
      </c>
      <c r="B1385" t="s">
        <v>210</v>
      </c>
      <c r="C1385" s="76">
        <v>44009</v>
      </c>
      <c r="D1385">
        <v>1803</v>
      </c>
      <c r="E1385">
        <v>845</v>
      </c>
      <c r="F1385">
        <v>2761</v>
      </c>
      <c r="G1385">
        <v>2334</v>
      </c>
      <c r="H1385">
        <v>43.6</v>
      </c>
      <c r="I1385">
        <v>33.9</v>
      </c>
      <c r="J1385">
        <v>53.3</v>
      </c>
      <c r="K1385">
        <v>38</v>
      </c>
      <c r="L1385">
        <v>13</v>
      </c>
      <c r="M1385">
        <v>63</v>
      </c>
      <c r="N1385">
        <v>0.9</v>
      </c>
      <c r="O1385">
        <v>0.6</v>
      </c>
      <c r="P1385">
        <v>1.3</v>
      </c>
      <c r="Q1385">
        <f t="shared" si="42"/>
        <v>1860123</v>
      </c>
      <c r="R1385">
        <f t="shared" si="41"/>
        <v>2.042875659297799</v>
      </c>
      <c r="U1385">
        <v>245</v>
      </c>
      <c r="V1385">
        <v>82</v>
      </c>
      <c r="W1385">
        <v>409</v>
      </c>
      <c r="X1385">
        <v>310</v>
      </c>
      <c r="Y1385">
        <v>44.2</v>
      </c>
      <c r="Z1385">
        <v>33</v>
      </c>
      <c r="AA1385">
        <v>55.4</v>
      </c>
    </row>
    <row r="1386" spans="1:27" x14ac:dyDescent="0.25">
      <c r="A1386" t="s">
        <v>237</v>
      </c>
      <c r="B1386" t="s">
        <v>210</v>
      </c>
      <c r="C1386" s="76">
        <v>44010</v>
      </c>
      <c r="D1386">
        <v>1782</v>
      </c>
      <c r="E1386">
        <v>848</v>
      </c>
      <c r="F1386">
        <v>2717</v>
      </c>
      <c r="G1386">
        <v>2375</v>
      </c>
      <c r="H1386">
        <v>42.9</v>
      </c>
      <c r="I1386">
        <v>33.5</v>
      </c>
      <c r="J1386">
        <v>52.2</v>
      </c>
      <c r="K1386">
        <v>51</v>
      </c>
      <c r="L1386">
        <v>15</v>
      </c>
      <c r="M1386">
        <v>86</v>
      </c>
      <c r="N1386">
        <v>1.2</v>
      </c>
      <c r="O1386">
        <v>0.6</v>
      </c>
      <c r="P1386">
        <v>1.8</v>
      </c>
      <c r="Q1386">
        <f t="shared" si="42"/>
        <v>1860123</v>
      </c>
      <c r="R1386">
        <f t="shared" si="41"/>
        <v>2.7417541743207301</v>
      </c>
      <c r="U1386">
        <v>236</v>
      </c>
      <c r="V1386">
        <v>77</v>
      </c>
      <c r="W1386">
        <v>395</v>
      </c>
      <c r="X1386">
        <v>313</v>
      </c>
      <c r="Y1386">
        <v>43</v>
      </c>
      <c r="Z1386">
        <v>32.200000000000003</v>
      </c>
      <c r="AA1386">
        <v>53.8</v>
      </c>
    </row>
    <row r="1387" spans="1:27" x14ac:dyDescent="0.25">
      <c r="A1387" t="s">
        <v>237</v>
      </c>
      <c r="B1387" t="s">
        <v>210</v>
      </c>
      <c r="C1387" s="76">
        <v>44011</v>
      </c>
      <c r="D1387">
        <v>1856</v>
      </c>
      <c r="E1387">
        <v>886</v>
      </c>
      <c r="F1387">
        <v>2826</v>
      </c>
      <c r="G1387">
        <v>2316</v>
      </c>
      <c r="H1387">
        <v>44.5</v>
      </c>
      <c r="I1387">
        <v>35.799999999999997</v>
      </c>
      <c r="J1387">
        <v>53.2</v>
      </c>
      <c r="K1387">
        <v>51</v>
      </c>
      <c r="L1387">
        <v>16</v>
      </c>
      <c r="M1387">
        <v>86</v>
      </c>
      <c r="N1387">
        <v>1.2</v>
      </c>
      <c r="O1387">
        <v>0.6</v>
      </c>
      <c r="P1387">
        <v>1.8</v>
      </c>
      <c r="Q1387">
        <f t="shared" si="42"/>
        <v>1860123</v>
      </c>
      <c r="R1387">
        <f t="shared" si="41"/>
        <v>2.7417541743207301</v>
      </c>
      <c r="U1387">
        <v>224</v>
      </c>
      <c r="V1387">
        <v>72</v>
      </c>
      <c r="W1387">
        <v>376</v>
      </c>
      <c r="X1387">
        <v>335</v>
      </c>
      <c r="Y1387">
        <v>40.1</v>
      </c>
      <c r="Z1387">
        <v>30.7</v>
      </c>
      <c r="AA1387">
        <v>49.5</v>
      </c>
    </row>
    <row r="1388" spans="1:27" x14ac:dyDescent="0.25">
      <c r="A1388" t="s">
        <v>237</v>
      </c>
      <c r="B1388" t="s">
        <v>210</v>
      </c>
      <c r="C1388" s="76">
        <v>44012</v>
      </c>
      <c r="D1388">
        <v>1939</v>
      </c>
      <c r="E1388">
        <v>924</v>
      </c>
      <c r="F1388">
        <v>2954</v>
      </c>
      <c r="G1388">
        <v>2223</v>
      </c>
      <c r="H1388">
        <v>46.6</v>
      </c>
      <c r="I1388">
        <v>38.299999999999997</v>
      </c>
      <c r="J1388">
        <v>54.9</v>
      </c>
      <c r="K1388">
        <v>63</v>
      </c>
      <c r="L1388">
        <v>20</v>
      </c>
      <c r="M1388">
        <v>106</v>
      </c>
      <c r="N1388">
        <v>1.5</v>
      </c>
      <c r="O1388">
        <v>0.9</v>
      </c>
      <c r="P1388">
        <v>2.2000000000000002</v>
      </c>
      <c r="Q1388">
        <f t="shared" si="42"/>
        <v>1860123</v>
      </c>
      <c r="R1388">
        <f t="shared" si="41"/>
        <v>3.386872803572667</v>
      </c>
      <c r="U1388">
        <v>243</v>
      </c>
      <c r="V1388">
        <v>82</v>
      </c>
      <c r="W1388">
        <v>404</v>
      </c>
      <c r="X1388">
        <v>313</v>
      </c>
      <c r="Y1388">
        <v>43.7</v>
      </c>
      <c r="Z1388">
        <v>33.9</v>
      </c>
      <c r="AA1388">
        <v>53.5</v>
      </c>
    </row>
    <row r="1389" spans="1:27" x14ac:dyDescent="0.25">
      <c r="A1389" t="s">
        <v>237</v>
      </c>
      <c r="B1389" t="s">
        <v>210</v>
      </c>
      <c r="C1389" s="76">
        <v>44013</v>
      </c>
      <c r="D1389">
        <v>1975</v>
      </c>
      <c r="E1389">
        <v>926</v>
      </c>
      <c r="F1389">
        <v>3025</v>
      </c>
      <c r="G1389">
        <v>2173</v>
      </c>
      <c r="H1389">
        <v>47.6</v>
      </c>
      <c r="I1389">
        <v>38.700000000000003</v>
      </c>
      <c r="J1389">
        <v>56.5</v>
      </c>
      <c r="K1389">
        <v>79</v>
      </c>
      <c r="L1389">
        <v>21</v>
      </c>
      <c r="M1389">
        <v>137</v>
      </c>
      <c r="N1389">
        <v>1.9</v>
      </c>
      <c r="O1389">
        <v>1</v>
      </c>
      <c r="P1389">
        <v>2.8</v>
      </c>
      <c r="Q1389">
        <f t="shared" si="42"/>
        <v>1860123</v>
      </c>
      <c r="R1389">
        <f t="shared" si="41"/>
        <v>4.2470309759085829</v>
      </c>
      <c r="U1389">
        <v>244</v>
      </c>
      <c r="V1389">
        <v>88</v>
      </c>
      <c r="W1389">
        <v>400</v>
      </c>
      <c r="X1389">
        <v>312</v>
      </c>
      <c r="Y1389">
        <v>43.9</v>
      </c>
      <c r="Z1389">
        <v>34.200000000000003</v>
      </c>
      <c r="AA1389">
        <v>53.7</v>
      </c>
    </row>
    <row r="1390" spans="1:27" x14ac:dyDescent="0.25">
      <c r="A1390" t="s">
        <v>237</v>
      </c>
      <c r="B1390" t="s">
        <v>210</v>
      </c>
      <c r="C1390" s="76">
        <v>44014</v>
      </c>
      <c r="D1390">
        <v>1961</v>
      </c>
      <c r="E1390">
        <v>907</v>
      </c>
      <c r="F1390">
        <v>3014</v>
      </c>
      <c r="G1390">
        <v>2164</v>
      </c>
      <c r="H1390">
        <v>47.5</v>
      </c>
      <c r="I1390">
        <v>37.9</v>
      </c>
      <c r="J1390">
        <v>57.1</v>
      </c>
      <c r="K1390">
        <v>73</v>
      </c>
      <c r="L1390">
        <v>21</v>
      </c>
      <c r="M1390">
        <v>124</v>
      </c>
      <c r="N1390">
        <v>1.8</v>
      </c>
      <c r="O1390">
        <v>0.9</v>
      </c>
      <c r="P1390">
        <v>2.6</v>
      </c>
      <c r="Q1390">
        <f t="shared" si="42"/>
        <v>1860123</v>
      </c>
      <c r="R1390">
        <f t="shared" si="41"/>
        <v>3.924471661282614</v>
      </c>
      <c r="U1390">
        <v>235</v>
      </c>
      <c r="V1390">
        <v>80</v>
      </c>
      <c r="W1390">
        <v>390</v>
      </c>
      <c r="X1390">
        <v>315</v>
      </c>
      <c r="Y1390">
        <v>42.7</v>
      </c>
      <c r="Z1390">
        <v>30.9</v>
      </c>
      <c r="AA1390">
        <v>54.5</v>
      </c>
    </row>
    <row r="1391" spans="1:27" x14ac:dyDescent="0.25">
      <c r="A1391" t="s">
        <v>237</v>
      </c>
      <c r="B1391" t="s">
        <v>210</v>
      </c>
      <c r="C1391" s="76">
        <v>44015</v>
      </c>
      <c r="D1391">
        <v>1866</v>
      </c>
      <c r="E1391">
        <v>891</v>
      </c>
      <c r="F1391">
        <v>2842</v>
      </c>
      <c r="G1391">
        <v>2216</v>
      </c>
      <c r="H1391">
        <v>45.7</v>
      </c>
      <c r="I1391">
        <v>36</v>
      </c>
      <c r="J1391">
        <v>55.5</v>
      </c>
      <c r="K1391">
        <v>67</v>
      </c>
      <c r="L1391">
        <v>16</v>
      </c>
      <c r="M1391">
        <v>118</v>
      </c>
      <c r="N1391">
        <v>1.6</v>
      </c>
      <c r="O1391">
        <v>0.7</v>
      </c>
      <c r="P1391">
        <v>2.5</v>
      </c>
      <c r="Q1391">
        <f t="shared" si="42"/>
        <v>1860123</v>
      </c>
      <c r="R1391">
        <f t="shared" si="41"/>
        <v>3.6019123466566461</v>
      </c>
      <c r="U1391">
        <v>241</v>
      </c>
      <c r="V1391">
        <v>84</v>
      </c>
      <c r="W1391">
        <v>399</v>
      </c>
      <c r="X1391">
        <v>311</v>
      </c>
      <c r="Y1391">
        <v>43.7</v>
      </c>
      <c r="Z1391">
        <v>32.9</v>
      </c>
      <c r="AA1391">
        <v>54.4</v>
      </c>
    </row>
    <row r="1392" spans="1:27" x14ac:dyDescent="0.25">
      <c r="A1392" t="s">
        <v>237</v>
      </c>
      <c r="B1392" t="s">
        <v>210</v>
      </c>
      <c r="C1392" s="76">
        <v>44016</v>
      </c>
      <c r="D1392">
        <v>1758</v>
      </c>
      <c r="E1392">
        <v>834</v>
      </c>
      <c r="F1392">
        <v>2683</v>
      </c>
      <c r="G1392">
        <v>2312</v>
      </c>
      <c r="H1392">
        <v>43.2</v>
      </c>
      <c r="I1392">
        <v>33.6</v>
      </c>
      <c r="J1392">
        <v>52.8</v>
      </c>
      <c r="K1392">
        <v>73</v>
      </c>
      <c r="L1392">
        <v>19</v>
      </c>
      <c r="M1392">
        <v>126</v>
      </c>
      <c r="N1392">
        <v>1.8</v>
      </c>
      <c r="O1392">
        <v>0.9</v>
      </c>
      <c r="P1392">
        <v>2.7</v>
      </c>
      <c r="Q1392">
        <f t="shared" si="42"/>
        <v>1860123</v>
      </c>
      <c r="R1392">
        <f t="shared" si="41"/>
        <v>3.924471661282614</v>
      </c>
      <c r="U1392">
        <v>243</v>
      </c>
      <c r="V1392">
        <v>83</v>
      </c>
      <c r="W1392">
        <v>402</v>
      </c>
      <c r="X1392">
        <v>310</v>
      </c>
      <c r="Y1392">
        <v>44</v>
      </c>
      <c r="Z1392">
        <v>33.200000000000003</v>
      </c>
      <c r="AA1392">
        <v>54.7</v>
      </c>
    </row>
    <row r="1393" spans="1:27" x14ac:dyDescent="0.25">
      <c r="A1393" t="s">
        <v>237</v>
      </c>
      <c r="B1393" t="s">
        <v>210</v>
      </c>
      <c r="C1393" s="76">
        <v>44017</v>
      </c>
      <c r="D1393">
        <v>1693</v>
      </c>
      <c r="E1393">
        <v>784</v>
      </c>
      <c r="F1393">
        <v>2603</v>
      </c>
      <c r="G1393">
        <v>2364</v>
      </c>
      <c r="H1393">
        <v>41.7</v>
      </c>
      <c r="I1393">
        <v>32.1</v>
      </c>
      <c r="J1393">
        <v>51.4</v>
      </c>
      <c r="K1393">
        <v>78</v>
      </c>
      <c r="L1393">
        <v>19</v>
      </c>
      <c r="M1393">
        <v>137</v>
      </c>
      <c r="N1393">
        <v>1.9</v>
      </c>
      <c r="O1393">
        <v>0.9</v>
      </c>
      <c r="P1393">
        <v>3</v>
      </c>
      <c r="Q1393">
        <f t="shared" si="42"/>
        <v>1860123</v>
      </c>
      <c r="R1393">
        <f t="shared" si="41"/>
        <v>4.1932710901375874</v>
      </c>
      <c r="U1393">
        <v>242</v>
      </c>
      <c r="V1393">
        <v>80</v>
      </c>
      <c r="W1393">
        <v>404</v>
      </c>
      <c r="X1393">
        <v>310</v>
      </c>
      <c r="Y1393">
        <v>43.8</v>
      </c>
      <c r="Z1393">
        <v>33.299999999999997</v>
      </c>
      <c r="AA1393">
        <v>54.4</v>
      </c>
    </row>
    <row r="1394" spans="1:27" x14ac:dyDescent="0.25">
      <c r="A1394" t="s">
        <v>237</v>
      </c>
      <c r="B1394" t="s">
        <v>210</v>
      </c>
      <c r="C1394" s="76">
        <v>44018</v>
      </c>
      <c r="D1394">
        <v>1886</v>
      </c>
      <c r="E1394">
        <v>892</v>
      </c>
      <c r="F1394">
        <v>2879</v>
      </c>
      <c r="G1394">
        <v>2167</v>
      </c>
      <c r="H1394">
        <v>46.5</v>
      </c>
      <c r="I1394">
        <v>37.299999999999997</v>
      </c>
      <c r="J1394">
        <v>55.7</v>
      </c>
      <c r="K1394">
        <v>92</v>
      </c>
      <c r="L1394">
        <v>23</v>
      </c>
      <c r="M1394">
        <v>161</v>
      </c>
      <c r="N1394">
        <v>2.2999999999999998</v>
      </c>
      <c r="O1394">
        <v>1.1000000000000001</v>
      </c>
      <c r="P1394">
        <v>3.5</v>
      </c>
      <c r="Q1394">
        <f t="shared" si="42"/>
        <v>1860123</v>
      </c>
      <c r="R1394">
        <f t="shared" si="41"/>
        <v>4.9459094909315136</v>
      </c>
      <c r="U1394">
        <v>237</v>
      </c>
      <c r="V1394">
        <v>80</v>
      </c>
      <c r="W1394">
        <v>395</v>
      </c>
      <c r="X1394">
        <v>315</v>
      </c>
      <c r="Y1394">
        <v>43</v>
      </c>
      <c r="Z1394">
        <v>35.700000000000003</v>
      </c>
      <c r="AA1394">
        <v>50.3</v>
      </c>
    </row>
    <row r="1395" spans="1:27" x14ac:dyDescent="0.25">
      <c r="A1395" t="s">
        <v>237</v>
      </c>
      <c r="B1395" t="s">
        <v>210</v>
      </c>
      <c r="C1395" s="76">
        <v>44019</v>
      </c>
      <c r="D1395">
        <v>2005</v>
      </c>
      <c r="E1395">
        <v>967</v>
      </c>
      <c r="F1395">
        <v>3042</v>
      </c>
      <c r="G1395">
        <v>2038</v>
      </c>
      <c r="H1395">
        <v>49.6</v>
      </c>
      <c r="I1395">
        <v>40.799999999999997</v>
      </c>
      <c r="J1395">
        <v>58.3</v>
      </c>
      <c r="K1395">
        <v>116</v>
      </c>
      <c r="L1395">
        <v>35</v>
      </c>
      <c r="M1395">
        <v>197</v>
      </c>
      <c r="N1395">
        <v>2.9</v>
      </c>
      <c r="O1395">
        <v>1.4</v>
      </c>
      <c r="P1395">
        <v>4.3</v>
      </c>
      <c r="Q1395">
        <f t="shared" si="42"/>
        <v>1860123</v>
      </c>
      <c r="R1395">
        <f t="shared" si="41"/>
        <v>6.2361467494353864</v>
      </c>
      <c r="U1395">
        <v>272</v>
      </c>
      <c r="V1395">
        <v>90</v>
      </c>
      <c r="W1395">
        <v>453</v>
      </c>
      <c r="X1395">
        <v>280</v>
      </c>
      <c r="Y1395">
        <v>49.2</v>
      </c>
      <c r="Z1395">
        <v>40.700000000000003</v>
      </c>
      <c r="AA1395">
        <v>57.8</v>
      </c>
    </row>
    <row r="1396" spans="1:27" x14ac:dyDescent="0.25">
      <c r="A1396" t="s">
        <v>238</v>
      </c>
      <c r="B1396" t="s">
        <v>174</v>
      </c>
      <c r="C1396" s="76">
        <v>43922</v>
      </c>
      <c r="D1396">
        <v>17513</v>
      </c>
      <c r="E1396">
        <v>4430</v>
      </c>
      <c r="F1396">
        <v>30595</v>
      </c>
      <c r="G1396">
        <v>14485</v>
      </c>
      <c r="H1396">
        <v>54.7</v>
      </c>
      <c r="I1396">
        <v>42.5</v>
      </c>
      <c r="J1396">
        <v>66.900000000000006</v>
      </c>
      <c r="K1396">
        <v>2998</v>
      </c>
      <c r="L1396">
        <v>414</v>
      </c>
      <c r="M1396">
        <v>5583</v>
      </c>
      <c r="N1396">
        <v>9.4</v>
      </c>
      <c r="O1396">
        <v>5.5</v>
      </c>
      <c r="P1396">
        <v>13.2</v>
      </c>
      <c r="Q1396">
        <f t="shared" si="42"/>
        <v>12569321</v>
      </c>
      <c r="R1396">
        <f t="shared" si="41"/>
        <v>23.851725960376061</v>
      </c>
      <c r="U1396">
        <v>2455</v>
      </c>
      <c r="V1396">
        <v>0</v>
      </c>
      <c r="W1396">
        <v>5050</v>
      </c>
      <c r="X1396">
        <v>1746</v>
      </c>
      <c r="Y1396">
        <v>58.4</v>
      </c>
      <c r="Z1396">
        <v>33.700000000000003</v>
      </c>
      <c r="AA1396">
        <v>83.2</v>
      </c>
    </row>
    <row r="1397" spans="1:27" x14ac:dyDescent="0.25">
      <c r="A1397" t="s">
        <v>238</v>
      </c>
      <c r="B1397" t="s">
        <v>174</v>
      </c>
      <c r="C1397" s="76">
        <v>43923</v>
      </c>
      <c r="D1397">
        <v>19449</v>
      </c>
      <c r="E1397">
        <v>5911</v>
      </c>
      <c r="F1397">
        <v>32986</v>
      </c>
      <c r="G1397">
        <v>15435</v>
      </c>
      <c r="H1397">
        <v>55.8</v>
      </c>
      <c r="I1397">
        <v>42.5</v>
      </c>
      <c r="J1397">
        <v>69</v>
      </c>
      <c r="K1397">
        <v>3086</v>
      </c>
      <c r="L1397">
        <v>598</v>
      </c>
      <c r="M1397">
        <v>5573</v>
      </c>
      <c r="N1397">
        <v>8.8000000000000007</v>
      </c>
      <c r="O1397">
        <v>5.4</v>
      </c>
      <c r="P1397">
        <v>12.3</v>
      </c>
      <c r="Q1397">
        <f t="shared" si="42"/>
        <v>12569321</v>
      </c>
      <c r="R1397">
        <f t="shared" si="41"/>
        <v>24.551843333462482</v>
      </c>
      <c r="U1397">
        <v>3578</v>
      </c>
      <c r="V1397">
        <v>219</v>
      </c>
      <c r="W1397">
        <v>6938</v>
      </c>
      <c r="X1397">
        <v>1948</v>
      </c>
      <c r="Y1397">
        <v>64.8</v>
      </c>
      <c r="Z1397">
        <v>44.9</v>
      </c>
      <c r="AA1397">
        <v>84.6</v>
      </c>
    </row>
    <row r="1398" spans="1:27" x14ac:dyDescent="0.25">
      <c r="A1398" t="s">
        <v>238</v>
      </c>
      <c r="B1398" t="s">
        <v>174</v>
      </c>
      <c r="C1398" s="76">
        <v>43924</v>
      </c>
      <c r="D1398">
        <v>17345</v>
      </c>
      <c r="E1398">
        <v>6991</v>
      </c>
      <c r="F1398">
        <v>27699</v>
      </c>
      <c r="G1398">
        <v>15780</v>
      </c>
      <c r="H1398">
        <v>52.4</v>
      </c>
      <c r="I1398">
        <v>42.1</v>
      </c>
      <c r="J1398">
        <v>62.7</v>
      </c>
      <c r="K1398">
        <v>3022</v>
      </c>
      <c r="L1398">
        <v>953</v>
      </c>
      <c r="M1398">
        <v>5090</v>
      </c>
      <c r="N1398">
        <v>9.1</v>
      </c>
      <c r="O1398">
        <v>5.4</v>
      </c>
      <c r="P1398">
        <v>12.9</v>
      </c>
      <c r="Q1398">
        <f t="shared" si="42"/>
        <v>12569321</v>
      </c>
      <c r="R1398">
        <f t="shared" si="41"/>
        <v>24.042667062126903</v>
      </c>
      <c r="U1398">
        <v>3363</v>
      </c>
      <c r="V1398">
        <v>668</v>
      </c>
      <c r="W1398">
        <v>6058</v>
      </c>
      <c r="X1398">
        <v>1789</v>
      </c>
      <c r="Y1398">
        <v>65.3</v>
      </c>
      <c r="Z1398">
        <v>51.6</v>
      </c>
      <c r="AA1398">
        <v>79</v>
      </c>
    </row>
    <row r="1399" spans="1:27" x14ac:dyDescent="0.25">
      <c r="A1399" t="s">
        <v>238</v>
      </c>
      <c r="B1399" t="s">
        <v>174</v>
      </c>
      <c r="C1399" s="76">
        <v>43925</v>
      </c>
      <c r="D1399">
        <v>17306</v>
      </c>
      <c r="E1399">
        <v>7031</v>
      </c>
      <c r="F1399">
        <v>27581</v>
      </c>
      <c r="G1399">
        <v>17282</v>
      </c>
      <c r="H1399">
        <v>50</v>
      </c>
      <c r="I1399">
        <v>41.2</v>
      </c>
      <c r="J1399">
        <v>58.8</v>
      </c>
      <c r="K1399">
        <v>3331</v>
      </c>
      <c r="L1399">
        <v>1100</v>
      </c>
      <c r="M1399">
        <v>5562</v>
      </c>
      <c r="N1399">
        <v>9.6</v>
      </c>
      <c r="O1399">
        <v>5.6</v>
      </c>
      <c r="P1399">
        <v>13.6</v>
      </c>
      <c r="Q1399">
        <f t="shared" si="42"/>
        <v>12569321</v>
      </c>
      <c r="R1399">
        <f t="shared" si="41"/>
        <v>26.501033747169</v>
      </c>
      <c r="U1399">
        <v>3763</v>
      </c>
      <c r="V1399">
        <v>271</v>
      </c>
      <c r="W1399">
        <v>7254</v>
      </c>
      <c r="X1399">
        <v>2139</v>
      </c>
      <c r="Y1399">
        <v>63.8</v>
      </c>
      <c r="Z1399">
        <v>51.6</v>
      </c>
      <c r="AA1399">
        <v>75.900000000000006</v>
      </c>
    </row>
    <row r="1400" spans="1:27" x14ac:dyDescent="0.25">
      <c r="A1400" t="s">
        <v>238</v>
      </c>
      <c r="B1400" t="s">
        <v>174</v>
      </c>
      <c r="C1400" s="76">
        <v>43926</v>
      </c>
      <c r="D1400">
        <v>17504</v>
      </c>
      <c r="E1400">
        <v>7083</v>
      </c>
      <c r="F1400">
        <v>27924</v>
      </c>
      <c r="G1400">
        <v>16833</v>
      </c>
      <c r="H1400">
        <v>51</v>
      </c>
      <c r="I1400">
        <v>41.4</v>
      </c>
      <c r="J1400">
        <v>60.5</v>
      </c>
      <c r="K1400">
        <v>3260</v>
      </c>
      <c r="L1400">
        <v>1123</v>
      </c>
      <c r="M1400">
        <v>5397</v>
      </c>
      <c r="N1400">
        <v>9.5</v>
      </c>
      <c r="O1400">
        <v>5.6</v>
      </c>
      <c r="P1400">
        <v>13.4</v>
      </c>
      <c r="Q1400">
        <f t="shared" si="42"/>
        <v>12569321</v>
      </c>
      <c r="R1400">
        <f t="shared" si="41"/>
        <v>25.93616632115609</v>
      </c>
      <c r="U1400">
        <v>3755</v>
      </c>
      <c r="V1400">
        <v>284</v>
      </c>
      <c r="W1400">
        <v>7225</v>
      </c>
      <c r="X1400">
        <v>2124</v>
      </c>
      <c r="Y1400">
        <v>63.9</v>
      </c>
      <c r="Z1400">
        <v>49.2</v>
      </c>
      <c r="AA1400">
        <v>78.599999999999994</v>
      </c>
    </row>
    <row r="1401" spans="1:27" x14ac:dyDescent="0.25">
      <c r="A1401" t="s">
        <v>238</v>
      </c>
      <c r="B1401" t="s">
        <v>174</v>
      </c>
      <c r="C1401" s="76">
        <v>43927</v>
      </c>
      <c r="D1401">
        <v>17097</v>
      </c>
      <c r="E1401">
        <v>7147</v>
      </c>
      <c r="F1401">
        <v>27047</v>
      </c>
      <c r="G1401">
        <v>15934</v>
      </c>
      <c r="H1401">
        <v>51.8</v>
      </c>
      <c r="I1401">
        <v>43.6</v>
      </c>
      <c r="J1401">
        <v>60</v>
      </c>
      <c r="K1401">
        <v>3132</v>
      </c>
      <c r="L1401">
        <v>994</v>
      </c>
      <c r="M1401">
        <v>5270</v>
      </c>
      <c r="N1401">
        <v>9.5</v>
      </c>
      <c r="O1401">
        <v>5.6</v>
      </c>
      <c r="P1401">
        <v>13.4</v>
      </c>
      <c r="Q1401">
        <f t="shared" si="42"/>
        <v>12569321</v>
      </c>
      <c r="R1401">
        <f t="shared" si="41"/>
        <v>24.917813778484931</v>
      </c>
      <c r="U1401">
        <v>3296</v>
      </c>
      <c r="V1401">
        <v>615</v>
      </c>
      <c r="W1401">
        <v>5977</v>
      </c>
      <c r="X1401">
        <v>1870</v>
      </c>
      <c r="Y1401">
        <v>63.8</v>
      </c>
      <c r="Z1401">
        <v>52.8</v>
      </c>
      <c r="AA1401">
        <v>74.8</v>
      </c>
    </row>
    <row r="1402" spans="1:27" x14ac:dyDescent="0.25">
      <c r="A1402" t="s">
        <v>238</v>
      </c>
      <c r="B1402" t="s">
        <v>174</v>
      </c>
      <c r="C1402" s="76">
        <v>43928</v>
      </c>
      <c r="D1402">
        <v>17629</v>
      </c>
      <c r="E1402">
        <v>7345</v>
      </c>
      <c r="F1402">
        <v>27913</v>
      </c>
      <c r="G1402">
        <v>15736</v>
      </c>
      <c r="H1402">
        <v>52.8</v>
      </c>
      <c r="I1402">
        <v>44.2</v>
      </c>
      <c r="J1402">
        <v>61.5</v>
      </c>
      <c r="K1402">
        <v>3237</v>
      </c>
      <c r="L1402">
        <v>1061</v>
      </c>
      <c r="M1402">
        <v>5413</v>
      </c>
      <c r="N1402">
        <v>9.6999999999999993</v>
      </c>
      <c r="O1402">
        <v>5.7</v>
      </c>
      <c r="P1402">
        <v>13.7</v>
      </c>
      <c r="Q1402">
        <f t="shared" si="42"/>
        <v>12569321</v>
      </c>
      <c r="R1402">
        <f t="shared" si="41"/>
        <v>25.753181098644866</v>
      </c>
      <c r="U1402">
        <v>3270</v>
      </c>
      <c r="V1402">
        <v>578</v>
      </c>
      <c r="W1402">
        <v>5961</v>
      </c>
      <c r="X1402">
        <v>2050</v>
      </c>
      <c r="Y1402">
        <v>61.5</v>
      </c>
      <c r="Z1402">
        <v>49.8</v>
      </c>
      <c r="AA1402">
        <v>73.099999999999994</v>
      </c>
    </row>
    <row r="1403" spans="1:27" x14ac:dyDescent="0.25">
      <c r="A1403" t="s">
        <v>238</v>
      </c>
      <c r="B1403" t="s">
        <v>174</v>
      </c>
      <c r="C1403" s="76">
        <v>43929</v>
      </c>
      <c r="D1403">
        <v>18710</v>
      </c>
      <c r="E1403">
        <v>9125</v>
      </c>
      <c r="F1403">
        <v>28296</v>
      </c>
      <c r="G1403">
        <v>15514</v>
      </c>
      <c r="H1403">
        <v>54.7</v>
      </c>
      <c r="I1403">
        <v>48.5</v>
      </c>
      <c r="J1403">
        <v>60.9</v>
      </c>
      <c r="K1403">
        <v>3505</v>
      </c>
      <c r="L1403">
        <v>1411</v>
      </c>
      <c r="M1403">
        <v>5599</v>
      </c>
      <c r="N1403">
        <v>10.199999999999999</v>
      </c>
      <c r="O1403">
        <v>6.1</v>
      </c>
      <c r="P1403">
        <v>14.3</v>
      </c>
      <c r="Q1403">
        <f t="shared" si="42"/>
        <v>12569321</v>
      </c>
      <c r="R1403">
        <f t="shared" si="41"/>
        <v>27.885356734862604</v>
      </c>
      <c r="U1403">
        <v>3496</v>
      </c>
      <c r="V1403">
        <v>862</v>
      </c>
      <c r="W1403">
        <v>6130</v>
      </c>
      <c r="X1403">
        <v>1890</v>
      </c>
      <c r="Y1403">
        <v>64.900000000000006</v>
      </c>
      <c r="Z1403">
        <v>54.4</v>
      </c>
      <c r="AA1403">
        <v>75.400000000000006</v>
      </c>
    </row>
    <row r="1404" spans="1:27" x14ac:dyDescent="0.25">
      <c r="A1404" t="s">
        <v>238</v>
      </c>
      <c r="B1404" t="s">
        <v>174</v>
      </c>
      <c r="C1404" s="76">
        <v>43930</v>
      </c>
      <c r="D1404">
        <v>18448</v>
      </c>
      <c r="E1404">
        <v>8840</v>
      </c>
      <c r="F1404">
        <v>28055</v>
      </c>
      <c r="G1404">
        <v>14586</v>
      </c>
      <c r="H1404">
        <v>55.8</v>
      </c>
      <c r="I1404">
        <v>46.8</v>
      </c>
      <c r="J1404">
        <v>64.900000000000006</v>
      </c>
      <c r="K1404">
        <v>3592</v>
      </c>
      <c r="L1404">
        <v>1425</v>
      </c>
      <c r="M1404">
        <v>5760</v>
      </c>
      <c r="N1404">
        <v>10.9</v>
      </c>
      <c r="O1404">
        <v>6.5</v>
      </c>
      <c r="P1404">
        <v>15.3</v>
      </c>
      <c r="Q1404">
        <f t="shared" si="42"/>
        <v>12569321</v>
      </c>
      <c r="R1404">
        <f t="shared" si="41"/>
        <v>28.577518228709412</v>
      </c>
      <c r="U1404">
        <v>2823</v>
      </c>
      <c r="V1404">
        <v>1045</v>
      </c>
      <c r="W1404">
        <v>4601</v>
      </c>
      <c r="X1404">
        <v>1711</v>
      </c>
      <c r="Y1404">
        <v>62.3</v>
      </c>
      <c r="Z1404">
        <v>51.9</v>
      </c>
      <c r="AA1404">
        <v>72.599999999999994</v>
      </c>
    </row>
    <row r="1405" spans="1:27" x14ac:dyDescent="0.25">
      <c r="A1405" t="s">
        <v>238</v>
      </c>
      <c r="B1405" t="s">
        <v>174</v>
      </c>
      <c r="C1405" s="76">
        <v>43931</v>
      </c>
      <c r="D1405">
        <v>18266</v>
      </c>
      <c r="E1405">
        <v>8799</v>
      </c>
      <c r="F1405">
        <v>27734</v>
      </c>
      <c r="G1405">
        <v>14918</v>
      </c>
      <c r="H1405">
        <v>55</v>
      </c>
      <c r="I1405">
        <v>47.1</v>
      </c>
      <c r="J1405">
        <v>63</v>
      </c>
      <c r="K1405">
        <v>3599</v>
      </c>
      <c r="L1405">
        <v>1439</v>
      </c>
      <c r="M1405">
        <v>5759</v>
      </c>
      <c r="N1405">
        <v>10.8</v>
      </c>
      <c r="O1405">
        <v>6.4</v>
      </c>
      <c r="P1405">
        <v>15.3</v>
      </c>
      <c r="Q1405">
        <f t="shared" si="42"/>
        <v>12569321</v>
      </c>
      <c r="R1405">
        <f t="shared" si="41"/>
        <v>28.633209383386742</v>
      </c>
      <c r="U1405">
        <v>2685</v>
      </c>
      <c r="V1405">
        <v>953</v>
      </c>
      <c r="W1405">
        <v>4417</v>
      </c>
      <c r="X1405">
        <v>1887</v>
      </c>
      <c r="Y1405">
        <v>58.7</v>
      </c>
      <c r="Z1405">
        <v>46.7</v>
      </c>
      <c r="AA1405">
        <v>70.8</v>
      </c>
    </row>
    <row r="1406" spans="1:27" x14ac:dyDescent="0.25">
      <c r="A1406" t="s">
        <v>238</v>
      </c>
      <c r="B1406" t="s">
        <v>174</v>
      </c>
      <c r="C1406" s="76">
        <v>43932</v>
      </c>
      <c r="D1406">
        <v>17225</v>
      </c>
      <c r="E1406">
        <v>8822</v>
      </c>
      <c r="F1406">
        <v>25627</v>
      </c>
      <c r="G1406">
        <v>15623</v>
      </c>
      <c r="H1406">
        <v>52.4</v>
      </c>
      <c r="I1406">
        <v>46.3</v>
      </c>
      <c r="J1406">
        <v>58.6</v>
      </c>
      <c r="K1406">
        <v>3714</v>
      </c>
      <c r="L1406">
        <v>1415</v>
      </c>
      <c r="M1406">
        <v>6013</v>
      </c>
      <c r="N1406">
        <v>11.3</v>
      </c>
      <c r="O1406">
        <v>6</v>
      </c>
      <c r="P1406">
        <v>16.600000000000001</v>
      </c>
      <c r="Q1406">
        <f t="shared" si="42"/>
        <v>12569321</v>
      </c>
      <c r="R1406">
        <f t="shared" si="41"/>
        <v>29.548135495942859</v>
      </c>
      <c r="U1406">
        <v>2552</v>
      </c>
      <c r="V1406">
        <v>897</v>
      </c>
      <c r="W1406">
        <v>4208</v>
      </c>
      <c r="X1406">
        <v>2020</v>
      </c>
      <c r="Y1406">
        <v>55.8</v>
      </c>
      <c r="Z1406">
        <v>44</v>
      </c>
      <c r="AA1406">
        <v>67.599999999999994</v>
      </c>
    </row>
    <row r="1407" spans="1:27" x14ac:dyDescent="0.25">
      <c r="A1407" t="s">
        <v>238</v>
      </c>
      <c r="B1407" t="s">
        <v>174</v>
      </c>
      <c r="C1407" s="76">
        <v>43933</v>
      </c>
      <c r="D1407">
        <v>16982</v>
      </c>
      <c r="E1407">
        <v>8344</v>
      </c>
      <c r="F1407">
        <v>25620</v>
      </c>
      <c r="G1407">
        <v>15685</v>
      </c>
      <c r="H1407">
        <v>52</v>
      </c>
      <c r="I1407">
        <v>43.9</v>
      </c>
      <c r="J1407">
        <v>60.1</v>
      </c>
      <c r="K1407">
        <v>3480</v>
      </c>
      <c r="L1407">
        <v>1493</v>
      </c>
      <c r="M1407">
        <v>5467</v>
      </c>
      <c r="N1407">
        <v>10.7</v>
      </c>
      <c r="O1407">
        <v>6.4</v>
      </c>
      <c r="P1407">
        <v>14.9</v>
      </c>
      <c r="Q1407">
        <f t="shared" si="42"/>
        <v>12569321</v>
      </c>
      <c r="R1407">
        <f t="shared" si="41"/>
        <v>27.686459753872146</v>
      </c>
      <c r="U1407">
        <v>2647</v>
      </c>
      <c r="V1407">
        <v>1013</v>
      </c>
      <c r="W1407">
        <v>4282</v>
      </c>
      <c r="X1407">
        <v>1876</v>
      </c>
      <c r="Y1407">
        <v>58.5</v>
      </c>
      <c r="Z1407">
        <v>46.8</v>
      </c>
      <c r="AA1407">
        <v>70.3</v>
      </c>
    </row>
    <row r="1408" spans="1:27" x14ac:dyDescent="0.25">
      <c r="A1408" t="s">
        <v>238</v>
      </c>
      <c r="B1408" t="s">
        <v>174</v>
      </c>
      <c r="C1408" s="76">
        <v>43934</v>
      </c>
      <c r="D1408">
        <v>15183</v>
      </c>
      <c r="E1408">
        <v>8663</v>
      </c>
      <c r="F1408">
        <v>21702</v>
      </c>
      <c r="G1408">
        <v>15000</v>
      </c>
      <c r="H1408">
        <v>50.3</v>
      </c>
      <c r="I1408">
        <v>44.1</v>
      </c>
      <c r="J1408">
        <v>56.5</v>
      </c>
      <c r="K1408">
        <v>3384</v>
      </c>
      <c r="L1408">
        <v>1622</v>
      </c>
      <c r="M1408">
        <v>5146</v>
      </c>
      <c r="N1408">
        <v>11.2</v>
      </c>
      <c r="O1408">
        <v>7</v>
      </c>
      <c r="P1408">
        <v>15.4</v>
      </c>
      <c r="Q1408">
        <f t="shared" si="42"/>
        <v>12569321</v>
      </c>
      <c r="R1408">
        <f t="shared" si="41"/>
        <v>26.922695346868775</v>
      </c>
      <c r="U1408">
        <v>2357</v>
      </c>
      <c r="V1408">
        <v>1023</v>
      </c>
      <c r="W1408">
        <v>3691</v>
      </c>
      <c r="X1408">
        <v>1488</v>
      </c>
      <c r="Y1408">
        <v>61.3</v>
      </c>
      <c r="Z1408">
        <v>48.4</v>
      </c>
      <c r="AA1408">
        <v>74.2</v>
      </c>
    </row>
    <row r="1409" spans="1:27" x14ac:dyDescent="0.25">
      <c r="A1409" t="s">
        <v>238</v>
      </c>
      <c r="B1409" t="s">
        <v>174</v>
      </c>
      <c r="C1409" s="76">
        <v>43935</v>
      </c>
      <c r="D1409">
        <v>15858</v>
      </c>
      <c r="E1409">
        <v>9373</v>
      </c>
      <c r="F1409">
        <v>22342</v>
      </c>
      <c r="G1409">
        <v>15396</v>
      </c>
      <c r="H1409">
        <v>50.7</v>
      </c>
      <c r="I1409">
        <v>44.5</v>
      </c>
      <c r="J1409">
        <v>57</v>
      </c>
      <c r="K1409">
        <v>3616</v>
      </c>
      <c r="L1409">
        <v>1825</v>
      </c>
      <c r="M1409">
        <v>5408</v>
      </c>
      <c r="N1409">
        <v>11.6</v>
      </c>
      <c r="O1409">
        <v>7.8</v>
      </c>
      <c r="P1409">
        <v>15.3</v>
      </c>
      <c r="Q1409">
        <f t="shared" si="42"/>
        <v>12569321</v>
      </c>
      <c r="R1409">
        <f t="shared" si="41"/>
        <v>28.768459330460253</v>
      </c>
      <c r="U1409">
        <v>2708</v>
      </c>
      <c r="V1409">
        <v>1229</v>
      </c>
      <c r="W1409">
        <v>4187</v>
      </c>
      <c r="X1409">
        <v>1711</v>
      </c>
      <c r="Y1409">
        <v>61.3</v>
      </c>
      <c r="Z1409">
        <v>51.6</v>
      </c>
      <c r="AA1409">
        <v>70.900000000000006</v>
      </c>
    </row>
    <row r="1410" spans="1:27" x14ac:dyDescent="0.25">
      <c r="A1410" t="s">
        <v>238</v>
      </c>
      <c r="B1410" t="s">
        <v>174</v>
      </c>
      <c r="C1410" s="76">
        <v>43936</v>
      </c>
      <c r="D1410">
        <v>16529</v>
      </c>
      <c r="E1410">
        <v>9763</v>
      </c>
      <c r="F1410">
        <v>23296</v>
      </c>
      <c r="G1410">
        <v>14644</v>
      </c>
      <c r="H1410">
        <v>53</v>
      </c>
      <c r="I1410">
        <v>47.1</v>
      </c>
      <c r="J1410">
        <v>58.9</v>
      </c>
      <c r="K1410">
        <v>3751</v>
      </c>
      <c r="L1410">
        <v>1810</v>
      </c>
      <c r="M1410">
        <v>5692</v>
      </c>
      <c r="N1410">
        <v>12</v>
      </c>
      <c r="O1410">
        <v>7.9</v>
      </c>
      <c r="P1410">
        <v>16.2</v>
      </c>
      <c r="Q1410">
        <f t="shared" si="42"/>
        <v>12569321</v>
      </c>
      <c r="R1410">
        <f t="shared" si="41"/>
        <v>29.842503027808743</v>
      </c>
      <c r="U1410">
        <v>2668</v>
      </c>
      <c r="V1410">
        <v>1230</v>
      </c>
      <c r="W1410">
        <v>4105</v>
      </c>
      <c r="X1410">
        <v>1801</v>
      </c>
      <c r="Y1410">
        <v>59.7</v>
      </c>
      <c r="Z1410">
        <v>50.2</v>
      </c>
      <c r="AA1410">
        <v>69.2</v>
      </c>
    </row>
    <row r="1411" spans="1:27" x14ac:dyDescent="0.25">
      <c r="A1411" t="s">
        <v>238</v>
      </c>
      <c r="B1411" t="s">
        <v>174</v>
      </c>
      <c r="C1411" s="76">
        <v>43937</v>
      </c>
      <c r="D1411">
        <v>16195</v>
      </c>
      <c r="E1411">
        <v>9308</v>
      </c>
      <c r="F1411">
        <v>23082</v>
      </c>
      <c r="G1411">
        <v>14701</v>
      </c>
      <c r="H1411">
        <v>52.4</v>
      </c>
      <c r="I1411">
        <v>45.1</v>
      </c>
      <c r="J1411">
        <v>59.7</v>
      </c>
      <c r="K1411">
        <v>3926</v>
      </c>
      <c r="L1411">
        <v>2055</v>
      </c>
      <c r="M1411">
        <v>5798</v>
      </c>
      <c r="N1411">
        <v>12.7</v>
      </c>
      <c r="O1411">
        <v>9.1999999999999993</v>
      </c>
      <c r="P1411">
        <v>16.2</v>
      </c>
      <c r="Q1411">
        <f t="shared" si="42"/>
        <v>12569321</v>
      </c>
      <c r="R1411">
        <f t="shared" si="41"/>
        <v>31.234781894741968</v>
      </c>
      <c r="U1411">
        <v>2822</v>
      </c>
      <c r="V1411">
        <v>1212</v>
      </c>
      <c r="W1411">
        <v>4432</v>
      </c>
      <c r="X1411">
        <v>1892</v>
      </c>
      <c r="Y1411">
        <v>59.9</v>
      </c>
      <c r="Z1411">
        <v>48.7</v>
      </c>
      <c r="AA1411">
        <v>71</v>
      </c>
    </row>
    <row r="1412" spans="1:27" x14ac:dyDescent="0.25">
      <c r="A1412" t="s">
        <v>238</v>
      </c>
      <c r="B1412" t="s">
        <v>174</v>
      </c>
      <c r="C1412" s="76">
        <v>43938</v>
      </c>
      <c r="D1412">
        <v>16039</v>
      </c>
      <c r="E1412">
        <v>9508</v>
      </c>
      <c r="F1412">
        <v>22569</v>
      </c>
      <c r="G1412">
        <v>14237</v>
      </c>
      <c r="H1412">
        <v>53</v>
      </c>
      <c r="I1412">
        <v>47.1</v>
      </c>
      <c r="J1412">
        <v>58.9</v>
      </c>
      <c r="K1412">
        <v>3805</v>
      </c>
      <c r="L1412">
        <v>2082</v>
      </c>
      <c r="M1412">
        <v>5529</v>
      </c>
      <c r="N1412">
        <v>12.6</v>
      </c>
      <c r="O1412">
        <v>9.4</v>
      </c>
      <c r="P1412">
        <v>15.8</v>
      </c>
      <c r="Q1412">
        <f t="shared" si="42"/>
        <v>12569321</v>
      </c>
      <c r="R1412">
        <f t="shared" si="41"/>
        <v>30.272120506748138</v>
      </c>
      <c r="U1412">
        <v>2975</v>
      </c>
      <c r="V1412">
        <v>1380</v>
      </c>
      <c r="W1412">
        <v>4569</v>
      </c>
      <c r="X1412">
        <v>2004</v>
      </c>
      <c r="Y1412">
        <v>59.7</v>
      </c>
      <c r="Z1412">
        <v>49.8</v>
      </c>
      <c r="AA1412">
        <v>69.7</v>
      </c>
    </row>
    <row r="1413" spans="1:27" x14ac:dyDescent="0.25">
      <c r="A1413" t="s">
        <v>238</v>
      </c>
      <c r="B1413" t="s">
        <v>174</v>
      </c>
      <c r="C1413" s="76">
        <v>43939</v>
      </c>
      <c r="D1413">
        <v>15575</v>
      </c>
      <c r="E1413">
        <v>9288</v>
      </c>
      <c r="F1413">
        <v>21862</v>
      </c>
      <c r="G1413">
        <v>14933</v>
      </c>
      <c r="H1413">
        <v>51.1</v>
      </c>
      <c r="I1413">
        <v>45.5</v>
      </c>
      <c r="J1413">
        <v>56.6</v>
      </c>
      <c r="K1413">
        <v>3759</v>
      </c>
      <c r="L1413">
        <v>2013</v>
      </c>
      <c r="M1413">
        <v>5506</v>
      </c>
      <c r="N1413">
        <v>12.3</v>
      </c>
      <c r="O1413">
        <v>9.3000000000000007</v>
      </c>
      <c r="P1413">
        <v>15.3</v>
      </c>
      <c r="Q1413">
        <f t="shared" si="42"/>
        <v>12569321</v>
      </c>
      <c r="R1413">
        <f t="shared" ref="R1413:R1476" si="43">K1413/(Q1413)*100000</f>
        <v>29.90615006172569</v>
      </c>
      <c r="U1413">
        <v>2879</v>
      </c>
      <c r="V1413">
        <v>1326</v>
      </c>
      <c r="W1413">
        <v>4431</v>
      </c>
      <c r="X1413">
        <v>2122</v>
      </c>
      <c r="Y1413">
        <v>57.6</v>
      </c>
      <c r="Z1413">
        <v>48.9</v>
      </c>
      <c r="AA1413">
        <v>66.2</v>
      </c>
    </row>
    <row r="1414" spans="1:27" x14ac:dyDescent="0.25">
      <c r="A1414" t="s">
        <v>238</v>
      </c>
      <c r="B1414" t="s">
        <v>174</v>
      </c>
      <c r="C1414" s="76">
        <v>43940</v>
      </c>
      <c r="D1414">
        <v>15293</v>
      </c>
      <c r="E1414">
        <v>8936</v>
      </c>
      <c r="F1414">
        <v>21649</v>
      </c>
      <c r="G1414">
        <v>15174</v>
      </c>
      <c r="H1414">
        <v>50.2</v>
      </c>
      <c r="I1414">
        <v>44.2</v>
      </c>
      <c r="J1414">
        <v>56.2</v>
      </c>
      <c r="K1414">
        <v>3848</v>
      </c>
      <c r="L1414">
        <v>2065</v>
      </c>
      <c r="M1414">
        <v>5631</v>
      </c>
      <c r="N1414">
        <v>12.6</v>
      </c>
      <c r="O1414">
        <v>9.5</v>
      </c>
      <c r="P1414">
        <v>15.8</v>
      </c>
      <c r="Q1414">
        <f t="shared" si="42"/>
        <v>12569321</v>
      </c>
      <c r="R1414">
        <f t="shared" si="43"/>
        <v>30.614223314051728</v>
      </c>
      <c r="U1414">
        <v>2995</v>
      </c>
      <c r="V1414">
        <v>1447</v>
      </c>
      <c r="W1414">
        <v>4544</v>
      </c>
      <c r="X1414">
        <v>1999</v>
      </c>
      <c r="Y1414">
        <v>60</v>
      </c>
      <c r="Z1414">
        <v>51.9</v>
      </c>
      <c r="AA1414">
        <v>68</v>
      </c>
    </row>
    <row r="1415" spans="1:27" x14ac:dyDescent="0.25">
      <c r="A1415" t="s">
        <v>238</v>
      </c>
      <c r="B1415" t="s">
        <v>174</v>
      </c>
      <c r="C1415" s="76">
        <v>43941</v>
      </c>
      <c r="D1415">
        <v>16141</v>
      </c>
      <c r="E1415">
        <v>9918</v>
      </c>
      <c r="F1415">
        <v>22364</v>
      </c>
      <c r="G1415">
        <v>14295</v>
      </c>
      <c r="H1415">
        <v>53</v>
      </c>
      <c r="I1415">
        <v>48.1</v>
      </c>
      <c r="J1415">
        <v>58</v>
      </c>
      <c r="K1415">
        <v>4450</v>
      </c>
      <c r="L1415">
        <v>2416</v>
      </c>
      <c r="M1415">
        <v>6484</v>
      </c>
      <c r="N1415">
        <v>14.6</v>
      </c>
      <c r="O1415">
        <v>10.7</v>
      </c>
      <c r="P1415">
        <v>18.5</v>
      </c>
      <c r="Q1415">
        <f t="shared" si="42"/>
        <v>12569321</v>
      </c>
      <c r="R1415">
        <f t="shared" si="43"/>
        <v>35.403662616302029</v>
      </c>
      <c r="U1415">
        <v>2960</v>
      </c>
      <c r="V1415">
        <v>1388</v>
      </c>
      <c r="W1415">
        <v>4533</v>
      </c>
      <c r="X1415">
        <v>1825</v>
      </c>
      <c r="Y1415">
        <v>61.9</v>
      </c>
      <c r="Z1415">
        <v>57.1</v>
      </c>
      <c r="AA1415">
        <v>66.599999999999994</v>
      </c>
    </row>
    <row r="1416" spans="1:27" x14ac:dyDescent="0.25">
      <c r="A1416" t="s">
        <v>238</v>
      </c>
      <c r="B1416" t="s">
        <v>174</v>
      </c>
      <c r="C1416" s="76">
        <v>43942</v>
      </c>
      <c r="D1416">
        <v>17107</v>
      </c>
      <c r="E1416">
        <v>10549</v>
      </c>
      <c r="F1416">
        <v>23665</v>
      </c>
      <c r="G1416">
        <v>13415</v>
      </c>
      <c r="H1416">
        <v>56</v>
      </c>
      <c r="I1416">
        <v>51</v>
      </c>
      <c r="J1416">
        <v>61.1</v>
      </c>
      <c r="K1416">
        <v>4473</v>
      </c>
      <c r="L1416">
        <v>2425</v>
      </c>
      <c r="M1416">
        <v>6521</v>
      </c>
      <c r="N1416">
        <v>14.7</v>
      </c>
      <c r="O1416">
        <v>10.8</v>
      </c>
      <c r="P1416">
        <v>18.5</v>
      </c>
      <c r="Q1416">
        <f t="shared" si="42"/>
        <v>12569321</v>
      </c>
      <c r="R1416">
        <f t="shared" si="43"/>
        <v>35.586647838813249</v>
      </c>
      <c r="U1416">
        <v>3029</v>
      </c>
      <c r="V1416">
        <v>1378</v>
      </c>
      <c r="W1416">
        <v>4680</v>
      </c>
      <c r="X1416">
        <v>1869</v>
      </c>
      <c r="Y1416">
        <v>61.8</v>
      </c>
      <c r="Z1416">
        <v>56.4</v>
      </c>
      <c r="AA1416">
        <v>67.2</v>
      </c>
    </row>
    <row r="1417" spans="1:27" x14ac:dyDescent="0.25">
      <c r="A1417" t="s">
        <v>238</v>
      </c>
      <c r="B1417" t="s">
        <v>174</v>
      </c>
      <c r="C1417" s="76">
        <v>43943</v>
      </c>
      <c r="D1417">
        <v>17245</v>
      </c>
      <c r="E1417">
        <v>10607</v>
      </c>
      <c r="F1417">
        <v>23882</v>
      </c>
      <c r="G1417">
        <v>13046</v>
      </c>
      <c r="H1417">
        <v>56.9</v>
      </c>
      <c r="I1417">
        <v>52.1</v>
      </c>
      <c r="J1417">
        <v>61.7</v>
      </c>
      <c r="K1417">
        <v>4549</v>
      </c>
      <c r="L1417">
        <v>2528</v>
      </c>
      <c r="M1417">
        <v>6569</v>
      </c>
      <c r="N1417">
        <v>15</v>
      </c>
      <c r="O1417">
        <v>11.3</v>
      </c>
      <c r="P1417">
        <v>18.7</v>
      </c>
      <c r="Q1417">
        <f t="shared" si="42"/>
        <v>12569321</v>
      </c>
      <c r="R1417">
        <f t="shared" si="43"/>
        <v>36.191294661024251</v>
      </c>
      <c r="U1417">
        <v>3245</v>
      </c>
      <c r="V1417">
        <v>1532</v>
      </c>
      <c r="W1417">
        <v>4958</v>
      </c>
      <c r="X1417">
        <v>1725</v>
      </c>
      <c r="Y1417">
        <v>65.3</v>
      </c>
      <c r="Z1417">
        <v>60.8</v>
      </c>
      <c r="AA1417">
        <v>69.8</v>
      </c>
    </row>
    <row r="1418" spans="1:27" x14ac:dyDescent="0.25">
      <c r="A1418" t="s">
        <v>238</v>
      </c>
      <c r="B1418" t="s">
        <v>174</v>
      </c>
      <c r="C1418" s="76">
        <v>43944</v>
      </c>
      <c r="D1418">
        <v>16913</v>
      </c>
      <c r="E1418">
        <v>9858</v>
      </c>
      <c r="F1418">
        <v>23967</v>
      </c>
      <c r="G1418">
        <v>12579</v>
      </c>
      <c r="H1418">
        <v>57.3</v>
      </c>
      <c r="I1418">
        <v>52.1</v>
      </c>
      <c r="J1418">
        <v>62.5</v>
      </c>
      <c r="K1418">
        <v>4525</v>
      </c>
      <c r="L1418">
        <v>2407</v>
      </c>
      <c r="M1418">
        <v>6643</v>
      </c>
      <c r="N1418">
        <v>15.3</v>
      </c>
      <c r="O1418">
        <v>11.3</v>
      </c>
      <c r="P1418">
        <v>19.399999999999999</v>
      </c>
      <c r="Q1418">
        <f t="shared" si="42"/>
        <v>12569321</v>
      </c>
      <c r="R1418">
        <f t="shared" si="43"/>
        <v>36.000353559273407</v>
      </c>
      <c r="U1418">
        <v>3041</v>
      </c>
      <c r="V1418">
        <v>1287</v>
      </c>
      <c r="W1418">
        <v>4796</v>
      </c>
      <c r="X1418">
        <v>1613</v>
      </c>
      <c r="Y1418">
        <v>65.3</v>
      </c>
      <c r="Z1418">
        <v>60</v>
      </c>
      <c r="AA1418">
        <v>70.7</v>
      </c>
    </row>
    <row r="1419" spans="1:27" x14ac:dyDescent="0.25">
      <c r="A1419" t="s">
        <v>238</v>
      </c>
      <c r="B1419" t="s">
        <v>174</v>
      </c>
      <c r="C1419" s="76">
        <v>43945</v>
      </c>
      <c r="D1419">
        <v>16922</v>
      </c>
      <c r="E1419">
        <v>9975</v>
      </c>
      <c r="F1419">
        <v>23869</v>
      </c>
      <c r="G1419">
        <v>12489</v>
      </c>
      <c r="H1419">
        <v>57.5</v>
      </c>
      <c r="I1419">
        <v>52.2</v>
      </c>
      <c r="J1419">
        <v>62.8</v>
      </c>
      <c r="K1419">
        <v>4438</v>
      </c>
      <c r="L1419">
        <v>2284</v>
      </c>
      <c r="M1419">
        <v>6592</v>
      </c>
      <c r="N1419">
        <v>15.1</v>
      </c>
      <c r="O1419">
        <v>10.9</v>
      </c>
      <c r="P1419">
        <v>19.2</v>
      </c>
      <c r="Q1419">
        <f t="shared" si="42"/>
        <v>12569321</v>
      </c>
      <c r="R1419">
        <f t="shared" si="43"/>
        <v>35.308192065426603</v>
      </c>
      <c r="U1419">
        <v>2971</v>
      </c>
      <c r="V1419">
        <v>1279</v>
      </c>
      <c r="W1419">
        <v>4662</v>
      </c>
      <c r="X1419">
        <v>1559</v>
      </c>
      <c r="Y1419">
        <v>65.599999999999994</v>
      </c>
      <c r="Z1419">
        <v>60.4</v>
      </c>
      <c r="AA1419">
        <v>70.7</v>
      </c>
    </row>
    <row r="1420" spans="1:27" x14ac:dyDescent="0.25">
      <c r="A1420" t="s">
        <v>238</v>
      </c>
      <c r="B1420" t="s">
        <v>174</v>
      </c>
      <c r="C1420" s="76">
        <v>43946</v>
      </c>
      <c r="D1420">
        <v>16206</v>
      </c>
      <c r="E1420">
        <v>9404</v>
      </c>
      <c r="F1420">
        <v>23009</v>
      </c>
      <c r="G1420">
        <v>12853</v>
      </c>
      <c r="H1420">
        <v>55.8</v>
      </c>
      <c r="I1420">
        <v>50.2</v>
      </c>
      <c r="J1420">
        <v>61.3</v>
      </c>
      <c r="K1420">
        <v>4498</v>
      </c>
      <c r="L1420">
        <v>2308</v>
      </c>
      <c r="M1420">
        <v>6689</v>
      </c>
      <c r="N1420">
        <v>15.5</v>
      </c>
      <c r="O1420">
        <v>11.3</v>
      </c>
      <c r="P1420">
        <v>19.600000000000001</v>
      </c>
      <c r="Q1420">
        <f t="shared" si="42"/>
        <v>12569321</v>
      </c>
      <c r="R1420">
        <f t="shared" si="43"/>
        <v>35.785544819803711</v>
      </c>
      <c r="U1420">
        <v>2957</v>
      </c>
      <c r="V1420">
        <v>1243</v>
      </c>
      <c r="W1420">
        <v>4671</v>
      </c>
      <c r="X1420">
        <v>1556</v>
      </c>
      <c r="Y1420">
        <v>65.5</v>
      </c>
      <c r="Z1420">
        <v>59.9</v>
      </c>
      <c r="AA1420">
        <v>71.099999999999994</v>
      </c>
    </row>
    <row r="1421" spans="1:27" x14ac:dyDescent="0.25">
      <c r="A1421" t="s">
        <v>238</v>
      </c>
      <c r="B1421" t="s">
        <v>174</v>
      </c>
      <c r="C1421" s="76">
        <v>43947</v>
      </c>
      <c r="D1421">
        <v>15956</v>
      </c>
      <c r="E1421">
        <v>9269</v>
      </c>
      <c r="F1421">
        <v>22643</v>
      </c>
      <c r="G1421">
        <v>13059</v>
      </c>
      <c r="H1421">
        <v>55</v>
      </c>
      <c r="I1421">
        <v>49.4</v>
      </c>
      <c r="J1421">
        <v>60.6</v>
      </c>
      <c r="K1421">
        <v>4636</v>
      </c>
      <c r="L1421">
        <v>2359</v>
      </c>
      <c r="M1421">
        <v>6914</v>
      </c>
      <c r="N1421">
        <v>16</v>
      </c>
      <c r="O1421">
        <v>11.5</v>
      </c>
      <c r="P1421">
        <v>20.399999999999999</v>
      </c>
      <c r="Q1421">
        <f t="shared" si="42"/>
        <v>12569321</v>
      </c>
      <c r="R1421">
        <f t="shared" si="43"/>
        <v>36.883456154871055</v>
      </c>
      <c r="U1421">
        <v>2932</v>
      </c>
      <c r="V1421">
        <v>1233</v>
      </c>
      <c r="W1421">
        <v>4631</v>
      </c>
      <c r="X1421">
        <v>1590</v>
      </c>
      <c r="Y1421">
        <v>64.8</v>
      </c>
      <c r="Z1421">
        <v>59</v>
      </c>
      <c r="AA1421">
        <v>70.7</v>
      </c>
    </row>
    <row r="1422" spans="1:27" x14ac:dyDescent="0.25">
      <c r="A1422" t="s">
        <v>238</v>
      </c>
      <c r="B1422" t="s">
        <v>174</v>
      </c>
      <c r="C1422" s="76">
        <v>43948</v>
      </c>
      <c r="D1422">
        <v>16467</v>
      </c>
      <c r="E1422">
        <v>9630</v>
      </c>
      <c r="F1422">
        <v>23303</v>
      </c>
      <c r="G1422">
        <v>12576</v>
      </c>
      <c r="H1422">
        <v>56.7</v>
      </c>
      <c r="I1422">
        <v>51.3</v>
      </c>
      <c r="J1422">
        <v>62.1</v>
      </c>
      <c r="K1422">
        <v>4540</v>
      </c>
      <c r="L1422">
        <v>2304</v>
      </c>
      <c r="M1422">
        <v>6775</v>
      </c>
      <c r="N1422">
        <v>15.6</v>
      </c>
      <c r="O1422">
        <v>11.3</v>
      </c>
      <c r="P1422">
        <v>19.899999999999999</v>
      </c>
      <c r="Q1422">
        <f t="shared" si="42"/>
        <v>12569321</v>
      </c>
      <c r="R1422">
        <f t="shared" si="43"/>
        <v>36.119691747867684</v>
      </c>
      <c r="U1422">
        <v>2922</v>
      </c>
      <c r="V1422">
        <v>1185</v>
      </c>
      <c r="W1422">
        <v>4658</v>
      </c>
      <c r="X1422">
        <v>1582</v>
      </c>
      <c r="Y1422">
        <v>64.900000000000006</v>
      </c>
      <c r="Z1422">
        <v>58.2</v>
      </c>
      <c r="AA1422">
        <v>71.5</v>
      </c>
    </row>
    <row r="1423" spans="1:27" x14ac:dyDescent="0.25">
      <c r="A1423" t="s">
        <v>238</v>
      </c>
      <c r="B1423" t="s">
        <v>174</v>
      </c>
      <c r="C1423" s="76">
        <v>43949</v>
      </c>
      <c r="D1423">
        <v>17524</v>
      </c>
      <c r="E1423">
        <v>10517</v>
      </c>
      <c r="F1423">
        <v>24531</v>
      </c>
      <c r="G1423">
        <v>12548</v>
      </c>
      <c r="H1423">
        <v>58.3</v>
      </c>
      <c r="I1423">
        <v>53</v>
      </c>
      <c r="J1423">
        <v>63.5</v>
      </c>
      <c r="K1423">
        <v>4785</v>
      </c>
      <c r="L1423">
        <v>2486</v>
      </c>
      <c r="M1423">
        <v>7085</v>
      </c>
      <c r="N1423">
        <v>15.9</v>
      </c>
      <c r="O1423">
        <v>11.5</v>
      </c>
      <c r="P1423">
        <v>20.3</v>
      </c>
      <c r="Q1423">
        <f t="shared" si="42"/>
        <v>12569321</v>
      </c>
      <c r="R1423">
        <f t="shared" si="43"/>
        <v>38.068882161574201</v>
      </c>
      <c r="U1423">
        <v>3015</v>
      </c>
      <c r="V1423">
        <v>1316</v>
      </c>
      <c r="W1423">
        <v>4714</v>
      </c>
      <c r="X1423">
        <v>1685</v>
      </c>
      <c r="Y1423">
        <v>64.099999999999994</v>
      </c>
      <c r="Z1423">
        <v>58.1</v>
      </c>
      <c r="AA1423">
        <v>70.2</v>
      </c>
    </row>
    <row r="1424" spans="1:27" x14ac:dyDescent="0.25">
      <c r="A1424" t="s">
        <v>238</v>
      </c>
      <c r="B1424" t="s">
        <v>174</v>
      </c>
      <c r="C1424" s="76">
        <v>43950</v>
      </c>
      <c r="D1424">
        <v>17769</v>
      </c>
      <c r="E1424">
        <v>10689</v>
      </c>
      <c r="F1424">
        <v>24849</v>
      </c>
      <c r="G1424">
        <v>12458</v>
      </c>
      <c r="H1424">
        <v>58.8</v>
      </c>
      <c r="I1424">
        <v>53.7</v>
      </c>
      <c r="J1424">
        <v>63.8</v>
      </c>
      <c r="K1424">
        <v>4802</v>
      </c>
      <c r="L1424">
        <v>2570</v>
      </c>
      <c r="M1424">
        <v>7034</v>
      </c>
      <c r="N1424">
        <v>15.9</v>
      </c>
      <c r="O1424">
        <v>12</v>
      </c>
      <c r="P1424">
        <v>19.8</v>
      </c>
      <c r="Q1424">
        <f t="shared" si="42"/>
        <v>12569321</v>
      </c>
      <c r="R1424">
        <f t="shared" si="43"/>
        <v>38.204132108647713</v>
      </c>
      <c r="U1424">
        <v>3047</v>
      </c>
      <c r="V1424">
        <v>1360</v>
      </c>
      <c r="W1424">
        <v>4734</v>
      </c>
      <c r="X1424">
        <v>1596</v>
      </c>
      <c r="Y1424">
        <v>65.599999999999994</v>
      </c>
      <c r="Z1424">
        <v>60.4</v>
      </c>
      <c r="AA1424">
        <v>70.8</v>
      </c>
    </row>
    <row r="1425" spans="1:27" x14ac:dyDescent="0.25">
      <c r="A1425" t="s">
        <v>238</v>
      </c>
      <c r="B1425" t="s">
        <v>174</v>
      </c>
      <c r="C1425" s="76">
        <v>43951</v>
      </c>
      <c r="D1425">
        <v>18010</v>
      </c>
      <c r="E1425">
        <v>13691</v>
      </c>
      <c r="F1425">
        <v>22328</v>
      </c>
      <c r="G1425">
        <v>11675</v>
      </c>
      <c r="H1425">
        <v>60.7</v>
      </c>
      <c r="I1425">
        <v>56.6</v>
      </c>
      <c r="J1425">
        <v>64.7</v>
      </c>
      <c r="K1425">
        <v>4511</v>
      </c>
      <c r="L1425">
        <v>3154</v>
      </c>
      <c r="M1425">
        <v>5867</v>
      </c>
      <c r="N1425">
        <v>15.2</v>
      </c>
      <c r="O1425">
        <v>12.4</v>
      </c>
      <c r="P1425">
        <v>18</v>
      </c>
      <c r="Q1425">
        <f t="shared" si="42"/>
        <v>12569321</v>
      </c>
      <c r="R1425">
        <f t="shared" si="43"/>
        <v>35.888971249918754</v>
      </c>
      <c r="U1425">
        <v>2641</v>
      </c>
      <c r="V1425">
        <v>1825</v>
      </c>
      <c r="W1425">
        <v>3457</v>
      </c>
      <c r="X1425">
        <v>1739</v>
      </c>
      <c r="Y1425">
        <v>60.3</v>
      </c>
      <c r="Z1425">
        <v>53.9</v>
      </c>
      <c r="AA1425">
        <v>66.599999999999994</v>
      </c>
    </row>
    <row r="1426" spans="1:27" x14ac:dyDescent="0.25">
      <c r="A1426" t="s">
        <v>238</v>
      </c>
      <c r="B1426" t="s">
        <v>174</v>
      </c>
      <c r="C1426" s="76">
        <v>43952</v>
      </c>
      <c r="D1426">
        <v>17976</v>
      </c>
      <c r="E1426">
        <v>13690</v>
      </c>
      <c r="F1426">
        <v>22262</v>
      </c>
      <c r="G1426">
        <v>11822</v>
      </c>
      <c r="H1426">
        <v>60.3</v>
      </c>
      <c r="I1426">
        <v>56.5</v>
      </c>
      <c r="J1426">
        <v>64.099999999999994</v>
      </c>
      <c r="K1426">
        <v>4543</v>
      </c>
      <c r="L1426">
        <v>3244</v>
      </c>
      <c r="M1426">
        <v>5842</v>
      </c>
      <c r="N1426">
        <v>15.2</v>
      </c>
      <c r="O1426">
        <v>12.6</v>
      </c>
      <c r="P1426">
        <v>17.899999999999999</v>
      </c>
      <c r="Q1426">
        <f t="shared" si="42"/>
        <v>12569321</v>
      </c>
      <c r="R1426">
        <f t="shared" si="43"/>
        <v>36.143559385586542</v>
      </c>
      <c r="U1426">
        <v>2745</v>
      </c>
      <c r="V1426">
        <v>1883</v>
      </c>
      <c r="W1426">
        <v>3607</v>
      </c>
      <c r="X1426">
        <v>1495</v>
      </c>
      <c r="Y1426">
        <v>64.7</v>
      </c>
      <c r="Z1426">
        <v>60.3</v>
      </c>
      <c r="AA1426">
        <v>69.2</v>
      </c>
    </row>
    <row r="1427" spans="1:27" x14ac:dyDescent="0.25">
      <c r="A1427" t="s">
        <v>238</v>
      </c>
      <c r="B1427" t="s">
        <v>174</v>
      </c>
      <c r="C1427" s="76">
        <v>43953</v>
      </c>
      <c r="D1427">
        <v>17336</v>
      </c>
      <c r="E1427">
        <v>13119</v>
      </c>
      <c r="F1427">
        <v>21553</v>
      </c>
      <c r="G1427">
        <v>12286</v>
      </c>
      <c r="H1427">
        <v>58.5</v>
      </c>
      <c r="I1427">
        <v>54.3</v>
      </c>
      <c r="J1427">
        <v>62.7</v>
      </c>
      <c r="K1427">
        <v>4606</v>
      </c>
      <c r="L1427">
        <v>3313</v>
      </c>
      <c r="M1427">
        <v>5900</v>
      </c>
      <c r="N1427">
        <v>15.6</v>
      </c>
      <c r="O1427">
        <v>13</v>
      </c>
      <c r="P1427">
        <v>18.100000000000001</v>
      </c>
      <c r="Q1427">
        <f t="shared" si="42"/>
        <v>12569321</v>
      </c>
      <c r="R1427">
        <f t="shared" si="43"/>
        <v>36.644779777682501</v>
      </c>
      <c r="U1427">
        <v>2674</v>
      </c>
      <c r="V1427">
        <v>1802</v>
      </c>
      <c r="W1427">
        <v>3546</v>
      </c>
      <c r="X1427">
        <v>1565</v>
      </c>
      <c r="Y1427">
        <v>63.1</v>
      </c>
      <c r="Z1427">
        <v>56.7</v>
      </c>
      <c r="AA1427">
        <v>69.400000000000006</v>
      </c>
    </row>
    <row r="1428" spans="1:27" x14ac:dyDescent="0.25">
      <c r="A1428" t="s">
        <v>238</v>
      </c>
      <c r="B1428" t="s">
        <v>174</v>
      </c>
      <c r="C1428" s="76">
        <v>43954</v>
      </c>
      <c r="D1428">
        <v>17643</v>
      </c>
      <c r="E1428">
        <v>13450</v>
      </c>
      <c r="F1428">
        <v>21836</v>
      </c>
      <c r="G1428">
        <v>11961</v>
      </c>
      <c r="H1428">
        <v>59.6</v>
      </c>
      <c r="I1428">
        <v>55.8</v>
      </c>
      <c r="J1428">
        <v>63.3</v>
      </c>
      <c r="K1428">
        <v>4499</v>
      </c>
      <c r="L1428">
        <v>3248</v>
      </c>
      <c r="M1428">
        <v>5751</v>
      </c>
      <c r="N1428">
        <v>15.2</v>
      </c>
      <c r="O1428">
        <v>12.7</v>
      </c>
      <c r="P1428">
        <v>17.7</v>
      </c>
      <c r="Q1428">
        <f t="shared" si="42"/>
        <v>12569321</v>
      </c>
      <c r="R1428">
        <f t="shared" si="43"/>
        <v>35.793500699043328</v>
      </c>
      <c r="U1428">
        <v>2710</v>
      </c>
      <c r="V1428">
        <v>1852</v>
      </c>
      <c r="W1428">
        <v>3568</v>
      </c>
      <c r="X1428">
        <v>1676</v>
      </c>
      <c r="Y1428">
        <v>61.8</v>
      </c>
      <c r="Z1428">
        <v>57</v>
      </c>
      <c r="AA1428">
        <v>66.599999999999994</v>
      </c>
    </row>
    <row r="1429" spans="1:27" x14ac:dyDescent="0.25">
      <c r="A1429" t="s">
        <v>238</v>
      </c>
      <c r="B1429" t="s">
        <v>174</v>
      </c>
      <c r="C1429" s="76">
        <v>43955</v>
      </c>
      <c r="D1429">
        <v>17642</v>
      </c>
      <c r="E1429">
        <v>13450</v>
      </c>
      <c r="F1429">
        <v>21834</v>
      </c>
      <c r="G1429">
        <v>12198</v>
      </c>
      <c r="H1429">
        <v>59.1</v>
      </c>
      <c r="I1429">
        <v>54.6</v>
      </c>
      <c r="J1429">
        <v>63.6</v>
      </c>
      <c r="K1429">
        <v>4591</v>
      </c>
      <c r="L1429">
        <v>3311</v>
      </c>
      <c r="M1429">
        <v>5870</v>
      </c>
      <c r="N1429">
        <v>15.4</v>
      </c>
      <c r="O1429">
        <v>12.9</v>
      </c>
      <c r="P1429">
        <v>17.899999999999999</v>
      </c>
      <c r="Q1429">
        <f t="shared" si="42"/>
        <v>12569321</v>
      </c>
      <c r="R1429">
        <f t="shared" si="43"/>
        <v>36.525441589088224</v>
      </c>
      <c r="U1429">
        <v>2598</v>
      </c>
      <c r="V1429">
        <v>1770</v>
      </c>
      <c r="W1429">
        <v>3426</v>
      </c>
      <c r="X1429">
        <v>1752</v>
      </c>
      <c r="Y1429">
        <v>59.7</v>
      </c>
      <c r="Z1429">
        <v>53.6</v>
      </c>
      <c r="AA1429">
        <v>65.900000000000006</v>
      </c>
    </row>
    <row r="1430" spans="1:27" x14ac:dyDescent="0.25">
      <c r="A1430" t="s">
        <v>238</v>
      </c>
      <c r="B1430" t="s">
        <v>174</v>
      </c>
      <c r="C1430" s="76">
        <v>43956</v>
      </c>
      <c r="D1430">
        <v>17947</v>
      </c>
      <c r="E1430">
        <v>13792</v>
      </c>
      <c r="F1430">
        <v>22101</v>
      </c>
      <c r="G1430">
        <v>11963</v>
      </c>
      <c r="H1430">
        <v>60</v>
      </c>
      <c r="I1430">
        <v>55.5</v>
      </c>
      <c r="J1430">
        <v>64.5</v>
      </c>
      <c r="K1430">
        <v>4553</v>
      </c>
      <c r="L1430">
        <v>3349</v>
      </c>
      <c r="M1430">
        <v>5757</v>
      </c>
      <c r="N1430">
        <v>15.2</v>
      </c>
      <c r="O1430">
        <v>12.9</v>
      </c>
      <c r="P1430">
        <v>17.600000000000001</v>
      </c>
      <c r="Q1430">
        <f t="shared" si="42"/>
        <v>12569321</v>
      </c>
      <c r="R1430">
        <f t="shared" si="43"/>
        <v>36.223118177982727</v>
      </c>
      <c r="U1430">
        <v>2722</v>
      </c>
      <c r="V1430">
        <v>1889</v>
      </c>
      <c r="W1430">
        <v>3554</v>
      </c>
      <c r="X1430">
        <v>1559</v>
      </c>
      <c r="Y1430">
        <v>63.6</v>
      </c>
      <c r="Z1430">
        <v>59</v>
      </c>
      <c r="AA1430">
        <v>68.2</v>
      </c>
    </row>
    <row r="1431" spans="1:27" x14ac:dyDescent="0.25">
      <c r="A1431" t="s">
        <v>238</v>
      </c>
      <c r="B1431" t="s">
        <v>174</v>
      </c>
      <c r="C1431" s="76">
        <v>43957</v>
      </c>
      <c r="D1431">
        <v>18347</v>
      </c>
      <c r="E1431">
        <v>14040</v>
      </c>
      <c r="F1431">
        <v>22654</v>
      </c>
      <c r="G1431">
        <v>11632</v>
      </c>
      <c r="H1431">
        <v>61.2</v>
      </c>
      <c r="I1431">
        <v>57</v>
      </c>
      <c r="J1431">
        <v>65.400000000000006</v>
      </c>
      <c r="K1431">
        <v>4802</v>
      </c>
      <c r="L1431">
        <v>3528</v>
      </c>
      <c r="M1431">
        <v>6076</v>
      </c>
      <c r="N1431">
        <v>16</v>
      </c>
      <c r="O1431">
        <v>13.5</v>
      </c>
      <c r="P1431">
        <v>18.5</v>
      </c>
      <c r="Q1431">
        <f t="shared" si="42"/>
        <v>12569321</v>
      </c>
      <c r="R1431">
        <f t="shared" si="43"/>
        <v>38.204132108647713</v>
      </c>
      <c r="U1431">
        <v>2566</v>
      </c>
      <c r="V1431">
        <v>1761</v>
      </c>
      <c r="W1431">
        <v>3371</v>
      </c>
      <c r="X1431">
        <v>1729</v>
      </c>
      <c r="Y1431">
        <v>59.7</v>
      </c>
      <c r="Z1431">
        <v>53.4</v>
      </c>
      <c r="AA1431">
        <v>66.099999999999994</v>
      </c>
    </row>
    <row r="1432" spans="1:27" x14ac:dyDescent="0.25">
      <c r="A1432" t="s">
        <v>238</v>
      </c>
      <c r="B1432" t="s">
        <v>174</v>
      </c>
      <c r="C1432" s="76">
        <v>43958</v>
      </c>
      <c r="D1432">
        <v>18596</v>
      </c>
      <c r="E1432">
        <v>14292</v>
      </c>
      <c r="F1432">
        <v>22900</v>
      </c>
      <c r="G1432">
        <v>11544</v>
      </c>
      <c r="H1432">
        <v>61.7</v>
      </c>
      <c r="I1432">
        <v>57.9</v>
      </c>
      <c r="J1432">
        <v>65.5</v>
      </c>
      <c r="K1432">
        <v>4737</v>
      </c>
      <c r="L1432">
        <v>3393</v>
      </c>
      <c r="M1432">
        <v>6081</v>
      </c>
      <c r="N1432">
        <v>15.7</v>
      </c>
      <c r="O1432">
        <v>12.8</v>
      </c>
      <c r="P1432">
        <v>18.7</v>
      </c>
      <c r="Q1432">
        <f t="shared" si="42"/>
        <v>12569321</v>
      </c>
      <c r="R1432">
        <f t="shared" si="43"/>
        <v>37.686999958072519</v>
      </c>
      <c r="U1432">
        <v>2695</v>
      </c>
      <c r="V1432">
        <v>1874</v>
      </c>
      <c r="W1432">
        <v>3516</v>
      </c>
      <c r="X1432">
        <v>1676</v>
      </c>
      <c r="Y1432">
        <v>61.7</v>
      </c>
      <c r="Z1432">
        <v>56.8</v>
      </c>
      <c r="AA1432">
        <v>66.599999999999994</v>
      </c>
    </row>
    <row r="1433" spans="1:27" x14ac:dyDescent="0.25">
      <c r="A1433" t="s">
        <v>238</v>
      </c>
      <c r="B1433" t="s">
        <v>174</v>
      </c>
      <c r="C1433" s="76">
        <v>43959</v>
      </c>
      <c r="D1433">
        <v>18094</v>
      </c>
      <c r="E1433">
        <v>13857</v>
      </c>
      <c r="F1433">
        <v>22331</v>
      </c>
      <c r="G1433">
        <v>11803</v>
      </c>
      <c r="H1433">
        <v>60.5</v>
      </c>
      <c r="I1433">
        <v>56.2</v>
      </c>
      <c r="J1433">
        <v>64.8</v>
      </c>
      <c r="K1433">
        <v>4675</v>
      </c>
      <c r="L1433">
        <v>3414</v>
      </c>
      <c r="M1433">
        <v>5935</v>
      </c>
      <c r="N1433">
        <v>15.6</v>
      </c>
      <c r="O1433">
        <v>13</v>
      </c>
      <c r="P1433">
        <v>18.3</v>
      </c>
      <c r="Q1433">
        <f t="shared" si="42"/>
        <v>12569321</v>
      </c>
      <c r="R1433">
        <f t="shared" si="43"/>
        <v>37.19373544521617</v>
      </c>
      <c r="U1433">
        <v>2526</v>
      </c>
      <c r="V1433">
        <v>1765</v>
      </c>
      <c r="W1433">
        <v>3286</v>
      </c>
      <c r="X1433">
        <v>1853</v>
      </c>
      <c r="Y1433">
        <v>57.7</v>
      </c>
      <c r="Z1433">
        <v>51.6</v>
      </c>
      <c r="AA1433">
        <v>63.7</v>
      </c>
    </row>
    <row r="1434" spans="1:27" x14ac:dyDescent="0.25">
      <c r="A1434" t="s">
        <v>238</v>
      </c>
      <c r="B1434" t="s">
        <v>174</v>
      </c>
      <c r="C1434" s="76">
        <v>43960</v>
      </c>
      <c r="D1434">
        <v>17460</v>
      </c>
      <c r="E1434">
        <v>13227</v>
      </c>
      <c r="F1434">
        <v>21692</v>
      </c>
      <c r="G1434">
        <v>12509</v>
      </c>
      <c r="H1434">
        <v>58.3</v>
      </c>
      <c r="I1434">
        <v>53.9</v>
      </c>
      <c r="J1434">
        <v>62.6</v>
      </c>
      <c r="K1434">
        <v>4365</v>
      </c>
      <c r="L1434">
        <v>3152</v>
      </c>
      <c r="M1434">
        <v>5578</v>
      </c>
      <c r="N1434">
        <v>14.6</v>
      </c>
      <c r="O1434">
        <v>12</v>
      </c>
      <c r="P1434">
        <v>17.100000000000001</v>
      </c>
      <c r="Q1434">
        <f t="shared" si="42"/>
        <v>12569321</v>
      </c>
      <c r="R1434">
        <f t="shared" si="43"/>
        <v>34.727412880934459</v>
      </c>
      <c r="U1434">
        <v>2570</v>
      </c>
      <c r="V1434">
        <v>1765</v>
      </c>
      <c r="W1434">
        <v>3375</v>
      </c>
      <c r="X1434">
        <v>1765</v>
      </c>
      <c r="Y1434">
        <v>59.3</v>
      </c>
      <c r="Z1434">
        <v>54.1</v>
      </c>
      <c r="AA1434">
        <v>64.5</v>
      </c>
    </row>
    <row r="1435" spans="1:27" x14ac:dyDescent="0.25">
      <c r="A1435" t="s">
        <v>238</v>
      </c>
      <c r="B1435" t="s">
        <v>174</v>
      </c>
      <c r="C1435" s="76">
        <v>43961</v>
      </c>
      <c r="D1435">
        <v>16902</v>
      </c>
      <c r="E1435">
        <v>12847</v>
      </c>
      <c r="F1435">
        <v>20956</v>
      </c>
      <c r="G1435">
        <v>13317</v>
      </c>
      <c r="H1435">
        <v>55.9</v>
      </c>
      <c r="I1435">
        <v>51.8</v>
      </c>
      <c r="J1435">
        <v>60.1</v>
      </c>
      <c r="K1435">
        <v>4417</v>
      </c>
      <c r="L1435">
        <v>3212</v>
      </c>
      <c r="M1435">
        <v>5622</v>
      </c>
      <c r="N1435">
        <v>14.6</v>
      </c>
      <c r="O1435">
        <v>12.1</v>
      </c>
      <c r="P1435">
        <v>17.2</v>
      </c>
      <c r="Q1435">
        <f t="shared" si="42"/>
        <v>12569321</v>
      </c>
      <c r="R1435">
        <f t="shared" si="43"/>
        <v>35.141118601394624</v>
      </c>
      <c r="U1435">
        <v>2519</v>
      </c>
      <c r="V1435">
        <v>1742</v>
      </c>
      <c r="W1435">
        <v>3295</v>
      </c>
      <c r="X1435">
        <v>1831</v>
      </c>
      <c r="Y1435">
        <v>57.9</v>
      </c>
      <c r="Z1435">
        <v>52.8</v>
      </c>
      <c r="AA1435">
        <v>63</v>
      </c>
    </row>
    <row r="1436" spans="1:27" x14ac:dyDescent="0.25">
      <c r="A1436" t="s">
        <v>238</v>
      </c>
      <c r="B1436" t="s">
        <v>174</v>
      </c>
      <c r="C1436" s="76">
        <v>43962</v>
      </c>
      <c r="D1436">
        <v>17413</v>
      </c>
      <c r="E1436">
        <v>13338</v>
      </c>
      <c r="F1436">
        <v>21488</v>
      </c>
      <c r="G1436">
        <v>12876</v>
      </c>
      <c r="H1436">
        <v>57.5</v>
      </c>
      <c r="I1436">
        <v>53.6</v>
      </c>
      <c r="J1436">
        <v>61.4</v>
      </c>
      <c r="K1436">
        <v>4578</v>
      </c>
      <c r="L1436">
        <v>3336</v>
      </c>
      <c r="M1436">
        <v>5820</v>
      </c>
      <c r="N1436">
        <v>15.1</v>
      </c>
      <c r="O1436">
        <v>12.5</v>
      </c>
      <c r="P1436">
        <v>17.7</v>
      </c>
      <c r="Q1436">
        <f t="shared" si="42"/>
        <v>12569321</v>
      </c>
      <c r="R1436">
        <f t="shared" si="43"/>
        <v>36.422015158973188</v>
      </c>
      <c r="U1436">
        <v>2558</v>
      </c>
      <c r="V1436">
        <v>1791</v>
      </c>
      <c r="W1436">
        <v>3325</v>
      </c>
      <c r="X1436">
        <v>1767</v>
      </c>
      <c r="Y1436">
        <v>59.1</v>
      </c>
      <c r="Z1436">
        <v>54.5</v>
      </c>
      <c r="AA1436">
        <v>63.8</v>
      </c>
    </row>
    <row r="1437" spans="1:27" x14ac:dyDescent="0.25">
      <c r="A1437" t="s">
        <v>238</v>
      </c>
      <c r="B1437" t="s">
        <v>174</v>
      </c>
      <c r="C1437" s="76">
        <v>43963</v>
      </c>
      <c r="D1437">
        <v>18010</v>
      </c>
      <c r="E1437">
        <v>13742</v>
      </c>
      <c r="F1437">
        <v>22277</v>
      </c>
      <c r="G1437">
        <v>12083</v>
      </c>
      <c r="H1437">
        <v>59.8</v>
      </c>
      <c r="I1437">
        <v>56.1</v>
      </c>
      <c r="J1437">
        <v>63.6</v>
      </c>
      <c r="K1437">
        <v>4480</v>
      </c>
      <c r="L1437">
        <v>3274</v>
      </c>
      <c r="M1437">
        <v>5686</v>
      </c>
      <c r="N1437">
        <v>14.9</v>
      </c>
      <c r="O1437">
        <v>12.5</v>
      </c>
      <c r="P1437">
        <v>17.3</v>
      </c>
      <c r="Q1437">
        <f t="shared" si="42"/>
        <v>12569321</v>
      </c>
      <c r="R1437">
        <f t="shared" si="43"/>
        <v>35.642338993490576</v>
      </c>
      <c r="U1437">
        <v>2620</v>
      </c>
      <c r="V1437">
        <v>1823</v>
      </c>
      <c r="W1437">
        <v>3416</v>
      </c>
      <c r="X1437">
        <v>1706</v>
      </c>
      <c r="Y1437">
        <v>60.5</v>
      </c>
      <c r="Z1437">
        <v>55.6</v>
      </c>
      <c r="AA1437">
        <v>65.5</v>
      </c>
    </row>
    <row r="1438" spans="1:27" x14ac:dyDescent="0.25">
      <c r="A1438" t="s">
        <v>238</v>
      </c>
      <c r="B1438" t="s">
        <v>174</v>
      </c>
      <c r="C1438" s="76">
        <v>43964</v>
      </c>
      <c r="D1438">
        <v>18607</v>
      </c>
      <c r="E1438">
        <v>14228</v>
      </c>
      <c r="F1438">
        <v>22987</v>
      </c>
      <c r="G1438">
        <v>11513</v>
      </c>
      <c r="H1438">
        <v>61.8</v>
      </c>
      <c r="I1438">
        <v>58.1</v>
      </c>
      <c r="J1438">
        <v>65.400000000000006</v>
      </c>
      <c r="K1438">
        <v>4493</v>
      </c>
      <c r="L1438">
        <v>3272</v>
      </c>
      <c r="M1438">
        <v>5714</v>
      </c>
      <c r="N1438">
        <v>14.9</v>
      </c>
      <c r="O1438">
        <v>12.4</v>
      </c>
      <c r="P1438">
        <v>17.5</v>
      </c>
      <c r="Q1438">
        <f t="shared" si="42"/>
        <v>12569321</v>
      </c>
      <c r="R1438">
        <f t="shared" si="43"/>
        <v>35.745765423605619</v>
      </c>
      <c r="U1438">
        <v>2652</v>
      </c>
      <c r="V1438">
        <v>1860</v>
      </c>
      <c r="W1438">
        <v>3443</v>
      </c>
      <c r="X1438">
        <v>1664</v>
      </c>
      <c r="Y1438">
        <v>61.4</v>
      </c>
      <c r="Z1438">
        <v>56.6</v>
      </c>
      <c r="AA1438">
        <v>66.2</v>
      </c>
    </row>
    <row r="1439" spans="1:27" x14ac:dyDescent="0.25">
      <c r="A1439" t="s">
        <v>238</v>
      </c>
      <c r="B1439" t="s">
        <v>174</v>
      </c>
      <c r="C1439" s="76">
        <v>43965</v>
      </c>
      <c r="D1439">
        <v>18414</v>
      </c>
      <c r="E1439">
        <v>14075</v>
      </c>
      <c r="F1439">
        <v>22753</v>
      </c>
      <c r="G1439">
        <v>11502</v>
      </c>
      <c r="H1439">
        <v>61.6</v>
      </c>
      <c r="I1439">
        <v>58</v>
      </c>
      <c r="J1439">
        <v>65.099999999999994</v>
      </c>
      <c r="K1439">
        <v>4360</v>
      </c>
      <c r="L1439">
        <v>3153</v>
      </c>
      <c r="M1439">
        <v>5566</v>
      </c>
      <c r="N1439">
        <v>14.6</v>
      </c>
      <c r="O1439">
        <v>12.1</v>
      </c>
      <c r="P1439">
        <v>17.100000000000001</v>
      </c>
      <c r="Q1439">
        <f t="shared" si="42"/>
        <v>12569321</v>
      </c>
      <c r="R1439">
        <f t="shared" si="43"/>
        <v>34.687633484736367</v>
      </c>
      <c r="U1439">
        <v>2620</v>
      </c>
      <c r="V1439">
        <v>1824</v>
      </c>
      <c r="W1439">
        <v>3415</v>
      </c>
      <c r="X1439">
        <v>1711</v>
      </c>
      <c r="Y1439">
        <v>60.5</v>
      </c>
      <c r="Z1439">
        <v>55.7</v>
      </c>
      <c r="AA1439">
        <v>65.3</v>
      </c>
    </row>
    <row r="1440" spans="1:27" x14ac:dyDescent="0.25">
      <c r="A1440" t="s">
        <v>238</v>
      </c>
      <c r="B1440" t="s">
        <v>174</v>
      </c>
      <c r="C1440" s="76">
        <v>43966</v>
      </c>
      <c r="D1440">
        <v>18534</v>
      </c>
      <c r="E1440">
        <v>14147</v>
      </c>
      <c r="F1440">
        <v>22921</v>
      </c>
      <c r="G1440">
        <v>11933</v>
      </c>
      <c r="H1440">
        <v>60.8</v>
      </c>
      <c r="I1440">
        <v>57.1</v>
      </c>
      <c r="J1440">
        <v>64.599999999999994</v>
      </c>
      <c r="K1440">
        <v>4415</v>
      </c>
      <c r="L1440">
        <v>3229</v>
      </c>
      <c r="M1440">
        <v>5600</v>
      </c>
      <c r="N1440">
        <v>14.5</v>
      </c>
      <c r="O1440">
        <v>12.1</v>
      </c>
      <c r="P1440">
        <v>16.899999999999999</v>
      </c>
      <c r="Q1440">
        <f t="shared" si="42"/>
        <v>12569321</v>
      </c>
      <c r="R1440">
        <f t="shared" si="43"/>
        <v>35.125206842915382</v>
      </c>
      <c r="U1440">
        <v>2616</v>
      </c>
      <c r="V1440">
        <v>1842</v>
      </c>
      <c r="W1440">
        <v>3390</v>
      </c>
      <c r="X1440">
        <v>1819</v>
      </c>
      <c r="Y1440">
        <v>59</v>
      </c>
      <c r="Z1440">
        <v>54.2</v>
      </c>
      <c r="AA1440">
        <v>63.7</v>
      </c>
    </row>
    <row r="1441" spans="1:27" x14ac:dyDescent="0.25">
      <c r="A1441" t="s">
        <v>238</v>
      </c>
      <c r="B1441" t="s">
        <v>174</v>
      </c>
      <c r="C1441" s="76">
        <v>43967</v>
      </c>
      <c r="D1441">
        <v>18164</v>
      </c>
      <c r="E1441">
        <v>13799</v>
      </c>
      <c r="F1441">
        <v>22530</v>
      </c>
      <c r="G1441">
        <v>12356</v>
      </c>
      <c r="H1441">
        <v>59.5</v>
      </c>
      <c r="I1441">
        <v>55.5</v>
      </c>
      <c r="J1441">
        <v>63.5</v>
      </c>
      <c r="K1441">
        <v>4343</v>
      </c>
      <c r="L1441">
        <v>3178</v>
      </c>
      <c r="M1441">
        <v>5508</v>
      </c>
      <c r="N1441">
        <v>14.2</v>
      </c>
      <c r="O1441">
        <v>11.9</v>
      </c>
      <c r="P1441">
        <v>16.600000000000001</v>
      </c>
      <c r="Q1441">
        <f t="shared" si="42"/>
        <v>12569321</v>
      </c>
      <c r="R1441">
        <f t="shared" si="43"/>
        <v>34.552383537662855</v>
      </c>
      <c r="U1441">
        <v>2603</v>
      </c>
      <c r="V1441">
        <v>1832</v>
      </c>
      <c r="W1441">
        <v>3375</v>
      </c>
      <c r="X1441">
        <v>1903</v>
      </c>
      <c r="Y1441">
        <v>57.8</v>
      </c>
      <c r="Z1441">
        <v>52.8</v>
      </c>
      <c r="AA1441">
        <v>62.7</v>
      </c>
    </row>
    <row r="1442" spans="1:27" x14ac:dyDescent="0.25">
      <c r="A1442" t="s">
        <v>238</v>
      </c>
      <c r="B1442" t="s">
        <v>174</v>
      </c>
      <c r="C1442" s="76">
        <v>43968</v>
      </c>
      <c r="D1442">
        <v>17207</v>
      </c>
      <c r="E1442">
        <v>13061</v>
      </c>
      <c r="F1442">
        <v>21352</v>
      </c>
      <c r="G1442">
        <v>13498</v>
      </c>
      <c r="H1442">
        <v>56</v>
      </c>
      <c r="I1442">
        <v>51.4</v>
      </c>
      <c r="J1442">
        <v>60.7</v>
      </c>
      <c r="K1442">
        <v>4189</v>
      </c>
      <c r="L1442">
        <v>3058</v>
      </c>
      <c r="M1442">
        <v>5320</v>
      </c>
      <c r="N1442">
        <v>13.6</v>
      </c>
      <c r="O1442">
        <v>11.4</v>
      </c>
      <c r="P1442">
        <v>15.9</v>
      </c>
      <c r="Q1442">
        <f t="shared" si="42"/>
        <v>12569321</v>
      </c>
      <c r="R1442">
        <f t="shared" si="43"/>
        <v>33.327178134761617</v>
      </c>
      <c r="U1442">
        <v>2561</v>
      </c>
      <c r="V1442">
        <v>1801</v>
      </c>
      <c r="W1442">
        <v>3321</v>
      </c>
      <c r="X1442">
        <v>1936</v>
      </c>
      <c r="Y1442">
        <v>57</v>
      </c>
      <c r="Z1442">
        <v>51.4</v>
      </c>
      <c r="AA1442">
        <v>62.5</v>
      </c>
    </row>
    <row r="1443" spans="1:27" x14ac:dyDescent="0.25">
      <c r="A1443" t="s">
        <v>238</v>
      </c>
      <c r="B1443" t="s">
        <v>174</v>
      </c>
      <c r="C1443" s="76">
        <v>43969</v>
      </c>
      <c r="D1443">
        <v>18124</v>
      </c>
      <c r="E1443">
        <v>13839</v>
      </c>
      <c r="F1443">
        <v>22410</v>
      </c>
      <c r="G1443">
        <v>12421</v>
      </c>
      <c r="H1443">
        <v>59.3</v>
      </c>
      <c r="I1443">
        <v>55.9</v>
      </c>
      <c r="J1443">
        <v>62.7</v>
      </c>
      <c r="K1443">
        <v>4314</v>
      </c>
      <c r="L1443">
        <v>3169</v>
      </c>
      <c r="M1443">
        <v>5460</v>
      </c>
      <c r="N1443">
        <v>14.1</v>
      </c>
      <c r="O1443">
        <v>11.9</v>
      </c>
      <c r="P1443">
        <v>16.399999999999999</v>
      </c>
      <c r="Q1443">
        <f t="shared" si="42"/>
        <v>12569321</v>
      </c>
      <c r="R1443">
        <f t="shared" si="43"/>
        <v>34.321663039713918</v>
      </c>
      <c r="U1443">
        <v>2641</v>
      </c>
      <c r="V1443">
        <v>1881</v>
      </c>
      <c r="W1443">
        <v>3400</v>
      </c>
      <c r="X1443">
        <v>2023</v>
      </c>
      <c r="Y1443">
        <v>56.6</v>
      </c>
      <c r="Z1443">
        <v>51.4</v>
      </c>
      <c r="AA1443">
        <v>61.8</v>
      </c>
    </row>
    <row r="1444" spans="1:27" x14ac:dyDescent="0.25">
      <c r="A1444" t="s">
        <v>238</v>
      </c>
      <c r="B1444" t="s">
        <v>174</v>
      </c>
      <c r="C1444" s="76">
        <v>43970</v>
      </c>
      <c r="D1444">
        <v>18942</v>
      </c>
      <c r="E1444">
        <v>14431</v>
      </c>
      <c r="F1444">
        <v>23454</v>
      </c>
      <c r="G1444">
        <v>11720</v>
      </c>
      <c r="H1444">
        <v>61.8</v>
      </c>
      <c r="I1444">
        <v>58.2</v>
      </c>
      <c r="J1444">
        <v>65.400000000000006</v>
      </c>
      <c r="K1444">
        <v>4226</v>
      </c>
      <c r="L1444">
        <v>3087</v>
      </c>
      <c r="M1444">
        <v>5364</v>
      </c>
      <c r="N1444">
        <v>13.8</v>
      </c>
      <c r="O1444">
        <v>11.5</v>
      </c>
      <c r="P1444">
        <v>16</v>
      </c>
      <c r="Q1444">
        <f t="shared" si="42"/>
        <v>12569321</v>
      </c>
      <c r="R1444">
        <f t="shared" si="43"/>
        <v>33.621545666627497</v>
      </c>
      <c r="U1444">
        <v>2717</v>
      </c>
      <c r="V1444">
        <v>1936</v>
      </c>
      <c r="W1444">
        <v>3498</v>
      </c>
      <c r="X1444">
        <v>1815</v>
      </c>
      <c r="Y1444">
        <v>60</v>
      </c>
      <c r="Z1444">
        <v>54.5</v>
      </c>
      <c r="AA1444">
        <v>65.400000000000006</v>
      </c>
    </row>
    <row r="1445" spans="1:27" x14ac:dyDescent="0.25">
      <c r="A1445" t="s">
        <v>238</v>
      </c>
      <c r="B1445" t="s">
        <v>174</v>
      </c>
      <c r="C1445" s="76">
        <v>43971</v>
      </c>
      <c r="D1445">
        <v>19358</v>
      </c>
      <c r="E1445">
        <v>14787</v>
      </c>
      <c r="F1445">
        <v>23928</v>
      </c>
      <c r="G1445">
        <v>11517</v>
      </c>
      <c r="H1445">
        <v>62.7</v>
      </c>
      <c r="I1445">
        <v>59.3</v>
      </c>
      <c r="J1445">
        <v>66.099999999999994</v>
      </c>
      <c r="K1445">
        <v>4214</v>
      </c>
      <c r="L1445">
        <v>3086</v>
      </c>
      <c r="M1445">
        <v>5341</v>
      </c>
      <c r="N1445">
        <v>13.6</v>
      </c>
      <c r="O1445">
        <v>11.5</v>
      </c>
      <c r="P1445">
        <v>15.8</v>
      </c>
      <c r="Q1445">
        <f t="shared" si="42"/>
        <v>12569321</v>
      </c>
      <c r="R1445">
        <f t="shared" si="43"/>
        <v>33.526075115752079</v>
      </c>
      <c r="U1445">
        <v>2740</v>
      </c>
      <c r="V1445">
        <v>1962</v>
      </c>
      <c r="W1445">
        <v>3519</v>
      </c>
      <c r="X1445">
        <v>1746</v>
      </c>
      <c r="Y1445">
        <v>61.1</v>
      </c>
      <c r="Z1445">
        <v>56.5</v>
      </c>
      <c r="AA1445">
        <v>65.599999999999994</v>
      </c>
    </row>
    <row r="1446" spans="1:27" x14ac:dyDescent="0.25">
      <c r="A1446" t="s">
        <v>238</v>
      </c>
      <c r="B1446" t="s">
        <v>174</v>
      </c>
      <c r="C1446" s="76">
        <v>43972</v>
      </c>
      <c r="D1446">
        <v>18697</v>
      </c>
      <c r="E1446">
        <v>14205</v>
      </c>
      <c r="F1446">
        <v>23189</v>
      </c>
      <c r="G1446">
        <v>12339</v>
      </c>
      <c r="H1446">
        <v>60.2</v>
      </c>
      <c r="I1446">
        <v>56.2</v>
      </c>
      <c r="J1446">
        <v>64.2</v>
      </c>
      <c r="K1446">
        <v>4045</v>
      </c>
      <c r="L1446">
        <v>2921</v>
      </c>
      <c r="M1446">
        <v>5170</v>
      </c>
      <c r="N1446">
        <v>13</v>
      </c>
      <c r="O1446">
        <v>10.7</v>
      </c>
      <c r="P1446">
        <v>15.3</v>
      </c>
      <c r="Q1446">
        <f t="shared" si="42"/>
        <v>12569321</v>
      </c>
      <c r="R1446">
        <f t="shared" si="43"/>
        <v>32.181531524256556</v>
      </c>
      <c r="U1446">
        <v>2715</v>
      </c>
      <c r="V1446">
        <v>1929</v>
      </c>
      <c r="W1446">
        <v>3501</v>
      </c>
      <c r="X1446">
        <v>1909</v>
      </c>
      <c r="Y1446">
        <v>58.7</v>
      </c>
      <c r="Z1446">
        <v>54.3</v>
      </c>
      <c r="AA1446">
        <v>63.2</v>
      </c>
    </row>
    <row r="1447" spans="1:27" x14ac:dyDescent="0.25">
      <c r="A1447" t="s">
        <v>238</v>
      </c>
      <c r="B1447" t="s">
        <v>174</v>
      </c>
      <c r="C1447" s="76">
        <v>43973</v>
      </c>
      <c r="D1447">
        <v>19196</v>
      </c>
      <c r="E1447">
        <v>14605</v>
      </c>
      <c r="F1447">
        <v>23788</v>
      </c>
      <c r="G1447">
        <v>11644</v>
      </c>
      <c r="H1447">
        <v>62.2</v>
      </c>
      <c r="I1447">
        <v>58.8</v>
      </c>
      <c r="J1447">
        <v>65.599999999999994</v>
      </c>
      <c r="K1447">
        <v>3976</v>
      </c>
      <c r="L1447">
        <v>2909</v>
      </c>
      <c r="M1447">
        <v>5044</v>
      </c>
      <c r="N1447">
        <v>12.9</v>
      </c>
      <c r="O1447">
        <v>10.7</v>
      </c>
      <c r="P1447">
        <v>15.1</v>
      </c>
      <c r="Q1447">
        <f t="shared" ref="Q1447:Q1510" si="44">VLOOKUP(B1447,$AE$4:$AF$55,2,FALSE)</f>
        <v>12569321</v>
      </c>
      <c r="R1447">
        <f t="shared" si="43"/>
        <v>31.632575856722891</v>
      </c>
      <c r="U1447">
        <v>2705</v>
      </c>
      <c r="V1447">
        <v>1893</v>
      </c>
      <c r="W1447">
        <v>3516</v>
      </c>
      <c r="X1447">
        <v>1903</v>
      </c>
      <c r="Y1447">
        <v>58.7</v>
      </c>
      <c r="Z1447">
        <v>54.7</v>
      </c>
      <c r="AA1447">
        <v>62.7</v>
      </c>
    </row>
    <row r="1448" spans="1:27" x14ac:dyDescent="0.25">
      <c r="A1448" t="s">
        <v>238</v>
      </c>
      <c r="B1448" t="s">
        <v>174</v>
      </c>
      <c r="C1448" s="76">
        <v>43974</v>
      </c>
      <c r="D1448">
        <v>17648</v>
      </c>
      <c r="E1448">
        <v>13248</v>
      </c>
      <c r="F1448">
        <v>22048</v>
      </c>
      <c r="G1448">
        <v>12945</v>
      </c>
      <c r="H1448">
        <v>57.7</v>
      </c>
      <c r="I1448">
        <v>53.4</v>
      </c>
      <c r="J1448">
        <v>61.9</v>
      </c>
      <c r="K1448">
        <v>3951</v>
      </c>
      <c r="L1448">
        <v>2878</v>
      </c>
      <c r="M1448">
        <v>5023</v>
      </c>
      <c r="N1448">
        <v>12.9</v>
      </c>
      <c r="O1448">
        <v>10.8</v>
      </c>
      <c r="P1448">
        <v>15.1</v>
      </c>
      <c r="Q1448">
        <f t="shared" si="44"/>
        <v>12569321</v>
      </c>
      <c r="R1448">
        <f t="shared" si="43"/>
        <v>31.433678875732429</v>
      </c>
      <c r="U1448">
        <v>2602</v>
      </c>
      <c r="V1448">
        <v>1811</v>
      </c>
      <c r="W1448">
        <v>3394</v>
      </c>
      <c r="X1448">
        <v>1998</v>
      </c>
      <c r="Y1448">
        <v>56.6</v>
      </c>
      <c r="Z1448">
        <v>52.5</v>
      </c>
      <c r="AA1448">
        <v>60.6</v>
      </c>
    </row>
    <row r="1449" spans="1:27" x14ac:dyDescent="0.25">
      <c r="A1449" t="s">
        <v>238</v>
      </c>
      <c r="B1449" t="s">
        <v>174</v>
      </c>
      <c r="C1449" s="76">
        <v>43975</v>
      </c>
      <c r="D1449">
        <v>17049</v>
      </c>
      <c r="E1449">
        <v>12823</v>
      </c>
      <c r="F1449">
        <v>21275</v>
      </c>
      <c r="G1449">
        <v>13559</v>
      </c>
      <c r="H1449">
        <v>55.7</v>
      </c>
      <c r="I1449">
        <v>51.6</v>
      </c>
      <c r="J1449">
        <v>59.8</v>
      </c>
      <c r="K1449">
        <v>3969</v>
      </c>
      <c r="L1449">
        <v>2885</v>
      </c>
      <c r="M1449">
        <v>5053</v>
      </c>
      <c r="N1449">
        <v>13</v>
      </c>
      <c r="O1449">
        <v>10.8</v>
      </c>
      <c r="P1449">
        <v>15.2</v>
      </c>
      <c r="Q1449">
        <f t="shared" si="44"/>
        <v>12569321</v>
      </c>
      <c r="R1449">
        <f t="shared" si="43"/>
        <v>31.576884702045557</v>
      </c>
      <c r="U1449">
        <v>2595</v>
      </c>
      <c r="V1449">
        <v>1804</v>
      </c>
      <c r="W1449">
        <v>3386</v>
      </c>
      <c r="X1449">
        <v>2039</v>
      </c>
      <c r="Y1449">
        <v>56</v>
      </c>
      <c r="Z1449">
        <v>51.7</v>
      </c>
      <c r="AA1449">
        <v>60.3</v>
      </c>
    </row>
    <row r="1450" spans="1:27" x14ac:dyDescent="0.25">
      <c r="A1450" t="s">
        <v>238</v>
      </c>
      <c r="B1450" t="s">
        <v>174</v>
      </c>
      <c r="C1450" s="76">
        <v>43976</v>
      </c>
      <c r="D1450">
        <v>17600</v>
      </c>
      <c r="E1450">
        <v>13312</v>
      </c>
      <c r="F1450">
        <v>21888</v>
      </c>
      <c r="G1450">
        <v>13571</v>
      </c>
      <c r="H1450">
        <v>56.5</v>
      </c>
      <c r="I1450">
        <v>53.2</v>
      </c>
      <c r="J1450">
        <v>59.8</v>
      </c>
      <c r="K1450">
        <v>3980</v>
      </c>
      <c r="L1450">
        <v>2898</v>
      </c>
      <c r="M1450">
        <v>5062</v>
      </c>
      <c r="N1450">
        <v>12.8</v>
      </c>
      <c r="O1450">
        <v>10.6</v>
      </c>
      <c r="P1450">
        <v>15</v>
      </c>
      <c r="Q1450">
        <f t="shared" si="44"/>
        <v>12569321</v>
      </c>
      <c r="R1450">
        <f t="shared" si="43"/>
        <v>31.664399373681363</v>
      </c>
      <c r="U1450">
        <v>2578</v>
      </c>
      <c r="V1450">
        <v>1836</v>
      </c>
      <c r="W1450">
        <v>3321</v>
      </c>
      <c r="X1450">
        <v>2093</v>
      </c>
      <c r="Y1450">
        <v>55.2</v>
      </c>
      <c r="Z1450">
        <v>50</v>
      </c>
      <c r="AA1450">
        <v>60.3</v>
      </c>
    </row>
    <row r="1451" spans="1:27" x14ac:dyDescent="0.25">
      <c r="A1451" t="s">
        <v>238</v>
      </c>
      <c r="B1451" t="s">
        <v>174</v>
      </c>
      <c r="C1451" s="76">
        <v>43977</v>
      </c>
      <c r="D1451">
        <v>18421</v>
      </c>
      <c r="E1451">
        <v>13972</v>
      </c>
      <c r="F1451">
        <v>22870</v>
      </c>
      <c r="G1451">
        <v>12913</v>
      </c>
      <c r="H1451">
        <v>58.8</v>
      </c>
      <c r="I1451">
        <v>55.3</v>
      </c>
      <c r="J1451">
        <v>62.3</v>
      </c>
      <c r="K1451">
        <v>4025</v>
      </c>
      <c r="L1451">
        <v>2920</v>
      </c>
      <c r="M1451">
        <v>5131</v>
      </c>
      <c r="N1451">
        <v>12.8</v>
      </c>
      <c r="O1451">
        <v>10.7</v>
      </c>
      <c r="P1451">
        <v>15</v>
      </c>
      <c r="Q1451">
        <f t="shared" si="44"/>
        <v>12569321</v>
      </c>
      <c r="R1451">
        <f t="shared" si="43"/>
        <v>32.022413939464194</v>
      </c>
      <c r="U1451">
        <v>2772</v>
      </c>
      <c r="V1451">
        <v>1946</v>
      </c>
      <c r="W1451">
        <v>3598</v>
      </c>
      <c r="X1451">
        <v>1863</v>
      </c>
      <c r="Y1451">
        <v>59.8</v>
      </c>
      <c r="Z1451">
        <v>54.7</v>
      </c>
      <c r="AA1451">
        <v>64.900000000000006</v>
      </c>
    </row>
    <row r="1452" spans="1:27" x14ac:dyDescent="0.25">
      <c r="A1452" t="s">
        <v>238</v>
      </c>
      <c r="B1452" t="s">
        <v>174</v>
      </c>
      <c r="C1452" s="76">
        <v>43978</v>
      </c>
      <c r="D1452">
        <v>19549</v>
      </c>
      <c r="E1452">
        <v>14812</v>
      </c>
      <c r="F1452">
        <v>24286</v>
      </c>
      <c r="G1452">
        <v>11802</v>
      </c>
      <c r="H1452">
        <v>62.4</v>
      </c>
      <c r="I1452">
        <v>58.8</v>
      </c>
      <c r="J1452">
        <v>65.900000000000006</v>
      </c>
      <c r="K1452">
        <v>3909</v>
      </c>
      <c r="L1452">
        <v>2816</v>
      </c>
      <c r="M1452">
        <v>5002</v>
      </c>
      <c r="N1452">
        <v>12.5</v>
      </c>
      <c r="O1452">
        <v>10.3</v>
      </c>
      <c r="P1452">
        <v>14.7</v>
      </c>
      <c r="Q1452">
        <f t="shared" si="44"/>
        <v>12569321</v>
      </c>
      <c r="R1452">
        <f t="shared" si="43"/>
        <v>31.099531947668453</v>
      </c>
      <c r="U1452">
        <v>2870</v>
      </c>
      <c r="V1452">
        <v>2035</v>
      </c>
      <c r="W1452">
        <v>3705</v>
      </c>
      <c r="X1452">
        <v>1826</v>
      </c>
      <c r="Y1452">
        <v>61.1</v>
      </c>
      <c r="Z1452">
        <v>56.8</v>
      </c>
      <c r="AA1452">
        <v>65.400000000000006</v>
      </c>
    </row>
    <row r="1453" spans="1:27" x14ac:dyDescent="0.25">
      <c r="A1453" t="s">
        <v>238</v>
      </c>
      <c r="B1453" t="s">
        <v>174</v>
      </c>
      <c r="C1453" s="76">
        <v>43979</v>
      </c>
      <c r="D1453">
        <v>19566</v>
      </c>
      <c r="E1453">
        <v>14724</v>
      </c>
      <c r="F1453">
        <v>24408</v>
      </c>
      <c r="G1453">
        <v>11380</v>
      </c>
      <c r="H1453">
        <v>63.2</v>
      </c>
      <c r="I1453">
        <v>59.6</v>
      </c>
      <c r="J1453">
        <v>66.900000000000006</v>
      </c>
      <c r="K1453">
        <v>3885</v>
      </c>
      <c r="L1453">
        <v>2807</v>
      </c>
      <c r="M1453">
        <v>4962</v>
      </c>
      <c r="N1453">
        <v>12.6</v>
      </c>
      <c r="O1453">
        <v>10.3</v>
      </c>
      <c r="P1453">
        <v>14.8</v>
      </c>
      <c r="Q1453">
        <f t="shared" si="44"/>
        <v>12569321</v>
      </c>
      <c r="R1453">
        <f t="shared" si="43"/>
        <v>30.908590845917612</v>
      </c>
      <c r="U1453">
        <v>2901</v>
      </c>
      <c r="V1453">
        <v>2019</v>
      </c>
      <c r="W1453">
        <v>3783</v>
      </c>
      <c r="X1453">
        <v>1754</v>
      </c>
      <c r="Y1453">
        <v>62.3</v>
      </c>
      <c r="Z1453">
        <v>57.8</v>
      </c>
      <c r="AA1453">
        <v>66.8</v>
      </c>
    </row>
    <row r="1454" spans="1:27" x14ac:dyDescent="0.25">
      <c r="A1454" t="s">
        <v>238</v>
      </c>
      <c r="B1454" t="s">
        <v>174</v>
      </c>
      <c r="C1454" s="76">
        <v>43980</v>
      </c>
      <c r="D1454">
        <v>19209</v>
      </c>
      <c r="E1454">
        <v>14565</v>
      </c>
      <c r="F1454">
        <v>23853</v>
      </c>
      <c r="G1454">
        <v>11743</v>
      </c>
      <c r="H1454">
        <v>62.1</v>
      </c>
      <c r="I1454">
        <v>58.4</v>
      </c>
      <c r="J1454">
        <v>65.7</v>
      </c>
      <c r="K1454">
        <v>3646</v>
      </c>
      <c r="L1454">
        <v>2648</v>
      </c>
      <c r="M1454">
        <v>4645</v>
      </c>
      <c r="N1454">
        <v>11.8</v>
      </c>
      <c r="O1454">
        <v>9.8000000000000007</v>
      </c>
      <c r="P1454">
        <v>13.7</v>
      </c>
      <c r="Q1454">
        <f t="shared" si="44"/>
        <v>12569321</v>
      </c>
      <c r="R1454">
        <f t="shared" si="43"/>
        <v>29.007135707648803</v>
      </c>
      <c r="U1454">
        <v>2692</v>
      </c>
      <c r="V1454">
        <v>1907</v>
      </c>
      <c r="W1454">
        <v>3476</v>
      </c>
      <c r="X1454">
        <v>1845</v>
      </c>
      <c r="Y1454">
        <v>59.3</v>
      </c>
      <c r="Z1454">
        <v>55</v>
      </c>
      <c r="AA1454">
        <v>63.7</v>
      </c>
    </row>
    <row r="1455" spans="1:27" x14ac:dyDescent="0.25">
      <c r="A1455" t="s">
        <v>238</v>
      </c>
      <c r="B1455" t="s">
        <v>174</v>
      </c>
      <c r="C1455" s="76">
        <v>43981</v>
      </c>
      <c r="D1455">
        <v>18063</v>
      </c>
      <c r="E1455">
        <v>13603</v>
      </c>
      <c r="F1455">
        <v>22523</v>
      </c>
      <c r="G1455">
        <v>12849</v>
      </c>
      <c r="H1455">
        <v>58.4</v>
      </c>
      <c r="I1455">
        <v>54.7</v>
      </c>
      <c r="J1455">
        <v>62.2</v>
      </c>
      <c r="K1455">
        <v>3506</v>
      </c>
      <c r="L1455">
        <v>2525</v>
      </c>
      <c r="M1455">
        <v>4488</v>
      </c>
      <c r="N1455">
        <v>11.3</v>
      </c>
      <c r="O1455">
        <v>9.4</v>
      </c>
      <c r="P1455">
        <v>13.3</v>
      </c>
      <c r="Q1455">
        <f t="shared" si="44"/>
        <v>12569321</v>
      </c>
      <c r="R1455">
        <f t="shared" si="43"/>
        <v>27.893312614102225</v>
      </c>
      <c r="U1455">
        <v>2374</v>
      </c>
      <c r="V1455">
        <v>1649</v>
      </c>
      <c r="W1455">
        <v>3100</v>
      </c>
      <c r="X1455">
        <v>2151</v>
      </c>
      <c r="Y1455">
        <v>52.5</v>
      </c>
      <c r="Z1455">
        <v>46.5</v>
      </c>
      <c r="AA1455">
        <v>58.4</v>
      </c>
    </row>
    <row r="1456" spans="1:27" x14ac:dyDescent="0.25">
      <c r="A1456" t="s">
        <v>238</v>
      </c>
      <c r="B1456" t="s">
        <v>174</v>
      </c>
      <c r="C1456" s="76">
        <v>43982</v>
      </c>
      <c r="D1456">
        <v>17617</v>
      </c>
      <c r="E1456">
        <v>13268</v>
      </c>
      <c r="F1456">
        <v>21966</v>
      </c>
      <c r="G1456">
        <v>13429</v>
      </c>
      <c r="H1456">
        <v>56.7</v>
      </c>
      <c r="I1456">
        <v>53.2</v>
      </c>
      <c r="J1456">
        <v>60.3</v>
      </c>
      <c r="K1456">
        <v>3455</v>
      </c>
      <c r="L1456">
        <v>2483</v>
      </c>
      <c r="M1456">
        <v>4427</v>
      </c>
      <c r="N1456">
        <v>11.1</v>
      </c>
      <c r="O1456">
        <v>9.1999999999999993</v>
      </c>
      <c r="P1456">
        <v>13.1</v>
      </c>
      <c r="Q1456">
        <f t="shared" si="44"/>
        <v>12569321</v>
      </c>
      <c r="R1456">
        <f t="shared" si="43"/>
        <v>27.487562772881684</v>
      </c>
      <c r="U1456">
        <v>2255</v>
      </c>
      <c r="V1456">
        <v>1567</v>
      </c>
      <c r="W1456">
        <v>2944</v>
      </c>
      <c r="X1456">
        <v>2315</v>
      </c>
      <c r="Y1456">
        <v>49.3</v>
      </c>
      <c r="Z1456">
        <v>42.7</v>
      </c>
      <c r="AA1456">
        <v>56</v>
      </c>
    </row>
    <row r="1457" spans="1:27" x14ac:dyDescent="0.25">
      <c r="A1457" t="s">
        <v>238</v>
      </c>
      <c r="B1457" t="s">
        <v>174</v>
      </c>
      <c r="C1457" s="76">
        <v>43983</v>
      </c>
      <c r="D1457">
        <v>17848</v>
      </c>
      <c r="E1457">
        <v>13484</v>
      </c>
      <c r="F1457">
        <v>22213</v>
      </c>
      <c r="G1457">
        <v>13194</v>
      </c>
      <c r="H1457">
        <v>57.5</v>
      </c>
      <c r="I1457">
        <v>53.9</v>
      </c>
      <c r="J1457">
        <v>61.1</v>
      </c>
      <c r="K1457">
        <v>3257</v>
      </c>
      <c r="L1457">
        <v>2345</v>
      </c>
      <c r="M1457">
        <v>4169</v>
      </c>
      <c r="N1457">
        <v>10.5</v>
      </c>
      <c r="O1457">
        <v>8.6999999999999993</v>
      </c>
      <c r="P1457">
        <v>12.3</v>
      </c>
      <c r="Q1457">
        <f t="shared" si="44"/>
        <v>12569321</v>
      </c>
      <c r="R1457">
        <f t="shared" si="43"/>
        <v>25.912298683437232</v>
      </c>
      <c r="U1457">
        <v>2534</v>
      </c>
      <c r="V1457">
        <v>1768</v>
      </c>
      <c r="W1457">
        <v>3299</v>
      </c>
      <c r="X1457">
        <v>2005</v>
      </c>
      <c r="Y1457">
        <v>55.8</v>
      </c>
      <c r="Z1457">
        <v>51.5</v>
      </c>
      <c r="AA1457">
        <v>60.1</v>
      </c>
    </row>
    <row r="1458" spans="1:27" x14ac:dyDescent="0.25">
      <c r="A1458" t="s">
        <v>238</v>
      </c>
      <c r="B1458" t="s">
        <v>174</v>
      </c>
      <c r="C1458" s="76">
        <v>43984</v>
      </c>
      <c r="D1458">
        <v>18588</v>
      </c>
      <c r="E1458">
        <v>14081</v>
      </c>
      <c r="F1458">
        <v>23095</v>
      </c>
      <c r="G1458">
        <v>12604</v>
      </c>
      <c r="H1458">
        <v>59.6</v>
      </c>
      <c r="I1458">
        <v>56.2</v>
      </c>
      <c r="J1458">
        <v>62.9</v>
      </c>
      <c r="K1458">
        <v>3367</v>
      </c>
      <c r="L1458">
        <v>2434</v>
      </c>
      <c r="M1458">
        <v>4300</v>
      </c>
      <c r="N1458">
        <v>10.8</v>
      </c>
      <c r="O1458">
        <v>8.9</v>
      </c>
      <c r="P1458">
        <v>12.7</v>
      </c>
      <c r="Q1458">
        <f t="shared" si="44"/>
        <v>12569321</v>
      </c>
      <c r="R1458">
        <f t="shared" si="43"/>
        <v>26.787445399795264</v>
      </c>
      <c r="U1458">
        <v>2655</v>
      </c>
      <c r="V1458">
        <v>1838</v>
      </c>
      <c r="W1458">
        <v>3471</v>
      </c>
      <c r="X1458">
        <v>1890</v>
      </c>
      <c r="Y1458">
        <v>58.4</v>
      </c>
      <c r="Z1458">
        <v>53</v>
      </c>
      <c r="AA1458">
        <v>63.8</v>
      </c>
    </row>
    <row r="1459" spans="1:27" x14ac:dyDescent="0.25">
      <c r="A1459" t="s">
        <v>238</v>
      </c>
      <c r="B1459" t="s">
        <v>174</v>
      </c>
      <c r="C1459" s="76">
        <v>43985</v>
      </c>
      <c r="D1459">
        <v>18836</v>
      </c>
      <c r="E1459">
        <v>13907</v>
      </c>
      <c r="F1459">
        <v>23766</v>
      </c>
      <c r="G1459">
        <v>13184</v>
      </c>
      <c r="H1459">
        <v>58.8</v>
      </c>
      <c r="I1459">
        <v>55.3</v>
      </c>
      <c r="J1459">
        <v>62.4</v>
      </c>
      <c r="K1459">
        <v>3368</v>
      </c>
      <c r="L1459">
        <v>2408</v>
      </c>
      <c r="M1459">
        <v>4329</v>
      </c>
      <c r="N1459">
        <v>10.5</v>
      </c>
      <c r="O1459">
        <v>8.9</v>
      </c>
      <c r="P1459">
        <v>12.2</v>
      </c>
      <c r="Q1459">
        <f t="shared" si="44"/>
        <v>12569321</v>
      </c>
      <c r="R1459">
        <f t="shared" si="43"/>
        <v>26.795401279034881</v>
      </c>
      <c r="U1459">
        <v>2676</v>
      </c>
      <c r="V1459">
        <v>1728</v>
      </c>
      <c r="W1459">
        <v>3625</v>
      </c>
      <c r="X1459">
        <v>2127</v>
      </c>
      <c r="Y1459">
        <v>55.7</v>
      </c>
      <c r="Z1459">
        <v>51.5</v>
      </c>
      <c r="AA1459">
        <v>60</v>
      </c>
    </row>
    <row r="1460" spans="1:27" x14ac:dyDescent="0.25">
      <c r="A1460" t="s">
        <v>238</v>
      </c>
      <c r="B1460" t="s">
        <v>174</v>
      </c>
      <c r="C1460" s="76">
        <v>43986</v>
      </c>
      <c r="D1460">
        <v>19046</v>
      </c>
      <c r="E1460">
        <v>14373</v>
      </c>
      <c r="F1460">
        <v>23718</v>
      </c>
      <c r="G1460">
        <v>12787</v>
      </c>
      <c r="H1460">
        <v>59.8</v>
      </c>
      <c r="I1460">
        <v>56.2</v>
      </c>
      <c r="J1460">
        <v>63.5</v>
      </c>
      <c r="K1460">
        <v>3135</v>
      </c>
      <c r="L1460">
        <v>2276</v>
      </c>
      <c r="M1460">
        <v>3994</v>
      </c>
      <c r="N1460">
        <v>9.8000000000000007</v>
      </c>
      <c r="O1460">
        <v>8.1999999999999993</v>
      </c>
      <c r="P1460">
        <v>11.5</v>
      </c>
      <c r="Q1460">
        <f t="shared" si="44"/>
        <v>12569321</v>
      </c>
      <c r="R1460">
        <f t="shared" si="43"/>
        <v>24.941681416203789</v>
      </c>
      <c r="U1460">
        <v>2661</v>
      </c>
      <c r="V1460">
        <v>1854</v>
      </c>
      <c r="W1460">
        <v>3469</v>
      </c>
      <c r="X1460">
        <v>2033</v>
      </c>
      <c r="Y1460">
        <v>56.7</v>
      </c>
      <c r="Z1460">
        <v>52.5</v>
      </c>
      <c r="AA1460">
        <v>60.8</v>
      </c>
    </row>
    <row r="1461" spans="1:27" x14ac:dyDescent="0.25">
      <c r="A1461" t="s">
        <v>238</v>
      </c>
      <c r="B1461" t="s">
        <v>174</v>
      </c>
      <c r="C1461" s="76">
        <v>43987</v>
      </c>
      <c r="D1461">
        <v>18809</v>
      </c>
      <c r="E1461">
        <v>14300</v>
      </c>
      <c r="F1461">
        <v>23318</v>
      </c>
      <c r="G1461">
        <v>12639</v>
      </c>
      <c r="H1461">
        <v>59.8</v>
      </c>
      <c r="I1461">
        <v>56.2</v>
      </c>
      <c r="J1461">
        <v>63.4</v>
      </c>
      <c r="K1461">
        <v>2836</v>
      </c>
      <c r="L1461">
        <v>2041</v>
      </c>
      <c r="M1461">
        <v>3631</v>
      </c>
      <c r="N1461">
        <v>9</v>
      </c>
      <c r="O1461">
        <v>7.4</v>
      </c>
      <c r="P1461">
        <v>10.6</v>
      </c>
      <c r="Q1461">
        <f t="shared" si="44"/>
        <v>12569321</v>
      </c>
      <c r="R1461">
        <f t="shared" si="43"/>
        <v>22.562873523557876</v>
      </c>
      <c r="U1461">
        <v>2543</v>
      </c>
      <c r="V1461">
        <v>1823</v>
      </c>
      <c r="W1461">
        <v>3263</v>
      </c>
      <c r="X1461">
        <v>2184</v>
      </c>
      <c r="Y1461">
        <v>53.8</v>
      </c>
      <c r="Z1461">
        <v>48.4</v>
      </c>
      <c r="AA1461">
        <v>59.2</v>
      </c>
    </row>
    <row r="1462" spans="1:27" x14ac:dyDescent="0.25">
      <c r="A1462" t="s">
        <v>238</v>
      </c>
      <c r="B1462" t="s">
        <v>174</v>
      </c>
      <c r="C1462" s="76">
        <v>43988</v>
      </c>
      <c r="D1462">
        <v>18203</v>
      </c>
      <c r="E1462">
        <v>13737</v>
      </c>
      <c r="F1462">
        <v>22669</v>
      </c>
      <c r="G1462">
        <v>12882</v>
      </c>
      <c r="H1462">
        <v>58.6</v>
      </c>
      <c r="I1462">
        <v>54.7</v>
      </c>
      <c r="J1462">
        <v>62.4</v>
      </c>
      <c r="K1462">
        <v>2751</v>
      </c>
      <c r="L1462">
        <v>1990</v>
      </c>
      <c r="M1462">
        <v>3512</v>
      </c>
      <c r="N1462">
        <v>8.8000000000000007</v>
      </c>
      <c r="O1462">
        <v>7.3</v>
      </c>
      <c r="P1462">
        <v>10.4</v>
      </c>
      <c r="Q1462">
        <f t="shared" si="44"/>
        <v>12569321</v>
      </c>
      <c r="R1462">
        <f t="shared" si="43"/>
        <v>21.886623788190306</v>
      </c>
      <c r="U1462">
        <v>2528</v>
      </c>
      <c r="V1462">
        <v>1785</v>
      </c>
      <c r="W1462">
        <v>3272</v>
      </c>
      <c r="X1462">
        <v>1949</v>
      </c>
      <c r="Y1462">
        <v>56.5</v>
      </c>
      <c r="Z1462">
        <v>50.1</v>
      </c>
      <c r="AA1462">
        <v>62.8</v>
      </c>
    </row>
    <row r="1463" spans="1:27" x14ac:dyDescent="0.25">
      <c r="A1463" t="s">
        <v>238</v>
      </c>
      <c r="B1463" t="s">
        <v>174</v>
      </c>
      <c r="C1463" s="76">
        <v>43989</v>
      </c>
      <c r="D1463">
        <v>17483</v>
      </c>
      <c r="E1463">
        <v>13233</v>
      </c>
      <c r="F1463">
        <v>21733</v>
      </c>
      <c r="G1463">
        <v>13883</v>
      </c>
      <c r="H1463">
        <v>55.7</v>
      </c>
      <c r="I1463">
        <v>52.2</v>
      </c>
      <c r="J1463">
        <v>59.3</v>
      </c>
      <c r="K1463">
        <v>2667</v>
      </c>
      <c r="L1463">
        <v>1926</v>
      </c>
      <c r="M1463">
        <v>3408</v>
      </c>
      <c r="N1463">
        <v>8.5</v>
      </c>
      <c r="O1463">
        <v>7</v>
      </c>
      <c r="P1463">
        <v>10</v>
      </c>
      <c r="Q1463">
        <f t="shared" si="44"/>
        <v>12569321</v>
      </c>
      <c r="R1463">
        <f t="shared" si="43"/>
        <v>21.21832993206236</v>
      </c>
      <c r="U1463">
        <v>2454</v>
      </c>
      <c r="V1463">
        <v>1740</v>
      </c>
      <c r="W1463">
        <v>3169</v>
      </c>
      <c r="X1463">
        <v>2084</v>
      </c>
      <c r="Y1463">
        <v>54.1</v>
      </c>
      <c r="Z1463">
        <v>48</v>
      </c>
      <c r="AA1463">
        <v>60.2</v>
      </c>
    </row>
    <row r="1464" spans="1:27" x14ac:dyDescent="0.25">
      <c r="A1464" t="s">
        <v>238</v>
      </c>
      <c r="B1464" t="s">
        <v>174</v>
      </c>
      <c r="C1464" s="76">
        <v>43990</v>
      </c>
      <c r="D1464">
        <v>17469</v>
      </c>
      <c r="E1464">
        <v>13271</v>
      </c>
      <c r="F1464">
        <v>21667</v>
      </c>
      <c r="G1464">
        <v>14029</v>
      </c>
      <c r="H1464">
        <v>55.5</v>
      </c>
      <c r="I1464">
        <v>51.6</v>
      </c>
      <c r="J1464">
        <v>59.3</v>
      </c>
      <c r="K1464">
        <v>2682</v>
      </c>
      <c r="L1464">
        <v>1934</v>
      </c>
      <c r="M1464">
        <v>3430</v>
      </c>
      <c r="N1464">
        <v>8.5</v>
      </c>
      <c r="O1464">
        <v>7</v>
      </c>
      <c r="P1464">
        <v>10</v>
      </c>
      <c r="Q1464">
        <f t="shared" si="44"/>
        <v>12569321</v>
      </c>
      <c r="R1464">
        <f t="shared" si="43"/>
        <v>21.337668120656637</v>
      </c>
      <c r="U1464">
        <v>2422</v>
      </c>
      <c r="V1464">
        <v>1719</v>
      </c>
      <c r="W1464">
        <v>3125</v>
      </c>
      <c r="X1464">
        <v>2111</v>
      </c>
      <c r="Y1464">
        <v>53.4</v>
      </c>
      <c r="Z1464">
        <v>46.8</v>
      </c>
      <c r="AA1464">
        <v>60.1</v>
      </c>
    </row>
    <row r="1465" spans="1:27" x14ac:dyDescent="0.25">
      <c r="A1465" t="s">
        <v>238</v>
      </c>
      <c r="B1465" t="s">
        <v>174</v>
      </c>
      <c r="C1465" s="76">
        <v>43991</v>
      </c>
      <c r="D1465">
        <v>19011</v>
      </c>
      <c r="E1465">
        <v>14471</v>
      </c>
      <c r="F1465">
        <v>23552</v>
      </c>
      <c r="G1465">
        <v>12358</v>
      </c>
      <c r="H1465">
        <v>60.6</v>
      </c>
      <c r="I1465">
        <v>57</v>
      </c>
      <c r="J1465">
        <v>64.2</v>
      </c>
      <c r="K1465">
        <v>2606</v>
      </c>
      <c r="L1465">
        <v>1884</v>
      </c>
      <c r="M1465">
        <v>3327</v>
      </c>
      <c r="N1465">
        <v>8.3000000000000007</v>
      </c>
      <c r="O1465">
        <v>6.9</v>
      </c>
      <c r="P1465">
        <v>9.6999999999999993</v>
      </c>
      <c r="Q1465">
        <f t="shared" si="44"/>
        <v>12569321</v>
      </c>
      <c r="R1465">
        <f t="shared" si="43"/>
        <v>20.733021298445635</v>
      </c>
      <c r="U1465">
        <v>2667</v>
      </c>
      <c r="V1465">
        <v>1859</v>
      </c>
      <c r="W1465">
        <v>3474</v>
      </c>
      <c r="X1465">
        <v>1897</v>
      </c>
      <c r="Y1465">
        <v>58.4</v>
      </c>
      <c r="Z1465">
        <v>52.3</v>
      </c>
      <c r="AA1465">
        <v>64.599999999999994</v>
      </c>
    </row>
    <row r="1466" spans="1:27" x14ac:dyDescent="0.25">
      <c r="A1466" t="s">
        <v>238</v>
      </c>
      <c r="B1466" t="s">
        <v>174</v>
      </c>
      <c r="C1466" s="76">
        <v>43992</v>
      </c>
      <c r="D1466">
        <v>18950</v>
      </c>
      <c r="E1466">
        <v>14290</v>
      </c>
      <c r="F1466">
        <v>23611</v>
      </c>
      <c r="G1466">
        <v>13565</v>
      </c>
      <c r="H1466">
        <v>58.3</v>
      </c>
      <c r="I1466">
        <v>49.7</v>
      </c>
      <c r="J1466">
        <v>66.900000000000006</v>
      </c>
      <c r="K1466">
        <v>2401</v>
      </c>
      <c r="L1466">
        <v>1695</v>
      </c>
      <c r="M1466">
        <v>3108</v>
      </c>
      <c r="N1466">
        <v>7.4</v>
      </c>
      <c r="O1466">
        <v>5.7</v>
      </c>
      <c r="P1466">
        <v>9.1</v>
      </c>
      <c r="Q1466">
        <f t="shared" si="44"/>
        <v>12569321</v>
      </c>
      <c r="R1466">
        <f t="shared" si="43"/>
        <v>19.102066054323856</v>
      </c>
      <c r="U1466">
        <v>2316</v>
      </c>
      <c r="V1466">
        <v>1609</v>
      </c>
      <c r="W1466">
        <v>3023</v>
      </c>
      <c r="X1466">
        <v>2511</v>
      </c>
      <c r="Y1466">
        <v>48</v>
      </c>
      <c r="Z1466">
        <v>38.5</v>
      </c>
      <c r="AA1466">
        <v>57.4</v>
      </c>
    </row>
    <row r="1467" spans="1:27" x14ac:dyDescent="0.25">
      <c r="A1467" t="s">
        <v>238</v>
      </c>
      <c r="B1467" t="s">
        <v>174</v>
      </c>
      <c r="C1467" s="76">
        <v>43993</v>
      </c>
      <c r="D1467">
        <v>20023</v>
      </c>
      <c r="E1467">
        <v>15159</v>
      </c>
      <c r="F1467">
        <v>24888</v>
      </c>
      <c r="G1467">
        <v>12068</v>
      </c>
      <c r="H1467">
        <v>62.4</v>
      </c>
      <c r="I1467">
        <v>58.7</v>
      </c>
      <c r="J1467">
        <v>66.099999999999994</v>
      </c>
      <c r="K1467">
        <v>2454</v>
      </c>
      <c r="L1467">
        <v>1787</v>
      </c>
      <c r="M1467">
        <v>3121</v>
      </c>
      <c r="N1467">
        <v>7.6</v>
      </c>
      <c r="O1467">
        <v>6.5</v>
      </c>
      <c r="P1467">
        <v>8.8000000000000007</v>
      </c>
      <c r="Q1467">
        <f t="shared" si="44"/>
        <v>12569321</v>
      </c>
      <c r="R1467">
        <f t="shared" si="43"/>
        <v>19.523727654023634</v>
      </c>
      <c r="U1467">
        <v>2412</v>
      </c>
      <c r="V1467">
        <v>1696</v>
      </c>
      <c r="W1467">
        <v>3128</v>
      </c>
      <c r="X1467">
        <v>2475</v>
      </c>
      <c r="Y1467">
        <v>49.4</v>
      </c>
      <c r="Z1467">
        <v>43</v>
      </c>
      <c r="AA1467">
        <v>55.7</v>
      </c>
    </row>
    <row r="1468" spans="1:27" x14ac:dyDescent="0.25">
      <c r="A1468" t="s">
        <v>238</v>
      </c>
      <c r="B1468" t="s">
        <v>174</v>
      </c>
      <c r="C1468" s="76">
        <v>43994</v>
      </c>
      <c r="D1468">
        <v>19373</v>
      </c>
      <c r="E1468">
        <v>14697</v>
      </c>
      <c r="F1468">
        <v>24049</v>
      </c>
      <c r="G1468">
        <v>12756</v>
      </c>
      <c r="H1468">
        <v>60.3</v>
      </c>
      <c r="I1468">
        <v>56.8</v>
      </c>
      <c r="J1468">
        <v>63.8</v>
      </c>
      <c r="K1468">
        <v>2249</v>
      </c>
      <c r="L1468">
        <v>1637</v>
      </c>
      <c r="M1468">
        <v>2861</v>
      </c>
      <c r="N1468">
        <v>7</v>
      </c>
      <c r="O1468">
        <v>5.8</v>
      </c>
      <c r="P1468">
        <v>8.1999999999999993</v>
      </c>
      <c r="Q1468">
        <f t="shared" si="44"/>
        <v>12569321</v>
      </c>
      <c r="R1468">
        <f t="shared" si="43"/>
        <v>17.892772409901855</v>
      </c>
      <c r="U1468">
        <v>2369</v>
      </c>
      <c r="V1468">
        <v>1643</v>
      </c>
      <c r="W1468">
        <v>3096</v>
      </c>
      <c r="X1468">
        <v>2474</v>
      </c>
      <c r="Y1468">
        <v>48.9</v>
      </c>
      <c r="Z1468">
        <v>42.9</v>
      </c>
      <c r="AA1468">
        <v>54.9</v>
      </c>
    </row>
    <row r="1469" spans="1:27" x14ac:dyDescent="0.25">
      <c r="A1469" t="s">
        <v>238</v>
      </c>
      <c r="B1469" t="s">
        <v>174</v>
      </c>
      <c r="C1469" s="76">
        <v>43995</v>
      </c>
      <c r="D1469">
        <v>18231</v>
      </c>
      <c r="E1469">
        <v>13807</v>
      </c>
      <c r="F1469">
        <v>22655</v>
      </c>
      <c r="G1469">
        <v>13144</v>
      </c>
      <c r="H1469">
        <v>58.1</v>
      </c>
      <c r="I1469">
        <v>54.5</v>
      </c>
      <c r="J1469">
        <v>61.8</v>
      </c>
      <c r="K1469">
        <v>2026</v>
      </c>
      <c r="L1469">
        <v>1461</v>
      </c>
      <c r="M1469">
        <v>2591</v>
      </c>
      <c r="N1469">
        <v>6.5</v>
      </c>
      <c r="O1469">
        <v>5.4</v>
      </c>
      <c r="P1469">
        <v>7.6</v>
      </c>
      <c r="Q1469">
        <f t="shared" si="44"/>
        <v>12569321</v>
      </c>
      <c r="R1469">
        <f t="shared" si="43"/>
        <v>16.118611339466945</v>
      </c>
      <c r="U1469">
        <v>2478</v>
      </c>
      <c r="V1469">
        <v>1722</v>
      </c>
      <c r="W1469">
        <v>3234</v>
      </c>
      <c r="X1469">
        <v>2270</v>
      </c>
      <c r="Y1469">
        <v>52.2</v>
      </c>
      <c r="Z1469">
        <v>47.7</v>
      </c>
      <c r="AA1469">
        <v>56.6</v>
      </c>
    </row>
    <row r="1470" spans="1:27" x14ac:dyDescent="0.25">
      <c r="A1470" t="s">
        <v>238</v>
      </c>
      <c r="B1470" t="s">
        <v>174</v>
      </c>
      <c r="C1470" s="76">
        <v>43996</v>
      </c>
      <c r="D1470">
        <v>17521</v>
      </c>
      <c r="E1470">
        <v>13263</v>
      </c>
      <c r="F1470">
        <v>21779</v>
      </c>
      <c r="G1470">
        <v>13901</v>
      </c>
      <c r="H1470">
        <v>55.8</v>
      </c>
      <c r="I1470">
        <v>52.2</v>
      </c>
      <c r="J1470">
        <v>59.3</v>
      </c>
      <c r="K1470">
        <v>2100</v>
      </c>
      <c r="L1470">
        <v>1519</v>
      </c>
      <c r="M1470">
        <v>2681</v>
      </c>
      <c r="N1470">
        <v>6.7</v>
      </c>
      <c r="O1470">
        <v>5.6</v>
      </c>
      <c r="P1470">
        <v>7.8</v>
      </c>
      <c r="Q1470">
        <f t="shared" si="44"/>
        <v>12569321</v>
      </c>
      <c r="R1470">
        <f t="shared" si="43"/>
        <v>16.707346403198709</v>
      </c>
      <c r="U1470">
        <v>2416</v>
      </c>
      <c r="V1470">
        <v>1678</v>
      </c>
      <c r="W1470">
        <v>3153</v>
      </c>
      <c r="X1470">
        <v>2342</v>
      </c>
      <c r="Y1470">
        <v>50.8</v>
      </c>
      <c r="Z1470">
        <v>46.4</v>
      </c>
      <c r="AA1470">
        <v>55.1</v>
      </c>
    </row>
    <row r="1471" spans="1:27" x14ac:dyDescent="0.25">
      <c r="A1471" t="s">
        <v>238</v>
      </c>
      <c r="B1471" t="s">
        <v>174</v>
      </c>
      <c r="C1471" s="76">
        <v>43997</v>
      </c>
      <c r="D1471">
        <v>17574</v>
      </c>
      <c r="E1471">
        <v>13347</v>
      </c>
      <c r="F1471">
        <v>21801</v>
      </c>
      <c r="G1471">
        <v>13492</v>
      </c>
      <c r="H1471">
        <v>56.6</v>
      </c>
      <c r="I1471">
        <v>52.9</v>
      </c>
      <c r="J1471">
        <v>60.2</v>
      </c>
      <c r="K1471">
        <v>2050</v>
      </c>
      <c r="L1471">
        <v>1492</v>
      </c>
      <c r="M1471">
        <v>2607</v>
      </c>
      <c r="N1471">
        <v>6.6</v>
      </c>
      <c r="O1471">
        <v>5.5</v>
      </c>
      <c r="P1471">
        <v>7.7</v>
      </c>
      <c r="Q1471">
        <f t="shared" si="44"/>
        <v>12569321</v>
      </c>
      <c r="R1471">
        <f t="shared" si="43"/>
        <v>16.309552441217786</v>
      </c>
      <c r="U1471">
        <v>2458</v>
      </c>
      <c r="V1471">
        <v>1748</v>
      </c>
      <c r="W1471">
        <v>3168</v>
      </c>
      <c r="X1471">
        <v>2331</v>
      </c>
      <c r="Y1471">
        <v>51.3</v>
      </c>
      <c r="Z1471">
        <v>47.5</v>
      </c>
      <c r="AA1471">
        <v>55.1</v>
      </c>
    </row>
    <row r="1472" spans="1:27" x14ac:dyDescent="0.25">
      <c r="A1472" t="s">
        <v>238</v>
      </c>
      <c r="B1472" t="s">
        <v>174</v>
      </c>
      <c r="C1472" s="76">
        <v>43998</v>
      </c>
      <c r="D1472">
        <v>18938</v>
      </c>
      <c r="E1472">
        <v>14426</v>
      </c>
      <c r="F1472">
        <v>23449</v>
      </c>
      <c r="G1472">
        <v>12909</v>
      </c>
      <c r="H1472">
        <v>59.5</v>
      </c>
      <c r="I1472">
        <v>55.3</v>
      </c>
      <c r="J1472">
        <v>63.6</v>
      </c>
      <c r="K1472">
        <v>1991</v>
      </c>
      <c r="L1472">
        <v>1449</v>
      </c>
      <c r="M1472">
        <v>2532</v>
      </c>
      <c r="N1472">
        <v>6.3</v>
      </c>
      <c r="O1472">
        <v>5.2</v>
      </c>
      <c r="P1472">
        <v>7.4</v>
      </c>
      <c r="Q1472">
        <f t="shared" si="44"/>
        <v>12569321</v>
      </c>
      <c r="R1472">
        <f t="shared" si="43"/>
        <v>15.8401555660803</v>
      </c>
      <c r="U1472">
        <v>2363</v>
      </c>
      <c r="V1472">
        <v>1664</v>
      </c>
      <c r="W1472">
        <v>3062</v>
      </c>
      <c r="X1472">
        <v>2435</v>
      </c>
      <c r="Y1472">
        <v>49.3</v>
      </c>
      <c r="Z1472">
        <v>43.2</v>
      </c>
      <c r="AA1472">
        <v>55.3</v>
      </c>
    </row>
    <row r="1473" spans="1:27" x14ac:dyDescent="0.25">
      <c r="A1473" t="s">
        <v>238</v>
      </c>
      <c r="B1473" t="s">
        <v>174</v>
      </c>
      <c r="C1473" s="76">
        <v>43999</v>
      </c>
      <c r="D1473">
        <v>19768</v>
      </c>
      <c r="E1473">
        <v>14706</v>
      </c>
      <c r="F1473">
        <v>24830</v>
      </c>
      <c r="G1473">
        <v>12950</v>
      </c>
      <c r="H1473">
        <v>60.4</v>
      </c>
      <c r="I1473">
        <v>54.5</v>
      </c>
      <c r="J1473">
        <v>66.3</v>
      </c>
      <c r="K1473">
        <v>1847</v>
      </c>
      <c r="L1473">
        <v>1309</v>
      </c>
      <c r="M1473">
        <v>2385</v>
      </c>
      <c r="N1473">
        <v>5.6</v>
      </c>
      <c r="O1473">
        <v>4.3</v>
      </c>
      <c r="P1473">
        <v>7</v>
      </c>
      <c r="Q1473">
        <f t="shared" si="44"/>
        <v>12569321</v>
      </c>
      <c r="R1473">
        <f t="shared" si="43"/>
        <v>14.694508955575246</v>
      </c>
      <c r="U1473">
        <v>2400</v>
      </c>
      <c r="V1473">
        <v>1692</v>
      </c>
      <c r="W1473">
        <v>3107</v>
      </c>
      <c r="X1473">
        <v>2690</v>
      </c>
      <c r="Y1473">
        <v>47.1</v>
      </c>
      <c r="Z1473">
        <v>36.5</v>
      </c>
      <c r="AA1473">
        <v>57.8</v>
      </c>
    </row>
    <row r="1474" spans="1:27" x14ac:dyDescent="0.25">
      <c r="A1474" t="s">
        <v>238</v>
      </c>
      <c r="B1474" t="s">
        <v>174</v>
      </c>
      <c r="C1474" s="76">
        <v>44000</v>
      </c>
      <c r="D1474">
        <v>19657</v>
      </c>
      <c r="E1474">
        <v>14988</v>
      </c>
      <c r="F1474">
        <v>24326</v>
      </c>
      <c r="G1474">
        <v>11930</v>
      </c>
      <c r="H1474">
        <v>62.2</v>
      </c>
      <c r="I1474">
        <v>58.5</v>
      </c>
      <c r="J1474">
        <v>65.900000000000006</v>
      </c>
      <c r="K1474">
        <v>1923</v>
      </c>
      <c r="L1474">
        <v>1397</v>
      </c>
      <c r="M1474">
        <v>2449</v>
      </c>
      <c r="N1474">
        <v>6.1</v>
      </c>
      <c r="O1474">
        <v>5.0999999999999996</v>
      </c>
      <c r="P1474">
        <v>7.1</v>
      </c>
      <c r="Q1474">
        <f t="shared" si="44"/>
        <v>12569321</v>
      </c>
      <c r="R1474">
        <f t="shared" si="43"/>
        <v>15.299155777786247</v>
      </c>
      <c r="U1474">
        <v>2588</v>
      </c>
      <c r="V1474">
        <v>1839</v>
      </c>
      <c r="W1474">
        <v>3337</v>
      </c>
      <c r="X1474">
        <v>2104</v>
      </c>
      <c r="Y1474">
        <v>55.1</v>
      </c>
      <c r="Z1474">
        <v>49.3</v>
      </c>
      <c r="AA1474">
        <v>61</v>
      </c>
    </row>
    <row r="1475" spans="1:27" x14ac:dyDescent="0.25">
      <c r="A1475" t="s">
        <v>238</v>
      </c>
      <c r="B1475" t="s">
        <v>174</v>
      </c>
      <c r="C1475" s="76">
        <v>44001</v>
      </c>
      <c r="D1475">
        <v>19391</v>
      </c>
      <c r="E1475">
        <v>14770</v>
      </c>
      <c r="F1475">
        <v>24012</v>
      </c>
      <c r="G1475">
        <v>12510</v>
      </c>
      <c r="H1475">
        <v>60.8</v>
      </c>
      <c r="I1475">
        <v>57.2</v>
      </c>
      <c r="J1475">
        <v>64.400000000000006</v>
      </c>
      <c r="K1475">
        <v>1797</v>
      </c>
      <c r="L1475">
        <v>1300</v>
      </c>
      <c r="M1475">
        <v>2294</v>
      </c>
      <c r="N1475">
        <v>5.6</v>
      </c>
      <c r="O1475">
        <v>4.7</v>
      </c>
      <c r="P1475">
        <v>6.6</v>
      </c>
      <c r="Q1475">
        <f t="shared" si="44"/>
        <v>12569321</v>
      </c>
      <c r="R1475">
        <f t="shared" si="43"/>
        <v>14.296714993594325</v>
      </c>
      <c r="U1475">
        <v>2506</v>
      </c>
      <c r="V1475">
        <v>1779</v>
      </c>
      <c r="W1475">
        <v>3232</v>
      </c>
      <c r="X1475">
        <v>2352</v>
      </c>
      <c r="Y1475">
        <v>51.6</v>
      </c>
      <c r="Z1475">
        <v>47.5</v>
      </c>
      <c r="AA1475">
        <v>55.6</v>
      </c>
    </row>
    <row r="1476" spans="1:27" x14ac:dyDescent="0.25">
      <c r="A1476" t="s">
        <v>238</v>
      </c>
      <c r="B1476" t="s">
        <v>174</v>
      </c>
      <c r="C1476" s="76">
        <v>44002</v>
      </c>
      <c r="D1476">
        <v>18847</v>
      </c>
      <c r="E1476">
        <v>14347</v>
      </c>
      <c r="F1476">
        <v>23348</v>
      </c>
      <c r="G1476">
        <v>13257</v>
      </c>
      <c r="H1476">
        <v>58.7</v>
      </c>
      <c r="I1476">
        <v>54.9</v>
      </c>
      <c r="J1476">
        <v>62.5</v>
      </c>
      <c r="K1476">
        <v>1495</v>
      </c>
      <c r="L1476">
        <v>1089</v>
      </c>
      <c r="M1476">
        <v>1901</v>
      </c>
      <c r="N1476">
        <v>4.7</v>
      </c>
      <c r="O1476">
        <v>3.8</v>
      </c>
      <c r="P1476">
        <v>5.5</v>
      </c>
      <c r="Q1476">
        <f t="shared" si="44"/>
        <v>12569321</v>
      </c>
      <c r="R1476">
        <f t="shared" si="43"/>
        <v>11.894039463229557</v>
      </c>
      <c r="U1476">
        <v>2271</v>
      </c>
      <c r="V1476">
        <v>1586</v>
      </c>
      <c r="W1476">
        <v>2957</v>
      </c>
      <c r="X1476">
        <v>2569</v>
      </c>
      <c r="Y1476">
        <v>46.9</v>
      </c>
      <c r="Z1476">
        <v>41.9</v>
      </c>
      <c r="AA1476">
        <v>51.9</v>
      </c>
    </row>
    <row r="1477" spans="1:27" x14ac:dyDescent="0.25">
      <c r="A1477" t="s">
        <v>238</v>
      </c>
      <c r="B1477" t="s">
        <v>174</v>
      </c>
      <c r="C1477" s="76">
        <v>44003</v>
      </c>
      <c r="D1477">
        <v>17579</v>
      </c>
      <c r="E1477">
        <v>13403</v>
      </c>
      <c r="F1477">
        <v>21755</v>
      </c>
      <c r="G1477">
        <v>14043</v>
      </c>
      <c r="H1477">
        <v>55.6</v>
      </c>
      <c r="I1477">
        <v>52.3</v>
      </c>
      <c r="J1477">
        <v>58.9</v>
      </c>
      <c r="K1477">
        <v>1720</v>
      </c>
      <c r="L1477">
        <v>1269</v>
      </c>
      <c r="M1477">
        <v>2170</v>
      </c>
      <c r="N1477">
        <v>5.4</v>
      </c>
      <c r="O1477">
        <v>4.5999999999999996</v>
      </c>
      <c r="P1477">
        <v>6.3</v>
      </c>
      <c r="Q1477">
        <f t="shared" si="44"/>
        <v>12569321</v>
      </c>
      <c r="R1477">
        <f t="shared" ref="R1477:R1540" si="45">K1477/(Q1477)*100000</f>
        <v>13.684112292143704</v>
      </c>
      <c r="U1477">
        <v>2273</v>
      </c>
      <c r="V1477">
        <v>1598</v>
      </c>
      <c r="W1477">
        <v>2947</v>
      </c>
      <c r="X1477">
        <v>2477</v>
      </c>
      <c r="Y1477">
        <v>47.8</v>
      </c>
      <c r="Z1477">
        <v>43.3</v>
      </c>
      <c r="AA1477">
        <v>52.4</v>
      </c>
    </row>
    <row r="1478" spans="1:27" x14ac:dyDescent="0.25">
      <c r="A1478" t="s">
        <v>238</v>
      </c>
      <c r="B1478" t="s">
        <v>174</v>
      </c>
      <c r="C1478" s="76">
        <v>44004</v>
      </c>
      <c r="D1478">
        <v>17585</v>
      </c>
      <c r="E1478">
        <v>13404</v>
      </c>
      <c r="F1478">
        <v>21766</v>
      </c>
      <c r="G1478">
        <v>13693</v>
      </c>
      <c r="H1478">
        <v>56.2</v>
      </c>
      <c r="I1478">
        <v>53.1</v>
      </c>
      <c r="J1478">
        <v>59.3</v>
      </c>
      <c r="K1478">
        <v>1649</v>
      </c>
      <c r="L1478">
        <v>1213</v>
      </c>
      <c r="M1478">
        <v>2086</v>
      </c>
      <c r="N1478">
        <v>5.3</v>
      </c>
      <c r="O1478">
        <v>4.4000000000000004</v>
      </c>
      <c r="P1478">
        <v>6.1</v>
      </c>
      <c r="Q1478">
        <f t="shared" si="44"/>
        <v>12569321</v>
      </c>
      <c r="R1478">
        <f t="shared" si="45"/>
        <v>13.119244866130796</v>
      </c>
      <c r="U1478">
        <v>2264</v>
      </c>
      <c r="V1478">
        <v>1585</v>
      </c>
      <c r="W1478">
        <v>2942</v>
      </c>
      <c r="X1478">
        <v>2523</v>
      </c>
      <c r="Y1478">
        <v>47.3</v>
      </c>
      <c r="Z1478">
        <v>42.9</v>
      </c>
      <c r="AA1478">
        <v>51.6</v>
      </c>
    </row>
    <row r="1479" spans="1:27" x14ac:dyDescent="0.25">
      <c r="A1479" t="s">
        <v>238</v>
      </c>
      <c r="B1479" t="s">
        <v>174</v>
      </c>
      <c r="C1479" s="76">
        <v>44005</v>
      </c>
      <c r="D1479">
        <v>19034</v>
      </c>
      <c r="E1479">
        <v>14526</v>
      </c>
      <c r="F1479">
        <v>23542</v>
      </c>
      <c r="G1479">
        <v>12198</v>
      </c>
      <c r="H1479">
        <v>60.9</v>
      </c>
      <c r="I1479">
        <v>57.6</v>
      </c>
      <c r="J1479">
        <v>64.3</v>
      </c>
      <c r="K1479">
        <v>1631</v>
      </c>
      <c r="L1479">
        <v>1192</v>
      </c>
      <c r="M1479">
        <v>2070</v>
      </c>
      <c r="N1479">
        <v>5.2</v>
      </c>
      <c r="O1479">
        <v>4.4000000000000004</v>
      </c>
      <c r="P1479">
        <v>6.1</v>
      </c>
      <c r="Q1479">
        <f t="shared" si="44"/>
        <v>12569321</v>
      </c>
      <c r="R1479">
        <f t="shared" si="45"/>
        <v>12.976039039817662</v>
      </c>
      <c r="U1479">
        <v>2499</v>
      </c>
      <c r="V1479">
        <v>1767</v>
      </c>
      <c r="W1479">
        <v>3231</v>
      </c>
      <c r="X1479">
        <v>2245</v>
      </c>
      <c r="Y1479">
        <v>52.7</v>
      </c>
      <c r="Z1479">
        <v>48.7</v>
      </c>
      <c r="AA1479">
        <v>56.7</v>
      </c>
    </row>
    <row r="1480" spans="1:27" x14ac:dyDescent="0.25">
      <c r="A1480" t="s">
        <v>238</v>
      </c>
      <c r="B1480" t="s">
        <v>174</v>
      </c>
      <c r="C1480" s="76">
        <v>44006</v>
      </c>
      <c r="D1480">
        <v>20523</v>
      </c>
      <c r="E1480">
        <v>14648</v>
      </c>
      <c r="F1480">
        <v>26397</v>
      </c>
      <c r="G1480">
        <v>12723</v>
      </c>
      <c r="H1480">
        <v>61.7</v>
      </c>
      <c r="I1480">
        <v>58.4</v>
      </c>
      <c r="J1480">
        <v>65.099999999999994</v>
      </c>
      <c r="K1480">
        <v>1710</v>
      </c>
      <c r="L1480">
        <v>1185</v>
      </c>
      <c r="M1480">
        <v>2236</v>
      </c>
      <c r="N1480">
        <v>5.0999999999999996</v>
      </c>
      <c r="O1480">
        <v>4.3</v>
      </c>
      <c r="P1480">
        <v>6</v>
      </c>
      <c r="Q1480">
        <f t="shared" si="44"/>
        <v>12569321</v>
      </c>
      <c r="R1480">
        <f t="shared" si="45"/>
        <v>13.604553499747519</v>
      </c>
      <c r="U1480">
        <v>2770</v>
      </c>
      <c r="V1480">
        <v>1634</v>
      </c>
      <c r="W1480">
        <v>3907</v>
      </c>
      <c r="X1480">
        <v>2220</v>
      </c>
      <c r="Y1480">
        <v>55.5</v>
      </c>
      <c r="Z1480">
        <v>48.8</v>
      </c>
      <c r="AA1480">
        <v>62.2</v>
      </c>
    </row>
    <row r="1481" spans="1:27" x14ac:dyDescent="0.25">
      <c r="A1481" t="s">
        <v>238</v>
      </c>
      <c r="B1481" t="s">
        <v>174</v>
      </c>
      <c r="C1481" s="76">
        <v>44007</v>
      </c>
      <c r="D1481">
        <v>19249</v>
      </c>
      <c r="E1481">
        <v>14618</v>
      </c>
      <c r="F1481">
        <v>23879</v>
      </c>
      <c r="G1481">
        <v>11986</v>
      </c>
      <c r="H1481">
        <v>61.6</v>
      </c>
      <c r="I1481">
        <v>58.3</v>
      </c>
      <c r="J1481">
        <v>65</v>
      </c>
      <c r="K1481">
        <v>1580</v>
      </c>
      <c r="L1481">
        <v>1152</v>
      </c>
      <c r="M1481">
        <v>2007</v>
      </c>
      <c r="N1481">
        <v>5.0999999999999996</v>
      </c>
      <c r="O1481">
        <v>4.2</v>
      </c>
      <c r="P1481">
        <v>5.9</v>
      </c>
      <c r="Q1481">
        <f t="shared" si="44"/>
        <v>12569321</v>
      </c>
      <c r="R1481">
        <f t="shared" si="45"/>
        <v>12.570289198597125</v>
      </c>
      <c r="U1481">
        <v>2338</v>
      </c>
      <c r="V1481">
        <v>1654</v>
      </c>
      <c r="W1481">
        <v>3022</v>
      </c>
      <c r="X1481">
        <v>2386</v>
      </c>
      <c r="Y1481">
        <v>49.5</v>
      </c>
      <c r="Z1481">
        <v>45.3</v>
      </c>
      <c r="AA1481">
        <v>53.7</v>
      </c>
    </row>
    <row r="1482" spans="1:27" x14ac:dyDescent="0.25">
      <c r="A1482" t="s">
        <v>238</v>
      </c>
      <c r="B1482" t="s">
        <v>174</v>
      </c>
      <c r="C1482" s="76">
        <v>44008</v>
      </c>
      <c r="D1482">
        <v>18986</v>
      </c>
      <c r="E1482">
        <v>14228</v>
      </c>
      <c r="F1482">
        <v>23745</v>
      </c>
      <c r="G1482">
        <v>12637</v>
      </c>
      <c r="H1482">
        <v>60</v>
      </c>
      <c r="I1482">
        <v>56.4</v>
      </c>
      <c r="J1482">
        <v>63.7</v>
      </c>
      <c r="K1482">
        <v>1537</v>
      </c>
      <c r="L1482">
        <v>1055</v>
      </c>
      <c r="M1482">
        <v>2020</v>
      </c>
      <c r="N1482">
        <v>4.9000000000000004</v>
      </c>
      <c r="O1482">
        <v>3.9</v>
      </c>
      <c r="P1482">
        <v>5.8</v>
      </c>
      <c r="Q1482">
        <f t="shared" si="44"/>
        <v>12569321</v>
      </c>
      <c r="R1482">
        <f t="shared" si="45"/>
        <v>12.228186391293532</v>
      </c>
      <c r="U1482">
        <v>2550</v>
      </c>
      <c r="V1482">
        <v>1744</v>
      </c>
      <c r="W1482">
        <v>3356</v>
      </c>
      <c r="X1482">
        <v>2187</v>
      </c>
      <c r="Y1482">
        <v>53.8</v>
      </c>
      <c r="Z1482">
        <v>48.7</v>
      </c>
      <c r="AA1482">
        <v>58.9</v>
      </c>
    </row>
    <row r="1483" spans="1:27" x14ac:dyDescent="0.25">
      <c r="A1483" t="s">
        <v>238</v>
      </c>
      <c r="B1483" t="s">
        <v>174</v>
      </c>
      <c r="C1483" s="76">
        <v>44009</v>
      </c>
      <c r="D1483">
        <v>17714</v>
      </c>
      <c r="E1483">
        <v>13412</v>
      </c>
      <c r="F1483">
        <v>22015</v>
      </c>
      <c r="G1483">
        <v>13353</v>
      </c>
      <c r="H1483">
        <v>57</v>
      </c>
      <c r="I1483">
        <v>53.5</v>
      </c>
      <c r="J1483">
        <v>60.5</v>
      </c>
      <c r="K1483">
        <v>1333</v>
      </c>
      <c r="L1483">
        <v>963</v>
      </c>
      <c r="M1483">
        <v>1704</v>
      </c>
      <c r="N1483">
        <v>4.3</v>
      </c>
      <c r="O1483">
        <v>3.5</v>
      </c>
      <c r="P1483">
        <v>5.0999999999999996</v>
      </c>
      <c r="Q1483">
        <f t="shared" si="44"/>
        <v>12569321</v>
      </c>
      <c r="R1483">
        <f t="shared" si="45"/>
        <v>10.60518702641137</v>
      </c>
      <c r="U1483">
        <v>2390</v>
      </c>
      <c r="V1483">
        <v>1651</v>
      </c>
      <c r="W1483">
        <v>3129</v>
      </c>
      <c r="X1483">
        <v>2315</v>
      </c>
      <c r="Y1483">
        <v>50.8</v>
      </c>
      <c r="Z1483">
        <v>45.4</v>
      </c>
      <c r="AA1483">
        <v>56.2</v>
      </c>
    </row>
    <row r="1484" spans="1:27" x14ac:dyDescent="0.25">
      <c r="A1484" t="s">
        <v>238</v>
      </c>
      <c r="B1484" t="s">
        <v>174</v>
      </c>
      <c r="C1484" s="76">
        <v>44010</v>
      </c>
      <c r="D1484">
        <v>16992</v>
      </c>
      <c r="E1484">
        <v>12732</v>
      </c>
      <c r="F1484">
        <v>21252</v>
      </c>
      <c r="G1484">
        <v>14207</v>
      </c>
      <c r="H1484">
        <v>54.5</v>
      </c>
      <c r="I1484">
        <v>51.1</v>
      </c>
      <c r="J1484">
        <v>57.9</v>
      </c>
      <c r="K1484">
        <v>1444</v>
      </c>
      <c r="L1484">
        <v>1026</v>
      </c>
      <c r="M1484">
        <v>1861</v>
      </c>
      <c r="N1484">
        <v>4.5999999999999996</v>
      </c>
      <c r="O1484">
        <v>3.7</v>
      </c>
      <c r="P1484">
        <v>5.6</v>
      </c>
      <c r="Q1484">
        <f t="shared" si="44"/>
        <v>12569321</v>
      </c>
      <c r="R1484">
        <f t="shared" si="45"/>
        <v>11.488289622009017</v>
      </c>
      <c r="U1484">
        <v>2196</v>
      </c>
      <c r="V1484">
        <v>1499</v>
      </c>
      <c r="W1484">
        <v>2893</v>
      </c>
      <c r="X1484">
        <v>2589</v>
      </c>
      <c r="Y1484">
        <v>45.9</v>
      </c>
      <c r="Z1484">
        <v>40.799999999999997</v>
      </c>
      <c r="AA1484">
        <v>50.9</v>
      </c>
    </row>
    <row r="1485" spans="1:27" x14ac:dyDescent="0.25">
      <c r="A1485" t="s">
        <v>238</v>
      </c>
      <c r="B1485" t="s">
        <v>174</v>
      </c>
      <c r="C1485" s="76">
        <v>44011</v>
      </c>
      <c r="D1485">
        <v>17930</v>
      </c>
      <c r="E1485">
        <v>10748</v>
      </c>
      <c r="F1485">
        <v>25113</v>
      </c>
      <c r="G1485">
        <v>13553</v>
      </c>
      <c r="H1485">
        <v>57</v>
      </c>
      <c r="I1485">
        <v>52.4</v>
      </c>
      <c r="J1485">
        <v>61.5</v>
      </c>
      <c r="K1485">
        <v>1468</v>
      </c>
      <c r="L1485">
        <v>875</v>
      </c>
      <c r="M1485">
        <v>2060</v>
      </c>
      <c r="N1485">
        <v>4.7</v>
      </c>
      <c r="O1485">
        <v>3.4</v>
      </c>
      <c r="P1485">
        <v>5.9</v>
      </c>
      <c r="Q1485">
        <f t="shared" si="44"/>
        <v>12569321</v>
      </c>
      <c r="R1485">
        <f t="shared" si="45"/>
        <v>11.67923072375986</v>
      </c>
      <c r="U1485">
        <v>2677</v>
      </c>
      <c r="V1485">
        <v>1275</v>
      </c>
      <c r="W1485">
        <v>4079</v>
      </c>
      <c r="X1485">
        <v>2754</v>
      </c>
      <c r="Y1485">
        <v>49.3</v>
      </c>
      <c r="Z1485">
        <v>43.3</v>
      </c>
      <c r="AA1485">
        <v>55.3</v>
      </c>
    </row>
    <row r="1486" spans="1:27" x14ac:dyDescent="0.25">
      <c r="A1486" t="s">
        <v>238</v>
      </c>
      <c r="B1486" t="s">
        <v>174</v>
      </c>
      <c r="C1486" s="76">
        <v>44012</v>
      </c>
      <c r="D1486">
        <v>19585</v>
      </c>
      <c r="E1486">
        <v>11882</v>
      </c>
      <c r="F1486">
        <v>27288</v>
      </c>
      <c r="G1486">
        <v>13004</v>
      </c>
      <c r="H1486">
        <v>60.1</v>
      </c>
      <c r="I1486">
        <v>55.6</v>
      </c>
      <c r="J1486">
        <v>64.599999999999994</v>
      </c>
      <c r="K1486">
        <v>1473</v>
      </c>
      <c r="L1486">
        <v>837</v>
      </c>
      <c r="M1486">
        <v>2109</v>
      </c>
      <c r="N1486">
        <v>4.5</v>
      </c>
      <c r="O1486">
        <v>3.2</v>
      </c>
      <c r="P1486">
        <v>5.8</v>
      </c>
      <c r="Q1486">
        <f t="shared" si="44"/>
        <v>12569321</v>
      </c>
      <c r="R1486">
        <f t="shared" si="45"/>
        <v>11.719010119957952</v>
      </c>
      <c r="U1486">
        <v>2945</v>
      </c>
      <c r="V1486">
        <v>1453</v>
      </c>
      <c r="W1486">
        <v>4438</v>
      </c>
      <c r="X1486">
        <v>2909</v>
      </c>
      <c r="Y1486">
        <v>50.3</v>
      </c>
      <c r="Z1486">
        <v>45.2</v>
      </c>
      <c r="AA1486">
        <v>55.5</v>
      </c>
    </row>
    <row r="1487" spans="1:27" x14ac:dyDescent="0.25">
      <c r="A1487" t="s">
        <v>238</v>
      </c>
      <c r="B1487" t="s">
        <v>174</v>
      </c>
      <c r="C1487" s="76">
        <v>44013</v>
      </c>
      <c r="D1487">
        <v>18625</v>
      </c>
      <c r="E1487">
        <v>10701</v>
      </c>
      <c r="F1487">
        <v>26548</v>
      </c>
      <c r="G1487">
        <v>12824</v>
      </c>
      <c r="H1487">
        <v>59.2</v>
      </c>
      <c r="I1487">
        <v>53.4</v>
      </c>
      <c r="J1487">
        <v>65.099999999999994</v>
      </c>
      <c r="K1487">
        <v>1164</v>
      </c>
      <c r="L1487">
        <v>643</v>
      </c>
      <c r="M1487">
        <v>1685</v>
      </c>
      <c r="N1487">
        <v>3.7</v>
      </c>
      <c r="O1487">
        <v>2.8</v>
      </c>
      <c r="P1487">
        <v>4.5999999999999996</v>
      </c>
      <c r="Q1487">
        <f t="shared" si="44"/>
        <v>12569321</v>
      </c>
      <c r="R1487">
        <f t="shared" si="45"/>
        <v>9.2606434349158562</v>
      </c>
      <c r="U1487">
        <v>3191</v>
      </c>
      <c r="V1487">
        <v>1432</v>
      </c>
      <c r="W1487">
        <v>4950</v>
      </c>
      <c r="X1487">
        <v>2740</v>
      </c>
      <c r="Y1487">
        <v>53.8</v>
      </c>
      <c r="Z1487">
        <v>48.2</v>
      </c>
      <c r="AA1487">
        <v>59.4</v>
      </c>
    </row>
    <row r="1488" spans="1:27" x14ac:dyDescent="0.25">
      <c r="A1488" t="s">
        <v>238</v>
      </c>
      <c r="B1488" t="s">
        <v>174</v>
      </c>
      <c r="C1488" s="76">
        <v>44014</v>
      </c>
      <c r="D1488">
        <v>18810</v>
      </c>
      <c r="E1488">
        <v>10922</v>
      </c>
      <c r="F1488">
        <v>26698</v>
      </c>
      <c r="G1488">
        <v>14045</v>
      </c>
      <c r="H1488">
        <v>57.3</v>
      </c>
      <c r="I1488">
        <v>51.7</v>
      </c>
      <c r="J1488">
        <v>62.8</v>
      </c>
      <c r="K1488">
        <v>1208</v>
      </c>
      <c r="L1488">
        <v>668</v>
      </c>
      <c r="M1488">
        <v>1749</v>
      </c>
      <c r="N1488">
        <v>3.7</v>
      </c>
      <c r="O1488">
        <v>2.7</v>
      </c>
      <c r="P1488">
        <v>4.5999999999999996</v>
      </c>
      <c r="Q1488">
        <f t="shared" si="44"/>
        <v>12569321</v>
      </c>
      <c r="R1488">
        <f t="shared" si="45"/>
        <v>9.6107021214590667</v>
      </c>
      <c r="U1488">
        <v>3145</v>
      </c>
      <c r="V1488">
        <v>1399</v>
      </c>
      <c r="W1488">
        <v>4892</v>
      </c>
      <c r="X1488">
        <v>2842</v>
      </c>
      <c r="Y1488">
        <v>52.5</v>
      </c>
      <c r="Z1488">
        <v>46.1</v>
      </c>
      <c r="AA1488">
        <v>59</v>
      </c>
    </row>
    <row r="1489" spans="1:27" x14ac:dyDescent="0.25">
      <c r="A1489" t="s">
        <v>238</v>
      </c>
      <c r="B1489" t="s">
        <v>174</v>
      </c>
      <c r="C1489" s="76">
        <v>44015</v>
      </c>
      <c r="D1489">
        <v>18718</v>
      </c>
      <c r="E1489">
        <v>10580</v>
      </c>
      <c r="F1489">
        <v>26855</v>
      </c>
      <c r="G1489">
        <v>14682</v>
      </c>
      <c r="H1489">
        <v>56</v>
      </c>
      <c r="I1489">
        <v>50</v>
      </c>
      <c r="J1489">
        <v>62.1</v>
      </c>
      <c r="K1489">
        <v>1177</v>
      </c>
      <c r="L1489">
        <v>641</v>
      </c>
      <c r="M1489">
        <v>1713</v>
      </c>
      <c r="N1489">
        <v>3.5</v>
      </c>
      <c r="O1489">
        <v>2.7</v>
      </c>
      <c r="P1489">
        <v>4.4000000000000004</v>
      </c>
      <c r="Q1489">
        <f t="shared" si="44"/>
        <v>12569321</v>
      </c>
      <c r="R1489">
        <f t="shared" si="45"/>
        <v>9.3640698650308956</v>
      </c>
      <c r="U1489">
        <v>3258</v>
      </c>
      <c r="V1489">
        <v>1425</v>
      </c>
      <c r="W1489">
        <v>5092</v>
      </c>
      <c r="X1489">
        <v>3009</v>
      </c>
      <c r="Y1489">
        <v>52</v>
      </c>
      <c r="Z1489">
        <v>45.6</v>
      </c>
      <c r="AA1489">
        <v>58.3</v>
      </c>
    </row>
    <row r="1490" spans="1:27" x14ac:dyDescent="0.25">
      <c r="A1490" t="s">
        <v>238</v>
      </c>
      <c r="B1490" t="s">
        <v>174</v>
      </c>
      <c r="C1490" s="76">
        <v>44016</v>
      </c>
      <c r="D1490">
        <v>17449</v>
      </c>
      <c r="E1490">
        <v>9788</v>
      </c>
      <c r="F1490">
        <v>25110</v>
      </c>
      <c r="G1490">
        <v>15715</v>
      </c>
      <c r="H1490">
        <v>52.6</v>
      </c>
      <c r="I1490">
        <v>46.6</v>
      </c>
      <c r="J1490">
        <v>58.6</v>
      </c>
      <c r="K1490">
        <v>1177</v>
      </c>
      <c r="L1490">
        <v>630</v>
      </c>
      <c r="M1490">
        <v>1724</v>
      </c>
      <c r="N1490">
        <v>3.5</v>
      </c>
      <c r="O1490">
        <v>2.7</v>
      </c>
      <c r="P1490">
        <v>4.4000000000000004</v>
      </c>
      <c r="Q1490">
        <f t="shared" si="44"/>
        <v>12569321</v>
      </c>
      <c r="R1490">
        <f t="shared" si="45"/>
        <v>9.3640698650308956</v>
      </c>
      <c r="U1490">
        <v>3095</v>
      </c>
      <c r="V1490">
        <v>1323</v>
      </c>
      <c r="W1490">
        <v>4867</v>
      </c>
      <c r="X1490">
        <v>3168</v>
      </c>
      <c r="Y1490">
        <v>49.4</v>
      </c>
      <c r="Z1490">
        <v>42.6</v>
      </c>
      <c r="AA1490">
        <v>56.2</v>
      </c>
    </row>
    <row r="1491" spans="1:27" x14ac:dyDescent="0.25">
      <c r="A1491" t="s">
        <v>238</v>
      </c>
      <c r="B1491" t="s">
        <v>174</v>
      </c>
      <c r="C1491" s="76">
        <v>44017</v>
      </c>
      <c r="D1491">
        <v>17033</v>
      </c>
      <c r="E1491">
        <v>9680</v>
      </c>
      <c r="F1491">
        <v>24386</v>
      </c>
      <c r="G1491">
        <v>16114</v>
      </c>
      <c r="H1491">
        <v>51.4</v>
      </c>
      <c r="I1491">
        <v>45.7</v>
      </c>
      <c r="J1491">
        <v>57.1</v>
      </c>
      <c r="K1491">
        <v>1241</v>
      </c>
      <c r="L1491">
        <v>677</v>
      </c>
      <c r="M1491">
        <v>1806</v>
      </c>
      <c r="N1491">
        <v>3.7</v>
      </c>
      <c r="O1491">
        <v>2.9</v>
      </c>
      <c r="P1491">
        <v>4.5999999999999996</v>
      </c>
      <c r="Q1491">
        <f t="shared" si="44"/>
        <v>12569321</v>
      </c>
      <c r="R1491">
        <f t="shared" si="45"/>
        <v>9.8732461363664754</v>
      </c>
      <c r="U1491">
        <v>3074</v>
      </c>
      <c r="V1491">
        <v>1334</v>
      </c>
      <c r="W1491">
        <v>4813</v>
      </c>
      <c r="X1491">
        <v>3164</v>
      </c>
      <c r="Y1491">
        <v>49.3</v>
      </c>
      <c r="Z1491">
        <v>43</v>
      </c>
      <c r="AA1491">
        <v>55.5</v>
      </c>
    </row>
    <row r="1492" spans="1:27" x14ac:dyDescent="0.25">
      <c r="A1492" t="s">
        <v>238</v>
      </c>
      <c r="B1492" t="s">
        <v>174</v>
      </c>
      <c r="C1492" s="76">
        <v>44018</v>
      </c>
      <c r="D1492">
        <v>18096</v>
      </c>
      <c r="E1492">
        <v>10309</v>
      </c>
      <c r="F1492">
        <v>25883</v>
      </c>
      <c r="G1492">
        <v>15143</v>
      </c>
      <c r="H1492">
        <v>54.4</v>
      </c>
      <c r="I1492">
        <v>48.9</v>
      </c>
      <c r="J1492">
        <v>60</v>
      </c>
      <c r="K1492">
        <v>1280</v>
      </c>
      <c r="L1492">
        <v>717</v>
      </c>
      <c r="M1492">
        <v>1843</v>
      </c>
      <c r="N1492">
        <v>3.9</v>
      </c>
      <c r="O1492">
        <v>2.9</v>
      </c>
      <c r="P1492">
        <v>4.8</v>
      </c>
      <c r="Q1492">
        <f t="shared" si="44"/>
        <v>12569321</v>
      </c>
      <c r="R1492">
        <f t="shared" si="45"/>
        <v>10.183525426711594</v>
      </c>
      <c r="U1492">
        <v>3167</v>
      </c>
      <c r="V1492">
        <v>1406</v>
      </c>
      <c r="W1492">
        <v>4928</v>
      </c>
      <c r="X1492">
        <v>3057</v>
      </c>
      <c r="Y1492">
        <v>50.9</v>
      </c>
      <c r="Z1492">
        <v>45</v>
      </c>
      <c r="AA1492">
        <v>56.8</v>
      </c>
    </row>
    <row r="1493" spans="1:27" x14ac:dyDescent="0.25">
      <c r="A1493" t="s">
        <v>238</v>
      </c>
      <c r="B1493" t="s">
        <v>174</v>
      </c>
      <c r="C1493" s="76">
        <v>44019</v>
      </c>
      <c r="D1493">
        <v>19524</v>
      </c>
      <c r="E1493">
        <v>11237</v>
      </c>
      <c r="F1493">
        <v>27810</v>
      </c>
      <c r="G1493">
        <v>13132</v>
      </c>
      <c r="H1493">
        <v>59.8</v>
      </c>
      <c r="I1493">
        <v>54.1</v>
      </c>
      <c r="J1493">
        <v>65.5</v>
      </c>
      <c r="K1493">
        <v>1353</v>
      </c>
      <c r="L1493">
        <v>753</v>
      </c>
      <c r="M1493">
        <v>1954</v>
      </c>
      <c r="N1493">
        <v>4.0999999999999996</v>
      </c>
      <c r="O1493">
        <v>3.2</v>
      </c>
      <c r="P1493">
        <v>5.0999999999999996</v>
      </c>
      <c r="Q1493">
        <f t="shared" si="44"/>
        <v>12569321</v>
      </c>
      <c r="R1493">
        <f t="shared" si="45"/>
        <v>10.764304611203739</v>
      </c>
      <c r="U1493">
        <v>3501</v>
      </c>
      <c r="V1493">
        <v>1595</v>
      </c>
      <c r="W1493">
        <v>5408</v>
      </c>
      <c r="X1493">
        <v>2640</v>
      </c>
      <c r="Y1493">
        <v>57</v>
      </c>
      <c r="Z1493">
        <v>51.7</v>
      </c>
      <c r="AA1493">
        <v>62.3</v>
      </c>
    </row>
    <row r="1494" spans="1:27" x14ac:dyDescent="0.25">
      <c r="A1494" t="s">
        <v>239</v>
      </c>
      <c r="B1494" t="s">
        <v>188</v>
      </c>
      <c r="C1494" s="76">
        <v>43922</v>
      </c>
      <c r="D1494">
        <v>7964</v>
      </c>
      <c r="E1494">
        <v>4074</v>
      </c>
      <c r="F1494">
        <v>11854</v>
      </c>
      <c r="G1494">
        <v>8138</v>
      </c>
      <c r="H1494">
        <v>49.5</v>
      </c>
      <c r="I1494">
        <v>43</v>
      </c>
      <c r="J1494">
        <v>55.9</v>
      </c>
      <c r="K1494">
        <v>2161</v>
      </c>
      <c r="L1494">
        <v>964</v>
      </c>
      <c r="M1494">
        <v>3357</v>
      </c>
      <c r="N1494">
        <v>13.4</v>
      </c>
      <c r="O1494">
        <v>10.1</v>
      </c>
      <c r="P1494">
        <v>16.7</v>
      </c>
      <c r="Q1494">
        <f t="shared" si="44"/>
        <v>6805663</v>
      </c>
      <c r="R1494">
        <f t="shared" si="45"/>
        <v>31.752968079671298</v>
      </c>
      <c r="U1494">
        <v>1291</v>
      </c>
      <c r="V1494">
        <v>461</v>
      </c>
      <c r="W1494">
        <v>2121</v>
      </c>
      <c r="X1494">
        <v>1039</v>
      </c>
      <c r="Y1494">
        <v>55.4</v>
      </c>
      <c r="Z1494">
        <v>42.3</v>
      </c>
      <c r="AA1494">
        <v>68.5</v>
      </c>
    </row>
    <row r="1495" spans="1:27" x14ac:dyDescent="0.25">
      <c r="A1495" t="s">
        <v>239</v>
      </c>
      <c r="B1495" t="s">
        <v>188</v>
      </c>
      <c r="C1495" s="76">
        <v>43923</v>
      </c>
      <c r="D1495">
        <v>8234</v>
      </c>
      <c r="E1495">
        <v>4236</v>
      </c>
      <c r="F1495">
        <v>12231</v>
      </c>
      <c r="G1495">
        <v>8437</v>
      </c>
      <c r="H1495">
        <v>49.4</v>
      </c>
      <c r="I1495">
        <v>42.7</v>
      </c>
      <c r="J1495">
        <v>56.1</v>
      </c>
      <c r="K1495">
        <v>2224</v>
      </c>
      <c r="L1495">
        <v>1022</v>
      </c>
      <c r="M1495">
        <v>3426</v>
      </c>
      <c r="N1495">
        <v>13.3</v>
      </c>
      <c r="O1495">
        <v>10.1</v>
      </c>
      <c r="P1495">
        <v>16.5</v>
      </c>
      <c r="Q1495">
        <f t="shared" si="44"/>
        <v>6805663</v>
      </c>
      <c r="R1495">
        <f t="shared" si="45"/>
        <v>32.67866775066588</v>
      </c>
      <c r="U1495">
        <v>1423</v>
      </c>
      <c r="V1495">
        <v>518</v>
      </c>
      <c r="W1495">
        <v>2328</v>
      </c>
      <c r="X1495">
        <v>997</v>
      </c>
      <c r="Y1495">
        <v>58.8</v>
      </c>
      <c r="Z1495">
        <v>46.9</v>
      </c>
      <c r="AA1495">
        <v>70.7</v>
      </c>
    </row>
    <row r="1496" spans="1:27" x14ac:dyDescent="0.25">
      <c r="A1496" t="s">
        <v>239</v>
      </c>
      <c r="B1496" t="s">
        <v>188</v>
      </c>
      <c r="C1496" s="76">
        <v>43924</v>
      </c>
      <c r="D1496">
        <v>8020</v>
      </c>
      <c r="E1496">
        <v>4103</v>
      </c>
      <c r="F1496">
        <v>11937</v>
      </c>
      <c r="G1496">
        <v>8372</v>
      </c>
      <c r="H1496">
        <v>48.9</v>
      </c>
      <c r="I1496">
        <v>42.2</v>
      </c>
      <c r="J1496">
        <v>55.6</v>
      </c>
      <c r="K1496">
        <v>2249</v>
      </c>
      <c r="L1496">
        <v>1067</v>
      </c>
      <c r="M1496">
        <v>3431</v>
      </c>
      <c r="N1496">
        <v>13.7</v>
      </c>
      <c r="O1496">
        <v>10.8</v>
      </c>
      <c r="P1496">
        <v>16.600000000000001</v>
      </c>
      <c r="Q1496">
        <f t="shared" si="44"/>
        <v>6805663</v>
      </c>
      <c r="R1496">
        <f t="shared" si="45"/>
        <v>33.046008889949448</v>
      </c>
      <c r="U1496">
        <v>1361</v>
      </c>
      <c r="V1496">
        <v>483</v>
      </c>
      <c r="W1496">
        <v>2239</v>
      </c>
      <c r="X1496">
        <v>991</v>
      </c>
      <c r="Y1496">
        <v>57.9</v>
      </c>
      <c r="Z1496">
        <v>46.6</v>
      </c>
      <c r="AA1496">
        <v>69.099999999999994</v>
      </c>
    </row>
    <row r="1497" spans="1:27" x14ac:dyDescent="0.25">
      <c r="A1497" t="s">
        <v>239</v>
      </c>
      <c r="B1497" t="s">
        <v>188</v>
      </c>
      <c r="C1497" s="76">
        <v>43925</v>
      </c>
      <c r="D1497">
        <v>8221</v>
      </c>
      <c r="E1497">
        <v>4609</v>
      </c>
      <c r="F1497">
        <v>11833</v>
      </c>
      <c r="G1497">
        <v>9623</v>
      </c>
      <c r="H1497">
        <v>46.1</v>
      </c>
      <c r="I1497">
        <v>40.1</v>
      </c>
      <c r="J1497">
        <v>52.1</v>
      </c>
      <c r="K1497">
        <v>2467</v>
      </c>
      <c r="L1497">
        <v>1236</v>
      </c>
      <c r="M1497">
        <v>3699</v>
      </c>
      <c r="N1497">
        <v>13.8</v>
      </c>
      <c r="O1497">
        <v>10.7</v>
      </c>
      <c r="P1497">
        <v>17</v>
      </c>
      <c r="Q1497">
        <f t="shared" si="44"/>
        <v>6805663</v>
      </c>
      <c r="R1497">
        <f t="shared" si="45"/>
        <v>36.249223624502122</v>
      </c>
      <c r="U1497">
        <v>1632</v>
      </c>
      <c r="V1497">
        <v>672</v>
      </c>
      <c r="W1497">
        <v>2591</v>
      </c>
      <c r="X1497">
        <v>1395</v>
      </c>
      <c r="Y1497">
        <v>53.9</v>
      </c>
      <c r="Z1497">
        <v>39.9</v>
      </c>
      <c r="AA1497">
        <v>67.900000000000006</v>
      </c>
    </row>
    <row r="1498" spans="1:27" x14ac:dyDescent="0.25">
      <c r="A1498" t="s">
        <v>239</v>
      </c>
      <c r="B1498" t="s">
        <v>188</v>
      </c>
      <c r="C1498" s="76">
        <v>43926</v>
      </c>
      <c r="D1498">
        <v>8148</v>
      </c>
      <c r="E1498">
        <v>4437</v>
      </c>
      <c r="F1498">
        <v>11858</v>
      </c>
      <c r="G1498">
        <v>9602</v>
      </c>
      <c r="H1498">
        <v>45.9</v>
      </c>
      <c r="I1498">
        <v>39.299999999999997</v>
      </c>
      <c r="J1498">
        <v>52.5</v>
      </c>
      <c r="K1498">
        <v>2507</v>
      </c>
      <c r="L1498">
        <v>1235</v>
      </c>
      <c r="M1498">
        <v>3780</v>
      </c>
      <c r="N1498">
        <v>14.1</v>
      </c>
      <c r="O1498">
        <v>10.7</v>
      </c>
      <c r="P1498">
        <v>17.600000000000001</v>
      </c>
      <c r="Q1498">
        <f t="shared" si="44"/>
        <v>6805663</v>
      </c>
      <c r="R1498">
        <f t="shared" si="45"/>
        <v>36.836969447355827</v>
      </c>
      <c r="U1498">
        <v>1605</v>
      </c>
      <c r="V1498">
        <v>655</v>
      </c>
      <c r="W1498">
        <v>2554</v>
      </c>
      <c r="X1498">
        <v>1372</v>
      </c>
      <c r="Y1498">
        <v>53.9</v>
      </c>
      <c r="Z1498">
        <v>39.9</v>
      </c>
      <c r="AA1498">
        <v>67.900000000000006</v>
      </c>
    </row>
    <row r="1499" spans="1:27" x14ac:dyDescent="0.25">
      <c r="A1499" t="s">
        <v>239</v>
      </c>
      <c r="B1499" t="s">
        <v>188</v>
      </c>
      <c r="C1499" s="76">
        <v>43927</v>
      </c>
      <c r="D1499">
        <v>8402</v>
      </c>
      <c r="E1499">
        <v>5347</v>
      </c>
      <c r="F1499">
        <v>11457</v>
      </c>
      <c r="G1499">
        <v>10395</v>
      </c>
      <c r="H1499">
        <v>44.7</v>
      </c>
      <c r="I1499">
        <v>40.1</v>
      </c>
      <c r="J1499">
        <v>49.3</v>
      </c>
      <c r="K1499">
        <v>2707</v>
      </c>
      <c r="L1499">
        <v>1464</v>
      </c>
      <c r="M1499">
        <v>3949</v>
      </c>
      <c r="N1499">
        <v>14.4</v>
      </c>
      <c r="O1499">
        <v>10.199999999999999</v>
      </c>
      <c r="P1499">
        <v>18.600000000000001</v>
      </c>
      <c r="Q1499">
        <f t="shared" si="44"/>
        <v>6805663</v>
      </c>
      <c r="R1499">
        <f t="shared" si="45"/>
        <v>39.775698561624345</v>
      </c>
      <c r="U1499">
        <v>1958</v>
      </c>
      <c r="V1499">
        <v>956</v>
      </c>
      <c r="W1499">
        <v>2960</v>
      </c>
      <c r="X1499">
        <v>1470</v>
      </c>
      <c r="Y1499">
        <v>57.1</v>
      </c>
      <c r="Z1499">
        <v>49.6</v>
      </c>
      <c r="AA1499">
        <v>64.599999999999994</v>
      </c>
    </row>
    <row r="1500" spans="1:27" x14ac:dyDescent="0.25">
      <c r="A1500" t="s">
        <v>239</v>
      </c>
      <c r="B1500" t="s">
        <v>188</v>
      </c>
      <c r="C1500" s="76">
        <v>43928</v>
      </c>
      <c r="D1500">
        <v>8468</v>
      </c>
      <c r="E1500">
        <v>5415</v>
      </c>
      <c r="F1500">
        <v>11520</v>
      </c>
      <c r="G1500">
        <v>10723</v>
      </c>
      <c r="H1500">
        <v>44.1</v>
      </c>
      <c r="I1500">
        <v>39.5</v>
      </c>
      <c r="J1500">
        <v>48.8</v>
      </c>
      <c r="K1500">
        <v>1966</v>
      </c>
      <c r="L1500">
        <v>1173</v>
      </c>
      <c r="M1500">
        <v>2759</v>
      </c>
      <c r="N1500">
        <v>10.199999999999999</v>
      </c>
      <c r="O1500">
        <v>7.6</v>
      </c>
      <c r="P1500">
        <v>12.9</v>
      </c>
      <c r="Q1500">
        <f t="shared" si="44"/>
        <v>6805663</v>
      </c>
      <c r="R1500">
        <f t="shared" si="45"/>
        <v>28.887707193259498</v>
      </c>
      <c r="U1500">
        <v>1807</v>
      </c>
      <c r="V1500">
        <v>877</v>
      </c>
      <c r="W1500">
        <v>2738</v>
      </c>
      <c r="X1500">
        <v>1476</v>
      </c>
      <c r="Y1500">
        <v>55</v>
      </c>
      <c r="Z1500">
        <v>47.7</v>
      </c>
      <c r="AA1500">
        <v>62.4</v>
      </c>
    </row>
    <row r="1501" spans="1:27" x14ac:dyDescent="0.25">
      <c r="A1501" t="s">
        <v>239</v>
      </c>
      <c r="B1501" t="s">
        <v>188</v>
      </c>
      <c r="C1501" s="76">
        <v>43929</v>
      </c>
      <c r="D1501">
        <v>8938</v>
      </c>
      <c r="E1501">
        <v>5749</v>
      </c>
      <c r="F1501">
        <v>12126</v>
      </c>
      <c r="G1501">
        <v>10181</v>
      </c>
      <c r="H1501">
        <v>46.7</v>
      </c>
      <c r="I1501">
        <v>42.1</v>
      </c>
      <c r="J1501">
        <v>51.4</v>
      </c>
      <c r="K1501">
        <v>2169</v>
      </c>
      <c r="L1501">
        <v>1299</v>
      </c>
      <c r="M1501">
        <v>3040</v>
      </c>
      <c r="N1501">
        <v>11.3</v>
      </c>
      <c r="O1501">
        <v>8.5</v>
      </c>
      <c r="P1501">
        <v>14.2</v>
      </c>
      <c r="Q1501">
        <f t="shared" si="44"/>
        <v>6805663</v>
      </c>
      <c r="R1501">
        <f t="shared" si="45"/>
        <v>31.870517244242038</v>
      </c>
      <c r="U1501">
        <v>1904</v>
      </c>
      <c r="V1501">
        <v>978</v>
      </c>
      <c r="W1501">
        <v>2830</v>
      </c>
      <c r="X1501">
        <v>1281</v>
      </c>
      <c r="Y1501">
        <v>59.8</v>
      </c>
      <c r="Z1501">
        <v>53.4</v>
      </c>
      <c r="AA1501">
        <v>66.099999999999994</v>
      </c>
    </row>
    <row r="1502" spans="1:27" x14ac:dyDescent="0.25">
      <c r="A1502" t="s">
        <v>239</v>
      </c>
      <c r="B1502" t="s">
        <v>188</v>
      </c>
      <c r="C1502" s="76">
        <v>43930</v>
      </c>
      <c r="D1502">
        <v>8560</v>
      </c>
      <c r="E1502">
        <v>5591</v>
      </c>
      <c r="F1502">
        <v>11528</v>
      </c>
      <c r="G1502">
        <v>10000</v>
      </c>
      <c r="H1502">
        <v>46.1</v>
      </c>
      <c r="I1502">
        <v>41</v>
      </c>
      <c r="J1502">
        <v>51.3</v>
      </c>
      <c r="K1502">
        <v>1968</v>
      </c>
      <c r="L1502">
        <v>1165</v>
      </c>
      <c r="M1502">
        <v>2772</v>
      </c>
      <c r="N1502">
        <v>10.6</v>
      </c>
      <c r="O1502">
        <v>8</v>
      </c>
      <c r="P1502">
        <v>13.2</v>
      </c>
      <c r="Q1502">
        <f t="shared" si="44"/>
        <v>6805663</v>
      </c>
      <c r="R1502">
        <f t="shared" si="45"/>
        <v>28.917094484402181</v>
      </c>
      <c r="U1502">
        <v>1873</v>
      </c>
      <c r="V1502">
        <v>1027</v>
      </c>
      <c r="W1502">
        <v>2719</v>
      </c>
      <c r="X1502">
        <v>1235</v>
      </c>
      <c r="Y1502">
        <v>60.3</v>
      </c>
      <c r="Z1502">
        <v>54.1</v>
      </c>
      <c r="AA1502">
        <v>66.400000000000006</v>
      </c>
    </row>
    <row r="1503" spans="1:27" x14ac:dyDescent="0.25">
      <c r="A1503" t="s">
        <v>239</v>
      </c>
      <c r="B1503" t="s">
        <v>188</v>
      </c>
      <c r="C1503" s="76">
        <v>43931</v>
      </c>
      <c r="D1503">
        <v>8575</v>
      </c>
      <c r="E1503">
        <v>5699</v>
      </c>
      <c r="F1503">
        <v>11450</v>
      </c>
      <c r="G1503">
        <v>10347</v>
      </c>
      <c r="H1503">
        <v>45.3</v>
      </c>
      <c r="I1503">
        <v>40.700000000000003</v>
      </c>
      <c r="J1503">
        <v>49.9</v>
      </c>
      <c r="K1503">
        <v>1766</v>
      </c>
      <c r="L1503">
        <v>1059</v>
      </c>
      <c r="M1503">
        <v>2472</v>
      </c>
      <c r="N1503">
        <v>9.3000000000000007</v>
      </c>
      <c r="O1503">
        <v>7</v>
      </c>
      <c r="P1503">
        <v>11.6</v>
      </c>
      <c r="Q1503">
        <f t="shared" si="44"/>
        <v>6805663</v>
      </c>
      <c r="R1503">
        <f t="shared" si="45"/>
        <v>25.948978078990983</v>
      </c>
      <c r="U1503">
        <v>2111</v>
      </c>
      <c r="V1503">
        <v>1140</v>
      </c>
      <c r="W1503">
        <v>3081</v>
      </c>
      <c r="X1503">
        <v>1446</v>
      </c>
      <c r="Y1503">
        <v>59.3</v>
      </c>
      <c r="Z1503">
        <v>53.9</v>
      </c>
      <c r="AA1503">
        <v>64.8</v>
      </c>
    </row>
    <row r="1504" spans="1:27" x14ac:dyDescent="0.25">
      <c r="A1504" t="s">
        <v>239</v>
      </c>
      <c r="B1504" t="s">
        <v>188</v>
      </c>
      <c r="C1504" s="76">
        <v>43932</v>
      </c>
      <c r="D1504">
        <v>8352</v>
      </c>
      <c r="E1504">
        <v>5533</v>
      </c>
      <c r="F1504">
        <v>11170</v>
      </c>
      <c r="G1504">
        <v>10455</v>
      </c>
      <c r="H1504">
        <v>44.4</v>
      </c>
      <c r="I1504">
        <v>39.9</v>
      </c>
      <c r="J1504">
        <v>48.9</v>
      </c>
      <c r="K1504">
        <v>1819</v>
      </c>
      <c r="L1504">
        <v>1136</v>
      </c>
      <c r="M1504">
        <v>2503</v>
      </c>
      <c r="N1504">
        <v>9.6999999999999993</v>
      </c>
      <c r="O1504">
        <v>7.5</v>
      </c>
      <c r="P1504">
        <v>11.8</v>
      </c>
      <c r="Q1504">
        <f t="shared" si="44"/>
        <v>6805663</v>
      </c>
      <c r="R1504">
        <f t="shared" si="45"/>
        <v>26.727741294272136</v>
      </c>
      <c r="U1504">
        <v>2072</v>
      </c>
      <c r="V1504">
        <v>1102</v>
      </c>
      <c r="W1504">
        <v>3041</v>
      </c>
      <c r="X1504">
        <v>1478</v>
      </c>
      <c r="Y1504">
        <v>58.4</v>
      </c>
      <c r="Z1504">
        <v>52.4</v>
      </c>
      <c r="AA1504">
        <v>64.3</v>
      </c>
    </row>
    <row r="1505" spans="1:27" x14ac:dyDescent="0.25">
      <c r="A1505" t="s">
        <v>239</v>
      </c>
      <c r="B1505" t="s">
        <v>188</v>
      </c>
      <c r="C1505" s="76">
        <v>43933</v>
      </c>
      <c r="D1505">
        <v>8491</v>
      </c>
      <c r="E1505">
        <v>5554</v>
      </c>
      <c r="F1505">
        <v>11428</v>
      </c>
      <c r="G1505">
        <v>10318</v>
      </c>
      <c r="H1505">
        <v>45.1</v>
      </c>
      <c r="I1505">
        <v>40.700000000000003</v>
      </c>
      <c r="J1505">
        <v>49.6</v>
      </c>
      <c r="K1505">
        <v>1790</v>
      </c>
      <c r="L1505">
        <v>1083</v>
      </c>
      <c r="M1505">
        <v>2497</v>
      </c>
      <c r="N1505">
        <v>9.5</v>
      </c>
      <c r="O1505">
        <v>7.1</v>
      </c>
      <c r="P1505">
        <v>11.9</v>
      </c>
      <c r="Q1505">
        <f t="shared" si="44"/>
        <v>6805663</v>
      </c>
      <c r="R1505">
        <f t="shared" si="45"/>
        <v>26.301625572703202</v>
      </c>
      <c r="U1505">
        <v>1792</v>
      </c>
      <c r="V1505">
        <v>955</v>
      </c>
      <c r="W1505">
        <v>2628</v>
      </c>
      <c r="X1505">
        <v>1230</v>
      </c>
      <c r="Y1505">
        <v>59.3</v>
      </c>
      <c r="Z1505">
        <v>52.1</v>
      </c>
      <c r="AA1505">
        <v>66.5</v>
      </c>
    </row>
    <row r="1506" spans="1:27" x14ac:dyDescent="0.25">
      <c r="A1506" t="s">
        <v>239</v>
      </c>
      <c r="B1506" t="s">
        <v>188</v>
      </c>
      <c r="C1506" s="76">
        <v>43934</v>
      </c>
      <c r="D1506">
        <v>8722</v>
      </c>
      <c r="E1506">
        <v>5863</v>
      </c>
      <c r="F1506">
        <v>11582</v>
      </c>
      <c r="G1506">
        <v>9946</v>
      </c>
      <c r="H1506">
        <v>46.7</v>
      </c>
      <c r="I1506">
        <v>42.7</v>
      </c>
      <c r="J1506">
        <v>50.7</v>
      </c>
      <c r="K1506">
        <v>1995</v>
      </c>
      <c r="L1506">
        <v>1221</v>
      </c>
      <c r="M1506">
        <v>2768</v>
      </c>
      <c r="N1506">
        <v>10.7</v>
      </c>
      <c r="O1506">
        <v>8.1999999999999993</v>
      </c>
      <c r="P1506">
        <v>13.1</v>
      </c>
      <c r="Q1506">
        <f t="shared" si="44"/>
        <v>6805663</v>
      </c>
      <c r="R1506">
        <f t="shared" si="45"/>
        <v>29.313822914828432</v>
      </c>
      <c r="U1506">
        <v>1898</v>
      </c>
      <c r="V1506">
        <v>1071</v>
      </c>
      <c r="W1506">
        <v>2725</v>
      </c>
      <c r="X1506">
        <v>1473</v>
      </c>
      <c r="Y1506">
        <v>56.3</v>
      </c>
      <c r="Z1506">
        <v>50.1</v>
      </c>
      <c r="AA1506">
        <v>62.5</v>
      </c>
    </row>
    <row r="1507" spans="1:27" x14ac:dyDescent="0.25">
      <c r="A1507" t="s">
        <v>239</v>
      </c>
      <c r="B1507" t="s">
        <v>188</v>
      </c>
      <c r="C1507" s="76">
        <v>43935</v>
      </c>
      <c r="D1507">
        <v>8741</v>
      </c>
      <c r="E1507">
        <v>5993</v>
      </c>
      <c r="F1507">
        <v>11488</v>
      </c>
      <c r="G1507">
        <v>10270</v>
      </c>
      <c r="H1507">
        <v>46</v>
      </c>
      <c r="I1507">
        <v>41.9</v>
      </c>
      <c r="J1507">
        <v>50</v>
      </c>
      <c r="K1507">
        <v>1980</v>
      </c>
      <c r="L1507">
        <v>1268</v>
      </c>
      <c r="M1507">
        <v>2691</v>
      </c>
      <c r="N1507">
        <v>10.4</v>
      </c>
      <c r="O1507">
        <v>8.5</v>
      </c>
      <c r="P1507">
        <v>12.4</v>
      </c>
      <c r="Q1507">
        <f t="shared" si="44"/>
        <v>6805663</v>
      </c>
      <c r="R1507">
        <f t="shared" si="45"/>
        <v>29.093418231258291</v>
      </c>
      <c r="U1507">
        <v>1691</v>
      </c>
      <c r="V1507">
        <v>1002</v>
      </c>
      <c r="W1507">
        <v>2381</v>
      </c>
      <c r="X1507">
        <v>1409</v>
      </c>
      <c r="Y1507">
        <v>54.6</v>
      </c>
      <c r="Z1507">
        <v>47.6</v>
      </c>
      <c r="AA1507">
        <v>61.5</v>
      </c>
    </row>
    <row r="1508" spans="1:27" x14ac:dyDescent="0.25">
      <c r="A1508" t="s">
        <v>239</v>
      </c>
      <c r="B1508" t="s">
        <v>188</v>
      </c>
      <c r="C1508" s="76">
        <v>43936</v>
      </c>
      <c r="D1508">
        <v>8671</v>
      </c>
      <c r="E1508">
        <v>5926</v>
      </c>
      <c r="F1508">
        <v>11416</v>
      </c>
      <c r="G1508">
        <v>10460</v>
      </c>
      <c r="H1508">
        <v>45.3</v>
      </c>
      <c r="I1508">
        <v>40.299999999999997</v>
      </c>
      <c r="J1508">
        <v>50.3</v>
      </c>
      <c r="K1508">
        <v>1854</v>
      </c>
      <c r="L1508">
        <v>1186</v>
      </c>
      <c r="M1508">
        <v>2521</v>
      </c>
      <c r="N1508">
        <v>9.6999999999999993</v>
      </c>
      <c r="O1508">
        <v>7.8</v>
      </c>
      <c r="P1508">
        <v>11.5</v>
      </c>
      <c r="Q1508">
        <f t="shared" si="44"/>
        <v>6805663</v>
      </c>
      <c r="R1508">
        <f t="shared" si="45"/>
        <v>27.242018889269126</v>
      </c>
      <c r="U1508">
        <v>1620</v>
      </c>
      <c r="V1508">
        <v>957</v>
      </c>
      <c r="W1508">
        <v>2283</v>
      </c>
      <c r="X1508">
        <v>1518</v>
      </c>
      <c r="Y1508">
        <v>51.6</v>
      </c>
      <c r="Z1508">
        <v>44.3</v>
      </c>
      <c r="AA1508">
        <v>59</v>
      </c>
    </row>
    <row r="1509" spans="1:27" x14ac:dyDescent="0.25">
      <c r="A1509" t="s">
        <v>239</v>
      </c>
      <c r="B1509" t="s">
        <v>188</v>
      </c>
      <c r="C1509" s="76">
        <v>43937</v>
      </c>
      <c r="D1509">
        <v>9116</v>
      </c>
      <c r="E1509">
        <v>5581</v>
      </c>
      <c r="F1509">
        <v>12651</v>
      </c>
      <c r="G1509">
        <v>9867</v>
      </c>
      <c r="H1509">
        <v>48</v>
      </c>
      <c r="I1509">
        <v>41.8</v>
      </c>
      <c r="J1509">
        <v>54.2</v>
      </c>
      <c r="K1509">
        <v>1928</v>
      </c>
      <c r="L1509">
        <v>1123</v>
      </c>
      <c r="M1509">
        <v>2733</v>
      </c>
      <c r="N1509">
        <v>10.199999999999999</v>
      </c>
      <c r="O1509">
        <v>8.3000000000000007</v>
      </c>
      <c r="P1509">
        <v>12</v>
      </c>
      <c r="Q1509">
        <f t="shared" si="44"/>
        <v>6805663</v>
      </c>
      <c r="R1509">
        <f t="shared" si="45"/>
        <v>28.329348661548476</v>
      </c>
      <c r="U1509">
        <v>1668</v>
      </c>
      <c r="V1509">
        <v>831</v>
      </c>
      <c r="W1509">
        <v>2504</v>
      </c>
      <c r="X1509">
        <v>1519</v>
      </c>
      <c r="Y1509">
        <v>52.3</v>
      </c>
      <c r="Z1509">
        <v>43.7</v>
      </c>
      <c r="AA1509">
        <v>61</v>
      </c>
    </row>
    <row r="1510" spans="1:27" x14ac:dyDescent="0.25">
      <c r="A1510" t="s">
        <v>239</v>
      </c>
      <c r="B1510" t="s">
        <v>188</v>
      </c>
      <c r="C1510" s="76">
        <v>43938</v>
      </c>
      <c r="D1510">
        <v>9157</v>
      </c>
      <c r="E1510">
        <v>5343</v>
      </c>
      <c r="F1510">
        <v>12972</v>
      </c>
      <c r="G1510">
        <v>9500</v>
      </c>
      <c r="H1510">
        <v>49.1</v>
      </c>
      <c r="I1510">
        <v>41.8</v>
      </c>
      <c r="J1510">
        <v>56.4</v>
      </c>
      <c r="K1510">
        <v>1914</v>
      </c>
      <c r="L1510">
        <v>1045</v>
      </c>
      <c r="M1510">
        <v>2783</v>
      </c>
      <c r="N1510">
        <v>10.3</v>
      </c>
      <c r="O1510">
        <v>8.1999999999999993</v>
      </c>
      <c r="P1510">
        <v>12.3</v>
      </c>
      <c r="Q1510">
        <f t="shared" si="44"/>
        <v>6805663</v>
      </c>
      <c r="R1510">
        <f t="shared" si="45"/>
        <v>28.123637623549683</v>
      </c>
      <c r="U1510">
        <v>1732</v>
      </c>
      <c r="V1510">
        <v>811</v>
      </c>
      <c r="W1510">
        <v>2653</v>
      </c>
      <c r="X1510">
        <v>1442</v>
      </c>
      <c r="Y1510">
        <v>54.6</v>
      </c>
      <c r="Z1510">
        <v>44.6</v>
      </c>
      <c r="AA1510">
        <v>64.5</v>
      </c>
    </row>
    <row r="1511" spans="1:27" x14ac:dyDescent="0.25">
      <c r="A1511" t="s">
        <v>239</v>
      </c>
      <c r="B1511" t="s">
        <v>188</v>
      </c>
      <c r="C1511" s="76">
        <v>43939</v>
      </c>
      <c r="D1511">
        <v>8917</v>
      </c>
      <c r="E1511">
        <v>5080</v>
      </c>
      <c r="F1511">
        <v>12755</v>
      </c>
      <c r="G1511">
        <v>9439</v>
      </c>
      <c r="H1511">
        <v>48.6</v>
      </c>
      <c r="I1511">
        <v>40.6</v>
      </c>
      <c r="J1511">
        <v>56.6</v>
      </c>
      <c r="K1511">
        <v>1818</v>
      </c>
      <c r="L1511">
        <v>988</v>
      </c>
      <c r="M1511">
        <v>2649</v>
      </c>
      <c r="N1511">
        <v>9.9</v>
      </c>
      <c r="O1511">
        <v>7.8</v>
      </c>
      <c r="P1511">
        <v>12</v>
      </c>
      <c r="Q1511">
        <f t="shared" ref="Q1511:Q1574" si="46">VLOOKUP(B1511,$AE$4:$AF$55,2,FALSE)</f>
        <v>6805663</v>
      </c>
      <c r="R1511">
        <f t="shared" si="45"/>
        <v>26.713047648700798</v>
      </c>
      <c r="U1511">
        <v>1576</v>
      </c>
      <c r="V1511">
        <v>772</v>
      </c>
      <c r="W1511">
        <v>2380</v>
      </c>
      <c r="X1511">
        <v>1555</v>
      </c>
      <c r="Y1511">
        <v>50.3</v>
      </c>
      <c r="Z1511">
        <v>42.5</v>
      </c>
      <c r="AA1511">
        <v>58.2</v>
      </c>
    </row>
    <row r="1512" spans="1:27" x14ac:dyDescent="0.25">
      <c r="A1512" t="s">
        <v>239</v>
      </c>
      <c r="B1512" t="s">
        <v>188</v>
      </c>
      <c r="C1512" s="76">
        <v>43940</v>
      </c>
      <c r="D1512">
        <v>8875</v>
      </c>
      <c r="E1512">
        <v>5035</v>
      </c>
      <c r="F1512">
        <v>12714</v>
      </c>
      <c r="G1512">
        <v>9448</v>
      </c>
      <c r="H1512">
        <v>48.4</v>
      </c>
      <c r="I1512">
        <v>40.799999999999997</v>
      </c>
      <c r="J1512">
        <v>56.1</v>
      </c>
      <c r="K1512">
        <v>1781</v>
      </c>
      <c r="L1512">
        <v>957</v>
      </c>
      <c r="M1512">
        <v>2605</v>
      </c>
      <c r="N1512">
        <v>9.6999999999999993</v>
      </c>
      <c r="O1512">
        <v>7.6</v>
      </c>
      <c r="P1512">
        <v>11.9</v>
      </c>
      <c r="Q1512">
        <f t="shared" si="46"/>
        <v>6805663</v>
      </c>
      <c r="R1512">
        <f t="shared" si="45"/>
        <v>26.169382762561117</v>
      </c>
      <c r="U1512">
        <v>1594</v>
      </c>
      <c r="V1512">
        <v>768</v>
      </c>
      <c r="W1512">
        <v>2421</v>
      </c>
      <c r="X1512">
        <v>1496</v>
      </c>
      <c r="Y1512">
        <v>51.6</v>
      </c>
      <c r="Z1512">
        <v>42.3</v>
      </c>
      <c r="AA1512">
        <v>60.9</v>
      </c>
    </row>
    <row r="1513" spans="1:27" x14ac:dyDescent="0.25">
      <c r="A1513" t="s">
        <v>239</v>
      </c>
      <c r="B1513" t="s">
        <v>188</v>
      </c>
      <c r="C1513" s="76">
        <v>43941</v>
      </c>
      <c r="D1513">
        <v>8149</v>
      </c>
      <c r="E1513">
        <v>4812</v>
      </c>
      <c r="F1513">
        <v>11487</v>
      </c>
      <c r="G1513">
        <v>9924</v>
      </c>
      <c r="H1513">
        <v>45.1</v>
      </c>
      <c r="I1513">
        <v>38.9</v>
      </c>
      <c r="J1513">
        <v>51.3</v>
      </c>
      <c r="K1513">
        <v>1655</v>
      </c>
      <c r="L1513">
        <v>849</v>
      </c>
      <c r="M1513">
        <v>2461</v>
      </c>
      <c r="N1513">
        <v>9.1999999999999993</v>
      </c>
      <c r="O1513">
        <v>6.9</v>
      </c>
      <c r="P1513">
        <v>11.5</v>
      </c>
      <c r="Q1513">
        <f t="shared" si="46"/>
        <v>6805663</v>
      </c>
      <c r="R1513">
        <f t="shared" si="45"/>
        <v>24.317983420571956</v>
      </c>
      <c r="U1513">
        <v>1648</v>
      </c>
      <c r="V1513">
        <v>815</v>
      </c>
      <c r="W1513">
        <v>2482</v>
      </c>
      <c r="X1513">
        <v>1464</v>
      </c>
      <c r="Y1513">
        <v>53</v>
      </c>
      <c r="Z1513">
        <v>45</v>
      </c>
      <c r="AA1513">
        <v>60.9</v>
      </c>
    </row>
    <row r="1514" spans="1:27" x14ac:dyDescent="0.25">
      <c r="A1514" t="s">
        <v>239</v>
      </c>
      <c r="B1514" t="s">
        <v>188</v>
      </c>
      <c r="C1514" s="76">
        <v>43942</v>
      </c>
      <c r="D1514">
        <v>8452</v>
      </c>
      <c r="E1514">
        <v>5056</v>
      </c>
      <c r="F1514">
        <v>11848</v>
      </c>
      <c r="G1514">
        <v>9263</v>
      </c>
      <c r="H1514">
        <v>47.7</v>
      </c>
      <c r="I1514">
        <v>41.3</v>
      </c>
      <c r="J1514">
        <v>54.1</v>
      </c>
      <c r="K1514">
        <v>1832</v>
      </c>
      <c r="L1514">
        <v>990</v>
      </c>
      <c r="M1514">
        <v>2674</v>
      </c>
      <c r="N1514">
        <v>10.3</v>
      </c>
      <c r="O1514">
        <v>8.1</v>
      </c>
      <c r="P1514">
        <v>12.6</v>
      </c>
      <c r="Q1514">
        <f t="shared" si="46"/>
        <v>6805663</v>
      </c>
      <c r="R1514">
        <f t="shared" si="45"/>
        <v>26.91875868669959</v>
      </c>
      <c r="U1514">
        <v>1691</v>
      </c>
      <c r="V1514">
        <v>842</v>
      </c>
      <c r="W1514">
        <v>2541</v>
      </c>
      <c r="X1514">
        <v>1408</v>
      </c>
      <c r="Y1514">
        <v>54.6</v>
      </c>
      <c r="Z1514">
        <v>47</v>
      </c>
      <c r="AA1514">
        <v>62.1</v>
      </c>
    </row>
    <row r="1515" spans="1:27" x14ac:dyDescent="0.25">
      <c r="A1515" t="s">
        <v>239</v>
      </c>
      <c r="B1515" t="s">
        <v>188</v>
      </c>
      <c r="C1515" s="76">
        <v>43943</v>
      </c>
      <c r="D1515">
        <v>8375</v>
      </c>
      <c r="E1515">
        <v>5012</v>
      </c>
      <c r="F1515">
        <v>11737</v>
      </c>
      <c r="G1515">
        <v>9302</v>
      </c>
      <c r="H1515">
        <v>47.4</v>
      </c>
      <c r="I1515">
        <v>40.9</v>
      </c>
      <c r="J1515">
        <v>53.9</v>
      </c>
      <c r="K1515">
        <v>1735</v>
      </c>
      <c r="L1515">
        <v>947</v>
      </c>
      <c r="M1515">
        <v>2523</v>
      </c>
      <c r="N1515">
        <v>9.8000000000000007</v>
      </c>
      <c r="O1515">
        <v>7.5</v>
      </c>
      <c r="P1515">
        <v>12.1</v>
      </c>
      <c r="Q1515">
        <f t="shared" si="46"/>
        <v>6805663</v>
      </c>
      <c r="R1515">
        <f t="shared" si="45"/>
        <v>25.493475066279359</v>
      </c>
      <c r="U1515">
        <v>1665</v>
      </c>
      <c r="V1515">
        <v>822</v>
      </c>
      <c r="W1515">
        <v>2509</v>
      </c>
      <c r="X1515">
        <v>1434</v>
      </c>
      <c r="Y1515">
        <v>53.7</v>
      </c>
      <c r="Z1515">
        <v>45.3</v>
      </c>
      <c r="AA1515">
        <v>62.2</v>
      </c>
    </row>
    <row r="1516" spans="1:27" x14ac:dyDescent="0.25">
      <c r="A1516" t="s">
        <v>239</v>
      </c>
      <c r="B1516" t="s">
        <v>188</v>
      </c>
      <c r="C1516" s="76">
        <v>43944</v>
      </c>
      <c r="D1516">
        <v>8440</v>
      </c>
      <c r="E1516">
        <v>5030</v>
      </c>
      <c r="F1516">
        <v>11849</v>
      </c>
      <c r="G1516">
        <v>9346</v>
      </c>
      <c r="H1516">
        <v>47.5</v>
      </c>
      <c r="I1516">
        <v>40.700000000000003</v>
      </c>
      <c r="J1516">
        <v>54.2</v>
      </c>
      <c r="K1516">
        <v>1699</v>
      </c>
      <c r="L1516">
        <v>928</v>
      </c>
      <c r="M1516">
        <v>2471</v>
      </c>
      <c r="N1516">
        <v>9.6</v>
      </c>
      <c r="O1516">
        <v>7.2</v>
      </c>
      <c r="P1516">
        <v>11.9</v>
      </c>
      <c r="Q1516">
        <f t="shared" si="46"/>
        <v>6805663</v>
      </c>
      <c r="R1516">
        <f t="shared" si="45"/>
        <v>24.964503825711031</v>
      </c>
      <c r="U1516">
        <v>1657</v>
      </c>
      <c r="V1516">
        <v>801</v>
      </c>
      <c r="W1516">
        <v>2513</v>
      </c>
      <c r="X1516">
        <v>1475</v>
      </c>
      <c r="Y1516">
        <v>52.9</v>
      </c>
      <c r="Z1516">
        <v>43.8</v>
      </c>
      <c r="AA1516">
        <v>62</v>
      </c>
    </row>
    <row r="1517" spans="1:27" x14ac:dyDescent="0.25">
      <c r="A1517" t="s">
        <v>239</v>
      </c>
      <c r="B1517" t="s">
        <v>188</v>
      </c>
      <c r="C1517" s="76">
        <v>43945</v>
      </c>
      <c r="D1517">
        <v>8446</v>
      </c>
      <c r="E1517">
        <v>5147</v>
      </c>
      <c r="F1517">
        <v>11745</v>
      </c>
      <c r="G1517">
        <v>9399</v>
      </c>
      <c r="H1517">
        <v>47.3</v>
      </c>
      <c r="I1517">
        <v>40.799999999999997</v>
      </c>
      <c r="J1517">
        <v>53.8</v>
      </c>
      <c r="K1517">
        <v>1647</v>
      </c>
      <c r="L1517">
        <v>882</v>
      </c>
      <c r="M1517">
        <v>2413</v>
      </c>
      <c r="N1517">
        <v>9.1999999999999993</v>
      </c>
      <c r="O1517">
        <v>7</v>
      </c>
      <c r="P1517">
        <v>11.5</v>
      </c>
      <c r="Q1517">
        <f t="shared" si="46"/>
        <v>6805663</v>
      </c>
      <c r="R1517">
        <f t="shared" si="45"/>
        <v>24.200434256001216</v>
      </c>
      <c r="U1517">
        <v>1699</v>
      </c>
      <c r="V1517">
        <v>846</v>
      </c>
      <c r="W1517">
        <v>2553</v>
      </c>
      <c r="X1517">
        <v>1453</v>
      </c>
      <c r="Y1517">
        <v>53.9</v>
      </c>
      <c r="Z1517">
        <v>45.8</v>
      </c>
      <c r="AA1517">
        <v>62</v>
      </c>
    </row>
    <row r="1518" spans="1:27" x14ac:dyDescent="0.25">
      <c r="A1518" t="s">
        <v>239</v>
      </c>
      <c r="B1518" t="s">
        <v>188</v>
      </c>
      <c r="C1518" s="76">
        <v>43946</v>
      </c>
      <c r="D1518">
        <v>8489</v>
      </c>
      <c r="E1518">
        <v>5070</v>
      </c>
      <c r="F1518">
        <v>11909</v>
      </c>
      <c r="G1518">
        <v>9461</v>
      </c>
      <c r="H1518">
        <v>47.3</v>
      </c>
      <c r="I1518">
        <v>40.6</v>
      </c>
      <c r="J1518">
        <v>54</v>
      </c>
      <c r="K1518">
        <v>1697</v>
      </c>
      <c r="L1518">
        <v>916</v>
      </c>
      <c r="M1518">
        <v>2478</v>
      </c>
      <c r="N1518">
        <v>9.5</v>
      </c>
      <c r="O1518">
        <v>7.3</v>
      </c>
      <c r="P1518">
        <v>11.6</v>
      </c>
      <c r="Q1518">
        <f t="shared" si="46"/>
        <v>6805663</v>
      </c>
      <c r="R1518">
        <f t="shared" si="45"/>
        <v>24.935116534568348</v>
      </c>
      <c r="U1518">
        <v>1711</v>
      </c>
      <c r="V1518">
        <v>807</v>
      </c>
      <c r="W1518">
        <v>2615</v>
      </c>
      <c r="X1518">
        <v>1489</v>
      </c>
      <c r="Y1518">
        <v>53.5</v>
      </c>
      <c r="Z1518">
        <v>44.5</v>
      </c>
      <c r="AA1518">
        <v>62.4</v>
      </c>
    </row>
    <row r="1519" spans="1:27" x14ac:dyDescent="0.25">
      <c r="A1519" t="s">
        <v>239</v>
      </c>
      <c r="B1519" t="s">
        <v>188</v>
      </c>
      <c r="C1519" s="76">
        <v>43947</v>
      </c>
      <c r="D1519">
        <v>8027</v>
      </c>
      <c r="E1519">
        <v>4769</v>
      </c>
      <c r="F1519">
        <v>11285</v>
      </c>
      <c r="G1519">
        <v>9857</v>
      </c>
      <c r="H1519">
        <v>44.9</v>
      </c>
      <c r="I1519">
        <v>38.5</v>
      </c>
      <c r="J1519">
        <v>51.3</v>
      </c>
      <c r="K1519">
        <v>1624</v>
      </c>
      <c r="L1519">
        <v>871</v>
      </c>
      <c r="M1519">
        <v>2377</v>
      </c>
      <c r="N1519">
        <v>9.1</v>
      </c>
      <c r="O1519">
        <v>7</v>
      </c>
      <c r="P1519">
        <v>11.2</v>
      </c>
      <c r="Q1519">
        <f t="shared" si="46"/>
        <v>6805663</v>
      </c>
      <c r="R1519">
        <f t="shared" si="45"/>
        <v>23.862480407860335</v>
      </c>
      <c r="U1519">
        <v>1696</v>
      </c>
      <c r="V1519">
        <v>776</v>
      </c>
      <c r="W1519">
        <v>2616</v>
      </c>
      <c r="X1519">
        <v>1471</v>
      </c>
      <c r="Y1519">
        <v>53.6</v>
      </c>
      <c r="Z1519">
        <v>42.9</v>
      </c>
      <c r="AA1519">
        <v>64.2</v>
      </c>
    </row>
    <row r="1520" spans="1:27" x14ac:dyDescent="0.25">
      <c r="A1520" t="s">
        <v>239</v>
      </c>
      <c r="B1520" t="s">
        <v>188</v>
      </c>
      <c r="C1520" s="76">
        <v>43948</v>
      </c>
      <c r="D1520">
        <v>8704</v>
      </c>
      <c r="E1520">
        <v>5269</v>
      </c>
      <c r="F1520">
        <v>12138</v>
      </c>
      <c r="G1520">
        <v>9630</v>
      </c>
      <c r="H1520">
        <v>47.5</v>
      </c>
      <c r="I1520">
        <v>41.9</v>
      </c>
      <c r="J1520">
        <v>53.1</v>
      </c>
      <c r="K1520">
        <v>1761</v>
      </c>
      <c r="L1520">
        <v>967</v>
      </c>
      <c r="M1520">
        <v>2555</v>
      </c>
      <c r="N1520">
        <v>9.6</v>
      </c>
      <c r="O1520">
        <v>7.5</v>
      </c>
      <c r="P1520">
        <v>11.7</v>
      </c>
      <c r="Q1520">
        <f t="shared" si="46"/>
        <v>6805663</v>
      </c>
      <c r="R1520">
        <f t="shared" si="45"/>
        <v>25.875509851134268</v>
      </c>
      <c r="U1520">
        <v>1675</v>
      </c>
      <c r="V1520">
        <v>805</v>
      </c>
      <c r="W1520">
        <v>2545</v>
      </c>
      <c r="X1520">
        <v>1603</v>
      </c>
      <c r="Y1520">
        <v>51.1</v>
      </c>
      <c r="Z1520">
        <v>43.6</v>
      </c>
      <c r="AA1520">
        <v>58.6</v>
      </c>
    </row>
    <row r="1521" spans="1:27" x14ac:dyDescent="0.25">
      <c r="A1521" t="s">
        <v>239</v>
      </c>
      <c r="B1521" t="s">
        <v>188</v>
      </c>
      <c r="C1521" s="76">
        <v>43949</v>
      </c>
      <c r="D1521">
        <v>8849</v>
      </c>
      <c r="E1521">
        <v>5364</v>
      </c>
      <c r="F1521">
        <v>12335</v>
      </c>
      <c r="G1521">
        <v>9610</v>
      </c>
      <c r="H1521">
        <v>47.9</v>
      </c>
      <c r="I1521">
        <v>42.1</v>
      </c>
      <c r="J1521">
        <v>53.8</v>
      </c>
      <c r="K1521">
        <v>1599</v>
      </c>
      <c r="L1521">
        <v>921</v>
      </c>
      <c r="M1521">
        <v>2277</v>
      </c>
      <c r="N1521">
        <v>8.6999999999999993</v>
      </c>
      <c r="O1521">
        <v>6.4</v>
      </c>
      <c r="P1521">
        <v>11</v>
      </c>
      <c r="Q1521">
        <f t="shared" si="46"/>
        <v>6805663</v>
      </c>
      <c r="R1521">
        <f t="shared" si="45"/>
        <v>23.495139268576771</v>
      </c>
      <c r="U1521">
        <v>1759</v>
      </c>
      <c r="V1521">
        <v>858</v>
      </c>
      <c r="W1521">
        <v>2661</v>
      </c>
      <c r="X1521">
        <v>1555</v>
      </c>
      <c r="Y1521">
        <v>53.1</v>
      </c>
      <c r="Z1521">
        <v>45.1</v>
      </c>
      <c r="AA1521">
        <v>61.1</v>
      </c>
    </row>
    <row r="1522" spans="1:27" x14ac:dyDescent="0.25">
      <c r="A1522" t="s">
        <v>239</v>
      </c>
      <c r="B1522" t="s">
        <v>188</v>
      </c>
      <c r="C1522" s="76">
        <v>43950</v>
      </c>
      <c r="D1522">
        <v>9300</v>
      </c>
      <c r="E1522">
        <v>5710</v>
      </c>
      <c r="F1522">
        <v>12889</v>
      </c>
      <c r="G1522">
        <v>9037</v>
      </c>
      <c r="H1522">
        <v>50.7</v>
      </c>
      <c r="I1522">
        <v>45.2</v>
      </c>
      <c r="J1522">
        <v>56.3</v>
      </c>
      <c r="K1522">
        <v>1712</v>
      </c>
      <c r="L1522">
        <v>990</v>
      </c>
      <c r="M1522">
        <v>2435</v>
      </c>
      <c r="N1522">
        <v>9.3000000000000007</v>
      </c>
      <c r="O1522">
        <v>7.3</v>
      </c>
      <c r="P1522">
        <v>11.3</v>
      </c>
      <c r="Q1522">
        <f t="shared" si="46"/>
        <v>6805663</v>
      </c>
      <c r="R1522">
        <f t="shared" si="45"/>
        <v>25.155521218138482</v>
      </c>
      <c r="U1522">
        <v>1750</v>
      </c>
      <c r="V1522">
        <v>866</v>
      </c>
      <c r="W1522">
        <v>2633</v>
      </c>
      <c r="X1522">
        <v>1563</v>
      </c>
      <c r="Y1522">
        <v>52.8</v>
      </c>
      <c r="Z1522">
        <v>45.9</v>
      </c>
      <c r="AA1522">
        <v>59.8</v>
      </c>
    </row>
    <row r="1523" spans="1:27" x14ac:dyDescent="0.25">
      <c r="A1523" t="s">
        <v>239</v>
      </c>
      <c r="B1523" t="s">
        <v>188</v>
      </c>
      <c r="C1523" s="76">
        <v>43951</v>
      </c>
      <c r="D1523">
        <v>8832</v>
      </c>
      <c r="E1523">
        <v>6519</v>
      </c>
      <c r="F1523">
        <v>11145</v>
      </c>
      <c r="G1523">
        <v>9478</v>
      </c>
      <c r="H1523">
        <v>48.2</v>
      </c>
      <c r="I1523">
        <v>43.8</v>
      </c>
      <c r="J1523">
        <v>52.6</v>
      </c>
      <c r="K1523">
        <v>1596</v>
      </c>
      <c r="L1523">
        <v>1124</v>
      </c>
      <c r="M1523">
        <v>2069</v>
      </c>
      <c r="N1523">
        <v>8.6999999999999993</v>
      </c>
      <c r="O1523">
        <v>7.2</v>
      </c>
      <c r="P1523">
        <v>10.199999999999999</v>
      </c>
      <c r="Q1523">
        <f t="shared" si="46"/>
        <v>6805663</v>
      </c>
      <c r="R1523">
        <f t="shared" si="45"/>
        <v>23.451058331862747</v>
      </c>
      <c r="U1523">
        <v>1636</v>
      </c>
      <c r="V1523">
        <v>1068</v>
      </c>
      <c r="W1523">
        <v>2204</v>
      </c>
      <c r="X1523">
        <v>1383</v>
      </c>
      <c r="Y1523">
        <v>54.2</v>
      </c>
      <c r="Z1523">
        <v>48.3</v>
      </c>
      <c r="AA1523">
        <v>60.1</v>
      </c>
    </row>
    <row r="1524" spans="1:27" x14ac:dyDescent="0.25">
      <c r="A1524" t="s">
        <v>239</v>
      </c>
      <c r="B1524" t="s">
        <v>188</v>
      </c>
      <c r="C1524" s="76">
        <v>43952</v>
      </c>
      <c r="D1524">
        <v>8917</v>
      </c>
      <c r="E1524">
        <v>6642</v>
      </c>
      <c r="F1524">
        <v>11192</v>
      </c>
      <c r="G1524">
        <v>9823</v>
      </c>
      <c r="H1524">
        <v>47.6</v>
      </c>
      <c r="I1524">
        <v>43.4</v>
      </c>
      <c r="J1524">
        <v>51.7</v>
      </c>
      <c r="K1524">
        <v>1619</v>
      </c>
      <c r="L1524">
        <v>1149</v>
      </c>
      <c r="M1524">
        <v>2090</v>
      </c>
      <c r="N1524">
        <v>8.6</v>
      </c>
      <c r="O1524">
        <v>7.2</v>
      </c>
      <c r="P1524">
        <v>10.1</v>
      </c>
      <c r="Q1524">
        <f t="shared" si="46"/>
        <v>6805663</v>
      </c>
      <c r="R1524">
        <f t="shared" si="45"/>
        <v>23.789012180003624</v>
      </c>
      <c r="U1524">
        <v>1641</v>
      </c>
      <c r="V1524">
        <v>1080</v>
      </c>
      <c r="W1524">
        <v>2202</v>
      </c>
      <c r="X1524">
        <v>1574</v>
      </c>
      <c r="Y1524">
        <v>51</v>
      </c>
      <c r="Z1524">
        <v>45.3</v>
      </c>
      <c r="AA1524">
        <v>56.7</v>
      </c>
    </row>
    <row r="1525" spans="1:27" x14ac:dyDescent="0.25">
      <c r="A1525" t="s">
        <v>239</v>
      </c>
      <c r="B1525" t="s">
        <v>188</v>
      </c>
      <c r="C1525" s="76">
        <v>43953</v>
      </c>
      <c r="D1525">
        <v>8681</v>
      </c>
      <c r="E1525">
        <v>6437</v>
      </c>
      <c r="F1525">
        <v>10924</v>
      </c>
      <c r="G1525">
        <v>10060</v>
      </c>
      <c r="H1525">
        <v>46.3</v>
      </c>
      <c r="I1525">
        <v>42</v>
      </c>
      <c r="J1525">
        <v>50.6</v>
      </c>
      <c r="K1525">
        <v>1553</v>
      </c>
      <c r="L1525">
        <v>1100</v>
      </c>
      <c r="M1525">
        <v>2006</v>
      </c>
      <c r="N1525">
        <v>8.3000000000000007</v>
      </c>
      <c r="O1525">
        <v>6.9</v>
      </c>
      <c r="P1525">
        <v>9.6999999999999993</v>
      </c>
      <c r="Q1525">
        <f t="shared" si="46"/>
        <v>6805663</v>
      </c>
      <c r="R1525">
        <f t="shared" si="45"/>
        <v>22.819231572295013</v>
      </c>
      <c r="U1525">
        <v>1628</v>
      </c>
      <c r="V1525">
        <v>1070</v>
      </c>
      <c r="W1525">
        <v>2185</v>
      </c>
      <c r="X1525">
        <v>1528</v>
      </c>
      <c r="Y1525">
        <v>51.6</v>
      </c>
      <c r="Z1525">
        <v>45.6</v>
      </c>
      <c r="AA1525">
        <v>57.6</v>
      </c>
    </row>
    <row r="1526" spans="1:27" x14ac:dyDescent="0.25">
      <c r="A1526" t="s">
        <v>239</v>
      </c>
      <c r="B1526" t="s">
        <v>188</v>
      </c>
      <c r="C1526" s="76">
        <v>43954</v>
      </c>
      <c r="D1526">
        <v>8479</v>
      </c>
      <c r="E1526">
        <v>6272</v>
      </c>
      <c r="F1526">
        <v>10685</v>
      </c>
      <c r="G1526">
        <v>10054</v>
      </c>
      <c r="H1526">
        <v>45.7</v>
      </c>
      <c r="I1526">
        <v>41.5</v>
      </c>
      <c r="J1526">
        <v>50</v>
      </c>
      <c r="K1526">
        <v>1461</v>
      </c>
      <c r="L1526">
        <v>1029</v>
      </c>
      <c r="M1526">
        <v>1893</v>
      </c>
      <c r="N1526">
        <v>7.9</v>
      </c>
      <c r="O1526">
        <v>6.5</v>
      </c>
      <c r="P1526">
        <v>9.3000000000000007</v>
      </c>
      <c r="Q1526">
        <f t="shared" si="46"/>
        <v>6805663</v>
      </c>
      <c r="R1526">
        <f t="shared" si="45"/>
        <v>21.467416179731497</v>
      </c>
      <c r="U1526">
        <v>1810</v>
      </c>
      <c r="V1526">
        <v>1205</v>
      </c>
      <c r="W1526">
        <v>2415</v>
      </c>
      <c r="X1526">
        <v>1336</v>
      </c>
      <c r="Y1526">
        <v>57.5</v>
      </c>
      <c r="Z1526">
        <v>51.2</v>
      </c>
      <c r="AA1526">
        <v>63.9</v>
      </c>
    </row>
    <row r="1527" spans="1:27" x14ac:dyDescent="0.25">
      <c r="A1527" t="s">
        <v>239</v>
      </c>
      <c r="B1527" t="s">
        <v>188</v>
      </c>
      <c r="C1527" s="76">
        <v>43955</v>
      </c>
      <c r="D1527">
        <v>8749</v>
      </c>
      <c r="E1527">
        <v>6420</v>
      </c>
      <c r="F1527">
        <v>11078</v>
      </c>
      <c r="G1527">
        <v>9434</v>
      </c>
      <c r="H1527">
        <v>48.1</v>
      </c>
      <c r="I1527">
        <v>44.6</v>
      </c>
      <c r="J1527">
        <v>51.6</v>
      </c>
      <c r="K1527">
        <v>1696</v>
      </c>
      <c r="L1527">
        <v>1194</v>
      </c>
      <c r="M1527">
        <v>2197</v>
      </c>
      <c r="N1527">
        <v>9.3000000000000007</v>
      </c>
      <c r="O1527">
        <v>7.9</v>
      </c>
      <c r="P1527">
        <v>10.7</v>
      </c>
      <c r="Q1527">
        <f t="shared" si="46"/>
        <v>6805663</v>
      </c>
      <c r="R1527">
        <f t="shared" si="45"/>
        <v>24.920422888997003</v>
      </c>
      <c r="U1527">
        <v>1653</v>
      </c>
      <c r="V1527">
        <v>1070</v>
      </c>
      <c r="W1527">
        <v>2235</v>
      </c>
      <c r="X1527">
        <v>1646</v>
      </c>
      <c r="Y1527">
        <v>50.1</v>
      </c>
      <c r="Z1527">
        <v>44.7</v>
      </c>
      <c r="AA1527">
        <v>55.5</v>
      </c>
    </row>
    <row r="1528" spans="1:27" x14ac:dyDescent="0.25">
      <c r="A1528" t="s">
        <v>239</v>
      </c>
      <c r="B1528" t="s">
        <v>188</v>
      </c>
      <c r="C1528" s="76">
        <v>43956</v>
      </c>
      <c r="D1528">
        <v>9370</v>
      </c>
      <c r="E1528">
        <v>6859</v>
      </c>
      <c r="F1528">
        <v>11881</v>
      </c>
      <c r="G1528">
        <v>8854</v>
      </c>
      <c r="H1528">
        <v>51.4</v>
      </c>
      <c r="I1528">
        <v>48.1</v>
      </c>
      <c r="J1528">
        <v>54.7</v>
      </c>
      <c r="K1528">
        <v>1737</v>
      </c>
      <c r="L1528">
        <v>1216</v>
      </c>
      <c r="M1528">
        <v>2257</v>
      </c>
      <c r="N1528">
        <v>9.5</v>
      </c>
      <c r="O1528">
        <v>8.1</v>
      </c>
      <c r="P1528">
        <v>11</v>
      </c>
      <c r="Q1528">
        <f t="shared" si="46"/>
        <v>6805663</v>
      </c>
      <c r="R1528">
        <f t="shared" si="45"/>
        <v>25.522862357422046</v>
      </c>
      <c r="U1528">
        <v>1800</v>
      </c>
      <c r="V1528">
        <v>1197</v>
      </c>
      <c r="W1528">
        <v>2402</v>
      </c>
      <c r="X1528">
        <v>1493</v>
      </c>
      <c r="Y1528">
        <v>54.7</v>
      </c>
      <c r="Z1528">
        <v>48.8</v>
      </c>
      <c r="AA1528">
        <v>60.6</v>
      </c>
    </row>
    <row r="1529" spans="1:27" x14ac:dyDescent="0.25">
      <c r="A1529" t="s">
        <v>239</v>
      </c>
      <c r="B1529" t="s">
        <v>188</v>
      </c>
      <c r="C1529" s="76">
        <v>43957</v>
      </c>
      <c r="D1529">
        <v>9590</v>
      </c>
      <c r="E1529">
        <v>6956</v>
      </c>
      <c r="F1529">
        <v>12224</v>
      </c>
      <c r="G1529">
        <v>8403</v>
      </c>
      <c r="H1529">
        <v>53.3</v>
      </c>
      <c r="I1529">
        <v>49.8</v>
      </c>
      <c r="J1529">
        <v>56.8</v>
      </c>
      <c r="K1529">
        <v>1647</v>
      </c>
      <c r="L1529">
        <v>1143</v>
      </c>
      <c r="M1529">
        <v>2151</v>
      </c>
      <c r="N1529">
        <v>9.1999999999999993</v>
      </c>
      <c r="O1529">
        <v>7.8</v>
      </c>
      <c r="P1529">
        <v>10.5</v>
      </c>
      <c r="Q1529">
        <f t="shared" si="46"/>
        <v>6805663</v>
      </c>
      <c r="R1529">
        <f t="shared" si="45"/>
        <v>24.200434256001216</v>
      </c>
      <c r="U1529">
        <v>1630</v>
      </c>
      <c r="V1529">
        <v>1072</v>
      </c>
      <c r="W1529">
        <v>2189</v>
      </c>
      <c r="X1529">
        <v>1591</v>
      </c>
      <c r="Y1529">
        <v>50.6</v>
      </c>
      <c r="Z1529">
        <v>45.2</v>
      </c>
      <c r="AA1529">
        <v>56.1</v>
      </c>
    </row>
    <row r="1530" spans="1:27" x14ac:dyDescent="0.25">
      <c r="A1530" t="s">
        <v>239</v>
      </c>
      <c r="B1530" t="s">
        <v>188</v>
      </c>
      <c r="C1530" s="76">
        <v>43958</v>
      </c>
      <c r="D1530">
        <v>9514</v>
      </c>
      <c r="E1530">
        <v>6878</v>
      </c>
      <c r="F1530">
        <v>12150</v>
      </c>
      <c r="G1530">
        <v>8671</v>
      </c>
      <c r="H1530">
        <v>52.3</v>
      </c>
      <c r="I1530">
        <v>48.6</v>
      </c>
      <c r="J1530">
        <v>56</v>
      </c>
      <c r="K1530">
        <v>1510</v>
      </c>
      <c r="L1530">
        <v>1052</v>
      </c>
      <c r="M1530">
        <v>1967</v>
      </c>
      <c r="N1530">
        <v>8.3000000000000007</v>
      </c>
      <c r="O1530">
        <v>7</v>
      </c>
      <c r="P1530">
        <v>9.6</v>
      </c>
      <c r="Q1530">
        <f t="shared" si="46"/>
        <v>6805663</v>
      </c>
      <c r="R1530">
        <f t="shared" si="45"/>
        <v>22.187404812727284</v>
      </c>
      <c r="U1530">
        <v>1683</v>
      </c>
      <c r="V1530">
        <v>1111</v>
      </c>
      <c r="W1530">
        <v>2254</v>
      </c>
      <c r="X1530">
        <v>1439</v>
      </c>
      <c r="Y1530">
        <v>53.9</v>
      </c>
      <c r="Z1530">
        <v>48.2</v>
      </c>
      <c r="AA1530">
        <v>59.6</v>
      </c>
    </row>
    <row r="1531" spans="1:27" x14ac:dyDescent="0.25">
      <c r="A1531" t="s">
        <v>239</v>
      </c>
      <c r="B1531" t="s">
        <v>188</v>
      </c>
      <c r="C1531" s="76">
        <v>43959</v>
      </c>
      <c r="D1531">
        <v>9369</v>
      </c>
      <c r="E1531">
        <v>6757</v>
      </c>
      <c r="F1531">
        <v>11981</v>
      </c>
      <c r="G1531">
        <v>8765</v>
      </c>
      <c r="H1531">
        <v>51.7</v>
      </c>
      <c r="I1531">
        <v>48.1</v>
      </c>
      <c r="J1531">
        <v>55.3</v>
      </c>
      <c r="K1531">
        <v>1444</v>
      </c>
      <c r="L1531">
        <v>995</v>
      </c>
      <c r="M1531">
        <v>1893</v>
      </c>
      <c r="N1531">
        <v>8</v>
      </c>
      <c r="O1531">
        <v>6.6</v>
      </c>
      <c r="P1531">
        <v>9.3000000000000007</v>
      </c>
      <c r="Q1531">
        <f t="shared" si="46"/>
        <v>6805663</v>
      </c>
      <c r="R1531">
        <f t="shared" si="45"/>
        <v>21.217624205018673</v>
      </c>
      <c r="U1531">
        <v>1657</v>
      </c>
      <c r="V1531">
        <v>1065</v>
      </c>
      <c r="W1531">
        <v>2250</v>
      </c>
      <c r="X1531">
        <v>1534</v>
      </c>
      <c r="Y1531">
        <v>51.9</v>
      </c>
      <c r="Z1531">
        <v>45.8</v>
      </c>
      <c r="AA1531">
        <v>58</v>
      </c>
    </row>
    <row r="1532" spans="1:27" x14ac:dyDescent="0.25">
      <c r="A1532" t="s">
        <v>239</v>
      </c>
      <c r="B1532" t="s">
        <v>188</v>
      </c>
      <c r="C1532" s="76">
        <v>43960</v>
      </c>
      <c r="D1532">
        <v>9217</v>
      </c>
      <c r="E1532">
        <v>6648</v>
      </c>
      <c r="F1532">
        <v>11785</v>
      </c>
      <c r="G1532">
        <v>9217</v>
      </c>
      <c r="H1532">
        <v>50</v>
      </c>
      <c r="I1532">
        <v>46.4</v>
      </c>
      <c r="J1532">
        <v>53.6</v>
      </c>
      <c r="K1532">
        <v>1426</v>
      </c>
      <c r="L1532">
        <v>986</v>
      </c>
      <c r="M1532">
        <v>1866</v>
      </c>
      <c r="N1532">
        <v>7.7</v>
      </c>
      <c r="O1532">
        <v>6.4</v>
      </c>
      <c r="P1532">
        <v>9</v>
      </c>
      <c r="Q1532">
        <f t="shared" si="46"/>
        <v>6805663</v>
      </c>
      <c r="R1532">
        <f t="shared" si="45"/>
        <v>20.953138584734507</v>
      </c>
      <c r="U1532">
        <v>1636</v>
      </c>
      <c r="V1532">
        <v>1061</v>
      </c>
      <c r="W1532">
        <v>2210</v>
      </c>
      <c r="X1532">
        <v>1542</v>
      </c>
      <c r="Y1532">
        <v>51.5</v>
      </c>
      <c r="Z1532">
        <v>45.7</v>
      </c>
      <c r="AA1532">
        <v>57.3</v>
      </c>
    </row>
    <row r="1533" spans="1:27" x14ac:dyDescent="0.25">
      <c r="A1533" t="s">
        <v>239</v>
      </c>
      <c r="B1533" t="s">
        <v>188</v>
      </c>
      <c r="C1533" s="76">
        <v>43961</v>
      </c>
      <c r="D1533">
        <v>8436</v>
      </c>
      <c r="E1533">
        <v>6124</v>
      </c>
      <c r="F1533">
        <v>10748</v>
      </c>
      <c r="G1533">
        <v>9888</v>
      </c>
      <c r="H1533">
        <v>46</v>
      </c>
      <c r="I1533">
        <v>41.3</v>
      </c>
      <c r="J1533">
        <v>50.8</v>
      </c>
      <c r="K1533">
        <v>1382</v>
      </c>
      <c r="L1533">
        <v>961</v>
      </c>
      <c r="M1533">
        <v>1802</v>
      </c>
      <c r="N1533">
        <v>7.5</v>
      </c>
      <c r="O1533">
        <v>6.2</v>
      </c>
      <c r="P1533">
        <v>8.9</v>
      </c>
      <c r="Q1533">
        <f t="shared" si="46"/>
        <v>6805663</v>
      </c>
      <c r="R1533">
        <f t="shared" si="45"/>
        <v>20.306618179595432</v>
      </c>
      <c r="U1533">
        <v>1586</v>
      </c>
      <c r="V1533">
        <v>1015</v>
      </c>
      <c r="W1533">
        <v>2157</v>
      </c>
      <c r="X1533">
        <v>1493</v>
      </c>
      <c r="Y1533">
        <v>51.5</v>
      </c>
      <c r="Z1533">
        <v>44.6</v>
      </c>
      <c r="AA1533">
        <v>58.4</v>
      </c>
    </row>
    <row r="1534" spans="1:27" x14ac:dyDescent="0.25">
      <c r="A1534" t="s">
        <v>239</v>
      </c>
      <c r="B1534" t="s">
        <v>188</v>
      </c>
      <c r="C1534" s="76">
        <v>43962</v>
      </c>
      <c r="D1534">
        <v>8714</v>
      </c>
      <c r="E1534">
        <v>6389</v>
      </c>
      <c r="F1534">
        <v>11040</v>
      </c>
      <c r="G1534">
        <v>9357</v>
      </c>
      <c r="H1534">
        <v>48.2</v>
      </c>
      <c r="I1534">
        <v>44</v>
      </c>
      <c r="J1534">
        <v>52.4</v>
      </c>
      <c r="K1534">
        <v>1470</v>
      </c>
      <c r="L1534">
        <v>1036</v>
      </c>
      <c r="M1534">
        <v>1903</v>
      </c>
      <c r="N1534">
        <v>8.1</v>
      </c>
      <c r="O1534">
        <v>6.8</v>
      </c>
      <c r="P1534">
        <v>9.5</v>
      </c>
      <c r="Q1534">
        <f t="shared" si="46"/>
        <v>6805663</v>
      </c>
      <c r="R1534">
        <f t="shared" si="45"/>
        <v>21.599658989873578</v>
      </c>
      <c r="U1534">
        <v>1498</v>
      </c>
      <c r="V1534">
        <v>983</v>
      </c>
      <c r="W1534">
        <v>2014</v>
      </c>
      <c r="X1534">
        <v>1523</v>
      </c>
      <c r="Y1534">
        <v>49.6</v>
      </c>
      <c r="Z1534">
        <v>43.6</v>
      </c>
      <c r="AA1534">
        <v>55.6</v>
      </c>
    </row>
    <row r="1535" spans="1:27" x14ac:dyDescent="0.25">
      <c r="A1535" t="s">
        <v>239</v>
      </c>
      <c r="B1535" t="s">
        <v>188</v>
      </c>
      <c r="C1535" s="76">
        <v>43963</v>
      </c>
      <c r="D1535">
        <v>9184</v>
      </c>
      <c r="E1535">
        <v>6725</v>
      </c>
      <c r="F1535">
        <v>11643</v>
      </c>
      <c r="G1535">
        <v>9078</v>
      </c>
      <c r="H1535">
        <v>50.3</v>
      </c>
      <c r="I1535">
        <v>46</v>
      </c>
      <c r="J1535">
        <v>54.6</v>
      </c>
      <c r="K1535">
        <v>1478</v>
      </c>
      <c r="L1535">
        <v>1054</v>
      </c>
      <c r="M1535">
        <v>1901</v>
      </c>
      <c r="N1535">
        <v>8.1</v>
      </c>
      <c r="O1535">
        <v>6.8</v>
      </c>
      <c r="P1535">
        <v>9.3000000000000007</v>
      </c>
      <c r="Q1535">
        <f t="shared" si="46"/>
        <v>6805663</v>
      </c>
      <c r="R1535">
        <f t="shared" si="45"/>
        <v>21.717208154444318</v>
      </c>
      <c r="U1535">
        <v>1651</v>
      </c>
      <c r="V1535">
        <v>1085</v>
      </c>
      <c r="W1535">
        <v>2216</v>
      </c>
      <c r="X1535">
        <v>1527</v>
      </c>
      <c r="Y1535">
        <v>51.9</v>
      </c>
      <c r="Z1535">
        <v>45.7</v>
      </c>
      <c r="AA1535">
        <v>58.1</v>
      </c>
    </row>
    <row r="1536" spans="1:27" x14ac:dyDescent="0.25">
      <c r="A1536" t="s">
        <v>239</v>
      </c>
      <c r="B1536" t="s">
        <v>188</v>
      </c>
      <c r="C1536" s="76">
        <v>43964</v>
      </c>
      <c r="D1536">
        <v>9520</v>
      </c>
      <c r="E1536">
        <v>6986</v>
      </c>
      <c r="F1536">
        <v>12054</v>
      </c>
      <c r="G1536">
        <v>8756</v>
      </c>
      <c r="H1536">
        <v>52.1</v>
      </c>
      <c r="I1536">
        <v>47.8</v>
      </c>
      <c r="J1536">
        <v>56.4</v>
      </c>
      <c r="K1536">
        <v>1517</v>
      </c>
      <c r="L1536">
        <v>1077</v>
      </c>
      <c r="M1536">
        <v>1958</v>
      </c>
      <c r="N1536">
        <v>8.3000000000000007</v>
      </c>
      <c r="O1536">
        <v>6.9</v>
      </c>
      <c r="P1536">
        <v>9.6999999999999993</v>
      </c>
      <c r="Q1536">
        <f t="shared" si="46"/>
        <v>6805663</v>
      </c>
      <c r="R1536">
        <f t="shared" si="45"/>
        <v>22.290260331726682</v>
      </c>
      <c r="U1536">
        <v>1676</v>
      </c>
      <c r="V1536">
        <v>1098</v>
      </c>
      <c r="W1536">
        <v>2255</v>
      </c>
      <c r="X1536">
        <v>1441</v>
      </c>
      <c r="Y1536">
        <v>53.8</v>
      </c>
      <c r="Z1536">
        <v>47.9</v>
      </c>
      <c r="AA1536">
        <v>59.7</v>
      </c>
    </row>
    <row r="1537" spans="1:27" x14ac:dyDescent="0.25">
      <c r="A1537" t="s">
        <v>239</v>
      </c>
      <c r="B1537" t="s">
        <v>188</v>
      </c>
      <c r="C1537" s="76">
        <v>43965</v>
      </c>
      <c r="D1537">
        <v>9597</v>
      </c>
      <c r="E1537">
        <v>7030</v>
      </c>
      <c r="F1537">
        <v>12164</v>
      </c>
      <c r="G1537">
        <v>8573</v>
      </c>
      <c r="H1537">
        <v>52.8</v>
      </c>
      <c r="I1537">
        <v>48.4</v>
      </c>
      <c r="J1537">
        <v>57.3</v>
      </c>
      <c r="K1537">
        <v>1435</v>
      </c>
      <c r="L1537">
        <v>1013</v>
      </c>
      <c r="M1537">
        <v>1858</v>
      </c>
      <c r="N1537">
        <v>7.9</v>
      </c>
      <c r="O1537">
        <v>6.6</v>
      </c>
      <c r="P1537">
        <v>9.1999999999999993</v>
      </c>
      <c r="Q1537">
        <f t="shared" si="46"/>
        <v>6805663</v>
      </c>
      <c r="R1537">
        <f t="shared" si="45"/>
        <v>21.085381394876592</v>
      </c>
      <c r="U1537">
        <v>1741</v>
      </c>
      <c r="V1537">
        <v>1125</v>
      </c>
      <c r="W1537">
        <v>2357</v>
      </c>
      <c r="X1537">
        <v>1346</v>
      </c>
      <c r="Y1537">
        <v>56.4</v>
      </c>
      <c r="Z1537">
        <v>49.9</v>
      </c>
      <c r="AA1537">
        <v>62.8</v>
      </c>
    </row>
    <row r="1538" spans="1:27" x14ac:dyDescent="0.25">
      <c r="A1538" t="s">
        <v>239</v>
      </c>
      <c r="B1538" t="s">
        <v>188</v>
      </c>
      <c r="C1538" s="76">
        <v>43966</v>
      </c>
      <c r="D1538">
        <v>9493</v>
      </c>
      <c r="E1538">
        <v>6986</v>
      </c>
      <c r="F1538">
        <v>12000</v>
      </c>
      <c r="G1538">
        <v>8736</v>
      </c>
      <c r="H1538">
        <v>52.1</v>
      </c>
      <c r="I1538">
        <v>47.4</v>
      </c>
      <c r="J1538">
        <v>56.8</v>
      </c>
      <c r="K1538">
        <v>1377</v>
      </c>
      <c r="L1538">
        <v>970</v>
      </c>
      <c r="M1538">
        <v>1784</v>
      </c>
      <c r="N1538">
        <v>7.6</v>
      </c>
      <c r="O1538">
        <v>6.3</v>
      </c>
      <c r="P1538">
        <v>8.8000000000000007</v>
      </c>
      <c r="Q1538">
        <f t="shared" si="46"/>
        <v>6805663</v>
      </c>
      <c r="R1538">
        <f t="shared" si="45"/>
        <v>20.233149951738721</v>
      </c>
      <c r="U1538">
        <v>1710</v>
      </c>
      <c r="V1538">
        <v>1109</v>
      </c>
      <c r="W1538">
        <v>2310</v>
      </c>
      <c r="X1538">
        <v>1357</v>
      </c>
      <c r="Y1538">
        <v>55.7</v>
      </c>
      <c r="Z1538">
        <v>49.1</v>
      </c>
      <c r="AA1538">
        <v>62.4</v>
      </c>
    </row>
    <row r="1539" spans="1:27" x14ac:dyDescent="0.25">
      <c r="A1539" t="s">
        <v>239</v>
      </c>
      <c r="B1539" t="s">
        <v>188</v>
      </c>
      <c r="C1539" s="76">
        <v>43967</v>
      </c>
      <c r="D1539">
        <v>9114</v>
      </c>
      <c r="E1539">
        <v>6697</v>
      </c>
      <c r="F1539">
        <v>11530</v>
      </c>
      <c r="G1539">
        <v>9115</v>
      </c>
      <c r="H1539">
        <v>50</v>
      </c>
      <c r="I1539">
        <v>45.2</v>
      </c>
      <c r="J1539">
        <v>54.8</v>
      </c>
      <c r="K1539">
        <v>1317</v>
      </c>
      <c r="L1539">
        <v>940</v>
      </c>
      <c r="M1539">
        <v>1695</v>
      </c>
      <c r="N1539">
        <v>7.2</v>
      </c>
      <c r="O1539">
        <v>6.1</v>
      </c>
      <c r="P1539">
        <v>8.3000000000000007</v>
      </c>
      <c r="Q1539">
        <f t="shared" si="46"/>
        <v>6805663</v>
      </c>
      <c r="R1539">
        <f t="shared" si="45"/>
        <v>19.351531217458167</v>
      </c>
      <c r="U1539">
        <v>1619</v>
      </c>
      <c r="V1539">
        <v>1060</v>
      </c>
      <c r="W1539">
        <v>2177</v>
      </c>
      <c r="X1539">
        <v>1424</v>
      </c>
      <c r="Y1539">
        <v>53.2</v>
      </c>
      <c r="Z1539">
        <v>46.5</v>
      </c>
      <c r="AA1539">
        <v>59.9</v>
      </c>
    </row>
    <row r="1540" spans="1:27" x14ac:dyDescent="0.25">
      <c r="A1540" t="s">
        <v>239</v>
      </c>
      <c r="B1540" t="s">
        <v>188</v>
      </c>
      <c r="C1540" s="76">
        <v>43968</v>
      </c>
      <c r="D1540">
        <v>8757</v>
      </c>
      <c r="E1540">
        <v>6434</v>
      </c>
      <c r="F1540">
        <v>11081</v>
      </c>
      <c r="G1540">
        <v>9363</v>
      </c>
      <c r="H1540">
        <v>48.3</v>
      </c>
      <c r="I1540">
        <v>43.7</v>
      </c>
      <c r="J1540">
        <v>53</v>
      </c>
      <c r="K1540">
        <v>1385</v>
      </c>
      <c r="L1540">
        <v>986</v>
      </c>
      <c r="M1540">
        <v>1785</v>
      </c>
      <c r="N1540">
        <v>7.6</v>
      </c>
      <c r="O1540">
        <v>6.4</v>
      </c>
      <c r="P1540">
        <v>8.9</v>
      </c>
      <c r="Q1540">
        <f t="shared" si="46"/>
        <v>6805663</v>
      </c>
      <c r="R1540">
        <f t="shared" si="45"/>
        <v>20.35069911630946</v>
      </c>
      <c r="U1540">
        <v>1599</v>
      </c>
      <c r="V1540">
        <v>1048</v>
      </c>
      <c r="W1540">
        <v>2151</v>
      </c>
      <c r="X1540">
        <v>1389</v>
      </c>
      <c r="Y1540">
        <v>53.5</v>
      </c>
      <c r="Z1540">
        <v>47.2</v>
      </c>
      <c r="AA1540">
        <v>59.8</v>
      </c>
    </row>
    <row r="1541" spans="1:27" x14ac:dyDescent="0.25">
      <c r="A1541" t="s">
        <v>239</v>
      </c>
      <c r="B1541" t="s">
        <v>188</v>
      </c>
      <c r="C1541" s="76">
        <v>43969</v>
      </c>
      <c r="D1541">
        <v>9040</v>
      </c>
      <c r="E1541">
        <v>6643</v>
      </c>
      <c r="F1541">
        <v>11438</v>
      </c>
      <c r="G1541">
        <v>9113</v>
      </c>
      <c r="H1541">
        <v>49.8</v>
      </c>
      <c r="I1541">
        <v>45.3</v>
      </c>
      <c r="J1541">
        <v>54.3</v>
      </c>
      <c r="K1541">
        <v>1353</v>
      </c>
      <c r="L1541">
        <v>957</v>
      </c>
      <c r="M1541">
        <v>1748</v>
      </c>
      <c r="N1541">
        <v>7.4</v>
      </c>
      <c r="O1541">
        <v>6.2</v>
      </c>
      <c r="P1541">
        <v>8.6999999999999993</v>
      </c>
      <c r="Q1541">
        <f t="shared" si="46"/>
        <v>6805663</v>
      </c>
      <c r="R1541">
        <f t="shared" ref="R1541:R1604" si="47">K1541/(Q1541)*100000</f>
        <v>19.880502458026498</v>
      </c>
      <c r="U1541">
        <v>1554</v>
      </c>
      <c r="V1541">
        <v>1012</v>
      </c>
      <c r="W1541">
        <v>2095</v>
      </c>
      <c r="X1541">
        <v>1425</v>
      </c>
      <c r="Y1541">
        <v>52.2</v>
      </c>
      <c r="Z1541">
        <v>46</v>
      </c>
      <c r="AA1541">
        <v>58.3</v>
      </c>
    </row>
    <row r="1542" spans="1:27" x14ac:dyDescent="0.25">
      <c r="A1542" t="s">
        <v>239</v>
      </c>
      <c r="B1542" t="s">
        <v>188</v>
      </c>
      <c r="C1542" s="76">
        <v>43970</v>
      </c>
      <c r="D1542">
        <v>9704</v>
      </c>
      <c r="E1542">
        <v>7138</v>
      </c>
      <c r="F1542">
        <v>12269</v>
      </c>
      <c r="G1542">
        <v>8391</v>
      </c>
      <c r="H1542">
        <v>53.6</v>
      </c>
      <c r="I1542">
        <v>48.8</v>
      </c>
      <c r="J1542">
        <v>58.5</v>
      </c>
      <c r="K1542">
        <v>1379</v>
      </c>
      <c r="L1542">
        <v>977</v>
      </c>
      <c r="M1542">
        <v>1781</v>
      </c>
      <c r="N1542">
        <v>7.6</v>
      </c>
      <c r="O1542">
        <v>6.3</v>
      </c>
      <c r="P1542">
        <v>8.9</v>
      </c>
      <c r="Q1542">
        <f t="shared" si="46"/>
        <v>6805663</v>
      </c>
      <c r="R1542">
        <f t="shared" si="47"/>
        <v>20.262537242881407</v>
      </c>
      <c r="U1542">
        <v>1745</v>
      </c>
      <c r="V1542">
        <v>1156</v>
      </c>
      <c r="W1542">
        <v>2335</v>
      </c>
      <c r="X1542">
        <v>1341</v>
      </c>
      <c r="Y1542">
        <v>56.5</v>
      </c>
      <c r="Z1542">
        <v>50.8</v>
      </c>
      <c r="AA1542">
        <v>62.3</v>
      </c>
    </row>
    <row r="1543" spans="1:27" x14ac:dyDescent="0.25">
      <c r="A1543" t="s">
        <v>239</v>
      </c>
      <c r="B1543" t="s">
        <v>188</v>
      </c>
      <c r="C1543" s="76">
        <v>43971</v>
      </c>
      <c r="D1543">
        <v>10561</v>
      </c>
      <c r="E1543">
        <v>7659</v>
      </c>
      <c r="F1543">
        <v>13462</v>
      </c>
      <c r="G1543">
        <v>7445</v>
      </c>
      <c r="H1543">
        <v>58.7</v>
      </c>
      <c r="I1543">
        <v>53.9</v>
      </c>
      <c r="J1543">
        <v>63.4</v>
      </c>
      <c r="K1543">
        <v>1331</v>
      </c>
      <c r="L1543">
        <v>926</v>
      </c>
      <c r="M1543">
        <v>1735</v>
      </c>
      <c r="N1543">
        <v>7.4</v>
      </c>
      <c r="O1543">
        <v>6.1</v>
      </c>
      <c r="P1543">
        <v>8.6999999999999993</v>
      </c>
      <c r="Q1543">
        <f t="shared" si="46"/>
        <v>6805663</v>
      </c>
      <c r="R1543">
        <f t="shared" si="47"/>
        <v>19.557242255456963</v>
      </c>
      <c r="U1543">
        <v>1807</v>
      </c>
      <c r="V1543">
        <v>1188</v>
      </c>
      <c r="W1543">
        <v>2427</v>
      </c>
      <c r="X1543">
        <v>1101</v>
      </c>
      <c r="Y1543">
        <v>62.1</v>
      </c>
      <c r="Z1543">
        <v>54.5</v>
      </c>
      <c r="AA1543">
        <v>69.8</v>
      </c>
    </row>
    <row r="1544" spans="1:27" x14ac:dyDescent="0.25">
      <c r="A1544" t="s">
        <v>239</v>
      </c>
      <c r="B1544" t="s">
        <v>188</v>
      </c>
      <c r="C1544" s="76">
        <v>43972</v>
      </c>
      <c r="D1544">
        <v>10234</v>
      </c>
      <c r="E1544">
        <v>7466</v>
      </c>
      <c r="F1544">
        <v>13001</v>
      </c>
      <c r="G1544">
        <v>7785</v>
      </c>
      <c r="H1544">
        <v>56.8</v>
      </c>
      <c r="I1544">
        <v>52.7</v>
      </c>
      <c r="J1544">
        <v>60.9</v>
      </c>
      <c r="K1544">
        <v>1339</v>
      </c>
      <c r="L1544">
        <v>946</v>
      </c>
      <c r="M1544">
        <v>1732</v>
      </c>
      <c r="N1544">
        <v>7.4</v>
      </c>
      <c r="O1544">
        <v>6.3</v>
      </c>
      <c r="P1544">
        <v>8.5</v>
      </c>
      <c r="Q1544">
        <f t="shared" si="46"/>
        <v>6805663</v>
      </c>
      <c r="R1544">
        <f t="shared" si="47"/>
        <v>19.674791420027702</v>
      </c>
      <c r="U1544">
        <v>1779</v>
      </c>
      <c r="V1544">
        <v>1129</v>
      </c>
      <c r="W1544">
        <v>2428</v>
      </c>
      <c r="X1544">
        <v>1093</v>
      </c>
      <c r="Y1544">
        <v>61.9</v>
      </c>
      <c r="Z1544">
        <v>53</v>
      </c>
      <c r="AA1544">
        <v>70.900000000000006</v>
      </c>
    </row>
    <row r="1545" spans="1:27" x14ac:dyDescent="0.25">
      <c r="A1545" t="s">
        <v>239</v>
      </c>
      <c r="B1545" t="s">
        <v>188</v>
      </c>
      <c r="C1545" s="76">
        <v>43973</v>
      </c>
      <c r="D1545">
        <v>9734</v>
      </c>
      <c r="E1545">
        <v>7136</v>
      </c>
      <c r="F1545">
        <v>12332</v>
      </c>
      <c r="G1545">
        <v>7844</v>
      </c>
      <c r="H1545">
        <v>55.4</v>
      </c>
      <c r="I1545">
        <v>50.9</v>
      </c>
      <c r="J1545">
        <v>59.8</v>
      </c>
      <c r="K1545">
        <v>1248</v>
      </c>
      <c r="L1545">
        <v>881</v>
      </c>
      <c r="M1545">
        <v>1615</v>
      </c>
      <c r="N1545">
        <v>7.1</v>
      </c>
      <c r="O1545">
        <v>6</v>
      </c>
      <c r="P1545">
        <v>8.1999999999999993</v>
      </c>
      <c r="Q1545">
        <f t="shared" si="46"/>
        <v>6805663</v>
      </c>
      <c r="R1545">
        <f t="shared" si="47"/>
        <v>18.337669673035528</v>
      </c>
      <c r="U1545">
        <v>1746</v>
      </c>
      <c r="V1545">
        <v>1108</v>
      </c>
      <c r="W1545">
        <v>2383</v>
      </c>
      <c r="X1545">
        <v>1076</v>
      </c>
      <c r="Y1545">
        <v>61.9</v>
      </c>
      <c r="Z1545">
        <v>52.8</v>
      </c>
      <c r="AA1545">
        <v>70.900000000000006</v>
      </c>
    </row>
    <row r="1546" spans="1:27" x14ac:dyDescent="0.25">
      <c r="A1546" t="s">
        <v>239</v>
      </c>
      <c r="B1546" t="s">
        <v>188</v>
      </c>
      <c r="C1546" s="76">
        <v>43974</v>
      </c>
      <c r="D1546">
        <v>9800</v>
      </c>
      <c r="E1546">
        <v>7158</v>
      </c>
      <c r="F1546">
        <v>12442</v>
      </c>
      <c r="G1546">
        <v>8396</v>
      </c>
      <c r="H1546">
        <v>53.9</v>
      </c>
      <c r="I1546">
        <v>49.4</v>
      </c>
      <c r="J1546">
        <v>58.3</v>
      </c>
      <c r="K1546">
        <v>1211</v>
      </c>
      <c r="L1546">
        <v>844</v>
      </c>
      <c r="M1546">
        <v>1578</v>
      </c>
      <c r="N1546">
        <v>6.7</v>
      </c>
      <c r="O1546">
        <v>5.5</v>
      </c>
      <c r="P1546">
        <v>7.8</v>
      </c>
      <c r="Q1546">
        <f t="shared" si="46"/>
        <v>6805663</v>
      </c>
      <c r="R1546">
        <f t="shared" si="47"/>
        <v>17.794004786895854</v>
      </c>
      <c r="U1546">
        <v>1600</v>
      </c>
      <c r="V1546">
        <v>1049</v>
      </c>
      <c r="W1546">
        <v>2152</v>
      </c>
      <c r="X1546">
        <v>1157</v>
      </c>
      <c r="Y1546">
        <v>58</v>
      </c>
      <c r="Z1546">
        <v>51.4</v>
      </c>
      <c r="AA1546">
        <v>64.7</v>
      </c>
    </row>
    <row r="1547" spans="1:27" x14ac:dyDescent="0.25">
      <c r="A1547" t="s">
        <v>239</v>
      </c>
      <c r="B1547" t="s">
        <v>188</v>
      </c>
      <c r="C1547" s="76">
        <v>43975</v>
      </c>
      <c r="D1547">
        <v>9283</v>
      </c>
      <c r="E1547">
        <v>6778</v>
      </c>
      <c r="F1547">
        <v>11788</v>
      </c>
      <c r="G1547">
        <v>8918</v>
      </c>
      <c r="H1547">
        <v>51</v>
      </c>
      <c r="I1547">
        <v>46.6</v>
      </c>
      <c r="J1547">
        <v>55.4</v>
      </c>
      <c r="K1547">
        <v>1184</v>
      </c>
      <c r="L1547">
        <v>827</v>
      </c>
      <c r="M1547">
        <v>1541</v>
      </c>
      <c r="N1547">
        <v>6.5</v>
      </c>
      <c r="O1547">
        <v>5.4</v>
      </c>
      <c r="P1547">
        <v>7.6</v>
      </c>
      <c r="Q1547">
        <f t="shared" si="46"/>
        <v>6805663</v>
      </c>
      <c r="R1547">
        <f t="shared" si="47"/>
        <v>17.397276356469607</v>
      </c>
      <c r="U1547">
        <v>1532</v>
      </c>
      <c r="V1547">
        <v>1001</v>
      </c>
      <c r="W1547">
        <v>2063</v>
      </c>
      <c r="X1547">
        <v>1196</v>
      </c>
      <c r="Y1547">
        <v>56.2</v>
      </c>
      <c r="Z1547">
        <v>49.6</v>
      </c>
      <c r="AA1547">
        <v>62.7</v>
      </c>
    </row>
    <row r="1548" spans="1:27" x14ac:dyDescent="0.25">
      <c r="A1548" t="s">
        <v>239</v>
      </c>
      <c r="B1548" t="s">
        <v>188</v>
      </c>
      <c r="C1548" s="76">
        <v>43976</v>
      </c>
      <c r="D1548">
        <v>9331</v>
      </c>
      <c r="E1548">
        <v>6760</v>
      </c>
      <c r="F1548">
        <v>11902</v>
      </c>
      <c r="G1548">
        <v>8839</v>
      </c>
      <c r="H1548">
        <v>51.4</v>
      </c>
      <c r="I1548">
        <v>46.9</v>
      </c>
      <c r="J1548">
        <v>55.8</v>
      </c>
      <c r="K1548">
        <v>1164</v>
      </c>
      <c r="L1548">
        <v>795</v>
      </c>
      <c r="M1548">
        <v>1532</v>
      </c>
      <c r="N1548">
        <v>6.4</v>
      </c>
      <c r="O1548">
        <v>5.2</v>
      </c>
      <c r="P1548">
        <v>7.6</v>
      </c>
      <c r="Q1548">
        <f t="shared" si="46"/>
        <v>6805663</v>
      </c>
      <c r="R1548">
        <f t="shared" si="47"/>
        <v>17.103403445042755</v>
      </c>
      <c r="U1548">
        <v>1427</v>
      </c>
      <c r="V1548">
        <v>902</v>
      </c>
      <c r="W1548">
        <v>1951</v>
      </c>
      <c r="X1548">
        <v>1307</v>
      </c>
      <c r="Y1548">
        <v>52.2</v>
      </c>
      <c r="Z1548">
        <v>44.3</v>
      </c>
      <c r="AA1548">
        <v>60</v>
      </c>
    </row>
    <row r="1549" spans="1:27" x14ac:dyDescent="0.25">
      <c r="A1549" t="s">
        <v>239</v>
      </c>
      <c r="B1549" t="s">
        <v>188</v>
      </c>
      <c r="C1549" s="76">
        <v>43977</v>
      </c>
      <c r="D1549">
        <v>9662</v>
      </c>
      <c r="E1549">
        <v>6947</v>
      </c>
      <c r="F1549">
        <v>12377</v>
      </c>
      <c r="G1549">
        <v>8206</v>
      </c>
      <c r="H1549">
        <v>54.1</v>
      </c>
      <c r="I1549">
        <v>49.7</v>
      </c>
      <c r="J1549">
        <v>58.5</v>
      </c>
      <c r="K1549">
        <v>1178</v>
      </c>
      <c r="L1549">
        <v>801</v>
      </c>
      <c r="M1549">
        <v>1556</v>
      </c>
      <c r="N1549">
        <v>6.6</v>
      </c>
      <c r="O1549">
        <v>5.4</v>
      </c>
      <c r="P1549">
        <v>7.8</v>
      </c>
      <c r="Q1549">
        <f t="shared" si="46"/>
        <v>6805663</v>
      </c>
      <c r="R1549">
        <f t="shared" si="47"/>
        <v>17.309114483041547</v>
      </c>
      <c r="U1549">
        <v>1487</v>
      </c>
      <c r="V1549">
        <v>921</v>
      </c>
      <c r="W1549">
        <v>2053</v>
      </c>
      <c r="X1549">
        <v>1294</v>
      </c>
      <c r="Y1549">
        <v>53.5</v>
      </c>
      <c r="Z1549">
        <v>46</v>
      </c>
      <c r="AA1549">
        <v>60.9</v>
      </c>
    </row>
    <row r="1550" spans="1:27" x14ac:dyDescent="0.25">
      <c r="A1550" t="s">
        <v>239</v>
      </c>
      <c r="B1550" t="s">
        <v>188</v>
      </c>
      <c r="C1550" s="76">
        <v>43978</v>
      </c>
      <c r="D1550">
        <v>10460</v>
      </c>
      <c r="E1550">
        <v>7636</v>
      </c>
      <c r="F1550">
        <v>13284</v>
      </c>
      <c r="G1550">
        <v>7491</v>
      </c>
      <c r="H1550">
        <v>58.3</v>
      </c>
      <c r="I1550">
        <v>53.9</v>
      </c>
      <c r="J1550">
        <v>62.6</v>
      </c>
      <c r="K1550">
        <v>1199</v>
      </c>
      <c r="L1550">
        <v>833</v>
      </c>
      <c r="M1550">
        <v>1564</v>
      </c>
      <c r="N1550">
        <v>6.7</v>
      </c>
      <c r="O1550">
        <v>5.5</v>
      </c>
      <c r="P1550">
        <v>7.9</v>
      </c>
      <c r="Q1550">
        <f t="shared" si="46"/>
        <v>6805663</v>
      </c>
      <c r="R1550">
        <f t="shared" si="47"/>
        <v>17.617681040039741</v>
      </c>
      <c r="U1550">
        <v>1679</v>
      </c>
      <c r="V1550">
        <v>1066</v>
      </c>
      <c r="W1550">
        <v>2292</v>
      </c>
      <c r="X1550">
        <v>1170</v>
      </c>
      <c r="Y1550">
        <v>58.9</v>
      </c>
      <c r="Z1550">
        <v>50.1</v>
      </c>
      <c r="AA1550">
        <v>67.8</v>
      </c>
    </row>
    <row r="1551" spans="1:27" x14ac:dyDescent="0.25">
      <c r="A1551" t="s">
        <v>239</v>
      </c>
      <c r="B1551" t="s">
        <v>188</v>
      </c>
      <c r="C1551" s="76">
        <v>43979</v>
      </c>
      <c r="D1551">
        <v>10438</v>
      </c>
      <c r="E1551">
        <v>7476</v>
      </c>
      <c r="F1551">
        <v>13399</v>
      </c>
      <c r="G1551">
        <v>7349</v>
      </c>
      <c r="H1551">
        <v>58.7</v>
      </c>
      <c r="I1551">
        <v>53.9</v>
      </c>
      <c r="J1551">
        <v>63.5</v>
      </c>
      <c r="K1551">
        <v>1080</v>
      </c>
      <c r="L1551">
        <v>741</v>
      </c>
      <c r="M1551">
        <v>1419</v>
      </c>
      <c r="N1551">
        <v>6.1</v>
      </c>
      <c r="O1551">
        <v>5</v>
      </c>
      <c r="P1551">
        <v>7.1</v>
      </c>
      <c r="Q1551">
        <f t="shared" si="46"/>
        <v>6805663</v>
      </c>
      <c r="R1551">
        <f t="shared" si="47"/>
        <v>15.869137217049976</v>
      </c>
      <c r="U1551">
        <v>1850</v>
      </c>
      <c r="V1551">
        <v>1098</v>
      </c>
      <c r="W1551">
        <v>2603</v>
      </c>
      <c r="X1551">
        <v>1067</v>
      </c>
      <c r="Y1551">
        <v>63.4</v>
      </c>
      <c r="Z1551">
        <v>53.8</v>
      </c>
      <c r="AA1551">
        <v>73.099999999999994</v>
      </c>
    </row>
    <row r="1552" spans="1:27" x14ac:dyDescent="0.25">
      <c r="A1552" t="s">
        <v>239</v>
      </c>
      <c r="B1552" t="s">
        <v>188</v>
      </c>
      <c r="C1552" s="76">
        <v>43980</v>
      </c>
      <c r="D1552">
        <v>10506</v>
      </c>
      <c r="E1552">
        <v>7611</v>
      </c>
      <c r="F1552">
        <v>13401</v>
      </c>
      <c r="G1552">
        <v>7398</v>
      </c>
      <c r="H1552">
        <v>58.7</v>
      </c>
      <c r="I1552">
        <v>53.7</v>
      </c>
      <c r="J1552">
        <v>63.7</v>
      </c>
      <c r="K1552">
        <v>1125</v>
      </c>
      <c r="L1552">
        <v>780</v>
      </c>
      <c r="M1552">
        <v>1471</v>
      </c>
      <c r="N1552">
        <v>6.3</v>
      </c>
      <c r="O1552">
        <v>5.2</v>
      </c>
      <c r="P1552">
        <v>7.4</v>
      </c>
      <c r="Q1552">
        <f t="shared" si="46"/>
        <v>6805663</v>
      </c>
      <c r="R1552">
        <f t="shared" si="47"/>
        <v>16.530351267760391</v>
      </c>
      <c r="U1552">
        <v>1834</v>
      </c>
      <c r="V1552">
        <v>1140</v>
      </c>
      <c r="W1552">
        <v>2527</v>
      </c>
      <c r="X1552">
        <v>1057</v>
      </c>
      <c r="Y1552">
        <v>63.4</v>
      </c>
      <c r="Z1552">
        <v>55</v>
      </c>
      <c r="AA1552">
        <v>71.8</v>
      </c>
    </row>
    <row r="1553" spans="1:27" x14ac:dyDescent="0.25">
      <c r="A1553" t="s">
        <v>239</v>
      </c>
      <c r="B1553" t="s">
        <v>188</v>
      </c>
      <c r="C1553" s="76">
        <v>43981</v>
      </c>
      <c r="D1553">
        <v>10093</v>
      </c>
      <c r="E1553">
        <v>7416</v>
      </c>
      <c r="F1553">
        <v>12770</v>
      </c>
      <c r="G1553">
        <v>8165</v>
      </c>
      <c r="H1553">
        <v>55.3</v>
      </c>
      <c r="I1553">
        <v>51.1</v>
      </c>
      <c r="J1553">
        <v>59.5</v>
      </c>
      <c r="K1553">
        <v>1136</v>
      </c>
      <c r="L1553">
        <v>795</v>
      </c>
      <c r="M1553">
        <v>1477</v>
      </c>
      <c r="N1553">
        <v>6.2</v>
      </c>
      <c r="O1553">
        <v>5.2</v>
      </c>
      <c r="P1553">
        <v>7.3</v>
      </c>
      <c r="Q1553">
        <f t="shared" si="46"/>
        <v>6805663</v>
      </c>
      <c r="R1553">
        <f t="shared" si="47"/>
        <v>16.691981369045163</v>
      </c>
      <c r="U1553">
        <v>1690</v>
      </c>
      <c r="V1553">
        <v>1082</v>
      </c>
      <c r="W1553">
        <v>2298</v>
      </c>
      <c r="X1553">
        <v>1177</v>
      </c>
      <c r="Y1553">
        <v>59</v>
      </c>
      <c r="Z1553">
        <v>51</v>
      </c>
      <c r="AA1553">
        <v>66.900000000000006</v>
      </c>
    </row>
    <row r="1554" spans="1:27" x14ac:dyDescent="0.25">
      <c r="A1554" t="s">
        <v>239</v>
      </c>
      <c r="B1554" t="s">
        <v>188</v>
      </c>
      <c r="C1554" s="76">
        <v>43982</v>
      </c>
      <c r="D1554">
        <v>9582</v>
      </c>
      <c r="E1554">
        <v>6999</v>
      </c>
      <c r="F1554">
        <v>12165</v>
      </c>
      <c r="G1554">
        <v>8500</v>
      </c>
      <c r="H1554">
        <v>53</v>
      </c>
      <c r="I1554">
        <v>48.7</v>
      </c>
      <c r="J1554">
        <v>57.3</v>
      </c>
      <c r="K1554">
        <v>1054</v>
      </c>
      <c r="L1554">
        <v>727</v>
      </c>
      <c r="M1554">
        <v>1381</v>
      </c>
      <c r="N1554">
        <v>5.8</v>
      </c>
      <c r="O1554">
        <v>4.8</v>
      </c>
      <c r="P1554">
        <v>6.9</v>
      </c>
      <c r="Q1554">
        <f t="shared" si="46"/>
        <v>6805663</v>
      </c>
      <c r="R1554">
        <f t="shared" si="47"/>
        <v>15.487102432195071</v>
      </c>
      <c r="U1554">
        <v>1612</v>
      </c>
      <c r="V1554">
        <v>1024</v>
      </c>
      <c r="W1554">
        <v>2200</v>
      </c>
      <c r="X1554">
        <v>1448</v>
      </c>
      <c r="Y1554">
        <v>52.7</v>
      </c>
      <c r="Z1554">
        <v>42.6</v>
      </c>
      <c r="AA1554">
        <v>62.8</v>
      </c>
    </row>
    <row r="1555" spans="1:27" x14ac:dyDescent="0.25">
      <c r="A1555" t="s">
        <v>239</v>
      </c>
      <c r="B1555" t="s">
        <v>188</v>
      </c>
      <c r="C1555" s="76">
        <v>43983</v>
      </c>
      <c r="D1555">
        <v>9713</v>
      </c>
      <c r="E1555">
        <v>7027</v>
      </c>
      <c r="F1555">
        <v>12399</v>
      </c>
      <c r="G1555">
        <v>8392</v>
      </c>
      <c r="H1555">
        <v>53.6</v>
      </c>
      <c r="I1555">
        <v>49.3</v>
      </c>
      <c r="J1555">
        <v>58</v>
      </c>
      <c r="K1555">
        <v>1017</v>
      </c>
      <c r="L1555">
        <v>692</v>
      </c>
      <c r="M1555">
        <v>1341</v>
      </c>
      <c r="N1555">
        <v>5.6</v>
      </c>
      <c r="O1555">
        <v>4.5</v>
      </c>
      <c r="P1555">
        <v>6.7</v>
      </c>
      <c r="Q1555">
        <f t="shared" si="46"/>
        <v>6805663</v>
      </c>
      <c r="R1555">
        <f t="shared" si="47"/>
        <v>14.943437546055394</v>
      </c>
      <c r="U1555">
        <v>1623</v>
      </c>
      <c r="V1555">
        <v>996</v>
      </c>
      <c r="W1555">
        <v>2250</v>
      </c>
      <c r="X1555">
        <v>1319</v>
      </c>
      <c r="Y1555">
        <v>55.2</v>
      </c>
      <c r="Z1555">
        <v>47.2</v>
      </c>
      <c r="AA1555">
        <v>63.2</v>
      </c>
    </row>
    <row r="1556" spans="1:27" x14ac:dyDescent="0.25">
      <c r="A1556" t="s">
        <v>239</v>
      </c>
      <c r="B1556" t="s">
        <v>188</v>
      </c>
      <c r="C1556" s="76">
        <v>43984</v>
      </c>
      <c r="D1556">
        <v>10207</v>
      </c>
      <c r="E1556">
        <v>7392</v>
      </c>
      <c r="F1556">
        <v>13023</v>
      </c>
      <c r="G1556">
        <v>7934</v>
      </c>
      <c r="H1556">
        <v>56.3</v>
      </c>
      <c r="I1556">
        <v>51.7</v>
      </c>
      <c r="J1556">
        <v>60.8</v>
      </c>
      <c r="K1556">
        <v>1011</v>
      </c>
      <c r="L1556">
        <v>680</v>
      </c>
      <c r="M1556">
        <v>1343</v>
      </c>
      <c r="N1556">
        <v>5.6</v>
      </c>
      <c r="O1556">
        <v>4.4000000000000004</v>
      </c>
      <c r="P1556">
        <v>6.7</v>
      </c>
      <c r="Q1556">
        <f t="shared" si="46"/>
        <v>6805663</v>
      </c>
      <c r="R1556">
        <f t="shared" si="47"/>
        <v>14.855275672627339</v>
      </c>
      <c r="U1556">
        <v>1707</v>
      </c>
      <c r="V1556">
        <v>1029</v>
      </c>
      <c r="W1556">
        <v>2385</v>
      </c>
      <c r="X1556">
        <v>1110</v>
      </c>
      <c r="Y1556">
        <v>60.6</v>
      </c>
      <c r="Z1556">
        <v>50.1</v>
      </c>
      <c r="AA1556">
        <v>71.099999999999994</v>
      </c>
    </row>
    <row r="1557" spans="1:27" x14ac:dyDescent="0.25">
      <c r="A1557" t="s">
        <v>239</v>
      </c>
      <c r="B1557" t="s">
        <v>188</v>
      </c>
      <c r="C1557" s="76">
        <v>43985</v>
      </c>
      <c r="D1557">
        <v>10752</v>
      </c>
      <c r="E1557">
        <v>7615</v>
      </c>
      <c r="F1557">
        <v>13889</v>
      </c>
      <c r="G1557">
        <v>7626</v>
      </c>
      <c r="H1557">
        <v>58.5</v>
      </c>
      <c r="I1557">
        <v>53.6</v>
      </c>
      <c r="J1557">
        <v>63.4</v>
      </c>
      <c r="K1557">
        <v>981</v>
      </c>
      <c r="L1557">
        <v>666</v>
      </c>
      <c r="M1557">
        <v>1297</v>
      </c>
      <c r="N1557">
        <v>5.3</v>
      </c>
      <c r="O1557">
        <v>4.3</v>
      </c>
      <c r="P1557">
        <v>6.4</v>
      </c>
      <c r="Q1557">
        <f t="shared" si="46"/>
        <v>6805663</v>
      </c>
      <c r="R1557">
        <f t="shared" si="47"/>
        <v>14.414466305487064</v>
      </c>
      <c r="U1557">
        <v>1878</v>
      </c>
      <c r="V1557">
        <v>1073</v>
      </c>
      <c r="W1557">
        <v>2684</v>
      </c>
      <c r="X1557">
        <v>964</v>
      </c>
      <c r="Y1557">
        <v>66.099999999999994</v>
      </c>
      <c r="Z1557">
        <v>54</v>
      </c>
      <c r="AA1557">
        <v>78.2</v>
      </c>
    </row>
    <row r="1558" spans="1:27" x14ac:dyDescent="0.25">
      <c r="A1558" t="s">
        <v>239</v>
      </c>
      <c r="B1558" t="s">
        <v>188</v>
      </c>
      <c r="C1558" s="76">
        <v>43986</v>
      </c>
      <c r="D1558">
        <v>10627</v>
      </c>
      <c r="E1558">
        <v>7642</v>
      </c>
      <c r="F1558">
        <v>13612</v>
      </c>
      <c r="G1558">
        <v>7393</v>
      </c>
      <c r="H1558">
        <v>59</v>
      </c>
      <c r="I1558">
        <v>54.4</v>
      </c>
      <c r="J1558">
        <v>63.6</v>
      </c>
      <c r="K1558">
        <v>980</v>
      </c>
      <c r="L1558">
        <v>665</v>
      </c>
      <c r="M1558">
        <v>1295</v>
      </c>
      <c r="N1558">
        <v>5.4</v>
      </c>
      <c r="O1558">
        <v>4.4000000000000004</v>
      </c>
      <c r="P1558">
        <v>6.5</v>
      </c>
      <c r="Q1558">
        <f t="shared" si="46"/>
        <v>6805663</v>
      </c>
      <c r="R1558">
        <f t="shared" si="47"/>
        <v>14.399772659915721</v>
      </c>
      <c r="U1558">
        <v>2119</v>
      </c>
      <c r="V1558">
        <v>1231</v>
      </c>
      <c r="W1558">
        <v>3007</v>
      </c>
      <c r="X1558">
        <v>1065</v>
      </c>
      <c r="Y1558">
        <v>66.5</v>
      </c>
      <c r="Z1558">
        <v>57.4</v>
      </c>
      <c r="AA1558">
        <v>75.7</v>
      </c>
    </row>
    <row r="1559" spans="1:27" x14ac:dyDescent="0.25">
      <c r="A1559" t="s">
        <v>239</v>
      </c>
      <c r="B1559" t="s">
        <v>188</v>
      </c>
      <c r="C1559" s="76">
        <v>43987</v>
      </c>
      <c r="D1559">
        <v>10534</v>
      </c>
      <c r="E1559">
        <v>7593</v>
      </c>
      <c r="F1559">
        <v>13474</v>
      </c>
      <c r="G1559">
        <v>7481</v>
      </c>
      <c r="H1559">
        <v>58.5</v>
      </c>
      <c r="I1559">
        <v>53.3</v>
      </c>
      <c r="J1559">
        <v>63.6</v>
      </c>
      <c r="K1559">
        <v>976</v>
      </c>
      <c r="L1559">
        <v>671</v>
      </c>
      <c r="M1559">
        <v>1282</v>
      </c>
      <c r="N1559">
        <v>5.4</v>
      </c>
      <c r="O1559">
        <v>4.5</v>
      </c>
      <c r="P1559">
        <v>6.4</v>
      </c>
      <c r="Q1559">
        <f t="shared" si="46"/>
        <v>6805663</v>
      </c>
      <c r="R1559">
        <f t="shared" si="47"/>
        <v>14.340998077630351</v>
      </c>
      <c r="U1559">
        <v>1919</v>
      </c>
      <c r="V1559">
        <v>1159</v>
      </c>
      <c r="W1559">
        <v>2680</v>
      </c>
      <c r="X1559">
        <v>944</v>
      </c>
      <c r="Y1559">
        <v>67</v>
      </c>
      <c r="Z1559">
        <v>57</v>
      </c>
      <c r="AA1559">
        <v>77.099999999999994</v>
      </c>
    </row>
    <row r="1560" spans="1:27" x14ac:dyDescent="0.25">
      <c r="A1560" t="s">
        <v>239</v>
      </c>
      <c r="B1560" t="s">
        <v>188</v>
      </c>
      <c r="C1560" s="76">
        <v>43988</v>
      </c>
      <c r="D1560">
        <v>9735</v>
      </c>
      <c r="E1560">
        <v>7098</v>
      </c>
      <c r="F1560">
        <v>12372</v>
      </c>
      <c r="G1560">
        <v>8405</v>
      </c>
      <c r="H1560">
        <v>53.7</v>
      </c>
      <c r="I1560">
        <v>49.3</v>
      </c>
      <c r="J1560">
        <v>58.1</v>
      </c>
      <c r="K1560">
        <v>960</v>
      </c>
      <c r="L1560">
        <v>658</v>
      </c>
      <c r="M1560">
        <v>1262</v>
      </c>
      <c r="N1560">
        <v>5.3</v>
      </c>
      <c r="O1560">
        <v>4.3</v>
      </c>
      <c r="P1560">
        <v>6.3</v>
      </c>
      <c r="Q1560">
        <f t="shared" si="46"/>
        <v>6805663</v>
      </c>
      <c r="R1560">
        <f t="shared" si="47"/>
        <v>14.105899748488868</v>
      </c>
      <c r="U1560">
        <v>1943</v>
      </c>
      <c r="V1560">
        <v>1179</v>
      </c>
      <c r="W1560">
        <v>2706</v>
      </c>
      <c r="X1560">
        <v>1072</v>
      </c>
      <c r="Y1560">
        <v>64.400000000000006</v>
      </c>
      <c r="Z1560">
        <v>55.1</v>
      </c>
      <c r="AA1560">
        <v>73.8</v>
      </c>
    </row>
    <row r="1561" spans="1:27" x14ac:dyDescent="0.25">
      <c r="A1561" t="s">
        <v>239</v>
      </c>
      <c r="B1561" t="s">
        <v>188</v>
      </c>
      <c r="C1561" s="76">
        <v>43989</v>
      </c>
      <c r="D1561">
        <v>9869</v>
      </c>
      <c r="E1561">
        <v>7148</v>
      </c>
      <c r="F1561">
        <v>12591</v>
      </c>
      <c r="G1561">
        <v>8515</v>
      </c>
      <c r="H1561">
        <v>53.7</v>
      </c>
      <c r="I1561">
        <v>49.4</v>
      </c>
      <c r="J1561">
        <v>57.9</v>
      </c>
      <c r="K1561">
        <v>914</v>
      </c>
      <c r="L1561">
        <v>619</v>
      </c>
      <c r="M1561">
        <v>1208</v>
      </c>
      <c r="N1561">
        <v>5</v>
      </c>
      <c r="O1561">
        <v>3.9</v>
      </c>
      <c r="P1561">
        <v>6</v>
      </c>
      <c r="Q1561">
        <f t="shared" si="46"/>
        <v>6805663</v>
      </c>
      <c r="R1561">
        <f t="shared" si="47"/>
        <v>13.42999205220711</v>
      </c>
      <c r="U1561">
        <v>1848</v>
      </c>
      <c r="V1561">
        <v>1136</v>
      </c>
      <c r="W1561">
        <v>2560</v>
      </c>
      <c r="X1561">
        <v>1097</v>
      </c>
      <c r="Y1561">
        <v>62.7</v>
      </c>
      <c r="Z1561">
        <v>54</v>
      </c>
      <c r="AA1561">
        <v>71.5</v>
      </c>
    </row>
    <row r="1562" spans="1:27" x14ac:dyDescent="0.25">
      <c r="A1562" t="s">
        <v>239</v>
      </c>
      <c r="B1562" t="s">
        <v>188</v>
      </c>
      <c r="C1562" s="76">
        <v>43990</v>
      </c>
      <c r="D1562">
        <v>9746</v>
      </c>
      <c r="E1562">
        <v>7078</v>
      </c>
      <c r="F1562">
        <v>12413</v>
      </c>
      <c r="G1562">
        <v>8605</v>
      </c>
      <c r="H1562">
        <v>53.1</v>
      </c>
      <c r="I1562">
        <v>48.6</v>
      </c>
      <c r="J1562">
        <v>57.6</v>
      </c>
      <c r="K1562">
        <v>979</v>
      </c>
      <c r="L1562">
        <v>659</v>
      </c>
      <c r="M1562">
        <v>1300</v>
      </c>
      <c r="N1562">
        <v>5.3</v>
      </c>
      <c r="O1562">
        <v>4.2</v>
      </c>
      <c r="P1562">
        <v>6.5</v>
      </c>
      <c r="Q1562">
        <f t="shared" si="46"/>
        <v>6805663</v>
      </c>
      <c r="R1562">
        <f t="shared" si="47"/>
        <v>14.385079014344379</v>
      </c>
      <c r="U1562">
        <v>1901</v>
      </c>
      <c r="V1562">
        <v>1164</v>
      </c>
      <c r="W1562">
        <v>2637</v>
      </c>
      <c r="X1562">
        <v>1206</v>
      </c>
      <c r="Y1562">
        <v>61.2</v>
      </c>
      <c r="Z1562">
        <v>52.7</v>
      </c>
      <c r="AA1562">
        <v>69.7</v>
      </c>
    </row>
    <row r="1563" spans="1:27" x14ac:dyDescent="0.25">
      <c r="A1563" t="s">
        <v>239</v>
      </c>
      <c r="B1563" t="s">
        <v>188</v>
      </c>
      <c r="C1563" s="76">
        <v>43991</v>
      </c>
      <c r="D1563">
        <v>10444</v>
      </c>
      <c r="E1563">
        <v>7642</v>
      </c>
      <c r="F1563">
        <v>13246</v>
      </c>
      <c r="G1563">
        <v>7516</v>
      </c>
      <c r="H1563">
        <v>58.2</v>
      </c>
      <c r="I1563">
        <v>53.8</v>
      </c>
      <c r="J1563">
        <v>62.5</v>
      </c>
      <c r="K1563">
        <v>1002</v>
      </c>
      <c r="L1563">
        <v>686</v>
      </c>
      <c r="M1563">
        <v>1318</v>
      </c>
      <c r="N1563">
        <v>5.6</v>
      </c>
      <c r="O1563">
        <v>4.4000000000000004</v>
      </c>
      <c r="P1563">
        <v>6.7</v>
      </c>
      <c r="Q1563">
        <f t="shared" si="46"/>
        <v>6805663</v>
      </c>
      <c r="R1563">
        <f t="shared" si="47"/>
        <v>14.723032862485258</v>
      </c>
      <c r="U1563">
        <v>1920</v>
      </c>
      <c r="V1563">
        <v>1220</v>
      </c>
      <c r="W1563">
        <v>2621</v>
      </c>
      <c r="X1563">
        <v>1148</v>
      </c>
      <c r="Y1563">
        <v>62.6</v>
      </c>
      <c r="Z1563">
        <v>55.6</v>
      </c>
      <c r="AA1563">
        <v>69.599999999999994</v>
      </c>
    </row>
    <row r="1564" spans="1:27" x14ac:dyDescent="0.25">
      <c r="A1564" t="s">
        <v>239</v>
      </c>
      <c r="B1564" t="s">
        <v>188</v>
      </c>
      <c r="C1564" s="76">
        <v>43992</v>
      </c>
      <c r="D1564">
        <v>10857</v>
      </c>
      <c r="E1564">
        <v>7765</v>
      </c>
      <c r="F1564">
        <v>13949</v>
      </c>
      <c r="G1564">
        <v>7554</v>
      </c>
      <c r="H1564">
        <v>59</v>
      </c>
      <c r="I1564">
        <v>54.5</v>
      </c>
      <c r="J1564">
        <v>63.5</v>
      </c>
      <c r="K1564">
        <v>954</v>
      </c>
      <c r="L1564">
        <v>648</v>
      </c>
      <c r="M1564">
        <v>1261</v>
      </c>
      <c r="N1564">
        <v>5.2</v>
      </c>
      <c r="O1564">
        <v>4.2</v>
      </c>
      <c r="P1564">
        <v>6.1</v>
      </c>
      <c r="Q1564">
        <f t="shared" si="46"/>
        <v>6805663</v>
      </c>
      <c r="R1564">
        <f t="shared" si="47"/>
        <v>14.017737875060813</v>
      </c>
      <c r="U1564">
        <v>2230</v>
      </c>
      <c r="V1564">
        <v>1271</v>
      </c>
      <c r="W1564">
        <v>3189</v>
      </c>
      <c r="X1564">
        <v>982</v>
      </c>
      <c r="Y1564">
        <v>69.400000000000006</v>
      </c>
      <c r="Z1564">
        <v>60.1</v>
      </c>
      <c r="AA1564">
        <v>78.8</v>
      </c>
    </row>
    <row r="1565" spans="1:27" x14ac:dyDescent="0.25">
      <c r="A1565" t="s">
        <v>239</v>
      </c>
      <c r="B1565" t="s">
        <v>188</v>
      </c>
      <c r="C1565" s="76">
        <v>43993</v>
      </c>
      <c r="D1565">
        <v>10746</v>
      </c>
      <c r="E1565">
        <v>7836</v>
      </c>
      <c r="F1565">
        <v>13656</v>
      </c>
      <c r="G1565">
        <v>7221</v>
      </c>
      <c r="H1565">
        <v>59.8</v>
      </c>
      <c r="I1565">
        <v>55.4</v>
      </c>
      <c r="J1565">
        <v>64.2</v>
      </c>
      <c r="K1565">
        <v>1067</v>
      </c>
      <c r="L1565">
        <v>689</v>
      </c>
      <c r="M1565">
        <v>1445</v>
      </c>
      <c r="N1565">
        <v>5.9</v>
      </c>
      <c r="O1565">
        <v>4.5</v>
      </c>
      <c r="P1565">
        <v>7.4</v>
      </c>
      <c r="Q1565">
        <f t="shared" si="46"/>
        <v>6805663</v>
      </c>
      <c r="R1565">
        <f t="shared" si="47"/>
        <v>15.678119824622526</v>
      </c>
      <c r="U1565">
        <v>2038</v>
      </c>
      <c r="V1565">
        <v>1270</v>
      </c>
      <c r="W1565">
        <v>2805</v>
      </c>
      <c r="X1565">
        <v>1073</v>
      </c>
      <c r="Y1565">
        <v>65.5</v>
      </c>
      <c r="Z1565">
        <v>58.4</v>
      </c>
      <c r="AA1565">
        <v>72.599999999999994</v>
      </c>
    </row>
    <row r="1566" spans="1:27" x14ac:dyDescent="0.25">
      <c r="A1566" t="s">
        <v>239</v>
      </c>
      <c r="B1566" t="s">
        <v>188</v>
      </c>
      <c r="C1566" s="76">
        <v>43994</v>
      </c>
      <c r="D1566">
        <v>10738</v>
      </c>
      <c r="E1566">
        <v>7839</v>
      </c>
      <c r="F1566">
        <v>13637</v>
      </c>
      <c r="G1566">
        <v>7175</v>
      </c>
      <c r="H1566">
        <v>59.9</v>
      </c>
      <c r="I1566">
        <v>55.6</v>
      </c>
      <c r="J1566">
        <v>64.3</v>
      </c>
      <c r="K1566">
        <v>957</v>
      </c>
      <c r="L1566">
        <v>633</v>
      </c>
      <c r="M1566">
        <v>1281</v>
      </c>
      <c r="N1566">
        <v>5.3</v>
      </c>
      <c r="O1566">
        <v>4.5</v>
      </c>
      <c r="P1566">
        <v>6.2</v>
      </c>
      <c r="Q1566">
        <f t="shared" si="46"/>
        <v>6805663</v>
      </c>
      <c r="R1566">
        <f t="shared" si="47"/>
        <v>14.061818811774842</v>
      </c>
      <c r="U1566">
        <v>1796</v>
      </c>
      <c r="V1566">
        <v>1136</v>
      </c>
      <c r="W1566">
        <v>2456</v>
      </c>
      <c r="X1566">
        <v>1022</v>
      </c>
      <c r="Y1566">
        <v>63.7</v>
      </c>
      <c r="Z1566">
        <v>56</v>
      </c>
      <c r="AA1566">
        <v>71.5</v>
      </c>
    </row>
    <row r="1567" spans="1:27" x14ac:dyDescent="0.25">
      <c r="A1567" t="s">
        <v>239</v>
      </c>
      <c r="B1567" t="s">
        <v>188</v>
      </c>
      <c r="C1567" s="76">
        <v>43995</v>
      </c>
      <c r="D1567">
        <v>10200</v>
      </c>
      <c r="E1567">
        <v>7468</v>
      </c>
      <c r="F1567">
        <v>12931</v>
      </c>
      <c r="G1567">
        <v>7821</v>
      </c>
      <c r="H1567">
        <v>56.6</v>
      </c>
      <c r="I1567">
        <v>52.1</v>
      </c>
      <c r="J1567">
        <v>61.1</v>
      </c>
      <c r="K1567">
        <v>892</v>
      </c>
      <c r="L1567">
        <v>591</v>
      </c>
      <c r="M1567">
        <v>1193</v>
      </c>
      <c r="N1567">
        <v>5</v>
      </c>
      <c r="O1567">
        <v>4</v>
      </c>
      <c r="P1567">
        <v>5.9</v>
      </c>
      <c r="Q1567">
        <f t="shared" si="46"/>
        <v>6805663</v>
      </c>
      <c r="R1567">
        <f t="shared" si="47"/>
        <v>13.106731849637574</v>
      </c>
      <c r="U1567">
        <v>1693</v>
      </c>
      <c r="V1567">
        <v>1098</v>
      </c>
      <c r="W1567">
        <v>2289</v>
      </c>
      <c r="X1567">
        <v>1070</v>
      </c>
      <c r="Y1567">
        <v>61.3</v>
      </c>
      <c r="Z1567">
        <v>54.3</v>
      </c>
      <c r="AA1567">
        <v>68.3</v>
      </c>
    </row>
    <row r="1568" spans="1:27" x14ac:dyDescent="0.25">
      <c r="A1568" t="s">
        <v>239</v>
      </c>
      <c r="B1568" t="s">
        <v>188</v>
      </c>
      <c r="C1568" s="76">
        <v>43996</v>
      </c>
      <c r="D1568">
        <v>9699</v>
      </c>
      <c r="E1568">
        <v>6982</v>
      </c>
      <c r="F1568">
        <v>12416</v>
      </c>
      <c r="G1568">
        <v>8353</v>
      </c>
      <c r="H1568">
        <v>53.7</v>
      </c>
      <c r="I1568">
        <v>49.4</v>
      </c>
      <c r="J1568">
        <v>58.1</v>
      </c>
      <c r="K1568">
        <v>898</v>
      </c>
      <c r="L1568">
        <v>576</v>
      </c>
      <c r="M1568">
        <v>1219</v>
      </c>
      <c r="N1568">
        <v>5</v>
      </c>
      <c r="O1568">
        <v>3.8</v>
      </c>
      <c r="P1568">
        <v>6.1</v>
      </c>
      <c r="Q1568">
        <f t="shared" si="46"/>
        <v>6805663</v>
      </c>
      <c r="R1568">
        <f t="shared" si="47"/>
        <v>13.194893723065629</v>
      </c>
      <c r="U1568">
        <v>1799</v>
      </c>
      <c r="V1568">
        <v>1129</v>
      </c>
      <c r="W1568">
        <v>2468</v>
      </c>
      <c r="X1568">
        <v>1177</v>
      </c>
      <c r="Y1568">
        <v>60.4</v>
      </c>
      <c r="Z1568">
        <v>54.1</v>
      </c>
      <c r="AA1568">
        <v>66.8</v>
      </c>
    </row>
    <row r="1569" spans="1:27" x14ac:dyDescent="0.25">
      <c r="A1569" t="s">
        <v>239</v>
      </c>
      <c r="B1569" t="s">
        <v>188</v>
      </c>
      <c r="C1569" s="76">
        <v>43997</v>
      </c>
      <c r="D1569">
        <v>9731</v>
      </c>
      <c r="E1569">
        <v>6983</v>
      </c>
      <c r="F1569">
        <v>12478</v>
      </c>
      <c r="G1569">
        <v>8299</v>
      </c>
      <c r="H1569">
        <v>54</v>
      </c>
      <c r="I1569">
        <v>49.3</v>
      </c>
      <c r="J1569">
        <v>58.6</v>
      </c>
      <c r="K1569">
        <v>952</v>
      </c>
      <c r="L1569">
        <v>617</v>
      </c>
      <c r="M1569">
        <v>1286</v>
      </c>
      <c r="N1569">
        <v>5.3</v>
      </c>
      <c r="O1569">
        <v>4.2</v>
      </c>
      <c r="P1569">
        <v>6.4</v>
      </c>
      <c r="Q1569">
        <f t="shared" si="46"/>
        <v>6805663</v>
      </c>
      <c r="R1569">
        <f t="shared" si="47"/>
        <v>13.988350583918129</v>
      </c>
      <c r="U1569">
        <v>1839</v>
      </c>
      <c r="V1569">
        <v>1118</v>
      </c>
      <c r="W1569">
        <v>2559</v>
      </c>
      <c r="X1569">
        <v>1133</v>
      </c>
      <c r="Y1569">
        <v>61.9</v>
      </c>
      <c r="Z1569">
        <v>54.6</v>
      </c>
      <c r="AA1569">
        <v>69.099999999999994</v>
      </c>
    </row>
    <row r="1570" spans="1:27" x14ac:dyDescent="0.25">
      <c r="A1570" t="s">
        <v>239</v>
      </c>
      <c r="B1570" t="s">
        <v>188</v>
      </c>
      <c r="C1570" s="76">
        <v>43998</v>
      </c>
      <c r="D1570">
        <v>10304</v>
      </c>
      <c r="E1570">
        <v>7436</v>
      </c>
      <c r="F1570">
        <v>13173</v>
      </c>
      <c r="G1570">
        <v>7537</v>
      </c>
      <c r="H1570">
        <v>57.8</v>
      </c>
      <c r="I1570">
        <v>53.4</v>
      </c>
      <c r="J1570">
        <v>62.1</v>
      </c>
      <c r="K1570">
        <v>855</v>
      </c>
      <c r="L1570">
        <v>541</v>
      </c>
      <c r="M1570">
        <v>1169</v>
      </c>
      <c r="N1570">
        <v>4.8</v>
      </c>
      <c r="O1570">
        <v>3.6</v>
      </c>
      <c r="P1570">
        <v>6</v>
      </c>
      <c r="Q1570">
        <f t="shared" si="46"/>
        <v>6805663</v>
      </c>
      <c r="R1570">
        <f t="shared" si="47"/>
        <v>12.563066963497898</v>
      </c>
      <c r="U1570">
        <v>1899</v>
      </c>
      <c r="V1570">
        <v>1127</v>
      </c>
      <c r="W1570">
        <v>2671</v>
      </c>
      <c r="X1570">
        <v>1099</v>
      </c>
      <c r="Y1570">
        <v>63.3</v>
      </c>
      <c r="Z1570">
        <v>56.1</v>
      </c>
      <c r="AA1570">
        <v>70.599999999999994</v>
      </c>
    </row>
    <row r="1571" spans="1:27" x14ac:dyDescent="0.25">
      <c r="A1571" t="s">
        <v>239</v>
      </c>
      <c r="B1571" t="s">
        <v>188</v>
      </c>
      <c r="C1571" s="76">
        <v>43999</v>
      </c>
      <c r="D1571">
        <v>11202</v>
      </c>
      <c r="E1571">
        <v>7670</v>
      </c>
      <c r="F1571">
        <v>14734</v>
      </c>
      <c r="G1571">
        <v>7897</v>
      </c>
      <c r="H1571">
        <v>58.7</v>
      </c>
      <c r="I1571">
        <v>54.2</v>
      </c>
      <c r="J1571">
        <v>63.1</v>
      </c>
      <c r="K1571">
        <v>856</v>
      </c>
      <c r="L1571">
        <v>543</v>
      </c>
      <c r="M1571">
        <v>1169</v>
      </c>
      <c r="N1571">
        <v>4.5</v>
      </c>
      <c r="O1571">
        <v>3.4</v>
      </c>
      <c r="P1571">
        <v>5.6</v>
      </c>
      <c r="Q1571">
        <f t="shared" si="46"/>
        <v>6805663</v>
      </c>
      <c r="R1571">
        <f t="shared" si="47"/>
        <v>12.577760609069241</v>
      </c>
      <c r="U1571">
        <v>2411</v>
      </c>
      <c r="V1571">
        <v>1144</v>
      </c>
      <c r="W1571">
        <v>3679</v>
      </c>
      <c r="X1571">
        <v>1236</v>
      </c>
      <c r="Y1571">
        <v>66.099999999999994</v>
      </c>
      <c r="Z1571">
        <v>57.3</v>
      </c>
      <c r="AA1571">
        <v>74.900000000000006</v>
      </c>
    </row>
    <row r="1572" spans="1:27" x14ac:dyDescent="0.25">
      <c r="A1572" t="s">
        <v>239</v>
      </c>
      <c r="B1572" t="s">
        <v>188</v>
      </c>
      <c r="C1572" s="76">
        <v>44000</v>
      </c>
      <c r="D1572">
        <v>10729</v>
      </c>
      <c r="E1572">
        <v>7719</v>
      </c>
      <c r="F1572">
        <v>13739</v>
      </c>
      <c r="G1572">
        <v>7241</v>
      </c>
      <c r="H1572">
        <v>59.7</v>
      </c>
      <c r="I1572">
        <v>55.2</v>
      </c>
      <c r="J1572">
        <v>64.3</v>
      </c>
      <c r="K1572">
        <v>890</v>
      </c>
      <c r="L1572">
        <v>575</v>
      </c>
      <c r="M1572">
        <v>1204</v>
      </c>
      <c r="N1572">
        <v>5</v>
      </c>
      <c r="O1572">
        <v>3.9</v>
      </c>
      <c r="P1572">
        <v>6</v>
      </c>
      <c r="Q1572">
        <f t="shared" si="46"/>
        <v>6805663</v>
      </c>
      <c r="R1572">
        <f t="shared" si="47"/>
        <v>13.07734455849489</v>
      </c>
      <c r="U1572">
        <v>1903</v>
      </c>
      <c r="V1572">
        <v>1146</v>
      </c>
      <c r="W1572">
        <v>2660</v>
      </c>
      <c r="X1572">
        <v>735</v>
      </c>
      <c r="Y1572">
        <v>72.099999999999994</v>
      </c>
      <c r="Z1572">
        <v>57.3</v>
      </c>
      <c r="AA1572">
        <v>87</v>
      </c>
    </row>
    <row r="1573" spans="1:27" x14ac:dyDescent="0.25">
      <c r="A1573" t="s">
        <v>239</v>
      </c>
      <c r="B1573" t="s">
        <v>188</v>
      </c>
      <c r="C1573" s="76">
        <v>44001</v>
      </c>
      <c r="D1573">
        <v>10695</v>
      </c>
      <c r="E1573">
        <v>7736</v>
      </c>
      <c r="F1573">
        <v>13655</v>
      </c>
      <c r="G1573">
        <v>7531</v>
      </c>
      <c r="H1573">
        <v>58.7</v>
      </c>
      <c r="I1573">
        <v>54.4</v>
      </c>
      <c r="J1573">
        <v>63</v>
      </c>
      <c r="K1573">
        <v>856</v>
      </c>
      <c r="L1573">
        <v>563</v>
      </c>
      <c r="M1573">
        <v>1148</v>
      </c>
      <c r="N1573">
        <v>4.7</v>
      </c>
      <c r="O1573">
        <v>3.7</v>
      </c>
      <c r="P1573">
        <v>5.7</v>
      </c>
      <c r="Q1573">
        <f t="shared" si="46"/>
        <v>6805663</v>
      </c>
      <c r="R1573">
        <f t="shared" si="47"/>
        <v>12.577760609069241</v>
      </c>
      <c r="U1573">
        <v>1739</v>
      </c>
      <c r="V1573">
        <v>1063</v>
      </c>
      <c r="W1573">
        <v>2415</v>
      </c>
      <c r="X1573">
        <v>989</v>
      </c>
      <c r="Y1573">
        <v>63.8</v>
      </c>
      <c r="Z1573">
        <v>54.7</v>
      </c>
      <c r="AA1573">
        <v>72.8</v>
      </c>
    </row>
    <row r="1574" spans="1:27" x14ac:dyDescent="0.25">
      <c r="A1574" t="s">
        <v>239</v>
      </c>
      <c r="B1574" t="s">
        <v>188</v>
      </c>
      <c r="C1574" s="76">
        <v>44002</v>
      </c>
      <c r="D1574">
        <v>10526</v>
      </c>
      <c r="E1574">
        <v>7543</v>
      </c>
      <c r="F1574">
        <v>13508</v>
      </c>
      <c r="G1574">
        <v>7801</v>
      </c>
      <c r="H1574">
        <v>57.4</v>
      </c>
      <c r="I1574">
        <v>53.2</v>
      </c>
      <c r="J1574">
        <v>61.7</v>
      </c>
      <c r="K1574">
        <v>905</v>
      </c>
      <c r="L1574">
        <v>586</v>
      </c>
      <c r="M1574">
        <v>1224</v>
      </c>
      <c r="N1574">
        <v>4.9000000000000004</v>
      </c>
      <c r="O1574">
        <v>3.9</v>
      </c>
      <c r="P1574">
        <v>6</v>
      </c>
      <c r="Q1574">
        <f t="shared" si="46"/>
        <v>6805663</v>
      </c>
      <c r="R1574">
        <f t="shared" si="47"/>
        <v>13.297749242065025</v>
      </c>
      <c r="U1574">
        <v>1717</v>
      </c>
      <c r="V1574">
        <v>1077</v>
      </c>
      <c r="W1574">
        <v>2358</v>
      </c>
      <c r="X1574">
        <v>1175</v>
      </c>
      <c r="Y1574">
        <v>59.4</v>
      </c>
      <c r="Z1574">
        <v>52.3</v>
      </c>
      <c r="AA1574">
        <v>66.400000000000006</v>
      </c>
    </row>
    <row r="1575" spans="1:27" x14ac:dyDescent="0.25">
      <c r="A1575" t="s">
        <v>239</v>
      </c>
      <c r="B1575" t="s">
        <v>188</v>
      </c>
      <c r="C1575" s="76">
        <v>44003</v>
      </c>
      <c r="D1575">
        <v>10114</v>
      </c>
      <c r="E1575">
        <v>7235</v>
      </c>
      <c r="F1575">
        <v>12993</v>
      </c>
      <c r="G1575">
        <v>8318</v>
      </c>
      <c r="H1575">
        <v>54.9</v>
      </c>
      <c r="I1575">
        <v>50.6</v>
      </c>
      <c r="J1575">
        <v>59.1</v>
      </c>
      <c r="K1575">
        <v>817</v>
      </c>
      <c r="L1575">
        <v>513</v>
      </c>
      <c r="M1575">
        <v>1121</v>
      </c>
      <c r="N1575">
        <v>4.4000000000000004</v>
      </c>
      <c r="O1575">
        <v>3.4</v>
      </c>
      <c r="P1575">
        <v>5.4</v>
      </c>
      <c r="Q1575">
        <f t="shared" ref="Q1575:Q1638" si="48">VLOOKUP(B1575,$AE$4:$AF$55,2,FALSE)</f>
        <v>6805663</v>
      </c>
      <c r="R1575">
        <f t="shared" si="47"/>
        <v>12.004708431786881</v>
      </c>
      <c r="U1575">
        <v>1700</v>
      </c>
      <c r="V1575">
        <v>1076</v>
      </c>
      <c r="W1575">
        <v>2325</v>
      </c>
      <c r="X1575">
        <v>1185</v>
      </c>
      <c r="Y1575">
        <v>58.9</v>
      </c>
      <c r="Z1575">
        <v>52.4</v>
      </c>
      <c r="AA1575">
        <v>65.5</v>
      </c>
    </row>
    <row r="1576" spans="1:27" x14ac:dyDescent="0.25">
      <c r="A1576" t="s">
        <v>239</v>
      </c>
      <c r="B1576" t="s">
        <v>188</v>
      </c>
      <c r="C1576" s="76">
        <v>44004</v>
      </c>
      <c r="D1576">
        <v>10365</v>
      </c>
      <c r="E1576">
        <v>7448</v>
      </c>
      <c r="F1576">
        <v>13283</v>
      </c>
      <c r="G1576">
        <v>8012</v>
      </c>
      <c r="H1576">
        <v>56.4</v>
      </c>
      <c r="I1576">
        <v>52.3</v>
      </c>
      <c r="J1576">
        <v>60.5</v>
      </c>
      <c r="K1576">
        <v>835</v>
      </c>
      <c r="L1576">
        <v>559</v>
      </c>
      <c r="M1576">
        <v>1111</v>
      </c>
      <c r="N1576">
        <v>4.5</v>
      </c>
      <c r="O1576">
        <v>3.6</v>
      </c>
      <c r="P1576">
        <v>5.5</v>
      </c>
      <c r="Q1576">
        <f t="shared" si="48"/>
        <v>6805663</v>
      </c>
      <c r="R1576">
        <f t="shared" si="47"/>
        <v>12.269194052071047</v>
      </c>
      <c r="U1576">
        <v>1817</v>
      </c>
      <c r="V1576">
        <v>1127</v>
      </c>
      <c r="W1576">
        <v>2508</v>
      </c>
      <c r="X1576">
        <v>1149</v>
      </c>
      <c r="Y1576">
        <v>61.3</v>
      </c>
      <c r="Z1576">
        <v>53.9</v>
      </c>
      <c r="AA1576">
        <v>68.599999999999994</v>
      </c>
    </row>
    <row r="1577" spans="1:27" x14ac:dyDescent="0.25">
      <c r="A1577" t="s">
        <v>239</v>
      </c>
      <c r="B1577" t="s">
        <v>188</v>
      </c>
      <c r="C1577" s="76">
        <v>44005</v>
      </c>
      <c r="D1577">
        <v>11046</v>
      </c>
      <c r="E1577">
        <v>8036</v>
      </c>
      <c r="F1577">
        <v>14056</v>
      </c>
      <c r="G1577">
        <v>7791</v>
      </c>
      <c r="H1577">
        <v>58.6</v>
      </c>
      <c r="I1577">
        <v>54.2</v>
      </c>
      <c r="J1577">
        <v>63</v>
      </c>
      <c r="K1577">
        <v>824</v>
      </c>
      <c r="L1577">
        <v>567</v>
      </c>
      <c r="M1577">
        <v>1080</v>
      </c>
      <c r="N1577">
        <v>4.4000000000000004</v>
      </c>
      <c r="O1577">
        <v>3.6</v>
      </c>
      <c r="P1577">
        <v>5.0999999999999996</v>
      </c>
      <c r="Q1577">
        <f t="shared" si="48"/>
        <v>6805663</v>
      </c>
      <c r="R1577">
        <f t="shared" si="47"/>
        <v>12.107563950786279</v>
      </c>
      <c r="U1577">
        <v>1882</v>
      </c>
      <c r="V1577">
        <v>1173</v>
      </c>
      <c r="W1577">
        <v>2590</v>
      </c>
      <c r="X1577">
        <v>1151</v>
      </c>
      <c r="Y1577">
        <v>62</v>
      </c>
      <c r="Z1577">
        <v>55.1</v>
      </c>
      <c r="AA1577">
        <v>69</v>
      </c>
    </row>
    <row r="1578" spans="1:27" x14ac:dyDescent="0.25">
      <c r="A1578" t="s">
        <v>239</v>
      </c>
      <c r="B1578" t="s">
        <v>188</v>
      </c>
      <c r="C1578" s="76">
        <v>44006</v>
      </c>
      <c r="D1578">
        <v>11678</v>
      </c>
      <c r="E1578">
        <v>8411</v>
      </c>
      <c r="F1578">
        <v>14944</v>
      </c>
      <c r="G1578">
        <v>7469</v>
      </c>
      <c r="H1578">
        <v>61</v>
      </c>
      <c r="I1578">
        <v>56.8</v>
      </c>
      <c r="J1578">
        <v>65.2</v>
      </c>
      <c r="K1578">
        <v>863</v>
      </c>
      <c r="L1578">
        <v>578</v>
      </c>
      <c r="M1578">
        <v>1147</v>
      </c>
      <c r="N1578">
        <v>4.5</v>
      </c>
      <c r="O1578">
        <v>3.7</v>
      </c>
      <c r="P1578">
        <v>5.3</v>
      </c>
      <c r="Q1578">
        <f t="shared" si="48"/>
        <v>6805663</v>
      </c>
      <c r="R1578">
        <f t="shared" si="47"/>
        <v>12.680616128068641</v>
      </c>
      <c r="U1578">
        <v>1802</v>
      </c>
      <c r="V1578">
        <v>1095</v>
      </c>
      <c r="W1578">
        <v>2508</v>
      </c>
      <c r="X1578">
        <v>916</v>
      </c>
      <c r="Y1578">
        <v>66.3</v>
      </c>
      <c r="Z1578">
        <v>57.3</v>
      </c>
      <c r="AA1578">
        <v>75.3</v>
      </c>
    </row>
    <row r="1579" spans="1:27" x14ac:dyDescent="0.25">
      <c r="A1579" t="s">
        <v>239</v>
      </c>
      <c r="B1579" t="s">
        <v>188</v>
      </c>
      <c r="C1579" s="76">
        <v>44007</v>
      </c>
      <c r="D1579">
        <v>11294</v>
      </c>
      <c r="E1579">
        <v>8112</v>
      </c>
      <c r="F1579">
        <v>14477</v>
      </c>
      <c r="G1579">
        <v>7400</v>
      </c>
      <c r="H1579">
        <v>60.4</v>
      </c>
      <c r="I1579">
        <v>55.5</v>
      </c>
      <c r="J1579">
        <v>65.3</v>
      </c>
      <c r="K1579">
        <v>801</v>
      </c>
      <c r="L1579">
        <v>535</v>
      </c>
      <c r="M1579">
        <v>1067</v>
      </c>
      <c r="N1579">
        <v>4.3</v>
      </c>
      <c r="O1579">
        <v>3.5</v>
      </c>
      <c r="P1579">
        <v>5.0999999999999996</v>
      </c>
      <c r="Q1579">
        <f t="shared" si="48"/>
        <v>6805663</v>
      </c>
      <c r="R1579">
        <f t="shared" si="47"/>
        <v>11.7696101026454</v>
      </c>
      <c r="U1579">
        <v>1986</v>
      </c>
      <c r="V1579">
        <v>1234</v>
      </c>
      <c r="W1579">
        <v>2737</v>
      </c>
      <c r="X1579">
        <v>1081</v>
      </c>
      <c r="Y1579">
        <v>64.8</v>
      </c>
      <c r="Z1579">
        <v>58</v>
      </c>
      <c r="AA1579">
        <v>71.5</v>
      </c>
    </row>
    <row r="1580" spans="1:27" x14ac:dyDescent="0.25">
      <c r="A1580" t="s">
        <v>239</v>
      </c>
      <c r="B1580" t="s">
        <v>188</v>
      </c>
      <c r="C1580" s="76">
        <v>44008</v>
      </c>
      <c r="D1580">
        <v>11203</v>
      </c>
      <c r="E1580">
        <v>8040</v>
      </c>
      <c r="F1580">
        <v>14367</v>
      </c>
      <c r="G1580">
        <v>7750</v>
      </c>
      <c r="H1580">
        <v>59.1</v>
      </c>
      <c r="I1580">
        <v>54.7</v>
      </c>
      <c r="J1580">
        <v>63.5</v>
      </c>
      <c r="K1580">
        <v>709</v>
      </c>
      <c r="L1580">
        <v>475</v>
      </c>
      <c r="M1580">
        <v>943</v>
      </c>
      <c r="N1580">
        <v>3.7</v>
      </c>
      <c r="O1580">
        <v>3.1</v>
      </c>
      <c r="P1580">
        <v>4.4000000000000004</v>
      </c>
      <c r="Q1580">
        <f t="shared" si="48"/>
        <v>6805663</v>
      </c>
      <c r="R1580">
        <f t="shared" si="47"/>
        <v>10.417794710081884</v>
      </c>
      <c r="U1580">
        <v>1885</v>
      </c>
      <c r="V1580">
        <v>1151</v>
      </c>
      <c r="W1580">
        <v>2618</v>
      </c>
      <c r="X1580">
        <v>1190</v>
      </c>
      <c r="Y1580">
        <v>61.3</v>
      </c>
      <c r="Z1580">
        <v>54.1</v>
      </c>
      <c r="AA1580">
        <v>68.5</v>
      </c>
    </row>
    <row r="1581" spans="1:27" x14ac:dyDescent="0.25">
      <c r="A1581" t="s">
        <v>239</v>
      </c>
      <c r="B1581" t="s">
        <v>188</v>
      </c>
      <c r="C1581" s="76">
        <v>44009</v>
      </c>
      <c r="D1581">
        <v>10265</v>
      </c>
      <c r="E1581">
        <v>7371</v>
      </c>
      <c r="F1581">
        <v>13158</v>
      </c>
      <c r="G1581">
        <v>8335</v>
      </c>
      <c r="H1581">
        <v>55.2</v>
      </c>
      <c r="I1581">
        <v>50.9</v>
      </c>
      <c r="J1581">
        <v>59.4</v>
      </c>
      <c r="K1581">
        <v>710</v>
      </c>
      <c r="L1581">
        <v>476</v>
      </c>
      <c r="M1581">
        <v>944</v>
      </c>
      <c r="N1581">
        <v>3.8</v>
      </c>
      <c r="O1581">
        <v>3.1</v>
      </c>
      <c r="P1581">
        <v>4.5999999999999996</v>
      </c>
      <c r="Q1581">
        <f t="shared" si="48"/>
        <v>6805663</v>
      </c>
      <c r="R1581">
        <f t="shared" si="47"/>
        <v>10.432488355653225</v>
      </c>
      <c r="U1581">
        <v>1704</v>
      </c>
      <c r="V1581">
        <v>1073</v>
      </c>
      <c r="W1581">
        <v>2335</v>
      </c>
      <c r="X1581">
        <v>1208</v>
      </c>
      <c r="Y1581">
        <v>58.5</v>
      </c>
      <c r="Z1581">
        <v>52</v>
      </c>
      <c r="AA1581">
        <v>65.099999999999994</v>
      </c>
    </row>
    <row r="1582" spans="1:27" x14ac:dyDescent="0.25">
      <c r="A1582" t="s">
        <v>239</v>
      </c>
      <c r="B1582" t="s">
        <v>188</v>
      </c>
      <c r="C1582" s="76">
        <v>44010</v>
      </c>
      <c r="D1582">
        <v>10057</v>
      </c>
      <c r="E1582">
        <v>7191</v>
      </c>
      <c r="F1582">
        <v>12923</v>
      </c>
      <c r="G1582">
        <v>8585</v>
      </c>
      <c r="H1582">
        <v>53.9</v>
      </c>
      <c r="I1582">
        <v>49.8</v>
      </c>
      <c r="J1582">
        <v>58.1</v>
      </c>
      <c r="K1582">
        <v>686</v>
      </c>
      <c r="L1582">
        <v>466</v>
      </c>
      <c r="M1582">
        <v>905</v>
      </c>
      <c r="N1582">
        <v>3.7</v>
      </c>
      <c r="O1582">
        <v>3</v>
      </c>
      <c r="P1582">
        <v>4.4000000000000004</v>
      </c>
      <c r="Q1582">
        <f t="shared" si="48"/>
        <v>6805663</v>
      </c>
      <c r="R1582">
        <f t="shared" si="47"/>
        <v>10.079840861941005</v>
      </c>
      <c r="U1582">
        <v>1701</v>
      </c>
      <c r="V1582">
        <v>1055</v>
      </c>
      <c r="W1582">
        <v>2346</v>
      </c>
      <c r="X1582">
        <v>1275</v>
      </c>
      <c r="Y1582">
        <v>57.1</v>
      </c>
      <c r="Z1582">
        <v>50.5</v>
      </c>
      <c r="AA1582">
        <v>63.7</v>
      </c>
    </row>
    <row r="1583" spans="1:27" x14ac:dyDescent="0.25">
      <c r="A1583" t="s">
        <v>239</v>
      </c>
      <c r="B1583" t="s">
        <v>188</v>
      </c>
      <c r="C1583" s="76">
        <v>44011</v>
      </c>
      <c r="D1583">
        <v>10303</v>
      </c>
      <c r="E1583">
        <v>7161</v>
      </c>
      <c r="F1583">
        <v>13445</v>
      </c>
      <c r="G1583">
        <v>8319</v>
      </c>
      <c r="H1583">
        <v>55.3</v>
      </c>
      <c r="I1583">
        <v>51</v>
      </c>
      <c r="J1583">
        <v>59.7</v>
      </c>
      <c r="K1583">
        <v>728</v>
      </c>
      <c r="L1583">
        <v>488</v>
      </c>
      <c r="M1583">
        <v>968</v>
      </c>
      <c r="N1583">
        <v>3.9</v>
      </c>
      <c r="O1583">
        <v>3.2</v>
      </c>
      <c r="P1583">
        <v>4.5999999999999996</v>
      </c>
      <c r="Q1583">
        <f t="shared" si="48"/>
        <v>6805663</v>
      </c>
      <c r="R1583">
        <f t="shared" si="47"/>
        <v>10.696973975937393</v>
      </c>
      <c r="U1583">
        <v>1753</v>
      </c>
      <c r="V1583">
        <v>1036</v>
      </c>
      <c r="W1583">
        <v>2471</v>
      </c>
      <c r="X1583">
        <v>1162</v>
      </c>
      <c r="Y1583">
        <v>60.1</v>
      </c>
      <c r="Z1583">
        <v>53.1</v>
      </c>
      <c r="AA1583">
        <v>67.099999999999994</v>
      </c>
    </row>
    <row r="1584" spans="1:27" x14ac:dyDescent="0.25">
      <c r="A1584" t="s">
        <v>239</v>
      </c>
      <c r="B1584" t="s">
        <v>188</v>
      </c>
      <c r="C1584" s="76">
        <v>44012</v>
      </c>
      <c r="D1584">
        <v>10956</v>
      </c>
      <c r="E1584">
        <v>7774</v>
      </c>
      <c r="F1584">
        <v>14138</v>
      </c>
      <c r="G1584">
        <v>8013</v>
      </c>
      <c r="H1584">
        <v>57.8</v>
      </c>
      <c r="I1584">
        <v>53.2</v>
      </c>
      <c r="J1584">
        <v>62.4</v>
      </c>
      <c r="K1584">
        <v>842</v>
      </c>
      <c r="L1584">
        <v>561</v>
      </c>
      <c r="M1584">
        <v>1124</v>
      </c>
      <c r="N1584">
        <v>4.4000000000000004</v>
      </c>
      <c r="O1584">
        <v>3.6</v>
      </c>
      <c r="P1584">
        <v>5.3</v>
      </c>
      <c r="Q1584">
        <f t="shared" si="48"/>
        <v>6805663</v>
      </c>
      <c r="R1584">
        <f t="shared" si="47"/>
        <v>12.372049571070447</v>
      </c>
      <c r="U1584">
        <v>1886</v>
      </c>
      <c r="V1584">
        <v>1092</v>
      </c>
      <c r="W1584">
        <v>2680</v>
      </c>
      <c r="X1584">
        <v>1166</v>
      </c>
      <c r="Y1584">
        <v>61.8</v>
      </c>
      <c r="Z1584">
        <v>55</v>
      </c>
      <c r="AA1584">
        <v>68.599999999999994</v>
      </c>
    </row>
    <row r="1585" spans="1:27" x14ac:dyDescent="0.25">
      <c r="A1585" t="s">
        <v>239</v>
      </c>
      <c r="B1585" t="s">
        <v>188</v>
      </c>
      <c r="C1585" s="76">
        <v>44013</v>
      </c>
      <c r="D1585">
        <v>11193</v>
      </c>
      <c r="E1585">
        <v>7982</v>
      </c>
      <c r="F1585">
        <v>14405</v>
      </c>
      <c r="G1585">
        <v>7933</v>
      </c>
      <c r="H1585">
        <v>58.5</v>
      </c>
      <c r="I1585">
        <v>53.7</v>
      </c>
      <c r="J1585">
        <v>63.3</v>
      </c>
      <c r="K1585">
        <v>739</v>
      </c>
      <c r="L1585">
        <v>506</v>
      </c>
      <c r="M1585">
        <v>972</v>
      </c>
      <c r="N1585">
        <v>3.9</v>
      </c>
      <c r="O1585">
        <v>3.2</v>
      </c>
      <c r="P1585">
        <v>4.5999999999999996</v>
      </c>
      <c r="Q1585">
        <f t="shared" si="48"/>
        <v>6805663</v>
      </c>
      <c r="R1585">
        <f t="shared" si="47"/>
        <v>10.858604077222159</v>
      </c>
      <c r="U1585">
        <v>1657</v>
      </c>
      <c r="V1585">
        <v>983</v>
      </c>
      <c r="W1585">
        <v>2331</v>
      </c>
      <c r="X1585">
        <v>1481</v>
      </c>
      <c r="Y1585">
        <v>52.8</v>
      </c>
      <c r="Z1585">
        <v>39.4</v>
      </c>
      <c r="AA1585">
        <v>66.2</v>
      </c>
    </row>
    <row r="1586" spans="1:27" x14ac:dyDescent="0.25">
      <c r="A1586" t="s">
        <v>239</v>
      </c>
      <c r="B1586" t="s">
        <v>188</v>
      </c>
      <c r="C1586" s="76">
        <v>44014</v>
      </c>
      <c r="D1586">
        <v>11102</v>
      </c>
      <c r="E1586">
        <v>7927</v>
      </c>
      <c r="F1586">
        <v>14276</v>
      </c>
      <c r="G1586">
        <v>8041</v>
      </c>
      <c r="H1586">
        <v>58</v>
      </c>
      <c r="I1586">
        <v>53.4</v>
      </c>
      <c r="J1586">
        <v>62.6</v>
      </c>
      <c r="K1586">
        <v>738</v>
      </c>
      <c r="L1586">
        <v>492</v>
      </c>
      <c r="M1586">
        <v>984</v>
      </c>
      <c r="N1586">
        <v>3.9</v>
      </c>
      <c r="O1586">
        <v>3.1</v>
      </c>
      <c r="P1586">
        <v>4.5999999999999996</v>
      </c>
      <c r="Q1586">
        <f t="shared" si="48"/>
        <v>6805663</v>
      </c>
      <c r="R1586">
        <f t="shared" si="47"/>
        <v>10.843910431650817</v>
      </c>
      <c r="U1586">
        <v>1846</v>
      </c>
      <c r="V1586">
        <v>1042</v>
      </c>
      <c r="W1586">
        <v>2651</v>
      </c>
      <c r="X1586">
        <v>1303</v>
      </c>
      <c r="Y1586">
        <v>58.6</v>
      </c>
      <c r="Z1586">
        <v>52.2</v>
      </c>
      <c r="AA1586">
        <v>65</v>
      </c>
    </row>
    <row r="1587" spans="1:27" x14ac:dyDescent="0.25">
      <c r="A1587" t="s">
        <v>239</v>
      </c>
      <c r="B1587" t="s">
        <v>188</v>
      </c>
      <c r="C1587" s="76">
        <v>44015</v>
      </c>
      <c r="D1587">
        <v>10685</v>
      </c>
      <c r="E1587">
        <v>7701</v>
      </c>
      <c r="F1587">
        <v>13669</v>
      </c>
      <c r="G1587">
        <v>8201</v>
      </c>
      <c r="H1587">
        <v>56.6</v>
      </c>
      <c r="I1587">
        <v>52</v>
      </c>
      <c r="J1587">
        <v>61.1</v>
      </c>
      <c r="K1587">
        <v>708</v>
      </c>
      <c r="L1587">
        <v>459</v>
      </c>
      <c r="M1587">
        <v>958</v>
      </c>
      <c r="N1587">
        <v>3.7</v>
      </c>
      <c r="O1587">
        <v>2.9</v>
      </c>
      <c r="P1587">
        <v>4.5999999999999996</v>
      </c>
      <c r="Q1587">
        <f t="shared" si="48"/>
        <v>6805663</v>
      </c>
      <c r="R1587">
        <f t="shared" si="47"/>
        <v>10.40310106451054</v>
      </c>
      <c r="U1587">
        <v>1762</v>
      </c>
      <c r="V1587">
        <v>1045</v>
      </c>
      <c r="W1587">
        <v>2478</v>
      </c>
      <c r="X1587">
        <v>1195</v>
      </c>
      <c r="Y1587">
        <v>59.6</v>
      </c>
      <c r="Z1587">
        <v>52.3</v>
      </c>
      <c r="AA1587">
        <v>66.900000000000006</v>
      </c>
    </row>
    <row r="1588" spans="1:27" x14ac:dyDescent="0.25">
      <c r="A1588" t="s">
        <v>239</v>
      </c>
      <c r="B1588" t="s">
        <v>188</v>
      </c>
      <c r="C1588" s="76">
        <v>44016</v>
      </c>
      <c r="D1588">
        <v>10136</v>
      </c>
      <c r="E1588">
        <v>7234</v>
      </c>
      <c r="F1588">
        <v>13039</v>
      </c>
      <c r="G1588">
        <v>8659</v>
      </c>
      <c r="H1588">
        <v>53.9</v>
      </c>
      <c r="I1588">
        <v>49.5</v>
      </c>
      <c r="J1588">
        <v>58.3</v>
      </c>
      <c r="K1588">
        <v>733</v>
      </c>
      <c r="L1588">
        <v>471</v>
      </c>
      <c r="M1588">
        <v>994</v>
      </c>
      <c r="N1588">
        <v>3.9</v>
      </c>
      <c r="O1588">
        <v>3.1</v>
      </c>
      <c r="P1588">
        <v>4.7</v>
      </c>
      <c r="Q1588">
        <f t="shared" si="48"/>
        <v>6805663</v>
      </c>
      <c r="R1588">
        <f t="shared" si="47"/>
        <v>10.770442203794104</v>
      </c>
      <c r="U1588">
        <v>1707</v>
      </c>
      <c r="V1588">
        <v>993</v>
      </c>
      <c r="W1588">
        <v>2421</v>
      </c>
      <c r="X1588">
        <v>1201</v>
      </c>
      <c r="Y1588">
        <v>58.7</v>
      </c>
      <c r="Z1588">
        <v>50.9</v>
      </c>
      <c r="AA1588">
        <v>66.5</v>
      </c>
    </row>
    <row r="1589" spans="1:27" x14ac:dyDescent="0.25">
      <c r="A1589" t="s">
        <v>239</v>
      </c>
      <c r="B1589" t="s">
        <v>188</v>
      </c>
      <c r="C1589" s="76">
        <v>44017</v>
      </c>
      <c r="D1589">
        <v>9895</v>
      </c>
      <c r="E1589">
        <v>7031</v>
      </c>
      <c r="F1589">
        <v>12760</v>
      </c>
      <c r="G1589">
        <v>8869</v>
      </c>
      <c r="H1589">
        <v>52.7</v>
      </c>
      <c r="I1589">
        <v>48.4</v>
      </c>
      <c r="J1589">
        <v>57.1</v>
      </c>
      <c r="K1589">
        <v>683</v>
      </c>
      <c r="L1589">
        <v>464</v>
      </c>
      <c r="M1589">
        <v>902</v>
      </c>
      <c r="N1589">
        <v>3.6</v>
      </c>
      <c r="O1589">
        <v>3</v>
      </c>
      <c r="P1589">
        <v>4.3</v>
      </c>
      <c r="Q1589">
        <f t="shared" si="48"/>
        <v>6805663</v>
      </c>
      <c r="R1589">
        <f t="shared" si="47"/>
        <v>10.035759925226976</v>
      </c>
      <c r="U1589">
        <v>1624</v>
      </c>
      <c r="V1589">
        <v>927</v>
      </c>
      <c r="W1589">
        <v>2321</v>
      </c>
      <c r="X1589">
        <v>1253</v>
      </c>
      <c r="Y1589">
        <v>56.5</v>
      </c>
      <c r="Z1589">
        <v>48.1</v>
      </c>
      <c r="AA1589">
        <v>64.8</v>
      </c>
    </row>
    <row r="1590" spans="1:27" x14ac:dyDescent="0.25">
      <c r="A1590" t="s">
        <v>239</v>
      </c>
      <c r="B1590" t="s">
        <v>188</v>
      </c>
      <c r="C1590" s="76">
        <v>44018</v>
      </c>
      <c r="D1590">
        <v>10360</v>
      </c>
      <c r="E1590">
        <v>7379</v>
      </c>
      <c r="F1590">
        <v>13341</v>
      </c>
      <c r="G1590">
        <v>8182</v>
      </c>
      <c r="H1590">
        <v>55.9</v>
      </c>
      <c r="I1590">
        <v>51.4</v>
      </c>
      <c r="J1590">
        <v>60.3</v>
      </c>
      <c r="K1590">
        <v>720</v>
      </c>
      <c r="L1590">
        <v>491</v>
      </c>
      <c r="M1590">
        <v>950</v>
      </c>
      <c r="N1590">
        <v>3.9</v>
      </c>
      <c r="O1590">
        <v>3.3</v>
      </c>
      <c r="P1590">
        <v>4.5</v>
      </c>
      <c r="Q1590">
        <f t="shared" si="48"/>
        <v>6805663</v>
      </c>
      <c r="R1590">
        <f t="shared" si="47"/>
        <v>10.579424811366652</v>
      </c>
      <c r="U1590">
        <v>1678</v>
      </c>
      <c r="V1590">
        <v>991</v>
      </c>
      <c r="W1590">
        <v>2365</v>
      </c>
      <c r="X1590">
        <v>981</v>
      </c>
      <c r="Y1590">
        <v>63.1</v>
      </c>
      <c r="Z1590">
        <v>49.1</v>
      </c>
      <c r="AA1590">
        <v>77.2</v>
      </c>
    </row>
    <row r="1591" spans="1:27" x14ac:dyDescent="0.25">
      <c r="A1591" t="s">
        <v>239</v>
      </c>
      <c r="B1591" t="s">
        <v>188</v>
      </c>
      <c r="C1591" s="76">
        <v>44019</v>
      </c>
      <c r="D1591">
        <v>11079</v>
      </c>
      <c r="E1591">
        <v>7930</v>
      </c>
      <c r="F1591">
        <v>14228</v>
      </c>
      <c r="G1591">
        <v>7557</v>
      </c>
      <c r="H1591">
        <v>59.4</v>
      </c>
      <c r="I1591">
        <v>54.7</v>
      </c>
      <c r="J1591">
        <v>64.2</v>
      </c>
      <c r="K1591">
        <v>782</v>
      </c>
      <c r="L1591">
        <v>536</v>
      </c>
      <c r="M1591">
        <v>1027</v>
      </c>
      <c r="N1591">
        <v>4.2</v>
      </c>
      <c r="O1591">
        <v>3.5</v>
      </c>
      <c r="P1591">
        <v>4.9000000000000004</v>
      </c>
      <c r="Q1591">
        <f t="shared" si="48"/>
        <v>6805663</v>
      </c>
      <c r="R1591">
        <f t="shared" si="47"/>
        <v>11.490430836789891</v>
      </c>
      <c r="U1591">
        <v>1719</v>
      </c>
      <c r="V1591">
        <v>1036</v>
      </c>
      <c r="W1591">
        <v>2403</v>
      </c>
      <c r="X1591">
        <v>997</v>
      </c>
      <c r="Y1591">
        <v>63.3</v>
      </c>
      <c r="Z1591">
        <v>55.5</v>
      </c>
      <c r="AA1591">
        <v>71.099999999999994</v>
      </c>
    </row>
    <row r="1592" spans="1:27" x14ac:dyDescent="0.25">
      <c r="A1592" t="s">
        <v>240</v>
      </c>
      <c r="B1592" t="s">
        <v>207</v>
      </c>
      <c r="C1592" s="76">
        <v>43936</v>
      </c>
      <c r="D1592">
        <v>3339</v>
      </c>
      <c r="E1592">
        <v>1216</v>
      </c>
      <c r="F1592">
        <v>5461</v>
      </c>
      <c r="G1592">
        <v>6380</v>
      </c>
      <c r="H1592">
        <v>34.4</v>
      </c>
      <c r="I1592">
        <v>29.3</v>
      </c>
      <c r="J1592">
        <v>39.4</v>
      </c>
      <c r="K1592">
        <v>163</v>
      </c>
      <c r="L1592">
        <v>51</v>
      </c>
      <c r="M1592">
        <v>276</v>
      </c>
      <c r="N1592">
        <v>1.7</v>
      </c>
      <c r="O1592">
        <v>1.3</v>
      </c>
      <c r="P1592">
        <v>2</v>
      </c>
      <c r="Q1592">
        <f t="shared" si="48"/>
        <v>2917224</v>
      </c>
      <c r="R1592">
        <f t="shared" si="47"/>
        <v>5.5875037364288787</v>
      </c>
      <c r="U1592">
        <v>447</v>
      </c>
      <c r="V1592">
        <v>17</v>
      </c>
      <c r="W1592">
        <v>878</v>
      </c>
      <c r="X1592">
        <v>461</v>
      </c>
      <c r="Y1592">
        <v>49.2</v>
      </c>
      <c r="Z1592">
        <v>31.3</v>
      </c>
      <c r="AA1592">
        <v>67.099999999999994</v>
      </c>
    </row>
    <row r="1593" spans="1:27" x14ac:dyDescent="0.25">
      <c r="A1593" t="s">
        <v>240</v>
      </c>
      <c r="B1593" t="s">
        <v>207</v>
      </c>
      <c r="C1593" s="76">
        <v>43937</v>
      </c>
      <c r="D1593">
        <v>3338</v>
      </c>
      <c r="E1593">
        <v>1560</v>
      </c>
      <c r="F1593">
        <v>5116</v>
      </c>
      <c r="G1593">
        <v>6415</v>
      </c>
      <c r="H1593">
        <v>34.200000000000003</v>
      </c>
      <c r="I1593">
        <v>28.9</v>
      </c>
      <c r="J1593">
        <v>39.5</v>
      </c>
      <c r="K1593">
        <v>191</v>
      </c>
      <c r="L1593">
        <v>73</v>
      </c>
      <c r="M1593">
        <v>310</v>
      </c>
      <c r="N1593">
        <v>2</v>
      </c>
      <c r="O1593">
        <v>1.4</v>
      </c>
      <c r="P1593">
        <v>2.5</v>
      </c>
      <c r="Q1593">
        <f t="shared" si="48"/>
        <v>2917224</v>
      </c>
      <c r="R1593">
        <f t="shared" si="47"/>
        <v>6.5473203291896676</v>
      </c>
      <c r="U1593">
        <v>465</v>
      </c>
      <c r="V1593">
        <v>111</v>
      </c>
      <c r="W1593">
        <v>819</v>
      </c>
      <c r="X1593">
        <v>620</v>
      </c>
      <c r="Y1593">
        <v>42.8</v>
      </c>
      <c r="Z1593">
        <v>28</v>
      </c>
      <c r="AA1593">
        <v>57.7</v>
      </c>
    </row>
    <row r="1594" spans="1:27" x14ac:dyDescent="0.25">
      <c r="A1594" t="s">
        <v>240</v>
      </c>
      <c r="B1594" t="s">
        <v>207</v>
      </c>
      <c r="C1594" s="76">
        <v>43938</v>
      </c>
      <c r="D1594">
        <v>3370</v>
      </c>
      <c r="E1594">
        <v>1550</v>
      </c>
      <c r="F1594">
        <v>5190</v>
      </c>
      <c r="G1594">
        <v>6173</v>
      </c>
      <c r="H1594">
        <v>35.299999999999997</v>
      </c>
      <c r="I1594">
        <v>30.3</v>
      </c>
      <c r="J1594">
        <v>40.4</v>
      </c>
      <c r="K1594">
        <v>178</v>
      </c>
      <c r="L1594">
        <v>57</v>
      </c>
      <c r="M1594">
        <v>298</v>
      </c>
      <c r="N1594">
        <v>1.9</v>
      </c>
      <c r="O1594">
        <v>1.2</v>
      </c>
      <c r="P1594">
        <v>2.5</v>
      </c>
      <c r="Q1594">
        <f t="shared" si="48"/>
        <v>2917224</v>
      </c>
      <c r="R1594">
        <f t="shared" si="47"/>
        <v>6.1016911968364447</v>
      </c>
      <c r="U1594">
        <v>514</v>
      </c>
      <c r="V1594">
        <v>111</v>
      </c>
      <c r="W1594">
        <v>917</v>
      </c>
      <c r="X1594">
        <v>523</v>
      </c>
      <c r="Y1594">
        <v>49.6</v>
      </c>
      <c r="Z1594">
        <v>32.299999999999997</v>
      </c>
      <c r="AA1594">
        <v>66.8</v>
      </c>
    </row>
    <row r="1595" spans="1:27" x14ac:dyDescent="0.25">
      <c r="A1595" t="s">
        <v>240</v>
      </c>
      <c r="B1595" t="s">
        <v>207</v>
      </c>
      <c r="C1595" s="76">
        <v>43939</v>
      </c>
      <c r="D1595">
        <v>3283</v>
      </c>
      <c r="E1595">
        <v>1502</v>
      </c>
      <c r="F1595">
        <v>5063</v>
      </c>
      <c r="G1595">
        <v>6203</v>
      </c>
      <c r="H1595">
        <v>34.6</v>
      </c>
      <c r="I1595">
        <v>29.7</v>
      </c>
      <c r="J1595">
        <v>39.5</v>
      </c>
      <c r="K1595">
        <v>162</v>
      </c>
      <c r="L1595">
        <v>69</v>
      </c>
      <c r="M1595">
        <v>256</v>
      </c>
      <c r="N1595">
        <v>1.7</v>
      </c>
      <c r="O1595">
        <v>1.2</v>
      </c>
      <c r="P1595">
        <v>2.2000000000000002</v>
      </c>
      <c r="Q1595">
        <f t="shared" si="48"/>
        <v>2917224</v>
      </c>
      <c r="R1595">
        <f t="shared" si="47"/>
        <v>5.5532245724017075</v>
      </c>
      <c r="U1595">
        <v>480</v>
      </c>
      <c r="V1595">
        <v>86</v>
      </c>
      <c r="W1595">
        <v>875</v>
      </c>
      <c r="X1595">
        <v>547</v>
      </c>
      <c r="Y1595">
        <v>46.8</v>
      </c>
      <c r="Z1595">
        <v>26.6</v>
      </c>
      <c r="AA1595">
        <v>66.900000000000006</v>
      </c>
    </row>
    <row r="1596" spans="1:27" x14ac:dyDescent="0.25">
      <c r="A1596" t="s">
        <v>240</v>
      </c>
      <c r="B1596" t="s">
        <v>207</v>
      </c>
      <c r="C1596" s="76">
        <v>43940</v>
      </c>
      <c r="D1596">
        <v>3263</v>
      </c>
      <c r="E1596">
        <v>1696</v>
      </c>
      <c r="F1596">
        <v>4830</v>
      </c>
      <c r="G1596">
        <v>6066</v>
      </c>
      <c r="H1596">
        <v>35</v>
      </c>
      <c r="I1596">
        <v>28.1</v>
      </c>
      <c r="J1596">
        <v>41.9</v>
      </c>
      <c r="K1596">
        <v>180</v>
      </c>
      <c r="L1596">
        <v>62</v>
      </c>
      <c r="M1596">
        <v>298</v>
      </c>
      <c r="N1596">
        <v>1.9</v>
      </c>
      <c r="O1596">
        <v>1</v>
      </c>
      <c r="P1596">
        <v>2.8</v>
      </c>
      <c r="Q1596">
        <f t="shared" si="48"/>
        <v>2917224</v>
      </c>
      <c r="R1596">
        <f t="shared" si="47"/>
        <v>6.1702495248907869</v>
      </c>
      <c r="U1596">
        <v>547</v>
      </c>
      <c r="V1596">
        <v>158</v>
      </c>
      <c r="W1596">
        <v>936</v>
      </c>
      <c r="X1596">
        <v>553</v>
      </c>
      <c r="Y1596">
        <v>49.7</v>
      </c>
      <c r="Z1596">
        <v>35.1</v>
      </c>
      <c r="AA1596">
        <v>64.3</v>
      </c>
    </row>
    <row r="1597" spans="1:27" x14ac:dyDescent="0.25">
      <c r="A1597" t="s">
        <v>240</v>
      </c>
      <c r="B1597" t="s">
        <v>207</v>
      </c>
      <c r="C1597" s="76">
        <v>43941</v>
      </c>
      <c r="D1597">
        <v>3321</v>
      </c>
      <c r="E1597">
        <v>1767</v>
      </c>
      <c r="F1597">
        <v>4875</v>
      </c>
      <c r="G1597">
        <v>6043</v>
      </c>
      <c r="H1597">
        <v>35.5</v>
      </c>
      <c r="I1597">
        <v>30.3</v>
      </c>
      <c r="J1597">
        <v>40.6</v>
      </c>
      <c r="K1597">
        <v>177</v>
      </c>
      <c r="L1597">
        <v>78</v>
      </c>
      <c r="M1597">
        <v>276</v>
      </c>
      <c r="N1597">
        <v>1.9</v>
      </c>
      <c r="O1597">
        <v>1.2</v>
      </c>
      <c r="P1597">
        <v>2.6</v>
      </c>
      <c r="Q1597">
        <f t="shared" si="48"/>
        <v>2917224</v>
      </c>
      <c r="R1597">
        <f t="shared" si="47"/>
        <v>6.0674120328092735</v>
      </c>
      <c r="U1597">
        <v>518</v>
      </c>
      <c r="V1597">
        <v>149</v>
      </c>
      <c r="W1597">
        <v>888</v>
      </c>
      <c r="X1597">
        <v>586</v>
      </c>
      <c r="Y1597">
        <v>46.9</v>
      </c>
      <c r="Z1597">
        <v>32.5</v>
      </c>
      <c r="AA1597">
        <v>61.4</v>
      </c>
    </row>
    <row r="1598" spans="1:27" x14ac:dyDescent="0.25">
      <c r="A1598" t="s">
        <v>240</v>
      </c>
      <c r="B1598" t="s">
        <v>207</v>
      </c>
      <c r="C1598" s="76">
        <v>43942</v>
      </c>
      <c r="D1598">
        <v>3641</v>
      </c>
      <c r="E1598">
        <v>2000</v>
      </c>
      <c r="F1598">
        <v>5283</v>
      </c>
      <c r="G1598">
        <v>5910</v>
      </c>
      <c r="H1598">
        <v>38.1</v>
      </c>
      <c r="I1598">
        <v>33.1</v>
      </c>
      <c r="J1598">
        <v>43.1</v>
      </c>
      <c r="K1598">
        <v>230</v>
      </c>
      <c r="L1598">
        <v>113</v>
      </c>
      <c r="M1598">
        <v>346</v>
      </c>
      <c r="N1598">
        <v>2.4</v>
      </c>
      <c r="O1598">
        <v>1.7</v>
      </c>
      <c r="P1598">
        <v>3.1</v>
      </c>
      <c r="Q1598">
        <f t="shared" si="48"/>
        <v>2917224</v>
      </c>
      <c r="R1598">
        <f t="shared" si="47"/>
        <v>7.8842077262493389</v>
      </c>
      <c r="U1598">
        <v>560</v>
      </c>
      <c r="V1598">
        <v>154</v>
      </c>
      <c r="W1598">
        <v>967</v>
      </c>
      <c r="X1598">
        <v>543</v>
      </c>
      <c r="Y1598">
        <v>50.8</v>
      </c>
      <c r="Z1598">
        <v>34.700000000000003</v>
      </c>
      <c r="AA1598">
        <v>66.900000000000006</v>
      </c>
    </row>
    <row r="1599" spans="1:27" x14ac:dyDescent="0.25">
      <c r="A1599" t="s">
        <v>240</v>
      </c>
      <c r="B1599" t="s">
        <v>207</v>
      </c>
      <c r="C1599" s="76">
        <v>43943</v>
      </c>
      <c r="D1599">
        <v>3635</v>
      </c>
      <c r="E1599">
        <v>1997</v>
      </c>
      <c r="F1599">
        <v>5273</v>
      </c>
      <c r="G1599">
        <v>6001</v>
      </c>
      <c r="H1599">
        <v>37.700000000000003</v>
      </c>
      <c r="I1599">
        <v>32.799999999999997</v>
      </c>
      <c r="J1599">
        <v>42.6</v>
      </c>
      <c r="K1599">
        <v>201</v>
      </c>
      <c r="L1599">
        <v>98</v>
      </c>
      <c r="M1599">
        <v>305</v>
      </c>
      <c r="N1599">
        <v>2.1</v>
      </c>
      <c r="O1599">
        <v>1.4</v>
      </c>
      <c r="P1599">
        <v>2.8</v>
      </c>
      <c r="Q1599">
        <f t="shared" si="48"/>
        <v>2917224</v>
      </c>
      <c r="R1599">
        <f t="shared" si="47"/>
        <v>6.8901119694613779</v>
      </c>
      <c r="U1599">
        <v>558</v>
      </c>
      <c r="V1599">
        <v>158</v>
      </c>
      <c r="W1599">
        <v>958</v>
      </c>
      <c r="X1599">
        <v>533</v>
      </c>
      <c r="Y1599">
        <v>51.1</v>
      </c>
      <c r="Z1599">
        <v>35.4</v>
      </c>
      <c r="AA1599">
        <v>66.8</v>
      </c>
    </row>
    <row r="1600" spans="1:27" x14ac:dyDescent="0.25">
      <c r="A1600" t="s">
        <v>240</v>
      </c>
      <c r="B1600" t="s">
        <v>207</v>
      </c>
      <c r="C1600" s="76">
        <v>43944</v>
      </c>
      <c r="D1600">
        <v>3521</v>
      </c>
      <c r="E1600">
        <v>1885</v>
      </c>
      <c r="F1600">
        <v>5157</v>
      </c>
      <c r="G1600">
        <v>5890</v>
      </c>
      <c r="H1600">
        <v>37.4</v>
      </c>
      <c r="I1600">
        <v>32.5</v>
      </c>
      <c r="J1600">
        <v>42.3</v>
      </c>
      <c r="K1600">
        <v>228</v>
      </c>
      <c r="L1600">
        <v>112</v>
      </c>
      <c r="M1600">
        <v>343</v>
      </c>
      <c r="N1600">
        <v>2.4</v>
      </c>
      <c r="O1600">
        <v>1.6</v>
      </c>
      <c r="P1600">
        <v>3.2</v>
      </c>
      <c r="Q1600">
        <f t="shared" si="48"/>
        <v>2917224</v>
      </c>
      <c r="R1600">
        <f t="shared" si="47"/>
        <v>7.8156493981949966</v>
      </c>
      <c r="U1600">
        <v>575</v>
      </c>
      <c r="V1600">
        <v>163</v>
      </c>
      <c r="W1600">
        <v>988</v>
      </c>
      <c r="X1600">
        <v>540</v>
      </c>
      <c r="Y1600">
        <v>51.6</v>
      </c>
      <c r="Z1600">
        <v>35.4</v>
      </c>
      <c r="AA1600">
        <v>67.7</v>
      </c>
    </row>
    <row r="1601" spans="1:27" x14ac:dyDescent="0.25">
      <c r="A1601" t="s">
        <v>240</v>
      </c>
      <c r="B1601" t="s">
        <v>207</v>
      </c>
      <c r="C1601" s="76">
        <v>43945</v>
      </c>
      <c r="D1601">
        <v>3577</v>
      </c>
      <c r="E1601">
        <v>1960</v>
      </c>
      <c r="F1601">
        <v>5194</v>
      </c>
      <c r="G1601">
        <v>5707</v>
      </c>
      <c r="H1601">
        <v>38.5</v>
      </c>
      <c r="I1601">
        <v>34</v>
      </c>
      <c r="J1601">
        <v>43</v>
      </c>
      <c r="K1601">
        <v>196</v>
      </c>
      <c r="L1601">
        <v>98</v>
      </c>
      <c r="M1601">
        <v>294</v>
      </c>
      <c r="N1601">
        <v>2.1</v>
      </c>
      <c r="O1601">
        <v>1.5</v>
      </c>
      <c r="P1601">
        <v>2.8</v>
      </c>
      <c r="Q1601">
        <f t="shared" si="48"/>
        <v>2917224</v>
      </c>
      <c r="R1601">
        <f t="shared" si="47"/>
        <v>6.7187161493255232</v>
      </c>
      <c r="U1601">
        <v>573</v>
      </c>
      <c r="V1601">
        <v>169</v>
      </c>
      <c r="W1601">
        <v>977</v>
      </c>
      <c r="X1601">
        <v>509</v>
      </c>
      <c r="Y1601">
        <v>53</v>
      </c>
      <c r="Z1601">
        <v>36.299999999999997</v>
      </c>
      <c r="AA1601">
        <v>69.599999999999994</v>
      </c>
    </row>
    <row r="1602" spans="1:27" x14ac:dyDescent="0.25">
      <c r="A1602" t="s">
        <v>240</v>
      </c>
      <c r="B1602" t="s">
        <v>207</v>
      </c>
      <c r="C1602" s="76">
        <v>43946</v>
      </c>
      <c r="D1602">
        <v>3473</v>
      </c>
      <c r="E1602">
        <v>2036</v>
      </c>
      <c r="F1602">
        <v>4910</v>
      </c>
      <c r="G1602">
        <v>5713</v>
      </c>
      <c r="H1602">
        <v>37.799999999999997</v>
      </c>
      <c r="I1602">
        <v>33</v>
      </c>
      <c r="J1602">
        <v>42.6</v>
      </c>
      <c r="K1602">
        <v>216</v>
      </c>
      <c r="L1602">
        <v>105</v>
      </c>
      <c r="M1602">
        <v>327</v>
      </c>
      <c r="N1602">
        <v>2.4</v>
      </c>
      <c r="O1602">
        <v>1.5</v>
      </c>
      <c r="P1602">
        <v>3.2</v>
      </c>
      <c r="Q1602">
        <f t="shared" si="48"/>
        <v>2917224</v>
      </c>
      <c r="R1602">
        <f t="shared" si="47"/>
        <v>7.404299429868944</v>
      </c>
      <c r="U1602">
        <v>534</v>
      </c>
      <c r="V1602">
        <v>203</v>
      </c>
      <c r="W1602">
        <v>865</v>
      </c>
      <c r="X1602">
        <v>553</v>
      </c>
      <c r="Y1602">
        <v>49.1</v>
      </c>
      <c r="Z1602">
        <v>37</v>
      </c>
      <c r="AA1602">
        <v>61.3</v>
      </c>
    </row>
    <row r="1603" spans="1:27" x14ac:dyDescent="0.25">
      <c r="A1603" t="s">
        <v>240</v>
      </c>
      <c r="B1603" t="s">
        <v>207</v>
      </c>
      <c r="C1603" s="76">
        <v>43947</v>
      </c>
      <c r="D1603">
        <v>3372</v>
      </c>
      <c r="E1603">
        <v>1988</v>
      </c>
      <c r="F1603">
        <v>4757</v>
      </c>
      <c r="G1603">
        <v>5821</v>
      </c>
      <c r="H1603">
        <v>36.700000000000003</v>
      </c>
      <c r="I1603">
        <v>31.8</v>
      </c>
      <c r="J1603">
        <v>41.6</v>
      </c>
      <c r="K1603">
        <v>208</v>
      </c>
      <c r="L1603">
        <v>96</v>
      </c>
      <c r="M1603">
        <v>321</v>
      </c>
      <c r="N1603">
        <v>2.2999999999999998</v>
      </c>
      <c r="O1603">
        <v>1.4</v>
      </c>
      <c r="P1603">
        <v>3.1</v>
      </c>
      <c r="Q1603">
        <f t="shared" si="48"/>
        <v>2917224</v>
      </c>
      <c r="R1603">
        <f t="shared" si="47"/>
        <v>7.1300661176515758</v>
      </c>
      <c r="U1603">
        <v>533</v>
      </c>
      <c r="V1603">
        <v>213</v>
      </c>
      <c r="W1603">
        <v>853</v>
      </c>
      <c r="X1603">
        <v>548</v>
      </c>
      <c r="Y1603">
        <v>49.3</v>
      </c>
      <c r="Z1603">
        <v>36.799999999999997</v>
      </c>
      <c r="AA1603">
        <v>61.8</v>
      </c>
    </row>
    <row r="1604" spans="1:27" x14ac:dyDescent="0.25">
      <c r="A1604" t="s">
        <v>240</v>
      </c>
      <c r="B1604" t="s">
        <v>207</v>
      </c>
      <c r="C1604" s="76">
        <v>43948</v>
      </c>
      <c r="D1604">
        <v>3531</v>
      </c>
      <c r="E1604">
        <v>2093</v>
      </c>
      <c r="F1604">
        <v>4970</v>
      </c>
      <c r="G1604">
        <v>5635</v>
      </c>
      <c r="H1604">
        <v>38.5</v>
      </c>
      <c r="I1604">
        <v>33.5</v>
      </c>
      <c r="J1604">
        <v>43.6</v>
      </c>
      <c r="K1604">
        <v>228</v>
      </c>
      <c r="L1604">
        <v>109</v>
      </c>
      <c r="M1604">
        <v>347</v>
      </c>
      <c r="N1604">
        <v>2.5</v>
      </c>
      <c r="O1604">
        <v>1.6</v>
      </c>
      <c r="P1604">
        <v>3.3</v>
      </c>
      <c r="Q1604">
        <f t="shared" si="48"/>
        <v>2917224</v>
      </c>
      <c r="R1604">
        <f t="shared" si="47"/>
        <v>7.8156493981949966</v>
      </c>
      <c r="U1604">
        <v>526</v>
      </c>
      <c r="V1604">
        <v>216</v>
      </c>
      <c r="W1604">
        <v>836</v>
      </c>
      <c r="X1604">
        <v>577</v>
      </c>
      <c r="Y1604">
        <v>47.7</v>
      </c>
      <c r="Z1604">
        <v>36.5</v>
      </c>
      <c r="AA1604">
        <v>58.9</v>
      </c>
    </row>
    <row r="1605" spans="1:27" x14ac:dyDescent="0.25">
      <c r="A1605" t="s">
        <v>240</v>
      </c>
      <c r="B1605" t="s">
        <v>207</v>
      </c>
      <c r="C1605" s="76">
        <v>43949</v>
      </c>
      <c r="D1605">
        <v>3677</v>
      </c>
      <c r="E1605">
        <v>2194</v>
      </c>
      <c r="F1605">
        <v>5160</v>
      </c>
      <c r="G1605">
        <v>5442</v>
      </c>
      <c r="H1605">
        <v>40.299999999999997</v>
      </c>
      <c r="I1605">
        <v>35.5</v>
      </c>
      <c r="J1605">
        <v>45.2</v>
      </c>
      <c r="K1605">
        <v>254</v>
      </c>
      <c r="L1605">
        <v>112</v>
      </c>
      <c r="M1605">
        <v>396</v>
      </c>
      <c r="N1605">
        <v>2.8</v>
      </c>
      <c r="O1605">
        <v>1.7</v>
      </c>
      <c r="P1605">
        <v>3.9</v>
      </c>
      <c r="Q1605">
        <f t="shared" si="48"/>
        <v>2917224</v>
      </c>
      <c r="R1605">
        <f t="shared" ref="R1605:R1668" si="49">K1605/(Q1605)*100000</f>
        <v>8.7069076629014432</v>
      </c>
      <c r="U1605">
        <v>567</v>
      </c>
      <c r="V1605">
        <v>243</v>
      </c>
      <c r="W1605">
        <v>891</v>
      </c>
      <c r="X1605">
        <v>542</v>
      </c>
      <c r="Y1605">
        <v>51.2</v>
      </c>
      <c r="Z1605">
        <v>38</v>
      </c>
      <c r="AA1605">
        <v>64.3</v>
      </c>
    </row>
    <row r="1606" spans="1:27" x14ac:dyDescent="0.25">
      <c r="A1606" t="s">
        <v>240</v>
      </c>
      <c r="B1606" t="s">
        <v>207</v>
      </c>
      <c r="C1606" s="76">
        <v>43950</v>
      </c>
      <c r="D1606">
        <v>3657</v>
      </c>
      <c r="E1606">
        <v>2165</v>
      </c>
      <c r="F1606">
        <v>5149</v>
      </c>
      <c r="G1606">
        <v>5442</v>
      </c>
      <c r="H1606">
        <v>40.200000000000003</v>
      </c>
      <c r="I1606">
        <v>35.200000000000003</v>
      </c>
      <c r="J1606">
        <v>45.2</v>
      </c>
      <c r="K1606">
        <v>242</v>
      </c>
      <c r="L1606">
        <v>101</v>
      </c>
      <c r="M1606">
        <v>382</v>
      </c>
      <c r="N1606">
        <v>2.7</v>
      </c>
      <c r="O1606">
        <v>1.4</v>
      </c>
      <c r="P1606">
        <v>3.9</v>
      </c>
      <c r="Q1606">
        <f t="shared" si="48"/>
        <v>2917224</v>
      </c>
      <c r="R1606">
        <f t="shared" si="49"/>
        <v>8.2955576945753897</v>
      </c>
      <c r="U1606">
        <v>577</v>
      </c>
      <c r="V1606">
        <v>238</v>
      </c>
      <c r="W1606">
        <v>916</v>
      </c>
      <c r="X1606">
        <v>543</v>
      </c>
      <c r="Y1606">
        <v>51.5</v>
      </c>
      <c r="Z1606">
        <v>38.299999999999997</v>
      </c>
      <c r="AA1606">
        <v>64.7</v>
      </c>
    </row>
    <row r="1607" spans="1:27" x14ac:dyDescent="0.25">
      <c r="A1607" t="s">
        <v>240</v>
      </c>
      <c r="B1607" t="s">
        <v>207</v>
      </c>
      <c r="C1607" s="76">
        <v>43951</v>
      </c>
      <c r="D1607">
        <v>3721</v>
      </c>
      <c r="E1607">
        <v>2186</v>
      </c>
      <c r="F1607">
        <v>5256</v>
      </c>
      <c r="G1607">
        <v>5514</v>
      </c>
      <c r="H1607">
        <v>40.299999999999997</v>
      </c>
      <c r="I1607">
        <v>35.5</v>
      </c>
      <c r="J1607">
        <v>45.1</v>
      </c>
      <c r="K1607">
        <v>211</v>
      </c>
      <c r="L1607">
        <v>94</v>
      </c>
      <c r="M1607">
        <v>327</v>
      </c>
      <c r="N1607">
        <v>2.2999999999999998</v>
      </c>
      <c r="O1607">
        <v>1.4</v>
      </c>
      <c r="P1607">
        <v>3.1</v>
      </c>
      <c r="Q1607">
        <f t="shared" si="48"/>
        <v>2917224</v>
      </c>
      <c r="R1607">
        <f t="shared" si="49"/>
        <v>7.2329036097330883</v>
      </c>
      <c r="U1607">
        <v>606</v>
      </c>
      <c r="V1607">
        <v>255</v>
      </c>
      <c r="W1607">
        <v>957</v>
      </c>
      <c r="X1607">
        <v>528</v>
      </c>
      <c r="Y1607">
        <v>53.4</v>
      </c>
      <c r="Z1607">
        <v>39.5</v>
      </c>
      <c r="AA1607">
        <v>67.400000000000006</v>
      </c>
    </row>
    <row r="1608" spans="1:27" x14ac:dyDescent="0.25">
      <c r="A1608" t="s">
        <v>240</v>
      </c>
      <c r="B1608" t="s">
        <v>207</v>
      </c>
      <c r="C1608" s="76">
        <v>43952</v>
      </c>
      <c r="D1608">
        <v>3733</v>
      </c>
      <c r="E1608">
        <v>2221</v>
      </c>
      <c r="F1608">
        <v>5246</v>
      </c>
      <c r="G1608">
        <v>5488</v>
      </c>
      <c r="H1608">
        <v>40.5</v>
      </c>
      <c r="I1608">
        <v>36.1</v>
      </c>
      <c r="J1608">
        <v>44.9</v>
      </c>
      <c r="K1608">
        <v>231</v>
      </c>
      <c r="L1608">
        <v>89</v>
      </c>
      <c r="M1608">
        <v>372</v>
      </c>
      <c r="N1608">
        <v>2.5</v>
      </c>
      <c r="O1608">
        <v>1.3</v>
      </c>
      <c r="P1608">
        <v>3.7</v>
      </c>
      <c r="Q1608">
        <f t="shared" si="48"/>
        <v>2917224</v>
      </c>
      <c r="R1608">
        <f t="shared" si="49"/>
        <v>7.9184868902765091</v>
      </c>
      <c r="U1608">
        <v>554</v>
      </c>
      <c r="V1608">
        <v>236</v>
      </c>
      <c r="W1608">
        <v>873</v>
      </c>
      <c r="X1608">
        <v>559</v>
      </c>
      <c r="Y1608">
        <v>49.8</v>
      </c>
      <c r="Z1608">
        <v>37.799999999999997</v>
      </c>
      <c r="AA1608">
        <v>61.9</v>
      </c>
    </row>
    <row r="1609" spans="1:27" x14ac:dyDescent="0.25">
      <c r="A1609" t="s">
        <v>240</v>
      </c>
      <c r="B1609" t="s">
        <v>207</v>
      </c>
      <c r="C1609" s="76">
        <v>43953</v>
      </c>
      <c r="D1609">
        <v>3580</v>
      </c>
      <c r="E1609">
        <v>2137</v>
      </c>
      <c r="F1609">
        <v>5024</v>
      </c>
      <c r="G1609">
        <v>5666</v>
      </c>
      <c r="H1609">
        <v>38.700000000000003</v>
      </c>
      <c r="I1609">
        <v>34.1</v>
      </c>
      <c r="J1609">
        <v>43.3</v>
      </c>
      <c r="K1609">
        <v>213</v>
      </c>
      <c r="L1609">
        <v>97</v>
      </c>
      <c r="M1609">
        <v>329</v>
      </c>
      <c r="N1609">
        <v>2.2999999999999998</v>
      </c>
      <c r="O1609">
        <v>1.4</v>
      </c>
      <c r="P1609">
        <v>3.2</v>
      </c>
      <c r="Q1609">
        <f t="shared" si="48"/>
        <v>2917224</v>
      </c>
      <c r="R1609">
        <f t="shared" si="49"/>
        <v>7.3014619377874306</v>
      </c>
      <c r="U1609">
        <v>557</v>
      </c>
      <c r="V1609">
        <v>241</v>
      </c>
      <c r="W1609">
        <v>873</v>
      </c>
      <c r="X1609">
        <v>560</v>
      </c>
      <c r="Y1609">
        <v>49.9</v>
      </c>
      <c r="Z1609">
        <v>38</v>
      </c>
      <c r="AA1609">
        <v>61.8</v>
      </c>
    </row>
    <row r="1610" spans="1:27" x14ac:dyDescent="0.25">
      <c r="A1610" t="s">
        <v>240</v>
      </c>
      <c r="B1610" t="s">
        <v>207</v>
      </c>
      <c r="C1610" s="76">
        <v>43954</v>
      </c>
      <c r="D1610">
        <v>3500</v>
      </c>
      <c r="E1610">
        <v>2061</v>
      </c>
      <c r="F1610">
        <v>4938</v>
      </c>
      <c r="G1610">
        <v>5819</v>
      </c>
      <c r="H1610">
        <v>37.6</v>
      </c>
      <c r="I1610">
        <v>32.799999999999997</v>
      </c>
      <c r="J1610">
        <v>42.3</v>
      </c>
      <c r="K1610">
        <v>239</v>
      </c>
      <c r="L1610">
        <v>107</v>
      </c>
      <c r="M1610">
        <v>370</v>
      </c>
      <c r="N1610">
        <v>2.6</v>
      </c>
      <c r="O1610">
        <v>1.5</v>
      </c>
      <c r="P1610">
        <v>3.6</v>
      </c>
      <c r="Q1610">
        <f t="shared" si="48"/>
        <v>2917224</v>
      </c>
      <c r="R1610">
        <f t="shared" si="49"/>
        <v>8.1927202024938772</v>
      </c>
      <c r="U1610">
        <v>555</v>
      </c>
      <c r="V1610">
        <v>234</v>
      </c>
      <c r="W1610">
        <v>876</v>
      </c>
      <c r="X1610">
        <v>597</v>
      </c>
      <c r="Y1610">
        <v>48.2</v>
      </c>
      <c r="Z1610">
        <v>35.5</v>
      </c>
      <c r="AA1610">
        <v>60.8</v>
      </c>
    </row>
    <row r="1611" spans="1:27" x14ac:dyDescent="0.25">
      <c r="A1611" t="s">
        <v>240</v>
      </c>
      <c r="B1611" t="s">
        <v>207</v>
      </c>
      <c r="C1611" s="76">
        <v>43955</v>
      </c>
      <c r="D1611">
        <v>3765</v>
      </c>
      <c r="E1611">
        <v>2201</v>
      </c>
      <c r="F1611">
        <v>5329</v>
      </c>
      <c r="G1611">
        <v>5527</v>
      </c>
      <c r="H1611">
        <v>40.5</v>
      </c>
      <c r="I1611">
        <v>35.6</v>
      </c>
      <c r="J1611">
        <v>45.4</v>
      </c>
      <c r="K1611">
        <v>234</v>
      </c>
      <c r="L1611">
        <v>94</v>
      </c>
      <c r="M1611">
        <v>374</v>
      </c>
      <c r="N1611">
        <v>2.5</v>
      </c>
      <c r="O1611">
        <v>1.4</v>
      </c>
      <c r="P1611">
        <v>3.6</v>
      </c>
      <c r="Q1611">
        <f t="shared" si="48"/>
        <v>2917224</v>
      </c>
      <c r="R1611">
        <f t="shared" si="49"/>
        <v>8.0213243823580225</v>
      </c>
      <c r="U1611">
        <v>583</v>
      </c>
      <c r="V1611">
        <v>237</v>
      </c>
      <c r="W1611">
        <v>929</v>
      </c>
      <c r="X1611">
        <v>574</v>
      </c>
      <c r="Y1611">
        <v>50.4</v>
      </c>
      <c r="Z1611">
        <v>36.799999999999997</v>
      </c>
      <c r="AA1611">
        <v>64</v>
      </c>
    </row>
    <row r="1612" spans="1:27" x14ac:dyDescent="0.25">
      <c r="A1612" t="s">
        <v>240</v>
      </c>
      <c r="B1612" t="s">
        <v>207</v>
      </c>
      <c r="C1612" s="76">
        <v>43956</v>
      </c>
      <c r="D1612">
        <v>4047</v>
      </c>
      <c r="E1612">
        <v>2439</v>
      </c>
      <c r="F1612">
        <v>5654</v>
      </c>
      <c r="G1612">
        <v>5372</v>
      </c>
      <c r="H1612">
        <v>43</v>
      </c>
      <c r="I1612">
        <v>38.299999999999997</v>
      </c>
      <c r="J1612">
        <v>47.6</v>
      </c>
      <c r="K1612">
        <v>278</v>
      </c>
      <c r="L1612">
        <v>135</v>
      </c>
      <c r="M1612">
        <v>422</v>
      </c>
      <c r="N1612">
        <v>3</v>
      </c>
      <c r="O1612">
        <v>1.9</v>
      </c>
      <c r="P1612">
        <v>4</v>
      </c>
      <c r="Q1612">
        <f t="shared" si="48"/>
        <v>2917224</v>
      </c>
      <c r="R1612">
        <f t="shared" si="49"/>
        <v>9.5296075995535485</v>
      </c>
      <c r="U1612">
        <v>672</v>
      </c>
      <c r="V1612">
        <v>298</v>
      </c>
      <c r="W1612">
        <v>1047</v>
      </c>
      <c r="X1612">
        <v>561</v>
      </c>
      <c r="Y1612">
        <v>54.4</v>
      </c>
      <c r="Z1612">
        <v>42.3</v>
      </c>
      <c r="AA1612">
        <v>66.5</v>
      </c>
    </row>
    <row r="1613" spans="1:27" x14ac:dyDescent="0.25">
      <c r="A1613" t="s">
        <v>240</v>
      </c>
      <c r="B1613" t="s">
        <v>207</v>
      </c>
      <c r="C1613" s="76">
        <v>43957</v>
      </c>
      <c r="D1613">
        <v>4148</v>
      </c>
      <c r="E1613">
        <v>2498</v>
      </c>
      <c r="F1613">
        <v>5797</v>
      </c>
      <c r="G1613">
        <v>5237</v>
      </c>
      <c r="H1613">
        <v>44.2</v>
      </c>
      <c r="I1613">
        <v>39.299999999999997</v>
      </c>
      <c r="J1613">
        <v>49.1</v>
      </c>
      <c r="K1613">
        <v>277</v>
      </c>
      <c r="L1613">
        <v>126</v>
      </c>
      <c r="M1613">
        <v>427</v>
      </c>
      <c r="N1613">
        <v>2.9</v>
      </c>
      <c r="O1613">
        <v>1.8</v>
      </c>
      <c r="P1613">
        <v>4.0999999999999996</v>
      </c>
      <c r="Q1613">
        <f t="shared" si="48"/>
        <v>2917224</v>
      </c>
      <c r="R1613">
        <f t="shared" si="49"/>
        <v>9.4953284355263765</v>
      </c>
      <c r="U1613">
        <v>659</v>
      </c>
      <c r="V1613">
        <v>302</v>
      </c>
      <c r="W1613">
        <v>1015</v>
      </c>
      <c r="X1613">
        <v>564</v>
      </c>
      <c r="Y1613">
        <v>53.9</v>
      </c>
      <c r="Z1613">
        <v>41.8</v>
      </c>
      <c r="AA1613">
        <v>65.900000000000006</v>
      </c>
    </row>
    <row r="1614" spans="1:27" x14ac:dyDescent="0.25">
      <c r="A1614" t="s">
        <v>240</v>
      </c>
      <c r="B1614" t="s">
        <v>207</v>
      </c>
      <c r="C1614" s="76">
        <v>43958</v>
      </c>
      <c r="D1614">
        <v>4115</v>
      </c>
      <c r="E1614">
        <v>2487</v>
      </c>
      <c r="F1614">
        <v>5743</v>
      </c>
      <c r="G1614">
        <v>5276</v>
      </c>
      <c r="H1614">
        <v>43.8</v>
      </c>
      <c r="I1614">
        <v>39.299999999999997</v>
      </c>
      <c r="J1614">
        <v>48.3</v>
      </c>
      <c r="K1614">
        <v>254</v>
      </c>
      <c r="L1614">
        <v>120</v>
      </c>
      <c r="M1614">
        <v>389</v>
      </c>
      <c r="N1614">
        <v>2.7</v>
      </c>
      <c r="O1614">
        <v>1.8</v>
      </c>
      <c r="P1614">
        <v>3.7</v>
      </c>
      <c r="Q1614">
        <f t="shared" si="48"/>
        <v>2917224</v>
      </c>
      <c r="R1614">
        <f t="shared" si="49"/>
        <v>8.7069076629014432</v>
      </c>
      <c r="U1614">
        <v>676</v>
      </c>
      <c r="V1614">
        <v>306</v>
      </c>
      <c r="W1614">
        <v>1046</v>
      </c>
      <c r="X1614">
        <v>548</v>
      </c>
      <c r="Y1614">
        <v>55.2</v>
      </c>
      <c r="Z1614">
        <v>43.4</v>
      </c>
      <c r="AA1614">
        <v>67.099999999999994</v>
      </c>
    </row>
    <row r="1615" spans="1:27" x14ac:dyDescent="0.25">
      <c r="A1615" t="s">
        <v>240</v>
      </c>
      <c r="B1615" t="s">
        <v>207</v>
      </c>
      <c r="C1615" s="76">
        <v>43959</v>
      </c>
      <c r="D1615">
        <v>4006</v>
      </c>
      <c r="E1615">
        <v>2429</v>
      </c>
      <c r="F1615">
        <v>5583</v>
      </c>
      <c r="G1615">
        <v>5282</v>
      </c>
      <c r="H1615">
        <v>43.1</v>
      </c>
      <c r="I1615">
        <v>38.299999999999997</v>
      </c>
      <c r="J1615">
        <v>47.9</v>
      </c>
      <c r="K1615">
        <v>259</v>
      </c>
      <c r="L1615">
        <v>137</v>
      </c>
      <c r="M1615">
        <v>381</v>
      </c>
      <c r="N1615">
        <v>2.8</v>
      </c>
      <c r="O1615">
        <v>2</v>
      </c>
      <c r="P1615">
        <v>3.6</v>
      </c>
      <c r="Q1615">
        <f t="shared" si="48"/>
        <v>2917224</v>
      </c>
      <c r="R1615">
        <f t="shared" si="49"/>
        <v>8.878303483037298</v>
      </c>
      <c r="U1615">
        <v>630</v>
      </c>
      <c r="V1615">
        <v>288</v>
      </c>
      <c r="W1615">
        <v>972</v>
      </c>
      <c r="X1615">
        <v>613</v>
      </c>
      <c r="Y1615">
        <v>50.7</v>
      </c>
      <c r="Z1615">
        <v>39.4</v>
      </c>
      <c r="AA1615">
        <v>61.9</v>
      </c>
    </row>
    <row r="1616" spans="1:27" x14ac:dyDescent="0.25">
      <c r="A1616" t="s">
        <v>240</v>
      </c>
      <c r="B1616" t="s">
        <v>207</v>
      </c>
      <c r="C1616" s="76">
        <v>43960</v>
      </c>
      <c r="D1616">
        <v>3841</v>
      </c>
      <c r="E1616">
        <v>2324</v>
      </c>
      <c r="F1616">
        <v>5359</v>
      </c>
      <c r="G1616">
        <v>5454</v>
      </c>
      <c r="H1616">
        <v>41.3</v>
      </c>
      <c r="I1616">
        <v>36.5</v>
      </c>
      <c r="J1616">
        <v>46.2</v>
      </c>
      <c r="K1616">
        <v>286</v>
      </c>
      <c r="L1616">
        <v>138</v>
      </c>
      <c r="M1616">
        <v>433</v>
      </c>
      <c r="N1616">
        <v>3.1</v>
      </c>
      <c r="O1616">
        <v>2</v>
      </c>
      <c r="P1616">
        <v>4.0999999999999996</v>
      </c>
      <c r="Q1616">
        <f t="shared" si="48"/>
        <v>2917224</v>
      </c>
      <c r="R1616">
        <f t="shared" si="49"/>
        <v>9.8038409117709158</v>
      </c>
      <c r="U1616">
        <v>649</v>
      </c>
      <c r="V1616">
        <v>299</v>
      </c>
      <c r="W1616">
        <v>1000</v>
      </c>
      <c r="X1616">
        <v>571</v>
      </c>
      <c r="Y1616">
        <v>53.2</v>
      </c>
      <c r="Z1616">
        <v>41.1</v>
      </c>
      <c r="AA1616">
        <v>65.3</v>
      </c>
    </row>
    <row r="1617" spans="1:27" x14ac:dyDescent="0.25">
      <c r="A1617" t="s">
        <v>240</v>
      </c>
      <c r="B1617" t="s">
        <v>207</v>
      </c>
      <c r="C1617" s="76">
        <v>43961</v>
      </c>
      <c r="D1617">
        <v>3724</v>
      </c>
      <c r="E1617">
        <v>2220</v>
      </c>
      <c r="F1617">
        <v>5227</v>
      </c>
      <c r="G1617">
        <v>5520</v>
      </c>
      <c r="H1617">
        <v>40.299999999999997</v>
      </c>
      <c r="I1617">
        <v>34.9</v>
      </c>
      <c r="J1617">
        <v>45.6</v>
      </c>
      <c r="K1617">
        <v>267</v>
      </c>
      <c r="L1617">
        <v>123</v>
      </c>
      <c r="M1617">
        <v>412</v>
      </c>
      <c r="N1617">
        <v>2.9</v>
      </c>
      <c r="O1617">
        <v>1.8</v>
      </c>
      <c r="P1617">
        <v>4</v>
      </c>
      <c r="Q1617">
        <f t="shared" si="48"/>
        <v>2917224</v>
      </c>
      <c r="R1617">
        <f t="shared" si="49"/>
        <v>9.152536795254667</v>
      </c>
      <c r="U1617">
        <v>628</v>
      </c>
      <c r="V1617">
        <v>281</v>
      </c>
      <c r="W1617">
        <v>976</v>
      </c>
      <c r="X1617">
        <v>590</v>
      </c>
      <c r="Y1617">
        <v>51.6</v>
      </c>
      <c r="Z1617">
        <v>38.6</v>
      </c>
      <c r="AA1617">
        <v>64.599999999999994</v>
      </c>
    </row>
    <row r="1618" spans="1:27" x14ac:dyDescent="0.25">
      <c r="A1618" t="s">
        <v>240</v>
      </c>
      <c r="B1618" t="s">
        <v>207</v>
      </c>
      <c r="C1618" s="76">
        <v>43962</v>
      </c>
      <c r="D1618">
        <v>3915</v>
      </c>
      <c r="E1618">
        <v>2268</v>
      </c>
      <c r="F1618">
        <v>5563</v>
      </c>
      <c r="G1618">
        <v>5366</v>
      </c>
      <c r="H1618">
        <v>42.2</v>
      </c>
      <c r="I1618">
        <v>35.299999999999997</v>
      </c>
      <c r="J1618">
        <v>49.1</v>
      </c>
      <c r="K1618">
        <v>229</v>
      </c>
      <c r="L1618">
        <v>93</v>
      </c>
      <c r="M1618">
        <v>366</v>
      </c>
      <c r="N1618">
        <v>2.5</v>
      </c>
      <c r="O1618">
        <v>1.4</v>
      </c>
      <c r="P1618">
        <v>3.6</v>
      </c>
      <c r="Q1618">
        <f t="shared" si="48"/>
        <v>2917224</v>
      </c>
      <c r="R1618">
        <f t="shared" si="49"/>
        <v>7.8499285622221668</v>
      </c>
      <c r="U1618">
        <v>622</v>
      </c>
      <c r="V1618">
        <v>281</v>
      </c>
      <c r="W1618">
        <v>963</v>
      </c>
      <c r="X1618">
        <v>595</v>
      </c>
      <c r="Y1618">
        <v>51.1</v>
      </c>
      <c r="Z1618">
        <v>38.4</v>
      </c>
      <c r="AA1618">
        <v>63.9</v>
      </c>
    </row>
    <row r="1619" spans="1:27" x14ac:dyDescent="0.25">
      <c r="A1619" t="s">
        <v>240</v>
      </c>
      <c r="B1619" t="s">
        <v>207</v>
      </c>
      <c r="C1619" s="76">
        <v>43963</v>
      </c>
      <c r="D1619">
        <v>4113</v>
      </c>
      <c r="E1619">
        <v>2436</v>
      </c>
      <c r="F1619">
        <v>5791</v>
      </c>
      <c r="G1619">
        <v>5202</v>
      </c>
      <c r="H1619">
        <v>44.2</v>
      </c>
      <c r="I1619">
        <v>38</v>
      </c>
      <c r="J1619">
        <v>50.3</v>
      </c>
      <c r="K1619">
        <v>234</v>
      </c>
      <c r="L1619">
        <v>69</v>
      </c>
      <c r="M1619">
        <v>398</v>
      </c>
      <c r="N1619">
        <v>2.5</v>
      </c>
      <c r="O1619">
        <v>1.1000000000000001</v>
      </c>
      <c r="P1619">
        <v>3.9</v>
      </c>
      <c r="Q1619">
        <f t="shared" si="48"/>
        <v>2917224</v>
      </c>
      <c r="R1619">
        <f t="shared" si="49"/>
        <v>8.0213243823580225</v>
      </c>
      <c r="U1619">
        <v>637</v>
      </c>
      <c r="V1619">
        <v>284</v>
      </c>
      <c r="W1619">
        <v>990</v>
      </c>
      <c r="X1619">
        <v>595</v>
      </c>
      <c r="Y1619">
        <v>51.7</v>
      </c>
      <c r="Z1619">
        <v>39.799999999999997</v>
      </c>
      <c r="AA1619">
        <v>63.7</v>
      </c>
    </row>
    <row r="1620" spans="1:27" x14ac:dyDescent="0.25">
      <c r="A1620" t="s">
        <v>240</v>
      </c>
      <c r="B1620" t="s">
        <v>207</v>
      </c>
      <c r="C1620" s="76">
        <v>43964</v>
      </c>
      <c r="D1620">
        <v>4326</v>
      </c>
      <c r="E1620">
        <v>2618</v>
      </c>
      <c r="F1620">
        <v>6033</v>
      </c>
      <c r="G1620">
        <v>4990</v>
      </c>
      <c r="H1620">
        <v>46.4</v>
      </c>
      <c r="I1620">
        <v>40</v>
      </c>
      <c r="J1620">
        <v>52.8</v>
      </c>
      <c r="K1620">
        <v>262</v>
      </c>
      <c r="L1620">
        <v>112</v>
      </c>
      <c r="M1620">
        <v>412</v>
      </c>
      <c r="N1620">
        <v>2.8</v>
      </c>
      <c r="O1620">
        <v>1.7</v>
      </c>
      <c r="P1620">
        <v>3.9</v>
      </c>
      <c r="Q1620">
        <f t="shared" si="48"/>
        <v>2917224</v>
      </c>
      <c r="R1620">
        <f t="shared" si="49"/>
        <v>8.9811409751188105</v>
      </c>
      <c r="U1620">
        <v>661</v>
      </c>
      <c r="V1620">
        <v>300</v>
      </c>
      <c r="W1620">
        <v>1022</v>
      </c>
      <c r="X1620">
        <v>545</v>
      </c>
      <c r="Y1620">
        <v>54.8</v>
      </c>
      <c r="Z1620">
        <v>43.6</v>
      </c>
      <c r="AA1620">
        <v>66</v>
      </c>
    </row>
    <row r="1621" spans="1:27" x14ac:dyDescent="0.25">
      <c r="A1621" t="s">
        <v>240</v>
      </c>
      <c r="B1621" t="s">
        <v>207</v>
      </c>
      <c r="C1621" s="76">
        <v>43965</v>
      </c>
      <c r="D1621">
        <v>4127</v>
      </c>
      <c r="E1621">
        <v>2441</v>
      </c>
      <c r="F1621">
        <v>5813</v>
      </c>
      <c r="G1621">
        <v>4985</v>
      </c>
      <c r="H1621">
        <v>45.3</v>
      </c>
      <c r="I1621">
        <v>39.9</v>
      </c>
      <c r="J1621">
        <v>50.7</v>
      </c>
      <c r="K1621">
        <v>238</v>
      </c>
      <c r="L1621">
        <v>103</v>
      </c>
      <c r="M1621">
        <v>373</v>
      </c>
      <c r="N1621">
        <v>2.6</v>
      </c>
      <c r="O1621">
        <v>1.6</v>
      </c>
      <c r="P1621">
        <v>3.7</v>
      </c>
      <c r="Q1621">
        <f t="shared" si="48"/>
        <v>2917224</v>
      </c>
      <c r="R1621">
        <f t="shared" si="49"/>
        <v>8.158441038466707</v>
      </c>
      <c r="U1621">
        <v>605</v>
      </c>
      <c r="V1621">
        <v>260</v>
      </c>
      <c r="W1621">
        <v>950</v>
      </c>
      <c r="X1621">
        <v>545</v>
      </c>
      <c r="Y1621">
        <v>52.6</v>
      </c>
      <c r="Z1621">
        <v>39.5</v>
      </c>
      <c r="AA1621">
        <v>65.7</v>
      </c>
    </row>
    <row r="1622" spans="1:27" x14ac:dyDescent="0.25">
      <c r="A1622" t="s">
        <v>240</v>
      </c>
      <c r="B1622" t="s">
        <v>207</v>
      </c>
      <c r="C1622" s="76">
        <v>43966</v>
      </c>
      <c r="D1622">
        <v>4019</v>
      </c>
      <c r="E1622">
        <v>2380</v>
      </c>
      <c r="F1622">
        <v>5658</v>
      </c>
      <c r="G1622">
        <v>5166</v>
      </c>
      <c r="H1622">
        <v>43.8</v>
      </c>
      <c r="I1622">
        <v>39</v>
      </c>
      <c r="J1622">
        <v>48.5</v>
      </c>
      <c r="K1622">
        <v>251</v>
      </c>
      <c r="L1622">
        <v>125</v>
      </c>
      <c r="M1622">
        <v>377</v>
      </c>
      <c r="N1622">
        <v>2.7</v>
      </c>
      <c r="O1622">
        <v>1.8</v>
      </c>
      <c r="P1622">
        <v>3.7</v>
      </c>
      <c r="Q1622">
        <f t="shared" si="48"/>
        <v>2917224</v>
      </c>
      <c r="R1622">
        <f t="shared" si="49"/>
        <v>8.6040701708199308</v>
      </c>
      <c r="U1622">
        <v>604</v>
      </c>
      <c r="V1622">
        <v>266</v>
      </c>
      <c r="W1622">
        <v>941</v>
      </c>
      <c r="X1622">
        <v>550</v>
      </c>
      <c r="Y1622">
        <v>52.3</v>
      </c>
      <c r="Z1622">
        <v>40.200000000000003</v>
      </c>
      <c r="AA1622">
        <v>64.400000000000006</v>
      </c>
    </row>
    <row r="1623" spans="1:27" x14ac:dyDescent="0.25">
      <c r="A1623" t="s">
        <v>240</v>
      </c>
      <c r="B1623" t="s">
        <v>207</v>
      </c>
      <c r="C1623" s="76">
        <v>43967</v>
      </c>
      <c r="D1623">
        <v>3854</v>
      </c>
      <c r="E1623">
        <v>2279</v>
      </c>
      <c r="F1623">
        <v>5429</v>
      </c>
      <c r="G1623">
        <v>5351</v>
      </c>
      <c r="H1623">
        <v>41.9</v>
      </c>
      <c r="I1623">
        <v>37.200000000000003</v>
      </c>
      <c r="J1623">
        <v>46.5</v>
      </c>
      <c r="K1623">
        <v>261</v>
      </c>
      <c r="L1623">
        <v>118</v>
      </c>
      <c r="M1623">
        <v>405</v>
      </c>
      <c r="N1623">
        <v>2.8</v>
      </c>
      <c r="O1623">
        <v>1.7</v>
      </c>
      <c r="P1623">
        <v>3.9</v>
      </c>
      <c r="Q1623">
        <f t="shared" si="48"/>
        <v>2917224</v>
      </c>
      <c r="R1623">
        <f t="shared" si="49"/>
        <v>8.9468618110916402</v>
      </c>
      <c r="U1623">
        <v>569</v>
      </c>
      <c r="V1623">
        <v>250</v>
      </c>
      <c r="W1623">
        <v>887</v>
      </c>
      <c r="X1623">
        <v>575</v>
      </c>
      <c r="Y1623">
        <v>49.7</v>
      </c>
      <c r="Z1623">
        <v>37.5</v>
      </c>
      <c r="AA1623">
        <v>62</v>
      </c>
    </row>
    <row r="1624" spans="1:27" x14ac:dyDescent="0.25">
      <c r="A1624" t="s">
        <v>240</v>
      </c>
      <c r="B1624" t="s">
        <v>207</v>
      </c>
      <c r="C1624" s="76">
        <v>43968</v>
      </c>
      <c r="D1624">
        <v>3669</v>
      </c>
      <c r="E1624">
        <v>2180</v>
      </c>
      <c r="F1624">
        <v>5158</v>
      </c>
      <c r="G1624">
        <v>5480</v>
      </c>
      <c r="H1624">
        <v>40.1</v>
      </c>
      <c r="I1624">
        <v>35.5</v>
      </c>
      <c r="J1624">
        <v>44.7</v>
      </c>
      <c r="K1624">
        <v>238</v>
      </c>
      <c r="L1624">
        <v>117</v>
      </c>
      <c r="M1624">
        <v>359</v>
      </c>
      <c r="N1624">
        <v>2.6</v>
      </c>
      <c r="O1624">
        <v>1.7</v>
      </c>
      <c r="P1624">
        <v>3.5</v>
      </c>
      <c r="Q1624">
        <f t="shared" si="48"/>
        <v>2917224</v>
      </c>
      <c r="R1624">
        <f t="shared" si="49"/>
        <v>8.158441038466707</v>
      </c>
      <c r="U1624">
        <v>562</v>
      </c>
      <c r="V1624">
        <v>254</v>
      </c>
      <c r="W1624">
        <v>869</v>
      </c>
      <c r="X1624">
        <v>592</v>
      </c>
      <c r="Y1624">
        <v>48.7</v>
      </c>
      <c r="Z1624">
        <v>36.9</v>
      </c>
      <c r="AA1624">
        <v>60.4</v>
      </c>
    </row>
    <row r="1625" spans="1:27" x14ac:dyDescent="0.25">
      <c r="A1625" t="s">
        <v>240</v>
      </c>
      <c r="B1625" t="s">
        <v>207</v>
      </c>
      <c r="C1625" s="76">
        <v>43969</v>
      </c>
      <c r="D1625">
        <v>3797</v>
      </c>
      <c r="E1625">
        <v>2258</v>
      </c>
      <c r="F1625">
        <v>5335</v>
      </c>
      <c r="G1625">
        <v>5368</v>
      </c>
      <c r="H1625">
        <v>41.4</v>
      </c>
      <c r="I1625">
        <v>36.6</v>
      </c>
      <c r="J1625">
        <v>46.3</v>
      </c>
      <c r="K1625">
        <v>224</v>
      </c>
      <c r="L1625">
        <v>101</v>
      </c>
      <c r="M1625">
        <v>348</v>
      </c>
      <c r="N1625">
        <v>2.4</v>
      </c>
      <c r="O1625">
        <v>1.5</v>
      </c>
      <c r="P1625">
        <v>3.4</v>
      </c>
      <c r="Q1625">
        <f t="shared" si="48"/>
        <v>2917224</v>
      </c>
      <c r="R1625">
        <f t="shared" si="49"/>
        <v>7.6785327420863121</v>
      </c>
      <c r="U1625">
        <v>570</v>
      </c>
      <c r="V1625">
        <v>244</v>
      </c>
      <c r="W1625">
        <v>896</v>
      </c>
      <c r="X1625">
        <v>614</v>
      </c>
      <c r="Y1625">
        <v>48.1</v>
      </c>
      <c r="Z1625">
        <v>35.9</v>
      </c>
      <c r="AA1625">
        <v>60.4</v>
      </c>
    </row>
    <row r="1626" spans="1:27" x14ac:dyDescent="0.25">
      <c r="A1626" t="s">
        <v>240</v>
      </c>
      <c r="B1626" t="s">
        <v>207</v>
      </c>
      <c r="C1626" s="76">
        <v>43970</v>
      </c>
      <c r="D1626">
        <v>4136</v>
      </c>
      <c r="E1626">
        <v>2459</v>
      </c>
      <c r="F1626">
        <v>5812</v>
      </c>
      <c r="G1626">
        <v>5003</v>
      </c>
      <c r="H1626">
        <v>45.3</v>
      </c>
      <c r="I1626">
        <v>40.1</v>
      </c>
      <c r="J1626">
        <v>50.4</v>
      </c>
      <c r="K1626">
        <v>239</v>
      </c>
      <c r="L1626">
        <v>103</v>
      </c>
      <c r="M1626">
        <v>375</v>
      </c>
      <c r="N1626">
        <v>2.6</v>
      </c>
      <c r="O1626">
        <v>1.5</v>
      </c>
      <c r="P1626">
        <v>3.7</v>
      </c>
      <c r="Q1626">
        <f t="shared" si="48"/>
        <v>2917224</v>
      </c>
      <c r="R1626">
        <f t="shared" si="49"/>
        <v>8.1927202024938772</v>
      </c>
      <c r="U1626">
        <v>613</v>
      </c>
      <c r="V1626">
        <v>264</v>
      </c>
      <c r="W1626">
        <v>962</v>
      </c>
      <c r="X1626">
        <v>529</v>
      </c>
      <c r="Y1626">
        <v>53.7</v>
      </c>
      <c r="Z1626">
        <v>40</v>
      </c>
      <c r="AA1626">
        <v>67.3</v>
      </c>
    </row>
    <row r="1627" spans="1:27" x14ac:dyDescent="0.25">
      <c r="A1627" t="s">
        <v>240</v>
      </c>
      <c r="B1627" t="s">
        <v>207</v>
      </c>
      <c r="C1627" s="76">
        <v>43971</v>
      </c>
      <c r="D1627">
        <v>4263</v>
      </c>
      <c r="E1627">
        <v>2539</v>
      </c>
      <c r="F1627">
        <v>5987</v>
      </c>
      <c r="G1627">
        <v>4774</v>
      </c>
      <c r="H1627">
        <v>47.2</v>
      </c>
      <c r="I1627">
        <v>42</v>
      </c>
      <c r="J1627">
        <v>52.3</v>
      </c>
      <c r="K1627">
        <v>254</v>
      </c>
      <c r="L1627">
        <v>124</v>
      </c>
      <c r="M1627">
        <v>385</v>
      </c>
      <c r="N1627">
        <v>2.8</v>
      </c>
      <c r="O1627">
        <v>1.8</v>
      </c>
      <c r="P1627">
        <v>3.8</v>
      </c>
      <c r="Q1627">
        <f t="shared" si="48"/>
        <v>2917224</v>
      </c>
      <c r="R1627">
        <f t="shared" si="49"/>
        <v>8.7069076629014432</v>
      </c>
      <c r="U1627">
        <v>662</v>
      </c>
      <c r="V1627">
        <v>288</v>
      </c>
      <c r="W1627">
        <v>1037</v>
      </c>
      <c r="X1627">
        <v>491</v>
      </c>
      <c r="Y1627">
        <v>57.4</v>
      </c>
      <c r="Z1627">
        <v>42.6</v>
      </c>
      <c r="AA1627">
        <v>72.2</v>
      </c>
    </row>
    <row r="1628" spans="1:27" x14ac:dyDescent="0.25">
      <c r="A1628" t="s">
        <v>240</v>
      </c>
      <c r="B1628" t="s">
        <v>207</v>
      </c>
      <c r="C1628" s="76">
        <v>43972</v>
      </c>
      <c r="D1628">
        <v>4327</v>
      </c>
      <c r="E1628">
        <v>2597</v>
      </c>
      <c r="F1628">
        <v>6057</v>
      </c>
      <c r="G1628">
        <v>4747</v>
      </c>
      <c r="H1628">
        <v>47.7</v>
      </c>
      <c r="I1628">
        <v>42.2</v>
      </c>
      <c r="J1628">
        <v>53.2</v>
      </c>
      <c r="K1628">
        <v>226</v>
      </c>
      <c r="L1628">
        <v>104</v>
      </c>
      <c r="M1628">
        <v>348</v>
      </c>
      <c r="N1628">
        <v>2.5</v>
      </c>
      <c r="O1628">
        <v>1.5</v>
      </c>
      <c r="P1628">
        <v>3.5</v>
      </c>
      <c r="Q1628">
        <f t="shared" si="48"/>
        <v>2917224</v>
      </c>
      <c r="R1628">
        <f t="shared" si="49"/>
        <v>7.7470910701406543</v>
      </c>
      <c r="U1628">
        <v>641</v>
      </c>
      <c r="V1628">
        <v>280</v>
      </c>
      <c r="W1628">
        <v>1002</v>
      </c>
      <c r="X1628">
        <v>522</v>
      </c>
      <c r="Y1628">
        <v>55.1</v>
      </c>
      <c r="Z1628">
        <v>41.6</v>
      </c>
      <c r="AA1628">
        <v>68.7</v>
      </c>
    </row>
    <row r="1629" spans="1:27" x14ac:dyDescent="0.25">
      <c r="A1629" t="s">
        <v>240</v>
      </c>
      <c r="B1629" t="s">
        <v>207</v>
      </c>
      <c r="C1629" s="76">
        <v>43973</v>
      </c>
      <c r="D1629">
        <v>4280</v>
      </c>
      <c r="E1629">
        <v>2554</v>
      </c>
      <c r="F1629">
        <v>6006</v>
      </c>
      <c r="G1629">
        <v>4936</v>
      </c>
      <c r="H1629">
        <v>46.4</v>
      </c>
      <c r="I1629">
        <v>41.4</v>
      </c>
      <c r="J1629">
        <v>51.5</v>
      </c>
      <c r="K1629">
        <v>209</v>
      </c>
      <c r="L1629">
        <v>91</v>
      </c>
      <c r="M1629">
        <v>327</v>
      </c>
      <c r="N1629">
        <v>2.2999999999999998</v>
      </c>
      <c r="O1629">
        <v>1.3</v>
      </c>
      <c r="P1629">
        <v>3.2</v>
      </c>
      <c r="Q1629">
        <f t="shared" si="48"/>
        <v>2917224</v>
      </c>
      <c r="R1629">
        <f t="shared" si="49"/>
        <v>7.1643452816787461</v>
      </c>
      <c r="U1629">
        <v>636</v>
      </c>
      <c r="V1629">
        <v>288</v>
      </c>
      <c r="W1629">
        <v>985</v>
      </c>
      <c r="X1629">
        <v>516</v>
      </c>
      <c r="Y1629">
        <v>55.2</v>
      </c>
      <c r="Z1629">
        <v>42.7</v>
      </c>
      <c r="AA1629">
        <v>67.7</v>
      </c>
    </row>
    <row r="1630" spans="1:27" x14ac:dyDescent="0.25">
      <c r="A1630" t="s">
        <v>240</v>
      </c>
      <c r="B1630" t="s">
        <v>207</v>
      </c>
      <c r="C1630" s="76">
        <v>43974</v>
      </c>
      <c r="D1630">
        <v>4044</v>
      </c>
      <c r="E1630">
        <v>2390</v>
      </c>
      <c r="F1630">
        <v>5699</v>
      </c>
      <c r="G1630">
        <v>5151</v>
      </c>
      <c r="H1630">
        <v>44</v>
      </c>
      <c r="I1630">
        <v>38.799999999999997</v>
      </c>
      <c r="J1630">
        <v>49.2</v>
      </c>
      <c r="K1630">
        <v>154</v>
      </c>
      <c r="L1630">
        <v>72</v>
      </c>
      <c r="M1630">
        <v>236</v>
      </c>
      <c r="N1630">
        <v>1.7</v>
      </c>
      <c r="O1630">
        <v>1</v>
      </c>
      <c r="P1630">
        <v>2.4</v>
      </c>
      <c r="Q1630">
        <f t="shared" si="48"/>
        <v>2917224</v>
      </c>
      <c r="R1630">
        <f t="shared" si="49"/>
        <v>5.2789912601843394</v>
      </c>
      <c r="U1630">
        <v>605</v>
      </c>
      <c r="V1630">
        <v>258</v>
      </c>
      <c r="W1630">
        <v>953</v>
      </c>
      <c r="X1630">
        <v>547</v>
      </c>
      <c r="Y1630">
        <v>52.5</v>
      </c>
      <c r="Z1630">
        <v>40.299999999999997</v>
      </c>
      <c r="AA1630">
        <v>64.7</v>
      </c>
    </row>
    <row r="1631" spans="1:27" x14ac:dyDescent="0.25">
      <c r="A1631" t="s">
        <v>240</v>
      </c>
      <c r="B1631" t="s">
        <v>207</v>
      </c>
      <c r="C1631" s="76">
        <v>43975</v>
      </c>
      <c r="D1631">
        <v>3762</v>
      </c>
      <c r="E1631">
        <v>2191</v>
      </c>
      <c r="F1631">
        <v>5334</v>
      </c>
      <c r="G1631">
        <v>5444</v>
      </c>
      <c r="H1631">
        <v>40.9</v>
      </c>
      <c r="I1631">
        <v>35.299999999999997</v>
      </c>
      <c r="J1631">
        <v>46.4</v>
      </c>
      <c r="K1631">
        <v>162</v>
      </c>
      <c r="L1631">
        <v>72</v>
      </c>
      <c r="M1631">
        <v>253</v>
      </c>
      <c r="N1631">
        <v>1.8</v>
      </c>
      <c r="O1631">
        <v>1</v>
      </c>
      <c r="P1631">
        <v>2.5</v>
      </c>
      <c r="Q1631">
        <f t="shared" si="48"/>
        <v>2917224</v>
      </c>
      <c r="R1631">
        <f t="shared" si="49"/>
        <v>5.5532245724017075</v>
      </c>
      <c r="U1631">
        <v>587</v>
      </c>
      <c r="V1631">
        <v>249</v>
      </c>
      <c r="W1631">
        <v>925</v>
      </c>
      <c r="X1631">
        <v>574</v>
      </c>
      <c r="Y1631">
        <v>50.6</v>
      </c>
      <c r="Z1631">
        <v>38.700000000000003</v>
      </c>
      <c r="AA1631">
        <v>62.5</v>
      </c>
    </row>
    <row r="1632" spans="1:27" x14ac:dyDescent="0.25">
      <c r="A1632" t="s">
        <v>240</v>
      </c>
      <c r="B1632" t="s">
        <v>207</v>
      </c>
      <c r="C1632" s="76">
        <v>43976</v>
      </c>
      <c r="D1632">
        <v>3809</v>
      </c>
      <c r="E1632">
        <v>2190</v>
      </c>
      <c r="F1632">
        <v>5429</v>
      </c>
      <c r="G1632">
        <v>5602</v>
      </c>
      <c r="H1632">
        <v>40.5</v>
      </c>
      <c r="I1632">
        <v>35</v>
      </c>
      <c r="J1632">
        <v>46</v>
      </c>
      <c r="K1632">
        <v>213</v>
      </c>
      <c r="L1632">
        <v>89</v>
      </c>
      <c r="M1632">
        <v>338</v>
      </c>
      <c r="N1632">
        <v>2.2999999999999998</v>
      </c>
      <c r="O1632">
        <v>1.3</v>
      </c>
      <c r="P1632">
        <v>3.2</v>
      </c>
      <c r="Q1632">
        <f t="shared" si="48"/>
        <v>2917224</v>
      </c>
      <c r="R1632">
        <f t="shared" si="49"/>
        <v>7.3014619377874306</v>
      </c>
      <c r="U1632">
        <v>491</v>
      </c>
      <c r="V1632">
        <v>177</v>
      </c>
      <c r="W1632">
        <v>805</v>
      </c>
      <c r="X1632">
        <v>536</v>
      </c>
      <c r="Y1632">
        <v>47.8</v>
      </c>
      <c r="Z1632">
        <v>36.5</v>
      </c>
      <c r="AA1632">
        <v>59.1</v>
      </c>
    </row>
    <row r="1633" spans="1:27" x14ac:dyDescent="0.25">
      <c r="A1633" t="s">
        <v>240</v>
      </c>
      <c r="B1633" t="s">
        <v>207</v>
      </c>
      <c r="C1633" s="76">
        <v>43977</v>
      </c>
      <c r="D1633">
        <v>4154</v>
      </c>
      <c r="E1633">
        <v>2409</v>
      </c>
      <c r="F1633">
        <v>5899</v>
      </c>
      <c r="G1633">
        <v>5261</v>
      </c>
      <c r="H1633">
        <v>44.1</v>
      </c>
      <c r="I1633">
        <v>38.5</v>
      </c>
      <c r="J1633">
        <v>49.7</v>
      </c>
      <c r="K1633">
        <v>218</v>
      </c>
      <c r="L1633">
        <v>89</v>
      </c>
      <c r="M1633">
        <v>347</v>
      </c>
      <c r="N1633">
        <v>2.2999999999999998</v>
      </c>
      <c r="O1633">
        <v>1.3</v>
      </c>
      <c r="P1633">
        <v>3.4</v>
      </c>
      <c r="Q1633">
        <f t="shared" si="48"/>
        <v>2917224</v>
      </c>
      <c r="R1633">
        <f t="shared" si="49"/>
        <v>7.4728577579232862</v>
      </c>
      <c r="U1633">
        <v>526</v>
      </c>
      <c r="V1633">
        <v>198</v>
      </c>
      <c r="W1633">
        <v>854</v>
      </c>
      <c r="X1633">
        <v>488</v>
      </c>
      <c r="Y1633">
        <v>51.9</v>
      </c>
      <c r="Z1633">
        <v>40.200000000000003</v>
      </c>
      <c r="AA1633">
        <v>63.5</v>
      </c>
    </row>
    <row r="1634" spans="1:27" x14ac:dyDescent="0.25">
      <c r="A1634" t="s">
        <v>240</v>
      </c>
      <c r="B1634" t="s">
        <v>207</v>
      </c>
      <c r="C1634" s="76">
        <v>43978</v>
      </c>
      <c r="D1634">
        <v>4427</v>
      </c>
      <c r="E1634">
        <v>2565</v>
      </c>
      <c r="F1634">
        <v>6289</v>
      </c>
      <c r="G1634">
        <v>5089</v>
      </c>
      <c r="H1634">
        <v>46.5</v>
      </c>
      <c r="I1634">
        <v>40.6</v>
      </c>
      <c r="J1634">
        <v>52.5</v>
      </c>
      <c r="K1634">
        <v>229</v>
      </c>
      <c r="L1634">
        <v>98</v>
      </c>
      <c r="M1634">
        <v>361</v>
      </c>
      <c r="N1634">
        <v>2.4</v>
      </c>
      <c r="O1634">
        <v>1.3</v>
      </c>
      <c r="P1634">
        <v>3.5</v>
      </c>
      <c r="Q1634">
        <f t="shared" si="48"/>
        <v>2917224</v>
      </c>
      <c r="R1634">
        <f t="shared" si="49"/>
        <v>7.8499285622221668</v>
      </c>
      <c r="U1634">
        <v>553</v>
      </c>
      <c r="V1634">
        <v>210</v>
      </c>
      <c r="W1634">
        <v>896</v>
      </c>
      <c r="X1634">
        <v>467</v>
      </c>
      <c r="Y1634">
        <v>54.2</v>
      </c>
      <c r="Z1634">
        <v>41.7</v>
      </c>
      <c r="AA1634">
        <v>66.8</v>
      </c>
    </row>
    <row r="1635" spans="1:27" x14ac:dyDescent="0.25">
      <c r="A1635" t="s">
        <v>240</v>
      </c>
      <c r="B1635" t="s">
        <v>207</v>
      </c>
      <c r="C1635" s="76">
        <v>43979</v>
      </c>
      <c r="D1635">
        <v>4518</v>
      </c>
      <c r="E1635">
        <v>2217</v>
      </c>
      <c r="F1635">
        <v>6819</v>
      </c>
      <c r="G1635">
        <v>4879</v>
      </c>
      <c r="H1635">
        <v>48.1</v>
      </c>
      <c r="I1635">
        <v>41.2</v>
      </c>
      <c r="J1635">
        <v>55</v>
      </c>
      <c r="K1635">
        <v>231</v>
      </c>
      <c r="L1635">
        <v>69</v>
      </c>
      <c r="M1635">
        <v>394</v>
      </c>
      <c r="N1635">
        <v>2.5</v>
      </c>
      <c r="O1635">
        <v>1.1000000000000001</v>
      </c>
      <c r="P1635">
        <v>3.8</v>
      </c>
      <c r="Q1635">
        <f t="shared" si="48"/>
        <v>2917224</v>
      </c>
      <c r="R1635">
        <f t="shared" si="49"/>
        <v>7.9184868902765091</v>
      </c>
      <c r="U1635">
        <v>603</v>
      </c>
      <c r="V1635">
        <v>182</v>
      </c>
      <c r="W1635">
        <v>1025</v>
      </c>
      <c r="X1635">
        <v>465</v>
      </c>
      <c r="Y1635">
        <v>56.5</v>
      </c>
      <c r="Z1635">
        <v>41.6</v>
      </c>
      <c r="AA1635">
        <v>71.3</v>
      </c>
    </row>
    <row r="1636" spans="1:27" x14ac:dyDescent="0.25">
      <c r="A1636" t="s">
        <v>240</v>
      </c>
      <c r="B1636" t="s">
        <v>207</v>
      </c>
      <c r="C1636" s="76">
        <v>43980</v>
      </c>
      <c r="D1636">
        <v>4382</v>
      </c>
      <c r="E1636">
        <v>2616</v>
      </c>
      <c r="F1636">
        <v>6149</v>
      </c>
      <c r="G1636">
        <v>5326</v>
      </c>
      <c r="H1636">
        <v>45.1</v>
      </c>
      <c r="I1636">
        <v>39.4</v>
      </c>
      <c r="J1636">
        <v>50.8</v>
      </c>
      <c r="K1636">
        <v>227</v>
      </c>
      <c r="L1636">
        <v>95</v>
      </c>
      <c r="M1636">
        <v>358</v>
      </c>
      <c r="N1636">
        <v>2.2999999999999998</v>
      </c>
      <c r="O1636">
        <v>1.3</v>
      </c>
      <c r="P1636">
        <v>3.3</v>
      </c>
      <c r="Q1636">
        <f t="shared" si="48"/>
        <v>2917224</v>
      </c>
      <c r="R1636">
        <f t="shared" si="49"/>
        <v>7.7813702341678246</v>
      </c>
      <c r="U1636">
        <v>606</v>
      </c>
      <c r="V1636">
        <v>253</v>
      </c>
      <c r="W1636">
        <v>959</v>
      </c>
      <c r="X1636">
        <v>513</v>
      </c>
      <c r="Y1636">
        <v>54.2</v>
      </c>
      <c r="Z1636">
        <v>42.1</v>
      </c>
      <c r="AA1636">
        <v>66.3</v>
      </c>
    </row>
    <row r="1637" spans="1:27" x14ac:dyDescent="0.25">
      <c r="A1637" t="s">
        <v>240</v>
      </c>
      <c r="B1637" t="s">
        <v>207</v>
      </c>
      <c r="C1637" s="76">
        <v>43981</v>
      </c>
      <c r="D1637">
        <v>4111</v>
      </c>
      <c r="E1637">
        <v>2459</v>
      </c>
      <c r="F1637">
        <v>5763</v>
      </c>
      <c r="G1637">
        <v>5109</v>
      </c>
      <c r="H1637">
        <v>44.6</v>
      </c>
      <c r="I1637">
        <v>39.6</v>
      </c>
      <c r="J1637">
        <v>49.5</v>
      </c>
      <c r="K1637">
        <v>201</v>
      </c>
      <c r="L1637">
        <v>80</v>
      </c>
      <c r="M1637">
        <v>323</v>
      </c>
      <c r="N1637">
        <v>2.2000000000000002</v>
      </c>
      <c r="O1637">
        <v>1.2</v>
      </c>
      <c r="P1637">
        <v>3.2</v>
      </c>
      <c r="Q1637">
        <f t="shared" si="48"/>
        <v>2917224</v>
      </c>
      <c r="R1637">
        <f t="shared" si="49"/>
        <v>6.8901119694613779</v>
      </c>
      <c r="U1637">
        <v>545</v>
      </c>
      <c r="V1637">
        <v>231</v>
      </c>
      <c r="W1637">
        <v>859</v>
      </c>
      <c r="X1637">
        <v>522</v>
      </c>
      <c r="Y1637">
        <v>51.1</v>
      </c>
      <c r="Z1637">
        <v>39.1</v>
      </c>
      <c r="AA1637">
        <v>63.1</v>
      </c>
    </row>
    <row r="1638" spans="1:27" x14ac:dyDescent="0.25">
      <c r="A1638" t="s">
        <v>240</v>
      </c>
      <c r="B1638" t="s">
        <v>207</v>
      </c>
      <c r="C1638" s="76">
        <v>43982</v>
      </c>
      <c r="D1638">
        <v>4270</v>
      </c>
      <c r="E1638">
        <v>2536</v>
      </c>
      <c r="F1638">
        <v>6004</v>
      </c>
      <c r="G1638">
        <v>5099</v>
      </c>
      <c r="H1638">
        <v>45.6</v>
      </c>
      <c r="I1638">
        <v>39.9</v>
      </c>
      <c r="J1638">
        <v>51.2</v>
      </c>
      <c r="K1638">
        <v>169</v>
      </c>
      <c r="L1638">
        <v>75</v>
      </c>
      <c r="M1638">
        <v>264</v>
      </c>
      <c r="N1638">
        <v>1.8</v>
      </c>
      <c r="O1638">
        <v>1</v>
      </c>
      <c r="P1638">
        <v>2.6</v>
      </c>
      <c r="Q1638">
        <f t="shared" si="48"/>
        <v>2917224</v>
      </c>
      <c r="R1638">
        <f t="shared" si="49"/>
        <v>5.7931787205919054</v>
      </c>
      <c r="U1638">
        <v>519</v>
      </c>
      <c r="V1638">
        <v>213</v>
      </c>
      <c r="W1638">
        <v>824</v>
      </c>
      <c r="X1638">
        <v>534</v>
      </c>
      <c r="Y1638">
        <v>49.3</v>
      </c>
      <c r="Z1638">
        <v>37.200000000000003</v>
      </c>
      <c r="AA1638">
        <v>61.3</v>
      </c>
    </row>
    <row r="1639" spans="1:27" x14ac:dyDescent="0.25">
      <c r="A1639" t="s">
        <v>240</v>
      </c>
      <c r="B1639" t="s">
        <v>207</v>
      </c>
      <c r="C1639" s="76">
        <v>43983</v>
      </c>
      <c r="D1639">
        <v>4393</v>
      </c>
      <c r="E1639">
        <v>2604</v>
      </c>
      <c r="F1639">
        <v>6182</v>
      </c>
      <c r="G1639">
        <v>4977</v>
      </c>
      <c r="H1639">
        <v>46.9</v>
      </c>
      <c r="I1639">
        <v>41.3</v>
      </c>
      <c r="J1639">
        <v>52.4</v>
      </c>
      <c r="K1639">
        <v>162</v>
      </c>
      <c r="L1639">
        <v>50</v>
      </c>
      <c r="M1639">
        <v>274</v>
      </c>
      <c r="N1639">
        <v>1.7</v>
      </c>
      <c r="O1639">
        <v>0.7</v>
      </c>
      <c r="P1639">
        <v>2.8</v>
      </c>
      <c r="Q1639">
        <f t="shared" ref="Q1639:Q1702" si="50">VLOOKUP(B1639,$AE$4:$AF$55,2,FALSE)</f>
        <v>2917224</v>
      </c>
      <c r="R1639">
        <f t="shared" si="49"/>
        <v>5.5532245724017075</v>
      </c>
      <c r="U1639">
        <v>508</v>
      </c>
      <c r="V1639">
        <v>195</v>
      </c>
      <c r="W1639">
        <v>822</v>
      </c>
      <c r="X1639">
        <v>497</v>
      </c>
      <c r="Y1639">
        <v>50.5</v>
      </c>
      <c r="Z1639">
        <v>36</v>
      </c>
      <c r="AA1639">
        <v>65.099999999999994</v>
      </c>
    </row>
    <row r="1640" spans="1:27" x14ac:dyDescent="0.25">
      <c r="A1640" t="s">
        <v>240</v>
      </c>
      <c r="B1640" t="s">
        <v>207</v>
      </c>
      <c r="C1640" s="76">
        <v>43984</v>
      </c>
      <c r="D1640">
        <v>4632</v>
      </c>
      <c r="E1640">
        <v>2688</v>
      </c>
      <c r="F1640">
        <v>6577</v>
      </c>
      <c r="G1640">
        <v>5043</v>
      </c>
      <c r="H1640">
        <v>47.9</v>
      </c>
      <c r="I1640">
        <v>43.3</v>
      </c>
      <c r="J1640">
        <v>52.5</v>
      </c>
      <c r="K1640">
        <v>244</v>
      </c>
      <c r="L1640">
        <v>102</v>
      </c>
      <c r="M1640">
        <v>385</v>
      </c>
      <c r="N1640">
        <v>2.5</v>
      </c>
      <c r="O1640">
        <v>1.3</v>
      </c>
      <c r="P1640">
        <v>3.7</v>
      </c>
      <c r="Q1640">
        <f t="shared" si="50"/>
        <v>2917224</v>
      </c>
      <c r="R1640">
        <f t="shared" si="49"/>
        <v>8.364116022629732</v>
      </c>
      <c r="U1640">
        <v>528</v>
      </c>
      <c r="V1640">
        <v>192</v>
      </c>
      <c r="W1640">
        <v>865</v>
      </c>
      <c r="X1640">
        <v>481</v>
      </c>
      <c r="Y1640">
        <v>52.4</v>
      </c>
      <c r="Z1640">
        <v>38.1</v>
      </c>
      <c r="AA1640">
        <v>66.599999999999994</v>
      </c>
    </row>
    <row r="1641" spans="1:27" x14ac:dyDescent="0.25">
      <c r="A1641" t="s">
        <v>240</v>
      </c>
      <c r="B1641" t="s">
        <v>207</v>
      </c>
      <c r="C1641" s="76">
        <v>43985</v>
      </c>
      <c r="D1641">
        <v>5084</v>
      </c>
      <c r="E1641">
        <v>2844</v>
      </c>
      <c r="F1641">
        <v>7323</v>
      </c>
      <c r="G1641">
        <v>4652</v>
      </c>
      <c r="H1641">
        <v>52.2</v>
      </c>
      <c r="I1641">
        <v>47.1</v>
      </c>
      <c r="J1641">
        <v>57.4</v>
      </c>
      <c r="K1641">
        <v>201</v>
      </c>
      <c r="L1641">
        <v>78</v>
      </c>
      <c r="M1641">
        <v>325</v>
      </c>
      <c r="N1641">
        <v>2.1</v>
      </c>
      <c r="O1641">
        <v>1</v>
      </c>
      <c r="P1641">
        <v>3.2</v>
      </c>
      <c r="Q1641">
        <f t="shared" si="50"/>
        <v>2917224</v>
      </c>
      <c r="R1641">
        <f t="shared" si="49"/>
        <v>6.8901119694613779</v>
      </c>
      <c r="U1641">
        <v>592</v>
      </c>
      <c r="V1641">
        <v>221</v>
      </c>
      <c r="W1641">
        <v>963</v>
      </c>
      <c r="X1641">
        <v>507</v>
      </c>
      <c r="Y1641">
        <v>53.8</v>
      </c>
      <c r="Z1641">
        <v>39.6</v>
      </c>
      <c r="AA1641">
        <v>68.099999999999994</v>
      </c>
    </row>
    <row r="1642" spans="1:27" x14ac:dyDescent="0.25">
      <c r="A1642" t="s">
        <v>240</v>
      </c>
      <c r="B1642" t="s">
        <v>207</v>
      </c>
      <c r="C1642" s="76">
        <v>43986</v>
      </c>
      <c r="D1642">
        <v>4847</v>
      </c>
      <c r="E1642">
        <v>2415</v>
      </c>
      <c r="F1642">
        <v>7280</v>
      </c>
      <c r="G1642">
        <v>5032</v>
      </c>
      <c r="H1642">
        <v>49.1</v>
      </c>
      <c r="I1642">
        <v>43.1</v>
      </c>
      <c r="J1642">
        <v>55.1</v>
      </c>
      <c r="K1642">
        <v>210</v>
      </c>
      <c r="L1642">
        <v>66</v>
      </c>
      <c r="M1642">
        <v>354</v>
      </c>
      <c r="N1642">
        <v>2.1</v>
      </c>
      <c r="O1642">
        <v>1</v>
      </c>
      <c r="P1642">
        <v>3.3</v>
      </c>
      <c r="Q1642">
        <f t="shared" si="50"/>
        <v>2917224</v>
      </c>
      <c r="R1642">
        <f t="shared" si="49"/>
        <v>7.1986244457059181</v>
      </c>
      <c r="U1642">
        <v>482</v>
      </c>
      <c r="V1642">
        <v>130</v>
      </c>
      <c r="W1642">
        <v>835</v>
      </c>
      <c r="X1642">
        <v>498</v>
      </c>
      <c r="Y1642">
        <v>49.2</v>
      </c>
      <c r="Z1642">
        <v>34.1</v>
      </c>
      <c r="AA1642">
        <v>64.3</v>
      </c>
    </row>
    <row r="1643" spans="1:27" x14ac:dyDescent="0.25">
      <c r="A1643" t="s">
        <v>240</v>
      </c>
      <c r="B1643" t="s">
        <v>207</v>
      </c>
      <c r="C1643" s="76">
        <v>43987</v>
      </c>
      <c r="D1643">
        <v>4788</v>
      </c>
      <c r="E1643">
        <v>2444</v>
      </c>
      <c r="F1643">
        <v>7132</v>
      </c>
      <c r="G1643">
        <v>5033</v>
      </c>
      <c r="H1643">
        <v>48.8</v>
      </c>
      <c r="I1643">
        <v>42.5</v>
      </c>
      <c r="J1643">
        <v>55</v>
      </c>
      <c r="K1643">
        <v>253</v>
      </c>
      <c r="L1643">
        <v>76</v>
      </c>
      <c r="M1643">
        <v>430</v>
      </c>
      <c r="N1643">
        <v>2.6</v>
      </c>
      <c r="O1643">
        <v>1.1000000000000001</v>
      </c>
      <c r="P1643">
        <v>4</v>
      </c>
      <c r="Q1643">
        <f t="shared" si="50"/>
        <v>2917224</v>
      </c>
      <c r="R1643">
        <f t="shared" si="49"/>
        <v>8.672628498874273</v>
      </c>
      <c r="U1643">
        <v>628</v>
      </c>
      <c r="V1643">
        <v>198</v>
      </c>
      <c r="W1643">
        <v>1059</v>
      </c>
      <c r="X1643">
        <v>774</v>
      </c>
      <c r="Y1643">
        <v>44.8</v>
      </c>
      <c r="Z1643">
        <v>37.4</v>
      </c>
      <c r="AA1643">
        <v>52.2</v>
      </c>
    </row>
    <row r="1644" spans="1:27" x14ac:dyDescent="0.25">
      <c r="A1644" t="s">
        <v>240</v>
      </c>
      <c r="B1644" t="s">
        <v>207</v>
      </c>
      <c r="C1644" s="76">
        <v>43988</v>
      </c>
      <c r="D1644">
        <v>4300</v>
      </c>
      <c r="E1644">
        <v>2549</v>
      </c>
      <c r="F1644">
        <v>6051</v>
      </c>
      <c r="G1644">
        <v>5033</v>
      </c>
      <c r="H1644">
        <v>46.1</v>
      </c>
      <c r="I1644">
        <v>40.200000000000003</v>
      </c>
      <c r="J1644">
        <v>52</v>
      </c>
      <c r="K1644">
        <v>213</v>
      </c>
      <c r="L1644">
        <v>62</v>
      </c>
      <c r="M1644">
        <v>363</v>
      </c>
      <c r="N1644">
        <v>2.2999999999999998</v>
      </c>
      <c r="O1644">
        <v>0.9</v>
      </c>
      <c r="P1644">
        <v>3.6</v>
      </c>
      <c r="Q1644">
        <f t="shared" si="50"/>
        <v>2917224</v>
      </c>
      <c r="R1644">
        <f t="shared" si="49"/>
        <v>7.3014619377874306</v>
      </c>
      <c r="U1644">
        <v>591</v>
      </c>
      <c r="V1644">
        <v>223</v>
      </c>
      <c r="W1644">
        <v>958</v>
      </c>
      <c r="X1644">
        <v>703</v>
      </c>
      <c r="Y1644">
        <v>45.7</v>
      </c>
      <c r="Z1644">
        <v>34.799999999999997</v>
      </c>
      <c r="AA1644">
        <v>56.5</v>
      </c>
    </row>
    <row r="1645" spans="1:27" x14ac:dyDescent="0.25">
      <c r="A1645" t="s">
        <v>240</v>
      </c>
      <c r="B1645" t="s">
        <v>207</v>
      </c>
      <c r="C1645" s="76">
        <v>43989</v>
      </c>
      <c r="D1645">
        <v>4172</v>
      </c>
      <c r="E1645">
        <v>2490</v>
      </c>
      <c r="F1645">
        <v>5854</v>
      </c>
      <c r="G1645">
        <v>5095</v>
      </c>
      <c r="H1645">
        <v>45</v>
      </c>
      <c r="I1645">
        <v>39.299999999999997</v>
      </c>
      <c r="J1645">
        <v>50.7</v>
      </c>
      <c r="K1645">
        <v>199</v>
      </c>
      <c r="L1645">
        <v>74</v>
      </c>
      <c r="M1645">
        <v>325</v>
      </c>
      <c r="N1645">
        <v>2.2000000000000002</v>
      </c>
      <c r="O1645">
        <v>1.1000000000000001</v>
      </c>
      <c r="P1645">
        <v>3.2</v>
      </c>
      <c r="Q1645">
        <f t="shared" si="50"/>
        <v>2917224</v>
      </c>
      <c r="R1645">
        <f t="shared" si="49"/>
        <v>6.8215536414070357</v>
      </c>
      <c r="U1645">
        <v>566</v>
      </c>
      <c r="V1645">
        <v>193</v>
      </c>
      <c r="W1645">
        <v>939</v>
      </c>
      <c r="X1645">
        <v>722</v>
      </c>
      <c r="Y1645">
        <v>44</v>
      </c>
      <c r="Z1645">
        <v>29.4</v>
      </c>
      <c r="AA1645">
        <v>58.5</v>
      </c>
    </row>
    <row r="1646" spans="1:27" x14ac:dyDescent="0.25">
      <c r="A1646" t="s">
        <v>240</v>
      </c>
      <c r="B1646" t="s">
        <v>207</v>
      </c>
      <c r="C1646" s="76">
        <v>43990</v>
      </c>
      <c r="D1646">
        <v>4101</v>
      </c>
      <c r="E1646">
        <v>2458</v>
      </c>
      <c r="F1646">
        <v>5743</v>
      </c>
      <c r="G1646">
        <v>4930</v>
      </c>
      <c r="H1646">
        <v>45.4</v>
      </c>
      <c r="I1646">
        <v>40.700000000000003</v>
      </c>
      <c r="J1646">
        <v>50.1</v>
      </c>
      <c r="K1646">
        <v>223</v>
      </c>
      <c r="L1646">
        <v>89</v>
      </c>
      <c r="M1646">
        <v>357</v>
      </c>
      <c r="N1646">
        <v>2.5</v>
      </c>
      <c r="O1646">
        <v>1.3</v>
      </c>
      <c r="P1646">
        <v>3.6</v>
      </c>
      <c r="Q1646">
        <f t="shared" si="50"/>
        <v>2917224</v>
      </c>
      <c r="R1646">
        <f t="shared" si="49"/>
        <v>7.644253578059141</v>
      </c>
      <c r="U1646">
        <v>576</v>
      </c>
      <c r="V1646">
        <v>214</v>
      </c>
      <c r="W1646">
        <v>938</v>
      </c>
      <c r="X1646">
        <v>671</v>
      </c>
      <c r="Y1646">
        <v>46.2</v>
      </c>
      <c r="Z1646">
        <v>34.6</v>
      </c>
      <c r="AA1646">
        <v>57.8</v>
      </c>
    </row>
    <row r="1647" spans="1:27" x14ac:dyDescent="0.25">
      <c r="A1647" t="s">
        <v>240</v>
      </c>
      <c r="B1647" t="s">
        <v>207</v>
      </c>
      <c r="C1647" s="76">
        <v>43991</v>
      </c>
      <c r="D1647">
        <v>4545</v>
      </c>
      <c r="E1647">
        <v>2589</v>
      </c>
      <c r="F1647">
        <v>6502</v>
      </c>
      <c r="G1647">
        <v>4465</v>
      </c>
      <c r="H1647">
        <v>50.4</v>
      </c>
      <c r="I1647">
        <v>44.9</v>
      </c>
      <c r="J1647">
        <v>56</v>
      </c>
      <c r="K1647">
        <v>182</v>
      </c>
      <c r="L1647">
        <v>70</v>
      </c>
      <c r="M1647">
        <v>294</v>
      </c>
      <c r="N1647">
        <v>2</v>
      </c>
      <c r="O1647">
        <v>1</v>
      </c>
      <c r="P1647">
        <v>3</v>
      </c>
      <c r="Q1647">
        <f t="shared" si="50"/>
        <v>2917224</v>
      </c>
      <c r="R1647">
        <f t="shared" si="49"/>
        <v>6.2388078529451292</v>
      </c>
      <c r="U1647">
        <v>613</v>
      </c>
      <c r="V1647">
        <v>205</v>
      </c>
      <c r="W1647">
        <v>1020</v>
      </c>
      <c r="X1647">
        <v>623</v>
      </c>
      <c r="Y1647">
        <v>49.6</v>
      </c>
      <c r="Z1647">
        <v>37.200000000000003</v>
      </c>
      <c r="AA1647">
        <v>61.9</v>
      </c>
    </row>
    <row r="1648" spans="1:27" x14ac:dyDescent="0.25">
      <c r="A1648" t="s">
        <v>240</v>
      </c>
      <c r="B1648" t="s">
        <v>207</v>
      </c>
      <c r="C1648" s="76">
        <v>43992</v>
      </c>
      <c r="D1648">
        <v>4893</v>
      </c>
      <c r="E1648">
        <v>2793</v>
      </c>
      <c r="F1648">
        <v>6993</v>
      </c>
      <c r="G1648">
        <v>4474</v>
      </c>
      <c r="H1648">
        <v>52.2</v>
      </c>
      <c r="I1648">
        <v>46.7</v>
      </c>
      <c r="J1648">
        <v>57.7</v>
      </c>
      <c r="K1648">
        <v>189</v>
      </c>
      <c r="L1648">
        <v>75</v>
      </c>
      <c r="M1648">
        <v>304</v>
      </c>
      <c r="N1648">
        <v>2</v>
      </c>
      <c r="O1648">
        <v>1</v>
      </c>
      <c r="P1648">
        <v>3</v>
      </c>
      <c r="Q1648">
        <f t="shared" si="50"/>
        <v>2917224</v>
      </c>
      <c r="R1648">
        <f t="shared" si="49"/>
        <v>6.4787620011353253</v>
      </c>
      <c r="U1648">
        <v>618</v>
      </c>
      <c r="V1648">
        <v>191</v>
      </c>
      <c r="W1648">
        <v>1045</v>
      </c>
      <c r="X1648">
        <v>584</v>
      </c>
      <c r="Y1648">
        <v>51.4</v>
      </c>
      <c r="Z1648">
        <v>40.9</v>
      </c>
      <c r="AA1648">
        <v>61.8</v>
      </c>
    </row>
    <row r="1649" spans="1:27" x14ac:dyDescent="0.25">
      <c r="A1649" t="s">
        <v>240</v>
      </c>
      <c r="B1649" t="s">
        <v>207</v>
      </c>
      <c r="C1649" s="76">
        <v>43993</v>
      </c>
      <c r="D1649">
        <v>4606</v>
      </c>
      <c r="E1649">
        <v>2633</v>
      </c>
      <c r="F1649">
        <v>6578</v>
      </c>
      <c r="G1649">
        <v>4553</v>
      </c>
      <c r="H1649">
        <v>50.3</v>
      </c>
      <c r="I1649">
        <v>44.4</v>
      </c>
      <c r="J1649">
        <v>56.2</v>
      </c>
      <c r="K1649">
        <v>154</v>
      </c>
      <c r="L1649">
        <v>29</v>
      </c>
      <c r="M1649">
        <v>280</v>
      </c>
      <c r="N1649">
        <v>1.7</v>
      </c>
      <c r="O1649">
        <v>0.5</v>
      </c>
      <c r="P1649">
        <v>2.8</v>
      </c>
      <c r="Q1649">
        <f t="shared" si="50"/>
        <v>2917224</v>
      </c>
      <c r="R1649">
        <f t="shared" si="49"/>
        <v>5.2789912601843394</v>
      </c>
      <c r="U1649">
        <v>635</v>
      </c>
      <c r="V1649">
        <v>217</v>
      </c>
      <c r="W1649">
        <v>1054</v>
      </c>
      <c r="X1649">
        <v>605</v>
      </c>
      <c r="Y1649">
        <v>51.2</v>
      </c>
      <c r="Z1649">
        <v>40.799999999999997</v>
      </c>
      <c r="AA1649">
        <v>61.6</v>
      </c>
    </row>
    <row r="1650" spans="1:27" x14ac:dyDescent="0.25">
      <c r="A1650" t="s">
        <v>240</v>
      </c>
      <c r="B1650" t="s">
        <v>207</v>
      </c>
      <c r="C1650" s="76">
        <v>43994</v>
      </c>
      <c r="D1650">
        <v>4705</v>
      </c>
      <c r="E1650">
        <v>2731</v>
      </c>
      <c r="F1650">
        <v>6680</v>
      </c>
      <c r="G1650">
        <v>4625</v>
      </c>
      <c r="H1650">
        <v>50.4</v>
      </c>
      <c r="I1650">
        <v>44.4</v>
      </c>
      <c r="J1650">
        <v>56.5</v>
      </c>
      <c r="K1650">
        <v>177</v>
      </c>
      <c r="L1650">
        <v>44</v>
      </c>
      <c r="M1650">
        <v>309</v>
      </c>
      <c r="N1650">
        <v>1.9</v>
      </c>
      <c r="O1650">
        <v>0.8</v>
      </c>
      <c r="P1650">
        <v>3</v>
      </c>
      <c r="Q1650">
        <f t="shared" si="50"/>
        <v>2917224</v>
      </c>
      <c r="R1650">
        <f t="shared" si="49"/>
        <v>6.0674120328092735</v>
      </c>
      <c r="U1650">
        <v>711</v>
      </c>
      <c r="V1650">
        <v>276</v>
      </c>
      <c r="W1650">
        <v>1146</v>
      </c>
      <c r="X1650">
        <v>597</v>
      </c>
      <c r="Y1650">
        <v>54.4</v>
      </c>
      <c r="Z1650">
        <v>44.2</v>
      </c>
      <c r="AA1650">
        <v>64.5</v>
      </c>
    </row>
    <row r="1651" spans="1:27" x14ac:dyDescent="0.25">
      <c r="A1651" t="s">
        <v>240</v>
      </c>
      <c r="B1651" t="s">
        <v>207</v>
      </c>
      <c r="C1651" s="76">
        <v>43995</v>
      </c>
      <c r="D1651">
        <v>4704</v>
      </c>
      <c r="E1651">
        <v>2802</v>
      </c>
      <c r="F1651">
        <v>6607</v>
      </c>
      <c r="G1651">
        <v>4812</v>
      </c>
      <c r="H1651">
        <v>49.4</v>
      </c>
      <c r="I1651">
        <v>43.1</v>
      </c>
      <c r="J1651">
        <v>55.8</v>
      </c>
      <c r="K1651">
        <v>162</v>
      </c>
      <c r="L1651">
        <v>49</v>
      </c>
      <c r="M1651">
        <v>275</v>
      </c>
      <c r="N1651">
        <v>1.7</v>
      </c>
      <c r="O1651">
        <v>0.8</v>
      </c>
      <c r="P1651">
        <v>2.6</v>
      </c>
      <c r="Q1651">
        <f t="shared" si="50"/>
        <v>2917224</v>
      </c>
      <c r="R1651">
        <f t="shared" si="49"/>
        <v>5.5532245724017075</v>
      </c>
      <c r="U1651">
        <v>751</v>
      </c>
      <c r="V1651">
        <v>333</v>
      </c>
      <c r="W1651">
        <v>1169</v>
      </c>
      <c r="X1651">
        <v>635</v>
      </c>
      <c r="Y1651">
        <v>54.2</v>
      </c>
      <c r="Z1651">
        <v>41.8</v>
      </c>
      <c r="AA1651">
        <v>66.5</v>
      </c>
    </row>
    <row r="1652" spans="1:27" x14ac:dyDescent="0.25">
      <c r="A1652" t="s">
        <v>240</v>
      </c>
      <c r="B1652" t="s">
        <v>207</v>
      </c>
      <c r="C1652" s="76">
        <v>43996</v>
      </c>
      <c r="D1652">
        <v>4282</v>
      </c>
      <c r="E1652">
        <v>2556</v>
      </c>
      <c r="F1652">
        <v>6008</v>
      </c>
      <c r="G1652">
        <v>5066</v>
      </c>
      <c r="H1652">
        <v>45.8</v>
      </c>
      <c r="I1652">
        <v>39.799999999999997</v>
      </c>
      <c r="J1652">
        <v>51.8</v>
      </c>
      <c r="K1652">
        <v>163</v>
      </c>
      <c r="L1652">
        <v>57</v>
      </c>
      <c r="M1652">
        <v>269</v>
      </c>
      <c r="N1652">
        <v>1.7</v>
      </c>
      <c r="O1652">
        <v>0.9</v>
      </c>
      <c r="P1652">
        <v>2.6</v>
      </c>
      <c r="Q1652">
        <f t="shared" si="50"/>
        <v>2917224</v>
      </c>
      <c r="R1652">
        <f t="shared" si="49"/>
        <v>5.5875037364288787</v>
      </c>
      <c r="U1652">
        <v>700</v>
      </c>
      <c r="V1652">
        <v>311</v>
      </c>
      <c r="W1652">
        <v>1090</v>
      </c>
      <c r="X1652">
        <v>660</v>
      </c>
      <c r="Y1652">
        <v>51.5</v>
      </c>
      <c r="Z1652">
        <v>42.6</v>
      </c>
      <c r="AA1652">
        <v>60.4</v>
      </c>
    </row>
    <row r="1653" spans="1:27" x14ac:dyDescent="0.25">
      <c r="A1653" t="s">
        <v>240</v>
      </c>
      <c r="B1653" t="s">
        <v>207</v>
      </c>
      <c r="C1653" s="76">
        <v>43997</v>
      </c>
      <c r="D1653">
        <v>4232</v>
      </c>
      <c r="E1653">
        <v>2531</v>
      </c>
      <c r="F1653">
        <v>5933</v>
      </c>
      <c r="G1653">
        <v>4734</v>
      </c>
      <c r="H1653">
        <v>47.2</v>
      </c>
      <c r="I1653">
        <v>40.9</v>
      </c>
      <c r="J1653">
        <v>53.6</v>
      </c>
      <c r="K1653">
        <v>178</v>
      </c>
      <c r="L1653">
        <v>50</v>
      </c>
      <c r="M1653">
        <v>306</v>
      </c>
      <c r="N1653">
        <v>2</v>
      </c>
      <c r="O1653">
        <v>0.9</v>
      </c>
      <c r="P1653">
        <v>3.1</v>
      </c>
      <c r="Q1653">
        <f t="shared" si="50"/>
        <v>2917224</v>
      </c>
      <c r="R1653">
        <f t="shared" si="49"/>
        <v>6.1016911968364447</v>
      </c>
      <c r="U1653">
        <v>616</v>
      </c>
      <c r="V1653">
        <v>264</v>
      </c>
      <c r="W1653">
        <v>969</v>
      </c>
      <c r="X1653">
        <v>656</v>
      </c>
      <c r="Y1653">
        <v>48.4</v>
      </c>
      <c r="Z1653">
        <v>40</v>
      </c>
      <c r="AA1653">
        <v>56.9</v>
      </c>
    </row>
    <row r="1654" spans="1:27" x14ac:dyDescent="0.25">
      <c r="A1654" t="s">
        <v>240</v>
      </c>
      <c r="B1654" t="s">
        <v>207</v>
      </c>
      <c r="C1654" s="76">
        <v>43998</v>
      </c>
      <c r="D1654">
        <v>4483</v>
      </c>
      <c r="E1654">
        <v>2684</v>
      </c>
      <c r="F1654">
        <v>6282</v>
      </c>
      <c r="G1654">
        <v>4623</v>
      </c>
      <c r="H1654">
        <v>49.2</v>
      </c>
      <c r="I1654">
        <v>44.2</v>
      </c>
      <c r="J1654">
        <v>54.3</v>
      </c>
      <c r="K1654">
        <v>174</v>
      </c>
      <c r="L1654">
        <v>35</v>
      </c>
      <c r="M1654">
        <v>312</v>
      </c>
      <c r="N1654">
        <v>1.9</v>
      </c>
      <c r="O1654">
        <v>0.6</v>
      </c>
      <c r="P1654">
        <v>3.2</v>
      </c>
      <c r="Q1654">
        <f t="shared" si="50"/>
        <v>2917224</v>
      </c>
      <c r="R1654">
        <f t="shared" si="49"/>
        <v>5.9645745407277602</v>
      </c>
      <c r="U1654">
        <v>575</v>
      </c>
      <c r="V1654">
        <v>225</v>
      </c>
      <c r="W1654">
        <v>925</v>
      </c>
      <c r="X1654">
        <v>641</v>
      </c>
      <c r="Y1654">
        <v>47.3</v>
      </c>
      <c r="Z1654">
        <v>38.299999999999997</v>
      </c>
      <c r="AA1654">
        <v>56.4</v>
      </c>
    </row>
    <row r="1655" spans="1:27" x14ac:dyDescent="0.25">
      <c r="A1655" t="s">
        <v>240</v>
      </c>
      <c r="B1655" t="s">
        <v>207</v>
      </c>
      <c r="C1655" s="76">
        <v>43999</v>
      </c>
      <c r="D1655">
        <v>4111</v>
      </c>
      <c r="E1655">
        <v>2259</v>
      </c>
      <c r="F1655">
        <v>5963</v>
      </c>
      <c r="G1655">
        <v>4445</v>
      </c>
      <c r="H1655">
        <v>48.1</v>
      </c>
      <c r="I1655">
        <v>41.7</v>
      </c>
      <c r="J1655">
        <v>54.4</v>
      </c>
      <c r="K1655">
        <v>173</v>
      </c>
      <c r="L1655">
        <v>53</v>
      </c>
      <c r="M1655">
        <v>292</v>
      </c>
      <c r="N1655">
        <v>2</v>
      </c>
      <c r="O1655">
        <v>0.9</v>
      </c>
      <c r="P1655">
        <v>3.1</v>
      </c>
      <c r="Q1655">
        <f t="shared" si="50"/>
        <v>2917224</v>
      </c>
      <c r="R1655">
        <f t="shared" si="49"/>
        <v>5.930295376700589</v>
      </c>
      <c r="U1655">
        <v>577</v>
      </c>
      <c r="V1655">
        <v>202</v>
      </c>
      <c r="W1655">
        <v>953</v>
      </c>
      <c r="X1655">
        <v>712</v>
      </c>
      <c r="Y1655">
        <v>44.8</v>
      </c>
      <c r="Z1655">
        <v>34.9</v>
      </c>
      <c r="AA1655">
        <v>54.6</v>
      </c>
    </row>
    <row r="1656" spans="1:27" x14ac:dyDescent="0.25">
      <c r="A1656" t="s">
        <v>240</v>
      </c>
      <c r="B1656" t="s">
        <v>207</v>
      </c>
      <c r="C1656" s="76">
        <v>44000</v>
      </c>
      <c r="D1656">
        <v>4521</v>
      </c>
      <c r="E1656">
        <v>2520</v>
      </c>
      <c r="F1656">
        <v>6522</v>
      </c>
      <c r="G1656">
        <v>4757</v>
      </c>
      <c r="H1656">
        <v>48.7</v>
      </c>
      <c r="I1656">
        <v>43.2</v>
      </c>
      <c r="J1656">
        <v>54.2</v>
      </c>
      <c r="K1656">
        <v>171</v>
      </c>
      <c r="L1656">
        <v>49</v>
      </c>
      <c r="M1656">
        <v>293</v>
      </c>
      <c r="N1656">
        <v>1.8</v>
      </c>
      <c r="O1656">
        <v>0.8</v>
      </c>
      <c r="P1656">
        <v>2.9</v>
      </c>
      <c r="Q1656">
        <f t="shared" si="50"/>
        <v>2917224</v>
      </c>
      <c r="R1656">
        <f t="shared" si="49"/>
        <v>5.8617370486462468</v>
      </c>
      <c r="U1656">
        <v>678</v>
      </c>
      <c r="V1656">
        <v>235</v>
      </c>
      <c r="W1656">
        <v>1122</v>
      </c>
      <c r="X1656">
        <v>639</v>
      </c>
      <c r="Y1656">
        <v>51.5</v>
      </c>
      <c r="Z1656">
        <v>40.1</v>
      </c>
      <c r="AA1656">
        <v>62.9</v>
      </c>
    </row>
    <row r="1657" spans="1:27" x14ac:dyDescent="0.25">
      <c r="A1657" t="s">
        <v>240</v>
      </c>
      <c r="B1657" t="s">
        <v>207</v>
      </c>
      <c r="C1657" s="76">
        <v>44001</v>
      </c>
      <c r="D1657">
        <v>4475</v>
      </c>
      <c r="E1657">
        <v>2526</v>
      </c>
      <c r="F1657">
        <v>6425</v>
      </c>
      <c r="G1657">
        <v>4763</v>
      </c>
      <c r="H1657">
        <v>48.4</v>
      </c>
      <c r="I1657">
        <v>43.1</v>
      </c>
      <c r="J1657">
        <v>53.8</v>
      </c>
      <c r="K1657">
        <v>164</v>
      </c>
      <c r="L1657">
        <v>45</v>
      </c>
      <c r="M1657">
        <v>284</v>
      </c>
      <c r="N1657">
        <v>1.8</v>
      </c>
      <c r="O1657">
        <v>0.8</v>
      </c>
      <c r="P1657">
        <v>2.8</v>
      </c>
      <c r="Q1657">
        <f t="shared" si="50"/>
        <v>2917224</v>
      </c>
      <c r="R1657">
        <f t="shared" si="49"/>
        <v>5.6217829004560498</v>
      </c>
      <c r="U1657">
        <v>646</v>
      </c>
      <c r="V1657">
        <v>227</v>
      </c>
      <c r="W1657">
        <v>1066</v>
      </c>
      <c r="X1657">
        <v>664</v>
      </c>
      <c r="Y1657">
        <v>49.3</v>
      </c>
      <c r="Z1657">
        <v>36.6</v>
      </c>
      <c r="AA1657">
        <v>62</v>
      </c>
    </row>
    <row r="1658" spans="1:27" x14ac:dyDescent="0.25">
      <c r="A1658" t="s">
        <v>240</v>
      </c>
      <c r="B1658" t="s">
        <v>207</v>
      </c>
      <c r="C1658" s="76">
        <v>44002</v>
      </c>
      <c r="D1658">
        <v>5042</v>
      </c>
      <c r="E1658">
        <v>1899</v>
      </c>
      <c r="F1658">
        <v>8186</v>
      </c>
      <c r="G1658">
        <v>5183</v>
      </c>
      <c r="H1658">
        <v>49.3</v>
      </c>
      <c r="I1658">
        <v>39.4</v>
      </c>
      <c r="J1658">
        <v>59.2</v>
      </c>
      <c r="K1658">
        <v>199</v>
      </c>
      <c r="L1658">
        <v>46</v>
      </c>
      <c r="M1658">
        <v>353</v>
      </c>
      <c r="N1658">
        <v>1.9</v>
      </c>
      <c r="O1658">
        <v>1.2</v>
      </c>
      <c r="P1658">
        <v>2.7</v>
      </c>
      <c r="Q1658">
        <f t="shared" si="50"/>
        <v>2917224</v>
      </c>
      <c r="R1658">
        <f t="shared" si="49"/>
        <v>6.8215536414070357</v>
      </c>
      <c r="U1658">
        <v>805</v>
      </c>
      <c r="V1658">
        <v>93</v>
      </c>
      <c r="W1658">
        <v>1518</v>
      </c>
      <c r="X1658">
        <v>731</v>
      </c>
      <c r="Y1658">
        <v>52.4</v>
      </c>
      <c r="Z1658">
        <v>38.5</v>
      </c>
      <c r="AA1658">
        <v>66.3</v>
      </c>
    </row>
    <row r="1659" spans="1:27" x14ac:dyDescent="0.25">
      <c r="A1659" t="s">
        <v>240</v>
      </c>
      <c r="B1659" t="s">
        <v>207</v>
      </c>
      <c r="C1659" s="76">
        <v>44003</v>
      </c>
      <c r="D1659">
        <v>4441</v>
      </c>
      <c r="E1659">
        <v>2506</v>
      </c>
      <c r="F1659">
        <v>6377</v>
      </c>
      <c r="G1659">
        <v>5052</v>
      </c>
      <c r="H1659">
        <v>46.8</v>
      </c>
      <c r="I1659">
        <v>39.9</v>
      </c>
      <c r="J1659">
        <v>53.7</v>
      </c>
      <c r="K1659">
        <v>200</v>
      </c>
      <c r="L1659">
        <v>56</v>
      </c>
      <c r="M1659">
        <v>345</v>
      </c>
      <c r="N1659">
        <v>2.1</v>
      </c>
      <c r="O1659">
        <v>1</v>
      </c>
      <c r="P1659">
        <v>3.2</v>
      </c>
      <c r="Q1659">
        <f t="shared" si="50"/>
        <v>2917224</v>
      </c>
      <c r="R1659">
        <f t="shared" si="49"/>
        <v>6.8558328054342077</v>
      </c>
      <c r="U1659">
        <v>650</v>
      </c>
      <c r="V1659">
        <v>235</v>
      </c>
      <c r="W1659">
        <v>1064</v>
      </c>
      <c r="X1659">
        <v>728</v>
      </c>
      <c r="Y1659">
        <v>47.1</v>
      </c>
      <c r="Z1659">
        <v>34.700000000000003</v>
      </c>
      <c r="AA1659">
        <v>59.5</v>
      </c>
    </row>
    <row r="1660" spans="1:27" x14ac:dyDescent="0.25">
      <c r="A1660" t="s">
        <v>240</v>
      </c>
      <c r="B1660" t="s">
        <v>207</v>
      </c>
      <c r="C1660" s="76">
        <v>44004</v>
      </c>
      <c r="D1660">
        <v>4625</v>
      </c>
      <c r="E1660">
        <v>2653</v>
      </c>
      <c r="F1660">
        <v>6598</v>
      </c>
      <c r="G1660">
        <v>4923</v>
      </c>
      <c r="H1660">
        <v>48.4</v>
      </c>
      <c r="I1660">
        <v>41.8</v>
      </c>
      <c r="J1660">
        <v>55.1</v>
      </c>
      <c r="K1660">
        <v>215</v>
      </c>
      <c r="L1660">
        <v>66</v>
      </c>
      <c r="M1660">
        <v>363</v>
      </c>
      <c r="N1660">
        <v>2.2000000000000002</v>
      </c>
      <c r="O1660">
        <v>1.1000000000000001</v>
      </c>
      <c r="P1660">
        <v>3.4</v>
      </c>
      <c r="Q1660">
        <f t="shared" si="50"/>
        <v>2917224</v>
      </c>
      <c r="R1660">
        <f t="shared" si="49"/>
        <v>7.3700202658417728</v>
      </c>
      <c r="U1660">
        <v>724</v>
      </c>
      <c r="V1660">
        <v>283</v>
      </c>
      <c r="W1660">
        <v>1166</v>
      </c>
      <c r="X1660">
        <v>669</v>
      </c>
      <c r="Y1660">
        <v>52</v>
      </c>
      <c r="Z1660">
        <v>38.9</v>
      </c>
      <c r="AA1660">
        <v>65.099999999999994</v>
      </c>
    </row>
    <row r="1661" spans="1:27" x14ac:dyDescent="0.25">
      <c r="A1661" t="s">
        <v>240</v>
      </c>
      <c r="B1661" t="s">
        <v>207</v>
      </c>
      <c r="C1661" s="76">
        <v>44005</v>
      </c>
      <c r="D1661">
        <v>5001</v>
      </c>
      <c r="E1661">
        <v>2851</v>
      </c>
      <c r="F1661">
        <v>7151</v>
      </c>
      <c r="G1661">
        <v>4635</v>
      </c>
      <c r="H1661">
        <v>51.9</v>
      </c>
      <c r="I1661">
        <v>44.4</v>
      </c>
      <c r="J1661">
        <v>59.4</v>
      </c>
      <c r="K1661">
        <v>204</v>
      </c>
      <c r="L1661">
        <v>79</v>
      </c>
      <c r="M1661">
        <v>328</v>
      </c>
      <c r="N1661">
        <v>2.1</v>
      </c>
      <c r="O1661">
        <v>1.2</v>
      </c>
      <c r="P1661">
        <v>3</v>
      </c>
      <c r="Q1661">
        <f t="shared" si="50"/>
        <v>2917224</v>
      </c>
      <c r="R1661">
        <f t="shared" si="49"/>
        <v>6.9929494615428913</v>
      </c>
      <c r="U1661">
        <v>792</v>
      </c>
      <c r="V1661">
        <v>318</v>
      </c>
      <c r="W1661">
        <v>1267</v>
      </c>
      <c r="X1661">
        <v>617</v>
      </c>
      <c r="Y1661">
        <v>56.1</v>
      </c>
      <c r="Z1661">
        <v>43.4</v>
      </c>
      <c r="AA1661">
        <v>68.8</v>
      </c>
    </row>
    <row r="1662" spans="1:27" x14ac:dyDescent="0.25">
      <c r="A1662" t="s">
        <v>240</v>
      </c>
      <c r="B1662" t="s">
        <v>207</v>
      </c>
      <c r="C1662" s="76">
        <v>44006</v>
      </c>
      <c r="D1662">
        <v>5388</v>
      </c>
      <c r="E1662">
        <v>2928</v>
      </c>
      <c r="F1662">
        <v>7848</v>
      </c>
      <c r="G1662">
        <v>4558</v>
      </c>
      <c r="H1662">
        <v>54.2</v>
      </c>
      <c r="I1662">
        <v>46.7</v>
      </c>
      <c r="J1662">
        <v>61.6</v>
      </c>
      <c r="K1662">
        <v>193</v>
      </c>
      <c r="L1662">
        <v>81</v>
      </c>
      <c r="M1662">
        <v>304</v>
      </c>
      <c r="N1662">
        <v>1.9</v>
      </c>
      <c r="O1662">
        <v>1.2</v>
      </c>
      <c r="P1662">
        <v>2.7</v>
      </c>
      <c r="Q1662">
        <f t="shared" si="50"/>
        <v>2917224</v>
      </c>
      <c r="R1662">
        <f t="shared" si="49"/>
        <v>6.6158786572440098</v>
      </c>
      <c r="U1662">
        <v>775</v>
      </c>
      <c r="V1662">
        <v>233</v>
      </c>
      <c r="W1662">
        <v>1317</v>
      </c>
      <c r="X1662">
        <v>564</v>
      </c>
      <c r="Y1662">
        <v>57.9</v>
      </c>
      <c r="Z1662">
        <v>45.4</v>
      </c>
      <c r="AA1662">
        <v>70.400000000000006</v>
      </c>
    </row>
    <row r="1663" spans="1:27" x14ac:dyDescent="0.25">
      <c r="A1663" t="s">
        <v>240</v>
      </c>
      <c r="B1663" t="s">
        <v>207</v>
      </c>
      <c r="C1663" s="76">
        <v>44007</v>
      </c>
      <c r="D1663">
        <v>5833</v>
      </c>
      <c r="E1663">
        <v>2318</v>
      </c>
      <c r="F1663">
        <v>9348</v>
      </c>
      <c r="G1663">
        <v>4561</v>
      </c>
      <c r="H1663">
        <v>56.1</v>
      </c>
      <c r="I1663">
        <v>46</v>
      </c>
      <c r="J1663">
        <v>66.2</v>
      </c>
      <c r="K1663">
        <v>253</v>
      </c>
      <c r="L1663">
        <v>64</v>
      </c>
      <c r="M1663">
        <v>443</v>
      </c>
      <c r="N1663">
        <v>2.4</v>
      </c>
      <c r="O1663">
        <v>1.1000000000000001</v>
      </c>
      <c r="P1663">
        <v>3.8</v>
      </c>
      <c r="Q1663">
        <f t="shared" si="50"/>
        <v>2917224</v>
      </c>
      <c r="R1663">
        <f t="shared" si="49"/>
        <v>8.672628498874273</v>
      </c>
      <c r="U1663">
        <v>982</v>
      </c>
      <c r="V1663">
        <v>193</v>
      </c>
      <c r="W1663">
        <v>1770</v>
      </c>
      <c r="X1663">
        <v>623</v>
      </c>
      <c r="Y1663">
        <v>61.2</v>
      </c>
      <c r="Z1663">
        <v>47.9</v>
      </c>
      <c r="AA1663">
        <v>74.5</v>
      </c>
    </row>
    <row r="1664" spans="1:27" x14ac:dyDescent="0.25">
      <c r="A1664" t="s">
        <v>240</v>
      </c>
      <c r="B1664" t="s">
        <v>207</v>
      </c>
      <c r="C1664" s="76">
        <v>44008</v>
      </c>
      <c r="D1664">
        <v>5033</v>
      </c>
      <c r="E1664">
        <v>2702</v>
      </c>
      <c r="F1664">
        <v>7365</v>
      </c>
      <c r="G1664">
        <v>4829</v>
      </c>
      <c r="H1664">
        <v>51</v>
      </c>
      <c r="I1664">
        <v>43.4</v>
      </c>
      <c r="J1664">
        <v>58.7</v>
      </c>
      <c r="K1664">
        <v>228</v>
      </c>
      <c r="L1664">
        <v>66</v>
      </c>
      <c r="M1664">
        <v>391</v>
      </c>
      <c r="N1664">
        <v>2.2999999999999998</v>
      </c>
      <c r="O1664">
        <v>1.1000000000000001</v>
      </c>
      <c r="P1664">
        <v>3.5</v>
      </c>
      <c r="Q1664">
        <f t="shared" si="50"/>
        <v>2917224</v>
      </c>
      <c r="R1664">
        <f t="shared" si="49"/>
        <v>7.8156493981949966</v>
      </c>
      <c r="U1664">
        <v>769</v>
      </c>
      <c r="V1664">
        <v>266</v>
      </c>
      <c r="W1664">
        <v>1273</v>
      </c>
      <c r="X1664">
        <v>674</v>
      </c>
      <c r="Y1664">
        <v>53.3</v>
      </c>
      <c r="Z1664">
        <v>40.1</v>
      </c>
      <c r="AA1664">
        <v>66.400000000000006</v>
      </c>
    </row>
    <row r="1665" spans="1:27" x14ac:dyDescent="0.25">
      <c r="A1665" t="s">
        <v>240</v>
      </c>
      <c r="B1665" t="s">
        <v>207</v>
      </c>
      <c r="C1665" s="76">
        <v>44009</v>
      </c>
      <c r="D1665">
        <v>4558</v>
      </c>
      <c r="E1665">
        <v>2762</v>
      </c>
      <c r="F1665">
        <v>6354</v>
      </c>
      <c r="G1665">
        <v>4767</v>
      </c>
      <c r="H1665">
        <v>48.9</v>
      </c>
      <c r="I1665">
        <v>42.4</v>
      </c>
      <c r="J1665">
        <v>55.3</v>
      </c>
      <c r="K1665">
        <v>209</v>
      </c>
      <c r="L1665">
        <v>92</v>
      </c>
      <c r="M1665">
        <v>325</v>
      </c>
      <c r="N1665">
        <v>2.2000000000000002</v>
      </c>
      <c r="O1665">
        <v>1.3</v>
      </c>
      <c r="P1665">
        <v>3.2</v>
      </c>
      <c r="Q1665">
        <f t="shared" si="50"/>
        <v>2917224</v>
      </c>
      <c r="R1665">
        <f t="shared" si="49"/>
        <v>7.1643452816787461</v>
      </c>
      <c r="U1665">
        <v>701</v>
      </c>
      <c r="V1665">
        <v>309</v>
      </c>
      <c r="W1665">
        <v>1092</v>
      </c>
      <c r="X1665">
        <v>629</v>
      </c>
      <c r="Y1665">
        <v>52.7</v>
      </c>
      <c r="Z1665">
        <v>42.6</v>
      </c>
      <c r="AA1665">
        <v>62.8</v>
      </c>
    </row>
    <row r="1666" spans="1:27" x14ac:dyDescent="0.25">
      <c r="A1666" t="s">
        <v>240</v>
      </c>
      <c r="B1666" t="s">
        <v>207</v>
      </c>
      <c r="C1666" s="76">
        <v>44010</v>
      </c>
      <c r="D1666">
        <v>4404</v>
      </c>
      <c r="E1666">
        <v>2648</v>
      </c>
      <c r="F1666">
        <v>6160</v>
      </c>
      <c r="G1666">
        <v>4812</v>
      </c>
      <c r="H1666">
        <v>47.8</v>
      </c>
      <c r="I1666">
        <v>41.3</v>
      </c>
      <c r="J1666">
        <v>54.2</v>
      </c>
      <c r="K1666">
        <v>167</v>
      </c>
      <c r="L1666">
        <v>70</v>
      </c>
      <c r="M1666">
        <v>265</v>
      </c>
      <c r="N1666">
        <v>1.8</v>
      </c>
      <c r="O1666">
        <v>1</v>
      </c>
      <c r="P1666">
        <v>2.6</v>
      </c>
      <c r="Q1666">
        <f t="shared" si="50"/>
        <v>2917224</v>
      </c>
      <c r="R1666">
        <f t="shared" si="49"/>
        <v>5.7246203925375632</v>
      </c>
      <c r="U1666">
        <v>678</v>
      </c>
      <c r="V1666">
        <v>293</v>
      </c>
      <c r="W1666">
        <v>1063</v>
      </c>
      <c r="X1666">
        <v>656</v>
      </c>
      <c r="Y1666">
        <v>50.8</v>
      </c>
      <c r="Z1666">
        <v>40.1</v>
      </c>
      <c r="AA1666">
        <v>61.6</v>
      </c>
    </row>
    <row r="1667" spans="1:27" x14ac:dyDescent="0.25">
      <c r="A1667" t="s">
        <v>240</v>
      </c>
      <c r="B1667" t="s">
        <v>207</v>
      </c>
      <c r="C1667" s="76">
        <v>44011</v>
      </c>
      <c r="D1667">
        <v>4167</v>
      </c>
      <c r="E1667">
        <v>2493</v>
      </c>
      <c r="F1667">
        <v>5841</v>
      </c>
      <c r="G1667">
        <v>4881</v>
      </c>
      <c r="H1667">
        <v>46.1</v>
      </c>
      <c r="I1667">
        <v>41.1</v>
      </c>
      <c r="J1667">
        <v>51.1</v>
      </c>
      <c r="K1667">
        <v>183</v>
      </c>
      <c r="L1667">
        <v>63</v>
      </c>
      <c r="M1667">
        <v>303</v>
      </c>
      <c r="N1667">
        <v>2</v>
      </c>
      <c r="O1667">
        <v>1</v>
      </c>
      <c r="P1667">
        <v>3</v>
      </c>
      <c r="Q1667">
        <f t="shared" si="50"/>
        <v>2917224</v>
      </c>
      <c r="R1667">
        <f t="shared" si="49"/>
        <v>6.2730870169722994</v>
      </c>
      <c r="U1667">
        <v>614</v>
      </c>
      <c r="V1667">
        <v>259</v>
      </c>
      <c r="W1667">
        <v>968</v>
      </c>
      <c r="X1667">
        <v>653</v>
      </c>
      <c r="Y1667">
        <v>48.4</v>
      </c>
      <c r="Z1667">
        <v>39.1</v>
      </c>
      <c r="AA1667">
        <v>57.7</v>
      </c>
    </row>
    <row r="1668" spans="1:27" x14ac:dyDescent="0.25">
      <c r="A1668" t="s">
        <v>240</v>
      </c>
      <c r="B1668" t="s">
        <v>207</v>
      </c>
      <c r="C1668" s="76">
        <v>44012</v>
      </c>
      <c r="D1668">
        <v>4389</v>
      </c>
      <c r="E1668">
        <v>2482</v>
      </c>
      <c r="F1668">
        <v>6296</v>
      </c>
      <c r="G1668">
        <v>4788</v>
      </c>
      <c r="H1668">
        <v>47.8</v>
      </c>
      <c r="I1668">
        <v>42.2</v>
      </c>
      <c r="J1668">
        <v>53.4</v>
      </c>
      <c r="K1668">
        <v>162</v>
      </c>
      <c r="L1668">
        <v>56</v>
      </c>
      <c r="M1668">
        <v>268</v>
      </c>
      <c r="N1668">
        <v>1.8</v>
      </c>
      <c r="O1668">
        <v>0.9</v>
      </c>
      <c r="P1668">
        <v>2.6</v>
      </c>
      <c r="Q1668">
        <f t="shared" si="50"/>
        <v>2917224</v>
      </c>
      <c r="R1668">
        <f t="shared" si="49"/>
        <v>5.5532245724017075</v>
      </c>
      <c r="U1668">
        <v>664</v>
      </c>
      <c r="V1668">
        <v>248</v>
      </c>
      <c r="W1668">
        <v>1079</v>
      </c>
      <c r="X1668">
        <v>618</v>
      </c>
      <c r="Y1668">
        <v>51.8</v>
      </c>
      <c r="Z1668">
        <v>41.3</v>
      </c>
      <c r="AA1668">
        <v>62.3</v>
      </c>
    </row>
    <row r="1669" spans="1:27" x14ac:dyDescent="0.25">
      <c r="A1669" t="s">
        <v>240</v>
      </c>
      <c r="B1669" t="s">
        <v>207</v>
      </c>
      <c r="C1669" s="76">
        <v>44013</v>
      </c>
      <c r="D1669">
        <v>4549</v>
      </c>
      <c r="E1669">
        <v>2565</v>
      </c>
      <c r="F1669">
        <v>6533</v>
      </c>
      <c r="G1669">
        <v>4771</v>
      </c>
      <c r="H1669">
        <v>48.8</v>
      </c>
      <c r="I1669">
        <v>42.9</v>
      </c>
      <c r="J1669">
        <v>54.7</v>
      </c>
      <c r="K1669">
        <v>153</v>
      </c>
      <c r="L1669">
        <v>50</v>
      </c>
      <c r="M1669">
        <v>256</v>
      </c>
      <c r="N1669">
        <v>1.6</v>
      </c>
      <c r="O1669">
        <v>0.9</v>
      </c>
      <c r="P1669">
        <v>2.4</v>
      </c>
      <c r="Q1669">
        <f t="shared" si="50"/>
        <v>2917224</v>
      </c>
      <c r="R1669">
        <f t="shared" ref="R1669:R1732" si="51">K1669/(Q1669)*100000</f>
        <v>5.2447120961571683</v>
      </c>
      <c r="U1669">
        <v>654</v>
      </c>
      <c r="V1669">
        <v>226</v>
      </c>
      <c r="W1669">
        <v>1082</v>
      </c>
      <c r="X1669">
        <v>624</v>
      </c>
      <c r="Y1669">
        <v>51.2</v>
      </c>
      <c r="Z1669">
        <v>39.700000000000003</v>
      </c>
      <c r="AA1669">
        <v>62.7</v>
      </c>
    </row>
    <row r="1670" spans="1:27" x14ac:dyDescent="0.25">
      <c r="A1670" t="s">
        <v>240</v>
      </c>
      <c r="B1670" t="s">
        <v>207</v>
      </c>
      <c r="C1670" s="76">
        <v>44014</v>
      </c>
      <c r="D1670">
        <v>4641</v>
      </c>
      <c r="E1670">
        <v>2011</v>
      </c>
      <c r="F1670">
        <v>7271</v>
      </c>
      <c r="G1670">
        <v>5408</v>
      </c>
      <c r="H1670">
        <v>46.2</v>
      </c>
      <c r="I1670">
        <v>40.5</v>
      </c>
      <c r="J1670">
        <v>51.9</v>
      </c>
      <c r="K1670">
        <v>214</v>
      </c>
      <c r="L1670">
        <v>29</v>
      </c>
      <c r="M1670">
        <v>400</v>
      </c>
      <c r="N1670">
        <v>2.1</v>
      </c>
      <c r="O1670">
        <v>0.8</v>
      </c>
      <c r="P1670">
        <v>3.5</v>
      </c>
      <c r="Q1670">
        <f t="shared" si="50"/>
        <v>2917224</v>
      </c>
      <c r="R1670">
        <f t="shared" si="51"/>
        <v>7.3357411018146017</v>
      </c>
      <c r="U1670">
        <v>681</v>
      </c>
      <c r="V1670">
        <v>132</v>
      </c>
      <c r="W1670">
        <v>1230</v>
      </c>
      <c r="X1670">
        <v>764</v>
      </c>
      <c r="Y1670">
        <v>47.1</v>
      </c>
      <c r="Z1670">
        <v>33.4</v>
      </c>
      <c r="AA1670">
        <v>60.9</v>
      </c>
    </row>
    <row r="1671" spans="1:27" x14ac:dyDescent="0.25">
      <c r="A1671" t="s">
        <v>240</v>
      </c>
      <c r="B1671" t="s">
        <v>207</v>
      </c>
      <c r="C1671" s="76">
        <v>44015</v>
      </c>
      <c r="D1671">
        <v>4411</v>
      </c>
      <c r="E1671">
        <v>2272</v>
      </c>
      <c r="F1671">
        <v>6550</v>
      </c>
      <c r="G1671">
        <v>5449</v>
      </c>
      <c r="H1671">
        <v>44.7</v>
      </c>
      <c r="I1671">
        <v>40.1</v>
      </c>
      <c r="J1671">
        <v>49.3</v>
      </c>
      <c r="K1671">
        <v>278</v>
      </c>
      <c r="L1671">
        <v>80</v>
      </c>
      <c r="M1671">
        <v>476</v>
      </c>
      <c r="N1671">
        <v>2.8</v>
      </c>
      <c r="O1671">
        <v>1.4</v>
      </c>
      <c r="P1671">
        <v>4.2</v>
      </c>
      <c r="Q1671">
        <f t="shared" si="50"/>
        <v>2917224</v>
      </c>
      <c r="R1671">
        <f t="shared" si="51"/>
        <v>9.5296075995535485</v>
      </c>
      <c r="U1671">
        <v>626</v>
      </c>
      <c r="V1671">
        <v>205</v>
      </c>
      <c r="W1671">
        <v>1048</v>
      </c>
      <c r="X1671">
        <v>754</v>
      </c>
      <c r="Y1671">
        <v>45.3</v>
      </c>
      <c r="Z1671">
        <v>38.700000000000003</v>
      </c>
      <c r="AA1671">
        <v>51.9</v>
      </c>
    </row>
    <row r="1672" spans="1:27" x14ac:dyDescent="0.25">
      <c r="A1672" t="s">
        <v>240</v>
      </c>
      <c r="B1672" t="s">
        <v>207</v>
      </c>
      <c r="C1672" s="76">
        <v>44016</v>
      </c>
      <c r="D1672">
        <v>4131</v>
      </c>
      <c r="E1672">
        <v>2140</v>
      </c>
      <c r="F1672">
        <v>6122</v>
      </c>
      <c r="G1672">
        <v>5659</v>
      </c>
      <c r="H1672">
        <v>42.2</v>
      </c>
      <c r="I1672">
        <v>37.5</v>
      </c>
      <c r="J1672">
        <v>46.9</v>
      </c>
      <c r="K1672">
        <v>288</v>
      </c>
      <c r="L1672">
        <v>87</v>
      </c>
      <c r="M1672">
        <v>489</v>
      </c>
      <c r="N1672">
        <v>2.9</v>
      </c>
      <c r="O1672">
        <v>1.5</v>
      </c>
      <c r="P1672">
        <v>4.4000000000000004</v>
      </c>
      <c r="Q1672">
        <f t="shared" si="50"/>
        <v>2917224</v>
      </c>
      <c r="R1672">
        <f t="shared" si="51"/>
        <v>9.872399239825258</v>
      </c>
      <c r="U1672">
        <v>584</v>
      </c>
      <c r="V1672">
        <v>205</v>
      </c>
      <c r="W1672">
        <v>964</v>
      </c>
      <c r="X1672">
        <v>794</v>
      </c>
      <c r="Y1672">
        <v>42.3</v>
      </c>
      <c r="Z1672">
        <v>36.299999999999997</v>
      </c>
      <c r="AA1672">
        <v>48.3</v>
      </c>
    </row>
    <row r="1673" spans="1:27" x14ac:dyDescent="0.25">
      <c r="A1673" t="s">
        <v>240</v>
      </c>
      <c r="B1673" t="s">
        <v>207</v>
      </c>
      <c r="C1673" s="76">
        <v>44017</v>
      </c>
      <c r="D1673">
        <v>4066</v>
      </c>
      <c r="E1673">
        <v>2093</v>
      </c>
      <c r="F1673">
        <v>6040</v>
      </c>
      <c r="G1673">
        <v>5755</v>
      </c>
      <c r="H1673">
        <v>41.4</v>
      </c>
      <c r="I1673">
        <v>37</v>
      </c>
      <c r="J1673">
        <v>45.8</v>
      </c>
      <c r="K1673">
        <v>255</v>
      </c>
      <c r="L1673">
        <v>93</v>
      </c>
      <c r="M1673">
        <v>417</v>
      </c>
      <c r="N1673">
        <v>2.6</v>
      </c>
      <c r="O1673">
        <v>1.5</v>
      </c>
      <c r="P1673">
        <v>3.7</v>
      </c>
      <c r="Q1673">
        <f t="shared" si="50"/>
        <v>2917224</v>
      </c>
      <c r="R1673">
        <f t="shared" si="51"/>
        <v>8.7411868269286153</v>
      </c>
      <c r="U1673">
        <v>597</v>
      </c>
      <c r="V1673">
        <v>194</v>
      </c>
      <c r="W1673">
        <v>1000</v>
      </c>
      <c r="X1673">
        <v>783</v>
      </c>
      <c r="Y1673">
        <v>43.3</v>
      </c>
      <c r="Z1673">
        <v>37.4</v>
      </c>
      <c r="AA1673">
        <v>49.1</v>
      </c>
    </row>
    <row r="1674" spans="1:27" x14ac:dyDescent="0.25">
      <c r="A1674" t="s">
        <v>240</v>
      </c>
      <c r="B1674" t="s">
        <v>207</v>
      </c>
      <c r="C1674" s="76">
        <v>44018</v>
      </c>
      <c r="D1674">
        <v>4218</v>
      </c>
      <c r="E1674">
        <v>2193</v>
      </c>
      <c r="F1674">
        <v>6242</v>
      </c>
      <c r="G1674">
        <v>5639</v>
      </c>
      <c r="H1674">
        <v>42.8</v>
      </c>
      <c r="I1674">
        <v>38.200000000000003</v>
      </c>
      <c r="J1674">
        <v>47.3</v>
      </c>
      <c r="K1674">
        <v>254</v>
      </c>
      <c r="L1674">
        <v>91</v>
      </c>
      <c r="M1674">
        <v>418</v>
      </c>
      <c r="N1674">
        <v>2.6</v>
      </c>
      <c r="O1674">
        <v>1.5</v>
      </c>
      <c r="P1674">
        <v>3.6</v>
      </c>
      <c r="Q1674">
        <f t="shared" si="50"/>
        <v>2917224</v>
      </c>
      <c r="R1674">
        <f t="shared" si="51"/>
        <v>8.7069076629014432</v>
      </c>
      <c r="U1674">
        <v>615</v>
      </c>
      <c r="V1674">
        <v>207</v>
      </c>
      <c r="W1674">
        <v>1022</v>
      </c>
      <c r="X1674">
        <v>765</v>
      </c>
      <c r="Y1674">
        <v>44.5</v>
      </c>
      <c r="Z1674">
        <v>38.200000000000003</v>
      </c>
      <c r="AA1674">
        <v>50.9</v>
      </c>
    </row>
    <row r="1675" spans="1:27" x14ac:dyDescent="0.25">
      <c r="A1675" t="s">
        <v>240</v>
      </c>
      <c r="B1675" t="s">
        <v>207</v>
      </c>
      <c r="C1675" s="76">
        <v>44019</v>
      </c>
      <c r="D1675">
        <v>4608</v>
      </c>
      <c r="E1675">
        <v>2396</v>
      </c>
      <c r="F1675">
        <v>6820</v>
      </c>
      <c r="G1675">
        <v>5306</v>
      </c>
      <c r="H1675">
        <v>46.5</v>
      </c>
      <c r="I1675">
        <v>40.700000000000003</v>
      </c>
      <c r="J1675">
        <v>52.3</v>
      </c>
      <c r="K1675">
        <v>258</v>
      </c>
      <c r="L1675">
        <v>83</v>
      </c>
      <c r="M1675">
        <v>432</v>
      </c>
      <c r="N1675">
        <v>2.6</v>
      </c>
      <c r="O1675">
        <v>1.5</v>
      </c>
      <c r="P1675">
        <v>3.7</v>
      </c>
      <c r="Q1675">
        <f t="shared" si="50"/>
        <v>2917224</v>
      </c>
      <c r="R1675">
        <f t="shared" si="51"/>
        <v>8.8440243190101278</v>
      </c>
      <c r="U1675">
        <v>683</v>
      </c>
      <c r="V1675">
        <v>239</v>
      </c>
      <c r="W1675">
        <v>1128</v>
      </c>
      <c r="X1675">
        <v>709</v>
      </c>
      <c r="Y1675">
        <v>49.1</v>
      </c>
      <c r="Z1675">
        <v>41.7</v>
      </c>
      <c r="AA1675">
        <v>56.5</v>
      </c>
    </row>
    <row r="1676" spans="1:27" x14ac:dyDescent="0.25">
      <c r="A1676" t="s">
        <v>241</v>
      </c>
      <c r="B1676" t="s">
        <v>197</v>
      </c>
      <c r="C1676" s="76">
        <v>43922</v>
      </c>
      <c r="D1676">
        <v>5775</v>
      </c>
      <c r="E1676">
        <v>2486</v>
      </c>
      <c r="F1676">
        <v>9063</v>
      </c>
      <c r="G1676">
        <v>6731</v>
      </c>
      <c r="H1676">
        <v>46.2</v>
      </c>
      <c r="I1676">
        <v>40.5</v>
      </c>
      <c r="J1676">
        <v>51.8</v>
      </c>
      <c r="K1676">
        <v>492</v>
      </c>
      <c r="L1676">
        <v>22</v>
      </c>
      <c r="M1676">
        <v>962</v>
      </c>
      <c r="N1676">
        <v>3.9</v>
      </c>
      <c r="O1676">
        <v>0.9</v>
      </c>
      <c r="P1676">
        <v>7</v>
      </c>
      <c r="Q1676">
        <f t="shared" si="50"/>
        <v>4480713</v>
      </c>
      <c r="R1676">
        <f t="shared" si="51"/>
        <v>10.980395307621801</v>
      </c>
      <c r="U1676">
        <v>574</v>
      </c>
      <c r="V1676">
        <v>206</v>
      </c>
      <c r="W1676">
        <v>943</v>
      </c>
      <c r="X1676">
        <v>1062</v>
      </c>
      <c r="Y1676">
        <v>35.1</v>
      </c>
      <c r="Z1676">
        <v>18</v>
      </c>
      <c r="AA1676">
        <v>52.1</v>
      </c>
    </row>
    <row r="1677" spans="1:27" x14ac:dyDescent="0.25">
      <c r="A1677" t="s">
        <v>241</v>
      </c>
      <c r="B1677" t="s">
        <v>197</v>
      </c>
      <c r="C1677" s="76">
        <v>43923</v>
      </c>
      <c r="D1677">
        <v>7438</v>
      </c>
      <c r="E1677">
        <v>3388</v>
      </c>
      <c r="F1677">
        <v>11488</v>
      </c>
      <c r="G1677">
        <v>8234</v>
      </c>
      <c r="H1677">
        <v>47.5</v>
      </c>
      <c r="I1677">
        <v>42.5</v>
      </c>
      <c r="J1677">
        <v>52.4</v>
      </c>
      <c r="K1677">
        <v>576</v>
      </c>
      <c r="L1677">
        <v>250</v>
      </c>
      <c r="M1677">
        <v>901</v>
      </c>
      <c r="N1677">
        <v>3.7</v>
      </c>
      <c r="O1677">
        <v>2</v>
      </c>
      <c r="P1677">
        <v>5.3</v>
      </c>
      <c r="Q1677">
        <f t="shared" si="50"/>
        <v>4480713</v>
      </c>
      <c r="R1677">
        <f t="shared" si="51"/>
        <v>12.85509694550845</v>
      </c>
      <c r="U1677">
        <v>1214</v>
      </c>
      <c r="V1677">
        <v>396</v>
      </c>
      <c r="W1677">
        <v>2032</v>
      </c>
      <c r="X1677">
        <v>974</v>
      </c>
      <c r="Y1677">
        <v>55.5</v>
      </c>
      <c r="Z1677">
        <v>41.4</v>
      </c>
      <c r="AA1677">
        <v>69.599999999999994</v>
      </c>
    </row>
    <row r="1678" spans="1:27" x14ac:dyDescent="0.25">
      <c r="A1678" t="s">
        <v>241</v>
      </c>
      <c r="B1678" t="s">
        <v>197</v>
      </c>
      <c r="C1678" s="76">
        <v>43924</v>
      </c>
      <c r="D1678">
        <v>6722</v>
      </c>
      <c r="E1678">
        <v>3563</v>
      </c>
      <c r="F1678">
        <v>9881</v>
      </c>
      <c r="G1678">
        <v>7846</v>
      </c>
      <c r="H1678">
        <v>46.1</v>
      </c>
      <c r="I1678">
        <v>40.4</v>
      </c>
      <c r="J1678">
        <v>51.8</v>
      </c>
      <c r="K1678">
        <v>595</v>
      </c>
      <c r="L1678">
        <v>239</v>
      </c>
      <c r="M1678">
        <v>951</v>
      </c>
      <c r="N1678">
        <v>4.0999999999999996</v>
      </c>
      <c r="O1678">
        <v>2.2999999999999998</v>
      </c>
      <c r="P1678">
        <v>5.9</v>
      </c>
      <c r="Q1678">
        <f t="shared" si="50"/>
        <v>4480713</v>
      </c>
      <c r="R1678">
        <f t="shared" si="51"/>
        <v>13.279136601697097</v>
      </c>
      <c r="U1678">
        <v>1066</v>
      </c>
      <c r="V1678">
        <v>381</v>
      </c>
      <c r="W1678">
        <v>1752</v>
      </c>
      <c r="X1678">
        <v>912</v>
      </c>
      <c r="Y1678">
        <v>53.9</v>
      </c>
      <c r="Z1678">
        <v>39.5</v>
      </c>
      <c r="AA1678">
        <v>68.3</v>
      </c>
    </row>
    <row r="1679" spans="1:27" x14ac:dyDescent="0.25">
      <c r="A1679" t="s">
        <v>241</v>
      </c>
      <c r="B1679" t="s">
        <v>197</v>
      </c>
      <c r="C1679" s="76">
        <v>43925</v>
      </c>
      <c r="D1679">
        <v>5694</v>
      </c>
      <c r="E1679">
        <v>3201</v>
      </c>
      <c r="F1679">
        <v>8186</v>
      </c>
      <c r="G1679">
        <v>9569</v>
      </c>
      <c r="H1679">
        <v>37.299999999999997</v>
      </c>
      <c r="I1679">
        <v>30</v>
      </c>
      <c r="J1679">
        <v>44.6</v>
      </c>
      <c r="K1679">
        <v>603</v>
      </c>
      <c r="L1679">
        <v>265</v>
      </c>
      <c r="M1679">
        <v>941</v>
      </c>
      <c r="N1679">
        <v>4</v>
      </c>
      <c r="O1679">
        <v>2.4</v>
      </c>
      <c r="P1679">
        <v>5.5</v>
      </c>
      <c r="Q1679">
        <f t="shared" si="50"/>
        <v>4480713</v>
      </c>
      <c r="R1679">
        <f t="shared" si="51"/>
        <v>13.457679614829157</v>
      </c>
      <c r="U1679">
        <v>1089</v>
      </c>
      <c r="V1679">
        <v>394</v>
      </c>
      <c r="W1679">
        <v>1783</v>
      </c>
      <c r="X1679">
        <v>1044</v>
      </c>
      <c r="Y1679">
        <v>51</v>
      </c>
      <c r="Z1679">
        <v>36.200000000000003</v>
      </c>
      <c r="AA1679">
        <v>65.8</v>
      </c>
    </row>
    <row r="1680" spans="1:27" x14ac:dyDescent="0.25">
      <c r="A1680" t="s">
        <v>241</v>
      </c>
      <c r="B1680" t="s">
        <v>197</v>
      </c>
      <c r="C1680" s="76">
        <v>43926</v>
      </c>
      <c r="D1680">
        <v>6639</v>
      </c>
      <c r="E1680">
        <v>3513</v>
      </c>
      <c r="F1680">
        <v>9766</v>
      </c>
      <c r="G1680">
        <v>9082</v>
      </c>
      <c r="H1680">
        <v>42.2</v>
      </c>
      <c r="I1680">
        <v>36.299999999999997</v>
      </c>
      <c r="J1680">
        <v>48.1</v>
      </c>
      <c r="K1680">
        <v>656</v>
      </c>
      <c r="L1680">
        <v>270</v>
      </c>
      <c r="M1680">
        <v>1041</v>
      </c>
      <c r="N1680">
        <v>4.2</v>
      </c>
      <c r="O1680">
        <v>2.5</v>
      </c>
      <c r="P1680">
        <v>5.8</v>
      </c>
      <c r="Q1680">
        <f t="shared" si="50"/>
        <v>4480713</v>
      </c>
      <c r="R1680">
        <f t="shared" si="51"/>
        <v>14.640527076829066</v>
      </c>
      <c r="U1680">
        <v>1122</v>
      </c>
      <c r="V1680">
        <v>375</v>
      </c>
      <c r="W1680">
        <v>1868</v>
      </c>
      <c r="X1680">
        <v>884</v>
      </c>
      <c r="Y1680">
        <v>55.8</v>
      </c>
      <c r="Z1680">
        <v>43</v>
      </c>
      <c r="AA1680">
        <v>68.599999999999994</v>
      </c>
    </row>
    <row r="1681" spans="1:27" x14ac:dyDescent="0.25">
      <c r="A1681" t="s">
        <v>241</v>
      </c>
      <c r="B1681" t="s">
        <v>197</v>
      </c>
      <c r="C1681" s="76">
        <v>43927</v>
      </c>
      <c r="D1681">
        <v>6336</v>
      </c>
      <c r="E1681">
        <v>3441</v>
      </c>
      <c r="F1681">
        <v>9232</v>
      </c>
      <c r="G1681">
        <v>9372</v>
      </c>
      <c r="H1681">
        <v>40.299999999999997</v>
      </c>
      <c r="I1681">
        <v>34.799999999999997</v>
      </c>
      <c r="J1681">
        <v>45.9</v>
      </c>
      <c r="K1681">
        <v>747</v>
      </c>
      <c r="L1681">
        <v>303</v>
      </c>
      <c r="M1681">
        <v>1191</v>
      </c>
      <c r="N1681">
        <v>4.8</v>
      </c>
      <c r="O1681">
        <v>2.8</v>
      </c>
      <c r="P1681">
        <v>6.7</v>
      </c>
      <c r="Q1681">
        <f t="shared" si="50"/>
        <v>4480713</v>
      </c>
      <c r="R1681">
        <f t="shared" si="51"/>
        <v>16.67145385120627</v>
      </c>
      <c r="U1681">
        <v>1097</v>
      </c>
      <c r="V1681">
        <v>399</v>
      </c>
      <c r="W1681">
        <v>1795</v>
      </c>
      <c r="X1681">
        <v>932</v>
      </c>
      <c r="Y1681">
        <v>54.1</v>
      </c>
      <c r="Z1681">
        <v>43.1</v>
      </c>
      <c r="AA1681">
        <v>65.099999999999994</v>
      </c>
    </row>
    <row r="1682" spans="1:27" x14ac:dyDescent="0.25">
      <c r="A1682" t="s">
        <v>241</v>
      </c>
      <c r="B1682" t="s">
        <v>197</v>
      </c>
      <c r="C1682" s="76">
        <v>43928</v>
      </c>
      <c r="D1682">
        <v>6869</v>
      </c>
      <c r="E1682">
        <v>3796</v>
      </c>
      <c r="F1682">
        <v>9943</v>
      </c>
      <c r="G1682">
        <v>8681</v>
      </c>
      <c r="H1682">
        <v>44.2</v>
      </c>
      <c r="I1682">
        <v>37.200000000000003</v>
      </c>
      <c r="J1682">
        <v>51.2</v>
      </c>
      <c r="K1682">
        <v>691</v>
      </c>
      <c r="L1682">
        <v>298</v>
      </c>
      <c r="M1682">
        <v>1085</v>
      </c>
      <c r="N1682">
        <v>4.4000000000000004</v>
      </c>
      <c r="O1682">
        <v>2.8</v>
      </c>
      <c r="P1682">
        <v>6.1</v>
      </c>
      <c r="Q1682">
        <f t="shared" si="50"/>
        <v>4480713</v>
      </c>
      <c r="R1682">
        <f t="shared" si="51"/>
        <v>15.421652759281837</v>
      </c>
      <c r="U1682">
        <v>1213</v>
      </c>
      <c r="V1682">
        <v>444</v>
      </c>
      <c r="W1682">
        <v>1982</v>
      </c>
      <c r="X1682">
        <v>822</v>
      </c>
      <c r="Y1682">
        <v>59.6</v>
      </c>
      <c r="Z1682">
        <v>45.8</v>
      </c>
      <c r="AA1682">
        <v>73.400000000000006</v>
      </c>
    </row>
    <row r="1683" spans="1:27" x14ac:dyDescent="0.25">
      <c r="A1683" t="s">
        <v>241</v>
      </c>
      <c r="B1683" t="s">
        <v>197</v>
      </c>
      <c r="C1683" s="76">
        <v>43929</v>
      </c>
      <c r="D1683">
        <v>7071</v>
      </c>
      <c r="E1683">
        <v>3953</v>
      </c>
      <c r="F1683">
        <v>10189</v>
      </c>
      <c r="G1683">
        <v>8481</v>
      </c>
      <c r="H1683">
        <v>45.5</v>
      </c>
      <c r="I1683">
        <v>39.200000000000003</v>
      </c>
      <c r="J1683">
        <v>51.7</v>
      </c>
      <c r="K1683">
        <v>725</v>
      </c>
      <c r="L1683">
        <v>291</v>
      </c>
      <c r="M1683">
        <v>1160</v>
      </c>
      <c r="N1683">
        <v>4.7</v>
      </c>
      <c r="O1683">
        <v>2.8</v>
      </c>
      <c r="P1683">
        <v>6.6</v>
      </c>
      <c r="Q1683">
        <f t="shared" si="50"/>
        <v>4480713</v>
      </c>
      <c r="R1683">
        <f t="shared" si="51"/>
        <v>16.180460565093099</v>
      </c>
      <c r="U1683">
        <v>1180</v>
      </c>
      <c r="V1683">
        <v>431</v>
      </c>
      <c r="W1683">
        <v>1930</v>
      </c>
      <c r="X1683">
        <v>820</v>
      </c>
      <c r="Y1683">
        <v>59</v>
      </c>
      <c r="Z1683">
        <v>45.3</v>
      </c>
      <c r="AA1683">
        <v>72.7</v>
      </c>
    </row>
    <row r="1684" spans="1:27" x14ac:dyDescent="0.25">
      <c r="A1684" t="s">
        <v>241</v>
      </c>
      <c r="B1684" t="s">
        <v>197</v>
      </c>
      <c r="C1684" s="76">
        <v>43930</v>
      </c>
      <c r="D1684">
        <v>7028</v>
      </c>
      <c r="E1684">
        <v>3866</v>
      </c>
      <c r="F1684">
        <v>10191</v>
      </c>
      <c r="G1684">
        <v>7582</v>
      </c>
      <c r="H1684">
        <v>48.1</v>
      </c>
      <c r="I1684">
        <v>42.1</v>
      </c>
      <c r="J1684">
        <v>54.2</v>
      </c>
      <c r="K1684">
        <v>744</v>
      </c>
      <c r="L1684">
        <v>304</v>
      </c>
      <c r="M1684">
        <v>1185</v>
      </c>
      <c r="N1684">
        <v>5.0999999999999996</v>
      </c>
      <c r="O1684">
        <v>3</v>
      </c>
      <c r="P1684">
        <v>7.2</v>
      </c>
      <c r="Q1684">
        <f t="shared" si="50"/>
        <v>4480713</v>
      </c>
      <c r="R1684">
        <f t="shared" si="51"/>
        <v>16.604500221281747</v>
      </c>
      <c r="U1684">
        <v>1188</v>
      </c>
      <c r="V1684">
        <v>425</v>
      </c>
      <c r="W1684">
        <v>1951</v>
      </c>
      <c r="X1684">
        <v>1002</v>
      </c>
      <c r="Y1684">
        <v>54.2</v>
      </c>
      <c r="Z1684">
        <v>38.700000000000003</v>
      </c>
      <c r="AA1684">
        <v>69.8</v>
      </c>
    </row>
    <row r="1685" spans="1:27" x14ac:dyDescent="0.25">
      <c r="A1685" t="s">
        <v>241</v>
      </c>
      <c r="B1685" t="s">
        <v>197</v>
      </c>
      <c r="C1685" s="76">
        <v>43931</v>
      </c>
      <c r="D1685">
        <v>6871</v>
      </c>
      <c r="E1685">
        <v>3782</v>
      </c>
      <c r="F1685">
        <v>9960</v>
      </c>
      <c r="G1685">
        <v>7779</v>
      </c>
      <c r="H1685">
        <v>46.9</v>
      </c>
      <c r="I1685">
        <v>40.9</v>
      </c>
      <c r="J1685">
        <v>52.9</v>
      </c>
      <c r="K1685">
        <v>772</v>
      </c>
      <c r="L1685">
        <v>332</v>
      </c>
      <c r="M1685">
        <v>1212</v>
      </c>
      <c r="N1685">
        <v>5.3</v>
      </c>
      <c r="O1685">
        <v>3.3</v>
      </c>
      <c r="P1685">
        <v>7.3</v>
      </c>
      <c r="Q1685">
        <f t="shared" si="50"/>
        <v>4480713</v>
      </c>
      <c r="R1685">
        <f t="shared" si="51"/>
        <v>17.229400767243963</v>
      </c>
      <c r="U1685">
        <v>1210</v>
      </c>
      <c r="V1685">
        <v>453</v>
      </c>
      <c r="W1685">
        <v>1968</v>
      </c>
      <c r="X1685">
        <v>985</v>
      </c>
      <c r="Y1685">
        <v>55.1</v>
      </c>
      <c r="Z1685">
        <v>40.1</v>
      </c>
      <c r="AA1685">
        <v>70.099999999999994</v>
      </c>
    </row>
    <row r="1686" spans="1:27" x14ac:dyDescent="0.25">
      <c r="A1686" t="s">
        <v>241</v>
      </c>
      <c r="B1686" t="s">
        <v>197</v>
      </c>
      <c r="C1686" s="76">
        <v>43932</v>
      </c>
      <c r="D1686">
        <v>6427</v>
      </c>
      <c r="E1686">
        <v>3568</v>
      </c>
      <c r="F1686">
        <v>9286</v>
      </c>
      <c r="G1686">
        <v>8081</v>
      </c>
      <c r="H1686">
        <v>44.3</v>
      </c>
      <c r="I1686">
        <v>38.4</v>
      </c>
      <c r="J1686">
        <v>50.2</v>
      </c>
      <c r="K1686">
        <v>701</v>
      </c>
      <c r="L1686">
        <v>273</v>
      </c>
      <c r="M1686">
        <v>1129</v>
      </c>
      <c r="N1686">
        <v>4.8</v>
      </c>
      <c r="O1686">
        <v>2.8</v>
      </c>
      <c r="P1686">
        <v>6.9</v>
      </c>
      <c r="Q1686">
        <f t="shared" si="50"/>
        <v>4480713</v>
      </c>
      <c r="R1686">
        <f t="shared" si="51"/>
        <v>15.644831525696913</v>
      </c>
      <c r="U1686">
        <v>1128</v>
      </c>
      <c r="V1686">
        <v>426</v>
      </c>
      <c r="W1686">
        <v>1830</v>
      </c>
      <c r="X1686">
        <v>1082</v>
      </c>
      <c r="Y1686">
        <v>51</v>
      </c>
      <c r="Z1686">
        <v>36.4</v>
      </c>
      <c r="AA1686">
        <v>65.599999999999994</v>
      </c>
    </row>
    <row r="1687" spans="1:27" x14ac:dyDescent="0.25">
      <c r="A1687" t="s">
        <v>241</v>
      </c>
      <c r="B1687" t="s">
        <v>197</v>
      </c>
      <c r="C1687" s="76">
        <v>43933</v>
      </c>
      <c r="D1687">
        <v>6170</v>
      </c>
      <c r="E1687">
        <v>3473</v>
      </c>
      <c r="F1687">
        <v>8867</v>
      </c>
      <c r="G1687">
        <v>8173</v>
      </c>
      <c r="H1687">
        <v>43</v>
      </c>
      <c r="I1687">
        <v>37.6</v>
      </c>
      <c r="J1687">
        <v>48.4</v>
      </c>
      <c r="K1687">
        <v>711</v>
      </c>
      <c r="L1687">
        <v>268</v>
      </c>
      <c r="M1687">
        <v>1154</v>
      </c>
      <c r="N1687">
        <v>5</v>
      </c>
      <c r="O1687">
        <v>2.7</v>
      </c>
      <c r="P1687">
        <v>7.2</v>
      </c>
      <c r="Q1687">
        <f t="shared" si="50"/>
        <v>4480713</v>
      </c>
      <c r="R1687">
        <f t="shared" si="51"/>
        <v>15.868010292111991</v>
      </c>
      <c r="U1687">
        <v>1056</v>
      </c>
      <c r="V1687">
        <v>393</v>
      </c>
      <c r="W1687">
        <v>1719</v>
      </c>
      <c r="X1687">
        <v>1162</v>
      </c>
      <c r="Y1687">
        <v>47.6</v>
      </c>
      <c r="Z1687">
        <v>33.700000000000003</v>
      </c>
      <c r="AA1687">
        <v>61.5</v>
      </c>
    </row>
    <row r="1688" spans="1:27" x14ac:dyDescent="0.25">
      <c r="A1688" t="s">
        <v>241</v>
      </c>
      <c r="B1688" t="s">
        <v>197</v>
      </c>
      <c r="C1688" s="76">
        <v>43934</v>
      </c>
      <c r="D1688">
        <v>6360</v>
      </c>
      <c r="E1688">
        <v>3702</v>
      </c>
      <c r="F1688">
        <v>9018</v>
      </c>
      <c r="G1688">
        <v>8191</v>
      </c>
      <c r="H1688">
        <v>43.7</v>
      </c>
      <c r="I1688">
        <v>38.299999999999997</v>
      </c>
      <c r="J1688">
        <v>49.1</v>
      </c>
      <c r="K1688">
        <v>837</v>
      </c>
      <c r="L1688">
        <v>349</v>
      </c>
      <c r="M1688">
        <v>1325</v>
      </c>
      <c r="N1688">
        <v>5.8</v>
      </c>
      <c r="O1688">
        <v>3.4</v>
      </c>
      <c r="P1688">
        <v>8.1</v>
      </c>
      <c r="Q1688">
        <f t="shared" si="50"/>
        <v>4480713</v>
      </c>
      <c r="R1688">
        <f t="shared" si="51"/>
        <v>18.680062748941964</v>
      </c>
      <c r="U1688">
        <v>1022</v>
      </c>
      <c r="V1688">
        <v>370</v>
      </c>
      <c r="W1688">
        <v>1674</v>
      </c>
      <c r="X1688">
        <v>1150</v>
      </c>
      <c r="Y1688">
        <v>47.1</v>
      </c>
      <c r="Z1688">
        <v>32.1</v>
      </c>
      <c r="AA1688">
        <v>62</v>
      </c>
    </row>
    <row r="1689" spans="1:27" x14ac:dyDescent="0.25">
      <c r="A1689" t="s">
        <v>241</v>
      </c>
      <c r="B1689" t="s">
        <v>197</v>
      </c>
      <c r="C1689" s="76">
        <v>43935</v>
      </c>
      <c r="D1689">
        <v>6513</v>
      </c>
      <c r="E1689">
        <v>3980</v>
      </c>
      <c r="F1689">
        <v>9046</v>
      </c>
      <c r="G1689">
        <v>7802</v>
      </c>
      <c r="H1689">
        <v>45.5</v>
      </c>
      <c r="I1689">
        <v>39.9</v>
      </c>
      <c r="J1689">
        <v>51</v>
      </c>
      <c r="K1689">
        <v>748</v>
      </c>
      <c r="L1689">
        <v>336</v>
      </c>
      <c r="M1689">
        <v>1161</v>
      </c>
      <c r="N1689">
        <v>5.2</v>
      </c>
      <c r="O1689">
        <v>3.3</v>
      </c>
      <c r="P1689">
        <v>7.2</v>
      </c>
      <c r="Q1689">
        <f t="shared" si="50"/>
        <v>4480713</v>
      </c>
      <c r="R1689">
        <f t="shared" si="51"/>
        <v>16.693771727847778</v>
      </c>
      <c r="U1689">
        <v>1119</v>
      </c>
      <c r="V1689">
        <v>485</v>
      </c>
      <c r="W1689">
        <v>1752</v>
      </c>
      <c r="X1689">
        <v>1031</v>
      </c>
      <c r="Y1689">
        <v>52</v>
      </c>
      <c r="Z1689">
        <v>36.799999999999997</v>
      </c>
      <c r="AA1689">
        <v>67.3</v>
      </c>
    </row>
    <row r="1690" spans="1:27" x14ac:dyDescent="0.25">
      <c r="A1690" t="s">
        <v>241</v>
      </c>
      <c r="B1690" t="s">
        <v>197</v>
      </c>
      <c r="C1690" s="76">
        <v>43936</v>
      </c>
      <c r="D1690">
        <v>6633</v>
      </c>
      <c r="E1690">
        <v>4051</v>
      </c>
      <c r="F1690">
        <v>9216</v>
      </c>
      <c r="G1690">
        <v>7728</v>
      </c>
      <c r="H1690">
        <v>46.2</v>
      </c>
      <c r="I1690">
        <v>40.200000000000003</v>
      </c>
      <c r="J1690">
        <v>52.2</v>
      </c>
      <c r="K1690">
        <v>698</v>
      </c>
      <c r="L1690">
        <v>319</v>
      </c>
      <c r="M1690">
        <v>1076</v>
      </c>
      <c r="N1690">
        <v>4.9000000000000004</v>
      </c>
      <c r="O1690">
        <v>3.1</v>
      </c>
      <c r="P1690">
        <v>6.6</v>
      </c>
      <c r="Q1690">
        <f t="shared" si="50"/>
        <v>4480713</v>
      </c>
      <c r="R1690">
        <f t="shared" si="51"/>
        <v>15.577877895772392</v>
      </c>
      <c r="U1690">
        <v>1079</v>
      </c>
      <c r="V1690">
        <v>467</v>
      </c>
      <c r="W1690">
        <v>1692</v>
      </c>
      <c r="X1690">
        <v>1101</v>
      </c>
      <c r="Y1690">
        <v>49.5</v>
      </c>
      <c r="Z1690">
        <v>35.5</v>
      </c>
      <c r="AA1690">
        <v>63.5</v>
      </c>
    </row>
    <row r="1691" spans="1:27" x14ac:dyDescent="0.25">
      <c r="A1691" t="s">
        <v>241</v>
      </c>
      <c r="B1691" t="s">
        <v>197</v>
      </c>
      <c r="C1691" s="76">
        <v>43937</v>
      </c>
      <c r="D1691">
        <v>6522</v>
      </c>
      <c r="E1691">
        <v>3975</v>
      </c>
      <c r="F1691">
        <v>9068</v>
      </c>
      <c r="G1691">
        <v>7633</v>
      </c>
      <c r="H1691">
        <v>46.1</v>
      </c>
      <c r="I1691">
        <v>40.200000000000003</v>
      </c>
      <c r="J1691">
        <v>51.9</v>
      </c>
      <c r="K1691">
        <v>618</v>
      </c>
      <c r="L1691">
        <v>289</v>
      </c>
      <c r="M1691">
        <v>947</v>
      </c>
      <c r="N1691">
        <v>4.4000000000000004</v>
      </c>
      <c r="O1691">
        <v>2.8</v>
      </c>
      <c r="P1691">
        <v>5.9</v>
      </c>
      <c r="Q1691">
        <f t="shared" si="50"/>
        <v>4480713</v>
      </c>
      <c r="R1691">
        <f t="shared" si="51"/>
        <v>13.792447764451774</v>
      </c>
      <c r="U1691">
        <v>1041</v>
      </c>
      <c r="V1691">
        <v>447</v>
      </c>
      <c r="W1691">
        <v>1635</v>
      </c>
      <c r="X1691">
        <v>1082</v>
      </c>
      <c r="Y1691">
        <v>49</v>
      </c>
      <c r="Z1691">
        <v>35.9</v>
      </c>
      <c r="AA1691">
        <v>62.2</v>
      </c>
    </row>
    <row r="1692" spans="1:27" x14ac:dyDescent="0.25">
      <c r="A1692" t="s">
        <v>241</v>
      </c>
      <c r="B1692" t="s">
        <v>197</v>
      </c>
      <c r="C1692" s="76">
        <v>43938</v>
      </c>
      <c r="D1692">
        <v>6568</v>
      </c>
      <c r="E1692">
        <v>4009</v>
      </c>
      <c r="F1692">
        <v>9127</v>
      </c>
      <c r="G1692">
        <v>7637</v>
      </c>
      <c r="H1692">
        <v>46.2</v>
      </c>
      <c r="I1692">
        <v>40.4</v>
      </c>
      <c r="J1692">
        <v>52.1</v>
      </c>
      <c r="K1692">
        <v>618</v>
      </c>
      <c r="L1692">
        <v>294</v>
      </c>
      <c r="M1692">
        <v>941</v>
      </c>
      <c r="N1692">
        <v>4.3</v>
      </c>
      <c r="O1692">
        <v>2.8</v>
      </c>
      <c r="P1692">
        <v>5.9</v>
      </c>
      <c r="Q1692">
        <f t="shared" si="50"/>
        <v>4480713</v>
      </c>
      <c r="R1692">
        <f t="shared" si="51"/>
        <v>13.792447764451774</v>
      </c>
      <c r="U1692">
        <v>1030</v>
      </c>
      <c r="V1692">
        <v>438</v>
      </c>
      <c r="W1692">
        <v>1622</v>
      </c>
      <c r="X1692">
        <v>1072</v>
      </c>
      <c r="Y1692">
        <v>49</v>
      </c>
      <c r="Z1692">
        <v>36.1</v>
      </c>
      <c r="AA1692">
        <v>61.9</v>
      </c>
    </row>
    <row r="1693" spans="1:27" x14ac:dyDescent="0.25">
      <c r="A1693" t="s">
        <v>241</v>
      </c>
      <c r="B1693" t="s">
        <v>197</v>
      </c>
      <c r="C1693" s="76">
        <v>43939</v>
      </c>
      <c r="D1693">
        <v>6333</v>
      </c>
      <c r="E1693">
        <v>3845</v>
      </c>
      <c r="F1693">
        <v>8821</v>
      </c>
      <c r="G1693">
        <v>7875</v>
      </c>
      <c r="H1693">
        <v>44.6</v>
      </c>
      <c r="I1693">
        <v>38.799999999999997</v>
      </c>
      <c r="J1693">
        <v>50.4</v>
      </c>
      <c r="K1693">
        <v>595</v>
      </c>
      <c r="L1693">
        <v>268</v>
      </c>
      <c r="M1693">
        <v>922</v>
      </c>
      <c r="N1693">
        <v>4.2</v>
      </c>
      <c r="O1693">
        <v>2.6</v>
      </c>
      <c r="P1693">
        <v>5.8</v>
      </c>
      <c r="Q1693">
        <f t="shared" si="50"/>
        <v>4480713</v>
      </c>
      <c r="R1693">
        <f t="shared" si="51"/>
        <v>13.279136601697097</v>
      </c>
      <c r="U1693">
        <v>1031</v>
      </c>
      <c r="V1693">
        <v>432</v>
      </c>
      <c r="W1693">
        <v>1630</v>
      </c>
      <c r="X1693">
        <v>1068</v>
      </c>
      <c r="Y1693">
        <v>49.1</v>
      </c>
      <c r="Z1693">
        <v>36.299999999999997</v>
      </c>
      <c r="AA1693">
        <v>61.9</v>
      </c>
    </row>
    <row r="1694" spans="1:27" x14ac:dyDescent="0.25">
      <c r="A1694" t="s">
        <v>241</v>
      </c>
      <c r="B1694" t="s">
        <v>197</v>
      </c>
      <c r="C1694" s="76">
        <v>43940</v>
      </c>
      <c r="D1694">
        <v>6308</v>
      </c>
      <c r="E1694">
        <v>3827</v>
      </c>
      <c r="F1694">
        <v>8789</v>
      </c>
      <c r="G1694">
        <v>7831</v>
      </c>
      <c r="H1694">
        <v>44.6</v>
      </c>
      <c r="I1694">
        <v>38.6</v>
      </c>
      <c r="J1694">
        <v>50.7</v>
      </c>
      <c r="K1694">
        <v>588</v>
      </c>
      <c r="L1694">
        <v>273</v>
      </c>
      <c r="M1694">
        <v>902</v>
      </c>
      <c r="N1694">
        <v>4.2</v>
      </c>
      <c r="O1694">
        <v>2.7</v>
      </c>
      <c r="P1694">
        <v>5.7</v>
      </c>
      <c r="Q1694">
        <f t="shared" si="50"/>
        <v>4480713</v>
      </c>
      <c r="R1694">
        <f t="shared" si="51"/>
        <v>13.122911465206542</v>
      </c>
      <c r="U1694">
        <v>1043</v>
      </c>
      <c r="V1694">
        <v>426</v>
      </c>
      <c r="W1694">
        <v>1660</v>
      </c>
      <c r="X1694">
        <v>1044</v>
      </c>
      <c r="Y1694">
        <v>50</v>
      </c>
      <c r="Z1694">
        <v>36.6</v>
      </c>
      <c r="AA1694">
        <v>63.3</v>
      </c>
    </row>
    <row r="1695" spans="1:27" x14ac:dyDescent="0.25">
      <c r="A1695" t="s">
        <v>241</v>
      </c>
      <c r="B1695" t="s">
        <v>197</v>
      </c>
      <c r="C1695" s="76">
        <v>43941</v>
      </c>
      <c r="D1695">
        <v>6583</v>
      </c>
      <c r="E1695">
        <v>4029</v>
      </c>
      <c r="F1695">
        <v>9137</v>
      </c>
      <c r="G1695">
        <v>7424</v>
      </c>
      <c r="H1695">
        <v>47</v>
      </c>
      <c r="I1695">
        <v>41.6</v>
      </c>
      <c r="J1695">
        <v>52.4</v>
      </c>
      <c r="K1695">
        <v>620</v>
      </c>
      <c r="L1695">
        <v>291</v>
      </c>
      <c r="M1695">
        <v>948</v>
      </c>
      <c r="N1695">
        <v>4.4000000000000004</v>
      </c>
      <c r="O1695">
        <v>2.8</v>
      </c>
      <c r="P1695">
        <v>6.1</v>
      </c>
      <c r="Q1695">
        <f t="shared" si="50"/>
        <v>4480713</v>
      </c>
      <c r="R1695">
        <f t="shared" si="51"/>
        <v>13.83708351773479</v>
      </c>
      <c r="U1695">
        <v>1187</v>
      </c>
      <c r="V1695">
        <v>525</v>
      </c>
      <c r="W1695">
        <v>1849</v>
      </c>
      <c r="X1695">
        <v>1022</v>
      </c>
      <c r="Y1695">
        <v>53.7</v>
      </c>
      <c r="Z1695">
        <v>42.4</v>
      </c>
      <c r="AA1695">
        <v>65.099999999999994</v>
      </c>
    </row>
    <row r="1696" spans="1:27" x14ac:dyDescent="0.25">
      <c r="A1696" t="s">
        <v>241</v>
      </c>
      <c r="B1696" t="s">
        <v>197</v>
      </c>
      <c r="C1696" s="76">
        <v>43942</v>
      </c>
      <c r="D1696">
        <v>6886</v>
      </c>
      <c r="E1696">
        <v>4200</v>
      </c>
      <c r="F1696">
        <v>9572</v>
      </c>
      <c r="G1696">
        <v>7050</v>
      </c>
      <c r="H1696">
        <v>49.4</v>
      </c>
      <c r="I1696">
        <v>44.1</v>
      </c>
      <c r="J1696">
        <v>54.7</v>
      </c>
      <c r="K1696">
        <v>601</v>
      </c>
      <c r="L1696">
        <v>309</v>
      </c>
      <c r="M1696">
        <v>893</v>
      </c>
      <c r="N1696">
        <v>4.3</v>
      </c>
      <c r="O1696">
        <v>2.9</v>
      </c>
      <c r="P1696">
        <v>5.7</v>
      </c>
      <c r="Q1696">
        <f t="shared" si="50"/>
        <v>4480713</v>
      </c>
      <c r="R1696">
        <f t="shared" si="51"/>
        <v>13.413043861546143</v>
      </c>
      <c r="U1696">
        <v>1236</v>
      </c>
      <c r="V1696">
        <v>544</v>
      </c>
      <c r="W1696">
        <v>1928</v>
      </c>
      <c r="X1696">
        <v>996</v>
      </c>
      <c r="Y1696">
        <v>55.4</v>
      </c>
      <c r="Z1696">
        <v>44.7</v>
      </c>
      <c r="AA1696">
        <v>66.099999999999994</v>
      </c>
    </row>
    <row r="1697" spans="1:27" x14ac:dyDescent="0.25">
      <c r="A1697" t="s">
        <v>241</v>
      </c>
      <c r="B1697" t="s">
        <v>197</v>
      </c>
      <c r="C1697" s="76">
        <v>43943</v>
      </c>
      <c r="D1697">
        <v>7161</v>
      </c>
      <c r="E1697">
        <v>4394</v>
      </c>
      <c r="F1697">
        <v>9928</v>
      </c>
      <c r="G1697">
        <v>6811</v>
      </c>
      <c r="H1697">
        <v>51.3</v>
      </c>
      <c r="I1697">
        <v>46.2</v>
      </c>
      <c r="J1697">
        <v>56.3</v>
      </c>
      <c r="K1697">
        <v>627</v>
      </c>
      <c r="L1697">
        <v>293</v>
      </c>
      <c r="M1697">
        <v>962</v>
      </c>
      <c r="N1697">
        <v>4.5</v>
      </c>
      <c r="O1697">
        <v>2.7</v>
      </c>
      <c r="P1697">
        <v>6.2</v>
      </c>
      <c r="Q1697">
        <f t="shared" si="50"/>
        <v>4480713</v>
      </c>
      <c r="R1697">
        <f t="shared" si="51"/>
        <v>13.993308654225345</v>
      </c>
      <c r="U1697">
        <v>1265</v>
      </c>
      <c r="V1697">
        <v>568</v>
      </c>
      <c r="W1697">
        <v>1961</v>
      </c>
      <c r="X1697">
        <v>984</v>
      </c>
      <c r="Y1697">
        <v>56.2</v>
      </c>
      <c r="Z1697">
        <v>45.2</v>
      </c>
      <c r="AA1697">
        <v>67.2</v>
      </c>
    </row>
    <row r="1698" spans="1:27" x14ac:dyDescent="0.25">
      <c r="A1698" t="s">
        <v>241</v>
      </c>
      <c r="B1698" t="s">
        <v>197</v>
      </c>
      <c r="C1698" s="76">
        <v>43944</v>
      </c>
      <c r="D1698">
        <v>7256</v>
      </c>
      <c r="E1698">
        <v>4493</v>
      </c>
      <c r="F1698">
        <v>10019</v>
      </c>
      <c r="G1698">
        <v>6660</v>
      </c>
      <c r="H1698">
        <v>52.1</v>
      </c>
      <c r="I1698">
        <v>47.2</v>
      </c>
      <c r="J1698">
        <v>57.1</v>
      </c>
      <c r="K1698">
        <v>599</v>
      </c>
      <c r="L1698">
        <v>287</v>
      </c>
      <c r="M1698">
        <v>910</v>
      </c>
      <c r="N1698">
        <v>4.3</v>
      </c>
      <c r="O1698">
        <v>2.7</v>
      </c>
      <c r="P1698">
        <v>5.9</v>
      </c>
      <c r="Q1698">
        <f t="shared" si="50"/>
        <v>4480713</v>
      </c>
      <c r="R1698">
        <f t="shared" si="51"/>
        <v>13.368408108263127</v>
      </c>
      <c r="U1698">
        <v>1240</v>
      </c>
      <c r="V1698">
        <v>563</v>
      </c>
      <c r="W1698">
        <v>1918</v>
      </c>
      <c r="X1698">
        <v>993</v>
      </c>
      <c r="Y1698">
        <v>55.5</v>
      </c>
      <c r="Z1698">
        <v>44.4</v>
      </c>
      <c r="AA1698">
        <v>66.7</v>
      </c>
    </row>
    <row r="1699" spans="1:27" x14ac:dyDescent="0.25">
      <c r="A1699" t="s">
        <v>241</v>
      </c>
      <c r="B1699" t="s">
        <v>197</v>
      </c>
      <c r="C1699" s="76">
        <v>43945</v>
      </c>
      <c r="D1699">
        <v>7026</v>
      </c>
      <c r="E1699">
        <v>4557</v>
      </c>
      <c r="F1699">
        <v>9495</v>
      </c>
      <c r="G1699">
        <v>7313</v>
      </c>
      <c r="H1699">
        <v>49</v>
      </c>
      <c r="I1699">
        <v>44.4</v>
      </c>
      <c r="J1699">
        <v>53.6</v>
      </c>
      <c r="K1699">
        <v>586</v>
      </c>
      <c r="L1699">
        <v>312</v>
      </c>
      <c r="M1699">
        <v>861</v>
      </c>
      <c r="N1699">
        <v>4.0999999999999996</v>
      </c>
      <c r="O1699">
        <v>2.7</v>
      </c>
      <c r="P1699">
        <v>5.5</v>
      </c>
      <c r="Q1699">
        <f t="shared" si="50"/>
        <v>4480713</v>
      </c>
      <c r="R1699">
        <f t="shared" si="51"/>
        <v>13.078275711923528</v>
      </c>
      <c r="U1699">
        <v>1218</v>
      </c>
      <c r="V1699">
        <v>618</v>
      </c>
      <c r="W1699">
        <v>1817</v>
      </c>
      <c r="X1699">
        <v>950</v>
      </c>
      <c r="Y1699">
        <v>56.2</v>
      </c>
      <c r="Z1699">
        <v>48</v>
      </c>
      <c r="AA1699">
        <v>64.3</v>
      </c>
    </row>
    <row r="1700" spans="1:27" x14ac:dyDescent="0.25">
      <c r="A1700" t="s">
        <v>241</v>
      </c>
      <c r="B1700" t="s">
        <v>197</v>
      </c>
      <c r="C1700" s="76">
        <v>43946</v>
      </c>
      <c r="D1700">
        <v>6858</v>
      </c>
      <c r="E1700">
        <v>4441</v>
      </c>
      <c r="F1700">
        <v>9275</v>
      </c>
      <c r="G1700">
        <v>7475</v>
      </c>
      <c r="H1700">
        <v>47.8</v>
      </c>
      <c r="I1700">
        <v>43.1</v>
      </c>
      <c r="J1700">
        <v>52.6</v>
      </c>
      <c r="K1700">
        <v>629</v>
      </c>
      <c r="L1700">
        <v>318</v>
      </c>
      <c r="M1700">
        <v>939</v>
      </c>
      <c r="N1700">
        <v>4.4000000000000004</v>
      </c>
      <c r="O1700">
        <v>2.7</v>
      </c>
      <c r="P1700">
        <v>6.1</v>
      </c>
      <c r="Q1700">
        <f t="shared" si="50"/>
        <v>4480713</v>
      </c>
      <c r="R1700">
        <f t="shared" si="51"/>
        <v>14.037944407508359</v>
      </c>
      <c r="U1700">
        <v>1209</v>
      </c>
      <c r="V1700">
        <v>611</v>
      </c>
      <c r="W1700">
        <v>1806</v>
      </c>
      <c r="X1700">
        <v>1008</v>
      </c>
      <c r="Y1700">
        <v>54.5</v>
      </c>
      <c r="Z1700">
        <v>45</v>
      </c>
      <c r="AA1700">
        <v>64</v>
      </c>
    </row>
    <row r="1701" spans="1:27" x14ac:dyDescent="0.25">
      <c r="A1701" t="s">
        <v>241</v>
      </c>
      <c r="B1701" t="s">
        <v>197</v>
      </c>
      <c r="C1701" s="76">
        <v>43947</v>
      </c>
      <c r="D1701">
        <v>6675</v>
      </c>
      <c r="E1701">
        <v>4306</v>
      </c>
      <c r="F1701">
        <v>9044</v>
      </c>
      <c r="G1701">
        <v>7664</v>
      </c>
      <c r="H1701">
        <v>46.6</v>
      </c>
      <c r="I1701">
        <v>41.9</v>
      </c>
      <c r="J1701">
        <v>51.3</v>
      </c>
      <c r="K1701">
        <v>544</v>
      </c>
      <c r="L1701">
        <v>266</v>
      </c>
      <c r="M1701">
        <v>823</v>
      </c>
      <c r="N1701">
        <v>3.8</v>
      </c>
      <c r="O1701">
        <v>2.2999999999999998</v>
      </c>
      <c r="P1701">
        <v>5.3</v>
      </c>
      <c r="Q1701">
        <f t="shared" si="50"/>
        <v>4480713</v>
      </c>
      <c r="R1701">
        <f t="shared" si="51"/>
        <v>12.140924892980202</v>
      </c>
      <c r="U1701">
        <v>1150</v>
      </c>
      <c r="V1701">
        <v>573</v>
      </c>
      <c r="W1701">
        <v>1726</v>
      </c>
      <c r="X1701">
        <v>1066</v>
      </c>
      <c r="Y1701">
        <v>51.9</v>
      </c>
      <c r="Z1701">
        <v>42.9</v>
      </c>
      <c r="AA1701">
        <v>60.8</v>
      </c>
    </row>
    <row r="1702" spans="1:27" x14ac:dyDescent="0.25">
      <c r="A1702" t="s">
        <v>241</v>
      </c>
      <c r="B1702" t="s">
        <v>197</v>
      </c>
      <c r="C1702" s="76">
        <v>43948</v>
      </c>
      <c r="D1702">
        <v>6945</v>
      </c>
      <c r="E1702">
        <v>4382</v>
      </c>
      <c r="F1702">
        <v>9508</v>
      </c>
      <c r="G1702">
        <v>7572</v>
      </c>
      <c r="H1702">
        <v>47.8</v>
      </c>
      <c r="I1702">
        <v>43.2</v>
      </c>
      <c r="J1702">
        <v>52.5</v>
      </c>
      <c r="K1702">
        <v>568</v>
      </c>
      <c r="L1702">
        <v>277</v>
      </c>
      <c r="M1702">
        <v>859</v>
      </c>
      <c r="N1702">
        <v>3.9</v>
      </c>
      <c r="O1702">
        <v>2.4</v>
      </c>
      <c r="P1702">
        <v>5.4</v>
      </c>
      <c r="Q1702">
        <f t="shared" si="50"/>
        <v>4480713</v>
      </c>
      <c r="R1702">
        <f t="shared" si="51"/>
        <v>12.676553932376388</v>
      </c>
      <c r="U1702">
        <v>1178</v>
      </c>
      <c r="V1702">
        <v>569</v>
      </c>
      <c r="W1702">
        <v>1787</v>
      </c>
      <c r="X1702">
        <v>1064</v>
      </c>
      <c r="Y1702">
        <v>52.5</v>
      </c>
      <c r="Z1702">
        <v>43.3</v>
      </c>
      <c r="AA1702">
        <v>61.7</v>
      </c>
    </row>
    <row r="1703" spans="1:27" x14ac:dyDescent="0.25">
      <c r="A1703" t="s">
        <v>241</v>
      </c>
      <c r="B1703" t="s">
        <v>197</v>
      </c>
      <c r="C1703" s="76">
        <v>43949</v>
      </c>
      <c r="D1703">
        <v>7394</v>
      </c>
      <c r="E1703">
        <v>4694</v>
      </c>
      <c r="F1703">
        <v>10095</v>
      </c>
      <c r="G1703">
        <v>7199</v>
      </c>
      <c r="H1703">
        <v>50.7</v>
      </c>
      <c r="I1703">
        <v>45.5</v>
      </c>
      <c r="J1703">
        <v>55.9</v>
      </c>
      <c r="K1703">
        <v>590</v>
      </c>
      <c r="L1703">
        <v>312</v>
      </c>
      <c r="M1703">
        <v>868</v>
      </c>
      <c r="N1703">
        <v>4</v>
      </c>
      <c r="O1703">
        <v>2.6</v>
      </c>
      <c r="P1703">
        <v>5.5</v>
      </c>
      <c r="Q1703">
        <f t="shared" ref="Q1703:Q1766" si="52">VLOOKUP(B1703,$AE$4:$AF$55,2,FALSE)</f>
        <v>4480713</v>
      </c>
      <c r="R1703">
        <f t="shared" si="51"/>
        <v>13.167547218489558</v>
      </c>
      <c r="U1703">
        <v>1223</v>
      </c>
      <c r="V1703">
        <v>609</v>
      </c>
      <c r="W1703">
        <v>1837</v>
      </c>
      <c r="X1703">
        <v>1013</v>
      </c>
      <c r="Y1703">
        <v>54.7</v>
      </c>
      <c r="Z1703">
        <v>45.3</v>
      </c>
      <c r="AA1703">
        <v>64.099999999999994</v>
      </c>
    </row>
    <row r="1704" spans="1:27" x14ac:dyDescent="0.25">
      <c r="A1704" t="s">
        <v>241</v>
      </c>
      <c r="B1704" t="s">
        <v>197</v>
      </c>
      <c r="C1704" s="76">
        <v>43950</v>
      </c>
      <c r="D1704">
        <v>7537</v>
      </c>
      <c r="E1704">
        <v>4799</v>
      </c>
      <c r="F1704">
        <v>10274</v>
      </c>
      <c r="G1704">
        <v>7090</v>
      </c>
      <c r="H1704">
        <v>51.5</v>
      </c>
      <c r="I1704">
        <v>46.7</v>
      </c>
      <c r="J1704">
        <v>56.4</v>
      </c>
      <c r="K1704">
        <v>601</v>
      </c>
      <c r="L1704">
        <v>305</v>
      </c>
      <c r="M1704">
        <v>897</v>
      </c>
      <c r="N1704">
        <v>4.0999999999999996</v>
      </c>
      <c r="O1704">
        <v>2.6</v>
      </c>
      <c r="P1704">
        <v>5.6</v>
      </c>
      <c r="Q1704">
        <f t="shared" si="52"/>
        <v>4480713</v>
      </c>
      <c r="R1704">
        <f t="shared" si="51"/>
        <v>13.413043861546143</v>
      </c>
      <c r="U1704">
        <v>1257</v>
      </c>
      <c r="V1704">
        <v>624</v>
      </c>
      <c r="W1704">
        <v>1890</v>
      </c>
      <c r="X1704">
        <v>981</v>
      </c>
      <c r="Y1704">
        <v>56.2</v>
      </c>
      <c r="Z1704">
        <v>46.4</v>
      </c>
      <c r="AA1704">
        <v>66</v>
      </c>
    </row>
    <row r="1705" spans="1:27" x14ac:dyDescent="0.25">
      <c r="A1705" t="s">
        <v>241</v>
      </c>
      <c r="B1705" t="s">
        <v>197</v>
      </c>
      <c r="C1705" s="76">
        <v>43951</v>
      </c>
      <c r="D1705">
        <v>7421</v>
      </c>
      <c r="E1705">
        <v>4683</v>
      </c>
      <c r="F1705">
        <v>10159</v>
      </c>
      <c r="G1705">
        <v>7195</v>
      </c>
      <c r="H1705">
        <v>50.8</v>
      </c>
      <c r="I1705">
        <v>45.3</v>
      </c>
      <c r="J1705">
        <v>56.2</v>
      </c>
      <c r="K1705">
        <v>572</v>
      </c>
      <c r="L1705">
        <v>290</v>
      </c>
      <c r="M1705">
        <v>854</v>
      </c>
      <c r="N1705">
        <v>3.9</v>
      </c>
      <c r="O1705">
        <v>2.5</v>
      </c>
      <c r="P1705">
        <v>5.4</v>
      </c>
      <c r="Q1705">
        <f t="shared" si="52"/>
        <v>4480713</v>
      </c>
      <c r="R1705">
        <f t="shared" si="51"/>
        <v>12.765825438942418</v>
      </c>
      <c r="U1705">
        <v>1291</v>
      </c>
      <c r="V1705">
        <v>626</v>
      </c>
      <c r="W1705">
        <v>1956</v>
      </c>
      <c r="X1705">
        <v>935</v>
      </c>
      <c r="Y1705">
        <v>58</v>
      </c>
      <c r="Z1705">
        <v>47.5</v>
      </c>
      <c r="AA1705">
        <v>68.5</v>
      </c>
    </row>
    <row r="1706" spans="1:27" x14ac:dyDescent="0.25">
      <c r="A1706" t="s">
        <v>241</v>
      </c>
      <c r="B1706" t="s">
        <v>197</v>
      </c>
      <c r="C1706" s="76">
        <v>43952</v>
      </c>
      <c r="D1706">
        <v>7551</v>
      </c>
      <c r="E1706">
        <v>4770</v>
      </c>
      <c r="F1706">
        <v>10332</v>
      </c>
      <c r="G1706">
        <v>7060</v>
      </c>
      <c r="H1706">
        <v>51.7</v>
      </c>
      <c r="I1706">
        <v>46.7</v>
      </c>
      <c r="J1706">
        <v>56.6</v>
      </c>
      <c r="K1706">
        <v>547</v>
      </c>
      <c r="L1706">
        <v>274</v>
      </c>
      <c r="M1706">
        <v>820</v>
      </c>
      <c r="N1706">
        <v>3.7</v>
      </c>
      <c r="O1706">
        <v>2.4</v>
      </c>
      <c r="P1706">
        <v>5.0999999999999996</v>
      </c>
      <c r="Q1706">
        <f t="shared" si="52"/>
        <v>4480713</v>
      </c>
      <c r="R1706">
        <f t="shared" si="51"/>
        <v>12.207878522904725</v>
      </c>
      <c r="U1706">
        <v>1268</v>
      </c>
      <c r="V1706">
        <v>621</v>
      </c>
      <c r="W1706">
        <v>1914</v>
      </c>
      <c r="X1706">
        <v>952</v>
      </c>
      <c r="Y1706">
        <v>57.1</v>
      </c>
      <c r="Z1706">
        <v>47.6</v>
      </c>
      <c r="AA1706">
        <v>66.599999999999994</v>
      </c>
    </row>
    <row r="1707" spans="1:27" x14ac:dyDescent="0.25">
      <c r="A1707" t="s">
        <v>241</v>
      </c>
      <c r="B1707" t="s">
        <v>197</v>
      </c>
      <c r="C1707" s="76">
        <v>43953</v>
      </c>
      <c r="D1707">
        <v>7226</v>
      </c>
      <c r="E1707">
        <v>4514</v>
      </c>
      <c r="F1707">
        <v>9937</v>
      </c>
      <c r="G1707">
        <v>7379</v>
      </c>
      <c r="H1707">
        <v>49.5</v>
      </c>
      <c r="I1707">
        <v>44.3</v>
      </c>
      <c r="J1707">
        <v>54.7</v>
      </c>
      <c r="K1707">
        <v>527</v>
      </c>
      <c r="L1707">
        <v>256</v>
      </c>
      <c r="M1707">
        <v>798</v>
      </c>
      <c r="N1707">
        <v>3.6</v>
      </c>
      <c r="O1707">
        <v>2.2000000000000002</v>
      </c>
      <c r="P1707">
        <v>5</v>
      </c>
      <c r="Q1707">
        <f t="shared" si="52"/>
        <v>4480713</v>
      </c>
      <c r="R1707">
        <f t="shared" si="51"/>
        <v>11.761520990074571</v>
      </c>
      <c r="U1707">
        <v>1236</v>
      </c>
      <c r="V1707">
        <v>600</v>
      </c>
      <c r="W1707">
        <v>1871</v>
      </c>
      <c r="X1707">
        <v>1019</v>
      </c>
      <c r="Y1707">
        <v>54.8</v>
      </c>
      <c r="Z1707">
        <v>45.1</v>
      </c>
      <c r="AA1707">
        <v>64.5</v>
      </c>
    </row>
    <row r="1708" spans="1:27" x14ac:dyDescent="0.25">
      <c r="A1708" t="s">
        <v>241</v>
      </c>
      <c r="B1708" t="s">
        <v>197</v>
      </c>
      <c r="C1708" s="76">
        <v>43954</v>
      </c>
      <c r="D1708">
        <v>7018</v>
      </c>
      <c r="E1708">
        <v>4395</v>
      </c>
      <c r="F1708">
        <v>9641</v>
      </c>
      <c r="G1708">
        <v>7568</v>
      </c>
      <c r="H1708">
        <v>48.1</v>
      </c>
      <c r="I1708">
        <v>42.9</v>
      </c>
      <c r="J1708">
        <v>53.3</v>
      </c>
      <c r="K1708">
        <v>556</v>
      </c>
      <c r="L1708">
        <v>266</v>
      </c>
      <c r="M1708">
        <v>846</v>
      </c>
      <c r="N1708">
        <v>3.8</v>
      </c>
      <c r="O1708">
        <v>2.2999999999999998</v>
      </c>
      <c r="P1708">
        <v>5.3</v>
      </c>
      <c r="Q1708">
        <f t="shared" si="52"/>
        <v>4480713</v>
      </c>
      <c r="R1708">
        <f t="shared" si="51"/>
        <v>12.408739412678296</v>
      </c>
      <c r="U1708">
        <v>1260</v>
      </c>
      <c r="V1708">
        <v>625</v>
      </c>
      <c r="W1708">
        <v>1896</v>
      </c>
      <c r="X1708">
        <v>999</v>
      </c>
      <c r="Y1708">
        <v>55.8</v>
      </c>
      <c r="Z1708">
        <v>46.6</v>
      </c>
      <c r="AA1708">
        <v>65</v>
      </c>
    </row>
    <row r="1709" spans="1:27" x14ac:dyDescent="0.25">
      <c r="A1709" t="s">
        <v>241</v>
      </c>
      <c r="B1709" t="s">
        <v>197</v>
      </c>
      <c r="C1709" s="76">
        <v>43955</v>
      </c>
      <c r="D1709">
        <v>7335</v>
      </c>
      <c r="E1709">
        <v>4590</v>
      </c>
      <c r="F1709">
        <v>10081</v>
      </c>
      <c r="G1709">
        <v>7432</v>
      </c>
      <c r="H1709">
        <v>49.7</v>
      </c>
      <c r="I1709">
        <v>44</v>
      </c>
      <c r="J1709">
        <v>55.4</v>
      </c>
      <c r="K1709">
        <v>570</v>
      </c>
      <c r="L1709">
        <v>281</v>
      </c>
      <c r="M1709">
        <v>860</v>
      </c>
      <c r="N1709">
        <v>3.9</v>
      </c>
      <c r="O1709">
        <v>2.4</v>
      </c>
      <c r="P1709">
        <v>5.3</v>
      </c>
      <c r="Q1709">
        <f t="shared" si="52"/>
        <v>4480713</v>
      </c>
      <c r="R1709">
        <f t="shared" si="51"/>
        <v>12.721189685659402</v>
      </c>
      <c r="U1709">
        <v>1321</v>
      </c>
      <c r="V1709">
        <v>665</v>
      </c>
      <c r="W1709">
        <v>1976</v>
      </c>
      <c r="X1709">
        <v>964</v>
      </c>
      <c r="Y1709">
        <v>57.8</v>
      </c>
      <c r="Z1709">
        <v>48.2</v>
      </c>
      <c r="AA1709">
        <v>67.5</v>
      </c>
    </row>
    <row r="1710" spans="1:27" x14ac:dyDescent="0.25">
      <c r="A1710" t="s">
        <v>241</v>
      </c>
      <c r="B1710" t="s">
        <v>197</v>
      </c>
      <c r="C1710" s="76">
        <v>43956</v>
      </c>
      <c r="D1710">
        <v>7524</v>
      </c>
      <c r="E1710">
        <v>4723</v>
      </c>
      <c r="F1710">
        <v>10326</v>
      </c>
      <c r="G1710">
        <v>7255</v>
      </c>
      <c r="H1710">
        <v>50.9</v>
      </c>
      <c r="I1710">
        <v>45.2</v>
      </c>
      <c r="J1710">
        <v>56.6</v>
      </c>
      <c r="K1710">
        <v>610</v>
      </c>
      <c r="L1710">
        <v>309</v>
      </c>
      <c r="M1710">
        <v>911</v>
      </c>
      <c r="N1710">
        <v>4.0999999999999996</v>
      </c>
      <c r="O1710">
        <v>2.6</v>
      </c>
      <c r="P1710">
        <v>5.6</v>
      </c>
      <c r="Q1710">
        <f t="shared" si="52"/>
        <v>4480713</v>
      </c>
      <c r="R1710">
        <f t="shared" si="51"/>
        <v>13.613904751319712</v>
      </c>
      <c r="U1710">
        <v>1334</v>
      </c>
      <c r="V1710">
        <v>674</v>
      </c>
      <c r="W1710">
        <v>1995</v>
      </c>
      <c r="X1710">
        <v>956</v>
      </c>
      <c r="Y1710">
        <v>58.2</v>
      </c>
      <c r="Z1710">
        <v>47.6</v>
      </c>
      <c r="AA1710">
        <v>68.900000000000006</v>
      </c>
    </row>
    <row r="1711" spans="1:27" x14ac:dyDescent="0.25">
      <c r="A1711" t="s">
        <v>241</v>
      </c>
      <c r="B1711" t="s">
        <v>197</v>
      </c>
      <c r="C1711" s="76">
        <v>43957</v>
      </c>
      <c r="D1711">
        <v>7549</v>
      </c>
      <c r="E1711">
        <v>4766</v>
      </c>
      <c r="F1711">
        <v>10332</v>
      </c>
      <c r="G1711">
        <v>7221</v>
      </c>
      <c r="H1711">
        <v>51.1</v>
      </c>
      <c r="I1711">
        <v>45.9</v>
      </c>
      <c r="J1711">
        <v>56.4</v>
      </c>
      <c r="K1711">
        <v>569</v>
      </c>
      <c r="L1711">
        <v>298</v>
      </c>
      <c r="M1711">
        <v>841</v>
      </c>
      <c r="N1711">
        <v>3.9</v>
      </c>
      <c r="O1711">
        <v>2.6</v>
      </c>
      <c r="P1711">
        <v>5.0999999999999996</v>
      </c>
      <c r="Q1711">
        <f t="shared" si="52"/>
        <v>4480713</v>
      </c>
      <c r="R1711">
        <f t="shared" si="51"/>
        <v>12.698871809017895</v>
      </c>
      <c r="U1711">
        <v>1317</v>
      </c>
      <c r="V1711">
        <v>680</v>
      </c>
      <c r="W1711">
        <v>1955</v>
      </c>
      <c r="X1711">
        <v>972</v>
      </c>
      <c r="Y1711">
        <v>57.5</v>
      </c>
      <c r="Z1711">
        <v>47.7</v>
      </c>
      <c r="AA1711">
        <v>67.400000000000006</v>
      </c>
    </row>
    <row r="1712" spans="1:27" x14ac:dyDescent="0.25">
      <c r="A1712" t="s">
        <v>241</v>
      </c>
      <c r="B1712" t="s">
        <v>197</v>
      </c>
      <c r="C1712" s="76">
        <v>43958</v>
      </c>
      <c r="D1712">
        <v>7646</v>
      </c>
      <c r="E1712">
        <v>4811</v>
      </c>
      <c r="F1712">
        <v>10481</v>
      </c>
      <c r="G1712">
        <v>7090</v>
      </c>
      <c r="H1712">
        <v>51.9</v>
      </c>
      <c r="I1712">
        <v>46.1</v>
      </c>
      <c r="J1712">
        <v>57.7</v>
      </c>
      <c r="K1712">
        <v>589</v>
      </c>
      <c r="L1712">
        <v>297</v>
      </c>
      <c r="M1712">
        <v>880</v>
      </c>
      <c r="N1712">
        <v>4</v>
      </c>
      <c r="O1712">
        <v>2.6</v>
      </c>
      <c r="P1712">
        <v>5.4</v>
      </c>
      <c r="Q1712">
        <f t="shared" si="52"/>
        <v>4480713</v>
      </c>
      <c r="R1712">
        <f t="shared" si="51"/>
        <v>13.145229341848049</v>
      </c>
      <c r="U1712">
        <v>1309</v>
      </c>
      <c r="V1712">
        <v>660</v>
      </c>
      <c r="W1712">
        <v>1958</v>
      </c>
      <c r="X1712">
        <v>985</v>
      </c>
      <c r="Y1712">
        <v>57.1</v>
      </c>
      <c r="Z1712">
        <v>46.8</v>
      </c>
      <c r="AA1712">
        <v>67.3</v>
      </c>
    </row>
    <row r="1713" spans="1:27" x14ac:dyDescent="0.25">
      <c r="A1713" t="s">
        <v>241</v>
      </c>
      <c r="B1713" t="s">
        <v>197</v>
      </c>
      <c r="C1713" s="76">
        <v>43959</v>
      </c>
      <c r="D1713">
        <v>7524</v>
      </c>
      <c r="E1713">
        <v>4704</v>
      </c>
      <c r="F1713">
        <v>10344</v>
      </c>
      <c r="G1713">
        <v>7228</v>
      </c>
      <c r="H1713">
        <v>51</v>
      </c>
      <c r="I1713">
        <v>45.1</v>
      </c>
      <c r="J1713">
        <v>56.9</v>
      </c>
      <c r="K1713">
        <v>654</v>
      </c>
      <c r="L1713">
        <v>318</v>
      </c>
      <c r="M1713">
        <v>991</v>
      </c>
      <c r="N1713">
        <v>4.4000000000000004</v>
      </c>
      <c r="O1713">
        <v>2.7</v>
      </c>
      <c r="P1713">
        <v>6.1</v>
      </c>
      <c r="Q1713">
        <f t="shared" si="52"/>
        <v>4480713</v>
      </c>
      <c r="R1713">
        <f t="shared" si="51"/>
        <v>14.595891323546052</v>
      </c>
      <c r="U1713">
        <v>1274</v>
      </c>
      <c r="V1713">
        <v>634</v>
      </c>
      <c r="W1713">
        <v>1915</v>
      </c>
      <c r="X1713">
        <v>1020</v>
      </c>
      <c r="Y1713">
        <v>55.5</v>
      </c>
      <c r="Z1713">
        <v>45.3</v>
      </c>
      <c r="AA1713">
        <v>65.8</v>
      </c>
    </row>
    <row r="1714" spans="1:27" x14ac:dyDescent="0.25">
      <c r="A1714" t="s">
        <v>241</v>
      </c>
      <c r="B1714" t="s">
        <v>197</v>
      </c>
      <c r="C1714" s="76">
        <v>43960</v>
      </c>
      <c r="D1714">
        <v>7375</v>
      </c>
      <c r="E1714">
        <v>4598</v>
      </c>
      <c r="F1714">
        <v>10152</v>
      </c>
      <c r="G1714">
        <v>7264</v>
      </c>
      <c r="H1714">
        <v>50.4</v>
      </c>
      <c r="I1714">
        <v>44.4</v>
      </c>
      <c r="J1714">
        <v>56.4</v>
      </c>
      <c r="K1714">
        <v>527</v>
      </c>
      <c r="L1714">
        <v>245</v>
      </c>
      <c r="M1714">
        <v>808</v>
      </c>
      <c r="N1714">
        <v>3.6</v>
      </c>
      <c r="O1714">
        <v>2.2000000000000002</v>
      </c>
      <c r="P1714">
        <v>5</v>
      </c>
      <c r="Q1714">
        <f t="shared" si="52"/>
        <v>4480713</v>
      </c>
      <c r="R1714">
        <f t="shared" si="51"/>
        <v>11.761520990074571</v>
      </c>
      <c r="U1714">
        <v>1279</v>
      </c>
      <c r="V1714">
        <v>625</v>
      </c>
      <c r="W1714">
        <v>1932</v>
      </c>
      <c r="X1714">
        <v>1016</v>
      </c>
      <c r="Y1714">
        <v>55.7</v>
      </c>
      <c r="Z1714">
        <v>44.8</v>
      </c>
      <c r="AA1714">
        <v>66.599999999999994</v>
      </c>
    </row>
    <row r="1715" spans="1:27" x14ac:dyDescent="0.25">
      <c r="A1715" t="s">
        <v>241</v>
      </c>
      <c r="B1715" t="s">
        <v>197</v>
      </c>
      <c r="C1715" s="76">
        <v>43961</v>
      </c>
      <c r="D1715">
        <v>7053</v>
      </c>
      <c r="E1715">
        <v>4405</v>
      </c>
      <c r="F1715">
        <v>9701</v>
      </c>
      <c r="G1715">
        <v>7747</v>
      </c>
      <c r="H1715">
        <v>47.7</v>
      </c>
      <c r="I1715">
        <v>41.7</v>
      </c>
      <c r="J1715">
        <v>53.6</v>
      </c>
      <c r="K1715">
        <v>473</v>
      </c>
      <c r="L1715">
        <v>193</v>
      </c>
      <c r="M1715">
        <v>752</v>
      </c>
      <c r="N1715">
        <v>3.2</v>
      </c>
      <c r="O1715">
        <v>1.8</v>
      </c>
      <c r="P1715">
        <v>4.5999999999999996</v>
      </c>
      <c r="Q1715">
        <f t="shared" si="52"/>
        <v>4480713</v>
      </c>
      <c r="R1715">
        <f t="shared" si="51"/>
        <v>10.556355651433153</v>
      </c>
      <c r="U1715">
        <v>1223</v>
      </c>
      <c r="V1715">
        <v>584</v>
      </c>
      <c r="W1715">
        <v>1862</v>
      </c>
      <c r="X1715">
        <v>1059</v>
      </c>
      <c r="Y1715">
        <v>53.6</v>
      </c>
      <c r="Z1715">
        <v>42.9</v>
      </c>
      <c r="AA1715">
        <v>64.3</v>
      </c>
    </row>
    <row r="1716" spans="1:27" x14ac:dyDescent="0.25">
      <c r="A1716" t="s">
        <v>241</v>
      </c>
      <c r="B1716" t="s">
        <v>197</v>
      </c>
      <c r="C1716" s="76">
        <v>43962</v>
      </c>
      <c r="D1716">
        <v>7378</v>
      </c>
      <c r="E1716">
        <v>4626</v>
      </c>
      <c r="F1716">
        <v>10130</v>
      </c>
      <c r="G1716">
        <v>7332</v>
      </c>
      <c r="H1716">
        <v>50.2</v>
      </c>
      <c r="I1716">
        <v>44.2</v>
      </c>
      <c r="J1716">
        <v>56.1</v>
      </c>
      <c r="K1716">
        <v>484</v>
      </c>
      <c r="L1716">
        <v>228</v>
      </c>
      <c r="M1716">
        <v>741</v>
      </c>
      <c r="N1716">
        <v>3.3</v>
      </c>
      <c r="O1716">
        <v>2</v>
      </c>
      <c r="P1716">
        <v>4.5999999999999996</v>
      </c>
      <c r="Q1716">
        <f t="shared" si="52"/>
        <v>4480713</v>
      </c>
      <c r="R1716">
        <f t="shared" si="51"/>
        <v>10.801852294489738</v>
      </c>
      <c r="U1716">
        <v>1231</v>
      </c>
      <c r="V1716">
        <v>602</v>
      </c>
      <c r="W1716">
        <v>1859</v>
      </c>
      <c r="X1716">
        <v>1022</v>
      </c>
      <c r="Y1716">
        <v>54.6</v>
      </c>
      <c r="Z1716">
        <v>44.5</v>
      </c>
      <c r="AA1716">
        <v>64.8</v>
      </c>
    </row>
    <row r="1717" spans="1:27" x14ac:dyDescent="0.25">
      <c r="A1717" t="s">
        <v>241</v>
      </c>
      <c r="B1717" t="s">
        <v>197</v>
      </c>
      <c r="C1717" s="76">
        <v>43963</v>
      </c>
      <c r="D1717">
        <v>7804</v>
      </c>
      <c r="E1717">
        <v>4921</v>
      </c>
      <c r="F1717">
        <v>10686</v>
      </c>
      <c r="G1717">
        <v>6945</v>
      </c>
      <c r="H1717">
        <v>52.9</v>
      </c>
      <c r="I1717">
        <v>47.2</v>
      </c>
      <c r="J1717">
        <v>58.7</v>
      </c>
      <c r="K1717">
        <v>571</v>
      </c>
      <c r="L1717">
        <v>279</v>
      </c>
      <c r="M1717">
        <v>864</v>
      </c>
      <c r="N1717">
        <v>3.9</v>
      </c>
      <c r="O1717">
        <v>2.5</v>
      </c>
      <c r="P1717">
        <v>5.2</v>
      </c>
      <c r="Q1717">
        <f t="shared" si="52"/>
        <v>4480713</v>
      </c>
      <c r="R1717">
        <f t="shared" si="51"/>
        <v>12.743507562300913</v>
      </c>
      <c r="U1717">
        <v>1199</v>
      </c>
      <c r="V1717">
        <v>593</v>
      </c>
      <c r="W1717">
        <v>1805</v>
      </c>
      <c r="X1717">
        <v>1027</v>
      </c>
      <c r="Y1717">
        <v>53.9</v>
      </c>
      <c r="Z1717">
        <v>44</v>
      </c>
      <c r="AA1717">
        <v>63.7</v>
      </c>
    </row>
    <row r="1718" spans="1:27" x14ac:dyDescent="0.25">
      <c r="A1718" t="s">
        <v>241</v>
      </c>
      <c r="B1718" t="s">
        <v>197</v>
      </c>
      <c r="C1718" s="76">
        <v>43964</v>
      </c>
      <c r="D1718">
        <v>7881</v>
      </c>
      <c r="E1718">
        <v>4926</v>
      </c>
      <c r="F1718">
        <v>10835</v>
      </c>
      <c r="G1718">
        <v>6795</v>
      </c>
      <c r="H1718">
        <v>53.7</v>
      </c>
      <c r="I1718">
        <v>47.5</v>
      </c>
      <c r="J1718">
        <v>59.9</v>
      </c>
      <c r="K1718">
        <v>464</v>
      </c>
      <c r="L1718">
        <v>214</v>
      </c>
      <c r="M1718">
        <v>715</v>
      </c>
      <c r="N1718">
        <v>3.2</v>
      </c>
      <c r="O1718">
        <v>1.9</v>
      </c>
      <c r="P1718">
        <v>4.4000000000000004</v>
      </c>
      <c r="Q1718">
        <f t="shared" si="52"/>
        <v>4480713</v>
      </c>
      <c r="R1718">
        <f t="shared" si="51"/>
        <v>10.355494761659585</v>
      </c>
      <c r="U1718">
        <v>1277</v>
      </c>
      <c r="V1718">
        <v>616</v>
      </c>
      <c r="W1718">
        <v>1939</v>
      </c>
      <c r="X1718">
        <v>975</v>
      </c>
      <c r="Y1718">
        <v>56.7</v>
      </c>
      <c r="Z1718">
        <v>45.4</v>
      </c>
      <c r="AA1718">
        <v>68.099999999999994</v>
      </c>
    </row>
    <row r="1719" spans="1:27" x14ac:dyDescent="0.25">
      <c r="A1719" t="s">
        <v>241</v>
      </c>
      <c r="B1719" t="s">
        <v>197</v>
      </c>
      <c r="C1719" s="76">
        <v>43965</v>
      </c>
      <c r="D1719">
        <v>8093</v>
      </c>
      <c r="E1719">
        <v>5038</v>
      </c>
      <c r="F1719">
        <v>11149</v>
      </c>
      <c r="G1719">
        <v>6686</v>
      </c>
      <c r="H1719">
        <v>54.8</v>
      </c>
      <c r="I1719">
        <v>48.7</v>
      </c>
      <c r="J1719">
        <v>60.8</v>
      </c>
      <c r="K1719">
        <v>508</v>
      </c>
      <c r="L1719">
        <v>224</v>
      </c>
      <c r="M1719">
        <v>792</v>
      </c>
      <c r="N1719">
        <v>3.4</v>
      </c>
      <c r="O1719">
        <v>2</v>
      </c>
      <c r="P1719">
        <v>4.8</v>
      </c>
      <c r="Q1719">
        <f t="shared" si="52"/>
        <v>4480713</v>
      </c>
      <c r="R1719">
        <f t="shared" si="51"/>
        <v>11.337481333885924</v>
      </c>
      <c r="U1719">
        <v>1276</v>
      </c>
      <c r="V1719">
        <v>624</v>
      </c>
      <c r="W1719">
        <v>1928</v>
      </c>
      <c r="X1719">
        <v>975</v>
      </c>
      <c r="Y1719">
        <v>56.7</v>
      </c>
      <c r="Z1719">
        <v>46.2</v>
      </c>
      <c r="AA1719">
        <v>67.099999999999994</v>
      </c>
    </row>
    <row r="1720" spans="1:27" x14ac:dyDescent="0.25">
      <c r="A1720" t="s">
        <v>241</v>
      </c>
      <c r="B1720" t="s">
        <v>197</v>
      </c>
      <c r="C1720" s="76">
        <v>43966</v>
      </c>
      <c r="D1720">
        <v>8203</v>
      </c>
      <c r="E1720">
        <v>5106</v>
      </c>
      <c r="F1720">
        <v>11301</v>
      </c>
      <c r="G1720">
        <v>6567</v>
      </c>
      <c r="H1720">
        <v>55.5</v>
      </c>
      <c r="I1720">
        <v>49.1</v>
      </c>
      <c r="J1720">
        <v>61.9</v>
      </c>
      <c r="K1720">
        <v>474</v>
      </c>
      <c r="L1720">
        <v>213</v>
      </c>
      <c r="M1720">
        <v>735</v>
      </c>
      <c r="N1720">
        <v>3.2</v>
      </c>
      <c r="O1720">
        <v>2</v>
      </c>
      <c r="P1720">
        <v>4.5</v>
      </c>
      <c r="Q1720">
        <f t="shared" si="52"/>
        <v>4480713</v>
      </c>
      <c r="R1720">
        <f t="shared" si="51"/>
        <v>10.578673528074662</v>
      </c>
      <c r="U1720">
        <v>1351</v>
      </c>
      <c r="V1720">
        <v>671</v>
      </c>
      <c r="W1720">
        <v>2031</v>
      </c>
      <c r="X1720">
        <v>897</v>
      </c>
      <c r="Y1720">
        <v>60.1</v>
      </c>
      <c r="Z1720">
        <v>49.4</v>
      </c>
      <c r="AA1720">
        <v>70.8</v>
      </c>
    </row>
    <row r="1721" spans="1:27" x14ac:dyDescent="0.25">
      <c r="A1721" t="s">
        <v>241</v>
      </c>
      <c r="B1721" t="s">
        <v>197</v>
      </c>
      <c r="C1721" s="76">
        <v>43967</v>
      </c>
      <c r="D1721">
        <v>7838</v>
      </c>
      <c r="E1721">
        <v>4868</v>
      </c>
      <c r="F1721">
        <v>10807</v>
      </c>
      <c r="G1721">
        <v>6918</v>
      </c>
      <c r="H1721">
        <v>53.1</v>
      </c>
      <c r="I1721">
        <v>46.9</v>
      </c>
      <c r="J1721">
        <v>59.4</v>
      </c>
      <c r="K1721">
        <v>496</v>
      </c>
      <c r="L1721">
        <v>245</v>
      </c>
      <c r="M1721">
        <v>748</v>
      </c>
      <c r="N1721">
        <v>3.4</v>
      </c>
      <c r="O1721">
        <v>2.2000000000000002</v>
      </c>
      <c r="P1721">
        <v>4.5</v>
      </c>
      <c r="Q1721">
        <f t="shared" si="52"/>
        <v>4480713</v>
      </c>
      <c r="R1721">
        <f t="shared" si="51"/>
        <v>11.069666814187832</v>
      </c>
      <c r="U1721">
        <v>1420</v>
      </c>
      <c r="V1721">
        <v>703</v>
      </c>
      <c r="W1721">
        <v>2137</v>
      </c>
      <c r="X1721">
        <v>887</v>
      </c>
      <c r="Y1721">
        <v>61.5</v>
      </c>
      <c r="Z1721">
        <v>50.2</v>
      </c>
      <c r="AA1721">
        <v>72.900000000000006</v>
      </c>
    </row>
    <row r="1722" spans="1:27" x14ac:dyDescent="0.25">
      <c r="A1722" t="s">
        <v>241</v>
      </c>
      <c r="B1722" t="s">
        <v>197</v>
      </c>
      <c r="C1722" s="76">
        <v>43968</v>
      </c>
      <c r="D1722">
        <v>7657</v>
      </c>
      <c r="E1722">
        <v>4596</v>
      </c>
      <c r="F1722">
        <v>10717</v>
      </c>
      <c r="G1722">
        <v>7383</v>
      </c>
      <c r="H1722">
        <v>50.9</v>
      </c>
      <c r="I1722">
        <v>44.7</v>
      </c>
      <c r="J1722">
        <v>57.1</v>
      </c>
      <c r="K1722">
        <v>595</v>
      </c>
      <c r="L1722">
        <v>231</v>
      </c>
      <c r="M1722">
        <v>958</v>
      </c>
      <c r="N1722">
        <v>4</v>
      </c>
      <c r="O1722">
        <v>2.2000000000000002</v>
      </c>
      <c r="P1722">
        <v>5.7</v>
      </c>
      <c r="Q1722">
        <f t="shared" si="52"/>
        <v>4480713</v>
      </c>
      <c r="R1722">
        <f t="shared" si="51"/>
        <v>13.279136601697097</v>
      </c>
      <c r="U1722">
        <v>1388</v>
      </c>
      <c r="V1722">
        <v>642</v>
      </c>
      <c r="W1722">
        <v>2134</v>
      </c>
      <c r="X1722">
        <v>954</v>
      </c>
      <c r="Y1722">
        <v>59.3</v>
      </c>
      <c r="Z1722">
        <v>47.6</v>
      </c>
      <c r="AA1722">
        <v>70.900000000000006</v>
      </c>
    </row>
    <row r="1723" spans="1:27" x14ac:dyDescent="0.25">
      <c r="A1723" t="s">
        <v>241</v>
      </c>
      <c r="B1723" t="s">
        <v>197</v>
      </c>
      <c r="C1723" s="76">
        <v>43969</v>
      </c>
      <c r="D1723">
        <v>8105</v>
      </c>
      <c r="E1723">
        <v>4898</v>
      </c>
      <c r="F1723">
        <v>11312</v>
      </c>
      <c r="G1723">
        <v>6930</v>
      </c>
      <c r="H1723">
        <v>53.9</v>
      </c>
      <c r="I1723">
        <v>47.7</v>
      </c>
      <c r="J1723">
        <v>60.1</v>
      </c>
      <c r="K1723">
        <v>519</v>
      </c>
      <c r="L1723">
        <v>234</v>
      </c>
      <c r="M1723">
        <v>804</v>
      </c>
      <c r="N1723">
        <v>3.5</v>
      </c>
      <c r="O1723">
        <v>2.1</v>
      </c>
      <c r="P1723">
        <v>4.8</v>
      </c>
      <c r="Q1723">
        <f t="shared" si="52"/>
        <v>4480713</v>
      </c>
      <c r="R1723">
        <f t="shared" si="51"/>
        <v>11.582977976942509</v>
      </c>
      <c r="U1723">
        <v>1416</v>
      </c>
      <c r="V1723">
        <v>662</v>
      </c>
      <c r="W1723">
        <v>2171</v>
      </c>
      <c r="X1723">
        <v>918</v>
      </c>
      <c r="Y1723">
        <v>60.7</v>
      </c>
      <c r="Z1723">
        <v>49</v>
      </c>
      <c r="AA1723">
        <v>72.3</v>
      </c>
    </row>
    <row r="1724" spans="1:27" x14ac:dyDescent="0.25">
      <c r="A1724" t="s">
        <v>241</v>
      </c>
      <c r="B1724" t="s">
        <v>197</v>
      </c>
      <c r="C1724" s="76">
        <v>43970</v>
      </c>
      <c r="D1724">
        <v>8511</v>
      </c>
      <c r="E1724">
        <v>5175</v>
      </c>
      <c r="F1724">
        <v>11848</v>
      </c>
      <c r="G1724">
        <v>6541</v>
      </c>
      <c r="H1724">
        <v>56.5</v>
      </c>
      <c r="I1724">
        <v>50.3</v>
      </c>
      <c r="J1724">
        <v>62.8</v>
      </c>
      <c r="K1724">
        <v>555</v>
      </c>
      <c r="L1724">
        <v>222</v>
      </c>
      <c r="M1724">
        <v>888</v>
      </c>
      <c r="N1724">
        <v>3.7</v>
      </c>
      <c r="O1724">
        <v>2.1</v>
      </c>
      <c r="P1724">
        <v>5.3</v>
      </c>
      <c r="Q1724">
        <f t="shared" si="52"/>
        <v>4480713</v>
      </c>
      <c r="R1724">
        <f t="shared" si="51"/>
        <v>12.386421536036787</v>
      </c>
      <c r="U1724">
        <v>1461</v>
      </c>
      <c r="V1724">
        <v>686</v>
      </c>
      <c r="W1724">
        <v>2237</v>
      </c>
      <c r="X1724">
        <v>875</v>
      </c>
      <c r="Y1724">
        <v>62.6</v>
      </c>
      <c r="Z1724">
        <v>51.2</v>
      </c>
      <c r="AA1724">
        <v>73.900000000000006</v>
      </c>
    </row>
    <row r="1725" spans="1:27" x14ac:dyDescent="0.25">
      <c r="A1725" t="s">
        <v>241</v>
      </c>
      <c r="B1725" t="s">
        <v>197</v>
      </c>
      <c r="C1725" s="76">
        <v>43971</v>
      </c>
      <c r="D1725">
        <v>8729</v>
      </c>
      <c r="E1725">
        <v>5327</v>
      </c>
      <c r="F1725">
        <v>12132</v>
      </c>
      <c r="G1725">
        <v>6301</v>
      </c>
      <c r="H1725">
        <v>58.1</v>
      </c>
      <c r="I1725">
        <v>52</v>
      </c>
      <c r="J1725">
        <v>64.2</v>
      </c>
      <c r="K1725">
        <v>497</v>
      </c>
      <c r="L1725">
        <v>232</v>
      </c>
      <c r="M1725">
        <v>761</v>
      </c>
      <c r="N1725">
        <v>3.3</v>
      </c>
      <c r="O1725">
        <v>2.1</v>
      </c>
      <c r="P1725">
        <v>4.5</v>
      </c>
      <c r="Q1725">
        <f t="shared" si="52"/>
        <v>4480713</v>
      </c>
      <c r="R1725">
        <f t="shared" si="51"/>
        <v>11.091984690829339</v>
      </c>
      <c r="U1725">
        <v>1455</v>
      </c>
      <c r="V1725">
        <v>690</v>
      </c>
      <c r="W1725">
        <v>2219</v>
      </c>
      <c r="X1725">
        <v>881</v>
      </c>
      <c r="Y1725">
        <v>62.3</v>
      </c>
      <c r="Z1725">
        <v>51</v>
      </c>
      <c r="AA1725">
        <v>73.5</v>
      </c>
    </row>
    <row r="1726" spans="1:27" x14ac:dyDescent="0.25">
      <c r="A1726" t="s">
        <v>241</v>
      </c>
      <c r="B1726" t="s">
        <v>197</v>
      </c>
      <c r="C1726" s="76">
        <v>43972</v>
      </c>
      <c r="D1726">
        <v>8685</v>
      </c>
      <c r="E1726">
        <v>5208</v>
      </c>
      <c r="F1726">
        <v>12161</v>
      </c>
      <c r="G1726">
        <v>6312</v>
      </c>
      <c r="H1726">
        <v>57.9</v>
      </c>
      <c r="I1726">
        <v>51</v>
      </c>
      <c r="J1726">
        <v>64.8</v>
      </c>
      <c r="K1726">
        <v>560</v>
      </c>
      <c r="L1726">
        <v>222</v>
      </c>
      <c r="M1726">
        <v>897</v>
      </c>
      <c r="N1726">
        <v>3.7</v>
      </c>
      <c r="O1726">
        <v>2.1</v>
      </c>
      <c r="P1726">
        <v>5.4</v>
      </c>
      <c r="Q1726">
        <f t="shared" si="52"/>
        <v>4480713</v>
      </c>
      <c r="R1726">
        <f t="shared" si="51"/>
        <v>12.498010919244328</v>
      </c>
      <c r="U1726">
        <v>1458</v>
      </c>
      <c r="V1726">
        <v>673</v>
      </c>
      <c r="W1726">
        <v>2243</v>
      </c>
      <c r="X1726">
        <v>933</v>
      </c>
      <c r="Y1726">
        <v>61</v>
      </c>
      <c r="Z1726">
        <v>48.5</v>
      </c>
      <c r="AA1726">
        <v>73.5</v>
      </c>
    </row>
    <row r="1727" spans="1:27" x14ac:dyDescent="0.25">
      <c r="A1727" t="s">
        <v>241</v>
      </c>
      <c r="B1727" t="s">
        <v>197</v>
      </c>
      <c r="C1727" s="76">
        <v>43973</v>
      </c>
      <c r="D1727">
        <v>8752</v>
      </c>
      <c r="E1727">
        <v>5184</v>
      </c>
      <c r="F1727">
        <v>12320</v>
      </c>
      <c r="G1727">
        <v>6245</v>
      </c>
      <c r="H1727">
        <v>58.4</v>
      </c>
      <c r="I1727">
        <v>51.3</v>
      </c>
      <c r="J1727">
        <v>65.400000000000006</v>
      </c>
      <c r="K1727">
        <v>539</v>
      </c>
      <c r="L1727">
        <v>223</v>
      </c>
      <c r="M1727">
        <v>854</v>
      </c>
      <c r="N1727">
        <v>3.6</v>
      </c>
      <c r="O1727">
        <v>2.1</v>
      </c>
      <c r="P1727">
        <v>5.0999999999999996</v>
      </c>
      <c r="Q1727">
        <f t="shared" si="52"/>
        <v>4480713</v>
      </c>
      <c r="R1727">
        <f t="shared" si="51"/>
        <v>12.029335509772663</v>
      </c>
      <c r="U1727">
        <v>1486</v>
      </c>
      <c r="V1727">
        <v>675</v>
      </c>
      <c r="W1727">
        <v>2297</v>
      </c>
      <c r="X1727">
        <v>950</v>
      </c>
      <c r="Y1727">
        <v>61</v>
      </c>
      <c r="Z1727">
        <v>47.5</v>
      </c>
      <c r="AA1727">
        <v>74.5</v>
      </c>
    </row>
    <row r="1728" spans="1:27" x14ac:dyDescent="0.25">
      <c r="A1728" t="s">
        <v>241</v>
      </c>
      <c r="B1728" t="s">
        <v>197</v>
      </c>
      <c r="C1728" s="76">
        <v>43974</v>
      </c>
      <c r="D1728">
        <v>8302</v>
      </c>
      <c r="E1728">
        <v>4875</v>
      </c>
      <c r="F1728">
        <v>11729</v>
      </c>
      <c r="G1728">
        <v>6657</v>
      </c>
      <c r="H1728">
        <v>55.5</v>
      </c>
      <c r="I1728">
        <v>48.1</v>
      </c>
      <c r="J1728">
        <v>62.9</v>
      </c>
      <c r="K1728">
        <v>499</v>
      </c>
      <c r="L1728">
        <v>182</v>
      </c>
      <c r="M1728">
        <v>815</v>
      </c>
      <c r="N1728">
        <v>3.3</v>
      </c>
      <c r="O1728">
        <v>1.8</v>
      </c>
      <c r="P1728">
        <v>4.9000000000000004</v>
      </c>
      <c r="Q1728">
        <f t="shared" si="52"/>
        <v>4480713</v>
      </c>
      <c r="R1728">
        <f t="shared" si="51"/>
        <v>11.136620444112355</v>
      </c>
      <c r="U1728">
        <v>1428</v>
      </c>
      <c r="V1728">
        <v>647</v>
      </c>
      <c r="W1728">
        <v>2209</v>
      </c>
      <c r="X1728">
        <v>934</v>
      </c>
      <c r="Y1728">
        <v>60.4</v>
      </c>
      <c r="Z1728">
        <v>47.3</v>
      </c>
      <c r="AA1728">
        <v>73.599999999999994</v>
      </c>
    </row>
    <row r="1729" spans="1:27" x14ac:dyDescent="0.25">
      <c r="A1729" t="s">
        <v>241</v>
      </c>
      <c r="B1729" t="s">
        <v>197</v>
      </c>
      <c r="C1729" s="76">
        <v>43975</v>
      </c>
      <c r="D1729">
        <v>7901</v>
      </c>
      <c r="E1729">
        <v>4633</v>
      </c>
      <c r="F1729">
        <v>11169</v>
      </c>
      <c r="G1729">
        <v>7068</v>
      </c>
      <c r="H1729">
        <v>52.8</v>
      </c>
      <c r="I1729">
        <v>45.6</v>
      </c>
      <c r="J1729">
        <v>60</v>
      </c>
      <c r="K1729">
        <v>441</v>
      </c>
      <c r="L1729">
        <v>175</v>
      </c>
      <c r="M1729">
        <v>707</v>
      </c>
      <c r="N1729">
        <v>2.9</v>
      </c>
      <c r="O1729">
        <v>1.7</v>
      </c>
      <c r="P1729">
        <v>4.2</v>
      </c>
      <c r="Q1729">
        <f t="shared" si="52"/>
        <v>4480713</v>
      </c>
      <c r="R1729">
        <f t="shared" si="51"/>
        <v>9.8421835989049065</v>
      </c>
      <c r="U1729">
        <v>1394</v>
      </c>
      <c r="V1729">
        <v>627</v>
      </c>
      <c r="W1729">
        <v>2160</v>
      </c>
      <c r="X1729">
        <v>971</v>
      </c>
      <c r="Y1729">
        <v>58.9</v>
      </c>
      <c r="Z1729">
        <v>46.3</v>
      </c>
      <c r="AA1729">
        <v>71.5</v>
      </c>
    </row>
    <row r="1730" spans="1:27" x14ac:dyDescent="0.25">
      <c r="A1730" t="s">
        <v>241</v>
      </c>
      <c r="B1730" t="s">
        <v>197</v>
      </c>
      <c r="C1730" s="76">
        <v>43976</v>
      </c>
      <c r="D1730">
        <v>7846</v>
      </c>
      <c r="E1730">
        <v>4589</v>
      </c>
      <c r="F1730">
        <v>11103</v>
      </c>
      <c r="G1730">
        <v>7184</v>
      </c>
      <c r="H1730">
        <v>52.2</v>
      </c>
      <c r="I1730">
        <v>45.4</v>
      </c>
      <c r="J1730">
        <v>59</v>
      </c>
      <c r="K1730">
        <v>534</v>
      </c>
      <c r="L1730">
        <v>210</v>
      </c>
      <c r="M1730">
        <v>858</v>
      </c>
      <c r="N1730">
        <v>3.6</v>
      </c>
      <c r="O1730">
        <v>2</v>
      </c>
      <c r="P1730">
        <v>5.0999999999999996</v>
      </c>
      <c r="Q1730">
        <f t="shared" si="52"/>
        <v>4480713</v>
      </c>
      <c r="R1730">
        <f t="shared" si="51"/>
        <v>11.917746126565124</v>
      </c>
      <c r="U1730">
        <v>1400</v>
      </c>
      <c r="V1730">
        <v>610</v>
      </c>
      <c r="W1730">
        <v>2190</v>
      </c>
      <c r="X1730">
        <v>1036</v>
      </c>
      <c r="Y1730">
        <v>57.5</v>
      </c>
      <c r="Z1730">
        <v>45.7</v>
      </c>
      <c r="AA1730">
        <v>69.3</v>
      </c>
    </row>
    <row r="1731" spans="1:27" x14ac:dyDescent="0.25">
      <c r="A1731" t="s">
        <v>241</v>
      </c>
      <c r="B1731" t="s">
        <v>197</v>
      </c>
      <c r="C1731" s="76">
        <v>43977</v>
      </c>
      <c r="D1731">
        <v>8331</v>
      </c>
      <c r="E1731">
        <v>4937</v>
      </c>
      <c r="F1731">
        <v>11724</v>
      </c>
      <c r="G1731">
        <v>6655</v>
      </c>
      <c r="H1731">
        <v>55.6</v>
      </c>
      <c r="I1731">
        <v>49.2</v>
      </c>
      <c r="J1731">
        <v>62</v>
      </c>
      <c r="K1731">
        <v>596</v>
      </c>
      <c r="L1731">
        <v>234</v>
      </c>
      <c r="M1731">
        <v>959</v>
      </c>
      <c r="N1731">
        <v>4</v>
      </c>
      <c r="O1731">
        <v>2.2000000000000002</v>
      </c>
      <c r="P1731">
        <v>5.8</v>
      </c>
      <c r="Q1731">
        <f t="shared" si="52"/>
        <v>4480713</v>
      </c>
      <c r="R1731">
        <f t="shared" si="51"/>
        <v>13.301454478338602</v>
      </c>
      <c r="U1731">
        <v>1467</v>
      </c>
      <c r="V1731">
        <v>661</v>
      </c>
      <c r="W1731">
        <v>2273</v>
      </c>
      <c r="X1731">
        <v>995</v>
      </c>
      <c r="Y1731">
        <v>59.6</v>
      </c>
      <c r="Z1731">
        <v>47</v>
      </c>
      <c r="AA1731">
        <v>72.2</v>
      </c>
    </row>
    <row r="1732" spans="1:27" x14ac:dyDescent="0.25">
      <c r="A1732" t="s">
        <v>241</v>
      </c>
      <c r="B1732" t="s">
        <v>197</v>
      </c>
      <c r="C1732" s="76">
        <v>43978</v>
      </c>
      <c r="D1732">
        <v>8993</v>
      </c>
      <c r="E1732">
        <v>5354</v>
      </c>
      <c r="F1732">
        <v>12633</v>
      </c>
      <c r="G1732">
        <v>6021</v>
      </c>
      <c r="H1732">
        <v>59.9</v>
      </c>
      <c r="I1732">
        <v>53.1</v>
      </c>
      <c r="J1732">
        <v>66.7</v>
      </c>
      <c r="K1732">
        <v>609</v>
      </c>
      <c r="L1732">
        <v>247</v>
      </c>
      <c r="M1732">
        <v>971</v>
      </c>
      <c r="N1732">
        <v>4.0999999999999996</v>
      </c>
      <c r="O1732">
        <v>2.2999999999999998</v>
      </c>
      <c r="P1732">
        <v>5.8</v>
      </c>
      <c r="Q1732">
        <f t="shared" si="52"/>
        <v>4480713</v>
      </c>
      <c r="R1732">
        <f t="shared" si="51"/>
        <v>13.591586874678205</v>
      </c>
      <c r="U1732">
        <v>1515</v>
      </c>
      <c r="V1732">
        <v>699</v>
      </c>
      <c r="W1732">
        <v>2332</v>
      </c>
      <c r="X1732">
        <v>970</v>
      </c>
      <c r="Y1732">
        <v>61</v>
      </c>
      <c r="Z1732">
        <v>48</v>
      </c>
      <c r="AA1732">
        <v>73.900000000000006</v>
      </c>
    </row>
    <row r="1733" spans="1:27" x14ac:dyDescent="0.25">
      <c r="A1733" t="s">
        <v>241</v>
      </c>
      <c r="B1733" t="s">
        <v>197</v>
      </c>
      <c r="C1733" s="76">
        <v>43979</v>
      </c>
      <c r="D1733">
        <v>8631</v>
      </c>
      <c r="E1733">
        <v>5032</v>
      </c>
      <c r="F1733">
        <v>12229</v>
      </c>
      <c r="G1733">
        <v>6097</v>
      </c>
      <c r="H1733">
        <v>58.6</v>
      </c>
      <c r="I1733">
        <v>53.9</v>
      </c>
      <c r="J1733">
        <v>63.3</v>
      </c>
      <c r="K1733">
        <v>592</v>
      </c>
      <c r="L1733">
        <v>243</v>
      </c>
      <c r="M1733">
        <v>941</v>
      </c>
      <c r="N1733">
        <v>4</v>
      </c>
      <c r="O1733">
        <v>2.2000000000000002</v>
      </c>
      <c r="P1733">
        <v>5.8</v>
      </c>
      <c r="Q1733">
        <f t="shared" si="52"/>
        <v>4480713</v>
      </c>
      <c r="R1733">
        <f t="shared" ref="R1733:R1796" si="53">K1733/(Q1733)*100000</f>
        <v>13.212182971772572</v>
      </c>
      <c r="U1733">
        <v>1476</v>
      </c>
      <c r="V1733">
        <v>578</v>
      </c>
      <c r="W1733">
        <v>2374</v>
      </c>
      <c r="X1733">
        <v>1091</v>
      </c>
      <c r="Y1733">
        <v>57.5</v>
      </c>
      <c r="Z1733">
        <v>48</v>
      </c>
      <c r="AA1733">
        <v>67</v>
      </c>
    </row>
    <row r="1734" spans="1:27" x14ac:dyDescent="0.25">
      <c r="A1734" t="s">
        <v>241</v>
      </c>
      <c r="B1734" t="s">
        <v>197</v>
      </c>
      <c r="C1734" s="76">
        <v>43980</v>
      </c>
      <c r="D1734">
        <v>7908</v>
      </c>
      <c r="E1734">
        <v>4906</v>
      </c>
      <c r="F1734">
        <v>10911</v>
      </c>
      <c r="G1734">
        <v>6427</v>
      </c>
      <c r="H1734">
        <v>55.2</v>
      </c>
      <c r="I1734">
        <v>50</v>
      </c>
      <c r="J1734">
        <v>60.3</v>
      </c>
      <c r="K1734">
        <v>443</v>
      </c>
      <c r="L1734">
        <v>205</v>
      </c>
      <c r="M1734">
        <v>681</v>
      </c>
      <c r="N1734">
        <v>3.1</v>
      </c>
      <c r="O1734">
        <v>1.9</v>
      </c>
      <c r="P1734">
        <v>4.3</v>
      </c>
      <c r="Q1734">
        <f t="shared" si="52"/>
        <v>4480713</v>
      </c>
      <c r="R1734">
        <f t="shared" si="53"/>
        <v>9.8868193521879224</v>
      </c>
      <c r="U1734">
        <v>1170</v>
      </c>
      <c r="V1734">
        <v>636</v>
      </c>
      <c r="W1734">
        <v>1704</v>
      </c>
      <c r="X1734">
        <v>943</v>
      </c>
      <c r="Y1734">
        <v>55.3</v>
      </c>
      <c r="Z1734">
        <v>45.2</v>
      </c>
      <c r="AA1734">
        <v>65.5</v>
      </c>
    </row>
    <row r="1735" spans="1:27" x14ac:dyDescent="0.25">
      <c r="A1735" t="s">
        <v>241</v>
      </c>
      <c r="B1735" t="s">
        <v>197</v>
      </c>
      <c r="C1735" s="76">
        <v>43981</v>
      </c>
      <c r="D1735">
        <v>7809</v>
      </c>
      <c r="E1735">
        <v>4972</v>
      </c>
      <c r="F1735">
        <v>10645</v>
      </c>
      <c r="G1735">
        <v>6628</v>
      </c>
      <c r="H1735">
        <v>54.1</v>
      </c>
      <c r="I1735">
        <v>49.2</v>
      </c>
      <c r="J1735">
        <v>59</v>
      </c>
      <c r="K1735">
        <v>399</v>
      </c>
      <c r="L1735">
        <v>187</v>
      </c>
      <c r="M1735">
        <v>611</v>
      </c>
      <c r="N1735">
        <v>2.8</v>
      </c>
      <c r="O1735">
        <v>1.6</v>
      </c>
      <c r="P1735">
        <v>3.9</v>
      </c>
      <c r="Q1735">
        <f t="shared" si="52"/>
        <v>4480713</v>
      </c>
      <c r="R1735">
        <f t="shared" si="53"/>
        <v>8.9048327799615823</v>
      </c>
      <c r="U1735">
        <v>1168</v>
      </c>
      <c r="V1735">
        <v>657</v>
      </c>
      <c r="W1735">
        <v>1679</v>
      </c>
      <c r="X1735">
        <v>921</v>
      </c>
      <c r="Y1735">
        <v>55.9</v>
      </c>
      <c r="Z1735">
        <v>46.1</v>
      </c>
      <c r="AA1735">
        <v>65.8</v>
      </c>
    </row>
    <row r="1736" spans="1:27" x14ac:dyDescent="0.25">
      <c r="A1736" t="s">
        <v>241</v>
      </c>
      <c r="B1736" t="s">
        <v>197</v>
      </c>
      <c r="C1736" s="76">
        <v>43982</v>
      </c>
      <c r="D1736">
        <v>7536</v>
      </c>
      <c r="E1736">
        <v>4749</v>
      </c>
      <c r="F1736">
        <v>10322</v>
      </c>
      <c r="G1736">
        <v>6982</v>
      </c>
      <c r="H1736">
        <v>51.9</v>
      </c>
      <c r="I1736">
        <v>47.3</v>
      </c>
      <c r="J1736">
        <v>56.5</v>
      </c>
      <c r="K1736">
        <v>331</v>
      </c>
      <c r="L1736">
        <v>160</v>
      </c>
      <c r="M1736">
        <v>502</v>
      </c>
      <c r="N1736">
        <v>2.2999999999999998</v>
      </c>
      <c r="O1736">
        <v>1.4</v>
      </c>
      <c r="P1736">
        <v>3.2</v>
      </c>
      <c r="Q1736">
        <f t="shared" si="52"/>
        <v>4480713</v>
      </c>
      <c r="R1736">
        <f t="shared" si="53"/>
        <v>7.3872171683390571</v>
      </c>
      <c r="U1736">
        <v>1140</v>
      </c>
      <c r="V1736">
        <v>610</v>
      </c>
      <c r="W1736">
        <v>1671</v>
      </c>
      <c r="X1736">
        <v>996</v>
      </c>
      <c r="Y1736">
        <v>53.4</v>
      </c>
      <c r="Z1736">
        <v>45</v>
      </c>
      <c r="AA1736">
        <v>61.8</v>
      </c>
    </row>
    <row r="1737" spans="1:27" x14ac:dyDescent="0.25">
      <c r="A1737" t="s">
        <v>241</v>
      </c>
      <c r="B1737" t="s">
        <v>197</v>
      </c>
      <c r="C1737" s="76">
        <v>43983</v>
      </c>
      <c r="D1737">
        <v>7682</v>
      </c>
      <c r="E1737">
        <v>4820</v>
      </c>
      <c r="F1737">
        <v>10544</v>
      </c>
      <c r="G1737">
        <v>6747</v>
      </c>
      <c r="H1737">
        <v>53.2</v>
      </c>
      <c r="I1737">
        <v>48</v>
      </c>
      <c r="J1737">
        <v>58.5</v>
      </c>
      <c r="K1737">
        <v>426</v>
      </c>
      <c r="L1737">
        <v>196</v>
      </c>
      <c r="M1737">
        <v>655</v>
      </c>
      <c r="N1737">
        <v>3</v>
      </c>
      <c r="O1737">
        <v>1.7</v>
      </c>
      <c r="P1737">
        <v>4.2</v>
      </c>
      <c r="Q1737">
        <f t="shared" si="52"/>
        <v>4480713</v>
      </c>
      <c r="R1737">
        <f t="shared" si="53"/>
        <v>9.5074154492822895</v>
      </c>
      <c r="U1737">
        <v>1178</v>
      </c>
      <c r="V1737">
        <v>632</v>
      </c>
      <c r="W1737">
        <v>1724</v>
      </c>
      <c r="X1737">
        <v>956</v>
      </c>
      <c r="Y1737">
        <v>55.2</v>
      </c>
      <c r="Z1737">
        <v>46</v>
      </c>
      <c r="AA1737">
        <v>64.400000000000006</v>
      </c>
    </row>
    <row r="1738" spans="1:27" x14ac:dyDescent="0.25">
      <c r="A1738" t="s">
        <v>241</v>
      </c>
      <c r="B1738" t="s">
        <v>197</v>
      </c>
      <c r="C1738" s="76">
        <v>43984</v>
      </c>
      <c r="D1738">
        <v>8365</v>
      </c>
      <c r="E1738">
        <v>5173</v>
      </c>
      <c r="F1738">
        <v>11556</v>
      </c>
      <c r="G1738">
        <v>6385</v>
      </c>
      <c r="H1738">
        <v>56.7</v>
      </c>
      <c r="I1738">
        <v>51.3</v>
      </c>
      <c r="J1738">
        <v>62.1</v>
      </c>
      <c r="K1738">
        <v>428</v>
      </c>
      <c r="L1738">
        <v>203</v>
      </c>
      <c r="M1738">
        <v>653</v>
      </c>
      <c r="N1738">
        <v>2.9</v>
      </c>
      <c r="O1738">
        <v>1.7</v>
      </c>
      <c r="P1738">
        <v>4.0999999999999996</v>
      </c>
      <c r="Q1738">
        <f t="shared" si="52"/>
        <v>4480713</v>
      </c>
      <c r="R1738">
        <f t="shared" si="53"/>
        <v>9.5520512025653055</v>
      </c>
      <c r="U1738">
        <v>1235</v>
      </c>
      <c r="V1738">
        <v>609</v>
      </c>
      <c r="W1738">
        <v>1861</v>
      </c>
      <c r="X1738">
        <v>949</v>
      </c>
      <c r="Y1738">
        <v>56.6</v>
      </c>
      <c r="Z1738">
        <v>47.2</v>
      </c>
      <c r="AA1738">
        <v>65.900000000000006</v>
      </c>
    </row>
    <row r="1739" spans="1:27" x14ac:dyDescent="0.25">
      <c r="A1739" t="s">
        <v>241</v>
      </c>
      <c r="B1739" t="s">
        <v>197</v>
      </c>
      <c r="C1739" s="76">
        <v>43985</v>
      </c>
      <c r="D1739">
        <v>8837</v>
      </c>
      <c r="E1739">
        <v>5313</v>
      </c>
      <c r="F1739">
        <v>12362</v>
      </c>
      <c r="G1739">
        <v>6103</v>
      </c>
      <c r="H1739">
        <v>59.1</v>
      </c>
      <c r="I1739">
        <v>53.5</v>
      </c>
      <c r="J1739">
        <v>64.8</v>
      </c>
      <c r="K1739">
        <v>430</v>
      </c>
      <c r="L1739">
        <v>208</v>
      </c>
      <c r="M1739">
        <v>653</v>
      </c>
      <c r="N1739">
        <v>2.9</v>
      </c>
      <c r="O1739">
        <v>1.7</v>
      </c>
      <c r="P1739">
        <v>4</v>
      </c>
      <c r="Q1739">
        <f t="shared" si="52"/>
        <v>4480713</v>
      </c>
      <c r="R1739">
        <f t="shared" si="53"/>
        <v>9.5966869558483214</v>
      </c>
      <c r="U1739">
        <v>1276</v>
      </c>
      <c r="V1739">
        <v>610</v>
      </c>
      <c r="W1739">
        <v>1942</v>
      </c>
      <c r="X1739">
        <v>982</v>
      </c>
      <c r="Y1739">
        <v>56.5</v>
      </c>
      <c r="Z1739">
        <v>45.1</v>
      </c>
      <c r="AA1739">
        <v>67.900000000000006</v>
      </c>
    </row>
    <row r="1740" spans="1:27" x14ac:dyDescent="0.25">
      <c r="A1740" t="s">
        <v>241</v>
      </c>
      <c r="B1740" t="s">
        <v>197</v>
      </c>
      <c r="C1740" s="76">
        <v>43986</v>
      </c>
      <c r="D1740">
        <v>9130</v>
      </c>
      <c r="E1740">
        <v>5379</v>
      </c>
      <c r="F1740">
        <v>12881</v>
      </c>
      <c r="G1740">
        <v>5901</v>
      </c>
      <c r="H1740">
        <v>60.7</v>
      </c>
      <c r="I1740">
        <v>53.6</v>
      </c>
      <c r="J1740">
        <v>67.900000000000006</v>
      </c>
      <c r="K1740">
        <v>514</v>
      </c>
      <c r="L1740">
        <v>200</v>
      </c>
      <c r="M1740">
        <v>828</v>
      </c>
      <c r="N1740">
        <v>3.4</v>
      </c>
      <c r="O1740">
        <v>1.9</v>
      </c>
      <c r="P1740">
        <v>4.9000000000000004</v>
      </c>
      <c r="Q1740">
        <f t="shared" si="52"/>
        <v>4480713</v>
      </c>
      <c r="R1740">
        <f t="shared" si="53"/>
        <v>11.47138859373497</v>
      </c>
      <c r="U1740">
        <v>1473</v>
      </c>
      <c r="V1740">
        <v>643</v>
      </c>
      <c r="W1740">
        <v>2302</v>
      </c>
      <c r="X1740">
        <v>953</v>
      </c>
      <c r="Y1740">
        <v>60.7</v>
      </c>
      <c r="Z1740">
        <v>47.9</v>
      </c>
      <c r="AA1740">
        <v>73.5</v>
      </c>
    </row>
    <row r="1741" spans="1:27" x14ac:dyDescent="0.25">
      <c r="A1741" t="s">
        <v>241</v>
      </c>
      <c r="B1741" t="s">
        <v>197</v>
      </c>
      <c r="C1741" s="76">
        <v>43987</v>
      </c>
      <c r="D1741">
        <v>9059</v>
      </c>
      <c r="E1741">
        <v>5355</v>
      </c>
      <c r="F1741">
        <v>12764</v>
      </c>
      <c r="G1741">
        <v>6339</v>
      </c>
      <c r="H1741">
        <v>58.8</v>
      </c>
      <c r="I1741">
        <v>51.7</v>
      </c>
      <c r="J1741">
        <v>66</v>
      </c>
      <c r="K1741">
        <v>514</v>
      </c>
      <c r="L1741">
        <v>208</v>
      </c>
      <c r="M1741">
        <v>821</v>
      </c>
      <c r="N1741">
        <v>3.3</v>
      </c>
      <c r="O1741">
        <v>1.9</v>
      </c>
      <c r="P1741">
        <v>4.8</v>
      </c>
      <c r="Q1741">
        <f t="shared" si="52"/>
        <v>4480713</v>
      </c>
      <c r="R1741">
        <f t="shared" si="53"/>
        <v>11.47138859373497</v>
      </c>
      <c r="U1741">
        <v>1510</v>
      </c>
      <c r="V1741">
        <v>692</v>
      </c>
      <c r="W1741">
        <v>2328</v>
      </c>
      <c r="X1741">
        <v>973</v>
      </c>
      <c r="Y1741">
        <v>60.8</v>
      </c>
      <c r="Z1741">
        <v>48.6</v>
      </c>
      <c r="AA1741">
        <v>73</v>
      </c>
    </row>
    <row r="1742" spans="1:27" x14ac:dyDescent="0.25">
      <c r="A1742" t="s">
        <v>241</v>
      </c>
      <c r="B1742" t="s">
        <v>197</v>
      </c>
      <c r="C1742" s="76">
        <v>43988</v>
      </c>
      <c r="D1742">
        <v>8573</v>
      </c>
      <c r="E1742">
        <v>5274</v>
      </c>
      <c r="F1742">
        <v>11872</v>
      </c>
      <c r="G1742">
        <v>6485</v>
      </c>
      <c r="H1742">
        <v>56.9</v>
      </c>
      <c r="I1742">
        <v>50.2</v>
      </c>
      <c r="J1742">
        <v>63.7</v>
      </c>
      <c r="K1742">
        <v>436</v>
      </c>
      <c r="L1742">
        <v>161</v>
      </c>
      <c r="M1742">
        <v>710</v>
      </c>
      <c r="N1742">
        <v>2.9</v>
      </c>
      <c r="O1742">
        <v>1.5</v>
      </c>
      <c r="P1742">
        <v>4.3</v>
      </c>
      <c r="Q1742">
        <f t="shared" si="52"/>
        <v>4480713</v>
      </c>
      <c r="R1742">
        <f t="shared" si="53"/>
        <v>9.7305942156973675</v>
      </c>
      <c r="U1742">
        <v>1411</v>
      </c>
      <c r="V1742">
        <v>674</v>
      </c>
      <c r="W1742">
        <v>2148</v>
      </c>
      <c r="X1742">
        <v>997</v>
      </c>
      <c r="Y1742">
        <v>58.6</v>
      </c>
      <c r="Z1742">
        <v>47.9</v>
      </c>
      <c r="AA1742">
        <v>69.3</v>
      </c>
    </row>
    <row r="1743" spans="1:27" x14ac:dyDescent="0.25">
      <c r="A1743" t="s">
        <v>241</v>
      </c>
      <c r="B1743" t="s">
        <v>197</v>
      </c>
      <c r="C1743" s="76">
        <v>43989</v>
      </c>
      <c r="D1743">
        <v>7605</v>
      </c>
      <c r="E1743">
        <v>4813</v>
      </c>
      <c r="F1743">
        <v>10398</v>
      </c>
      <c r="G1743">
        <v>6777</v>
      </c>
      <c r="H1743">
        <v>52.9</v>
      </c>
      <c r="I1743">
        <v>48.1</v>
      </c>
      <c r="J1743">
        <v>57.7</v>
      </c>
      <c r="K1743">
        <v>302</v>
      </c>
      <c r="L1743">
        <v>160</v>
      </c>
      <c r="M1743">
        <v>444</v>
      </c>
      <c r="N1743">
        <v>2.1</v>
      </c>
      <c r="O1743">
        <v>1.4</v>
      </c>
      <c r="P1743">
        <v>2.8</v>
      </c>
      <c r="Q1743">
        <f t="shared" si="52"/>
        <v>4480713</v>
      </c>
      <c r="R1743">
        <f t="shared" si="53"/>
        <v>6.7399987457353321</v>
      </c>
      <c r="U1743">
        <v>1138</v>
      </c>
      <c r="V1743">
        <v>643</v>
      </c>
      <c r="W1743">
        <v>1632</v>
      </c>
      <c r="X1743">
        <v>1039</v>
      </c>
      <c r="Y1743">
        <v>52.3</v>
      </c>
      <c r="Z1743">
        <v>43.5</v>
      </c>
      <c r="AA1743">
        <v>61</v>
      </c>
    </row>
    <row r="1744" spans="1:27" x14ac:dyDescent="0.25">
      <c r="A1744" t="s">
        <v>241</v>
      </c>
      <c r="B1744" t="s">
        <v>197</v>
      </c>
      <c r="C1744" s="76">
        <v>43990</v>
      </c>
      <c r="D1744">
        <v>7888</v>
      </c>
      <c r="E1744">
        <v>4895</v>
      </c>
      <c r="F1744">
        <v>10881</v>
      </c>
      <c r="G1744">
        <v>5956</v>
      </c>
      <c r="H1744">
        <v>57</v>
      </c>
      <c r="I1744">
        <v>52.4</v>
      </c>
      <c r="J1744">
        <v>61.6</v>
      </c>
      <c r="K1744">
        <v>360</v>
      </c>
      <c r="L1744">
        <v>191</v>
      </c>
      <c r="M1744">
        <v>530</v>
      </c>
      <c r="N1744">
        <v>2.6</v>
      </c>
      <c r="O1744">
        <v>1.9</v>
      </c>
      <c r="P1744">
        <v>3.3</v>
      </c>
      <c r="Q1744">
        <f t="shared" si="52"/>
        <v>4480713</v>
      </c>
      <c r="R1744">
        <f t="shared" si="53"/>
        <v>8.0344355909427811</v>
      </c>
      <c r="U1744">
        <v>1212</v>
      </c>
      <c r="V1744">
        <v>648</v>
      </c>
      <c r="W1744">
        <v>1775</v>
      </c>
      <c r="X1744">
        <v>802</v>
      </c>
      <c r="Y1744">
        <v>60.1</v>
      </c>
      <c r="Z1744">
        <v>53.4</v>
      </c>
      <c r="AA1744">
        <v>66.900000000000006</v>
      </c>
    </row>
    <row r="1745" spans="1:27" x14ac:dyDescent="0.25">
      <c r="A1745" t="s">
        <v>241</v>
      </c>
      <c r="B1745" t="s">
        <v>197</v>
      </c>
      <c r="C1745" s="76">
        <v>43991</v>
      </c>
      <c r="D1745">
        <v>8619</v>
      </c>
      <c r="E1745">
        <v>5362</v>
      </c>
      <c r="F1745">
        <v>11875</v>
      </c>
      <c r="G1745">
        <v>5152</v>
      </c>
      <c r="H1745">
        <v>62.6</v>
      </c>
      <c r="I1745">
        <v>58.5</v>
      </c>
      <c r="J1745">
        <v>66.7</v>
      </c>
      <c r="K1745">
        <v>399</v>
      </c>
      <c r="L1745">
        <v>223</v>
      </c>
      <c r="M1745">
        <v>575</v>
      </c>
      <c r="N1745">
        <v>2.9</v>
      </c>
      <c r="O1745">
        <v>2.2000000000000002</v>
      </c>
      <c r="P1745">
        <v>3.6</v>
      </c>
      <c r="Q1745">
        <f t="shared" si="52"/>
        <v>4480713</v>
      </c>
      <c r="R1745">
        <f t="shared" si="53"/>
        <v>8.9048327799615823</v>
      </c>
      <c r="U1745">
        <v>1293</v>
      </c>
      <c r="V1745">
        <v>711</v>
      </c>
      <c r="W1745">
        <v>1874</v>
      </c>
      <c r="X1745">
        <v>710</v>
      </c>
      <c r="Y1745">
        <v>64.5</v>
      </c>
      <c r="Z1745">
        <v>58.2</v>
      </c>
      <c r="AA1745">
        <v>70.900000000000006</v>
      </c>
    </row>
    <row r="1746" spans="1:27" x14ac:dyDescent="0.25">
      <c r="A1746" t="s">
        <v>241</v>
      </c>
      <c r="B1746" t="s">
        <v>197</v>
      </c>
      <c r="C1746" s="76">
        <v>43992</v>
      </c>
      <c r="D1746">
        <v>9355</v>
      </c>
      <c r="E1746">
        <v>5272</v>
      </c>
      <c r="F1746">
        <v>13439</v>
      </c>
      <c r="G1746">
        <v>5370</v>
      </c>
      <c r="H1746">
        <v>63.5</v>
      </c>
      <c r="I1746">
        <v>59.6</v>
      </c>
      <c r="J1746">
        <v>67.5</v>
      </c>
      <c r="K1746">
        <v>354</v>
      </c>
      <c r="L1746">
        <v>174</v>
      </c>
      <c r="M1746">
        <v>534</v>
      </c>
      <c r="N1746">
        <v>2.4</v>
      </c>
      <c r="O1746">
        <v>1.8</v>
      </c>
      <c r="P1746">
        <v>3</v>
      </c>
      <c r="Q1746">
        <f t="shared" si="52"/>
        <v>4480713</v>
      </c>
      <c r="R1746">
        <f t="shared" si="53"/>
        <v>7.9005283310937342</v>
      </c>
      <c r="U1746">
        <v>1393</v>
      </c>
      <c r="V1746">
        <v>496</v>
      </c>
      <c r="W1746">
        <v>2290</v>
      </c>
      <c r="X1746">
        <v>850</v>
      </c>
      <c r="Y1746">
        <v>62.1</v>
      </c>
      <c r="Z1746">
        <v>55.2</v>
      </c>
      <c r="AA1746">
        <v>69</v>
      </c>
    </row>
    <row r="1747" spans="1:27" x14ac:dyDescent="0.25">
      <c r="A1747" t="s">
        <v>241</v>
      </c>
      <c r="B1747" t="s">
        <v>197</v>
      </c>
      <c r="C1747" s="76">
        <v>43993</v>
      </c>
      <c r="D1747">
        <v>8643</v>
      </c>
      <c r="E1747">
        <v>5492</v>
      </c>
      <c r="F1747">
        <v>11793</v>
      </c>
      <c r="G1747">
        <v>5237</v>
      </c>
      <c r="H1747">
        <v>62.3</v>
      </c>
      <c r="I1747">
        <v>57.1</v>
      </c>
      <c r="J1747">
        <v>67.400000000000006</v>
      </c>
      <c r="K1747">
        <v>488</v>
      </c>
      <c r="L1747">
        <v>217</v>
      </c>
      <c r="M1747">
        <v>760</v>
      </c>
      <c r="N1747">
        <v>3.5</v>
      </c>
      <c r="O1747">
        <v>2.1</v>
      </c>
      <c r="P1747">
        <v>5</v>
      </c>
      <c r="Q1747">
        <f t="shared" si="52"/>
        <v>4480713</v>
      </c>
      <c r="R1747">
        <f t="shared" si="53"/>
        <v>10.89112380105577</v>
      </c>
      <c r="U1747">
        <v>1275</v>
      </c>
      <c r="V1747">
        <v>715</v>
      </c>
      <c r="W1747">
        <v>1835</v>
      </c>
      <c r="X1747">
        <v>719</v>
      </c>
      <c r="Y1747">
        <v>63.9</v>
      </c>
      <c r="Z1747">
        <v>57.2</v>
      </c>
      <c r="AA1747">
        <v>70.599999999999994</v>
      </c>
    </row>
    <row r="1748" spans="1:27" x14ac:dyDescent="0.25">
      <c r="A1748" t="s">
        <v>241</v>
      </c>
      <c r="B1748" t="s">
        <v>197</v>
      </c>
      <c r="C1748" s="76">
        <v>43994</v>
      </c>
      <c r="D1748">
        <v>8581</v>
      </c>
      <c r="E1748">
        <v>5401</v>
      </c>
      <c r="F1748">
        <v>11762</v>
      </c>
      <c r="G1748">
        <v>5394</v>
      </c>
      <c r="H1748">
        <v>61.4</v>
      </c>
      <c r="I1748">
        <v>56.6</v>
      </c>
      <c r="J1748">
        <v>66.3</v>
      </c>
      <c r="K1748">
        <v>465</v>
      </c>
      <c r="L1748">
        <v>234</v>
      </c>
      <c r="M1748">
        <v>697</v>
      </c>
      <c r="N1748">
        <v>3.3</v>
      </c>
      <c r="O1748">
        <v>2.1</v>
      </c>
      <c r="P1748">
        <v>4.5</v>
      </c>
      <c r="Q1748">
        <f t="shared" si="52"/>
        <v>4480713</v>
      </c>
      <c r="R1748">
        <f t="shared" si="53"/>
        <v>10.377812638301092</v>
      </c>
      <c r="U1748">
        <v>1308</v>
      </c>
      <c r="V1748">
        <v>675</v>
      </c>
      <c r="W1748">
        <v>1941</v>
      </c>
      <c r="X1748">
        <v>673</v>
      </c>
      <c r="Y1748">
        <v>66</v>
      </c>
      <c r="Z1748">
        <v>59.3</v>
      </c>
      <c r="AA1748">
        <v>72.7</v>
      </c>
    </row>
    <row r="1749" spans="1:27" x14ac:dyDescent="0.25">
      <c r="A1749" t="s">
        <v>241</v>
      </c>
      <c r="B1749" t="s">
        <v>197</v>
      </c>
      <c r="C1749" s="76">
        <v>43995</v>
      </c>
      <c r="D1749">
        <v>8540</v>
      </c>
      <c r="E1749">
        <v>5117</v>
      </c>
      <c r="F1749">
        <v>11963</v>
      </c>
      <c r="G1749">
        <v>5741</v>
      </c>
      <c r="H1749">
        <v>59.8</v>
      </c>
      <c r="I1749">
        <v>53.1</v>
      </c>
      <c r="J1749">
        <v>66.5</v>
      </c>
      <c r="K1749">
        <v>359</v>
      </c>
      <c r="L1749">
        <v>193</v>
      </c>
      <c r="M1749">
        <v>525</v>
      </c>
      <c r="N1749">
        <v>2.5</v>
      </c>
      <c r="O1749">
        <v>1.9</v>
      </c>
      <c r="P1749">
        <v>3.1</v>
      </c>
      <c r="Q1749">
        <f t="shared" si="52"/>
        <v>4480713</v>
      </c>
      <c r="R1749">
        <f t="shared" si="53"/>
        <v>8.0121177143012723</v>
      </c>
      <c r="U1749">
        <v>1484</v>
      </c>
      <c r="V1749">
        <v>664</v>
      </c>
      <c r="W1749">
        <v>2304</v>
      </c>
      <c r="X1749">
        <v>725</v>
      </c>
      <c r="Y1749">
        <v>67.2</v>
      </c>
      <c r="Z1749">
        <v>58</v>
      </c>
      <c r="AA1749">
        <v>76.3</v>
      </c>
    </row>
    <row r="1750" spans="1:27" x14ac:dyDescent="0.25">
      <c r="A1750" t="s">
        <v>241</v>
      </c>
      <c r="B1750" t="s">
        <v>197</v>
      </c>
      <c r="C1750" s="76">
        <v>43996</v>
      </c>
      <c r="D1750">
        <v>8162</v>
      </c>
      <c r="E1750">
        <v>4916</v>
      </c>
      <c r="F1750">
        <v>11407</v>
      </c>
      <c r="G1750">
        <v>6059</v>
      </c>
      <c r="H1750">
        <v>57.4</v>
      </c>
      <c r="I1750">
        <v>51.4</v>
      </c>
      <c r="J1750">
        <v>63.4</v>
      </c>
      <c r="K1750">
        <v>374</v>
      </c>
      <c r="L1750">
        <v>199</v>
      </c>
      <c r="M1750">
        <v>549</v>
      </c>
      <c r="N1750">
        <v>2.6</v>
      </c>
      <c r="O1750">
        <v>2</v>
      </c>
      <c r="P1750">
        <v>3.3</v>
      </c>
      <c r="Q1750">
        <f t="shared" si="52"/>
        <v>4480713</v>
      </c>
      <c r="R1750">
        <f t="shared" si="53"/>
        <v>8.3468858639238892</v>
      </c>
      <c r="U1750">
        <v>1424</v>
      </c>
      <c r="V1750">
        <v>613</v>
      </c>
      <c r="W1750">
        <v>2235</v>
      </c>
      <c r="X1750">
        <v>762</v>
      </c>
      <c r="Y1750">
        <v>65.099999999999994</v>
      </c>
      <c r="Z1750">
        <v>54.4</v>
      </c>
      <c r="AA1750">
        <v>75.900000000000006</v>
      </c>
    </row>
    <row r="1751" spans="1:27" x14ac:dyDescent="0.25">
      <c r="A1751" t="s">
        <v>241</v>
      </c>
      <c r="B1751" t="s">
        <v>197</v>
      </c>
      <c r="C1751" s="76">
        <v>43997</v>
      </c>
      <c r="D1751">
        <v>8087</v>
      </c>
      <c r="E1751">
        <v>4925</v>
      </c>
      <c r="F1751">
        <v>11250</v>
      </c>
      <c r="G1751">
        <v>5909</v>
      </c>
      <c r="H1751">
        <v>57.8</v>
      </c>
      <c r="I1751">
        <v>52.4</v>
      </c>
      <c r="J1751">
        <v>63.2</v>
      </c>
      <c r="K1751">
        <v>437</v>
      </c>
      <c r="L1751">
        <v>236</v>
      </c>
      <c r="M1751">
        <v>638</v>
      </c>
      <c r="N1751">
        <v>3.1</v>
      </c>
      <c r="O1751">
        <v>2.2999999999999998</v>
      </c>
      <c r="P1751">
        <v>3.9</v>
      </c>
      <c r="Q1751">
        <f t="shared" si="52"/>
        <v>4480713</v>
      </c>
      <c r="R1751">
        <f t="shared" si="53"/>
        <v>9.7529120923388763</v>
      </c>
      <c r="U1751">
        <v>1444</v>
      </c>
      <c r="V1751">
        <v>631</v>
      </c>
      <c r="W1751">
        <v>2256</v>
      </c>
      <c r="X1751">
        <v>717</v>
      </c>
      <c r="Y1751">
        <v>66.8</v>
      </c>
      <c r="Z1751">
        <v>56.7</v>
      </c>
      <c r="AA1751">
        <v>77</v>
      </c>
    </row>
    <row r="1752" spans="1:27" x14ac:dyDescent="0.25">
      <c r="A1752" t="s">
        <v>241</v>
      </c>
      <c r="B1752" t="s">
        <v>197</v>
      </c>
      <c r="C1752" s="76">
        <v>43998</v>
      </c>
      <c r="D1752">
        <v>8784</v>
      </c>
      <c r="E1752">
        <v>5282</v>
      </c>
      <c r="F1752">
        <v>12286</v>
      </c>
      <c r="G1752">
        <v>5477</v>
      </c>
      <c r="H1752">
        <v>61.6</v>
      </c>
      <c r="I1752">
        <v>56.9</v>
      </c>
      <c r="J1752">
        <v>66.3</v>
      </c>
      <c r="K1752">
        <v>371</v>
      </c>
      <c r="L1752">
        <v>202</v>
      </c>
      <c r="M1752">
        <v>540</v>
      </c>
      <c r="N1752">
        <v>2.6</v>
      </c>
      <c r="O1752">
        <v>2</v>
      </c>
      <c r="P1752">
        <v>3.2</v>
      </c>
      <c r="Q1752">
        <f t="shared" si="52"/>
        <v>4480713</v>
      </c>
      <c r="R1752">
        <f t="shared" si="53"/>
        <v>8.2799322339993662</v>
      </c>
      <c r="U1752">
        <v>1458</v>
      </c>
      <c r="V1752">
        <v>586</v>
      </c>
      <c r="W1752">
        <v>2331</v>
      </c>
      <c r="X1752">
        <v>763</v>
      </c>
      <c r="Y1752">
        <v>65.599999999999994</v>
      </c>
      <c r="Z1752">
        <v>56.5</v>
      </c>
      <c r="AA1752">
        <v>74.8</v>
      </c>
    </row>
    <row r="1753" spans="1:27" x14ac:dyDescent="0.25">
      <c r="A1753" t="s">
        <v>241</v>
      </c>
      <c r="B1753" t="s">
        <v>197</v>
      </c>
      <c r="C1753" s="76">
        <v>43999</v>
      </c>
      <c r="D1753">
        <v>8891</v>
      </c>
      <c r="E1753">
        <v>3727</v>
      </c>
      <c r="F1753">
        <v>14054</v>
      </c>
      <c r="G1753">
        <v>4824</v>
      </c>
      <c r="H1753">
        <v>64.8</v>
      </c>
      <c r="I1753">
        <v>58.8</v>
      </c>
      <c r="J1753">
        <v>70.8</v>
      </c>
      <c r="K1753">
        <v>389</v>
      </c>
      <c r="L1753">
        <v>129</v>
      </c>
      <c r="M1753">
        <v>649</v>
      </c>
      <c r="N1753">
        <v>2.8</v>
      </c>
      <c r="O1753">
        <v>2</v>
      </c>
      <c r="P1753">
        <v>3.6</v>
      </c>
      <c r="Q1753">
        <f t="shared" si="52"/>
        <v>4480713</v>
      </c>
      <c r="R1753">
        <f t="shared" si="53"/>
        <v>8.6816540135465043</v>
      </c>
      <c r="U1753">
        <v>1457</v>
      </c>
      <c r="V1753">
        <v>146</v>
      </c>
      <c r="W1753">
        <v>2768</v>
      </c>
      <c r="X1753">
        <v>653</v>
      </c>
      <c r="Y1753">
        <v>69</v>
      </c>
      <c r="Z1753">
        <v>55.3</v>
      </c>
      <c r="AA1753">
        <v>82.8</v>
      </c>
    </row>
    <row r="1754" spans="1:27" x14ac:dyDescent="0.25">
      <c r="A1754" t="s">
        <v>241</v>
      </c>
      <c r="B1754" t="s">
        <v>197</v>
      </c>
      <c r="C1754" s="76">
        <v>44000</v>
      </c>
      <c r="D1754">
        <v>9163</v>
      </c>
      <c r="E1754">
        <v>5485</v>
      </c>
      <c r="F1754">
        <v>12841</v>
      </c>
      <c r="G1754">
        <v>5180</v>
      </c>
      <c r="H1754">
        <v>63.9</v>
      </c>
      <c r="I1754">
        <v>57</v>
      </c>
      <c r="J1754">
        <v>70.8</v>
      </c>
      <c r="K1754">
        <v>576</v>
      </c>
      <c r="L1754">
        <v>271</v>
      </c>
      <c r="M1754">
        <v>881</v>
      </c>
      <c r="N1754">
        <v>4</v>
      </c>
      <c r="O1754">
        <v>2.5</v>
      </c>
      <c r="P1754">
        <v>5.6</v>
      </c>
      <c r="Q1754">
        <f t="shared" si="52"/>
        <v>4480713</v>
      </c>
      <c r="R1754">
        <f t="shared" si="53"/>
        <v>12.85509694550845</v>
      </c>
      <c r="U1754">
        <v>1525</v>
      </c>
      <c r="V1754">
        <v>686</v>
      </c>
      <c r="W1754">
        <v>2364</v>
      </c>
      <c r="X1754">
        <v>652</v>
      </c>
      <c r="Y1754">
        <v>70</v>
      </c>
      <c r="Z1754">
        <v>61.4</v>
      </c>
      <c r="AA1754">
        <v>78.7</v>
      </c>
    </row>
    <row r="1755" spans="1:27" x14ac:dyDescent="0.25">
      <c r="A1755" t="s">
        <v>241</v>
      </c>
      <c r="B1755" t="s">
        <v>197</v>
      </c>
      <c r="C1755" s="76">
        <v>44001</v>
      </c>
      <c r="D1755">
        <v>8907</v>
      </c>
      <c r="E1755">
        <v>5421</v>
      </c>
      <c r="F1755">
        <v>12393</v>
      </c>
      <c r="G1755">
        <v>5162</v>
      </c>
      <c r="H1755">
        <v>63.3</v>
      </c>
      <c r="I1755">
        <v>56.5</v>
      </c>
      <c r="J1755">
        <v>70.099999999999994</v>
      </c>
      <c r="K1755">
        <v>567</v>
      </c>
      <c r="L1755">
        <v>257</v>
      </c>
      <c r="M1755">
        <v>876</v>
      </c>
      <c r="N1755">
        <v>4</v>
      </c>
      <c r="O1755">
        <v>2.5</v>
      </c>
      <c r="P1755">
        <v>5.6</v>
      </c>
      <c r="Q1755">
        <f t="shared" si="52"/>
        <v>4480713</v>
      </c>
      <c r="R1755">
        <f t="shared" si="53"/>
        <v>12.654236055734879</v>
      </c>
      <c r="U1755">
        <v>1447</v>
      </c>
      <c r="V1755">
        <v>662</v>
      </c>
      <c r="W1755">
        <v>2232</v>
      </c>
      <c r="X1755">
        <v>670</v>
      </c>
      <c r="Y1755">
        <v>68.400000000000006</v>
      </c>
      <c r="Z1755">
        <v>59.6</v>
      </c>
      <c r="AA1755">
        <v>77.099999999999994</v>
      </c>
    </row>
    <row r="1756" spans="1:27" x14ac:dyDescent="0.25">
      <c r="A1756" t="s">
        <v>241</v>
      </c>
      <c r="B1756" t="s">
        <v>197</v>
      </c>
      <c r="C1756" s="76">
        <v>44002</v>
      </c>
      <c r="D1756">
        <v>8616</v>
      </c>
      <c r="E1756">
        <v>4307</v>
      </c>
      <c r="F1756">
        <v>12926</v>
      </c>
      <c r="G1756">
        <v>5915</v>
      </c>
      <c r="H1756">
        <v>59.3</v>
      </c>
      <c r="I1756">
        <v>52.6</v>
      </c>
      <c r="J1756">
        <v>66</v>
      </c>
      <c r="K1756">
        <v>466</v>
      </c>
      <c r="L1756">
        <v>99</v>
      </c>
      <c r="M1756">
        <v>834</v>
      </c>
      <c r="N1756">
        <v>3.2</v>
      </c>
      <c r="O1756">
        <v>1.5</v>
      </c>
      <c r="P1756">
        <v>4.9000000000000004</v>
      </c>
      <c r="Q1756">
        <f t="shared" si="52"/>
        <v>4480713</v>
      </c>
      <c r="R1756">
        <f t="shared" si="53"/>
        <v>10.4001305149426</v>
      </c>
      <c r="U1756">
        <v>1352</v>
      </c>
      <c r="V1756">
        <v>312</v>
      </c>
      <c r="W1756">
        <v>2393</v>
      </c>
      <c r="X1756">
        <v>716</v>
      </c>
      <c r="Y1756">
        <v>65.400000000000006</v>
      </c>
      <c r="Z1756">
        <v>52.8</v>
      </c>
      <c r="AA1756">
        <v>77.900000000000006</v>
      </c>
    </row>
    <row r="1757" spans="1:27" x14ac:dyDescent="0.25">
      <c r="A1757" t="s">
        <v>241</v>
      </c>
      <c r="B1757" t="s">
        <v>197</v>
      </c>
      <c r="C1757" s="76">
        <v>44003</v>
      </c>
      <c r="D1757">
        <v>7702</v>
      </c>
      <c r="E1757">
        <v>4624</v>
      </c>
      <c r="F1757">
        <v>10780</v>
      </c>
      <c r="G1757">
        <v>6454</v>
      </c>
      <c r="H1757">
        <v>54.4</v>
      </c>
      <c r="I1757">
        <v>47.8</v>
      </c>
      <c r="J1757">
        <v>61</v>
      </c>
      <c r="K1757">
        <v>333</v>
      </c>
      <c r="L1757">
        <v>179</v>
      </c>
      <c r="M1757">
        <v>487</v>
      </c>
      <c r="N1757">
        <v>2.4</v>
      </c>
      <c r="O1757">
        <v>1.7</v>
      </c>
      <c r="P1757">
        <v>3</v>
      </c>
      <c r="Q1757">
        <f t="shared" si="52"/>
        <v>4480713</v>
      </c>
      <c r="R1757">
        <f t="shared" si="53"/>
        <v>7.4318529216220721</v>
      </c>
      <c r="U1757">
        <v>1223</v>
      </c>
      <c r="V1757">
        <v>559</v>
      </c>
      <c r="W1757">
        <v>1886</v>
      </c>
      <c r="X1757">
        <v>811</v>
      </c>
      <c r="Y1757">
        <v>60.1</v>
      </c>
      <c r="Z1757">
        <v>52</v>
      </c>
      <c r="AA1757">
        <v>68.2</v>
      </c>
    </row>
    <row r="1758" spans="1:27" x14ac:dyDescent="0.25">
      <c r="A1758" t="s">
        <v>241</v>
      </c>
      <c r="B1758" t="s">
        <v>197</v>
      </c>
      <c r="C1758" s="76">
        <v>44004</v>
      </c>
      <c r="D1758">
        <v>8184</v>
      </c>
      <c r="E1758">
        <v>4597</v>
      </c>
      <c r="F1758">
        <v>11771</v>
      </c>
      <c r="G1758">
        <v>5830</v>
      </c>
      <c r="H1758">
        <v>58.4</v>
      </c>
      <c r="I1758">
        <v>52.7</v>
      </c>
      <c r="J1758">
        <v>64</v>
      </c>
      <c r="K1758">
        <v>433</v>
      </c>
      <c r="L1758">
        <v>198</v>
      </c>
      <c r="M1758">
        <v>668</v>
      </c>
      <c r="N1758">
        <v>3.1</v>
      </c>
      <c r="O1758">
        <v>2.1</v>
      </c>
      <c r="P1758">
        <v>4.0999999999999996</v>
      </c>
      <c r="Q1758">
        <f t="shared" si="52"/>
        <v>4480713</v>
      </c>
      <c r="R1758">
        <f t="shared" si="53"/>
        <v>9.6636405857728445</v>
      </c>
      <c r="U1758">
        <v>1237</v>
      </c>
      <c r="V1758">
        <v>517</v>
      </c>
      <c r="W1758">
        <v>1956</v>
      </c>
      <c r="X1758">
        <v>743</v>
      </c>
      <c r="Y1758">
        <v>62.5</v>
      </c>
      <c r="Z1758">
        <v>53.9</v>
      </c>
      <c r="AA1758">
        <v>71</v>
      </c>
    </row>
    <row r="1759" spans="1:27" x14ac:dyDescent="0.25">
      <c r="A1759" t="s">
        <v>241</v>
      </c>
      <c r="B1759" t="s">
        <v>197</v>
      </c>
      <c r="C1759" s="76">
        <v>44005</v>
      </c>
      <c r="D1759">
        <v>5031</v>
      </c>
      <c r="E1759">
        <v>2807</v>
      </c>
      <c r="F1759">
        <v>7255</v>
      </c>
      <c r="G1759">
        <v>3768</v>
      </c>
      <c r="H1759">
        <v>57.2</v>
      </c>
      <c r="I1759">
        <v>49.8</v>
      </c>
      <c r="J1759">
        <v>64.5</v>
      </c>
      <c r="K1759">
        <v>223</v>
      </c>
      <c r="L1759">
        <v>84</v>
      </c>
      <c r="M1759">
        <v>362</v>
      </c>
      <c r="N1759">
        <v>2.5</v>
      </c>
      <c r="O1759">
        <v>1.4</v>
      </c>
      <c r="P1759">
        <v>3.6</v>
      </c>
      <c r="Q1759">
        <f t="shared" si="52"/>
        <v>4480713</v>
      </c>
      <c r="R1759">
        <f t="shared" si="53"/>
        <v>4.9768864910562227</v>
      </c>
      <c r="U1759">
        <v>565</v>
      </c>
      <c r="V1759">
        <v>277</v>
      </c>
      <c r="W1759">
        <v>853</v>
      </c>
      <c r="X1759">
        <v>372</v>
      </c>
      <c r="Y1759">
        <v>60.1</v>
      </c>
      <c r="Z1759">
        <v>50.2</v>
      </c>
      <c r="AA1759">
        <v>70.099999999999994</v>
      </c>
    </row>
    <row r="1760" spans="1:27" x14ac:dyDescent="0.25">
      <c r="A1760" t="s">
        <v>241</v>
      </c>
      <c r="B1760" t="s">
        <v>197</v>
      </c>
      <c r="C1760" s="76">
        <v>44006</v>
      </c>
      <c r="D1760">
        <v>5268</v>
      </c>
      <c r="E1760">
        <v>2331</v>
      </c>
      <c r="F1760">
        <v>8204</v>
      </c>
      <c r="G1760">
        <v>3449</v>
      </c>
      <c r="H1760">
        <v>60.4</v>
      </c>
      <c r="I1760">
        <v>52.9</v>
      </c>
      <c r="J1760">
        <v>68</v>
      </c>
      <c r="K1760">
        <v>308</v>
      </c>
      <c r="L1760">
        <v>62</v>
      </c>
      <c r="M1760">
        <v>555</v>
      </c>
      <c r="N1760">
        <v>3.5</v>
      </c>
      <c r="O1760">
        <v>1.6</v>
      </c>
      <c r="P1760">
        <v>5.5</v>
      </c>
      <c r="Q1760">
        <f t="shared" si="52"/>
        <v>4480713</v>
      </c>
      <c r="R1760">
        <f t="shared" si="53"/>
        <v>6.8739060055843799</v>
      </c>
      <c r="U1760">
        <v>462</v>
      </c>
      <c r="V1760">
        <v>151</v>
      </c>
      <c r="W1760">
        <v>774</v>
      </c>
      <c r="X1760">
        <v>346</v>
      </c>
      <c r="Y1760">
        <v>57.2</v>
      </c>
      <c r="Z1760">
        <v>43.9</v>
      </c>
      <c r="AA1760">
        <v>70.400000000000006</v>
      </c>
    </row>
    <row r="1761" spans="1:27" x14ac:dyDescent="0.25">
      <c r="A1761" t="s">
        <v>241</v>
      </c>
      <c r="B1761" t="s">
        <v>197</v>
      </c>
      <c r="C1761" s="76">
        <v>44007</v>
      </c>
      <c r="D1761">
        <v>9661</v>
      </c>
      <c r="E1761">
        <v>5233</v>
      </c>
      <c r="F1761">
        <v>14088</v>
      </c>
      <c r="G1761">
        <v>4617</v>
      </c>
      <c r="H1761">
        <v>67.7</v>
      </c>
      <c r="I1761">
        <v>59.6</v>
      </c>
      <c r="J1761">
        <v>75.7</v>
      </c>
      <c r="K1761">
        <v>758</v>
      </c>
      <c r="L1761">
        <v>324</v>
      </c>
      <c r="M1761">
        <v>1191</v>
      </c>
      <c r="N1761">
        <v>5.3</v>
      </c>
      <c r="O1761">
        <v>3.4</v>
      </c>
      <c r="P1761">
        <v>7.3</v>
      </c>
      <c r="Q1761">
        <f t="shared" si="52"/>
        <v>4480713</v>
      </c>
      <c r="R1761">
        <f t="shared" si="53"/>
        <v>16.916950494262856</v>
      </c>
      <c r="U1761">
        <v>1380</v>
      </c>
      <c r="V1761">
        <v>587</v>
      </c>
      <c r="W1761">
        <v>2173</v>
      </c>
      <c r="X1761">
        <v>633</v>
      </c>
      <c r="Y1761">
        <v>68.599999999999994</v>
      </c>
      <c r="Z1761">
        <v>59.9</v>
      </c>
      <c r="AA1761">
        <v>77.2</v>
      </c>
    </row>
    <row r="1762" spans="1:27" x14ac:dyDescent="0.25">
      <c r="A1762" t="s">
        <v>241</v>
      </c>
      <c r="B1762" t="s">
        <v>197</v>
      </c>
      <c r="C1762" s="76">
        <v>44008</v>
      </c>
      <c r="D1762">
        <v>11002</v>
      </c>
      <c r="E1762">
        <v>3415</v>
      </c>
      <c r="F1762">
        <v>18590</v>
      </c>
      <c r="G1762">
        <v>4153</v>
      </c>
      <c r="H1762">
        <v>72.599999999999994</v>
      </c>
      <c r="I1762">
        <v>59.2</v>
      </c>
      <c r="J1762">
        <v>86</v>
      </c>
      <c r="K1762">
        <v>943</v>
      </c>
      <c r="L1762">
        <v>193</v>
      </c>
      <c r="M1762">
        <v>1693</v>
      </c>
      <c r="N1762">
        <v>6.2</v>
      </c>
      <c r="O1762">
        <v>3.6</v>
      </c>
      <c r="P1762">
        <v>8.8000000000000007</v>
      </c>
      <c r="Q1762">
        <f t="shared" si="52"/>
        <v>4480713</v>
      </c>
      <c r="R1762">
        <f t="shared" si="53"/>
        <v>21.045757672941786</v>
      </c>
      <c r="U1762">
        <v>1777</v>
      </c>
      <c r="V1762">
        <v>0</v>
      </c>
      <c r="W1762">
        <v>3554</v>
      </c>
      <c r="X1762">
        <v>560</v>
      </c>
      <c r="Y1762">
        <v>76.099999999999994</v>
      </c>
      <c r="Z1762">
        <v>60.4</v>
      </c>
      <c r="AA1762">
        <v>91.8</v>
      </c>
    </row>
    <row r="1763" spans="1:27" x14ac:dyDescent="0.25">
      <c r="A1763" t="s">
        <v>241</v>
      </c>
      <c r="B1763" t="s">
        <v>197</v>
      </c>
      <c r="C1763" s="76">
        <v>44009</v>
      </c>
      <c r="D1763">
        <v>10396</v>
      </c>
      <c r="E1763">
        <v>1210</v>
      </c>
      <c r="F1763">
        <v>19582</v>
      </c>
      <c r="G1763">
        <v>5228</v>
      </c>
      <c r="H1763">
        <v>66.5</v>
      </c>
      <c r="I1763">
        <v>48.8</v>
      </c>
      <c r="J1763">
        <v>84.3</v>
      </c>
      <c r="K1763">
        <v>818</v>
      </c>
      <c r="L1763">
        <v>0</v>
      </c>
      <c r="M1763">
        <v>1855</v>
      </c>
      <c r="N1763">
        <v>5.2</v>
      </c>
      <c r="O1763">
        <v>1.5</v>
      </c>
      <c r="P1763">
        <v>9</v>
      </c>
      <c r="Q1763">
        <f t="shared" si="52"/>
        <v>4480713</v>
      </c>
      <c r="R1763">
        <f t="shared" si="53"/>
        <v>18.256023092753317</v>
      </c>
      <c r="U1763">
        <v>1946</v>
      </c>
      <c r="V1763">
        <v>0</v>
      </c>
      <c r="W1763">
        <v>4475</v>
      </c>
      <c r="X1763">
        <v>700</v>
      </c>
      <c r="Y1763">
        <v>73.599999999999994</v>
      </c>
      <c r="Z1763">
        <v>51.8</v>
      </c>
      <c r="AA1763">
        <v>95.3</v>
      </c>
    </row>
    <row r="1764" spans="1:27" x14ac:dyDescent="0.25">
      <c r="A1764" t="s">
        <v>241</v>
      </c>
      <c r="B1764" t="s">
        <v>197</v>
      </c>
      <c r="C1764" s="76">
        <v>44010</v>
      </c>
      <c r="D1764">
        <v>9794</v>
      </c>
      <c r="E1764">
        <v>1138</v>
      </c>
      <c r="F1764">
        <v>18449</v>
      </c>
      <c r="G1764">
        <v>5681</v>
      </c>
      <c r="H1764">
        <v>63.3</v>
      </c>
      <c r="I1764">
        <v>47</v>
      </c>
      <c r="J1764">
        <v>79.599999999999994</v>
      </c>
      <c r="K1764">
        <v>777</v>
      </c>
      <c r="L1764">
        <v>0</v>
      </c>
      <c r="M1764">
        <v>1691</v>
      </c>
      <c r="N1764">
        <v>5</v>
      </c>
      <c r="O1764">
        <v>2.2000000000000002</v>
      </c>
      <c r="P1764">
        <v>7.8</v>
      </c>
      <c r="Q1764">
        <f t="shared" si="52"/>
        <v>4480713</v>
      </c>
      <c r="R1764">
        <f t="shared" si="53"/>
        <v>17.340990150451503</v>
      </c>
      <c r="U1764">
        <v>1931</v>
      </c>
      <c r="V1764">
        <v>0</v>
      </c>
      <c r="W1764">
        <v>4418</v>
      </c>
      <c r="X1764">
        <v>670</v>
      </c>
      <c r="Y1764">
        <v>74.2</v>
      </c>
      <c r="Z1764">
        <v>54</v>
      </c>
      <c r="AA1764">
        <v>94.5</v>
      </c>
    </row>
    <row r="1765" spans="1:27" x14ac:dyDescent="0.25">
      <c r="A1765" t="s">
        <v>241</v>
      </c>
      <c r="B1765" t="s">
        <v>197</v>
      </c>
      <c r="C1765" s="76">
        <v>44011</v>
      </c>
      <c r="D1765">
        <v>8804</v>
      </c>
      <c r="E1765">
        <v>4866</v>
      </c>
      <c r="F1765">
        <v>12742</v>
      </c>
      <c r="G1765">
        <v>5264</v>
      </c>
      <c r="H1765">
        <v>62.6</v>
      </c>
      <c r="I1765">
        <v>54.6</v>
      </c>
      <c r="J1765">
        <v>70.599999999999994</v>
      </c>
      <c r="K1765">
        <v>820</v>
      </c>
      <c r="L1765">
        <v>317</v>
      </c>
      <c r="M1765">
        <v>1323</v>
      </c>
      <c r="N1765">
        <v>5.8</v>
      </c>
      <c r="O1765">
        <v>3.5</v>
      </c>
      <c r="P1765">
        <v>8.1999999999999993</v>
      </c>
      <c r="Q1765">
        <f t="shared" si="52"/>
        <v>4480713</v>
      </c>
      <c r="R1765">
        <f t="shared" si="53"/>
        <v>18.300658846036331</v>
      </c>
      <c r="U1765">
        <v>1526</v>
      </c>
      <c r="V1765">
        <v>617</v>
      </c>
      <c r="W1765">
        <v>2435</v>
      </c>
      <c r="X1765">
        <v>682</v>
      </c>
      <c r="Y1765">
        <v>69.099999999999994</v>
      </c>
      <c r="Z1765">
        <v>60.1</v>
      </c>
      <c r="AA1765">
        <v>78.099999999999994</v>
      </c>
    </row>
    <row r="1766" spans="1:27" x14ac:dyDescent="0.25">
      <c r="A1766" t="s">
        <v>241</v>
      </c>
      <c r="B1766" t="s">
        <v>197</v>
      </c>
      <c r="C1766" s="76">
        <v>44012</v>
      </c>
      <c r="D1766">
        <v>9281</v>
      </c>
      <c r="E1766">
        <v>5110</v>
      </c>
      <c r="F1766">
        <v>13451</v>
      </c>
      <c r="G1766">
        <v>4838</v>
      </c>
      <c r="H1766">
        <v>65.7</v>
      </c>
      <c r="I1766">
        <v>56.9</v>
      </c>
      <c r="J1766">
        <v>74.599999999999994</v>
      </c>
      <c r="K1766">
        <v>809</v>
      </c>
      <c r="L1766">
        <v>315</v>
      </c>
      <c r="M1766">
        <v>1303</v>
      </c>
      <c r="N1766">
        <v>5.7</v>
      </c>
      <c r="O1766">
        <v>3.4</v>
      </c>
      <c r="P1766">
        <v>8.1</v>
      </c>
      <c r="Q1766">
        <f t="shared" si="52"/>
        <v>4480713</v>
      </c>
      <c r="R1766">
        <f t="shared" si="53"/>
        <v>18.055162202979751</v>
      </c>
      <c r="U1766">
        <v>1560</v>
      </c>
      <c r="V1766">
        <v>637</v>
      </c>
      <c r="W1766">
        <v>2482</v>
      </c>
      <c r="X1766">
        <v>663</v>
      </c>
      <c r="Y1766">
        <v>70.2</v>
      </c>
      <c r="Z1766">
        <v>61.4</v>
      </c>
      <c r="AA1766">
        <v>78.900000000000006</v>
      </c>
    </row>
    <row r="1767" spans="1:27" x14ac:dyDescent="0.25">
      <c r="A1767" t="s">
        <v>241</v>
      </c>
      <c r="B1767" t="s">
        <v>197</v>
      </c>
      <c r="C1767" s="76">
        <v>44013</v>
      </c>
      <c r="D1767">
        <v>9212</v>
      </c>
      <c r="E1767">
        <v>4945</v>
      </c>
      <c r="F1767">
        <v>13479</v>
      </c>
      <c r="G1767">
        <v>4619</v>
      </c>
      <c r="H1767">
        <v>66.599999999999994</v>
      </c>
      <c r="I1767">
        <v>58.4</v>
      </c>
      <c r="J1767">
        <v>74.8</v>
      </c>
      <c r="K1767">
        <v>779</v>
      </c>
      <c r="L1767">
        <v>260</v>
      </c>
      <c r="M1767">
        <v>1298</v>
      </c>
      <c r="N1767">
        <v>5.6</v>
      </c>
      <c r="O1767">
        <v>3</v>
      </c>
      <c r="P1767">
        <v>8.1999999999999993</v>
      </c>
      <c r="Q1767">
        <f t="shared" ref="Q1767:Q1830" si="54">VLOOKUP(B1767,$AE$4:$AF$55,2,FALSE)</f>
        <v>4480713</v>
      </c>
      <c r="R1767">
        <f t="shared" si="53"/>
        <v>17.385625903734518</v>
      </c>
      <c r="U1767">
        <v>1388</v>
      </c>
      <c r="V1767">
        <v>635</v>
      </c>
      <c r="W1767">
        <v>2142</v>
      </c>
      <c r="X1767">
        <v>616</v>
      </c>
      <c r="Y1767">
        <v>69.2</v>
      </c>
      <c r="Z1767">
        <v>61.4</v>
      </c>
      <c r="AA1767">
        <v>76.900000000000006</v>
      </c>
    </row>
    <row r="1768" spans="1:27" x14ac:dyDescent="0.25">
      <c r="A1768" t="s">
        <v>241</v>
      </c>
      <c r="B1768" t="s">
        <v>197</v>
      </c>
      <c r="C1768" s="76">
        <v>44014</v>
      </c>
      <c r="D1768">
        <v>9094</v>
      </c>
      <c r="E1768">
        <v>4922</v>
      </c>
      <c r="F1768">
        <v>13267</v>
      </c>
      <c r="G1768">
        <v>4707</v>
      </c>
      <c r="H1768">
        <v>65.900000000000006</v>
      </c>
      <c r="I1768">
        <v>57.9</v>
      </c>
      <c r="J1768">
        <v>73.8</v>
      </c>
      <c r="K1768">
        <v>760</v>
      </c>
      <c r="L1768">
        <v>311</v>
      </c>
      <c r="M1768">
        <v>1209</v>
      </c>
      <c r="N1768">
        <v>5.5</v>
      </c>
      <c r="O1768">
        <v>3.5</v>
      </c>
      <c r="P1768">
        <v>7.5</v>
      </c>
      <c r="Q1768">
        <f t="shared" si="54"/>
        <v>4480713</v>
      </c>
      <c r="R1768">
        <f t="shared" si="53"/>
        <v>16.961586247545871</v>
      </c>
      <c r="U1768">
        <v>1398</v>
      </c>
      <c r="V1768">
        <v>633</v>
      </c>
      <c r="W1768">
        <v>2163</v>
      </c>
      <c r="X1768">
        <v>594</v>
      </c>
      <c r="Y1768">
        <v>70.2</v>
      </c>
      <c r="Z1768">
        <v>62.8</v>
      </c>
      <c r="AA1768">
        <v>77.599999999999994</v>
      </c>
    </row>
    <row r="1769" spans="1:27" x14ac:dyDescent="0.25">
      <c r="A1769" t="s">
        <v>241</v>
      </c>
      <c r="B1769" t="s">
        <v>197</v>
      </c>
      <c r="C1769" s="76">
        <v>44015</v>
      </c>
      <c r="D1769">
        <v>9185</v>
      </c>
      <c r="E1769">
        <v>4791</v>
      </c>
      <c r="F1769">
        <v>13579</v>
      </c>
      <c r="G1769">
        <v>5078</v>
      </c>
      <c r="H1769">
        <v>64.400000000000006</v>
      </c>
      <c r="I1769">
        <v>55.3</v>
      </c>
      <c r="J1769">
        <v>73.5</v>
      </c>
      <c r="K1769">
        <v>797</v>
      </c>
      <c r="L1769">
        <v>317</v>
      </c>
      <c r="M1769">
        <v>1276</v>
      </c>
      <c r="N1769">
        <v>5.6</v>
      </c>
      <c r="O1769">
        <v>3.7</v>
      </c>
      <c r="P1769">
        <v>7.5</v>
      </c>
      <c r="Q1769">
        <f t="shared" si="54"/>
        <v>4480713</v>
      </c>
      <c r="R1769">
        <f t="shared" si="53"/>
        <v>17.787347683281656</v>
      </c>
      <c r="U1769">
        <v>1581</v>
      </c>
      <c r="V1769">
        <v>530</v>
      </c>
      <c r="W1769">
        <v>2632</v>
      </c>
      <c r="X1769">
        <v>625</v>
      </c>
      <c r="Y1769">
        <v>71.599999999999994</v>
      </c>
      <c r="Z1769">
        <v>61.4</v>
      </c>
      <c r="AA1769">
        <v>81.7</v>
      </c>
    </row>
    <row r="1770" spans="1:27" x14ac:dyDescent="0.25">
      <c r="A1770" t="s">
        <v>241</v>
      </c>
      <c r="B1770" t="s">
        <v>197</v>
      </c>
      <c r="C1770" s="76">
        <v>44016</v>
      </c>
      <c r="D1770">
        <v>8668</v>
      </c>
      <c r="E1770">
        <v>4517</v>
      </c>
      <c r="F1770">
        <v>12819</v>
      </c>
      <c r="G1770">
        <v>5562</v>
      </c>
      <c r="H1770">
        <v>60.9</v>
      </c>
      <c r="I1770">
        <v>52.5</v>
      </c>
      <c r="J1770">
        <v>69.3</v>
      </c>
      <c r="K1770">
        <v>753</v>
      </c>
      <c r="L1770">
        <v>282</v>
      </c>
      <c r="M1770">
        <v>1224</v>
      </c>
      <c r="N1770">
        <v>5.3</v>
      </c>
      <c r="O1770">
        <v>3.3</v>
      </c>
      <c r="P1770">
        <v>7.3</v>
      </c>
      <c r="Q1770">
        <f t="shared" si="54"/>
        <v>4480713</v>
      </c>
      <c r="R1770">
        <f t="shared" si="53"/>
        <v>16.805361111055316</v>
      </c>
      <c r="U1770">
        <v>1502</v>
      </c>
      <c r="V1770">
        <v>493</v>
      </c>
      <c r="W1770">
        <v>2512</v>
      </c>
      <c r="X1770">
        <v>746</v>
      </c>
      <c r="Y1770">
        <v>66.8</v>
      </c>
      <c r="Z1770">
        <v>55.3</v>
      </c>
      <c r="AA1770">
        <v>78.3</v>
      </c>
    </row>
    <row r="1771" spans="1:27" x14ac:dyDescent="0.25">
      <c r="A1771" t="s">
        <v>241</v>
      </c>
      <c r="B1771" t="s">
        <v>197</v>
      </c>
      <c r="C1771" s="76">
        <v>44017</v>
      </c>
      <c r="D1771">
        <v>8504</v>
      </c>
      <c r="E1771">
        <v>4403</v>
      </c>
      <c r="F1771">
        <v>12604</v>
      </c>
      <c r="G1771">
        <v>5666</v>
      </c>
      <c r="H1771">
        <v>60</v>
      </c>
      <c r="I1771">
        <v>51.3</v>
      </c>
      <c r="J1771">
        <v>68.7</v>
      </c>
      <c r="K1771">
        <v>739</v>
      </c>
      <c r="L1771">
        <v>271</v>
      </c>
      <c r="M1771">
        <v>1207</v>
      </c>
      <c r="N1771">
        <v>5.2</v>
      </c>
      <c r="O1771">
        <v>3.2</v>
      </c>
      <c r="P1771">
        <v>7.2</v>
      </c>
      <c r="Q1771">
        <f t="shared" si="54"/>
        <v>4480713</v>
      </c>
      <c r="R1771">
        <f t="shared" si="53"/>
        <v>16.492910838074209</v>
      </c>
      <c r="U1771">
        <v>1507</v>
      </c>
      <c r="V1771">
        <v>513</v>
      </c>
      <c r="W1771">
        <v>2500</v>
      </c>
      <c r="X1771">
        <v>728</v>
      </c>
      <c r="Y1771">
        <v>67.400000000000006</v>
      </c>
      <c r="Z1771">
        <v>57.3</v>
      </c>
      <c r="AA1771">
        <v>77.5</v>
      </c>
    </row>
    <row r="1772" spans="1:27" x14ac:dyDescent="0.25">
      <c r="A1772" t="s">
        <v>241</v>
      </c>
      <c r="B1772" t="s">
        <v>197</v>
      </c>
      <c r="C1772" s="76">
        <v>44018</v>
      </c>
      <c r="D1772">
        <v>8893</v>
      </c>
      <c r="E1772">
        <v>4673</v>
      </c>
      <c r="F1772">
        <v>13113</v>
      </c>
      <c r="G1772">
        <v>5274</v>
      </c>
      <c r="H1772">
        <v>62.8</v>
      </c>
      <c r="I1772">
        <v>54.6</v>
      </c>
      <c r="J1772">
        <v>71</v>
      </c>
      <c r="K1772">
        <v>805</v>
      </c>
      <c r="L1772">
        <v>323</v>
      </c>
      <c r="M1772">
        <v>1287</v>
      </c>
      <c r="N1772">
        <v>5.7</v>
      </c>
      <c r="O1772">
        <v>3.8</v>
      </c>
      <c r="P1772">
        <v>7.5</v>
      </c>
      <c r="Q1772">
        <f t="shared" si="54"/>
        <v>4480713</v>
      </c>
      <c r="R1772">
        <f t="shared" si="53"/>
        <v>17.965890696413716</v>
      </c>
      <c r="U1772">
        <v>1593</v>
      </c>
      <c r="V1772">
        <v>570</v>
      </c>
      <c r="W1772">
        <v>2616</v>
      </c>
      <c r="X1772">
        <v>647</v>
      </c>
      <c r="Y1772">
        <v>71.099999999999994</v>
      </c>
      <c r="Z1772">
        <v>61.8</v>
      </c>
      <c r="AA1772">
        <v>80.400000000000006</v>
      </c>
    </row>
    <row r="1773" spans="1:27" x14ac:dyDescent="0.25">
      <c r="A1773" t="s">
        <v>241</v>
      </c>
      <c r="B1773" t="s">
        <v>197</v>
      </c>
      <c r="C1773" s="76">
        <v>44019</v>
      </c>
      <c r="D1773">
        <v>9589</v>
      </c>
      <c r="E1773">
        <v>5066</v>
      </c>
      <c r="F1773">
        <v>14113</v>
      </c>
      <c r="G1773">
        <v>4578</v>
      </c>
      <c r="H1773">
        <v>67.7</v>
      </c>
      <c r="I1773">
        <v>59</v>
      </c>
      <c r="J1773">
        <v>76.400000000000006</v>
      </c>
      <c r="K1773">
        <v>767</v>
      </c>
      <c r="L1773">
        <v>292</v>
      </c>
      <c r="M1773">
        <v>1243</v>
      </c>
      <c r="N1773">
        <v>5.4</v>
      </c>
      <c r="O1773">
        <v>3.4</v>
      </c>
      <c r="P1773">
        <v>7.4</v>
      </c>
      <c r="Q1773">
        <f t="shared" si="54"/>
        <v>4480713</v>
      </c>
      <c r="R1773">
        <f t="shared" si="53"/>
        <v>17.117811384036425</v>
      </c>
      <c r="U1773">
        <v>1587</v>
      </c>
      <c r="V1773">
        <v>574</v>
      </c>
      <c r="W1773">
        <v>2600</v>
      </c>
      <c r="X1773">
        <v>647</v>
      </c>
      <c r="Y1773">
        <v>71</v>
      </c>
      <c r="Z1773">
        <v>58.3</v>
      </c>
      <c r="AA1773">
        <v>83.7</v>
      </c>
    </row>
    <row r="1774" spans="1:27" x14ac:dyDescent="0.25">
      <c r="A1774" t="s">
        <v>242</v>
      </c>
      <c r="B1774" t="s">
        <v>196</v>
      </c>
      <c r="C1774" s="76">
        <v>43922</v>
      </c>
      <c r="D1774">
        <v>6911</v>
      </c>
      <c r="E1774">
        <v>4199</v>
      </c>
      <c r="F1774">
        <v>9622</v>
      </c>
      <c r="G1774">
        <v>6178</v>
      </c>
      <c r="H1774">
        <v>52.8</v>
      </c>
      <c r="I1774">
        <v>45.7</v>
      </c>
      <c r="J1774">
        <v>59.9</v>
      </c>
      <c r="K1774">
        <v>1930</v>
      </c>
      <c r="L1774">
        <v>754</v>
      </c>
      <c r="M1774">
        <v>3106</v>
      </c>
      <c r="N1774">
        <v>14.7</v>
      </c>
      <c r="O1774">
        <v>8.1999999999999993</v>
      </c>
      <c r="P1774">
        <v>21.3</v>
      </c>
      <c r="Q1774">
        <f t="shared" si="54"/>
        <v>4627002</v>
      </c>
      <c r="R1774">
        <f t="shared" si="53"/>
        <v>41.711674211508878</v>
      </c>
      <c r="U1774">
        <v>1085</v>
      </c>
      <c r="V1774">
        <v>579</v>
      </c>
      <c r="W1774">
        <v>1592</v>
      </c>
      <c r="X1774">
        <v>516</v>
      </c>
      <c r="Y1774">
        <v>67.8</v>
      </c>
      <c r="Z1774">
        <v>57.8</v>
      </c>
      <c r="AA1774">
        <v>77.7</v>
      </c>
    </row>
    <row r="1775" spans="1:27" x14ac:dyDescent="0.25">
      <c r="A1775" t="s">
        <v>242</v>
      </c>
      <c r="B1775" t="s">
        <v>196</v>
      </c>
      <c r="C1775" s="76">
        <v>43923</v>
      </c>
      <c r="D1775">
        <v>7118</v>
      </c>
      <c r="E1775">
        <v>4383</v>
      </c>
      <c r="F1775">
        <v>9853</v>
      </c>
      <c r="G1775">
        <v>5896</v>
      </c>
      <c r="H1775">
        <v>54.7</v>
      </c>
      <c r="I1775">
        <v>48.2</v>
      </c>
      <c r="J1775">
        <v>61.2</v>
      </c>
      <c r="K1775">
        <v>2149</v>
      </c>
      <c r="L1775">
        <v>933</v>
      </c>
      <c r="M1775">
        <v>3364</v>
      </c>
      <c r="N1775">
        <v>16.5</v>
      </c>
      <c r="O1775">
        <v>10</v>
      </c>
      <c r="P1775">
        <v>23</v>
      </c>
      <c r="Q1775">
        <f t="shared" si="54"/>
        <v>4627002</v>
      </c>
      <c r="R1775">
        <f t="shared" si="53"/>
        <v>46.444760559861436</v>
      </c>
      <c r="U1775">
        <v>1117</v>
      </c>
      <c r="V1775">
        <v>608</v>
      </c>
      <c r="W1775">
        <v>1625</v>
      </c>
      <c r="X1775">
        <v>526</v>
      </c>
      <c r="Y1775">
        <v>68</v>
      </c>
      <c r="Z1775">
        <v>60.8</v>
      </c>
      <c r="AA1775">
        <v>75.2</v>
      </c>
    </row>
    <row r="1776" spans="1:27" x14ac:dyDescent="0.25">
      <c r="A1776" t="s">
        <v>242</v>
      </c>
      <c r="B1776" t="s">
        <v>196</v>
      </c>
      <c r="C1776" s="76">
        <v>43924</v>
      </c>
      <c r="D1776">
        <v>7653</v>
      </c>
      <c r="E1776">
        <v>4914</v>
      </c>
      <c r="F1776">
        <v>10392</v>
      </c>
      <c r="G1776">
        <v>5415</v>
      </c>
      <c r="H1776">
        <v>58.6</v>
      </c>
      <c r="I1776">
        <v>51.8</v>
      </c>
      <c r="J1776">
        <v>65.3</v>
      </c>
      <c r="K1776">
        <v>2715</v>
      </c>
      <c r="L1776">
        <v>1270</v>
      </c>
      <c r="M1776">
        <v>4159</v>
      </c>
      <c r="N1776">
        <v>20.8</v>
      </c>
      <c r="O1776">
        <v>13</v>
      </c>
      <c r="P1776">
        <v>28.5</v>
      </c>
      <c r="Q1776">
        <f t="shared" si="54"/>
        <v>4627002</v>
      </c>
      <c r="R1776">
        <f t="shared" si="53"/>
        <v>58.677303359713264</v>
      </c>
      <c r="U1776">
        <v>1406</v>
      </c>
      <c r="V1776">
        <v>763</v>
      </c>
      <c r="W1776">
        <v>2049</v>
      </c>
      <c r="X1776">
        <v>536</v>
      </c>
      <c r="Y1776">
        <v>72.400000000000006</v>
      </c>
      <c r="Z1776">
        <v>64.5</v>
      </c>
      <c r="AA1776">
        <v>80.3</v>
      </c>
    </row>
    <row r="1777" spans="1:27" x14ac:dyDescent="0.25">
      <c r="A1777" t="s">
        <v>242</v>
      </c>
      <c r="B1777" t="s">
        <v>196</v>
      </c>
      <c r="C1777" s="76">
        <v>43925</v>
      </c>
      <c r="D1777">
        <v>7296</v>
      </c>
      <c r="E1777">
        <v>4643</v>
      </c>
      <c r="F1777">
        <v>9949</v>
      </c>
      <c r="G1777">
        <v>5724</v>
      </c>
      <c r="H1777">
        <v>56</v>
      </c>
      <c r="I1777">
        <v>49.1</v>
      </c>
      <c r="J1777">
        <v>63</v>
      </c>
      <c r="K1777">
        <v>2486</v>
      </c>
      <c r="L1777">
        <v>1165</v>
      </c>
      <c r="M1777">
        <v>3806</v>
      </c>
      <c r="N1777">
        <v>19.100000000000001</v>
      </c>
      <c r="O1777">
        <v>12.5</v>
      </c>
      <c r="P1777">
        <v>25.6</v>
      </c>
      <c r="Q1777">
        <f t="shared" si="54"/>
        <v>4627002</v>
      </c>
      <c r="R1777">
        <f t="shared" si="53"/>
        <v>53.72809434705237</v>
      </c>
      <c r="U1777">
        <v>1389</v>
      </c>
      <c r="V1777">
        <v>743</v>
      </c>
      <c r="W1777">
        <v>2036</v>
      </c>
      <c r="X1777">
        <v>554</v>
      </c>
      <c r="Y1777">
        <v>71.5</v>
      </c>
      <c r="Z1777">
        <v>62.9</v>
      </c>
      <c r="AA1777">
        <v>80.099999999999994</v>
      </c>
    </row>
    <row r="1778" spans="1:27" x14ac:dyDescent="0.25">
      <c r="A1778" t="s">
        <v>242</v>
      </c>
      <c r="B1778" t="s">
        <v>196</v>
      </c>
      <c r="C1778" s="76">
        <v>43926</v>
      </c>
      <c r="D1778">
        <v>7211</v>
      </c>
      <c r="E1778">
        <v>4584</v>
      </c>
      <c r="F1778">
        <v>9837</v>
      </c>
      <c r="G1778">
        <v>5629</v>
      </c>
      <c r="H1778">
        <v>56.2</v>
      </c>
      <c r="I1778">
        <v>48.8</v>
      </c>
      <c r="J1778">
        <v>63.5</v>
      </c>
      <c r="K1778">
        <v>2528</v>
      </c>
      <c r="L1778">
        <v>1183</v>
      </c>
      <c r="M1778">
        <v>3874</v>
      </c>
      <c r="N1778">
        <v>19.7</v>
      </c>
      <c r="O1778">
        <v>12.9</v>
      </c>
      <c r="P1778">
        <v>26.5</v>
      </c>
      <c r="Q1778">
        <f t="shared" si="54"/>
        <v>4627002</v>
      </c>
      <c r="R1778">
        <f t="shared" si="53"/>
        <v>54.635809537147381</v>
      </c>
      <c r="U1778">
        <v>1372</v>
      </c>
      <c r="V1778">
        <v>729</v>
      </c>
      <c r="W1778">
        <v>2015</v>
      </c>
      <c r="X1778">
        <v>512</v>
      </c>
      <c r="Y1778">
        <v>72.8</v>
      </c>
      <c r="Z1778">
        <v>63.5</v>
      </c>
      <c r="AA1778">
        <v>82.1</v>
      </c>
    </row>
    <row r="1779" spans="1:27" x14ac:dyDescent="0.25">
      <c r="A1779" t="s">
        <v>242</v>
      </c>
      <c r="B1779" t="s">
        <v>196</v>
      </c>
      <c r="C1779" s="76">
        <v>43927</v>
      </c>
      <c r="D1779">
        <v>7682</v>
      </c>
      <c r="E1779">
        <v>4874</v>
      </c>
      <c r="F1779">
        <v>10490</v>
      </c>
      <c r="G1779">
        <v>5861</v>
      </c>
      <c r="H1779">
        <v>56.7</v>
      </c>
      <c r="I1779">
        <v>49.6</v>
      </c>
      <c r="J1779">
        <v>63.8</v>
      </c>
      <c r="K1779">
        <v>2799</v>
      </c>
      <c r="L1779">
        <v>1341</v>
      </c>
      <c r="M1779">
        <v>4257</v>
      </c>
      <c r="N1779">
        <v>20.7</v>
      </c>
      <c r="O1779">
        <v>13.9</v>
      </c>
      <c r="P1779">
        <v>27.4</v>
      </c>
      <c r="Q1779">
        <f t="shared" si="54"/>
        <v>4627002</v>
      </c>
      <c r="R1779">
        <f t="shared" si="53"/>
        <v>60.492733739903287</v>
      </c>
      <c r="U1779">
        <v>1536</v>
      </c>
      <c r="V1779">
        <v>794</v>
      </c>
      <c r="W1779">
        <v>2278</v>
      </c>
      <c r="X1779">
        <v>565</v>
      </c>
      <c r="Y1779">
        <v>73.099999999999994</v>
      </c>
      <c r="Z1779">
        <v>64.099999999999994</v>
      </c>
      <c r="AA1779">
        <v>82.2</v>
      </c>
    </row>
    <row r="1780" spans="1:27" x14ac:dyDescent="0.25">
      <c r="A1780" t="s">
        <v>242</v>
      </c>
      <c r="B1780" t="s">
        <v>196</v>
      </c>
      <c r="C1780" s="76">
        <v>43928</v>
      </c>
      <c r="D1780">
        <v>7961</v>
      </c>
      <c r="E1780">
        <v>5051</v>
      </c>
      <c r="F1780">
        <v>10870</v>
      </c>
      <c r="G1780">
        <v>5881</v>
      </c>
      <c r="H1780">
        <v>57.5</v>
      </c>
      <c r="I1780">
        <v>50.9</v>
      </c>
      <c r="J1780">
        <v>64.099999999999994</v>
      </c>
      <c r="K1780">
        <v>2782</v>
      </c>
      <c r="L1780">
        <v>1371</v>
      </c>
      <c r="M1780">
        <v>4194</v>
      </c>
      <c r="N1780">
        <v>20.100000000000001</v>
      </c>
      <c r="O1780">
        <v>13.9</v>
      </c>
      <c r="P1780">
        <v>26.3</v>
      </c>
      <c r="Q1780">
        <f t="shared" si="54"/>
        <v>4627002</v>
      </c>
      <c r="R1780">
        <f t="shared" si="53"/>
        <v>60.125325210579113</v>
      </c>
      <c r="U1780">
        <v>1632</v>
      </c>
      <c r="V1780">
        <v>744</v>
      </c>
      <c r="W1780">
        <v>2519</v>
      </c>
      <c r="X1780">
        <v>596</v>
      </c>
      <c r="Y1780">
        <v>73.3</v>
      </c>
      <c r="Z1780">
        <v>64.2</v>
      </c>
      <c r="AA1780">
        <v>82.3</v>
      </c>
    </row>
    <row r="1781" spans="1:27" x14ac:dyDescent="0.25">
      <c r="A1781" t="s">
        <v>242</v>
      </c>
      <c r="B1781" t="s">
        <v>196</v>
      </c>
      <c r="C1781" s="76">
        <v>43929</v>
      </c>
      <c r="D1781">
        <v>7591</v>
      </c>
      <c r="E1781">
        <v>4924</v>
      </c>
      <c r="F1781">
        <v>10258</v>
      </c>
      <c r="G1781">
        <v>5532</v>
      </c>
      <c r="H1781">
        <v>57.8</v>
      </c>
      <c r="I1781">
        <v>51.3</v>
      </c>
      <c r="J1781">
        <v>64.400000000000006</v>
      </c>
      <c r="K1781">
        <v>2793</v>
      </c>
      <c r="L1781">
        <v>1404</v>
      </c>
      <c r="M1781">
        <v>4181</v>
      </c>
      <c r="N1781">
        <v>21.3</v>
      </c>
      <c r="O1781">
        <v>14.6</v>
      </c>
      <c r="P1781">
        <v>28</v>
      </c>
      <c r="Q1781">
        <f t="shared" si="54"/>
        <v>4627002</v>
      </c>
      <c r="R1781">
        <f t="shared" si="53"/>
        <v>60.363060141318286</v>
      </c>
      <c r="U1781">
        <v>1453</v>
      </c>
      <c r="V1781">
        <v>775</v>
      </c>
      <c r="W1781">
        <v>2131</v>
      </c>
      <c r="X1781">
        <v>529</v>
      </c>
      <c r="Y1781">
        <v>73.3</v>
      </c>
      <c r="Z1781">
        <v>63.5</v>
      </c>
      <c r="AA1781">
        <v>83.1</v>
      </c>
    </row>
    <row r="1782" spans="1:27" x14ac:dyDescent="0.25">
      <c r="A1782" t="s">
        <v>242</v>
      </c>
      <c r="B1782" t="s">
        <v>196</v>
      </c>
      <c r="C1782" s="76">
        <v>43930</v>
      </c>
      <c r="D1782">
        <v>7535</v>
      </c>
      <c r="E1782">
        <v>4858</v>
      </c>
      <c r="F1782">
        <v>10212</v>
      </c>
      <c r="G1782">
        <v>5625</v>
      </c>
      <c r="H1782">
        <v>57.3</v>
      </c>
      <c r="I1782">
        <v>50.8</v>
      </c>
      <c r="J1782">
        <v>63.7</v>
      </c>
      <c r="K1782">
        <v>2651</v>
      </c>
      <c r="L1782">
        <v>1308</v>
      </c>
      <c r="M1782">
        <v>3995</v>
      </c>
      <c r="N1782">
        <v>20.100000000000001</v>
      </c>
      <c r="O1782">
        <v>13.7</v>
      </c>
      <c r="P1782">
        <v>26.6</v>
      </c>
      <c r="Q1782">
        <f t="shared" si="54"/>
        <v>4627002</v>
      </c>
      <c r="R1782">
        <f t="shared" si="53"/>
        <v>57.294118308139907</v>
      </c>
      <c r="U1782">
        <v>1434</v>
      </c>
      <c r="V1782">
        <v>749</v>
      </c>
      <c r="W1782">
        <v>2120</v>
      </c>
      <c r="X1782">
        <v>490</v>
      </c>
      <c r="Y1782">
        <v>74.5</v>
      </c>
      <c r="Z1782">
        <v>63.7</v>
      </c>
      <c r="AA1782">
        <v>85.3</v>
      </c>
    </row>
    <row r="1783" spans="1:27" x14ac:dyDescent="0.25">
      <c r="A1783" t="s">
        <v>242</v>
      </c>
      <c r="B1783" t="s">
        <v>196</v>
      </c>
      <c r="C1783" s="76">
        <v>43931</v>
      </c>
      <c r="D1783">
        <v>7674</v>
      </c>
      <c r="E1783">
        <v>4869</v>
      </c>
      <c r="F1783">
        <v>10478</v>
      </c>
      <c r="G1783">
        <v>6180</v>
      </c>
      <c r="H1783">
        <v>55.4</v>
      </c>
      <c r="I1783">
        <v>49</v>
      </c>
      <c r="J1783">
        <v>61.7</v>
      </c>
      <c r="K1783">
        <v>2608</v>
      </c>
      <c r="L1783">
        <v>1259</v>
      </c>
      <c r="M1783">
        <v>3956</v>
      </c>
      <c r="N1783">
        <v>18.8</v>
      </c>
      <c r="O1783">
        <v>12.8</v>
      </c>
      <c r="P1783">
        <v>24.9</v>
      </c>
      <c r="Q1783">
        <f t="shared" si="54"/>
        <v>4627002</v>
      </c>
      <c r="R1783">
        <f t="shared" si="53"/>
        <v>56.364790851614067</v>
      </c>
      <c r="U1783">
        <v>1476</v>
      </c>
      <c r="V1783">
        <v>762</v>
      </c>
      <c r="W1783">
        <v>2191</v>
      </c>
      <c r="X1783">
        <v>517</v>
      </c>
      <c r="Y1783">
        <v>74.099999999999994</v>
      </c>
      <c r="Z1783">
        <v>63.3</v>
      </c>
      <c r="AA1783">
        <v>84.9</v>
      </c>
    </row>
    <row r="1784" spans="1:27" x14ac:dyDescent="0.25">
      <c r="A1784" t="s">
        <v>242</v>
      </c>
      <c r="B1784" t="s">
        <v>196</v>
      </c>
      <c r="C1784" s="76">
        <v>43932</v>
      </c>
      <c r="D1784">
        <v>7351</v>
      </c>
      <c r="E1784">
        <v>4657</v>
      </c>
      <c r="F1784">
        <v>10046</v>
      </c>
      <c r="G1784">
        <v>6000</v>
      </c>
      <c r="H1784">
        <v>55.1</v>
      </c>
      <c r="I1784">
        <v>49</v>
      </c>
      <c r="J1784">
        <v>61.1</v>
      </c>
      <c r="K1784">
        <v>2466</v>
      </c>
      <c r="L1784">
        <v>1159</v>
      </c>
      <c r="M1784">
        <v>3772</v>
      </c>
      <c r="N1784">
        <v>18.5</v>
      </c>
      <c r="O1784">
        <v>12.3</v>
      </c>
      <c r="P1784">
        <v>24.6</v>
      </c>
      <c r="Q1784">
        <f t="shared" si="54"/>
        <v>4627002</v>
      </c>
      <c r="R1784">
        <f t="shared" si="53"/>
        <v>53.295849018435689</v>
      </c>
      <c r="U1784">
        <v>1415</v>
      </c>
      <c r="V1784">
        <v>728</v>
      </c>
      <c r="W1784">
        <v>2102</v>
      </c>
      <c r="X1784">
        <v>605</v>
      </c>
      <c r="Y1784">
        <v>70.099999999999994</v>
      </c>
      <c r="Z1784">
        <v>59.7</v>
      </c>
      <c r="AA1784">
        <v>80.400000000000006</v>
      </c>
    </row>
    <row r="1785" spans="1:27" x14ac:dyDescent="0.25">
      <c r="A1785" t="s">
        <v>242</v>
      </c>
      <c r="B1785" t="s">
        <v>196</v>
      </c>
      <c r="C1785" s="76">
        <v>43933</v>
      </c>
      <c r="D1785">
        <v>7643</v>
      </c>
      <c r="E1785">
        <v>4789</v>
      </c>
      <c r="F1785">
        <v>10497</v>
      </c>
      <c r="G1785">
        <v>6158</v>
      </c>
      <c r="H1785">
        <v>55.4</v>
      </c>
      <c r="I1785">
        <v>48.8</v>
      </c>
      <c r="J1785">
        <v>61.9</v>
      </c>
      <c r="K1785">
        <v>2507</v>
      </c>
      <c r="L1785">
        <v>1197</v>
      </c>
      <c r="M1785">
        <v>3816</v>
      </c>
      <c r="N1785">
        <v>18.2</v>
      </c>
      <c r="O1785">
        <v>12.1</v>
      </c>
      <c r="P1785">
        <v>24.2</v>
      </c>
      <c r="Q1785">
        <f t="shared" si="54"/>
        <v>4627002</v>
      </c>
      <c r="R1785">
        <f t="shared" si="53"/>
        <v>54.181951942099872</v>
      </c>
      <c r="U1785">
        <v>1555</v>
      </c>
      <c r="V1785">
        <v>754</v>
      </c>
      <c r="W1785">
        <v>2356</v>
      </c>
      <c r="X1785">
        <v>578</v>
      </c>
      <c r="Y1785">
        <v>72.900000000000006</v>
      </c>
      <c r="Z1785">
        <v>61.1</v>
      </c>
      <c r="AA1785">
        <v>84.7</v>
      </c>
    </row>
    <row r="1786" spans="1:27" x14ac:dyDescent="0.25">
      <c r="A1786" t="s">
        <v>242</v>
      </c>
      <c r="B1786" t="s">
        <v>196</v>
      </c>
      <c r="C1786" s="76">
        <v>43934</v>
      </c>
      <c r="D1786">
        <v>8233</v>
      </c>
      <c r="E1786">
        <v>5297</v>
      </c>
      <c r="F1786">
        <v>11170</v>
      </c>
      <c r="G1786">
        <v>6229</v>
      </c>
      <c r="H1786">
        <v>56.9</v>
      </c>
      <c r="I1786">
        <v>50.6</v>
      </c>
      <c r="J1786">
        <v>63.2</v>
      </c>
      <c r="K1786">
        <v>2606</v>
      </c>
      <c r="L1786">
        <v>1289</v>
      </c>
      <c r="M1786">
        <v>3923</v>
      </c>
      <c r="N1786">
        <v>18</v>
      </c>
      <c r="O1786">
        <v>12.3</v>
      </c>
      <c r="P1786">
        <v>23.7</v>
      </c>
      <c r="Q1786">
        <f t="shared" si="54"/>
        <v>4627002</v>
      </c>
      <c r="R1786">
        <f t="shared" si="53"/>
        <v>56.321566318752403</v>
      </c>
      <c r="U1786">
        <v>1572</v>
      </c>
      <c r="V1786">
        <v>786</v>
      </c>
      <c r="W1786">
        <v>2359</v>
      </c>
      <c r="X1786">
        <v>617</v>
      </c>
      <c r="Y1786">
        <v>71.8</v>
      </c>
      <c r="Z1786">
        <v>63.4</v>
      </c>
      <c r="AA1786">
        <v>80.3</v>
      </c>
    </row>
    <row r="1787" spans="1:27" x14ac:dyDescent="0.25">
      <c r="A1787" t="s">
        <v>242</v>
      </c>
      <c r="B1787" t="s">
        <v>196</v>
      </c>
      <c r="C1787" s="76">
        <v>43935</v>
      </c>
      <c r="D1787">
        <v>7846</v>
      </c>
      <c r="E1787">
        <v>5337</v>
      </c>
      <c r="F1787">
        <v>10355</v>
      </c>
      <c r="G1787">
        <v>6061</v>
      </c>
      <c r="H1787">
        <v>56.4</v>
      </c>
      <c r="I1787">
        <v>50.5</v>
      </c>
      <c r="J1787">
        <v>62.3</v>
      </c>
      <c r="K1787">
        <v>2264</v>
      </c>
      <c r="L1787">
        <v>1243</v>
      </c>
      <c r="M1787">
        <v>3285</v>
      </c>
      <c r="N1787">
        <v>16.3</v>
      </c>
      <c r="O1787">
        <v>11.6</v>
      </c>
      <c r="P1787">
        <v>21</v>
      </c>
      <c r="Q1787">
        <f t="shared" si="54"/>
        <v>4627002</v>
      </c>
      <c r="R1787">
        <f t="shared" si="53"/>
        <v>48.930171199407297</v>
      </c>
      <c r="U1787">
        <v>1351</v>
      </c>
      <c r="V1787">
        <v>778</v>
      </c>
      <c r="W1787">
        <v>1924</v>
      </c>
      <c r="X1787">
        <v>543</v>
      </c>
      <c r="Y1787">
        <v>71.3</v>
      </c>
      <c r="Z1787">
        <v>61</v>
      </c>
      <c r="AA1787">
        <v>81.7</v>
      </c>
    </row>
    <row r="1788" spans="1:27" x14ac:dyDescent="0.25">
      <c r="A1788" t="s">
        <v>242</v>
      </c>
      <c r="B1788" t="s">
        <v>196</v>
      </c>
      <c r="C1788" s="76">
        <v>43936</v>
      </c>
      <c r="D1788">
        <v>8034</v>
      </c>
      <c r="E1788">
        <v>5458</v>
      </c>
      <c r="F1788">
        <v>10611</v>
      </c>
      <c r="G1788">
        <v>5748</v>
      </c>
      <c r="H1788">
        <v>58.3</v>
      </c>
      <c r="I1788">
        <v>52.3</v>
      </c>
      <c r="J1788">
        <v>64.2</v>
      </c>
      <c r="K1788">
        <v>2335</v>
      </c>
      <c r="L1788">
        <v>1338</v>
      </c>
      <c r="M1788">
        <v>3333</v>
      </c>
      <c r="N1788">
        <v>16.899999999999999</v>
      </c>
      <c r="O1788">
        <v>12.5</v>
      </c>
      <c r="P1788">
        <v>21.3</v>
      </c>
      <c r="Q1788">
        <f t="shared" si="54"/>
        <v>4627002</v>
      </c>
      <c r="R1788">
        <f t="shared" si="53"/>
        <v>50.464642115996497</v>
      </c>
      <c r="U1788">
        <v>1439</v>
      </c>
      <c r="V1788">
        <v>856</v>
      </c>
      <c r="W1788">
        <v>2022</v>
      </c>
      <c r="X1788">
        <v>598</v>
      </c>
      <c r="Y1788">
        <v>70.7</v>
      </c>
      <c r="Z1788">
        <v>61.4</v>
      </c>
      <c r="AA1788">
        <v>79.900000000000006</v>
      </c>
    </row>
    <row r="1789" spans="1:27" x14ac:dyDescent="0.25">
      <c r="A1789" t="s">
        <v>242</v>
      </c>
      <c r="B1789" t="s">
        <v>196</v>
      </c>
      <c r="C1789" s="76">
        <v>43937</v>
      </c>
      <c r="D1789">
        <v>7981</v>
      </c>
      <c r="E1789">
        <v>5477</v>
      </c>
      <c r="F1789">
        <v>10484</v>
      </c>
      <c r="G1789">
        <v>5850</v>
      </c>
      <c r="H1789">
        <v>57.7</v>
      </c>
      <c r="I1789">
        <v>52.4</v>
      </c>
      <c r="J1789">
        <v>63</v>
      </c>
      <c r="K1789">
        <v>2146</v>
      </c>
      <c r="L1789">
        <v>1240</v>
      </c>
      <c r="M1789">
        <v>3053</v>
      </c>
      <c r="N1789">
        <v>15.5</v>
      </c>
      <c r="O1789">
        <v>11.5</v>
      </c>
      <c r="P1789">
        <v>19.5</v>
      </c>
      <c r="Q1789">
        <f t="shared" si="54"/>
        <v>4627002</v>
      </c>
      <c r="R1789">
        <f t="shared" si="53"/>
        <v>46.379923760568943</v>
      </c>
      <c r="U1789">
        <v>1459</v>
      </c>
      <c r="V1789">
        <v>866</v>
      </c>
      <c r="W1789">
        <v>2052</v>
      </c>
      <c r="X1789">
        <v>615</v>
      </c>
      <c r="Y1789">
        <v>70.3</v>
      </c>
      <c r="Z1789">
        <v>59</v>
      </c>
      <c r="AA1789">
        <v>81.599999999999994</v>
      </c>
    </row>
    <row r="1790" spans="1:27" x14ac:dyDescent="0.25">
      <c r="A1790" t="s">
        <v>242</v>
      </c>
      <c r="B1790" t="s">
        <v>196</v>
      </c>
      <c r="C1790" s="76">
        <v>43938</v>
      </c>
      <c r="D1790">
        <v>7807</v>
      </c>
      <c r="E1790">
        <v>5372</v>
      </c>
      <c r="F1790">
        <v>10242</v>
      </c>
      <c r="G1790">
        <v>5926</v>
      </c>
      <c r="H1790">
        <v>56.9</v>
      </c>
      <c r="I1790">
        <v>51.6</v>
      </c>
      <c r="J1790">
        <v>62.1</v>
      </c>
      <c r="K1790">
        <v>2031</v>
      </c>
      <c r="L1790">
        <v>1164</v>
      </c>
      <c r="M1790">
        <v>2898</v>
      </c>
      <c r="N1790">
        <v>14.8</v>
      </c>
      <c r="O1790">
        <v>10.8</v>
      </c>
      <c r="P1790">
        <v>18.8</v>
      </c>
      <c r="Q1790">
        <f t="shared" si="54"/>
        <v>4627002</v>
      </c>
      <c r="R1790">
        <f t="shared" si="53"/>
        <v>43.894513121023074</v>
      </c>
      <c r="U1790">
        <v>1408</v>
      </c>
      <c r="V1790">
        <v>842</v>
      </c>
      <c r="W1790">
        <v>1975</v>
      </c>
      <c r="X1790">
        <v>591</v>
      </c>
      <c r="Y1790">
        <v>70.5</v>
      </c>
      <c r="Z1790">
        <v>60.1</v>
      </c>
      <c r="AA1790">
        <v>80.8</v>
      </c>
    </row>
    <row r="1791" spans="1:27" x14ac:dyDescent="0.25">
      <c r="A1791" t="s">
        <v>242</v>
      </c>
      <c r="B1791" t="s">
        <v>196</v>
      </c>
      <c r="C1791" s="76">
        <v>43939</v>
      </c>
      <c r="D1791">
        <v>7576</v>
      </c>
      <c r="E1791">
        <v>5190</v>
      </c>
      <c r="F1791">
        <v>9963</v>
      </c>
      <c r="G1791">
        <v>6050</v>
      </c>
      <c r="H1791">
        <v>55.6</v>
      </c>
      <c r="I1791">
        <v>50</v>
      </c>
      <c r="J1791">
        <v>61.2</v>
      </c>
      <c r="K1791">
        <v>1940</v>
      </c>
      <c r="L1791">
        <v>1095</v>
      </c>
      <c r="M1791">
        <v>2786</v>
      </c>
      <c r="N1791">
        <v>14.2</v>
      </c>
      <c r="O1791">
        <v>10.199999999999999</v>
      </c>
      <c r="P1791">
        <v>18.3</v>
      </c>
      <c r="Q1791">
        <f t="shared" si="54"/>
        <v>4627002</v>
      </c>
      <c r="R1791">
        <f t="shared" si="53"/>
        <v>41.927796875817215</v>
      </c>
      <c r="U1791">
        <v>1398</v>
      </c>
      <c r="V1791">
        <v>848</v>
      </c>
      <c r="W1791">
        <v>1949</v>
      </c>
      <c r="X1791">
        <v>500</v>
      </c>
      <c r="Y1791">
        <v>73.7</v>
      </c>
      <c r="Z1791">
        <v>62.1</v>
      </c>
      <c r="AA1791">
        <v>85.3</v>
      </c>
    </row>
    <row r="1792" spans="1:27" x14ac:dyDescent="0.25">
      <c r="A1792" t="s">
        <v>242</v>
      </c>
      <c r="B1792" t="s">
        <v>196</v>
      </c>
      <c r="C1792" s="76">
        <v>43940</v>
      </c>
      <c r="D1792">
        <v>7606</v>
      </c>
      <c r="E1792">
        <v>5206</v>
      </c>
      <c r="F1792">
        <v>10006</v>
      </c>
      <c r="G1792">
        <v>5981</v>
      </c>
      <c r="H1792">
        <v>56</v>
      </c>
      <c r="I1792">
        <v>50.7</v>
      </c>
      <c r="J1792">
        <v>61.2</v>
      </c>
      <c r="K1792">
        <v>1896</v>
      </c>
      <c r="L1792">
        <v>1065</v>
      </c>
      <c r="M1792">
        <v>2728</v>
      </c>
      <c r="N1792">
        <v>14</v>
      </c>
      <c r="O1792">
        <v>10</v>
      </c>
      <c r="P1792">
        <v>18</v>
      </c>
      <c r="Q1792">
        <f t="shared" si="54"/>
        <v>4627002</v>
      </c>
      <c r="R1792">
        <f t="shared" si="53"/>
        <v>40.976857152860532</v>
      </c>
      <c r="U1792">
        <v>1401</v>
      </c>
      <c r="V1792">
        <v>843</v>
      </c>
      <c r="W1792">
        <v>1959</v>
      </c>
      <c r="X1792">
        <v>592</v>
      </c>
      <c r="Y1792">
        <v>70.3</v>
      </c>
      <c r="Z1792">
        <v>59</v>
      </c>
      <c r="AA1792">
        <v>81.599999999999994</v>
      </c>
    </row>
    <row r="1793" spans="1:27" x14ac:dyDescent="0.25">
      <c r="A1793" t="s">
        <v>242</v>
      </c>
      <c r="B1793" t="s">
        <v>196</v>
      </c>
      <c r="C1793" s="76">
        <v>43941</v>
      </c>
      <c r="D1793">
        <v>7843</v>
      </c>
      <c r="E1793">
        <v>5414</v>
      </c>
      <c r="F1793">
        <v>10271</v>
      </c>
      <c r="G1793">
        <v>5829</v>
      </c>
      <c r="H1793">
        <v>57.4</v>
      </c>
      <c r="I1793">
        <v>52.2</v>
      </c>
      <c r="J1793">
        <v>62.5</v>
      </c>
      <c r="K1793">
        <v>1858</v>
      </c>
      <c r="L1793">
        <v>1041</v>
      </c>
      <c r="M1793">
        <v>2675</v>
      </c>
      <c r="N1793">
        <v>13.6</v>
      </c>
      <c r="O1793">
        <v>9.6999999999999993</v>
      </c>
      <c r="P1793">
        <v>17.5</v>
      </c>
      <c r="Q1793">
        <f t="shared" si="54"/>
        <v>4627002</v>
      </c>
      <c r="R1793">
        <f t="shared" si="53"/>
        <v>40.155591028488857</v>
      </c>
      <c r="U1793">
        <v>1345</v>
      </c>
      <c r="V1793">
        <v>829</v>
      </c>
      <c r="W1793">
        <v>1862</v>
      </c>
      <c r="X1793">
        <v>634</v>
      </c>
      <c r="Y1793">
        <v>68</v>
      </c>
      <c r="Z1793">
        <v>59.5</v>
      </c>
      <c r="AA1793">
        <v>76.400000000000006</v>
      </c>
    </row>
    <row r="1794" spans="1:27" x14ac:dyDescent="0.25">
      <c r="A1794" t="s">
        <v>242</v>
      </c>
      <c r="B1794" t="s">
        <v>196</v>
      </c>
      <c r="C1794" s="76">
        <v>43942</v>
      </c>
      <c r="D1794">
        <v>7963</v>
      </c>
      <c r="E1794">
        <v>5480</v>
      </c>
      <c r="F1794">
        <v>10447</v>
      </c>
      <c r="G1794">
        <v>5309</v>
      </c>
      <c r="H1794">
        <v>60</v>
      </c>
      <c r="I1794">
        <v>54.7</v>
      </c>
      <c r="J1794">
        <v>65.3</v>
      </c>
      <c r="K1794">
        <v>1699</v>
      </c>
      <c r="L1794">
        <v>943</v>
      </c>
      <c r="M1794">
        <v>2456</v>
      </c>
      <c r="N1794">
        <v>12.8</v>
      </c>
      <c r="O1794">
        <v>9</v>
      </c>
      <c r="P1794">
        <v>16.600000000000001</v>
      </c>
      <c r="Q1794">
        <f t="shared" si="54"/>
        <v>4627002</v>
      </c>
      <c r="R1794">
        <f t="shared" si="53"/>
        <v>36.719240665986312</v>
      </c>
      <c r="U1794">
        <v>1301</v>
      </c>
      <c r="V1794">
        <v>785</v>
      </c>
      <c r="W1794">
        <v>1817</v>
      </c>
      <c r="X1794">
        <v>573</v>
      </c>
      <c r="Y1794">
        <v>69.400000000000006</v>
      </c>
      <c r="Z1794">
        <v>61.4</v>
      </c>
      <c r="AA1794">
        <v>77.5</v>
      </c>
    </row>
    <row r="1795" spans="1:27" x14ac:dyDescent="0.25">
      <c r="A1795" t="s">
        <v>242</v>
      </c>
      <c r="B1795" t="s">
        <v>196</v>
      </c>
      <c r="C1795" s="76">
        <v>43943</v>
      </c>
      <c r="D1795">
        <v>8118</v>
      </c>
      <c r="E1795">
        <v>5595</v>
      </c>
      <c r="F1795">
        <v>10640</v>
      </c>
      <c r="G1795">
        <v>5277</v>
      </c>
      <c r="H1795">
        <v>60.6</v>
      </c>
      <c r="I1795">
        <v>55.3</v>
      </c>
      <c r="J1795">
        <v>65.900000000000006</v>
      </c>
      <c r="K1795">
        <v>1647</v>
      </c>
      <c r="L1795">
        <v>924</v>
      </c>
      <c r="M1795">
        <v>2370</v>
      </c>
      <c r="N1795">
        <v>12.3</v>
      </c>
      <c r="O1795">
        <v>8.6999999999999993</v>
      </c>
      <c r="P1795">
        <v>15.9</v>
      </c>
      <c r="Q1795">
        <f t="shared" si="54"/>
        <v>4627002</v>
      </c>
      <c r="R1795">
        <f t="shared" si="53"/>
        <v>35.595402811582964</v>
      </c>
      <c r="U1795">
        <v>1324</v>
      </c>
      <c r="V1795">
        <v>790</v>
      </c>
      <c r="W1795">
        <v>1859</v>
      </c>
      <c r="X1795">
        <v>569</v>
      </c>
      <c r="Y1795">
        <v>69.900000000000006</v>
      </c>
      <c r="Z1795">
        <v>57.3</v>
      </c>
      <c r="AA1795">
        <v>82.6</v>
      </c>
    </row>
    <row r="1796" spans="1:27" x14ac:dyDescent="0.25">
      <c r="A1796" t="s">
        <v>242</v>
      </c>
      <c r="B1796" t="s">
        <v>196</v>
      </c>
      <c r="C1796" s="76">
        <v>43944</v>
      </c>
      <c r="D1796">
        <v>7914</v>
      </c>
      <c r="E1796">
        <v>5468</v>
      </c>
      <c r="F1796">
        <v>10359</v>
      </c>
      <c r="G1796">
        <v>5370</v>
      </c>
      <c r="H1796">
        <v>59.6</v>
      </c>
      <c r="I1796">
        <v>54.4</v>
      </c>
      <c r="J1796">
        <v>64.8</v>
      </c>
      <c r="K1796">
        <v>1598</v>
      </c>
      <c r="L1796">
        <v>902</v>
      </c>
      <c r="M1796">
        <v>2295</v>
      </c>
      <c r="N1796">
        <v>12</v>
      </c>
      <c r="O1796">
        <v>8.6</v>
      </c>
      <c r="P1796">
        <v>15.5</v>
      </c>
      <c r="Q1796">
        <f t="shared" si="54"/>
        <v>4627002</v>
      </c>
      <c r="R1796">
        <f t="shared" si="53"/>
        <v>34.536401756472117</v>
      </c>
      <c r="U1796">
        <v>1281</v>
      </c>
      <c r="V1796">
        <v>748</v>
      </c>
      <c r="W1796">
        <v>1814</v>
      </c>
      <c r="X1796">
        <v>487</v>
      </c>
      <c r="Y1796">
        <v>72.400000000000006</v>
      </c>
      <c r="Z1796">
        <v>56.1</v>
      </c>
      <c r="AA1796">
        <v>88.8</v>
      </c>
    </row>
    <row r="1797" spans="1:27" x14ac:dyDescent="0.25">
      <c r="A1797" t="s">
        <v>242</v>
      </c>
      <c r="B1797" t="s">
        <v>196</v>
      </c>
      <c r="C1797" s="76">
        <v>43945</v>
      </c>
      <c r="D1797">
        <v>7739</v>
      </c>
      <c r="E1797">
        <v>5363</v>
      </c>
      <c r="F1797">
        <v>10116</v>
      </c>
      <c r="G1797">
        <v>5468</v>
      </c>
      <c r="H1797">
        <v>58.6</v>
      </c>
      <c r="I1797">
        <v>53.4</v>
      </c>
      <c r="J1797">
        <v>63.8</v>
      </c>
      <c r="K1797">
        <v>1568</v>
      </c>
      <c r="L1797">
        <v>895</v>
      </c>
      <c r="M1797">
        <v>2241</v>
      </c>
      <c r="N1797">
        <v>11.9</v>
      </c>
      <c r="O1797">
        <v>8.5</v>
      </c>
      <c r="P1797">
        <v>15.2</v>
      </c>
      <c r="Q1797">
        <f t="shared" si="54"/>
        <v>4627002</v>
      </c>
      <c r="R1797">
        <f t="shared" ref="R1797:R1860" si="55">K1797/(Q1797)*100000</f>
        <v>33.888033763547107</v>
      </c>
      <c r="U1797">
        <v>1273</v>
      </c>
      <c r="V1797">
        <v>771</v>
      </c>
      <c r="W1797">
        <v>1774</v>
      </c>
      <c r="X1797">
        <v>531</v>
      </c>
      <c r="Y1797">
        <v>70.599999999999994</v>
      </c>
      <c r="Z1797">
        <v>57.6</v>
      </c>
      <c r="AA1797">
        <v>83.6</v>
      </c>
    </row>
    <row r="1798" spans="1:27" x14ac:dyDescent="0.25">
      <c r="A1798" t="s">
        <v>242</v>
      </c>
      <c r="B1798" t="s">
        <v>196</v>
      </c>
      <c r="C1798" s="76">
        <v>43946</v>
      </c>
      <c r="D1798">
        <v>7460</v>
      </c>
      <c r="E1798">
        <v>5128</v>
      </c>
      <c r="F1798">
        <v>9791</v>
      </c>
      <c r="G1798">
        <v>5671</v>
      </c>
      <c r="H1798">
        <v>56.8</v>
      </c>
      <c r="I1798">
        <v>51.2</v>
      </c>
      <c r="J1798">
        <v>62.4</v>
      </c>
      <c r="K1798">
        <v>1528</v>
      </c>
      <c r="L1798">
        <v>846</v>
      </c>
      <c r="M1798">
        <v>2210</v>
      </c>
      <c r="N1798">
        <v>11.6</v>
      </c>
      <c r="O1798">
        <v>8.1</v>
      </c>
      <c r="P1798">
        <v>15.2</v>
      </c>
      <c r="Q1798">
        <f t="shared" si="54"/>
        <v>4627002</v>
      </c>
      <c r="R1798">
        <f t="shared" si="55"/>
        <v>33.02354310631376</v>
      </c>
      <c r="U1798">
        <v>1172</v>
      </c>
      <c r="V1798">
        <v>700</v>
      </c>
      <c r="W1798">
        <v>1645</v>
      </c>
      <c r="X1798">
        <v>607</v>
      </c>
      <c r="Y1798">
        <v>65.900000000000006</v>
      </c>
      <c r="Z1798">
        <v>53.3</v>
      </c>
      <c r="AA1798">
        <v>78.5</v>
      </c>
    </row>
    <row r="1799" spans="1:27" x14ac:dyDescent="0.25">
      <c r="A1799" t="s">
        <v>242</v>
      </c>
      <c r="B1799" t="s">
        <v>196</v>
      </c>
      <c r="C1799" s="76">
        <v>43947</v>
      </c>
      <c r="D1799">
        <v>7361</v>
      </c>
      <c r="E1799">
        <v>5083</v>
      </c>
      <c r="F1799">
        <v>9640</v>
      </c>
      <c r="G1799">
        <v>5674</v>
      </c>
      <c r="H1799">
        <v>56.5</v>
      </c>
      <c r="I1799">
        <v>50.2</v>
      </c>
      <c r="J1799">
        <v>62.7</v>
      </c>
      <c r="K1799">
        <v>1499</v>
      </c>
      <c r="L1799">
        <v>828</v>
      </c>
      <c r="M1799">
        <v>2170</v>
      </c>
      <c r="N1799">
        <v>11.5</v>
      </c>
      <c r="O1799">
        <v>7.9</v>
      </c>
      <c r="P1799">
        <v>15.1</v>
      </c>
      <c r="Q1799">
        <f t="shared" si="54"/>
        <v>4627002</v>
      </c>
      <c r="R1799">
        <f t="shared" si="55"/>
        <v>32.396787379819592</v>
      </c>
      <c r="U1799">
        <v>1173</v>
      </c>
      <c r="V1799">
        <v>702</v>
      </c>
      <c r="W1799">
        <v>1645</v>
      </c>
      <c r="X1799">
        <v>636</v>
      </c>
      <c r="Y1799">
        <v>64.900000000000006</v>
      </c>
      <c r="Z1799">
        <v>55.4</v>
      </c>
      <c r="AA1799">
        <v>74.3</v>
      </c>
    </row>
    <row r="1800" spans="1:27" x14ac:dyDescent="0.25">
      <c r="A1800" t="s">
        <v>242</v>
      </c>
      <c r="B1800" t="s">
        <v>196</v>
      </c>
      <c r="C1800" s="76">
        <v>43948</v>
      </c>
      <c r="D1800">
        <v>7889</v>
      </c>
      <c r="E1800">
        <v>5441</v>
      </c>
      <c r="F1800">
        <v>10336</v>
      </c>
      <c r="G1800">
        <v>5744</v>
      </c>
      <c r="H1800">
        <v>57.9</v>
      </c>
      <c r="I1800">
        <v>52.5</v>
      </c>
      <c r="J1800">
        <v>63.2</v>
      </c>
      <c r="K1800">
        <v>1525</v>
      </c>
      <c r="L1800">
        <v>876</v>
      </c>
      <c r="M1800">
        <v>2174</v>
      </c>
      <c r="N1800">
        <v>11.2</v>
      </c>
      <c r="O1800">
        <v>7.9</v>
      </c>
      <c r="P1800">
        <v>14.4</v>
      </c>
      <c r="Q1800">
        <f t="shared" si="54"/>
        <v>4627002</v>
      </c>
      <c r="R1800">
        <f t="shared" si="55"/>
        <v>32.958706307021259</v>
      </c>
      <c r="U1800">
        <v>1334</v>
      </c>
      <c r="V1800">
        <v>721</v>
      </c>
      <c r="W1800">
        <v>1946</v>
      </c>
      <c r="X1800">
        <v>668</v>
      </c>
      <c r="Y1800">
        <v>66.599999999999994</v>
      </c>
      <c r="Z1800">
        <v>57.9</v>
      </c>
      <c r="AA1800">
        <v>75.3</v>
      </c>
    </row>
    <row r="1801" spans="1:27" x14ac:dyDescent="0.25">
      <c r="A1801" t="s">
        <v>242</v>
      </c>
      <c r="B1801" t="s">
        <v>196</v>
      </c>
      <c r="C1801" s="76">
        <v>43949</v>
      </c>
      <c r="D1801">
        <v>8269</v>
      </c>
      <c r="E1801">
        <v>5633</v>
      </c>
      <c r="F1801">
        <v>10905</v>
      </c>
      <c r="G1801">
        <v>5373</v>
      </c>
      <c r="H1801">
        <v>60.6</v>
      </c>
      <c r="I1801">
        <v>53.9</v>
      </c>
      <c r="J1801">
        <v>67.3</v>
      </c>
      <c r="K1801">
        <v>1544</v>
      </c>
      <c r="L1801">
        <v>875</v>
      </c>
      <c r="M1801">
        <v>2213</v>
      </c>
      <c r="N1801">
        <v>11.3</v>
      </c>
      <c r="O1801">
        <v>8.1999999999999993</v>
      </c>
      <c r="P1801">
        <v>14.4</v>
      </c>
      <c r="Q1801">
        <f t="shared" si="54"/>
        <v>4627002</v>
      </c>
      <c r="R1801">
        <f t="shared" si="55"/>
        <v>33.369339369207097</v>
      </c>
      <c r="U1801">
        <v>1320</v>
      </c>
      <c r="V1801">
        <v>789</v>
      </c>
      <c r="W1801">
        <v>1851</v>
      </c>
      <c r="X1801">
        <v>641</v>
      </c>
      <c r="Y1801">
        <v>67.3</v>
      </c>
      <c r="Z1801">
        <v>58.1</v>
      </c>
      <c r="AA1801">
        <v>76.5</v>
      </c>
    </row>
    <row r="1802" spans="1:27" x14ac:dyDescent="0.25">
      <c r="A1802" t="s">
        <v>242</v>
      </c>
      <c r="B1802" t="s">
        <v>196</v>
      </c>
      <c r="C1802" s="76">
        <v>43950</v>
      </c>
      <c r="D1802">
        <v>8249</v>
      </c>
      <c r="E1802">
        <v>5668</v>
      </c>
      <c r="F1802">
        <v>10830</v>
      </c>
      <c r="G1802">
        <v>5426</v>
      </c>
      <c r="H1802">
        <v>60.3</v>
      </c>
      <c r="I1802">
        <v>54.5</v>
      </c>
      <c r="J1802">
        <v>66.099999999999994</v>
      </c>
      <c r="K1802">
        <v>1638</v>
      </c>
      <c r="L1802">
        <v>919</v>
      </c>
      <c r="M1802">
        <v>2357</v>
      </c>
      <c r="N1802">
        <v>12</v>
      </c>
      <c r="O1802">
        <v>8.4</v>
      </c>
      <c r="P1802">
        <v>15.6</v>
      </c>
      <c r="Q1802">
        <f t="shared" si="54"/>
        <v>4627002</v>
      </c>
      <c r="R1802">
        <f t="shared" si="55"/>
        <v>35.400892413705463</v>
      </c>
      <c r="U1802">
        <v>1324</v>
      </c>
      <c r="V1802">
        <v>800</v>
      </c>
      <c r="W1802">
        <v>1847</v>
      </c>
      <c r="X1802">
        <v>583</v>
      </c>
      <c r="Y1802">
        <v>69.400000000000006</v>
      </c>
      <c r="Z1802">
        <v>58.4</v>
      </c>
      <c r="AA1802">
        <v>80.5</v>
      </c>
    </row>
    <row r="1803" spans="1:27" x14ac:dyDescent="0.25">
      <c r="A1803" t="s">
        <v>242</v>
      </c>
      <c r="B1803" t="s">
        <v>196</v>
      </c>
      <c r="C1803" s="76">
        <v>43951</v>
      </c>
      <c r="D1803">
        <v>8405</v>
      </c>
      <c r="E1803">
        <v>5807</v>
      </c>
      <c r="F1803">
        <v>11004</v>
      </c>
      <c r="G1803">
        <v>5381</v>
      </c>
      <c r="H1803">
        <v>61</v>
      </c>
      <c r="I1803">
        <v>55.5</v>
      </c>
      <c r="J1803">
        <v>66.400000000000006</v>
      </c>
      <c r="K1803">
        <v>1462</v>
      </c>
      <c r="L1803">
        <v>839</v>
      </c>
      <c r="M1803">
        <v>2084</v>
      </c>
      <c r="N1803">
        <v>10.6</v>
      </c>
      <c r="O1803">
        <v>7.8</v>
      </c>
      <c r="P1803">
        <v>13.4</v>
      </c>
      <c r="Q1803">
        <f t="shared" si="54"/>
        <v>4627002</v>
      </c>
      <c r="R1803">
        <f t="shared" si="55"/>
        <v>31.597133521878746</v>
      </c>
      <c r="U1803">
        <v>1345</v>
      </c>
      <c r="V1803">
        <v>814</v>
      </c>
      <c r="W1803">
        <v>1875</v>
      </c>
      <c r="X1803">
        <v>567</v>
      </c>
      <c r="Y1803">
        <v>70.3</v>
      </c>
      <c r="Z1803">
        <v>58.4</v>
      </c>
      <c r="AA1803">
        <v>82.2</v>
      </c>
    </row>
    <row r="1804" spans="1:27" x14ac:dyDescent="0.25">
      <c r="A1804" t="s">
        <v>242</v>
      </c>
      <c r="B1804" t="s">
        <v>196</v>
      </c>
      <c r="C1804" s="76">
        <v>43952</v>
      </c>
      <c r="D1804">
        <v>8283</v>
      </c>
      <c r="E1804">
        <v>5714</v>
      </c>
      <c r="F1804">
        <v>10852</v>
      </c>
      <c r="G1804">
        <v>5362</v>
      </c>
      <c r="H1804">
        <v>60.7</v>
      </c>
      <c r="I1804">
        <v>55.1</v>
      </c>
      <c r="J1804">
        <v>66.3</v>
      </c>
      <c r="K1804">
        <v>1453</v>
      </c>
      <c r="L1804">
        <v>835</v>
      </c>
      <c r="M1804">
        <v>2071</v>
      </c>
      <c r="N1804">
        <v>10.6</v>
      </c>
      <c r="O1804">
        <v>7.7</v>
      </c>
      <c r="P1804">
        <v>13.6</v>
      </c>
      <c r="Q1804">
        <f t="shared" si="54"/>
        <v>4627002</v>
      </c>
      <c r="R1804">
        <f t="shared" si="55"/>
        <v>31.402623124001245</v>
      </c>
      <c r="U1804">
        <v>1235</v>
      </c>
      <c r="V1804">
        <v>743</v>
      </c>
      <c r="W1804">
        <v>1727</v>
      </c>
      <c r="X1804">
        <v>671</v>
      </c>
      <c r="Y1804">
        <v>64.8</v>
      </c>
      <c r="Z1804">
        <v>54.9</v>
      </c>
      <c r="AA1804">
        <v>74.599999999999994</v>
      </c>
    </row>
    <row r="1805" spans="1:27" x14ac:dyDescent="0.25">
      <c r="A1805" t="s">
        <v>242</v>
      </c>
      <c r="B1805" t="s">
        <v>196</v>
      </c>
      <c r="C1805" s="76">
        <v>43953</v>
      </c>
      <c r="D1805">
        <v>8086</v>
      </c>
      <c r="E1805">
        <v>5594</v>
      </c>
      <c r="F1805">
        <v>10579</v>
      </c>
      <c r="G1805">
        <v>5496</v>
      </c>
      <c r="H1805">
        <v>59.5</v>
      </c>
      <c r="I1805">
        <v>53.7</v>
      </c>
      <c r="J1805">
        <v>65.3</v>
      </c>
      <c r="K1805">
        <v>1320</v>
      </c>
      <c r="L1805">
        <v>773</v>
      </c>
      <c r="M1805">
        <v>1867</v>
      </c>
      <c r="N1805">
        <v>9.6999999999999993</v>
      </c>
      <c r="O1805">
        <v>7.2</v>
      </c>
      <c r="P1805">
        <v>12.2</v>
      </c>
      <c r="Q1805">
        <f t="shared" si="54"/>
        <v>4627002</v>
      </c>
      <c r="R1805">
        <f t="shared" si="55"/>
        <v>28.528191688700375</v>
      </c>
      <c r="U1805">
        <v>1293</v>
      </c>
      <c r="V1805">
        <v>774</v>
      </c>
      <c r="W1805">
        <v>1812</v>
      </c>
      <c r="X1805">
        <v>646</v>
      </c>
      <c r="Y1805">
        <v>66.7</v>
      </c>
      <c r="Z1805">
        <v>55.1</v>
      </c>
      <c r="AA1805">
        <v>78.2</v>
      </c>
    </row>
    <row r="1806" spans="1:27" x14ac:dyDescent="0.25">
      <c r="A1806" t="s">
        <v>242</v>
      </c>
      <c r="B1806" t="s">
        <v>196</v>
      </c>
      <c r="C1806" s="76">
        <v>43954</v>
      </c>
      <c r="D1806">
        <v>8220</v>
      </c>
      <c r="E1806">
        <v>5674</v>
      </c>
      <c r="F1806">
        <v>10766</v>
      </c>
      <c r="G1806">
        <v>5548</v>
      </c>
      <c r="H1806">
        <v>59.7</v>
      </c>
      <c r="I1806">
        <v>53.7</v>
      </c>
      <c r="J1806">
        <v>65.7</v>
      </c>
      <c r="K1806">
        <v>1278</v>
      </c>
      <c r="L1806">
        <v>750</v>
      </c>
      <c r="M1806">
        <v>1805</v>
      </c>
      <c r="N1806">
        <v>9.3000000000000007</v>
      </c>
      <c r="O1806">
        <v>6.8</v>
      </c>
      <c r="P1806">
        <v>11.8</v>
      </c>
      <c r="Q1806">
        <f t="shared" si="54"/>
        <v>4627002</v>
      </c>
      <c r="R1806">
        <f t="shared" si="55"/>
        <v>27.620476498605363</v>
      </c>
      <c r="U1806">
        <v>1269</v>
      </c>
      <c r="V1806">
        <v>774</v>
      </c>
      <c r="W1806">
        <v>1763</v>
      </c>
      <c r="X1806">
        <v>659</v>
      </c>
      <c r="Y1806">
        <v>65.8</v>
      </c>
      <c r="Z1806">
        <v>55.9</v>
      </c>
      <c r="AA1806">
        <v>75.7</v>
      </c>
    </row>
    <row r="1807" spans="1:27" x14ac:dyDescent="0.25">
      <c r="A1807" t="s">
        <v>242</v>
      </c>
      <c r="B1807" t="s">
        <v>196</v>
      </c>
      <c r="C1807" s="76">
        <v>43955</v>
      </c>
      <c r="D1807">
        <v>8420</v>
      </c>
      <c r="E1807">
        <v>5775</v>
      </c>
      <c r="F1807">
        <v>11065</v>
      </c>
      <c r="G1807">
        <v>5582</v>
      </c>
      <c r="H1807">
        <v>60.1</v>
      </c>
      <c r="I1807">
        <v>54.3</v>
      </c>
      <c r="J1807">
        <v>66</v>
      </c>
      <c r="K1807">
        <v>1388</v>
      </c>
      <c r="L1807">
        <v>810</v>
      </c>
      <c r="M1807">
        <v>1966</v>
      </c>
      <c r="N1807">
        <v>9.9</v>
      </c>
      <c r="O1807">
        <v>7.3</v>
      </c>
      <c r="P1807">
        <v>12.6</v>
      </c>
      <c r="Q1807">
        <f t="shared" si="54"/>
        <v>4627002</v>
      </c>
      <c r="R1807">
        <f t="shared" si="55"/>
        <v>29.99782580599706</v>
      </c>
      <c r="U1807">
        <v>1301</v>
      </c>
      <c r="V1807">
        <v>768</v>
      </c>
      <c r="W1807">
        <v>1834</v>
      </c>
      <c r="X1807">
        <v>765</v>
      </c>
      <c r="Y1807">
        <v>62.9</v>
      </c>
      <c r="Z1807">
        <v>54.5</v>
      </c>
      <c r="AA1807">
        <v>71.3</v>
      </c>
    </row>
    <row r="1808" spans="1:27" x14ac:dyDescent="0.25">
      <c r="A1808" t="s">
        <v>242</v>
      </c>
      <c r="B1808" t="s">
        <v>196</v>
      </c>
      <c r="C1808" s="76">
        <v>43956</v>
      </c>
      <c r="D1808">
        <v>9188</v>
      </c>
      <c r="E1808">
        <v>6206</v>
      </c>
      <c r="F1808">
        <v>12171</v>
      </c>
      <c r="G1808">
        <v>4997</v>
      </c>
      <c r="H1808">
        <v>64.8</v>
      </c>
      <c r="I1808">
        <v>57.9</v>
      </c>
      <c r="J1808">
        <v>71.599999999999994</v>
      </c>
      <c r="K1808">
        <v>1446</v>
      </c>
      <c r="L1808">
        <v>774</v>
      </c>
      <c r="M1808">
        <v>2118</v>
      </c>
      <c r="N1808">
        <v>10.199999999999999</v>
      </c>
      <c r="O1808">
        <v>7.2</v>
      </c>
      <c r="P1808">
        <v>13.2</v>
      </c>
      <c r="Q1808">
        <f t="shared" si="54"/>
        <v>4627002</v>
      </c>
      <c r="R1808">
        <f t="shared" si="55"/>
        <v>31.251337258985409</v>
      </c>
      <c r="U1808">
        <v>1320</v>
      </c>
      <c r="V1808">
        <v>783</v>
      </c>
      <c r="W1808">
        <v>1856</v>
      </c>
      <c r="X1808">
        <v>711</v>
      </c>
      <c r="Y1808">
        <v>65</v>
      </c>
      <c r="Z1808">
        <v>57.3</v>
      </c>
      <c r="AA1808">
        <v>72.599999999999994</v>
      </c>
    </row>
    <row r="1809" spans="1:27" x14ac:dyDescent="0.25">
      <c r="A1809" t="s">
        <v>242</v>
      </c>
      <c r="B1809" t="s">
        <v>196</v>
      </c>
      <c r="C1809" s="76">
        <v>43957</v>
      </c>
      <c r="D1809">
        <v>9437</v>
      </c>
      <c r="E1809">
        <v>6414</v>
      </c>
      <c r="F1809">
        <v>12461</v>
      </c>
      <c r="G1809">
        <v>4721</v>
      </c>
      <c r="H1809">
        <v>66.7</v>
      </c>
      <c r="I1809">
        <v>60.3</v>
      </c>
      <c r="J1809">
        <v>73</v>
      </c>
      <c r="K1809">
        <v>1423</v>
      </c>
      <c r="L1809">
        <v>758</v>
      </c>
      <c r="M1809">
        <v>2089</v>
      </c>
      <c r="N1809">
        <v>10.1</v>
      </c>
      <c r="O1809">
        <v>7</v>
      </c>
      <c r="P1809">
        <v>13.1</v>
      </c>
      <c r="Q1809">
        <f t="shared" si="54"/>
        <v>4627002</v>
      </c>
      <c r="R1809">
        <f t="shared" si="55"/>
        <v>30.754255131076235</v>
      </c>
      <c r="U1809">
        <v>1336</v>
      </c>
      <c r="V1809">
        <v>779</v>
      </c>
      <c r="W1809">
        <v>1893</v>
      </c>
      <c r="X1809">
        <v>636</v>
      </c>
      <c r="Y1809">
        <v>67.8</v>
      </c>
      <c r="Z1809">
        <v>56.2</v>
      </c>
      <c r="AA1809">
        <v>79.3</v>
      </c>
    </row>
    <row r="1810" spans="1:27" x14ac:dyDescent="0.25">
      <c r="A1810" t="s">
        <v>242</v>
      </c>
      <c r="B1810" t="s">
        <v>196</v>
      </c>
      <c r="C1810" s="76">
        <v>43958</v>
      </c>
      <c r="D1810">
        <v>9375</v>
      </c>
      <c r="E1810">
        <v>6396</v>
      </c>
      <c r="F1810">
        <v>12353</v>
      </c>
      <c r="G1810">
        <v>4718</v>
      </c>
      <c r="H1810">
        <v>66.5</v>
      </c>
      <c r="I1810">
        <v>60.8</v>
      </c>
      <c r="J1810">
        <v>72.3</v>
      </c>
      <c r="K1810">
        <v>1291</v>
      </c>
      <c r="L1810">
        <v>697</v>
      </c>
      <c r="M1810">
        <v>1886</v>
      </c>
      <c r="N1810">
        <v>9.1999999999999993</v>
      </c>
      <c r="O1810">
        <v>6.4</v>
      </c>
      <c r="P1810">
        <v>11.9</v>
      </c>
      <c r="Q1810">
        <f t="shared" si="54"/>
        <v>4627002</v>
      </c>
      <c r="R1810">
        <f t="shared" si="55"/>
        <v>27.901435962206197</v>
      </c>
      <c r="U1810">
        <v>1307</v>
      </c>
      <c r="V1810">
        <v>784</v>
      </c>
      <c r="W1810">
        <v>1831</v>
      </c>
      <c r="X1810">
        <v>665</v>
      </c>
      <c r="Y1810">
        <v>66.3</v>
      </c>
      <c r="Z1810">
        <v>57.6</v>
      </c>
      <c r="AA1810">
        <v>75</v>
      </c>
    </row>
    <row r="1811" spans="1:27" x14ac:dyDescent="0.25">
      <c r="A1811" t="s">
        <v>242</v>
      </c>
      <c r="B1811" t="s">
        <v>196</v>
      </c>
      <c r="C1811" s="76">
        <v>43959</v>
      </c>
      <c r="D1811">
        <v>9365</v>
      </c>
      <c r="E1811">
        <v>6239</v>
      </c>
      <c r="F1811">
        <v>12491</v>
      </c>
      <c r="G1811">
        <v>4757</v>
      </c>
      <c r="H1811">
        <v>66.3</v>
      </c>
      <c r="I1811">
        <v>60.2</v>
      </c>
      <c r="J1811">
        <v>72.5</v>
      </c>
      <c r="K1811">
        <v>1268</v>
      </c>
      <c r="L1811">
        <v>612</v>
      </c>
      <c r="M1811">
        <v>1925</v>
      </c>
      <c r="N1811">
        <v>9</v>
      </c>
      <c r="O1811">
        <v>5.9</v>
      </c>
      <c r="P1811">
        <v>12</v>
      </c>
      <c r="Q1811">
        <f t="shared" si="54"/>
        <v>4627002</v>
      </c>
      <c r="R1811">
        <f t="shared" si="55"/>
        <v>27.404353834297027</v>
      </c>
      <c r="U1811">
        <v>1331</v>
      </c>
      <c r="V1811">
        <v>780</v>
      </c>
      <c r="W1811">
        <v>1883</v>
      </c>
      <c r="X1811">
        <v>665</v>
      </c>
      <c r="Y1811">
        <v>66.7</v>
      </c>
      <c r="Z1811">
        <v>59.1</v>
      </c>
      <c r="AA1811">
        <v>74.3</v>
      </c>
    </row>
    <row r="1812" spans="1:27" x14ac:dyDescent="0.25">
      <c r="A1812" t="s">
        <v>242</v>
      </c>
      <c r="B1812" t="s">
        <v>196</v>
      </c>
      <c r="C1812" s="76">
        <v>43960</v>
      </c>
      <c r="D1812">
        <v>8740</v>
      </c>
      <c r="E1812">
        <v>5745</v>
      </c>
      <c r="F1812">
        <v>11736</v>
      </c>
      <c r="G1812">
        <v>5228</v>
      </c>
      <c r="H1812">
        <v>62.6</v>
      </c>
      <c r="I1812">
        <v>56</v>
      </c>
      <c r="J1812">
        <v>69.099999999999994</v>
      </c>
      <c r="K1812">
        <v>1232</v>
      </c>
      <c r="L1812">
        <v>587</v>
      </c>
      <c r="M1812">
        <v>1876</v>
      </c>
      <c r="N1812">
        <v>8.8000000000000007</v>
      </c>
      <c r="O1812">
        <v>5.8</v>
      </c>
      <c r="P1812">
        <v>11.8</v>
      </c>
      <c r="Q1812">
        <f t="shared" si="54"/>
        <v>4627002</v>
      </c>
      <c r="R1812">
        <f t="shared" si="55"/>
        <v>26.626312242787012</v>
      </c>
      <c r="U1812">
        <v>1223</v>
      </c>
      <c r="V1812">
        <v>711</v>
      </c>
      <c r="W1812">
        <v>1735</v>
      </c>
      <c r="X1812">
        <v>716</v>
      </c>
      <c r="Y1812">
        <v>63.1</v>
      </c>
      <c r="Z1812">
        <v>54.1</v>
      </c>
      <c r="AA1812">
        <v>72</v>
      </c>
    </row>
    <row r="1813" spans="1:27" x14ac:dyDescent="0.25">
      <c r="A1813" t="s">
        <v>242</v>
      </c>
      <c r="B1813" t="s">
        <v>196</v>
      </c>
      <c r="C1813" s="76">
        <v>43961</v>
      </c>
      <c r="D1813">
        <v>8323</v>
      </c>
      <c r="E1813">
        <v>5560</v>
      </c>
      <c r="F1813">
        <v>11086</v>
      </c>
      <c r="G1813">
        <v>5640</v>
      </c>
      <c r="H1813">
        <v>59.6</v>
      </c>
      <c r="I1813">
        <v>53.2</v>
      </c>
      <c r="J1813">
        <v>66</v>
      </c>
      <c r="K1813">
        <v>1120</v>
      </c>
      <c r="L1813">
        <v>547</v>
      </c>
      <c r="M1813">
        <v>1693</v>
      </c>
      <c r="N1813">
        <v>8</v>
      </c>
      <c r="O1813">
        <v>5.3</v>
      </c>
      <c r="P1813">
        <v>10.8</v>
      </c>
      <c r="Q1813">
        <f t="shared" si="54"/>
        <v>4627002</v>
      </c>
      <c r="R1813">
        <f t="shared" si="55"/>
        <v>24.205738402533648</v>
      </c>
      <c r="U1813">
        <v>1170</v>
      </c>
      <c r="V1813">
        <v>688</v>
      </c>
      <c r="W1813">
        <v>1651</v>
      </c>
      <c r="X1813">
        <v>772</v>
      </c>
      <c r="Y1813">
        <v>60.2</v>
      </c>
      <c r="Z1813">
        <v>51.5</v>
      </c>
      <c r="AA1813">
        <v>68.900000000000006</v>
      </c>
    </row>
    <row r="1814" spans="1:27" x14ac:dyDescent="0.25">
      <c r="A1814" t="s">
        <v>242</v>
      </c>
      <c r="B1814" t="s">
        <v>196</v>
      </c>
      <c r="C1814" s="76">
        <v>43962</v>
      </c>
      <c r="D1814">
        <v>8544</v>
      </c>
      <c r="E1814">
        <v>5712</v>
      </c>
      <c r="F1814">
        <v>11376</v>
      </c>
      <c r="G1814">
        <v>5552</v>
      </c>
      <c r="H1814">
        <v>60.6</v>
      </c>
      <c r="I1814">
        <v>54.5</v>
      </c>
      <c r="J1814">
        <v>66.7</v>
      </c>
      <c r="K1814">
        <v>1121</v>
      </c>
      <c r="L1814">
        <v>527</v>
      </c>
      <c r="M1814">
        <v>1714</v>
      </c>
      <c r="N1814">
        <v>7.9</v>
      </c>
      <c r="O1814">
        <v>5.0999999999999996</v>
      </c>
      <c r="P1814">
        <v>10.8</v>
      </c>
      <c r="Q1814">
        <f t="shared" si="54"/>
        <v>4627002</v>
      </c>
      <c r="R1814">
        <f t="shared" si="55"/>
        <v>24.227350668964483</v>
      </c>
      <c r="U1814">
        <v>1186</v>
      </c>
      <c r="V1814">
        <v>707</v>
      </c>
      <c r="W1814">
        <v>1665</v>
      </c>
      <c r="X1814">
        <v>748</v>
      </c>
      <c r="Y1814">
        <v>61.3</v>
      </c>
      <c r="Z1814">
        <v>53.2</v>
      </c>
      <c r="AA1814">
        <v>69.5</v>
      </c>
    </row>
    <row r="1815" spans="1:27" x14ac:dyDescent="0.25">
      <c r="A1815" t="s">
        <v>242</v>
      </c>
      <c r="B1815" t="s">
        <v>196</v>
      </c>
      <c r="C1815" s="76">
        <v>43963</v>
      </c>
      <c r="D1815">
        <v>9204</v>
      </c>
      <c r="E1815">
        <v>6188</v>
      </c>
      <c r="F1815">
        <v>12220</v>
      </c>
      <c r="G1815">
        <v>5115</v>
      </c>
      <c r="H1815">
        <v>64.3</v>
      </c>
      <c r="I1815">
        <v>58.2</v>
      </c>
      <c r="J1815">
        <v>70.400000000000006</v>
      </c>
      <c r="K1815">
        <v>1034</v>
      </c>
      <c r="L1815">
        <v>480</v>
      </c>
      <c r="M1815">
        <v>1588</v>
      </c>
      <c r="N1815">
        <v>7.2</v>
      </c>
      <c r="O1815">
        <v>4.5999999999999996</v>
      </c>
      <c r="P1815">
        <v>9.9</v>
      </c>
      <c r="Q1815">
        <f t="shared" si="54"/>
        <v>4627002</v>
      </c>
      <c r="R1815">
        <f t="shared" si="55"/>
        <v>22.34708348948196</v>
      </c>
      <c r="U1815">
        <v>1261</v>
      </c>
      <c r="V1815">
        <v>747</v>
      </c>
      <c r="W1815">
        <v>1774</v>
      </c>
      <c r="X1815">
        <v>725</v>
      </c>
      <c r="Y1815">
        <v>63.5</v>
      </c>
      <c r="Z1815">
        <v>55.9</v>
      </c>
      <c r="AA1815">
        <v>71.099999999999994</v>
      </c>
    </row>
    <row r="1816" spans="1:27" x14ac:dyDescent="0.25">
      <c r="A1816" t="s">
        <v>242</v>
      </c>
      <c r="B1816" t="s">
        <v>196</v>
      </c>
      <c r="C1816" s="76">
        <v>43964</v>
      </c>
      <c r="D1816">
        <v>9454</v>
      </c>
      <c r="E1816">
        <v>6371</v>
      </c>
      <c r="F1816">
        <v>12537</v>
      </c>
      <c r="G1816">
        <v>4933</v>
      </c>
      <c r="H1816">
        <v>65.7</v>
      </c>
      <c r="I1816">
        <v>59.7</v>
      </c>
      <c r="J1816">
        <v>71.8</v>
      </c>
      <c r="K1816">
        <v>1012</v>
      </c>
      <c r="L1816">
        <v>463</v>
      </c>
      <c r="M1816">
        <v>1561</v>
      </c>
      <c r="N1816">
        <v>7</v>
      </c>
      <c r="O1816">
        <v>4.4000000000000004</v>
      </c>
      <c r="P1816">
        <v>9.6999999999999993</v>
      </c>
      <c r="Q1816">
        <f t="shared" si="54"/>
        <v>4627002</v>
      </c>
      <c r="R1816">
        <f t="shared" si="55"/>
        <v>21.871613628003619</v>
      </c>
      <c r="U1816">
        <v>1324</v>
      </c>
      <c r="V1816">
        <v>763</v>
      </c>
      <c r="W1816">
        <v>1885</v>
      </c>
      <c r="X1816">
        <v>656</v>
      </c>
      <c r="Y1816">
        <v>66.900000000000006</v>
      </c>
      <c r="Z1816">
        <v>58.2</v>
      </c>
      <c r="AA1816">
        <v>75.5</v>
      </c>
    </row>
    <row r="1817" spans="1:27" x14ac:dyDescent="0.25">
      <c r="A1817" t="s">
        <v>242</v>
      </c>
      <c r="B1817" t="s">
        <v>196</v>
      </c>
      <c r="C1817" s="76">
        <v>43965</v>
      </c>
      <c r="D1817">
        <v>9486</v>
      </c>
      <c r="E1817">
        <v>6441</v>
      </c>
      <c r="F1817">
        <v>12531</v>
      </c>
      <c r="G1817">
        <v>4835</v>
      </c>
      <c r="H1817">
        <v>66.2</v>
      </c>
      <c r="I1817">
        <v>60.1</v>
      </c>
      <c r="J1817">
        <v>72.400000000000006</v>
      </c>
      <c r="K1817">
        <v>975</v>
      </c>
      <c r="L1817">
        <v>474</v>
      </c>
      <c r="M1817">
        <v>1477</v>
      </c>
      <c r="N1817">
        <v>6.8</v>
      </c>
      <c r="O1817">
        <v>4.4000000000000004</v>
      </c>
      <c r="P1817">
        <v>9.1999999999999993</v>
      </c>
      <c r="Q1817">
        <f t="shared" si="54"/>
        <v>4627002</v>
      </c>
      <c r="R1817">
        <f t="shared" si="55"/>
        <v>21.071959770062776</v>
      </c>
      <c r="U1817">
        <v>1349</v>
      </c>
      <c r="V1817">
        <v>779</v>
      </c>
      <c r="W1817">
        <v>1919</v>
      </c>
      <c r="X1817">
        <v>660</v>
      </c>
      <c r="Y1817">
        <v>67.2</v>
      </c>
      <c r="Z1817">
        <v>58.5</v>
      </c>
      <c r="AA1817">
        <v>75.900000000000006</v>
      </c>
    </row>
    <row r="1818" spans="1:27" x14ac:dyDescent="0.25">
      <c r="A1818" t="s">
        <v>242</v>
      </c>
      <c r="B1818" t="s">
        <v>196</v>
      </c>
      <c r="C1818" s="76">
        <v>43966</v>
      </c>
      <c r="D1818">
        <v>9365</v>
      </c>
      <c r="E1818">
        <v>6335</v>
      </c>
      <c r="F1818">
        <v>12395</v>
      </c>
      <c r="G1818">
        <v>5069</v>
      </c>
      <c r="H1818">
        <v>64.900000000000006</v>
      </c>
      <c r="I1818">
        <v>58.7</v>
      </c>
      <c r="J1818">
        <v>71.099999999999994</v>
      </c>
      <c r="K1818">
        <v>955</v>
      </c>
      <c r="L1818">
        <v>478</v>
      </c>
      <c r="M1818">
        <v>1431</v>
      </c>
      <c r="N1818">
        <v>6.6</v>
      </c>
      <c r="O1818">
        <v>4.4000000000000004</v>
      </c>
      <c r="P1818">
        <v>8.8000000000000007</v>
      </c>
      <c r="Q1818">
        <f t="shared" si="54"/>
        <v>4627002</v>
      </c>
      <c r="R1818">
        <f t="shared" si="55"/>
        <v>20.639714441446102</v>
      </c>
      <c r="U1818">
        <v>1344</v>
      </c>
      <c r="V1818">
        <v>785</v>
      </c>
      <c r="W1818">
        <v>1904</v>
      </c>
      <c r="X1818">
        <v>658</v>
      </c>
      <c r="Y1818">
        <v>67.099999999999994</v>
      </c>
      <c r="Z1818">
        <v>58.1</v>
      </c>
      <c r="AA1818">
        <v>76.2</v>
      </c>
    </row>
    <row r="1819" spans="1:27" x14ac:dyDescent="0.25">
      <c r="A1819" t="s">
        <v>242</v>
      </c>
      <c r="B1819" t="s">
        <v>196</v>
      </c>
      <c r="C1819" s="76">
        <v>43967</v>
      </c>
      <c r="D1819">
        <v>9019</v>
      </c>
      <c r="E1819">
        <v>6067</v>
      </c>
      <c r="F1819">
        <v>11971</v>
      </c>
      <c r="G1819">
        <v>5311</v>
      </c>
      <c r="H1819">
        <v>62.9</v>
      </c>
      <c r="I1819">
        <v>56.7</v>
      </c>
      <c r="J1819">
        <v>69.2</v>
      </c>
      <c r="K1819">
        <v>934</v>
      </c>
      <c r="L1819">
        <v>453</v>
      </c>
      <c r="M1819">
        <v>1416</v>
      </c>
      <c r="N1819">
        <v>6.5</v>
      </c>
      <c r="O1819">
        <v>4.2</v>
      </c>
      <c r="P1819">
        <v>8.8000000000000007</v>
      </c>
      <c r="Q1819">
        <f t="shared" si="54"/>
        <v>4627002</v>
      </c>
      <c r="R1819">
        <f t="shared" si="55"/>
        <v>20.185856846398597</v>
      </c>
      <c r="U1819">
        <v>1310</v>
      </c>
      <c r="V1819">
        <v>765</v>
      </c>
      <c r="W1819">
        <v>1855</v>
      </c>
      <c r="X1819">
        <v>682</v>
      </c>
      <c r="Y1819">
        <v>65.8</v>
      </c>
      <c r="Z1819">
        <v>56.9</v>
      </c>
      <c r="AA1819">
        <v>74.7</v>
      </c>
    </row>
    <row r="1820" spans="1:27" x14ac:dyDescent="0.25">
      <c r="A1820" t="s">
        <v>242</v>
      </c>
      <c r="B1820" t="s">
        <v>196</v>
      </c>
      <c r="C1820" s="76">
        <v>43968</v>
      </c>
      <c r="D1820">
        <v>8669</v>
      </c>
      <c r="E1820">
        <v>5776</v>
      </c>
      <c r="F1820">
        <v>11562</v>
      </c>
      <c r="G1820">
        <v>5526</v>
      </c>
      <c r="H1820">
        <v>61.1</v>
      </c>
      <c r="I1820">
        <v>54.4</v>
      </c>
      <c r="J1820">
        <v>67.8</v>
      </c>
      <c r="K1820">
        <v>917</v>
      </c>
      <c r="L1820">
        <v>429</v>
      </c>
      <c r="M1820">
        <v>1406</v>
      </c>
      <c r="N1820">
        <v>6.5</v>
      </c>
      <c r="O1820">
        <v>4.0999999999999996</v>
      </c>
      <c r="P1820">
        <v>8.9</v>
      </c>
      <c r="Q1820">
        <f t="shared" si="54"/>
        <v>4627002</v>
      </c>
      <c r="R1820">
        <f t="shared" si="55"/>
        <v>19.818448317074427</v>
      </c>
      <c r="U1820">
        <v>1247</v>
      </c>
      <c r="V1820">
        <v>722</v>
      </c>
      <c r="W1820">
        <v>1773</v>
      </c>
      <c r="X1820">
        <v>740</v>
      </c>
      <c r="Y1820">
        <v>62.8</v>
      </c>
      <c r="Z1820">
        <v>53.8</v>
      </c>
      <c r="AA1820">
        <v>71.7</v>
      </c>
    </row>
    <row r="1821" spans="1:27" x14ac:dyDescent="0.25">
      <c r="A1821" t="s">
        <v>242</v>
      </c>
      <c r="B1821" t="s">
        <v>196</v>
      </c>
      <c r="C1821" s="76">
        <v>43969</v>
      </c>
      <c r="D1821">
        <v>8452</v>
      </c>
      <c r="E1821">
        <v>5822</v>
      </c>
      <c r="F1821">
        <v>11082</v>
      </c>
      <c r="G1821">
        <v>5159</v>
      </c>
      <c r="H1821">
        <v>62.1</v>
      </c>
      <c r="I1821">
        <v>56.1</v>
      </c>
      <c r="J1821">
        <v>68.099999999999994</v>
      </c>
      <c r="K1821">
        <v>795</v>
      </c>
      <c r="L1821">
        <v>483</v>
      </c>
      <c r="M1821">
        <v>1107</v>
      </c>
      <c r="N1821">
        <v>5.8</v>
      </c>
      <c r="O1821">
        <v>4.4000000000000004</v>
      </c>
      <c r="P1821">
        <v>7.3</v>
      </c>
      <c r="Q1821">
        <f t="shared" si="54"/>
        <v>4627002</v>
      </c>
      <c r="R1821">
        <f t="shared" si="55"/>
        <v>17.181751812512726</v>
      </c>
      <c r="U1821">
        <v>1142</v>
      </c>
      <c r="V1821">
        <v>681</v>
      </c>
      <c r="W1821">
        <v>1602</v>
      </c>
      <c r="X1821">
        <v>701</v>
      </c>
      <c r="Y1821">
        <v>62</v>
      </c>
      <c r="Z1821">
        <v>53.4</v>
      </c>
      <c r="AA1821">
        <v>70.5</v>
      </c>
    </row>
    <row r="1822" spans="1:27" x14ac:dyDescent="0.25">
      <c r="A1822" t="s">
        <v>242</v>
      </c>
      <c r="B1822" t="s">
        <v>196</v>
      </c>
      <c r="C1822" s="76">
        <v>43970</v>
      </c>
      <c r="D1822">
        <v>9082</v>
      </c>
      <c r="E1822">
        <v>6300</v>
      </c>
      <c r="F1822">
        <v>11865</v>
      </c>
      <c r="G1822">
        <v>4673</v>
      </c>
      <c r="H1822">
        <v>66</v>
      </c>
      <c r="I1822">
        <v>60</v>
      </c>
      <c r="J1822">
        <v>72.099999999999994</v>
      </c>
      <c r="K1822">
        <v>766</v>
      </c>
      <c r="L1822">
        <v>465</v>
      </c>
      <c r="M1822">
        <v>1068</v>
      </c>
      <c r="N1822">
        <v>5.6</v>
      </c>
      <c r="O1822">
        <v>4.2</v>
      </c>
      <c r="P1822">
        <v>7</v>
      </c>
      <c r="Q1822">
        <f t="shared" si="54"/>
        <v>4627002</v>
      </c>
      <c r="R1822">
        <f t="shared" si="55"/>
        <v>16.554996086018548</v>
      </c>
      <c r="U1822">
        <v>1192</v>
      </c>
      <c r="V1822">
        <v>715</v>
      </c>
      <c r="W1822">
        <v>1668</v>
      </c>
      <c r="X1822">
        <v>656</v>
      </c>
      <c r="Y1822">
        <v>64.400000000000006</v>
      </c>
      <c r="Z1822">
        <v>55.7</v>
      </c>
      <c r="AA1822">
        <v>73.2</v>
      </c>
    </row>
    <row r="1823" spans="1:27" x14ac:dyDescent="0.25">
      <c r="A1823" t="s">
        <v>242</v>
      </c>
      <c r="B1823" t="s">
        <v>196</v>
      </c>
      <c r="C1823" s="76">
        <v>43971</v>
      </c>
      <c r="D1823">
        <v>9198</v>
      </c>
      <c r="E1823">
        <v>6402</v>
      </c>
      <c r="F1823">
        <v>11994</v>
      </c>
      <c r="G1823">
        <v>4593</v>
      </c>
      <c r="H1823">
        <v>66.7</v>
      </c>
      <c r="I1823">
        <v>60.8</v>
      </c>
      <c r="J1823">
        <v>72.5</v>
      </c>
      <c r="K1823">
        <v>752</v>
      </c>
      <c r="L1823">
        <v>457</v>
      </c>
      <c r="M1823">
        <v>1047</v>
      </c>
      <c r="N1823">
        <v>5.5</v>
      </c>
      <c r="O1823">
        <v>4.0999999999999996</v>
      </c>
      <c r="P1823">
        <v>6.8</v>
      </c>
      <c r="Q1823">
        <f t="shared" si="54"/>
        <v>4627002</v>
      </c>
      <c r="R1823">
        <f t="shared" si="55"/>
        <v>16.252424355986879</v>
      </c>
      <c r="U1823">
        <v>1311</v>
      </c>
      <c r="V1823">
        <v>813</v>
      </c>
      <c r="W1823">
        <v>1810</v>
      </c>
      <c r="X1823">
        <v>621</v>
      </c>
      <c r="Y1823">
        <v>67.900000000000006</v>
      </c>
      <c r="Z1823">
        <v>60</v>
      </c>
      <c r="AA1823">
        <v>75.7</v>
      </c>
    </row>
    <row r="1824" spans="1:27" x14ac:dyDescent="0.25">
      <c r="A1824" t="s">
        <v>242</v>
      </c>
      <c r="B1824" t="s">
        <v>196</v>
      </c>
      <c r="C1824" s="76">
        <v>43972</v>
      </c>
      <c r="D1824">
        <v>9268</v>
      </c>
      <c r="E1824">
        <v>6442</v>
      </c>
      <c r="F1824">
        <v>12094</v>
      </c>
      <c r="G1824">
        <v>4598</v>
      </c>
      <c r="H1824">
        <v>66.8</v>
      </c>
      <c r="I1824">
        <v>60.9</v>
      </c>
      <c r="J1824">
        <v>72.8</v>
      </c>
      <c r="K1824">
        <v>693</v>
      </c>
      <c r="L1824">
        <v>415</v>
      </c>
      <c r="M1824">
        <v>972</v>
      </c>
      <c r="N1824">
        <v>5</v>
      </c>
      <c r="O1824">
        <v>3.7</v>
      </c>
      <c r="P1824">
        <v>6.3</v>
      </c>
      <c r="Q1824">
        <f t="shared" si="54"/>
        <v>4627002</v>
      </c>
      <c r="R1824">
        <f t="shared" si="55"/>
        <v>14.977300636567696</v>
      </c>
      <c r="U1824">
        <v>1289</v>
      </c>
      <c r="V1824">
        <v>787</v>
      </c>
      <c r="W1824">
        <v>1792</v>
      </c>
      <c r="X1824">
        <v>791</v>
      </c>
      <c r="Y1824">
        <v>62</v>
      </c>
      <c r="Z1824">
        <v>52.2</v>
      </c>
      <c r="AA1824">
        <v>71.7</v>
      </c>
    </row>
    <row r="1825" spans="1:27" x14ac:dyDescent="0.25">
      <c r="A1825" t="s">
        <v>242</v>
      </c>
      <c r="B1825" t="s">
        <v>196</v>
      </c>
      <c r="C1825" s="76">
        <v>43973</v>
      </c>
      <c r="D1825">
        <v>9350</v>
      </c>
      <c r="E1825">
        <v>6485</v>
      </c>
      <c r="F1825">
        <v>12215</v>
      </c>
      <c r="G1825">
        <v>4535</v>
      </c>
      <c r="H1825">
        <v>67.3</v>
      </c>
      <c r="I1825">
        <v>61.2</v>
      </c>
      <c r="J1825">
        <v>73.5</v>
      </c>
      <c r="K1825">
        <v>656</v>
      </c>
      <c r="L1825">
        <v>392</v>
      </c>
      <c r="M1825">
        <v>920</v>
      </c>
      <c r="N1825">
        <v>4.7</v>
      </c>
      <c r="O1825">
        <v>3.5</v>
      </c>
      <c r="P1825">
        <v>6</v>
      </c>
      <c r="Q1825">
        <f t="shared" si="54"/>
        <v>4627002</v>
      </c>
      <c r="R1825">
        <f t="shared" si="55"/>
        <v>14.177646778626853</v>
      </c>
      <c r="U1825">
        <v>1270</v>
      </c>
      <c r="V1825">
        <v>758</v>
      </c>
      <c r="W1825">
        <v>1782</v>
      </c>
      <c r="X1825">
        <v>685</v>
      </c>
      <c r="Y1825">
        <v>65</v>
      </c>
      <c r="Z1825">
        <v>56.6</v>
      </c>
      <c r="AA1825">
        <v>73.3</v>
      </c>
    </row>
    <row r="1826" spans="1:27" x14ac:dyDescent="0.25">
      <c r="A1826" t="s">
        <v>242</v>
      </c>
      <c r="B1826" t="s">
        <v>196</v>
      </c>
      <c r="C1826" s="76">
        <v>43974</v>
      </c>
      <c r="D1826">
        <v>8685</v>
      </c>
      <c r="E1826">
        <v>5985</v>
      </c>
      <c r="F1826">
        <v>11385</v>
      </c>
      <c r="G1826">
        <v>5070</v>
      </c>
      <c r="H1826">
        <v>63.1</v>
      </c>
      <c r="I1826">
        <v>56.5</v>
      </c>
      <c r="J1826">
        <v>69.7</v>
      </c>
      <c r="K1826">
        <v>634</v>
      </c>
      <c r="L1826">
        <v>369</v>
      </c>
      <c r="M1826">
        <v>899</v>
      </c>
      <c r="N1826">
        <v>4.5999999999999996</v>
      </c>
      <c r="O1826">
        <v>3.3</v>
      </c>
      <c r="P1826">
        <v>5.9</v>
      </c>
      <c r="Q1826">
        <f t="shared" si="54"/>
        <v>4627002</v>
      </c>
      <c r="R1826">
        <f t="shared" si="55"/>
        <v>13.702176917148513</v>
      </c>
      <c r="U1826">
        <v>1193</v>
      </c>
      <c r="V1826">
        <v>702</v>
      </c>
      <c r="W1826">
        <v>1685</v>
      </c>
      <c r="X1826">
        <v>657</v>
      </c>
      <c r="Y1826">
        <v>64.5</v>
      </c>
      <c r="Z1826">
        <v>56</v>
      </c>
      <c r="AA1826">
        <v>73</v>
      </c>
    </row>
    <row r="1827" spans="1:27" x14ac:dyDescent="0.25">
      <c r="A1827" t="s">
        <v>242</v>
      </c>
      <c r="B1827" t="s">
        <v>196</v>
      </c>
      <c r="C1827" s="76">
        <v>43975</v>
      </c>
      <c r="D1827">
        <v>8389</v>
      </c>
      <c r="E1827">
        <v>5791</v>
      </c>
      <c r="F1827">
        <v>10987</v>
      </c>
      <c r="G1827">
        <v>5274</v>
      </c>
      <c r="H1827">
        <v>61.4</v>
      </c>
      <c r="I1827">
        <v>55.5</v>
      </c>
      <c r="J1827">
        <v>67.3</v>
      </c>
      <c r="K1827">
        <v>635</v>
      </c>
      <c r="L1827">
        <v>376</v>
      </c>
      <c r="M1827">
        <v>895</v>
      </c>
      <c r="N1827">
        <v>4.7</v>
      </c>
      <c r="O1827">
        <v>3.4</v>
      </c>
      <c r="P1827">
        <v>5.9</v>
      </c>
      <c r="Q1827">
        <f t="shared" si="54"/>
        <v>4627002</v>
      </c>
      <c r="R1827">
        <f t="shared" si="55"/>
        <v>13.723789183579346</v>
      </c>
      <c r="U1827">
        <v>1196</v>
      </c>
      <c r="V1827">
        <v>718</v>
      </c>
      <c r="W1827">
        <v>1675</v>
      </c>
      <c r="X1827">
        <v>625</v>
      </c>
      <c r="Y1827">
        <v>65.7</v>
      </c>
      <c r="Z1827">
        <v>56.1</v>
      </c>
      <c r="AA1827">
        <v>75.3</v>
      </c>
    </row>
    <row r="1828" spans="1:27" x14ac:dyDescent="0.25">
      <c r="A1828" t="s">
        <v>242</v>
      </c>
      <c r="B1828" t="s">
        <v>196</v>
      </c>
      <c r="C1828" s="76">
        <v>43976</v>
      </c>
      <c r="D1828">
        <v>8036</v>
      </c>
      <c r="E1828">
        <v>5491</v>
      </c>
      <c r="F1828">
        <v>10581</v>
      </c>
      <c r="G1828">
        <v>5209</v>
      </c>
      <c r="H1828">
        <v>60.7</v>
      </c>
      <c r="I1828">
        <v>54.8</v>
      </c>
      <c r="J1828">
        <v>66.5</v>
      </c>
      <c r="K1828">
        <v>607</v>
      </c>
      <c r="L1828">
        <v>344</v>
      </c>
      <c r="M1828">
        <v>870</v>
      </c>
      <c r="N1828">
        <v>4.5999999999999996</v>
      </c>
      <c r="O1828">
        <v>3.2</v>
      </c>
      <c r="P1828">
        <v>6</v>
      </c>
      <c r="Q1828">
        <f t="shared" si="54"/>
        <v>4627002</v>
      </c>
      <c r="R1828">
        <f t="shared" si="55"/>
        <v>13.118645723516003</v>
      </c>
      <c r="U1828">
        <v>1129</v>
      </c>
      <c r="V1828">
        <v>674</v>
      </c>
      <c r="W1828">
        <v>1584</v>
      </c>
      <c r="X1828">
        <v>588</v>
      </c>
      <c r="Y1828">
        <v>65.8</v>
      </c>
      <c r="Z1828">
        <v>55.8</v>
      </c>
      <c r="AA1828">
        <v>75.7</v>
      </c>
    </row>
    <row r="1829" spans="1:27" x14ac:dyDescent="0.25">
      <c r="A1829" t="s">
        <v>242</v>
      </c>
      <c r="B1829" t="s">
        <v>196</v>
      </c>
      <c r="C1829" s="76">
        <v>43977</v>
      </c>
      <c r="D1829">
        <v>8277</v>
      </c>
      <c r="E1829">
        <v>5579</v>
      </c>
      <c r="F1829">
        <v>10975</v>
      </c>
      <c r="G1829">
        <v>4796</v>
      </c>
      <c r="H1829">
        <v>63.3</v>
      </c>
      <c r="I1829">
        <v>57.2</v>
      </c>
      <c r="J1829">
        <v>69.400000000000006</v>
      </c>
      <c r="K1829">
        <v>603</v>
      </c>
      <c r="L1829">
        <v>343</v>
      </c>
      <c r="M1829">
        <v>864</v>
      </c>
      <c r="N1829">
        <v>4.5999999999999996</v>
      </c>
      <c r="O1829">
        <v>3.3</v>
      </c>
      <c r="P1829">
        <v>5.9</v>
      </c>
      <c r="Q1829">
        <f t="shared" si="54"/>
        <v>4627002</v>
      </c>
      <c r="R1829">
        <f t="shared" si="55"/>
        <v>13.032196657792669</v>
      </c>
      <c r="U1829">
        <v>1165</v>
      </c>
      <c r="V1829">
        <v>669</v>
      </c>
      <c r="W1829">
        <v>1662</v>
      </c>
      <c r="X1829">
        <v>575</v>
      </c>
      <c r="Y1829">
        <v>67</v>
      </c>
      <c r="Z1829">
        <v>56.5</v>
      </c>
      <c r="AA1829">
        <v>77.400000000000006</v>
      </c>
    </row>
    <row r="1830" spans="1:27" x14ac:dyDescent="0.25">
      <c r="A1830" t="s">
        <v>242</v>
      </c>
      <c r="B1830" t="s">
        <v>196</v>
      </c>
      <c r="C1830" s="76">
        <v>43978</v>
      </c>
      <c r="D1830">
        <v>9083</v>
      </c>
      <c r="E1830">
        <v>6074</v>
      </c>
      <c r="F1830">
        <v>12092</v>
      </c>
      <c r="G1830">
        <v>4277</v>
      </c>
      <c r="H1830">
        <v>68</v>
      </c>
      <c r="I1830">
        <v>61.9</v>
      </c>
      <c r="J1830">
        <v>74.099999999999994</v>
      </c>
      <c r="K1830">
        <v>574</v>
      </c>
      <c r="L1830">
        <v>318</v>
      </c>
      <c r="M1830">
        <v>829</v>
      </c>
      <c r="N1830">
        <v>4.3</v>
      </c>
      <c r="O1830">
        <v>3</v>
      </c>
      <c r="P1830">
        <v>5.6</v>
      </c>
      <c r="Q1830">
        <f t="shared" si="54"/>
        <v>4627002</v>
      </c>
      <c r="R1830">
        <f t="shared" si="55"/>
        <v>12.405440931298495</v>
      </c>
      <c r="U1830">
        <v>1219</v>
      </c>
      <c r="V1830">
        <v>679</v>
      </c>
      <c r="W1830">
        <v>1760</v>
      </c>
      <c r="X1830">
        <v>550</v>
      </c>
      <c r="Y1830">
        <v>68.900000000000006</v>
      </c>
      <c r="Z1830">
        <v>58</v>
      </c>
      <c r="AA1830">
        <v>79.8</v>
      </c>
    </row>
    <row r="1831" spans="1:27" x14ac:dyDescent="0.25">
      <c r="A1831" t="s">
        <v>242</v>
      </c>
      <c r="B1831" t="s">
        <v>196</v>
      </c>
      <c r="C1831" s="76">
        <v>43979</v>
      </c>
      <c r="D1831">
        <v>9585</v>
      </c>
      <c r="E1831">
        <v>6225</v>
      </c>
      <c r="F1831">
        <v>12946</v>
      </c>
      <c r="G1831">
        <v>4311</v>
      </c>
      <c r="H1831">
        <v>69</v>
      </c>
      <c r="I1831">
        <v>62.7</v>
      </c>
      <c r="J1831">
        <v>75.3</v>
      </c>
      <c r="K1831">
        <v>617</v>
      </c>
      <c r="L1831">
        <v>330</v>
      </c>
      <c r="M1831">
        <v>903</v>
      </c>
      <c r="N1831">
        <v>4.4000000000000004</v>
      </c>
      <c r="O1831">
        <v>3.1</v>
      </c>
      <c r="P1831">
        <v>5.8</v>
      </c>
      <c r="Q1831">
        <f t="shared" ref="Q1831:Q1894" si="56">VLOOKUP(B1831,$AE$4:$AF$55,2,FALSE)</f>
        <v>4627002</v>
      </c>
      <c r="R1831">
        <f t="shared" si="55"/>
        <v>13.334768387824342</v>
      </c>
      <c r="U1831">
        <v>1273</v>
      </c>
      <c r="V1831">
        <v>705</v>
      </c>
      <c r="W1831">
        <v>1842</v>
      </c>
      <c r="X1831">
        <v>697</v>
      </c>
      <c r="Y1831">
        <v>64.599999999999994</v>
      </c>
      <c r="Z1831">
        <v>54.7</v>
      </c>
      <c r="AA1831">
        <v>74.599999999999994</v>
      </c>
    </row>
    <row r="1832" spans="1:27" x14ac:dyDescent="0.25">
      <c r="A1832" t="s">
        <v>242</v>
      </c>
      <c r="B1832" t="s">
        <v>196</v>
      </c>
      <c r="C1832" s="76">
        <v>43980</v>
      </c>
      <c r="D1832">
        <v>9290</v>
      </c>
      <c r="E1832">
        <v>6412</v>
      </c>
      <c r="F1832">
        <v>12168</v>
      </c>
      <c r="G1832">
        <v>4558</v>
      </c>
      <c r="H1832">
        <v>67.099999999999994</v>
      </c>
      <c r="I1832">
        <v>61.2</v>
      </c>
      <c r="J1832">
        <v>72.900000000000006</v>
      </c>
      <c r="K1832">
        <v>577</v>
      </c>
      <c r="L1832">
        <v>345</v>
      </c>
      <c r="M1832">
        <v>809</v>
      </c>
      <c r="N1832">
        <v>4.2</v>
      </c>
      <c r="O1832">
        <v>3.1</v>
      </c>
      <c r="P1832">
        <v>5.2</v>
      </c>
      <c r="Q1832">
        <f t="shared" si="56"/>
        <v>4627002</v>
      </c>
      <c r="R1832">
        <f t="shared" si="55"/>
        <v>12.470277730590995</v>
      </c>
      <c r="U1832">
        <v>1225</v>
      </c>
      <c r="V1832">
        <v>709</v>
      </c>
      <c r="W1832">
        <v>1740</v>
      </c>
      <c r="X1832">
        <v>633</v>
      </c>
      <c r="Y1832">
        <v>65.900000000000006</v>
      </c>
      <c r="Z1832">
        <v>55.5</v>
      </c>
      <c r="AA1832">
        <v>76.3</v>
      </c>
    </row>
    <row r="1833" spans="1:27" x14ac:dyDescent="0.25">
      <c r="A1833" t="s">
        <v>242</v>
      </c>
      <c r="B1833" t="s">
        <v>196</v>
      </c>
      <c r="C1833" s="76">
        <v>43981</v>
      </c>
      <c r="D1833">
        <v>9140</v>
      </c>
      <c r="E1833">
        <v>6253</v>
      </c>
      <c r="F1833">
        <v>12028</v>
      </c>
      <c r="G1833">
        <v>5190</v>
      </c>
      <c r="H1833">
        <v>63.8</v>
      </c>
      <c r="I1833">
        <v>57.7</v>
      </c>
      <c r="J1833">
        <v>69.8</v>
      </c>
      <c r="K1833">
        <v>601</v>
      </c>
      <c r="L1833">
        <v>353</v>
      </c>
      <c r="M1833">
        <v>849</v>
      </c>
      <c r="N1833">
        <v>4.2</v>
      </c>
      <c r="O1833">
        <v>3.1</v>
      </c>
      <c r="P1833">
        <v>5.3</v>
      </c>
      <c r="Q1833">
        <f t="shared" si="56"/>
        <v>4627002</v>
      </c>
      <c r="R1833">
        <f t="shared" si="55"/>
        <v>12.988972124931003</v>
      </c>
      <c r="U1833">
        <v>1318</v>
      </c>
      <c r="V1833">
        <v>786</v>
      </c>
      <c r="W1833">
        <v>1851</v>
      </c>
      <c r="X1833">
        <v>655</v>
      </c>
      <c r="Y1833">
        <v>66.8</v>
      </c>
      <c r="Z1833">
        <v>57.9</v>
      </c>
      <c r="AA1833">
        <v>75.7</v>
      </c>
    </row>
    <row r="1834" spans="1:27" x14ac:dyDescent="0.25">
      <c r="A1834" t="s">
        <v>242</v>
      </c>
      <c r="B1834" t="s">
        <v>196</v>
      </c>
      <c r="C1834" s="76">
        <v>43982</v>
      </c>
      <c r="D1834">
        <v>8641</v>
      </c>
      <c r="E1834">
        <v>5719</v>
      </c>
      <c r="F1834">
        <v>11563</v>
      </c>
      <c r="G1834">
        <v>5242</v>
      </c>
      <c r="H1834">
        <v>62.2</v>
      </c>
      <c r="I1834">
        <v>56.4</v>
      </c>
      <c r="J1834">
        <v>68.099999999999994</v>
      </c>
      <c r="K1834">
        <v>567</v>
      </c>
      <c r="L1834">
        <v>301</v>
      </c>
      <c r="M1834">
        <v>833</v>
      </c>
      <c r="N1834">
        <v>4.0999999999999996</v>
      </c>
      <c r="O1834">
        <v>2.9</v>
      </c>
      <c r="P1834">
        <v>5.3</v>
      </c>
      <c r="Q1834">
        <f t="shared" si="56"/>
        <v>4627002</v>
      </c>
      <c r="R1834">
        <f t="shared" si="55"/>
        <v>12.25415506628266</v>
      </c>
      <c r="U1834">
        <v>1231</v>
      </c>
      <c r="V1834">
        <v>689</v>
      </c>
      <c r="W1834">
        <v>1772</v>
      </c>
      <c r="X1834">
        <v>701</v>
      </c>
      <c r="Y1834">
        <v>63.7</v>
      </c>
      <c r="Z1834">
        <v>54.7</v>
      </c>
      <c r="AA1834">
        <v>72.7</v>
      </c>
    </row>
    <row r="1835" spans="1:27" x14ac:dyDescent="0.25">
      <c r="A1835" t="s">
        <v>242</v>
      </c>
      <c r="B1835" t="s">
        <v>196</v>
      </c>
      <c r="C1835" s="76">
        <v>43983</v>
      </c>
      <c r="D1835">
        <v>7996</v>
      </c>
      <c r="E1835">
        <v>5322</v>
      </c>
      <c r="F1835">
        <v>10670</v>
      </c>
      <c r="G1835">
        <v>4974</v>
      </c>
      <c r="H1835">
        <v>61.7</v>
      </c>
      <c r="I1835">
        <v>55.4</v>
      </c>
      <c r="J1835">
        <v>67.900000000000006</v>
      </c>
      <c r="K1835">
        <v>512</v>
      </c>
      <c r="L1835">
        <v>287</v>
      </c>
      <c r="M1835">
        <v>738</v>
      </c>
      <c r="N1835">
        <v>4</v>
      </c>
      <c r="O1835">
        <v>2.8</v>
      </c>
      <c r="P1835">
        <v>5.0999999999999996</v>
      </c>
      <c r="Q1835">
        <f t="shared" si="56"/>
        <v>4627002</v>
      </c>
      <c r="R1835">
        <f t="shared" si="55"/>
        <v>11.06548041258681</v>
      </c>
      <c r="U1835">
        <v>1157</v>
      </c>
      <c r="V1835">
        <v>667</v>
      </c>
      <c r="W1835">
        <v>1646</v>
      </c>
      <c r="X1835">
        <v>657</v>
      </c>
      <c r="Y1835">
        <v>63.8</v>
      </c>
      <c r="Z1835">
        <v>54.8</v>
      </c>
      <c r="AA1835">
        <v>72.7</v>
      </c>
    </row>
    <row r="1836" spans="1:27" x14ac:dyDescent="0.25">
      <c r="A1836" t="s">
        <v>242</v>
      </c>
      <c r="B1836" t="s">
        <v>196</v>
      </c>
      <c r="C1836" s="76">
        <v>43984</v>
      </c>
      <c r="D1836">
        <v>8934</v>
      </c>
      <c r="E1836">
        <v>5788</v>
      </c>
      <c r="F1836">
        <v>12081</v>
      </c>
      <c r="G1836">
        <v>4489</v>
      </c>
      <c r="H1836">
        <v>66.599999999999994</v>
      </c>
      <c r="I1836">
        <v>60.3</v>
      </c>
      <c r="J1836">
        <v>72.8</v>
      </c>
      <c r="K1836">
        <v>468</v>
      </c>
      <c r="L1836">
        <v>239</v>
      </c>
      <c r="M1836">
        <v>696</v>
      </c>
      <c r="N1836">
        <v>3.5</v>
      </c>
      <c r="O1836">
        <v>2.2000000000000002</v>
      </c>
      <c r="P1836">
        <v>4.7</v>
      </c>
      <c r="Q1836">
        <f t="shared" si="56"/>
        <v>4627002</v>
      </c>
      <c r="R1836">
        <f t="shared" si="55"/>
        <v>10.114540689630131</v>
      </c>
      <c r="U1836">
        <v>1254</v>
      </c>
      <c r="V1836">
        <v>707</v>
      </c>
      <c r="W1836">
        <v>1801</v>
      </c>
      <c r="X1836">
        <v>658</v>
      </c>
      <c r="Y1836">
        <v>65.599999999999994</v>
      </c>
      <c r="Z1836">
        <v>57.3</v>
      </c>
      <c r="AA1836">
        <v>73.900000000000006</v>
      </c>
    </row>
    <row r="1837" spans="1:27" x14ac:dyDescent="0.25">
      <c r="A1837" t="s">
        <v>242</v>
      </c>
      <c r="B1837" t="s">
        <v>196</v>
      </c>
      <c r="C1837" s="76">
        <v>43985</v>
      </c>
      <c r="D1837">
        <v>8579</v>
      </c>
      <c r="E1837">
        <v>5060</v>
      </c>
      <c r="F1837">
        <v>12099</v>
      </c>
      <c r="G1837">
        <v>4462</v>
      </c>
      <c r="H1837">
        <v>65.8</v>
      </c>
      <c r="I1837">
        <v>58.2</v>
      </c>
      <c r="J1837">
        <v>73.400000000000006</v>
      </c>
      <c r="K1837">
        <v>446</v>
      </c>
      <c r="L1837">
        <v>173</v>
      </c>
      <c r="M1837">
        <v>719</v>
      </c>
      <c r="N1837">
        <v>3.4</v>
      </c>
      <c r="O1837">
        <v>1.9</v>
      </c>
      <c r="P1837">
        <v>5</v>
      </c>
      <c r="Q1837">
        <f t="shared" si="56"/>
        <v>4627002</v>
      </c>
      <c r="R1837">
        <f t="shared" si="55"/>
        <v>9.6390708281517927</v>
      </c>
      <c r="U1837">
        <v>976</v>
      </c>
      <c r="V1837">
        <v>468</v>
      </c>
      <c r="W1837">
        <v>1483</v>
      </c>
      <c r="X1837">
        <v>698</v>
      </c>
      <c r="Y1837">
        <v>58.3</v>
      </c>
      <c r="Z1837">
        <v>47.6</v>
      </c>
      <c r="AA1837">
        <v>69</v>
      </c>
    </row>
    <row r="1838" spans="1:27" x14ac:dyDescent="0.25">
      <c r="A1838" t="s">
        <v>242</v>
      </c>
      <c r="B1838" t="s">
        <v>196</v>
      </c>
      <c r="C1838" s="76">
        <v>43986</v>
      </c>
      <c r="D1838">
        <v>8823</v>
      </c>
      <c r="E1838">
        <v>5643</v>
      </c>
      <c r="F1838">
        <v>12003</v>
      </c>
      <c r="G1838">
        <v>4146</v>
      </c>
      <c r="H1838">
        <v>68</v>
      </c>
      <c r="I1838">
        <v>61.4</v>
      </c>
      <c r="J1838">
        <v>74.599999999999994</v>
      </c>
      <c r="K1838">
        <v>448</v>
      </c>
      <c r="L1838">
        <v>234</v>
      </c>
      <c r="M1838">
        <v>661</v>
      </c>
      <c r="N1838">
        <v>3.5</v>
      </c>
      <c r="O1838">
        <v>2.2999999999999998</v>
      </c>
      <c r="P1838">
        <v>4.5999999999999996</v>
      </c>
      <c r="Q1838">
        <f t="shared" si="56"/>
        <v>4627002</v>
      </c>
      <c r="R1838">
        <f t="shared" si="55"/>
        <v>9.6822953610134608</v>
      </c>
      <c r="U1838">
        <v>1246</v>
      </c>
      <c r="V1838">
        <v>675</v>
      </c>
      <c r="W1838">
        <v>1816</v>
      </c>
      <c r="X1838">
        <v>502</v>
      </c>
      <c r="Y1838">
        <v>71.3</v>
      </c>
      <c r="Z1838">
        <v>63.3</v>
      </c>
      <c r="AA1838">
        <v>79.2</v>
      </c>
    </row>
    <row r="1839" spans="1:27" x14ac:dyDescent="0.25">
      <c r="A1839" t="s">
        <v>242</v>
      </c>
      <c r="B1839" t="s">
        <v>196</v>
      </c>
      <c r="C1839" s="76">
        <v>43987</v>
      </c>
      <c r="D1839">
        <v>8607</v>
      </c>
      <c r="E1839">
        <v>5671</v>
      </c>
      <c r="F1839">
        <v>11542</v>
      </c>
      <c r="G1839">
        <v>5253</v>
      </c>
      <c r="H1839">
        <v>62.1</v>
      </c>
      <c r="I1839">
        <v>53.3</v>
      </c>
      <c r="J1839">
        <v>70.900000000000006</v>
      </c>
      <c r="K1839">
        <v>460</v>
      </c>
      <c r="L1839">
        <v>248</v>
      </c>
      <c r="M1839">
        <v>673</v>
      </c>
      <c r="N1839">
        <v>3.3</v>
      </c>
      <c r="O1839">
        <v>2.2000000000000002</v>
      </c>
      <c r="P1839">
        <v>4.4000000000000004</v>
      </c>
      <c r="Q1839">
        <f t="shared" si="56"/>
        <v>4627002</v>
      </c>
      <c r="R1839">
        <f t="shared" si="55"/>
        <v>9.9416425581834638</v>
      </c>
      <c r="U1839">
        <v>1448</v>
      </c>
      <c r="V1839">
        <v>775</v>
      </c>
      <c r="W1839">
        <v>2120</v>
      </c>
      <c r="X1839">
        <v>815</v>
      </c>
      <c r="Y1839">
        <v>64</v>
      </c>
      <c r="Z1839">
        <v>54.8</v>
      </c>
      <c r="AA1839">
        <v>73.2</v>
      </c>
    </row>
    <row r="1840" spans="1:27" x14ac:dyDescent="0.25">
      <c r="A1840" t="s">
        <v>242</v>
      </c>
      <c r="B1840" t="s">
        <v>196</v>
      </c>
      <c r="C1840" s="76">
        <v>43988</v>
      </c>
      <c r="D1840">
        <v>8096</v>
      </c>
      <c r="E1840">
        <v>5365</v>
      </c>
      <c r="F1840">
        <v>10828</v>
      </c>
      <c r="G1840">
        <v>5490</v>
      </c>
      <c r="H1840">
        <v>59.6</v>
      </c>
      <c r="I1840">
        <v>52.8</v>
      </c>
      <c r="J1840">
        <v>66.400000000000006</v>
      </c>
      <c r="K1840">
        <v>466</v>
      </c>
      <c r="L1840">
        <v>277</v>
      </c>
      <c r="M1840">
        <v>654</v>
      </c>
      <c r="N1840">
        <v>3.4</v>
      </c>
      <c r="O1840">
        <v>2.5</v>
      </c>
      <c r="P1840">
        <v>4.4000000000000004</v>
      </c>
      <c r="Q1840">
        <f t="shared" si="56"/>
        <v>4627002</v>
      </c>
      <c r="R1840">
        <f t="shared" si="55"/>
        <v>10.071316156768464</v>
      </c>
      <c r="U1840">
        <v>1488</v>
      </c>
      <c r="V1840">
        <v>834</v>
      </c>
      <c r="W1840">
        <v>2143</v>
      </c>
      <c r="X1840">
        <v>714</v>
      </c>
      <c r="Y1840">
        <v>67.599999999999994</v>
      </c>
      <c r="Z1840">
        <v>58.7</v>
      </c>
      <c r="AA1840">
        <v>76.5</v>
      </c>
    </row>
    <row r="1841" spans="1:27" x14ac:dyDescent="0.25">
      <c r="A1841" t="s">
        <v>242</v>
      </c>
      <c r="B1841" t="s">
        <v>196</v>
      </c>
      <c r="C1841" s="76">
        <v>43989</v>
      </c>
      <c r="D1841">
        <v>8553</v>
      </c>
      <c r="E1841">
        <v>5595</v>
      </c>
      <c r="F1841">
        <v>11512</v>
      </c>
      <c r="G1841">
        <v>5852</v>
      </c>
      <c r="H1841">
        <v>59.4</v>
      </c>
      <c r="I1841">
        <v>52.5</v>
      </c>
      <c r="J1841">
        <v>66.3</v>
      </c>
      <c r="K1841">
        <v>531</v>
      </c>
      <c r="L1841">
        <v>244</v>
      </c>
      <c r="M1841">
        <v>818</v>
      </c>
      <c r="N1841">
        <v>3.7</v>
      </c>
      <c r="O1841">
        <v>2.2000000000000002</v>
      </c>
      <c r="P1841">
        <v>5.2</v>
      </c>
      <c r="Q1841">
        <f t="shared" si="56"/>
        <v>4627002</v>
      </c>
      <c r="R1841">
        <f t="shared" si="55"/>
        <v>11.476113474772649</v>
      </c>
      <c r="U1841">
        <v>1461</v>
      </c>
      <c r="V1841">
        <v>830</v>
      </c>
      <c r="W1841">
        <v>2093</v>
      </c>
      <c r="X1841">
        <v>936</v>
      </c>
      <c r="Y1841">
        <v>60.9</v>
      </c>
      <c r="Z1841">
        <v>51.9</v>
      </c>
      <c r="AA1841">
        <v>70</v>
      </c>
    </row>
    <row r="1842" spans="1:27" x14ac:dyDescent="0.25">
      <c r="A1842" t="s">
        <v>242</v>
      </c>
      <c r="B1842" t="s">
        <v>196</v>
      </c>
      <c r="C1842" s="76">
        <v>43990</v>
      </c>
      <c r="D1842">
        <v>8546</v>
      </c>
      <c r="E1842">
        <v>5504</v>
      </c>
      <c r="F1842">
        <v>11587</v>
      </c>
      <c r="G1842">
        <v>5549</v>
      </c>
      <c r="H1842">
        <v>60.6</v>
      </c>
      <c r="I1842">
        <v>52.9</v>
      </c>
      <c r="J1842">
        <v>68.3</v>
      </c>
      <c r="K1842">
        <v>460</v>
      </c>
      <c r="L1842">
        <v>250</v>
      </c>
      <c r="M1842">
        <v>670</v>
      </c>
      <c r="N1842">
        <v>3.3</v>
      </c>
      <c r="O1842">
        <v>2.2999999999999998</v>
      </c>
      <c r="P1842">
        <v>4.3</v>
      </c>
      <c r="Q1842">
        <f t="shared" si="56"/>
        <v>4627002</v>
      </c>
      <c r="R1842">
        <f t="shared" si="55"/>
        <v>9.9416425581834638</v>
      </c>
      <c r="U1842">
        <v>1385</v>
      </c>
      <c r="V1842">
        <v>791</v>
      </c>
      <c r="W1842">
        <v>1979</v>
      </c>
      <c r="X1842">
        <v>916</v>
      </c>
      <c r="Y1842">
        <v>60.2</v>
      </c>
      <c r="Z1842">
        <v>51.4</v>
      </c>
      <c r="AA1842">
        <v>69</v>
      </c>
    </row>
    <row r="1843" spans="1:27" x14ac:dyDescent="0.25">
      <c r="A1843" t="s">
        <v>242</v>
      </c>
      <c r="B1843" t="s">
        <v>196</v>
      </c>
      <c r="C1843" s="76">
        <v>43991</v>
      </c>
      <c r="D1843">
        <v>9175</v>
      </c>
      <c r="E1843">
        <v>5957</v>
      </c>
      <c r="F1843">
        <v>12394</v>
      </c>
      <c r="G1843">
        <v>5353</v>
      </c>
      <c r="H1843">
        <v>63.2</v>
      </c>
      <c r="I1843">
        <v>55.6</v>
      </c>
      <c r="J1843">
        <v>70.7</v>
      </c>
      <c r="K1843">
        <v>490</v>
      </c>
      <c r="L1843">
        <v>270</v>
      </c>
      <c r="M1843">
        <v>710</v>
      </c>
      <c r="N1843">
        <v>3.4</v>
      </c>
      <c r="O1843">
        <v>2.4</v>
      </c>
      <c r="P1843">
        <v>4.4000000000000004</v>
      </c>
      <c r="Q1843">
        <f t="shared" si="56"/>
        <v>4627002</v>
      </c>
      <c r="R1843">
        <f t="shared" si="55"/>
        <v>10.590010551108472</v>
      </c>
      <c r="U1843">
        <v>1535</v>
      </c>
      <c r="V1843">
        <v>851</v>
      </c>
      <c r="W1843">
        <v>2218</v>
      </c>
      <c r="X1843">
        <v>877</v>
      </c>
      <c r="Y1843">
        <v>63.6</v>
      </c>
      <c r="Z1843">
        <v>52.8</v>
      </c>
      <c r="AA1843">
        <v>74.400000000000006</v>
      </c>
    </row>
    <row r="1844" spans="1:27" x14ac:dyDescent="0.25">
      <c r="A1844" t="s">
        <v>242</v>
      </c>
      <c r="B1844" t="s">
        <v>196</v>
      </c>
      <c r="C1844" s="76">
        <v>43992</v>
      </c>
      <c r="D1844">
        <v>9156</v>
      </c>
      <c r="E1844">
        <v>5781</v>
      </c>
      <c r="F1844">
        <v>12530</v>
      </c>
      <c r="G1844">
        <v>5323</v>
      </c>
      <c r="H1844">
        <v>63.2</v>
      </c>
      <c r="I1844">
        <v>55.3</v>
      </c>
      <c r="J1844">
        <v>71.2</v>
      </c>
      <c r="K1844">
        <v>448</v>
      </c>
      <c r="L1844">
        <v>220</v>
      </c>
      <c r="M1844">
        <v>676</v>
      </c>
      <c r="N1844">
        <v>3.1</v>
      </c>
      <c r="O1844">
        <v>1.9</v>
      </c>
      <c r="P1844">
        <v>4.3</v>
      </c>
      <c r="Q1844">
        <f t="shared" si="56"/>
        <v>4627002</v>
      </c>
      <c r="R1844">
        <f t="shared" si="55"/>
        <v>9.6822953610134608</v>
      </c>
      <c r="U1844">
        <v>1562</v>
      </c>
      <c r="V1844">
        <v>733</v>
      </c>
      <c r="W1844">
        <v>2391</v>
      </c>
      <c r="X1844">
        <v>913</v>
      </c>
      <c r="Y1844">
        <v>63.1</v>
      </c>
      <c r="Z1844">
        <v>54.2</v>
      </c>
      <c r="AA1844">
        <v>72.099999999999994</v>
      </c>
    </row>
    <row r="1845" spans="1:27" x14ac:dyDescent="0.25">
      <c r="A1845" t="s">
        <v>242</v>
      </c>
      <c r="B1845" t="s">
        <v>196</v>
      </c>
      <c r="C1845" s="76">
        <v>43993</v>
      </c>
      <c r="D1845">
        <v>9936</v>
      </c>
      <c r="E1845">
        <v>6387</v>
      </c>
      <c r="F1845">
        <v>13485</v>
      </c>
      <c r="G1845">
        <v>5484</v>
      </c>
      <c r="H1845">
        <v>64.400000000000006</v>
      </c>
      <c r="I1845">
        <v>56.9</v>
      </c>
      <c r="J1845">
        <v>72</v>
      </c>
      <c r="K1845">
        <v>501</v>
      </c>
      <c r="L1845">
        <v>259</v>
      </c>
      <c r="M1845">
        <v>742</v>
      </c>
      <c r="N1845">
        <v>3.2</v>
      </c>
      <c r="O1845">
        <v>2.2000000000000002</v>
      </c>
      <c r="P1845">
        <v>4.3</v>
      </c>
      <c r="Q1845">
        <f t="shared" si="56"/>
        <v>4627002</v>
      </c>
      <c r="R1845">
        <f t="shared" si="55"/>
        <v>10.827745481847641</v>
      </c>
      <c r="U1845">
        <v>1641</v>
      </c>
      <c r="V1845">
        <v>877</v>
      </c>
      <c r="W1845">
        <v>2405</v>
      </c>
      <c r="X1845">
        <v>839</v>
      </c>
      <c r="Y1845">
        <v>66.2</v>
      </c>
      <c r="Z1845">
        <v>57.7</v>
      </c>
      <c r="AA1845">
        <v>74.599999999999994</v>
      </c>
    </row>
    <row r="1846" spans="1:27" x14ac:dyDescent="0.25">
      <c r="A1846" t="s">
        <v>242</v>
      </c>
      <c r="B1846" t="s">
        <v>196</v>
      </c>
      <c r="C1846" s="76">
        <v>43994</v>
      </c>
      <c r="D1846">
        <v>8797</v>
      </c>
      <c r="E1846">
        <v>5769</v>
      </c>
      <c r="F1846">
        <v>11825</v>
      </c>
      <c r="G1846">
        <v>5276</v>
      </c>
      <c r="H1846">
        <v>62.5</v>
      </c>
      <c r="I1846">
        <v>56.5</v>
      </c>
      <c r="J1846">
        <v>68.5</v>
      </c>
      <c r="K1846">
        <v>544</v>
      </c>
      <c r="L1846">
        <v>275</v>
      </c>
      <c r="M1846">
        <v>814</v>
      </c>
      <c r="N1846">
        <v>3.9</v>
      </c>
      <c r="O1846">
        <v>2.2999999999999998</v>
      </c>
      <c r="P1846">
        <v>5.4</v>
      </c>
      <c r="Q1846">
        <f t="shared" si="56"/>
        <v>4627002</v>
      </c>
      <c r="R1846">
        <f t="shared" si="55"/>
        <v>11.757072938373486</v>
      </c>
      <c r="U1846">
        <v>1384</v>
      </c>
      <c r="V1846">
        <v>774</v>
      </c>
      <c r="W1846">
        <v>1995</v>
      </c>
      <c r="X1846">
        <v>863</v>
      </c>
      <c r="Y1846">
        <v>61.6</v>
      </c>
      <c r="Z1846">
        <v>53.6</v>
      </c>
      <c r="AA1846">
        <v>69.599999999999994</v>
      </c>
    </row>
    <row r="1847" spans="1:27" x14ac:dyDescent="0.25">
      <c r="A1847" t="s">
        <v>242</v>
      </c>
      <c r="B1847" t="s">
        <v>196</v>
      </c>
      <c r="C1847" s="76">
        <v>43995</v>
      </c>
      <c r="D1847">
        <v>7903</v>
      </c>
      <c r="E1847">
        <v>5197</v>
      </c>
      <c r="F1847">
        <v>10609</v>
      </c>
      <c r="G1847">
        <v>5720</v>
      </c>
      <c r="H1847">
        <v>58</v>
      </c>
      <c r="I1847">
        <v>49.7</v>
      </c>
      <c r="J1847">
        <v>66.3</v>
      </c>
      <c r="K1847">
        <v>481</v>
      </c>
      <c r="L1847">
        <v>255</v>
      </c>
      <c r="M1847">
        <v>708</v>
      </c>
      <c r="N1847">
        <v>3.5</v>
      </c>
      <c r="O1847">
        <v>2.4</v>
      </c>
      <c r="P1847">
        <v>4.7</v>
      </c>
      <c r="Q1847">
        <f t="shared" si="56"/>
        <v>4627002</v>
      </c>
      <c r="R1847">
        <f t="shared" si="55"/>
        <v>10.395500153230969</v>
      </c>
      <c r="U1847">
        <v>1334</v>
      </c>
      <c r="V1847">
        <v>754</v>
      </c>
      <c r="W1847">
        <v>1913</v>
      </c>
      <c r="X1847">
        <v>968</v>
      </c>
      <c r="Y1847">
        <v>57.9</v>
      </c>
      <c r="Z1847">
        <v>50.5</v>
      </c>
      <c r="AA1847">
        <v>65.400000000000006</v>
      </c>
    </row>
    <row r="1848" spans="1:27" x14ac:dyDescent="0.25">
      <c r="A1848" t="s">
        <v>242</v>
      </c>
      <c r="B1848" t="s">
        <v>196</v>
      </c>
      <c r="C1848" s="76">
        <v>43996</v>
      </c>
      <c r="D1848">
        <v>9082</v>
      </c>
      <c r="E1848">
        <v>5991</v>
      </c>
      <c r="F1848">
        <v>12172</v>
      </c>
      <c r="G1848">
        <v>5627</v>
      </c>
      <c r="H1848">
        <v>61.7</v>
      </c>
      <c r="I1848">
        <v>54.2</v>
      </c>
      <c r="J1848">
        <v>69.3</v>
      </c>
      <c r="K1848">
        <v>517</v>
      </c>
      <c r="L1848">
        <v>286</v>
      </c>
      <c r="M1848">
        <v>748</v>
      </c>
      <c r="N1848">
        <v>3.5</v>
      </c>
      <c r="O1848">
        <v>2.4</v>
      </c>
      <c r="P1848">
        <v>4.5999999999999996</v>
      </c>
      <c r="Q1848">
        <f t="shared" si="56"/>
        <v>4627002</v>
      </c>
      <c r="R1848">
        <f t="shared" si="55"/>
        <v>11.17354174474098</v>
      </c>
      <c r="U1848">
        <v>1549</v>
      </c>
      <c r="V1848">
        <v>906</v>
      </c>
      <c r="W1848">
        <v>2193</v>
      </c>
      <c r="X1848">
        <v>1037</v>
      </c>
      <c r="Y1848">
        <v>59.9</v>
      </c>
      <c r="Z1848">
        <v>53.2</v>
      </c>
      <c r="AA1848">
        <v>66.599999999999994</v>
      </c>
    </row>
    <row r="1849" spans="1:27" x14ac:dyDescent="0.25">
      <c r="A1849" t="s">
        <v>242</v>
      </c>
      <c r="B1849" t="s">
        <v>196</v>
      </c>
      <c r="C1849" s="76">
        <v>43997</v>
      </c>
      <c r="D1849">
        <v>8115</v>
      </c>
      <c r="E1849">
        <v>5241</v>
      </c>
      <c r="F1849">
        <v>10990</v>
      </c>
      <c r="G1849">
        <v>5466</v>
      </c>
      <c r="H1849">
        <v>59.8</v>
      </c>
      <c r="I1849">
        <v>53</v>
      </c>
      <c r="J1849">
        <v>66.5</v>
      </c>
      <c r="K1849">
        <v>524</v>
      </c>
      <c r="L1849">
        <v>281</v>
      </c>
      <c r="M1849">
        <v>766</v>
      </c>
      <c r="N1849">
        <v>3.9</v>
      </c>
      <c r="O1849">
        <v>2.6</v>
      </c>
      <c r="P1849">
        <v>5.0999999999999996</v>
      </c>
      <c r="Q1849">
        <f t="shared" si="56"/>
        <v>4627002</v>
      </c>
      <c r="R1849">
        <f t="shared" si="55"/>
        <v>11.324827609756815</v>
      </c>
      <c r="U1849">
        <v>1433</v>
      </c>
      <c r="V1849">
        <v>772</v>
      </c>
      <c r="W1849">
        <v>2093</v>
      </c>
      <c r="X1849">
        <v>1039</v>
      </c>
      <c r="Y1849">
        <v>58</v>
      </c>
      <c r="Z1849">
        <v>49.8</v>
      </c>
      <c r="AA1849">
        <v>66.099999999999994</v>
      </c>
    </row>
    <row r="1850" spans="1:27" x14ac:dyDescent="0.25">
      <c r="A1850" t="s">
        <v>242</v>
      </c>
      <c r="B1850" t="s">
        <v>196</v>
      </c>
      <c r="C1850" s="76">
        <v>43998</v>
      </c>
      <c r="D1850">
        <v>8515</v>
      </c>
      <c r="E1850">
        <v>5274</v>
      </c>
      <c r="F1850">
        <v>11757</v>
      </c>
      <c r="G1850">
        <v>4526</v>
      </c>
      <c r="H1850">
        <v>65.3</v>
      </c>
      <c r="I1850">
        <v>58.8</v>
      </c>
      <c r="J1850">
        <v>71.8</v>
      </c>
      <c r="K1850">
        <v>475</v>
      </c>
      <c r="L1850">
        <v>237</v>
      </c>
      <c r="M1850">
        <v>713</v>
      </c>
      <c r="N1850">
        <v>3.6</v>
      </c>
      <c r="O1850">
        <v>2.2999999999999998</v>
      </c>
      <c r="P1850">
        <v>5</v>
      </c>
      <c r="Q1850">
        <f t="shared" si="56"/>
        <v>4627002</v>
      </c>
      <c r="R1850">
        <f t="shared" si="55"/>
        <v>10.265826554645967</v>
      </c>
      <c r="U1850">
        <v>1459</v>
      </c>
      <c r="V1850">
        <v>683</v>
      </c>
      <c r="W1850">
        <v>2234</v>
      </c>
      <c r="X1850">
        <v>947</v>
      </c>
      <c r="Y1850">
        <v>60.6</v>
      </c>
      <c r="Z1850">
        <v>51.6</v>
      </c>
      <c r="AA1850">
        <v>69.7</v>
      </c>
    </row>
    <row r="1851" spans="1:27" x14ac:dyDescent="0.25">
      <c r="A1851" t="s">
        <v>242</v>
      </c>
      <c r="B1851" t="s">
        <v>196</v>
      </c>
      <c r="C1851" s="76">
        <v>43999</v>
      </c>
      <c r="D1851">
        <v>8627</v>
      </c>
      <c r="E1851">
        <v>4500</v>
      </c>
      <c r="F1851">
        <v>12754</v>
      </c>
      <c r="G1851">
        <v>4009</v>
      </c>
      <c r="H1851">
        <v>68.3</v>
      </c>
      <c r="I1851">
        <v>60.5</v>
      </c>
      <c r="J1851">
        <v>76</v>
      </c>
      <c r="K1851">
        <v>489</v>
      </c>
      <c r="L1851">
        <v>202</v>
      </c>
      <c r="M1851">
        <v>776</v>
      </c>
      <c r="N1851">
        <v>3.9</v>
      </c>
      <c r="O1851">
        <v>2.4</v>
      </c>
      <c r="P1851">
        <v>5.3</v>
      </c>
      <c r="Q1851">
        <f t="shared" si="56"/>
        <v>4627002</v>
      </c>
      <c r="R1851">
        <f t="shared" si="55"/>
        <v>10.568398284677638</v>
      </c>
      <c r="U1851">
        <v>1065</v>
      </c>
      <c r="V1851">
        <v>423</v>
      </c>
      <c r="W1851">
        <v>1708</v>
      </c>
      <c r="X1851">
        <v>744</v>
      </c>
      <c r="Y1851">
        <v>58.9</v>
      </c>
      <c r="Z1851">
        <v>50</v>
      </c>
      <c r="AA1851">
        <v>67.7</v>
      </c>
    </row>
    <row r="1852" spans="1:27" x14ac:dyDescent="0.25">
      <c r="A1852" t="s">
        <v>242</v>
      </c>
      <c r="B1852" t="s">
        <v>196</v>
      </c>
      <c r="C1852" s="76">
        <v>44000</v>
      </c>
      <c r="D1852">
        <v>8952</v>
      </c>
      <c r="E1852">
        <v>5727</v>
      </c>
      <c r="F1852">
        <v>12178</v>
      </c>
      <c r="G1852">
        <v>5009</v>
      </c>
      <c r="H1852">
        <v>64.099999999999994</v>
      </c>
      <c r="I1852">
        <v>57</v>
      </c>
      <c r="J1852">
        <v>71.2</v>
      </c>
      <c r="K1852">
        <v>506</v>
      </c>
      <c r="L1852">
        <v>276</v>
      </c>
      <c r="M1852">
        <v>737</v>
      </c>
      <c r="N1852">
        <v>3.6</v>
      </c>
      <c r="O1852">
        <v>2.5</v>
      </c>
      <c r="P1852">
        <v>4.7</v>
      </c>
      <c r="Q1852">
        <f t="shared" si="56"/>
        <v>4627002</v>
      </c>
      <c r="R1852">
        <f t="shared" si="55"/>
        <v>10.935806814001809</v>
      </c>
      <c r="U1852">
        <v>1523</v>
      </c>
      <c r="V1852">
        <v>773</v>
      </c>
      <c r="W1852">
        <v>2273</v>
      </c>
      <c r="X1852">
        <v>952</v>
      </c>
      <c r="Y1852">
        <v>61.5</v>
      </c>
      <c r="Z1852">
        <v>53</v>
      </c>
      <c r="AA1852">
        <v>70.099999999999994</v>
      </c>
    </row>
    <row r="1853" spans="1:27" x14ac:dyDescent="0.25">
      <c r="A1853" t="s">
        <v>242</v>
      </c>
      <c r="B1853" t="s">
        <v>196</v>
      </c>
      <c r="C1853" s="76">
        <v>44001</v>
      </c>
      <c r="D1853">
        <v>10079</v>
      </c>
      <c r="E1853">
        <v>6655</v>
      </c>
      <c r="F1853">
        <v>13504</v>
      </c>
      <c r="G1853">
        <v>4568</v>
      </c>
      <c r="H1853">
        <v>68.8</v>
      </c>
      <c r="I1853">
        <v>62.3</v>
      </c>
      <c r="J1853">
        <v>75.400000000000006</v>
      </c>
      <c r="K1853">
        <v>567</v>
      </c>
      <c r="L1853">
        <v>295</v>
      </c>
      <c r="M1853">
        <v>839</v>
      </c>
      <c r="N1853">
        <v>3.9</v>
      </c>
      <c r="O1853">
        <v>2.6</v>
      </c>
      <c r="P1853">
        <v>5.0999999999999996</v>
      </c>
      <c r="Q1853">
        <f t="shared" si="56"/>
        <v>4627002</v>
      </c>
      <c r="R1853">
        <f t="shared" si="55"/>
        <v>12.25415506628266</v>
      </c>
      <c r="U1853">
        <v>1670</v>
      </c>
      <c r="V1853">
        <v>949</v>
      </c>
      <c r="W1853">
        <v>2391</v>
      </c>
      <c r="X1853">
        <v>881</v>
      </c>
      <c r="Y1853">
        <v>65.5</v>
      </c>
      <c r="Z1853">
        <v>56.5</v>
      </c>
      <c r="AA1853">
        <v>74.400000000000006</v>
      </c>
    </row>
    <row r="1854" spans="1:27" x14ac:dyDescent="0.25">
      <c r="A1854" t="s">
        <v>242</v>
      </c>
      <c r="B1854" t="s">
        <v>196</v>
      </c>
      <c r="C1854" s="76">
        <v>44002</v>
      </c>
      <c r="D1854">
        <v>8691</v>
      </c>
      <c r="E1854">
        <v>5717</v>
      </c>
      <c r="F1854">
        <v>11665</v>
      </c>
      <c r="G1854">
        <v>4858</v>
      </c>
      <c r="H1854">
        <v>64.099999999999994</v>
      </c>
      <c r="I1854">
        <v>57.9</v>
      </c>
      <c r="J1854">
        <v>70.3</v>
      </c>
      <c r="K1854">
        <v>484</v>
      </c>
      <c r="L1854">
        <v>274</v>
      </c>
      <c r="M1854">
        <v>693</v>
      </c>
      <c r="N1854">
        <v>3.6</v>
      </c>
      <c r="O1854">
        <v>2.5</v>
      </c>
      <c r="P1854">
        <v>4.5999999999999996</v>
      </c>
      <c r="Q1854">
        <f t="shared" si="56"/>
        <v>4627002</v>
      </c>
      <c r="R1854">
        <f t="shared" si="55"/>
        <v>10.46033695252347</v>
      </c>
      <c r="U1854">
        <v>1480</v>
      </c>
      <c r="V1854">
        <v>816</v>
      </c>
      <c r="W1854">
        <v>2145</v>
      </c>
      <c r="X1854">
        <v>868</v>
      </c>
      <c r="Y1854">
        <v>63</v>
      </c>
      <c r="Z1854">
        <v>54.3</v>
      </c>
      <c r="AA1854">
        <v>71.8</v>
      </c>
    </row>
    <row r="1855" spans="1:27" x14ac:dyDescent="0.25">
      <c r="A1855" t="s">
        <v>242</v>
      </c>
      <c r="B1855" t="s">
        <v>196</v>
      </c>
      <c r="C1855" s="76">
        <v>44003</v>
      </c>
      <c r="D1855">
        <v>8880</v>
      </c>
      <c r="E1855">
        <v>5767</v>
      </c>
      <c r="F1855">
        <v>11993</v>
      </c>
      <c r="G1855">
        <v>5386</v>
      </c>
      <c r="H1855">
        <v>62.2</v>
      </c>
      <c r="I1855">
        <v>55.7</v>
      </c>
      <c r="J1855">
        <v>68.8</v>
      </c>
      <c r="K1855">
        <v>491</v>
      </c>
      <c r="L1855">
        <v>240</v>
      </c>
      <c r="M1855">
        <v>742</v>
      </c>
      <c r="N1855">
        <v>3.4</v>
      </c>
      <c r="O1855">
        <v>2.2999999999999998</v>
      </c>
      <c r="P1855">
        <v>4.5999999999999996</v>
      </c>
      <c r="Q1855">
        <f t="shared" si="56"/>
        <v>4627002</v>
      </c>
      <c r="R1855">
        <f t="shared" si="55"/>
        <v>10.611622817539304</v>
      </c>
      <c r="U1855">
        <v>1394</v>
      </c>
      <c r="V1855">
        <v>769</v>
      </c>
      <c r="W1855">
        <v>2019</v>
      </c>
      <c r="X1855">
        <v>850</v>
      </c>
      <c r="Y1855">
        <v>62.1</v>
      </c>
      <c r="Z1855">
        <v>53</v>
      </c>
      <c r="AA1855">
        <v>71.3</v>
      </c>
    </row>
    <row r="1856" spans="1:27" x14ac:dyDescent="0.25">
      <c r="A1856" t="s">
        <v>242</v>
      </c>
      <c r="B1856" t="s">
        <v>196</v>
      </c>
      <c r="C1856" s="76">
        <v>44004</v>
      </c>
      <c r="D1856">
        <v>8745</v>
      </c>
      <c r="E1856">
        <v>5459</v>
      </c>
      <c r="F1856">
        <v>12031</v>
      </c>
      <c r="G1856">
        <v>5195</v>
      </c>
      <c r="H1856">
        <v>62.7</v>
      </c>
      <c r="I1856">
        <v>55.5</v>
      </c>
      <c r="J1856">
        <v>70</v>
      </c>
      <c r="K1856">
        <v>501</v>
      </c>
      <c r="L1856">
        <v>273</v>
      </c>
      <c r="M1856">
        <v>728</v>
      </c>
      <c r="N1856">
        <v>3.6</v>
      </c>
      <c r="O1856">
        <v>2.6</v>
      </c>
      <c r="P1856">
        <v>4.5999999999999996</v>
      </c>
      <c r="Q1856">
        <f t="shared" si="56"/>
        <v>4627002</v>
      </c>
      <c r="R1856">
        <f t="shared" si="55"/>
        <v>10.827745481847641</v>
      </c>
      <c r="U1856">
        <v>1548</v>
      </c>
      <c r="V1856">
        <v>756</v>
      </c>
      <c r="W1856">
        <v>2339</v>
      </c>
      <c r="X1856">
        <v>1009</v>
      </c>
      <c r="Y1856">
        <v>60.5</v>
      </c>
      <c r="Z1856">
        <v>51.5</v>
      </c>
      <c r="AA1856">
        <v>69.5</v>
      </c>
    </row>
    <row r="1857" spans="1:27" x14ac:dyDescent="0.25">
      <c r="A1857" t="s">
        <v>242</v>
      </c>
      <c r="B1857" t="s">
        <v>196</v>
      </c>
      <c r="C1857" s="76">
        <v>44005</v>
      </c>
      <c r="D1857">
        <v>9279</v>
      </c>
      <c r="E1857">
        <v>5894</v>
      </c>
      <c r="F1857">
        <v>12664</v>
      </c>
      <c r="G1857">
        <v>4786</v>
      </c>
      <c r="H1857">
        <v>66</v>
      </c>
      <c r="I1857">
        <v>59.1</v>
      </c>
      <c r="J1857">
        <v>72.8</v>
      </c>
      <c r="K1857">
        <v>559</v>
      </c>
      <c r="L1857">
        <v>312</v>
      </c>
      <c r="M1857">
        <v>805</v>
      </c>
      <c r="N1857">
        <v>4</v>
      </c>
      <c r="O1857">
        <v>2.9</v>
      </c>
      <c r="P1857">
        <v>5.0999999999999996</v>
      </c>
      <c r="Q1857">
        <f t="shared" si="56"/>
        <v>4627002</v>
      </c>
      <c r="R1857">
        <f t="shared" si="55"/>
        <v>12.081256934835992</v>
      </c>
      <c r="U1857">
        <v>1657</v>
      </c>
      <c r="V1857">
        <v>806</v>
      </c>
      <c r="W1857">
        <v>2508</v>
      </c>
      <c r="X1857">
        <v>902</v>
      </c>
      <c r="Y1857">
        <v>64.8</v>
      </c>
      <c r="Z1857">
        <v>54.1</v>
      </c>
      <c r="AA1857">
        <v>75.400000000000006</v>
      </c>
    </row>
    <row r="1858" spans="1:27" x14ac:dyDescent="0.25">
      <c r="A1858" t="s">
        <v>242</v>
      </c>
      <c r="B1858" t="s">
        <v>196</v>
      </c>
      <c r="C1858" s="76">
        <v>44006</v>
      </c>
      <c r="D1858">
        <v>9119</v>
      </c>
      <c r="E1858">
        <v>5547</v>
      </c>
      <c r="F1858">
        <v>12692</v>
      </c>
      <c r="G1858">
        <v>4952</v>
      </c>
      <c r="H1858">
        <v>64.8</v>
      </c>
      <c r="I1858">
        <v>57.7</v>
      </c>
      <c r="J1858">
        <v>71.900000000000006</v>
      </c>
      <c r="K1858">
        <v>579</v>
      </c>
      <c r="L1858">
        <v>311</v>
      </c>
      <c r="M1858">
        <v>848</v>
      </c>
      <c r="N1858">
        <v>4.0999999999999996</v>
      </c>
      <c r="O1858">
        <v>2.9</v>
      </c>
      <c r="P1858">
        <v>5.3</v>
      </c>
      <c r="Q1858">
        <f t="shared" si="56"/>
        <v>4627002</v>
      </c>
      <c r="R1858">
        <f t="shared" si="55"/>
        <v>12.513502263452665</v>
      </c>
      <c r="U1858">
        <v>1732</v>
      </c>
      <c r="V1858">
        <v>798</v>
      </c>
      <c r="W1858">
        <v>2666</v>
      </c>
      <c r="X1858">
        <v>887</v>
      </c>
      <c r="Y1858">
        <v>66.099999999999994</v>
      </c>
      <c r="Z1858">
        <v>56.8</v>
      </c>
      <c r="AA1858">
        <v>75.5</v>
      </c>
    </row>
    <row r="1859" spans="1:27" x14ac:dyDescent="0.25">
      <c r="A1859" t="s">
        <v>242</v>
      </c>
      <c r="B1859" t="s">
        <v>196</v>
      </c>
      <c r="C1859" s="76">
        <v>44007</v>
      </c>
      <c r="D1859">
        <v>9062</v>
      </c>
      <c r="E1859">
        <v>5624</v>
      </c>
      <c r="F1859">
        <v>12500</v>
      </c>
      <c r="G1859">
        <v>4926</v>
      </c>
      <c r="H1859">
        <v>64.8</v>
      </c>
      <c r="I1859">
        <v>53.5</v>
      </c>
      <c r="J1859">
        <v>76.099999999999994</v>
      </c>
      <c r="K1859">
        <v>537</v>
      </c>
      <c r="L1859">
        <v>299</v>
      </c>
      <c r="M1859">
        <v>775</v>
      </c>
      <c r="N1859">
        <v>3.8</v>
      </c>
      <c r="O1859">
        <v>2.7</v>
      </c>
      <c r="P1859">
        <v>4.9000000000000004</v>
      </c>
      <c r="Q1859">
        <f t="shared" si="56"/>
        <v>4627002</v>
      </c>
      <c r="R1859">
        <f t="shared" si="55"/>
        <v>11.605787073357652</v>
      </c>
      <c r="U1859">
        <v>1437</v>
      </c>
      <c r="V1859">
        <v>729</v>
      </c>
      <c r="W1859">
        <v>2145</v>
      </c>
      <c r="X1859">
        <v>673</v>
      </c>
      <c r="Y1859">
        <v>68.099999999999994</v>
      </c>
      <c r="Z1859">
        <v>57</v>
      </c>
      <c r="AA1859">
        <v>79.2</v>
      </c>
    </row>
    <row r="1860" spans="1:27" x14ac:dyDescent="0.25">
      <c r="A1860" t="s">
        <v>242</v>
      </c>
      <c r="B1860" t="s">
        <v>196</v>
      </c>
      <c r="C1860" s="76">
        <v>44008</v>
      </c>
      <c r="D1860">
        <v>10072</v>
      </c>
      <c r="E1860">
        <v>6602</v>
      </c>
      <c r="F1860">
        <v>13543</v>
      </c>
      <c r="G1860">
        <v>4977</v>
      </c>
      <c r="H1860">
        <v>66.900000000000006</v>
      </c>
      <c r="I1860">
        <v>59.8</v>
      </c>
      <c r="J1860">
        <v>74</v>
      </c>
      <c r="K1860">
        <v>727</v>
      </c>
      <c r="L1860">
        <v>314</v>
      </c>
      <c r="M1860">
        <v>1139</v>
      </c>
      <c r="N1860">
        <v>4.8</v>
      </c>
      <c r="O1860">
        <v>2.9</v>
      </c>
      <c r="P1860">
        <v>6.8</v>
      </c>
      <c r="Q1860">
        <f t="shared" si="56"/>
        <v>4627002</v>
      </c>
      <c r="R1860">
        <f t="shared" si="55"/>
        <v>15.712117695216039</v>
      </c>
      <c r="U1860">
        <v>1712</v>
      </c>
      <c r="V1860">
        <v>962</v>
      </c>
      <c r="W1860">
        <v>2462</v>
      </c>
      <c r="X1860">
        <v>852</v>
      </c>
      <c r="Y1860">
        <v>66.8</v>
      </c>
      <c r="Z1860">
        <v>59.1</v>
      </c>
      <c r="AA1860">
        <v>74.5</v>
      </c>
    </row>
    <row r="1861" spans="1:27" x14ac:dyDescent="0.25">
      <c r="A1861" t="s">
        <v>242</v>
      </c>
      <c r="B1861" t="s">
        <v>196</v>
      </c>
      <c r="C1861" s="76">
        <v>44009</v>
      </c>
      <c r="D1861">
        <v>8525</v>
      </c>
      <c r="E1861">
        <v>5553</v>
      </c>
      <c r="F1861">
        <v>11497</v>
      </c>
      <c r="G1861">
        <v>5134</v>
      </c>
      <c r="H1861">
        <v>62.4</v>
      </c>
      <c r="I1861">
        <v>55.3</v>
      </c>
      <c r="J1861">
        <v>69.5</v>
      </c>
      <c r="K1861">
        <v>581</v>
      </c>
      <c r="L1861">
        <v>337</v>
      </c>
      <c r="M1861">
        <v>825</v>
      </c>
      <c r="N1861">
        <v>4.3</v>
      </c>
      <c r="O1861">
        <v>3</v>
      </c>
      <c r="P1861">
        <v>5.5</v>
      </c>
      <c r="Q1861">
        <f t="shared" si="56"/>
        <v>4627002</v>
      </c>
      <c r="R1861">
        <f t="shared" ref="R1861:R1924" si="57">K1861/(Q1861)*100000</f>
        <v>12.556726796314331</v>
      </c>
      <c r="U1861">
        <v>1458</v>
      </c>
      <c r="V1861">
        <v>793</v>
      </c>
      <c r="W1861">
        <v>2124</v>
      </c>
      <c r="X1861">
        <v>842</v>
      </c>
      <c r="Y1861">
        <v>63.4</v>
      </c>
      <c r="Z1861">
        <v>54.2</v>
      </c>
      <c r="AA1861">
        <v>72.7</v>
      </c>
    </row>
    <row r="1862" spans="1:27" x14ac:dyDescent="0.25">
      <c r="A1862" t="s">
        <v>242</v>
      </c>
      <c r="B1862" t="s">
        <v>196</v>
      </c>
      <c r="C1862" s="76">
        <v>44010</v>
      </c>
      <c r="D1862">
        <v>9196</v>
      </c>
      <c r="E1862">
        <v>5723</v>
      </c>
      <c r="F1862">
        <v>12669</v>
      </c>
      <c r="G1862">
        <v>5506</v>
      </c>
      <c r="H1862">
        <v>62.5</v>
      </c>
      <c r="I1862">
        <v>54.2</v>
      </c>
      <c r="J1862">
        <v>70.900000000000006</v>
      </c>
      <c r="K1862">
        <v>731</v>
      </c>
      <c r="L1862">
        <v>315</v>
      </c>
      <c r="M1862">
        <v>1147</v>
      </c>
      <c r="N1862">
        <v>5</v>
      </c>
      <c r="O1862">
        <v>2.9</v>
      </c>
      <c r="P1862">
        <v>7</v>
      </c>
      <c r="Q1862">
        <f t="shared" si="56"/>
        <v>4627002</v>
      </c>
      <c r="R1862">
        <f t="shared" si="57"/>
        <v>15.798566760939373</v>
      </c>
      <c r="U1862">
        <v>1623</v>
      </c>
      <c r="V1862">
        <v>861</v>
      </c>
      <c r="W1862">
        <v>2386</v>
      </c>
      <c r="X1862">
        <v>948</v>
      </c>
      <c r="Y1862">
        <v>63.1</v>
      </c>
      <c r="Z1862">
        <v>53</v>
      </c>
      <c r="AA1862">
        <v>73.2</v>
      </c>
    </row>
    <row r="1863" spans="1:27" x14ac:dyDescent="0.25">
      <c r="A1863" t="s">
        <v>242</v>
      </c>
      <c r="B1863" t="s">
        <v>196</v>
      </c>
      <c r="C1863" s="76">
        <v>44011</v>
      </c>
      <c r="D1863">
        <v>8117</v>
      </c>
      <c r="E1863">
        <v>4339</v>
      </c>
      <c r="F1863">
        <v>11895</v>
      </c>
      <c r="G1863">
        <v>5324</v>
      </c>
      <c r="H1863">
        <v>60.4</v>
      </c>
      <c r="I1863">
        <v>51.7</v>
      </c>
      <c r="J1863">
        <v>69</v>
      </c>
      <c r="K1863">
        <v>653</v>
      </c>
      <c r="L1863">
        <v>351</v>
      </c>
      <c r="M1863">
        <v>955</v>
      </c>
      <c r="N1863">
        <v>4.9000000000000004</v>
      </c>
      <c r="O1863">
        <v>3.6</v>
      </c>
      <c r="P1863">
        <v>6.1</v>
      </c>
      <c r="Q1863">
        <f t="shared" si="56"/>
        <v>4627002</v>
      </c>
      <c r="R1863">
        <f t="shared" si="57"/>
        <v>14.112809979334351</v>
      </c>
      <c r="U1863">
        <v>1142</v>
      </c>
      <c r="V1863">
        <v>465</v>
      </c>
      <c r="W1863">
        <v>1820</v>
      </c>
      <c r="X1863">
        <v>743</v>
      </c>
      <c r="Y1863">
        <v>60.6</v>
      </c>
      <c r="Z1863">
        <v>52.2</v>
      </c>
      <c r="AA1863">
        <v>69</v>
      </c>
    </row>
    <row r="1864" spans="1:27" x14ac:dyDescent="0.25">
      <c r="A1864" t="s">
        <v>242</v>
      </c>
      <c r="B1864" t="s">
        <v>196</v>
      </c>
      <c r="C1864" s="76">
        <v>44012</v>
      </c>
      <c r="D1864">
        <v>8790</v>
      </c>
      <c r="E1864">
        <v>4640</v>
      </c>
      <c r="F1864">
        <v>12939</v>
      </c>
      <c r="G1864">
        <v>4894</v>
      </c>
      <c r="H1864">
        <v>64.2</v>
      </c>
      <c r="I1864">
        <v>55.5</v>
      </c>
      <c r="J1864">
        <v>73</v>
      </c>
      <c r="K1864">
        <v>665</v>
      </c>
      <c r="L1864">
        <v>333</v>
      </c>
      <c r="M1864">
        <v>997</v>
      </c>
      <c r="N1864">
        <v>4.9000000000000004</v>
      </c>
      <c r="O1864">
        <v>3.6</v>
      </c>
      <c r="P1864">
        <v>6.1</v>
      </c>
      <c r="Q1864">
        <f t="shared" si="56"/>
        <v>4627002</v>
      </c>
      <c r="R1864">
        <f t="shared" si="57"/>
        <v>14.372157176504354</v>
      </c>
      <c r="U1864">
        <v>1206</v>
      </c>
      <c r="V1864">
        <v>466</v>
      </c>
      <c r="W1864">
        <v>1946</v>
      </c>
      <c r="X1864">
        <v>729</v>
      </c>
      <c r="Y1864">
        <v>62.3</v>
      </c>
      <c r="Z1864">
        <v>51.5</v>
      </c>
      <c r="AA1864">
        <v>73.099999999999994</v>
      </c>
    </row>
    <row r="1865" spans="1:27" x14ac:dyDescent="0.25">
      <c r="A1865" t="s">
        <v>242</v>
      </c>
      <c r="B1865" t="s">
        <v>196</v>
      </c>
      <c r="C1865" s="76">
        <v>44013</v>
      </c>
      <c r="D1865">
        <v>8862</v>
      </c>
      <c r="E1865">
        <v>4716</v>
      </c>
      <c r="F1865">
        <v>13007</v>
      </c>
      <c r="G1865">
        <v>4728</v>
      </c>
      <c r="H1865">
        <v>65.2</v>
      </c>
      <c r="I1865">
        <v>56.4</v>
      </c>
      <c r="J1865">
        <v>74</v>
      </c>
      <c r="K1865">
        <v>669</v>
      </c>
      <c r="L1865">
        <v>329</v>
      </c>
      <c r="M1865">
        <v>1009</v>
      </c>
      <c r="N1865">
        <v>4.9000000000000004</v>
      </c>
      <c r="O1865">
        <v>3.6</v>
      </c>
      <c r="P1865">
        <v>6.2</v>
      </c>
      <c r="Q1865">
        <f t="shared" si="56"/>
        <v>4627002</v>
      </c>
      <c r="R1865">
        <f t="shared" si="57"/>
        <v>14.458606242227688</v>
      </c>
      <c r="U1865">
        <v>1300</v>
      </c>
      <c r="V1865">
        <v>522</v>
      </c>
      <c r="W1865">
        <v>2078</v>
      </c>
      <c r="X1865">
        <v>653</v>
      </c>
      <c r="Y1865">
        <v>66.599999999999994</v>
      </c>
      <c r="Z1865">
        <v>56.5</v>
      </c>
      <c r="AA1865">
        <v>76.7</v>
      </c>
    </row>
    <row r="1866" spans="1:27" x14ac:dyDescent="0.25">
      <c r="A1866" t="s">
        <v>242</v>
      </c>
      <c r="B1866" t="s">
        <v>196</v>
      </c>
      <c r="C1866" s="76">
        <v>44014</v>
      </c>
      <c r="D1866">
        <v>9047</v>
      </c>
      <c r="E1866">
        <v>4816</v>
      </c>
      <c r="F1866">
        <v>13278</v>
      </c>
      <c r="G1866">
        <v>4547</v>
      </c>
      <c r="H1866">
        <v>66.599999999999994</v>
      </c>
      <c r="I1866">
        <v>57.9</v>
      </c>
      <c r="J1866">
        <v>75.2</v>
      </c>
      <c r="K1866">
        <v>818</v>
      </c>
      <c r="L1866">
        <v>384</v>
      </c>
      <c r="M1866">
        <v>1251</v>
      </c>
      <c r="N1866">
        <v>6</v>
      </c>
      <c r="O1866">
        <v>4.4000000000000004</v>
      </c>
      <c r="P1866">
        <v>7.6</v>
      </c>
      <c r="Q1866">
        <f t="shared" si="56"/>
        <v>4627002</v>
      </c>
      <c r="R1866">
        <f t="shared" si="57"/>
        <v>17.678833940421896</v>
      </c>
      <c r="U1866">
        <v>1284</v>
      </c>
      <c r="V1866">
        <v>520</v>
      </c>
      <c r="W1866">
        <v>2048</v>
      </c>
      <c r="X1866">
        <v>605</v>
      </c>
      <c r="Y1866">
        <v>68</v>
      </c>
      <c r="Z1866">
        <v>58.5</v>
      </c>
      <c r="AA1866">
        <v>77.5</v>
      </c>
    </row>
    <row r="1867" spans="1:27" x14ac:dyDescent="0.25">
      <c r="A1867" t="s">
        <v>242</v>
      </c>
      <c r="B1867" t="s">
        <v>196</v>
      </c>
      <c r="C1867" s="76">
        <v>44015</v>
      </c>
      <c r="D1867">
        <v>9661</v>
      </c>
      <c r="E1867">
        <v>6119</v>
      </c>
      <c r="F1867">
        <v>13204</v>
      </c>
      <c r="G1867">
        <v>5138</v>
      </c>
      <c r="H1867">
        <v>65.3</v>
      </c>
      <c r="I1867">
        <v>57.6</v>
      </c>
      <c r="J1867">
        <v>72.900000000000006</v>
      </c>
      <c r="K1867">
        <v>898</v>
      </c>
      <c r="L1867">
        <v>471</v>
      </c>
      <c r="M1867">
        <v>1325</v>
      </c>
      <c r="N1867">
        <v>6.1</v>
      </c>
      <c r="O1867">
        <v>4.3</v>
      </c>
      <c r="P1867">
        <v>7.9</v>
      </c>
      <c r="Q1867">
        <f t="shared" si="56"/>
        <v>4627002</v>
      </c>
      <c r="R1867">
        <f t="shared" si="57"/>
        <v>19.407815254888586</v>
      </c>
      <c r="U1867">
        <v>1748</v>
      </c>
      <c r="V1867">
        <v>932</v>
      </c>
      <c r="W1867">
        <v>2563</v>
      </c>
      <c r="X1867">
        <v>865</v>
      </c>
      <c r="Y1867">
        <v>66.900000000000006</v>
      </c>
      <c r="Z1867">
        <v>56.1</v>
      </c>
      <c r="AA1867">
        <v>77.7</v>
      </c>
    </row>
    <row r="1868" spans="1:27" x14ac:dyDescent="0.25">
      <c r="A1868" t="s">
        <v>242</v>
      </c>
      <c r="B1868" t="s">
        <v>196</v>
      </c>
      <c r="C1868" s="76">
        <v>44016</v>
      </c>
      <c r="D1868">
        <v>8519</v>
      </c>
      <c r="E1868">
        <v>5279</v>
      </c>
      <c r="F1868">
        <v>11759</v>
      </c>
      <c r="G1868">
        <v>6084</v>
      </c>
      <c r="H1868">
        <v>58.3</v>
      </c>
      <c r="I1868">
        <v>49.8</v>
      </c>
      <c r="J1868">
        <v>66.900000000000006</v>
      </c>
      <c r="K1868">
        <v>903</v>
      </c>
      <c r="L1868">
        <v>469</v>
      </c>
      <c r="M1868">
        <v>1336</v>
      </c>
      <c r="N1868">
        <v>6.2</v>
      </c>
      <c r="O1868">
        <v>4.3</v>
      </c>
      <c r="P1868">
        <v>8.1</v>
      </c>
      <c r="Q1868">
        <f t="shared" si="56"/>
        <v>4627002</v>
      </c>
      <c r="R1868">
        <f t="shared" si="57"/>
        <v>19.515876587042754</v>
      </c>
      <c r="U1868">
        <v>1698</v>
      </c>
      <c r="V1868">
        <v>900</v>
      </c>
      <c r="W1868">
        <v>2497</v>
      </c>
      <c r="X1868">
        <v>928</v>
      </c>
      <c r="Y1868">
        <v>64.7</v>
      </c>
      <c r="Z1868">
        <v>54.1</v>
      </c>
      <c r="AA1868">
        <v>75.2</v>
      </c>
    </row>
    <row r="1869" spans="1:27" x14ac:dyDescent="0.25">
      <c r="A1869" t="s">
        <v>242</v>
      </c>
      <c r="B1869" t="s">
        <v>196</v>
      </c>
      <c r="C1869" s="76">
        <v>44017</v>
      </c>
      <c r="D1869">
        <v>8695</v>
      </c>
      <c r="E1869">
        <v>5414</v>
      </c>
      <c r="F1869">
        <v>11976</v>
      </c>
      <c r="G1869">
        <v>5879</v>
      </c>
      <c r="H1869">
        <v>59.7</v>
      </c>
      <c r="I1869">
        <v>51.5</v>
      </c>
      <c r="J1869">
        <v>67.900000000000006</v>
      </c>
      <c r="K1869">
        <v>897</v>
      </c>
      <c r="L1869">
        <v>467</v>
      </c>
      <c r="M1869">
        <v>1328</v>
      </c>
      <c r="N1869">
        <v>6.2</v>
      </c>
      <c r="O1869">
        <v>4.3</v>
      </c>
      <c r="P1869">
        <v>8</v>
      </c>
      <c r="Q1869">
        <f t="shared" si="56"/>
        <v>4627002</v>
      </c>
      <c r="R1869">
        <f t="shared" si="57"/>
        <v>19.386202988457754</v>
      </c>
      <c r="U1869">
        <v>1728</v>
      </c>
      <c r="V1869">
        <v>928</v>
      </c>
      <c r="W1869">
        <v>2528</v>
      </c>
      <c r="X1869">
        <v>924</v>
      </c>
      <c r="Y1869">
        <v>65.2</v>
      </c>
      <c r="Z1869">
        <v>54.2</v>
      </c>
      <c r="AA1869">
        <v>76.2</v>
      </c>
    </row>
    <row r="1870" spans="1:27" x14ac:dyDescent="0.25">
      <c r="A1870" t="s">
        <v>242</v>
      </c>
      <c r="B1870" t="s">
        <v>196</v>
      </c>
      <c r="C1870" s="76">
        <v>44018</v>
      </c>
      <c r="D1870">
        <v>9067</v>
      </c>
      <c r="E1870">
        <v>5691</v>
      </c>
      <c r="F1870">
        <v>12443</v>
      </c>
      <c r="G1870">
        <v>5709</v>
      </c>
      <c r="H1870">
        <v>61.4</v>
      </c>
      <c r="I1870">
        <v>53.2</v>
      </c>
      <c r="J1870">
        <v>69.599999999999994</v>
      </c>
      <c r="K1870">
        <v>996</v>
      </c>
      <c r="L1870">
        <v>500</v>
      </c>
      <c r="M1870">
        <v>1491</v>
      </c>
      <c r="N1870">
        <v>6.7</v>
      </c>
      <c r="O1870">
        <v>4.5</v>
      </c>
      <c r="P1870">
        <v>9</v>
      </c>
      <c r="Q1870">
        <f t="shared" si="56"/>
        <v>4627002</v>
      </c>
      <c r="R1870">
        <f t="shared" si="57"/>
        <v>21.525817365110282</v>
      </c>
      <c r="U1870">
        <v>1684</v>
      </c>
      <c r="V1870">
        <v>913</v>
      </c>
      <c r="W1870">
        <v>2454</v>
      </c>
      <c r="X1870">
        <v>922</v>
      </c>
      <c r="Y1870">
        <v>64.599999999999994</v>
      </c>
      <c r="Z1870">
        <v>52.6</v>
      </c>
      <c r="AA1870">
        <v>76.7</v>
      </c>
    </row>
    <row r="1871" spans="1:27" x14ac:dyDescent="0.25">
      <c r="A1871" t="s">
        <v>242</v>
      </c>
      <c r="B1871" t="s">
        <v>196</v>
      </c>
      <c r="C1871" s="76">
        <v>44019</v>
      </c>
      <c r="D1871">
        <v>9731</v>
      </c>
      <c r="E1871">
        <v>6163</v>
      </c>
      <c r="F1871">
        <v>13299</v>
      </c>
      <c r="G1871">
        <v>5171</v>
      </c>
      <c r="H1871">
        <v>65.3</v>
      </c>
      <c r="I1871">
        <v>57.2</v>
      </c>
      <c r="J1871">
        <v>73.400000000000006</v>
      </c>
      <c r="K1871">
        <v>1039</v>
      </c>
      <c r="L1871">
        <v>533</v>
      </c>
      <c r="M1871">
        <v>1544</v>
      </c>
      <c r="N1871">
        <v>7</v>
      </c>
      <c r="O1871">
        <v>4.7</v>
      </c>
      <c r="P1871">
        <v>9.3000000000000007</v>
      </c>
      <c r="Q1871">
        <f t="shared" si="56"/>
        <v>4627002</v>
      </c>
      <c r="R1871">
        <f t="shared" si="57"/>
        <v>22.455144821636125</v>
      </c>
      <c r="U1871">
        <v>1704</v>
      </c>
      <c r="V1871">
        <v>920</v>
      </c>
      <c r="W1871">
        <v>2488</v>
      </c>
      <c r="X1871">
        <v>905</v>
      </c>
      <c r="Y1871">
        <v>65.3</v>
      </c>
      <c r="Z1871">
        <v>54</v>
      </c>
      <c r="AA1871">
        <v>76.599999999999994</v>
      </c>
    </row>
    <row r="1872" spans="1:27" x14ac:dyDescent="0.25">
      <c r="A1872" t="s">
        <v>243</v>
      </c>
      <c r="B1872" t="s">
        <v>187</v>
      </c>
      <c r="C1872" s="76">
        <v>43922</v>
      </c>
      <c r="D1872">
        <v>6709</v>
      </c>
      <c r="E1872">
        <v>835</v>
      </c>
      <c r="F1872">
        <v>12582</v>
      </c>
      <c r="G1872">
        <v>5871</v>
      </c>
      <c r="H1872">
        <v>53.3</v>
      </c>
      <c r="I1872">
        <v>34.1</v>
      </c>
      <c r="J1872">
        <v>72.599999999999994</v>
      </c>
      <c r="K1872">
        <v>1778</v>
      </c>
      <c r="L1872">
        <v>481</v>
      </c>
      <c r="M1872">
        <v>3074</v>
      </c>
      <c r="N1872">
        <v>14.1</v>
      </c>
      <c r="O1872">
        <v>8.8000000000000007</v>
      </c>
      <c r="P1872">
        <v>19.399999999999999</v>
      </c>
      <c r="Q1872">
        <f t="shared" si="56"/>
        <v>6912239</v>
      </c>
      <c r="R1872">
        <f t="shared" si="57"/>
        <v>25.722490209033573</v>
      </c>
      <c r="U1872">
        <v>1016</v>
      </c>
      <c r="V1872">
        <v>0</v>
      </c>
      <c r="W1872">
        <v>2625</v>
      </c>
      <c r="X1872">
        <v>933</v>
      </c>
      <c r="Y1872">
        <v>52.1</v>
      </c>
      <c r="Z1872">
        <v>14.5</v>
      </c>
      <c r="AA1872">
        <v>89.8</v>
      </c>
    </row>
    <row r="1873" spans="1:27" x14ac:dyDescent="0.25">
      <c r="A1873" t="s">
        <v>243</v>
      </c>
      <c r="B1873" t="s">
        <v>187</v>
      </c>
      <c r="C1873" s="76">
        <v>43923</v>
      </c>
      <c r="D1873">
        <v>7311</v>
      </c>
      <c r="E1873">
        <v>1747</v>
      </c>
      <c r="F1873">
        <v>12875</v>
      </c>
      <c r="G1873">
        <v>4985</v>
      </c>
      <c r="H1873">
        <v>59.5</v>
      </c>
      <c r="I1873">
        <v>40.700000000000003</v>
      </c>
      <c r="J1873">
        <v>78.2</v>
      </c>
      <c r="K1873">
        <v>2093</v>
      </c>
      <c r="L1873">
        <v>732</v>
      </c>
      <c r="M1873">
        <v>3455</v>
      </c>
      <c r="N1873">
        <v>17</v>
      </c>
      <c r="O1873">
        <v>12.1</v>
      </c>
      <c r="P1873">
        <v>21.9</v>
      </c>
      <c r="Q1873">
        <f t="shared" si="56"/>
        <v>6912239</v>
      </c>
      <c r="R1873">
        <f t="shared" si="57"/>
        <v>30.279624301185187</v>
      </c>
      <c r="U1873">
        <v>1152</v>
      </c>
      <c r="V1873">
        <v>0</v>
      </c>
      <c r="W1873">
        <v>2795</v>
      </c>
      <c r="X1873">
        <v>787</v>
      </c>
      <c r="Y1873">
        <v>59.4</v>
      </c>
      <c r="Z1873">
        <v>21.3</v>
      </c>
      <c r="AA1873">
        <v>97.5</v>
      </c>
    </row>
    <row r="1874" spans="1:27" x14ac:dyDescent="0.25">
      <c r="A1874" t="s">
        <v>243</v>
      </c>
      <c r="B1874" t="s">
        <v>187</v>
      </c>
      <c r="C1874" s="76">
        <v>43924</v>
      </c>
      <c r="D1874">
        <v>7237</v>
      </c>
      <c r="E1874">
        <v>1882</v>
      </c>
      <c r="F1874">
        <v>12592</v>
      </c>
      <c r="G1874">
        <v>4967</v>
      </c>
      <c r="H1874">
        <v>59.3</v>
      </c>
      <c r="I1874">
        <v>40.9</v>
      </c>
      <c r="J1874">
        <v>77.7</v>
      </c>
      <c r="K1874">
        <v>1979</v>
      </c>
      <c r="L1874">
        <v>835</v>
      </c>
      <c r="M1874">
        <v>3124</v>
      </c>
      <c r="N1874">
        <v>16.2</v>
      </c>
      <c r="O1874">
        <v>10.8</v>
      </c>
      <c r="P1874">
        <v>21.7</v>
      </c>
      <c r="Q1874">
        <f t="shared" si="56"/>
        <v>6912239</v>
      </c>
      <c r="R1874">
        <f t="shared" si="57"/>
        <v>28.630375772596981</v>
      </c>
      <c r="U1874">
        <v>1230</v>
      </c>
      <c r="V1874">
        <v>0</v>
      </c>
      <c r="W1874">
        <v>2865</v>
      </c>
      <c r="X1874">
        <v>692</v>
      </c>
      <c r="Y1874">
        <v>64</v>
      </c>
      <c r="Z1874">
        <v>39</v>
      </c>
      <c r="AA1874">
        <v>89</v>
      </c>
    </row>
    <row r="1875" spans="1:27" x14ac:dyDescent="0.25">
      <c r="A1875" t="s">
        <v>243</v>
      </c>
      <c r="B1875" t="s">
        <v>187</v>
      </c>
      <c r="C1875" s="76">
        <v>43925</v>
      </c>
      <c r="D1875">
        <v>7425</v>
      </c>
      <c r="E1875">
        <v>2146</v>
      </c>
      <c r="F1875">
        <v>12705</v>
      </c>
      <c r="G1875">
        <v>4774</v>
      </c>
      <c r="H1875">
        <v>60.9</v>
      </c>
      <c r="I1875">
        <v>52.4</v>
      </c>
      <c r="J1875">
        <v>69.400000000000006</v>
      </c>
      <c r="K1875">
        <v>2201</v>
      </c>
      <c r="L1875">
        <v>787</v>
      </c>
      <c r="M1875">
        <v>3616</v>
      </c>
      <c r="N1875">
        <v>18</v>
      </c>
      <c r="O1875">
        <v>12.3</v>
      </c>
      <c r="P1875">
        <v>23.8</v>
      </c>
      <c r="Q1875">
        <f t="shared" si="56"/>
        <v>6912239</v>
      </c>
      <c r="R1875">
        <f t="shared" si="57"/>
        <v>31.84207027563717</v>
      </c>
      <c r="U1875">
        <v>1275</v>
      </c>
      <c r="V1875">
        <v>0</v>
      </c>
      <c r="W1875">
        <v>3005</v>
      </c>
      <c r="X1875">
        <v>666</v>
      </c>
      <c r="Y1875">
        <v>65.7</v>
      </c>
      <c r="Z1875">
        <v>38.799999999999997</v>
      </c>
      <c r="AA1875">
        <v>92.6</v>
      </c>
    </row>
    <row r="1876" spans="1:27" x14ac:dyDescent="0.25">
      <c r="A1876" t="s">
        <v>243</v>
      </c>
      <c r="B1876" t="s">
        <v>187</v>
      </c>
      <c r="C1876" s="76">
        <v>43926</v>
      </c>
      <c r="D1876">
        <v>7538</v>
      </c>
      <c r="E1876">
        <v>2157</v>
      </c>
      <c r="F1876">
        <v>12919</v>
      </c>
      <c r="G1876">
        <v>4816</v>
      </c>
      <c r="H1876">
        <v>61</v>
      </c>
      <c r="I1876">
        <v>51.4</v>
      </c>
      <c r="J1876">
        <v>70.599999999999994</v>
      </c>
      <c r="K1876">
        <v>2284</v>
      </c>
      <c r="L1876">
        <v>745</v>
      </c>
      <c r="M1876">
        <v>3824</v>
      </c>
      <c r="N1876">
        <v>18.5</v>
      </c>
      <c r="O1876">
        <v>12.7</v>
      </c>
      <c r="P1876">
        <v>24.3</v>
      </c>
      <c r="Q1876">
        <f t="shared" si="56"/>
        <v>6912239</v>
      </c>
      <c r="R1876">
        <f t="shared" si="57"/>
        <v>33.042838941188229</v>
      </c>
      <c r="U1876">
        <v>1279</v>
      </c>
      <c r="V1876">
        <v>0</v>
      </c>
      <c r="W1876">
        <v>2989</v>
      </c>
      <c r="X1876">
        <v>664</v>
      </c>
      <c r="Y1876">
        <v>65.8</v>
      </c>
      <c r="Z1876">
        <v>39</v>
      </c>
      <c r="AA1876">
        <v>92.7</v>
      </c>
    </row>
    <row r="1877" spans="1:27" x14ac:dyDescent="0.25">
      <c r="A1877" t="s">
        <v>243</v>
      </c>
      <c r="B1877" t="s">
        <v>187</v>
      </c>
      <c r="C1877" s="76">
        <v>43927</v>
      </c>
      <c r="D1877">
        <v>8145</v>
      </c>
      <c r="E1877">
        <v>2536</v>
      </c>
      <c r="F1877">
        <v>13753</v>
      </c>
      <c r="G1877">
        <v>4237</v>
      </c>
      <c r="H1877">
        <v>65.8</v>
      </c>
      <c r="I1877">
        <v>57.6</v>
      </c>
      <c r="J1877">
        <v>73.900000000000006</v>
      </c>
      <c r="K1877">
        <v>2342</v>
      </c>
      <c r="L1877">
        <v>915</v>
      </c>
      <c r="M1877">
        <v>3768</v>
      </c>
      <c r="N1877">
        <v>18.899999999999999</v>
      </c>
      <c r="O1877">
        <v>13.3</v>
      </c>
      <c r="P1877">
        <v>24.5</v>
      </c>
      <c r="Q1877">
        <f t="shared" si="56"/>
        <v>6912239</v>
      </c>
      <c r="R1877">
        <f t="shared" si="57"/>
        <v>33.881930297838373</v>
      </c>
      <c r="U1877">
        <v>1362</v>
      </c>
      <c r="V1877">
        <v>0</v>
      </c>
      <c r="W1877">
        <v>3160</v>
      </c>
      <c r="X1877">
        <v>633</v>
      </c>
      <c r="Y1877">
        <v>68.3</v>
      </c>
      <c r="Z1877">
        <v>40.700000000000003</v>
      </c>
      <c r="AA1877">
        <v>95.8</v>
      </c>
    </row>
    <row r="1878" spans="1:27" x14ac:dyDescent="0.25">
      <c r="A1878" t="s">
        <v>243</v>
      </c>
      <c r="B1878" t="s">
        <v>187</v>
      </c>
      <c r="C1878" s="76">
        <v>43928</v>
      </c>
      <c r="D1878">
        <v>7725</v>
      </c>
      <c r="E1878">
        <v>3482</v>
      </c>
      <c r="F1878">
        <v>11968</v>
      </c>
      <c r="G1878">
        <v>4101</v>
      </c>
      <c r="H1878">
        <v>65.3</v>
      </c>
      <c r="I1878">
        <v>55.5</v>
      </c>
      <c r="J1878">
        <v>75.2</v>
      </c>
      <c r="K1878">
        <v>2362</v>
      </c>
      <c r="L1878">
        <v>1088</v>
      </c>
      <c r="M1878">
        <v>3637</v>
      </c>
      <c r="N1878">
        <v>20</v>
      </c>
      <c r="O1878">
        <v>14</v>
      </c>
      <c r="P1878">
        <v>25.9</v>
      </c>
      <c r="Q1878">
        <f t="shared" si="56"/>
        <v>6912239</v>
      </c>
      <c r="R1878">
        <f t="shared" si="57"/>
        <v>34.171272144959104</v>
      </c>
      <c r="U1878">
        <v>1027</v>
      </c>
      <c r="V1878">
        <v>63</v>
      </c>
      <c r="W1878">
        <v>1991</v>
      </c>
      <c r="X1878">
        <v>473</v>
      </c>
      <c r="Y1878">
        <v>68.5</v>
      </c>
      <c r="Z1878">
        <v>47.7</v>
      </c>
      <c r="AA1878">
        <v>89.2</v>
      </c>
    </row>
    <row r="1879" spans="1:27" x14ac:dyDescent="0.25">
      <c r="A1879" t="s">
        <v>243</v>
      </c>
      <c r="B1879" t="s">
        <v>187</v>
      </c>
      <c r="C1879" s="76">
        <v>43929</v>
      </c>
      <c r="D1879">
        <v>7818</v>
      </c>
      <c r="E1879">
        <v>3545</v>
      </c>
      <c r="F1879">
        <v>12092</v>
      </c>
      <c r="G1879">
        <v>3963</v>
      </c>
      <c r="H1879">
        <v>66.400000000000006</v>
      </c>
      <c r="I1879">
        <v>56.7</v>
      </c>
      <c r="J1879">
        <v>76</v>
      </c>
      <c r="K1879">
        <v>2409</v>
      </c>
      <c r="L1879">
        <v>1102</v>
      </c>
      <c r="M1879">
        <v>3716</v>
      </c>
      <c r="N1879">
        <v>20.399999999999999</v>
      </c>
      <c r="O1879">
        <v>13.9</v>
      </c>
      <c r="P1879">
        <v>27</v>
      </c>
      <c r="Q1879">
        <f t="shared" si="56"/>
        <v>6912239</v>
      </c>
      <c r="R1879">
        <f t="shared" si="57"/>
        <v>34.851225485692844</v>
      </c>
      <c r="U1879">
        <v>1007</v>
      </c>
      <c r="V1879">
        <v>107</v>
      </c>
      <c r="W1879">
        <v>1907</v>
      </c>
      <c r="X1879">
        <v>473</v>
      </c>
      <c r="Y1879">
        <v>68</v>
      </c>
      <c r="Z1879">
        <v>44.9</v>
      </c>
      <c r="AA1879">
        <v>91.1</v>
      </c>
    </row>
    <row r="1880" spans="1:27" x14ac:dyDescent="0.25">
      <c r="A1880" t="s">
        <v>243</v>
      </c>
      <c r="B1880" t="s">
        <v>187</v>
      </c>
      <c r="C1880" s="76">
        <v>43930</v>
      </c>
      <c r="D1880">
        <v>8123</v>
      </c>
      <c r="E1880">
        <v>3775</v>
      </c>
      <c r="F1880">
        <v>12470</v>
      </c>
      <c r="G1880">
        <v>3999</v>
      </c>
      <c r="H1880">
        <v>67</v>
      </c>
      <c r="I1880">
        <v>58.9</v>
      </c>
      <c r="J1880">
        <v>75.099999999999994</v>
      </c>
      <c r="K1880">
        <v>2662</v>
      </c>
      <c r="L1880">
        <v>1332</v>
      </c>
      <c r="M1880">
        <v>3991</v>
      </c>
      <c r="N1880">
        <v>22</v>
      </c>
      <c r="O1880">
        <v>15.5</v>
      </c>
      <c r="P1880">
        <v>28.4</v>
      </c>
      <c r="Q1880">
        <f t="shared" si="56"/>
        <v>6912239</v>
      </c>
      <c r="R1880">
        <f t="shared" si="57"/>
        <v>38.511399851770172</v>
      </c>
      <c r="U1880">
        <v>1073</v>
      </c>
      <c r="V1880">
        <v>68</v>
      </c>
      <c r="W1880">
        <v>2078</v>
      </c>
      <c r="X1880">
        <v>503</v>
      </c>
      <c r="Y1880">
        <v>68.099999999999994</v>
      </c>
      <c r="Z1880">
        <v>47.5</v>
      </c>
      <c r="AA1880">
        <v>88.6</v>
      </c>
    </row>
    <row r="1881" spans="1:27" x14ac:dyDescent="0.25">
      <c r="A1881" t="s">
        <v>243</v>
      </c>
      <c r="B1881" t="s">
        <v>187</v>
      </c>
      <c r="C1881" s="76">
        <v>43931</v>
      </c>
      <c r="D1881">
        <v>8246</v>
      </c>
      <c r="E1881">
        <v>3876</v>
      </c>
      <c r="F1881">
        <v>12616</v>
      </c>
      <c r="G1881">
        <v>3864</v>
      </c>
      <c r="H1881">
        <v>68.099999999999994</v>
      </c>
      <c r="I1881">
        <v>59.7</v>
      </c>
      <c r="J1881">
        <v>76.400000000000006</v>
      </c>
      <c r="K1881">
        <v>2782</v>
      </c>
      <c r="L1881">
        <v>1426</v>
      </c>
      <c r="M1881">
        <v>4138</v>
      </c>
      <c r="N1881">
        <v>23</v>
      </c>
      <c r="O1881">
        <v>16</v>
      </c>
      <c r="P1881">
        <v>30</v>
      </c>
      <c r="Q1881">
        <f t="shared" si="56"/>
        <v>6912239</v>
      </c>
      <c r="R1881">
        <f t="shared" si="57"/>
        <v>40.247450934494601</v>
      </c>
      <c r="U1881">
        <v>1101</v>
      </c>
      <c r="V1881">
        <v>88</v>
      </c>
      <c r="W1881">
        <v>2115</v>
      </c>
      <c r="X1881">
        <v>446</v>
      </c>
      <c r="Y1881">
        <v>71.2</v>
      </c>
      <c r="Z1881">
        <v>51.3</v>
      </c>
      <c r="AA1881">
        <v>91.1</v>
      </c>
    </row>
    <row r="1882" spans="1:27" x14ac:dyDescent="0.25">
      <c r="A1882" t="s">
        <v>243</v>
      </c>
      <c r="B1882" t="s">
        <v>187</v>
      </c>
      <c r="C1882" s="76">
        <v>43932</v>
      </c>
      <c r="D1882">
        <v>8120</v>
      </c>
      <c r="E1882">
        <v>3734</v>
      </c>
      <c r="F1882">
        <v>12506</v>
      </c>
      <c r="G1882">
        <v>4768</v>
      </c>
      <c r="H1882">
        <v>63</v>
      </c>
      <c r="I1882">
        <v>53.1</v>
      </c>
      <c r="J1882">
        <v>72.900000000000006</v>
      </c>
      <c r="K1882">
        <v>2891</v>
      </c>
      <c r="L1882">
        <v>1375</v>
      </c>
      <c r="M1882">
        <v>4406</v>
      </c>
      <c r="N1882">
        <v>22.4</v>
      </c>
      <c r="O1882">
        <v>14</v>
      </c>
      <c r="P1882">
        <v>30.9</v>
      </c>
      <c r="Q1882">
        <f t="shared" si="56"/>
        <v>6912239</v>
      </c>
      <c r="R1882">
        <f t="shared" si="57"/>
        <v>41.824364001302619</v>
      </c>
      <c r="U1882">
        <v>1046</v>
      </c>
      <c r="V1882">
        <v>130</v>
      </c>
      <c r="W1882">
        <v>1962</v>
      </c>
      <c r="X1882">
        <v>616</v>
      </c>
      <c r="Y1882">
        <v>62.9</v>
      </c>
      <c r="Z1882">
        <v>42.8</v>
      </c>
      <c r="AA1882">
        <v>83.1</v>
      </c>
    </row>
    <row r="1883" spans="1:27" x14ac:dyDescent="0.25">
      <c r="A1883" t="s">
        <v>243</v>
      </c>
      <c r="B1883" t="s">
        <v>187</v>
      </c>
      <c r="C1883" s="76">
        <v>43933</v>
      </c>
      <c r="D1883">
        <v>8260</v>
      </c>
      <c r="E1883">
        <v>3855</v>
      </c>
      <c r="F1883">
        <v>12664</v>
      </c>
      <c r="G1883">
        <v>4706</v>
      </c>
      <c r="H1883">
        <v>63.7</v>
      </c>
      <c r="I1883">
        <v>54.1</v>
      </c>
      <c r="J1883">
        <v>73.3</v>
      </c>
      <c r="K1883">
        <v>2951</v>
      </c>
      <c r="L1883">
        <v>1418</v>
      </c>
      <c r="M1883">
        <v>4485</v>
      </c>
      <c r="N1883">
        <v>22.8</v>
      </c>
      <c r="O1883">
        <v>14.5</v>
      </c>
      <c r="P1883">
        <v>31</v>
      </c>
      <c r="Q1883">
        <f t="shared" si="56"/>
        <v>6912239</v>
      </c>
      <c r="R1883">
        <f t="shared" si="57"/>
        <v>42.692389542664827</v>
      </c>
      <c r="U1883">
        <v>1194</v>
      </c>
      <c r="V1883">
        <v>76</v>
      </c>
      <c r="W1883">
        <v>2312</v>
      </c>
      <c r="X1883">
        <v>592</v>
      </c>
      <c r="Y1883">
        <v>66.900000000000006</v>
      </c>
      <c r="Z1883">
        <v>42.8</v>
      </c>
      <c r="AA1883">
        <v>90.9</v>
      </c>
    </row>
    <row r="1884" spans="1:27" x14ac:dyDescent="0.25">
      <c r="A1884" t="s">
        <v>243</v>
      </c>
      <c r="B1884" t="s">
        <v>187</v>
      </c>
      <c r="C1884" s="76">
        <v>43934</v>
      </c>
      <c r="D1884">
        <v>9435</v>
      </c>
      <c r="E1884">
        <v>5223</v>
      </c>
      <c r="F1884">
        <v>13647</v>
      </c>
      <c r="G1884">
        <v>5333</v>
      </c>
      <c r="H1884">
        <v>63.9</v>
      </c>
      <c r="I1884">
        <v>57.7</v>
      </c>
      <c r="J1884">
        <v>70.099999999999994</v>
      </c>
      <c r="K1884">
        <v>3418</v>
      </c>
      <c r="L1884">
        <v>1668</v>
      </c>
      <c r="M1884">
        <v>5169</v>
      </c>
      <c r="N1884">
        <v>23.1</v>
      </c>
      <c r="O1884">
        <v>16.7</v>
      </c>
      <c r="P1884">
        <v>29.6</v>
      </c>
      <c r="Q1884">
        <f t="shared" si="56"/>
        <v>6912239</v>
      </c>
      <c r="R1884">
        <f t="shared" si="57"/>
        <v>49.448521672934056</v>
      </c>
      <c r="U1884">
        <v>1279</v>
      </c>
      <c r="V1884">
        <v>465</v>
      </c>
      <c r="W1884">
        <v>2093</v>
      </c>
      <c r="X1884">
        <v>708</v>
      </c>
      <c r="Y1884">
        <v>64.400000000000006</v>
      </c>
      <c r="Z1884">
        <v>53.1</v>
      </c>
      <c r="AA1884">
        <v>75.599999999999994</v>
      </c>
    </row>
    <row r="1885" spans="1:27" x14ac:dyDescent="0.25">
      <c r="A1885" t="s">
        <v>243</v>
      </c>
      <c r="B1885" t="s">
        <v>187</v>
      </c>
      <c r="C1885" s="76">
        <v>43935</v>
      </c>
      <c r="D1885">
        <v>9997</v>
      </c>
      <c r="E1885">
        <v>5327</v>
      </c>
      <c r="F1885">
        <v>14667</v>
      </c>
      <c r="G1885">
        <v>5046</v>
      </c>
      <c r="H1885">
        <v>66.5</v>
      </c>
      <c r="I1885">
        <v>59.6</v>
      </c>
      <c r="J1885">
        <v>73.3</v>
      </c>
      <c r="K1885">
        <v>3775</v>
      </c>
      <c r="L1885">
        <v>1809</v>
      </c>
      <c r="M1885">
        <v>5741</v>
      </c>
      <c r="N1885">
        <v>25.1</v>
      </c>
      <c r="O1885">
        <v>19.399999999999999</v>
      </c>
      <c r="P1885">
        <v>30.8</v>
      </c>
      <c r="Q1885">
        <f t="shared" si="56"/>
        <v>6912239</v>
      </c>
      <c r="R1885">
        <f t="shared" si="57"/>
        <v>54.613273644039211</v>
      </c>
      <c r="U1885">
        <v>1352</v>
      </c>
      <c r="V1885">
        <v>379</v>
      </c>
      <c r="W1885">
        <v>2326</v>
      </c>
      <c r="X1885">
        <v>770</v>
      </c>
      <c r="Y1885">
        <v>63.7</v>
      </c>
      <c r="Z1885">
        <v>51.5</v>
      </c>
      <c r="AA1885">
        <v>75.900000000000006</v>
      </c>
    </row>
    <row r="1886" spans="1:27" x14ac:dyDescent="0.25">
      <c r="A1886" t="s">
        <v>243</v>
      </c>
      <c r="B1886" t="s">
        <v>187</v>
      </c>
      <c r="C1886" s="76">
        <v>43936</v>
      </c>
      <c r="D1886">
        <v>10080</v>
      </c>
      <c r="E1886">
        <v>5639</v>
      </c>
      <c r="F1886">
        <v>14521</v>
      </c>
      <c r="G1886">
        <v>4827</v>
      </c>
      <c r="H1886">
        <v>67.599999999999994</v>
      </c>
      <c r="I1886">
        <v>61</v>
      </c>
      <c r="J1886">
        <v>74.2</v>
      </c>
      <c r="K1886">
        <v>3761</v>
      </c>
      <c r="L1886">
        <v>1933</v>
      </c>
      <c r="M1886">
        <v>5589</v>
      </c>
      <c r="N1886">
        <v>25.2</v>
      </c>
      <c r="O1886">
        <v>18.7</v>
      </c>
      <c r="P1886">
        <v>31.7</v>
      </c>
      <c r="Q1886">
        <f t="shared" si="56"/>
        <v>6912239</v>
      </c>
      <c r="R1886">
        <f t="shared" si="57"/>
        <v>54.4107343510547</v>
      </c>
      <c r="U1886">
        <v>1314</v>
      </c>
      <c r="V1886">
        <v>455</v>
      </c>
      <c r="W1886">
        <v>2172</v>
      </c>
      <c r="X1886">
        <v>751</v>
      </c>
      <c r="Y1886">
        <v>63.6</v>
      </c>
      <c r="Z1886">
        <v>52.6</v>
      </c>
      <c r="AA1886">
        <v>74.7</v>
      </c>
    </row>
    <row r="1887" spans="1:27" x14ac:dyDescent="0.25">
      <c r="A1887" t="s">
        <v>243</v>
      </c>
      <c r="B1887" t="s">
        <v>187</v>
      </c>
      <c r="C1887" s="76">
        <v>43937</v>
      </c>
      <c r="D1887">
        <v>10129</v>
      </c>
      <c r="E1887">
        <v>5672</v>
      </c>
      <c r="F1887">
        <v>14587</v>
      </c>
      <c r="G1887">
        <v>4757</v>
      </c>
      <c r="H1887">
        <v>68</v>
      </c>
      <c r="I1887">
        <v>62</v>
      </c>
      <c r="J1887">
        <v>74</v>
      </c>
      <c r="K1887">
        <v>3879</v>
      </c>
      <c r="L1887">
        <v>2006</v>
      </c>
      <c r="M1887">
        <v>5752</v>
      </c>
      <c r="N1887">
        <v>26.1</v>
      </c>
      <c r="O1887">
        <v>19.399999999999999</v>
      </c>
      <c r="P1887">
        <v>32.799999999999997</v>
      </c>
      <c r="Q1887">
        <f t="shared" si="56"/>
        <v>6912239</v>
      </c>
      <c r="R1887">
        <f t="shared" si="57"/>
        <v>56.117851249067051</v>
      </c>
      <c r="U1887">
        <v>1266</v>
      </c>
      <c r="V1887">
        <v>443</v>
      </c>
      <c r="W1887">
        <v>2089</v>
      </c>
      <c r="X1887">
        <v>789</v>
      </c>
      <c r="Y1887">
        <v>61.6</v>
      </c>
      <c r="Z1887">
        <v>49.8</v>
      </c>
      <c r="AA1887">
        <v>73.400000000000006</v>
      </c>
    </row>
    <row r="1888" spans="1:27" x14ac:dyDescent="0.25">
      <c r="A1888" t="s">
        <v>243</v>
      </c>
      <c r="B1888" t="s">
        <v>187</v>
      </c>
      <c r="C1888" s="76">
        <v>43938</v>
      </c>
      <c r="D1888">
        <v>9895</v>
      </c>
      <c r="E1888">
        <v>5551</v>
      </c>
      <c r="F1888">
        <v>14239</v>
      </c>
      <c r="G1888">
        <v>5110</v>
      </c>
      <c r="H1888">
        <v>65.900000000000006</v>
      </c>
      <c r="I1888">
        <v>58.8</v>
      </c>
      <c r="J1888">
        <v>73.099999999999994</v>
      </c>
      <c r="K1888">
        <v>3839</v>
      </c>
      <c r="L1888">
        <v>1889</v>
      </c>
      <c r="M1888">
        <v>5789</v>
      </c>
      <c r="N1888">
        <v>25.6</v>
      </c>
      <c r="O1888">
        <v>18.899999999999999</v>
      </c>
      <c r="P1888">
        <v>32.299999999999997</v>
      </c>
      <c r="Q1888">
        <f t="shared" si="56"/>
        <v>6912239</v>
      </c>
      <c r="R1888">
        <f t="shared" si="57"/>
        <v>55.539167554825582</v>
      </c>
      <c r="U1888">
        <v>1283</v>
      </c>
      <c r="V1888">
        <v>415</v>
      </c>
      <c r="W1888">
        <v>2150</v>
      </c>
      <c r="X1888">
        <v>803</v>
      </c>
      <c r="Y1888">
        <v>61.5</v>
      </c>
      <c r="Z1888">
        <v>51.4</v>
      </c>
      <c r="AA1888">
        <v>71.599999999999994</v>
      </c>
    </row>
    <row r="1889" spans="1:27" x14ac:dyDescent="0.25">
      <c r="A1889" t="s">
        <v>243</v>
      </c>
      <c r="B1889" t="s">
        <v>187</v>
      </c>
      <c r="C1889" s="76">
        <v>43939</v>
      </c>
      <c r="D1889">
        <v>9910</v>
      </c>
      <c r="E1889">
        <v>5665</v>
      </c>
      <c r="F1889">
        <v>14155</v>
      </c>
      <c r="G1889">
        <v>4573</v>
      </c>
      <c r="H1889">
        <v>68.400000000000006</v>
      </c>
      <c r="I1889">
        <v>61.9</v>
      </c>
      <c r="J1889">
        <v>75</v>
      </c>
      <c r="K1889">
        <v>3712</v>
      </c>
      <c r="L1889">
        <v>1869</v>
      </c>
      <c r="M1889">
        <v>5555</v>
      </c>
      <c r="N1889">
        <v>25.6</v>
      </c>
      <c r="O1889">
        <v>19.899999999999999</v>
      </c>
      <c r="P1889">
        <v>31.4</v>
      </c>
      <c r="Q1889">
        <f t="shared" si="56"/>
        <v>6912239</v>
      </c>
      <c r="R1889">
        <f t="shared" si="57"/>
        <v>53.701846825608897</v>
      </c>
      <c r="U1889">
        <v>1333</v>
      </c>
      <c r="V1889">
        <v>456</v>
      </c>
      <c r="W1889">
        <v>2211</v>
      </c>
      <c r="X1889">
        <v>644</v>
      </c>
      <c r="Y1889">
        <v>67.400000000000006</v>
      </c>
      <c r="Z1889">
        <v>57.1</v>
      </c>
      <c r="AA1889">
        <v>77.7</v>
      </c>
    </row>
    <row r="1890" spans="1:27" x14ac:dyDescent="0.25">
      <c r="A1890" t="s">
        <v>243</v>
      </c>
      <c r="B1890" t="s">
        <v>187</v>
      </c>
      <c r="C1890" s="76">
        <v>43940</v>
      </c>
      <c r="D1890">
        <v>10055</v>
      </c>
      <c r="E1890">
        <v>5768</v>
      </c>
      <c r="F1890">
        <v>14343</v>
      </c>
      <c r="G1890">
        <v>4852</v>
      </c>
      <c r="H1890">
        <v>67.5</v>
      </c>
      <c r="I1890">
        <v>60.2</v>
      </c>
      <c r="J1890">
        <v>74.7</v>
      </c>
      <c r="K1890">
        <v>3956</v>
      </c>
      <c r="L1890">
        <v>2011</v>
      </c>
      <c r="M1890">
        <v>5901</v>
      </c>
      <c r="N1890">
        <v>26.5</v>
      </c>
      <c r="O1890">
        <v>19.600000000000001</v>
      </c>
      <c r="P1890">
        <v>33.5</v>
      </c>
      <c r="Q1890">
        <f t="shared" si="56"/>
        <v>6912239</v>
      </c>
      <c r="R1890">
        <f t="shared" si="57"/>
        <v>57.231817360481891</v>
      </c>
      <c r="U1890">
        <v>1340</v>
      </c>
      <c r="V1890">
        <v>480</v>
      </c>
      <c r="W1890">
        <v>2199</v>
      </c>
      <c r="X1890">
        <v>589</v>
      </c>
      <c r="Y1890">
        <v>69.5</v>
      </c>
      <c r="Z1890">
        <v>56.7</v>
      </c>
      <c r="AA1890">
        <v>82.2</v>
      </c>
    </row>
    <row r="1891" spans="1:27" x14ac:dyDescent="0.25">
      <c r="A1891" t="s">
        <v>243</v>
      </c>
      <c r="B1891" t="s">
        <v>187</v>
      </c>
      <c r="C1891" s="76">
        <v>43941</v>
      </c>
      <c r="D1891">
        <v>10678</v>
      </c>
      <c r="E1891">
        <v>4677</v>
      </c>
      <c r="F1891">
        <v>16680</v>
      </c>
      <c r="G1891">
        <v>4392</v>
      </c>
      <c r="H1891">
        <v>70.900000000000006</v>
      </c>
      <c r="I1891">
        <v>63.3</v>
      </c>
      <c r="J1891">
        <v>78.400000000000006</v>
      </c>
      <c r="K1891">
        <v>4390</v>
      </c>
      <c r="L1891">
        <v>1642</v>
      </c>
      <c r="M1891">
        <v>7138</v>
      </c>
      <c r="N1891">
        <v>29.1</v>
      </c>
      <c r="O1891">
        <v>22.2</v>
      </c>
      <c r="P1891">
        <v>36.1</v>
      </c>
      <c r="Q1891">
        <f t="shared" si="56"/>
        <v>6912239</v>
      </c>
      <c r="R1891">
        <f t="shared" si="57"/>
        <v>63.510535443001906</v>
      </c>
      <c r="U1891">
        <v>1339</v>
      </c>
      <c r="V1891">
        <v>154</v>
      </c>
      <c r="W1891">
        <v>2523</v>
      </c>
      <c r="X1891">
        <v>578</v>
      </c>
      <c r="Y1891">
        <v>69.8</v>
      </c>
      <c r="Z1891">
        <v>60.9</v>
      </c>
      <c r="AA1891">
        <v>78.8</v>
      </c>
    </row>
    <row r="1892" spans="1:27" x14ac:dyDescent="0.25">
      <c r="A1892" t="s">
        <v>243</v>
      </c>
      <c r="B1892" t="s">
        <v>187</v>
      </c>
      <c r="C1892" s="76">
        <v>43942</v>
      </c>
      <c r="D1892">
        <v>10871</v>
      </c>
      <c r="E1892">
        <v>4802</v>
      </c>
      <c r="F1892">
        <v>16941</v>
      </c>
      <c r="G1892">
        <v>4559</v>
      </c>
      <c r="H1892">
        <v>70.5</v>
      </c>
      <c r="I1892">
        <v>64</v>
      </c>
      <c r="J1892">
        <v>76.900000000000006</v>
      </c>
      <c r="K1892">
        <v>4852</v>
      </c>
      <c r="L1892">
        <v>1663</v>
      </c>
      <c r="M1892">
        <v>8040</v>
      </c>
      <c r="N1892">
        <v>31.4</v>
      </c>
      <c r="O1892">
        <v>21.8</v>
      </c>
      <c r="P1892">
        <v>41.1</v>
      </c>
      <c r="Q1892">
        <f t="shared" si="56"/>
        <v>6912239</v>
      </c>
      <c r="R1892">
        <f t="shared" si="57"/>
        <v>70.194332111490937</v>
      </c>
      <c r="U1892">
        <v>1329</v>
      </c>
      <c r="V1892">
        <v>95</v>
      </c>
      <c r="W1892">
        <v>2563</v>
      </c>
      <c r="X1892">
        <v>775</v>
      </c>
      <c r="Y1892">
        <v>63.2</v>
      </c>
      <c r="Z1892">
        <v>57.7</v>
      </c>
      <c r="AA1892">
        <v>68.599999999999994</v>
      </c>
    </row>
    <row r="1893" spans="1:27" x14ac:dyDescent="0.25">
      <c r="A1893" t="s">
        <v>243</v>
      </c>
      <c r="B1893" t="s">
        <v>187</v>
      </c>
      <c r="C1893" s="76">
        <v>43943</v>
      </c>
      <c r="D1893">
        <v>10892</v>
      </c>
      <c r="E1893">
        <v>4743</v>
      </c>
      <c r="F1893">
        <v>17040</v>
      </c>
      <c r="G1893">
        <v>4644</v>
      </c>
      <c r="H1893">
        <v>70.099999999999994</v>
      </c>
      <c r="I1893">
        <v>65</v>
      </c>
      <c r="J1893">
        <v>75.2</v>
      </c>
      <c r="K1893">
        <v>4782</v>
      </c>
      <c r="L1893">
        <v>1599</v>
      </c>
      <c r="M1893">
        <v>7966</v>
      </c>
      <c r="N1893">
        <v>30.8</v>
      </c>
      <c r="O1893">
        <v>21.4</v>
      </c>
      <c r="P1893">
        <v>40.200000000000003</v>
      </c>
      <c r="Q1893">
        <f t="shared" si="56"/>
        <v>6912239</v>
      </c>
      <c r="R1893">
        <f t="shared" si="57"/>
        <v>69.181635646568353</v>
      </c>
      <c r="U1893">
        <v>1351</v>
      </c>
      <c r="V1893">
        <v>58</v>
      </c>
      <c r="W1893">
        <v>2643</v>
      </c>
      <c r="X1893">
        <v>753</v>
      </c>
      <c r="Y1893">
        <v>64.2</v>
      </c>
      <c r="Z1893">
        <v>59.5</v>
      </c>
      <c r="AA1893">
        <v>68.900000000000006</v>
      </c>
    </row>
    <row r="1894" spans="1:27" x14ac:dyDescent="0.25">
      <c r="A1894" t="s">
        <v>243</v>
      </c>
      <c r="B1894" t="s">
        <v>187</v>
      </c>
      <c r="C1894" s="76">
        <v>43944</v>
      </c>
      <c r="D1894">
        <v>10832</v>
      </c>
      <c r="E1894">
        <v>4753</v>
      </c>
      <c r="F1894">
        <v>16910</v>
      </c>
      <c r="G1894">
        <v>4726</v>
      </c>
      <c r="H1894">
        <v>69.599999999999994</v>
      </c>
      <c r="I1894">
        <v>64.8</v>
      </c>
      <c r="J1894">
        <v>74.400000000000006</v>
      </c>
      <c r="K1894">
        <v>4220</v>
      </c>
      <c r="L1894">
        <v>1494</v>
      </c>
      <c r="M1894">
        <v>6946</v>
      </c>
      <c r="N1894">
        <v>27.1</v>
      </c>
      <c r="O1894">
        <v>21.9</v>
      </c>
      <c r="P1894">
        <v>32.299999999999997</v>
      </c>
      <c r="Q1894">
        <f t="shared" si="56"/>
        <v>6912239</v>
      </c>
      <c r="R1894">
        <f t="shared" si="57"/>
        <v>61.051129742475624</v>
      </c>
      <c r="U1894">
        <v>1318</v>
      </c>
      <c r="V1894">
        <v>39</v>
      </c>
      <c r="W1894">
        <v>2597</v>
      </c>
      <c r="X1894">
        <v>842</v>
      </c>
      <c r="Y1894">
        <v>61</v>
      </c>
      <c r="Z1894">
        <v>55.1</v>
      </c>
      <c r="AA1894">
        <v>66.900000000000006</v>
      </c>
    </row>
    <row r="1895" spans="1:27" x14ac:dyDescent="0.25">
      <c r="A1895" t="s">
        <v>243</v>
      </c>
      <c r="B1895" t="s">
        <v>187</v>
      </c>
      <c r="C1895" s="76">
        <v>43945</v>
      </c>
      <c r="D1895">
        <v>10734</v>
      </c>
      <c r="E1895">
        <v>4728</v>
      </c>
      <c r="F1895">
        <v>16740</v>
      </c>
      <c r="G1895">
        <v>4735</v>
      </c>
      <c r="H1895">
        <v>69.400000000000006</v>
      </c>
      <c r="I1895">
        <v>63.7</v>
      </c>
      <c r="J1895">
        <v>75.099999999999994</v>
      </c>
      <c r="K1895">
        <v>4110</v>
      </c>
      <c r="L1895">
        <v>1568</v>
      </c>
      <c r="M1895">
        <v>6653</v>
      </c>
      <c r="N1895">
        <v>26.6</v>
      </c>
      <c r="O1895">
        <v>21.3</v>
      </c>
      <c r="P1895">
        <v>31.8</v>
      </c>
      <c r="Q1895">
        <f t="shared" ref="Q1895:Q1958" si="58">VLOOKUP(B1895,$AE$4:$AF$55,2,FALSE)</f>
        <v>6912239</v>
      </c>
      <c r="R1895">
        <f t="shared" si="57"/>
        <v>59.459749583311577</v>
      </c>
      <c r="U1895">
        <v>1357</v>
      </c>
      <c r="V1895">
        <v>27</v>
      </c>
      <c r="W1895">
        <v>2687</v>
      </c>
      <c r="X1895">
        <v>776</v>
      </c>
      <c r="Y1895">
        <v>63.6</v>
      </c>
      <c r="Z1895">
        <v>56.6</v>
      </c>
      <c r="AA1895">
        <v>70.7</v>
      </c>
    </row>
    <row r="1896" spans="1:27" x14ac:dyDescent="0.25">
      <c r="A1896" t="s">
        <v>243</v>
      </c>
      <c r="B1896" t="s">
        <v>187</v>
      </c>
      <c r="C1896" s="76">
        <v>43946</v>
      </c>
      <c r="D1896">
        <v>10635</v>
      </c>
      <c r="E1896">
        <v>4813</v>
      </c>
      <c r="F1896">
        <v>16458</v>
      </c>
      <c r="G1896">
        <v>4763</v>
      </c>
      <c r="H1896">
        <v>69.099999999999994</v>
      </c>
      <c r="I1896">
        <v>63</v>
      </c>
      <c r="J1896">
        <v>75.099999999999994</v>
      </c>
      <c r="K1896">
        <v>4213</v>
      </c>
      <c r="L1896">
        <v>1562</v>
      </c>
      <c r="M1896">
        <v>6864</v>
      </c>
      <c r="N1896">
        <v>27.4</v>
      </c>
      <c r="O1896">
        <v>21.4</v>
      </c>
      <c r="P1896">
        <v>33.4</v>
      </c>
      <c r="Q1896">
        <f t="shared" si="58"/>
        <v>6912239</v>
      </c>
      <c r="R1896">
        <f t="shared" si="57"/>
        <v>60.949860095983375</v>
      </c>
      <c r="U1896">
        <v>1369</v>
      </c>
      <c r="V1896">
        <v>15</v>
      </c>
      <c r="W1896">
        <v>2722</v>
      </c>
      <c r="X1896">
        <v>751</v>
      </c>
      <c r="Y1896">
        <v>64.599999999999994</v>
      </c>
      <c r="Z1896">
        <v>59.1</v>
      </c>
      <c r="AA1896">
        <v>70.099999999999994</v>
      </c>
    </row>
    <row r="1897" spans="1:27" x14ac:dyDescent="0.25">
      <c r="A1897" t="s">
        <v>243</v>
      </c>
      <c r="B1897" t="s">
        <v>187</v>
      </c>
      <c r="C1897" s="76">
        <v>43947</v>
      </c>
      <c r="D1897">
        <v>10567</v>
      </c>
      <c r="E1897">
        <v>4745</v>
      </c>
      <c r="F1897">
        <v>16389</v>
      </c>
      <c r="G1897">
        <v>4811</v>
      </c>
      <c r="H1897">
        <v>68.7</v>
      </c>
      <c r="I1897">
        <v>60.7</v>
      </c>
      <c r="J1897">
        <v>76.7</v>
      </c>
      <c r="K1897">
        <v>4221</v>
      </c>
      <c r="L1897">
        <v>1588</v>
      </c>
      <c r="M1897">
        <v>6854</v>
      </c>
      <c r="N1897">
        <v>27.4</v>
      </c>
      <c r="O1897">
        <v>21.6</v>
      </c>
      <c r="P1897">
        <v>33.299999999999997</v>
      </c>
      <c r="Q1897">
        <f t="shared" si="58"/>
        <v>6912239</v>
      </c>
      <c r="R1897">
        <f t="shared" si="57"/>
        <v>61.065596834831666</v>
      </c>
      <c r="U1897">
        <v>1337</v>
      </c>
      <c r="V1897">
        <v>11</v>
      </c>
      <c r="W1897">
        <v>2664</v>
      </c>
      <c r="X1897">
        <v>766</v>
      </c>
      <c r="Y1897">
        <v>63.6</v>
      </c>
      <c r="Z1897">
        <v>58</v>
      </c>
      <c r="AA1897">
        <v>69.2</v>
      </c>
    </row>
    <row r="1898" spans="1:27" x14ac:dyDescent="0.25">
      <c r="A1898" t="s">
        <v>243</v>
      </c>
      <c r="B1898" t="s">
        <v>187</v>
      </c>
      <c r="C1898" s="76">
        <v>43948</v>
      </c>
      <c r="D1898">
        <v>10886</v>
      </c>
      <c r="E1898">
        <v>4807</v>
      </c>
      <c r="F1898">
        <v>16966</v>
      </c>
      <c r="G1898">
        <v>4435</v>
      </c>
      <c r="H1898">
        <v>71.099999999999994</v>
      </c>
      <c r="I1898">
        <v>63.9</v>
      </c>
      <c r="J1898">
        <v>78.2</v>
      </c>
      <c r="K1898">
        <v>4259</v>
      </c>
      <c r="L1898">
        <v>1589</v>
      </c>
      <c r="M1898">
        <v>6929</v>
      </c>
      <c r="N1898">
        <v>27.8</v>
      </c>
      <c r="O1898">
        <v>21.6</v>
      </c>
      <c r="P1898">
        <v>34</v>
      </c>
      <c r="Q1898">
        <f t="shared" si="58"/>
        <v>6912239</v>
      </c>
      <c r="R1898">
        <f t="shared" si="57"/>
        <v>61.615346344361065</v>
      </c>
      <c r="U1898">
        <v>1359</v>
      </c>
      <c r="V1898">
        <v>39</v>
      </c>
      <c r="W1898">
        <v>2678</v>
      </c>
      <c r="X1898">
        <v>775</v>
      </c>
      <c r="Y1898">
        <v>63.7</v>
      </c>
      <c r="Z1898">
        <v>57.8</v>
      </c>
      <c r="AA1898">
        <v>69.5</v>
      </c>
    </row>
    <row r="1899" spans="1:27" x14ac:dyDescent="0.25">
      <c r="A1899" t="s">
        <v>243</v>
      </c>
      <c r="B1899" t="s">
        <v>187</v>
      </c>
      <c r="C1899" s="76">
        <v>43949</v>
      </c>
      <c r="D1899">
        <v>11163</v>
      </c>
      <c r="E1899">
        <v>4708</v>
      </c>
      <c r="F1899">
        <v>17618</v>
      </c>
      <c r="G1899">
        <v>4264</v>
      </c>
      <c r="H1899">
        <v>72.400000000000006</v>
      </c>
      <c r="I1899">
        <v>65.3</v>
      </c>
      <c r="J1899">
        <v>79.400000000000006</v>
      </c>
      <c r="K1899">
        <v>4352</v>
      </c>
      <c r="L1899">
        <v>1572</v>
      </c>
      <c r="M1899">
        <v>7133</v>
      </c>
      <c r="N1899">
        <v>28.2</v>
      </c>
      <c r="O1899">
        <v>22</v>
      </c>
      <c r="P1899">
        <v>34.4</v>
      </c>
      <c r="Q1899">
        <f t="shared" si="58"/>
        <v>6912239</v>
      </c>
      <c r="R1899">
        <f t="shared" si="57"/>
        <v>62.960785933472494</v>
      </c>
      <c r="U1899">
        <v>1489</v>
      </c>
      <c r="V1899">
        <v>4</v>
      </c>
      <c r="W1899">
        <v>2974</v>
      </c>
      <c r="X1899">
        <v>718</v>
      </c>
      <c r="Y1899">
        <v>67.5</v>
      </c>
      <c r="Z1899">
        <v>60.4</v>
      </c>
      <c r="AA1899">
        <v>74.5</v>
      </c>
    </row>
    <row r="1900" spans="1:27" x14ac:dyDescent="0.25">
      <c r="A1900" t="s">
        <v>243</v>
      </c>
      <c r="B1900" t="s">
        <v>187</v>
      </c>
      <c r="C1900" s="76">
        <v>43950</v>
      </c>
      <c r="D1900">
        <v>11411</v>
      </c>
      <c r="E1900">
        <v>4805</v>
      </c>
      <c r="F1900">
        <v>18018</v>
      </c>
      <c r="G1900">
        <v>4172</v>
      </c>
      <c r="H1900">
        <v>73.2</v>
      </c>
      <c r="I1900">
        <v>65.8</v>
      </c>
      <c r="J1900">
        <v>80.7</v>
      </c>
      <c r="K1900">
        <v>4398</v>
      </c>
      <c r="L1900">
        <v>1642</v>
      </c>
      <c r="M1900">
        <v>7154</v>
      </c>
      <c r="N1900">
        <v>28.2</v>
      </c>
      <c r="O1900">
        <v>22.7</v>
      </c>
      <c r="P1900">
        <v>33.799999999999997</v>
      </c>
      <c r="Q1900">
        <f t="shared" si="58"/>
        <v>6912239</v>
      </c>
      <c r="R1900">
        <f t="shared" si="57"/>
        <v>63.626272181850197</v>
      </c>
      <c r="U1900">
        <v>1428</v>
      </c>
      <c r="V1900">
        <v>41</v>
      </c>
      <c r="W1900">
        <v>2814</v>
      </c>
      <c r="X1900">
        <v>720</v>
      </c>
      <c r="Y1900">
        <v>66.5</v>
      </c>
      <c r="Z1900">
        <v>62.2</v>
      </c>
      <c r="AA1900">
        <v>70.7</v>
      </c>
    </row>
    <row r="1901" spans="1:27" x14ac:dyDescent="0.25">
      <c r="A1901" t="s">
        <v>243</v>
      </c>
      <c r="B1901" t="s">
        <v>187</v>
      </c>
      <c r="C1901" s="76">
        <v>43951</v>
      </c>
      <c r="D1901">
        <v>10889</v>
      </c>
      <c r="E1901">
        <v>4381</v>
      </c>
      <c r="F1901">
        <v>17396</v>
      </c>
      <c r="G1901">
        <v>4597</v>
      </c>
      <c r="H1901">
        <v>70.3</v>
      </c>
      <c r="I1901">
        <v>62.3</v>
      </c>
      <c r="J1901">
        <v>78.400000000000006</v>
      </c>
      <c r="K1901">
        <v>4208</v>
      </c>
      <c r="L1901">
        <v>1470</v>
      </c>
      <c r="M1901">
        <v>6945</v>
      </c>
      <c r="N1901">
        <v>27.2</v>
      </c>
      <c r="O1901">
        <v>20.7</v>
      </c>
      <c r="P1901">
        <v>33.6</v>
      </c>
      <c r="Q1901">
        <f t="shared" si="58"/>
        <v>6912239</v>
      </c>
      <c r="R1901">
        <f t="shared" si="57"/>
        <v>60.877524634203183</v>
      </c>
      <c r="U1901">
        <v>1409</v>
      </c>
      <c r="V1901">
        <v>0</v>
      </c>
      <c r="W1901">
        <v>2870</v>
      </c>
      <c r="X1901">
        <v>737</v>
      </c>
      <c r="Y1901">
        <v>65.599999999999994</v>
      </c>
      <c r="Z1901">
        <v>58.6</v>
      </c>
      <c r="AA1901">
        <v>72.7</v>
      </c>
    </row>
    <row r="1902" spans="1:27" x14ac:dyDescent="0.25">
      <c r="A1902" t="s">
        <v>243</v>
      </c>
      <c r="B1902" t="s">
        <v>187</v>
      </c>
      <c r="C1902" s="76">
        <v>43952</v>
      </c>
      <c r="D1902">
        <v>10973</v>
      </c>
      <c r="E1902">
        <v>4481</v>
      </c>
      <c r="F1902">
        <v>17466</v>
      </c>
      <c r="G1902">
        <v>4388</v>
      </c>
      <c r="H1902">
        <v>71.400000000000006</v>
      </c>
      <c r="I1902">
        <v>64.3</v>
      </c>
      <c r="J1902">
        <v>78.599999999999994</v>
      </c>
      <c r="K1902">
        <v>4016</v>
      </c>
      <c r="L1902">
        <v>1577</v>
      </c>
      <c r="M1902">
        <v>6454</v>
      </c>
      <c r="N1902">
        <v>26.1</v>
      </c>
      <c r="O1902">
        <v>20.5</v>
      </c>
      <c r="P1902">
        <v>31.8</v>
      </c>
      <c r="Q1902">
        <f t="shared" si="58"/>
        <v>6912239</v>
      </c>
      <c r="R1902">
        <f t="shared" si="57"/>
        <v>58.099842901844113</v>
      </c>
      <c r="U1902">
        <v>1150</v>
      </c>
      <c r="V1902">
        <v>51</v>
      </c>
      <c r="W1902">
        <v>2249</v>
      </c>
      <c r="X1902">
        <v>825</v>
      </c>
      <c r="Y1902">
        <v>58.2</v>
      </c>
      <c r="Z1902">
        <v>48.2</v>
      </c>
      <c r="AA1902">
        <v>68.2</v>
      </c>
    </row>
    <row r="1903" spans="1:27" x14ac:dyDescent="0.25">
      <c r="A1903" t="s">
        <v>243</v>
      </c>
      <c r="B1903" t="s">
        <v>187</v>
      </c>
      <c r="C1903" s="76">
        <v>43953</v>
      </c>
      <c r="D1903">
        <v>10877</v>
      </c>
      <c r="E1903">
        <v>4397</v>
      </c>
      <c r="F1903">
        <v>17356</v>
      </c>
      <c r="G1903">
        <v>4386</v>
      </c>
      <c r="H1903">
        <v>71.3</v>
      </c>
      <c r="I1903">
        <v>64.8</v>
      </c>
      <c r="J1903">
        <v>77.8</v>
      </c>
      <c r="K1903">
        <v>4237</v>
      </c>
      <c r="L1903">
        <v>1655</v>
      </c>
      <c r="M1903">
        <v>6818</v>
      </c>
      <c r="N1903">
        <v>27.8</v>
      </c>
      <c r="O1903">
        <v>21.8</v>
      </c>
      <c r="P1903">
        <v>33.700000000000003</v>
      </c>
      <c r="Q1903">
        <f t="shared" si="58"/>
        <v>6912239</v>
      </c>
      <c r="R1903">
        <f t="shared" si="57"/>
        <v>61.297070312528263</v>
      </c>
      <c r="U1903">
        <v>1283</v>
      </c>
      <c r="V1903">
        <v>0</v>
      </c>
      <c r="W1903">
        <v>2584</v>
      </c>
      <c r="X1903">
        <v>690</v>
      </c>
      <c r="Y1903">
        <v>65</v>
      </c>
      <c r="Z1903">
        <v>58</v>
      </c>
      <c r="AA1903">
        <v>72</v>
      </c>
    </row>
    <row r="1904" spans="1:27" x14ac:dyDescent="0.25">
      <c r="A1904" t="s">
        <v>243</v>
      </c>
      <c r="B1904" t="s">
        <v>187</v>
      </c>
      <c r="C1904" s="76">
        <v>43954</v>
      </c>
      <c r="D1904">
        <v>10907</v>
      </c>
      <c r="E1904">
        <v>4510</v>
      </c>
      <c r="F1904">
        <v>17304</v>
      </c>
      <c r="G1904">
        <v>4426</v>
      </c>
      <c r="H1904">
        <v>71.099999999999994</v>
      </c>
      <c r="I1904">
        <v>63.1</v>
      </c>
      <c r="J1904">
        <v>79.2</v>
      </c>
      <c r="K1904">
        <v>4254</v>
      </c>
      <c r="L1904">
        <v>1669</v>
      </c>
      <c r="M1904">
        <v>6839</v>
      </c>
      <c r="N1904">
        <v>27.7</v>
      </c>
      <c r="O1904">
        <v>20.5</v>
      </c>
      <c r="P1904">
        <v>35</v>
      </c>
      <c r="Q1904">
        <f t="shared" si="58"/>
        <v>6912239</v>
      </c>
      <c r="R1904">
        <f t="shared" si="57"/>
        <v>61.543010882580887</v>
      </c>
      <c r="U1904">
        <v>1186</v>
      </c>
      <c r="V1904">
        <v>0</v>
      </c>
      <c r="W1904">
        <v>2385</v>
      </c>
      <c r="X1904">
        <v>781</v>
      </c>
      <c r="Y1904">
        <v>60.3</v>
      </c>
      <c r="Z1904">
        <v>53</v>
      </c>
      <c r="AA1904">
        <v>67.599999999999994</v>
      </c>
    </row>
    <row r="1905" spans="1:27" x14ac:dyDescent="0.25">
      <c r="A1905" t="s">
        <v>243</v>
      </c>
      <c r="B1905" t="s">
        <v>187</v>
      </c>
      <c r="C1905" s="76">
        <v>43955</v>
      </c>
      <c r="D1905">
        <v>11232</v>
      </c>
      <c r="E1905">
        <v>4680</v>
      </c>
      <c r="F1905">
        <v>17784</v>
      </c>
      <c r="G1905">
        <v>3877</v>
      </c>
      <c r="H1905">
        <v>74.3</v>
      </c>
      <c r="I1905">
        <v>68.3</v>
      </c>
      <c r="J1905">
        <v>80.400000000000006</v>
      </c>
      <c r="K1905">
        <v>4584</v>
      </c>
      <c r="L1905">
        <v>1862</v>
      </c>
      <c r="M1905">
        <v>7306</v>
      </c>
      <c r="N1905">
        <v>30.3</v>
      </c>
      <c r="O1905">
        <v>22.9</v>
      </c>
      <c r="P1905">
        <v>37.700000000000003</v>
      </c>
      <c r="Q1905">
        <f t="shared" si="58"/>
        <v>6912239</v>
      </c>
      <c r="R1905">
        <f t="shared" si="57"/>
        <v>66.317151360073055</v>
      </c>
      <c r="U1905">
        <v>1299</v>
      </c>
      <c r="V1905">
        <v>23</v>
      </c>
      <c r="W1905">
        <v>2575</v>
      </c>
      <c r="X1905">
        <v>735</v>
      </c>
      <c r="Y1905">
        <v>63.9</v>
      </c>
      <c r="Z1905">
        <v>57.5</v>
      </c>
      <c r="AA1905">
        <v>70.2</v>
      </c>
    </row>
    <row r="1906" spans="1:27" x14ac:dyDescent="0.25">
      <c r="A1906" t="s">
        <v>243</v>
      </c>
      <c r="B1906" t="s">
        <v>187</v>
      </c>
      <c r="C1906" s="76">
        <v>43956</v>
      </c>
      <c r="D1906">
        <v>11594</v>
      </c>
      <c r="E1906">
        <v>4660</v>
      </c>
      <c r="F1906">
        <v>18529</v>
      </c>
      <c r="G1906">
        <v>3543</v>
      </c>
      <c r="H1906">
        <v>76.599999999999994</v>
      </c>
      <c r="I1906">
        <v>71.099999999999994</v>
      </c>
      <c r="J1906">
        <v>82.1</v>
      </c>
      <c r="K1906">
        <v>4559</v>
      </c>
      <c r="L1906">
        <v>1785</v>
      </c>
      <c r="M1906">
        <v>7333</v>
      </c>
      <c r="N1906">
        <v>30.1</v>
      </c>
      <c r="O1906">
        <v>22.6</v>
      </c>
      <c r="P1906">
        <v>37.700000000000003</v>
      </c>
      <c r="Q1906">
        <f t="shared" si="58"/>
        <v>6912239</v>
      </c>
      <c r="R1906">
        <f t="shared" si="57"/>
        <v>65.955474051172132</v>
      </c>
      <c r="U1906">
        <v>1366</v>
      </c>
      <c r="V1906">
        <v>71</v>
      </c>
      <c r="W1906">
        <v>2662</v>
      </c>
      <c r="X1906">
        <v>721</v>
      </c>
      <c r="Y1906">
        <v>65.400000000000006</v>
      </c>
      <c r="Z1906">
        <v>58.9</v>
      </c>
      <c r="AA1906">
        <v>72</v>
      </c>
    </row>
    <row r="1907" spans="1:27" x14ac:dyDescent="0.25">
      <c r="A1907" t="s">
        <v>243</v>
      </c>
      <c r="B1907" t="s">
        <v>187</v>
      </c>
      <c r="C1907" s="76">
        <v>43957</v>
      </c>
      <c r="D1907">
        <v>11470</v>
      </c>
      <c r="E1907">
        <v>4601</v>
      </c>
      <c r="F1907">
        <v>18340</v>
      </c>
      <c r="G1907">
        <v>3622</v>
      </c>
      <c r="H1907">
        <v>76</v>
      </c>
      <c r="I1907">
        <v>70.3</v>
      </c>
      <c r="J1907">
        <v>81.7</v>
      </c>
      <c r="K1907">
        <v>4386</v>
      </c>
      <c r="L1907">
        <v>1657</v>
      </c>
      <c r="M1907">
        <v>7116</v>
      </c>
      <c r="N1907">
        <v>29.1</v>
      </c>
      <c r="O1907">
        <v>22</v>
      </c>
      <c r="P1907">
        <v>36.1</v>
      </c>
      <c r="Q1907">
        <f t="shared" si="58"/>
        <v>6912239</v>
      </c>
      <c r="R1907">
        <f t="shared" si="57"/>
        <v>63.45266707357775</v>
      </c>
      <c r="U1907">
        <v>1382</v>
      </c>
      <c r="V1907">
        <v>43</v>
      </c>
      <c r="W1907">
        <v>2722</v>
      </c>
      <c r="X1907">
        <v>675</v>
      </c>
      <c r="Y1907">
        <v>67.2</v>
      </c>
      <c r="Z1907">
        <v>60.2</v>
      </c>
      <c r="AA1907">
        <v>74.2</v>
      </c>
    </row>
    <row r="1908" spans="1:27" x14ac:dyDescent="0.25">
      <c r="A1908" t="s">
        <v>243</v>
      </c>
      <c r="B1908" t="s">
        <v>187</v>
      </c>
      <c r="C1908" s="76">
        <v>43958</v>
      </c>
      <c r="D1908">
        <v>11096</v>
      </c>
      <c r="E1908">
        <v>4411</v>
      </c>
      <c r="F1908">
        <v>17781</v>
      </c>
      <c r="G1908">
        <v>3903</v>
      </c>
      <c r="H1908">
        <v>74</v>
      </c>
      <c r="I1908">
        <v>68</v>
      </c>
      <c r="J1908">
        <v>80</v>
      </c>
      <c r="K1908">
        <v>4031</v>
      </c>
      <c r="L1908">
        <v>1632</v>
      </c>
      <c r="M1908">
        <v>6431</v>
      </c>
      <c r="N1908">
        <v>26.9</v>
      </c>
      <c r="O1908">
        <v>19.899999999999999</v>
      </c>
      <c r="P1908">
        <v>34</v>
      </c>
      <c r="Q1908">
        <f t="shared" si="58"/>
        <v>6912239</v>
      </c>
      <c r="R1908">
        <f t="shared" si="57"/>
        <v>58.316849287184652</v>
      </c>
      <c r="U1908">
        <v>1299</v>
      </c>
      <c r="V1908">
        <v>17</v>
      </c>
      <c r="W1908">
        <v>2581</v>
      </c>
      <c r="X1908">
        <v>750</v>
      </c>
      <c r="Y1908">
        <v>63.4</v>
      </c>
      <c r="Z1908">
        <v>57</v>
      </c>
      <c r="AA1908">
        <v>69.8</v>
      </c>
    </row>
    <row r="1909" spans="1:27" x14ac:dyDescent="0.25">
      <c r="A1909" t="s">
        <v>243</v>
      </c>
      <c r="B1909" t="s">
        <v>187</v>
      </c>
      <c r="C1909" s="76">
        <v>43959</v>
      </c>
      <c r="D1909">
        <v>10965</v>
      </c>
      <c r="E1909">
        <v>4353</v>
      </c>
      <c r="F1909">
        <v>17576</v>
      </c>
      <c r="G1909">
        <v>3869</v>
      </c>
      <c r="H1909">
        <v>73.900000000000006</v>
      </c>
      <c r="I1909">
        <v>68.5</v>
      </c>
      <c r="J1909">
        <v>79.3</v>
      </c>
      <c r="K1909">
        <v>3676</v>
      </c>
      <c r="L1909">
        <v>1376</v>
      </c>
      <c r="M1909">
        <v>5977</v>
      </c>
      <c r="N1909">
        <v>24.8</v>
      </c>
      <c r="O1909">
        <v>19.600000000000001</v>
      </c>
      <c r="P1909">
        <v>30</v>
      </c>
      <c r="Q1909">
        <f t="shared" si="58"/>
        <v>6912239</v>
      </c>
      <c r="R1909">
        <f t="shared" si="57"/>
        <v>53.181031500791569</v>
      </c>
      <c r="U1909">
        <v>1340</v>
      </c>
      <c r="V1909">
        <v>34</v>
      </c>
      <c r="W1909">
        <v>2647</v>
      </c>
      <c r="X1909">
        <v>812</v>
      </c>
      <c r="Y1909">
        <v>62.3</v>
      </c>
      <c r="Z1909">
        <v>53.3</v>
      </c>
      <c r="AA1909">
        <v>71.400000000000006</v>
      </c>
    </row>
    <row r="1910" spans="1:27" x14ac:dyDescent="0.25">
      <c r="A1910" t="s">
        <v>243</v>
      </c>
      <c r="B1910" t="s">
        <v>187</v>
      </c>
      <c r="C1910" s="76">
        <v>43960</v>
      </c>
      <c r="D1910">
        <v>10824</v>
      </c>
      <c r="E1910">
        <v>4278</v>
      </c>
      <c r="F1910">
        <v>17369</v>
      </c>
      <c r="G1910">
        <v>3906</v>
      </c>
      <c r="H1910">
        <v>73.5</v>
      </c>
      <c r="I1910">
        <v>67.3</v>
      </c>
      <c r="J1910">
        <v>79.7</v>
      </c>
      <c r="K1910">
        <v>3517</v>
      </c>
      <c r="L1910">
        <v>1291</v>
      </c>
      <c r="M1910">
        <v>5744</v>
      </c>
      <c r="N1910">
        <v>23.9</v>
      </c>
      <c r="O1910">
        <v>18.899999999999999</v>
      </c>
      <c r="P1910">
        <v>28.9</v>
      </c>
      <c r="Q1910">
        <f t="shared" si="58"/>
        <v>6912239</v>
      </c>
      <c r="R1910">
        <f t="shared" si="57"/>
        <v>50.880763816181705</v>
      </c>
      <c r="U1910">
        <v>1344</v>
      </c>
      <c r="V1910">
        <v>16</v>
      </c>
      <c r="W1910">
        <v>2671</v>
      </c>
      <c r="X1910">
        <v>698</v>
      </c>
      <c r="Y1910">
        <v>66.099999999999994</v>
      </c>
      <c r="Z1910">
        <v>57.3</v>
      </c>
      <c r="AA1910">
        <v>74.8</v>
      </c>
    </row>
    <row r="1911" spans="1:27" x14ac:dyDescent="0.25">
      <c r="A1911" t="s">
        <v>243</v>
      </c>
      <c r="B1911" t="s">
        <v>187</v>
      </c>
      <c r="C1911" s="76">
        <v>43961</v>
      </c>
      <c r="D1911">
        <v>10876</v>
      </c>
      <c r="E1911">
        <v>4270</v>
      </c>
      <c r="F1911">
        <v>17483</v>
      </c>
      <c r="G1911">
        <v>3863</v>
      </c>
      <c r="H1911">
        <v>73.8</v>
      </c>
      <c r="I1911">
        <v>68.599999999999994</v>
      </c>
      <c r="J1911">
        <v>78.900000000000006</v>
      </c>
      <c r="K1911">
        <v>3422</v>
      </c>
      <c r="L1911">
        <v>1277</v>
      </c>
      <c r="M1911">
        <v>5568</v>
      </c>
      <c r="N1911">
        <v>23.2</v>
      </c>
      <c r="O1911">
        <v>18.5</v>
      </c>
      <c r="P1911">
        <v>28</v>
      </c>
      <c r="Q1911">
        <f t="shared" si="58"/>
        <v>6912239</v>
      </c>
      <c r="R1911">
        <f t="shared" si="57"/>
        <v>49.506390042358198</v>
      </c>
      <c r="U1911">
        <v>1268</v>
      </c>
      <c r="V1911">
        <v>0</v>
      </c>
      <c r="W1911">
        <v>2560</v>
      </c>
      <c r="X1911">
        <v>697</v>
      </c>
      <c r="Y1911">
        <v>64.400000000000006</v>
      </c>
      <c r="Z1911">
        <v>56.5</v>
      </c>
      <c r="AA1911">
        <v>72.400000000000006</v>
      </c>
    </row>
    <row r="1912" spans="1:27" x14ac:dyDescent="0.25">
      <c r="A1912" t="s">
        <v>243</v>
      </c>
      <c r="B1912" t="s">
        <v>187</v>
      </c>
      <c r="C1912" s="76">
        <v>43962</v>
      </c>
      <c r="D1912">
        <v>11168</v>
      </c>
      <c r="E1912">
        <v>4394</v>
      </c>
      <c r="F1912">
        <v>17942</v>
      </c>
      <c r="G1912">
        <v>3776</v>
      </c>
      <c r="H1912">
        <v>74.7</v>
      </c>
      <c r="I1912">
        <v>68.5</v>
      </c>
      <c r="J1912">
        <v>80.900000000000006</v>
      </c>
      <c r="K1912">
        <v>3450</v>
      </c>
      <c r="L1912">
        <v>1283</v>
      </c>
      <c r="M1912">
        <v>5616</v>
      </c>
      <c r="N1912">
        <v>23.1</v>
      </c>
      <c r="O1912">
        <v>18</v>
      </c>
      <c r="P1912">
        <v>28.1</v>
      </c>
      <c r="Q1912">
        <f t="shared" si="58"/>
        <v>6912239</v>
      </c>
      <c r="R1912">
        <f t="shared" si="57"/>
        <v>49.911468628327235</v>
      </c>
      <c r="U1912">
        <v>1228</v>
      </c>
      <c r="V1912">
        <v>34</v>
      </c>
      <c r="W1912">
        <v>2422</v>
      </c>
      <c r="X1912">
        <v>686</v>
      </c>
      <c r="Y1912">
        <v>64.099999999999994</v>
      </c>
      <c r="Z1912">
        <v>57.1</v>
      </c>
      <c r="AA1912">
        <v>71.2</v>
      </c>
    </row>
    <row r="1913" spans="1:27" x14ac:dyDescent="0.25">
      <c r="A1913" t="s">
        <v>243</v>
      </c>
      <c r="B1913" t="s">
        <v>187</v>
      </c>
      <c r="C1913" s="76">
        <v>43963</v>
      </c>
      <c r="D1913">
        <v>11013</v>
      </c>
      <c r="E1913">
        <v>4407</v>
      </c>
      <c r="F1913">
        <v>17619</v>
      </c>
      <c r="G1913">
        <v>3847</v>
      </c>
      <c r="H1913">
        <v>74.099999999999994</v>
      </c>
      <c r="I1913">
        <v>64.5</v>
      </c>
      <c r="J1913">
        <v>83.7</v>
      </c>
      <c r="K1913">
        <v>3355</v>
      </c>
      <c r="L1913">
        <v>1224</v>
      </c>
      <c r="M1913">
        <v>5486</v>
      </c>
      <c r="N1913">
        <v>22.6</v>
      </c>
      <c r="O1913">
        <v>18.600000000000001</v>
      </c>
      <c r="P1913">
        <v>26.6</v>
      </c>
      <c r="Q1913">
        <f t="shared" si="58"/>
        <v>6912239</v>
      </c>
      <c r="R1913">
        <f t="shared" si="57"/>
        <v>48.537094854503728</v>
      </c>
      <c r="U1913">
        <v>1291</v>
      </c>
      <c r="V1913">
        <v>84</v>
      </c>
      <c r="W1913">
        <v>2498</v>
      </c>
      <c r="X1913">
        <v>494</v>
      </c>
      <c r="Y1913">
        <v>72.3</v>
      </c>
      <c r="Z1913">
        <v>63.8</v>
      </c>
      <c r="AA1913">
        <v>80.900000000000006</v>
      </c>
    </row>
    <row r="1914" spans="1:27" x14ac:dyDescent="0.25">
      <c r="A1914" t="s">
        <v>243</v>
      </c>
      <c r="B1914" t="s">
        <v>187</v>
      </c>
      <c r="C1914" s="76">
        <v>43964</v>
      </c>
      <c r="D1914">
        <v>10968</v>
      </c>
      <c r="E1914">
        <v>4355</v>
      </c>
      <c r="F1914">
        <v>17581</v>
      </c>
      <c r="G1914">
        <v>3839</v>
      </c>
      <c r="H1914">
        <v>74.099999999999994</v>
      </c>
      <c r="I1914">
        <v>67.3</v>
      </c>
      <c r="J1914">
        <v>80.900000000000006</v>
      </c>
      <c r="K1914">
        <v>3120</v>
      </c>
      <c r="L1914">
        <v>1125</v>
      </c>
      <c r="M1914">
        <v>5115</v>
      </c>
      <c r="N1914">
        <v>21.1</v>
      </c>
      <c r="O1914">
        <v>17.5</v>
      </c>
      <c r="P1914">
        <v>24.6</v>
      </c>
      <c r="Q1914">
        <f t="shared" si="58"/>
        <v>6912239</v>
      </c>
      <c r="R1914">
        <f t="shared" si="57"/>
        <v>45.13732815083506</v>
      </c>
      <c r="U1914">
        <v>1263</v>
      </c>
      <c r="V1914">
        <v>80</v>
      </c>
      <c r="W1914">
        <v>2447</v>
      </c>
      <c r="X1914">
        <v>537</v>
      </c>
      <c r="Y1914">
        <v>70.2</v>
      </c>
      <c r="Z1914">
        <v>63.1</v>
      </c>
      <c r="AA1914">
        <v>77.2</v>
      </c>
    </row>
    <row r="1915" spans="1:27" x14ac:dyDescent="0.25">
      <c r="A1915" t="s">
        <v>243</v>
      </c>
      <c r="B1915" t="s">
        <v>187</v>
      </c>
      <c r="C1915" s="76">
        <v>43965</v>
      </c>
      <c r="D1915">
        <v>11080</v>
      </c>
      <c r="E1915">
        <v>4721</v>
      </c>
      <c r="F1915">
        <v>17438</v>
      </c>
      <c r="G1915">
        <v>3824</v>
      </c>
      <c r="H1915">
        <v>74.3</v>
      </c>
      <c r="I1915">
        <v>68.099999999999994</v>
      </c>
      <c r="J1915">
        <v>80.599999999999994</v>
      </c>
      <c r="K1915">
        <v>3273</v>
      </c>
      <c r="L1915">
        <v>1214</v>
      </c>
      <c r="M1915">
        <v>5332</v>
      </c>
      <c r="N1915">
        <v>22</v>
      </c>
      <c r="O1915">
        <v>18.5</v>
      </c>
      <c r="P1915">
        <v>25.4</v>
      </c>
      <c r="Q1915">
        <f t="shared" si="58"/>
        <v>6912239</v>
      </c>
      <c r="R1915">
        <f t="shared" si="57"/>
        <v>47.350793281308704</v>
      </c>
      <c r="U1915">
        <v>1271</v>
      </c>
      <c r="V1915">
        <v>52</v>
      </c>
      <c r="W1915">
        <v>2490</v>
      </c>
      <c r="X1915">
        <v>510</v>
      </c>
      <c r="Y1915">
        <v>71.3</v>
      </c>
      <c r="Z1915">
        <v>61.1</v>
      </c>
      <c r="AA1915">
        <v>81.599999999999994</v>
      </c>
    </row>
    <row r="1916" spans="1:27" x14ac:dyDescent="0.25">
      <c r="A1916" t="s">
        <v>243</v>
      </c>
      <c r="B1916" t="s">
        <v>187</v>
      </c>
      <c r="C1916" s="76">
        <v>43966</v>
      </c>
      <c r="D1916">
        <v>10931</v>
      </c>
      <c r="E1916">
        <v>4504</v>
      </c>
      <c r="F1916">
        <v>17358</v>
      </c>
      <c r="G1916">
        <v>3551</v>
      </c>
      <c r="H1916">
        <v>75.5</v>
      </c>
      <c r="I1916">
        <v>68.8</v>
      </c>
      <c r="J1916">
        <v>82.1</v>
      </c>
      <c r="K1916">
        <v>3096</v>
      </c>
      <c r="L1916">
        <v>1145</v>
      </c>
      <c r="M1916">
        <v>5047</v>
      </c>
      <c r="N1916">
        <v>21.4</v>
      </c>
      <c r="O1916">
        <v>18.100000000000001</v>
      </c>
      <c r="P1916">
        <v>24.6</v>
      </c>
      <c r="Q1916">
        <f t="shared" si="58"/>
        <v>6912239</v>
      </c>
      <c r="R1916">
        <f t="shared" si="57"/>
        <v>44.790117934290173</v>
      </c>
      <c r="U1916">
        <v>1237</v>
      </c>
      <c r="V1916">
        <v>23</v>
      </c>
      <c r="W1916">
        <v>2452</v>
      </c>
      <c r="X1916">
        <v>431</v>
      </c>
      <c r="Y1916">
        <v>74.2</v>
      </c>
      <c r="Z1916">
        <v>61.9</v>
      </c>
      <c r="AA1916">
        <v>86.5</v>
      </c>
    </row>
    <row r="1917" spans="1:27" x14ac:dyDescent="0.25">
      <c r="A1917" t="s">
        <v>243</v>
      </c>
      <c r="B1917" t="s">
        <v>187</v>
      </c>
      <c r="C1917" s="76">
        <v>43967</v>
      </c>
      <c r="D1917">
        <v>10819</v>
      </c>
      <c r="E1917">
        <v>4351</v>
      </c>
      <c r="F1917">
        <v>17286</v>
      </c>
      <c r="G1917">
        <v>3542</v>
      </c>
      <c r="H1917">
        <v>75.3</v>
      </c>
      <c r="I1917">
        <v>69.5</v>
      </c>
      <c r="J1917">
        <v>81.2</v>
      </c>
      <c r="K1917">
        <v>3141</v>
      </c>
      <c r="L1917">
        <v>1210</v>
      </c>
      <c r="M1917">
        <v>5071</v>
      </c>
      <c r="N1917">
        <v>21.9</v>
      </c>
      <c r="O1917">
        <v>18.399999999999999</v>
      </c>
      <c r="P1917">
        <v>25.3</v>
      </c>
      <c r="Q1917">
        <f t="shared" si="58"/>
        <v>6912239</v>
      </c>
      <c r="R1917">
        <f t="shared" si="57"/>
        <v>45.441137090311841</v>
      </c>
      <c r="U1917">
        <v>1247</v>
      </c>
      <c r="V1917">
        <v>38</v>
      </c>
      <c r="W1917">
        <v>2456</v>
      </c>
      <c r="X1917">
        <v>424</v>
      </c>
      <c r="Y1917">
        <v>74.599999999999994</v>
      </c>
      <c r="Z1917">
        <v>65.099999999999994</v>
      </c>
      <c r="AA1917">
        <v>84.1</v>
      </c>
    </row>
    <row r="1918" spans="1:27" x14ac:dyDescent="0.25">
      <c r="A1918" t="s">
        <v>243</v>
      </c>
      <c r="B1918" t="s">
        <v>187</v>
      </c>
      <c r="C1918" s="76">
        <v>43968</v>
      </c>
      <c r="D1918">
        <v>10687</v>
      </c>
      <c r="E1918">
        <v>4308</v>
      </c>
      <c r="F1918">
        <v>17066</v>
      </c>
      <c r="G1918">
        <v>3735</v>
      </c>
      <c r="H1918">
        <v>74.099999999999994</v>
      </c>
      <c r="I1918">
        <v>67.900000000000006</v>
      </c>
      <c r="J1918">
        <v>80.3</v>
      </c>
      <c r="K1918">
        <v>2889</v>
      </c>
      <c r="L1918">
        <v>1142</v>
      </c>
      <c r="M1918">
        <v>4635</v>
      </c>
      <c r="N1918">
        <v>20</v>
      </c>
      <c r="O1918">
        <v>16.8</v>
      </c>
      <c r="P1918">
        <v>23.3</v>
      </c>
      <c r="Q1918">
        <f t="shared" si="58"/>
        <v>6912239</v>
      </c>
      <c r="R1918">
        <f t="shared" si="57"/>
        <v>41.795429816590541</v>
      </c>
      <c r="U1918">
        <v>1175</v>
      </c>
      <c r="V1918">
        <v>59</v>
      </c>
      <c r="W1918">
        <v>2290</v>
      </c>
      <c r="X1918">
        <v>514</v>
      </c>
      <c r="Y1918">
        <v>69.599999999999994</v>
      </c>
      <c r="Z1918">
        <v>61.3</v>
      </c>
      <c r="AA1918">
        <v>77.8</v>
      </c>
    </row>
    <row r="1919" spans="1:27" x14ac:dyDescent="0.25">
      <c r="A1919" t="s">
        <v>243</v>
      </c>
      <c r="B1919" t="s">
        <v>187</v>
      </c>
      <c r="C1919" s="76">
        <v>43969</v>
      </c>
      <c r="D1919">
        <v>10058</v>
      </c>
      <c r="E1919">
        <v>3852</v>
      </c>
      <c r="F1919">
        <v>16265</v>
      </c>
      <c r="G1919">
        <v>3454</v>
      </c>
      <c r="H1919">
        <v>74.400000000000006</v>
      </c>
      <c r="I1919">
        <v>68.2</v>
      </c>
      <c r="J1919">
        <v>80.7</v>
      </c>
      <c r="K1919">
        <v>2792</v>
      </c>
      <c r="L1919">
        <v>1012</v>
      </c>
      <c r="M1919">
        <v>4572</v>
      </c>
      <c r="N1919">
        <v>20.7</v>
      </c>
      <c r="O1919">
        <v>16.5</v>
      </c>
      <c r="P1919">
        <v>24.9</v>
      </c>
      <c r="Q1919">
        <f t="shared" si="58"/>
        <v>6912239</v>
      </c>
      <c r="R1919">
        <f t="shared" si="57"/>
        <v>40.392121858054963</v>
      </c>
      <c r="U1919">
        <v>1114</v>
      </c>
      <c r="V1919">
        <v>7</v>
      </c>
      <c r="W1919">
        <v>2222</v>
      </c>
      <c r="X1919">
        <v>499</v>
      </c>
      <c r="Y1919">
        <v>69.099999999999994</v>
      </c>
      <c r="Z1919">
        <v>58.5</v>
      </c>
      <c r="AA1919">
        <v>79.599999999999994</v>
      </c>
    </row>
    <row r="1920" spans="1:27" x14ac:dyDescent="0.25">
      <c r="A1920" t="s">
        <v>243</v>
      </c>
      <c r="B1920" t="s">
        <v>187</v>
      </c>
      <c r="C1920" s="76">
        <v>43970</v>
      </c>
      <c r="D1920">
        <v>10398</v>
      </c>
      <c r="E1920">
        <v>3896</v>
      </c>
      <c r="F1920">
        <v>16899</v>
      </c>
      <c r="G1920">
        <v>3170</v>
      </c>
      <c r="H1920">
        <v>76.599999999999994</v>
      </c>
      <c r="I1920">
        <v>70.7</v>
      </c>
      <c r="J1920">
        <v>82.6</v>
      </c>
      <c r="K1920">
        <v>2842</v>
      </c>
      <c r="L1920">
        <v>971</v>
      </c>
      <c r="M1920">
        <v>4712</v>
      </c>
      <c r="N1920">
        <v>20.9</v>
      </c>
      <c r="O1920">
        <v>16.3</v>
      </c>
      <c r="P1920">
        <v>25.6</v>
      </c>
      <c r="Q1920">
        <f t="shared" si="58"/>
        <v>6912239</v>
      </c>
      <c r="R1920">
        <f t="shared" si="57"/>
        <v>41.115476475856809</v>
      </c>
      <c r="U1920">
        <v>1163</v>
      </c>
      <c r="V1920">
        <v>43</v>
      </c>
      <c r="W1920">
        <v>2284</v>
      </c>
      <c r="X1920">
        <v>422</v>
      </c>
      <c r="Y1920">
        <v>73.400000000000006</v>
      </c>
      <c r="Z1920">
        <v>66</v>
      </c>
      <c r="AA1920">
        <v>80.7</v>
      </c>
    </row>
    <row r="1921" spans="1:27" x14ac:dyDescent="0.25">
      <c r="A1921" t="s">
        <v>243</v>
      </c>
      <c r="B1921" t="s">
        <v>187</v>
      </c>
      <c r="C1921" s="76">
        <v>43971</v>
      </c>
      <c r="D1921">
        <v>10370</v>
      </c>
      <c r="E1921">
        <v>3987</v>
      </c>
      <c r="F1921">
        <v>16754</v>
      </c>
      <c r="G1921">
        <v>3115</v>
      </c>
      <c r="H1921">
        <v>76.900000000000006</v>
      </c>
      <c r="I1921">
        <v>70.8</v>
      </c>
      <c r="J1921">
        <v>83</v>
      </c>
      <c r="K1921">
        <v>2587</v>
      </c>
      <c r="L1921">
        <v>992</v>
      </c>
      <c r="M1921">
        <v>4181</v>
      </c>
      <c r="N1921">
        <v>19.2</v>
      </c>
      <c r="O1921">
        <v>15</v>
      </c>
      <c r="P1921">
        <v>23.3</v>
      </c>
      <c r="Q1921">
        <f t="shared" si="58"/>
        <v>6912239</v>
      </c>
      <c r="R1921">
        <f t="shared" si="57"/>
        <v>37.426367925067403</v>
      </c>
      <c r="U1921">
        <v>1103</v>
      </c>
      <c r="V1921">
        <v>50</v>
      </c>
      <c r="W1921">
        <v>2155</v>
      </c>
      <c r="X1921">
        <v>480</v>
      </c>
      <c r="Y1921">
        <v>69.7</v>
      </c>
      <c r="Z1921">
        <v>63.6</v>
      </c>
      <c r="AA1921">
        <v>75.7</v>
      </c>
    </row>
    <row r="1922" spans="1:27" x14ac:dyDescent="0.25">
      <c r="A1922" t="s">
        <v>243</v>
      </c>
      <c r="B1922" t="s">
        <v>187</v>
      </c>
      <c r="C1922" s="76">
        <v>43972</v>
      </c>
      <c r="D1922">
        <v>9980</v>
      </c>
      <c r="E1922">
        <v>4040</v>
      </c>
      <c r="F1922">
        <v>15920</v>
      </c>
      <c r="G1922">
        <v>3394</v>
      </c>
      <c r="H1922">
        <v>74.599999999999994</v>
      </c>
      <c r="I1922">
        <v>66.5</v>
      </c>
      <c r="J1922">
        <v>82.7</v>
      </c>
      <c r="K1922">
        <v>2536</v>
      </c>
      <c r="L1922">
        <v>936</v>
      </c>
      <c r="M1922">
        <v>4136</v>
      </c>
      <c r="N1922">
        <v>19</v>
      </c>
      <c r="O1922">
        <v>14.4</v>
      </c>
      <c r="P1922">
        <v>23.5</v>
      </c>
      <c r="Q1922">
        <f t="shared" si="58"/>
        <v>6912239</v>
      </c>
      <c r="R1922">
        <f t="shared" si="57"/>
        <v>36.688546214909529</v>
      </c>
      <c r="U1922">
        <v>1066</v>
      </c>
      <c r="V1922">
        <v>84</v>
      </c>
      <c r="W1922">
        <v>2048</v>
      </c>
      <c r="X1922">
        <v>312</v>
      </c>
      <c r="Y1922">
        <v>77.400000000000006</v>
      </c>
      <c r="Z1922">
        <v>69.900000000000006</v>
      </c>
      <c r="AA1922">
        <v>84.9</v>
      </c>
    </row>
    <row r="1923" spans="1:27" x14ac:dyDescent="0.25">
      <c r="A1923" t="s">
        <v>243</v>
      </c>
      <c r="B1923" t="s">
        <v>187</v>
      </c>
      <c r="C1923" s="76">
        <v>43973</v>
      </c>
      <c r="D1923">
        <v>10239</v>
      </c>
      <c r="E1923">
        <v>4009</v>
      </c>
      <c r="F1923">
        <v>16468</v>
      </c>
      <c r="G1923">
        <v>3153</v>
      </c>
      <c r="H1923">
        <v>76.5</v>
      </c>
      <c r="I1923">
        <v>68.7</v>
      </c>
      <c r="J1923">
        <v>84.2</v>
      </c>
      <c r="K1923">
        <v>2604</v>
      </c>
      <c r="L1923">
        <v>945</v>
      </c>
      <c r="M1923">
        <v>4263</v>
      </c>
      <c r="N1923">
        <v>19.399999999999999</v>
      </c>
      <c r="O1923">
        <v>14.5</v>
      </c>
      <c r="P1923">
        <v>24.3</v>
      </c>
      <c r="Q1923">
        <f t="shared" si="58"/>
        <v>6912239</v>
      </c>
      <c r="R1923">
        <f t="shared" si="57"/>
        <v>37.672308495120035</v>
      </c>
      <c r="U1923">
        <v>1112</v>
      </c>
      <c r="V1923">
        <v>62</v>
      </c>
      <c r="W1923">
        <v>2162</v>
      </c>
      <c r="X1923">
        <v>279</v>
      </c>
      <c r="Y1923">
        <v>79.900000000000006</v>
      </c>
      <c r="Z1923">
        <v>71.2</v>
      </c>
      <c r="AA1923">
        <v>88.6</v>
      </c>
    </row>
    <row r="1924" spans="1:27" x14ac:dyDescent="0.25">
      <c r="A1924" t="s">
        <v>243</v>
      </c>
      <c r="B1924" t="s">
        <v>187</v>
      </c>
      <c r="C1924" s="76">
        <v>43974</v>
      </c>
      <c r="D1924">
        <v>11168</v>
      </c>
      <c r="E1924">
        <v>4583</v>
      </c>
      <c r="F1924">
        <v>17753</v>
      </c>
      <c r="G1924">
        <v>3362</v>
      </c>
      <c r="H1924">
        <v>76.900000000000006</v>
      </c>
      <c r="I1924">
        <v>69.900000000000006</v>
      </c>
      <c r="J1924">
        <v>83.9</v>
      </c>
      <c r="K1924">
        <v>2834</v>
      </c>
      <c r="L1924">
        <v>1078</v>
      </c>
      <c r="M1924">
        <v>4590</v>
      </c>
      <c r="N1924">
        <v>19.5</v>
      </c>
      <c r="O1924">
        <v>15.2</v>
      </c>
      <c r="P1924">
        <v>23.8</v>
      </c>
      <c r="Q1924">
        <f t="shared" si="58"/>
        <v>6912239</v>
      </c>
      <c r="R1924">
        <f t="shared" si="57"/>
        <v>40.999739737008511</v>
      </c>
      <c r="U1924">
        <v>1098</v>
      </c>
      <c r="V1924">
        <v>181</v>
      </c>
      <c r="W1924">
        <v>2015</v>
      </c>
      <c r="X1924">
        <v>413</v>
      </c>
      <c r="Y1924">
        <v>72.7</v>
      </c>
      <c r="Z1924">
        <v>65.2</v>
      </c>
      <c r="AA1924">
        <v>80.099999999999994</v>
      </c>
    </row>
    <row r="1925" spans="1:27" x14ac:dyDescent="0.25">
      <c r="A1925" t="s">
        <v>243</v>
      </c>
      <c r="B1925" t="s">
        <v>187</v>
      </c>
      <c r="C1925" s="76">
        <v>43975</v>
      </c>
      <c r="D1925">
        <v>9998</v>
      </c>
      <c r="E1925">
        <v>3399</v>
      </c>
      <c r="F1925">
        <v>16596</v>
      </c>
      <c r="G1925">
        <v>4039</v>
      </c>
      <c r="H1925">
        <v>71.2</v>
      </c>
      <c r="I1925">
        <v>63.5</v>
      </c>
      <c r="J1925">
        <v>78.900000000000006</v>
      </c>
      <c r="K1925">
        <v>2693</v>
      </c>
      <c r="L1925">
        <v>748</v>
      </c>
      <c r="M1925">
        <v>4637</v>
      </c>
      <c r="N1925">
        <v>19.2</v>
      </c>
      <c r="O1925">
        <v>14.6</v>
      </c>
      <c r="P1925">
        <v>23.7</v>
      </c>
      <c r="Q1925">
        <f t="shared" si="58"/>
        <v>6912239</v>
      </c>
      <c r="R1925">
        <f t="shared" ref="R1925:R1988" si="59">K1925/(Q1925)*100000</f>
        <v>38.959879714807315</v>
      </c>
      <c r="U1925">
        <v>845</v>
      </c>
      <c r="V1925">
        <v>182</v>
      </c>
      <c r="W1925">
        <v>1508</v>
      </c>
      <c r="X1925">
        <v>291</v>
      </c>
      <c r="Y1925">
        <v>74.400000000000006</v>
      </c>
      <c r="Z1925">
        <v>65.3</v>
      </c>
      <c r="AA1925">
        <v>83.4</v>
      </c>
    </row>
    <row r="1926" spans="1:27" x14ac:dyDescent="0.25">
      <c r="A1926" t="s">
        <v>243</v>
      </c>
      <c r="B1926" t="s">
        <v>187</v>
      </c>
      <c r="C1926" s="76">
        <v>43976</v>
      </c>
      <c r="D1926">
        <v>9963</v>
      </c>
      <c r="E1926">
        <v>3336</v>
      </c>
      <c r="F1926">
        <v>16589</v>
      </c>
      <c r="G1926">
        <v>4109</v>
      </c>
      <c r="H1926">
        <v>70.8</v>
      </c>
      <c r="I1926">
        <v>63.9</v>
      </c>
      <c r="J1926">
        <v>77.7</v>
      </c>
      <c r="K1926">
        <v>2370</v>
      </c>
      <c r="L1926">
        <v>753</v>
      </c>
      <c r="M1926">
        <v>3987</v>
      </c>
      <c r="N1926">
        <v>16.8</v>
      </c>
      <c r="O1926">
        <v>11.9</v>
      </c>
      <c r="P1926">
        <v>21.8</v>
      </c>
      <c r="Q1926">
        <f t="shared" si="58"/>
        <v>6912239</v>
      </c>
      <c r="R1926">
        <f t="shared" si="59"/>
        <v>34.287008883807403</v>
      </c>
      <c r="U1926">
        <v>849</v>
      </c>
      <c r="V1926">
        <v>145</v>
      </c>
      <c r="W1926">
        <v>1554</v>
      </c>
      <c r="X1926">
        <v>280</v>
      </c>
      <c r="Y1926">
        <v>75.2</v>
      </c>
      <c r="Z1926">
        <v>65.7</v>
      </c>
      <c r="AA1926">
        <v>84.8</v>
      </c>
    </row>
    <row r="1927" spans="1:27" x14ac:dyDescent="0.25">
      <c r="A1927" t="s">
        <v>243</v>
      </c>
      <c r="B1927" t="s">
        <v>187</v>
      </c>
      <c r="C1927" s="76">
        <v>43977</v>
      </c>
      <c r="D1927">
        <v>10232</v>
      </c>
      <c r="E1927">
        <v>3253</v>
      </c>
      <c r="F1927">
        <v>17212</v>
      </c>
      <c r="G1927">
        <v>3764</v>
      </c>
      <c r="H1927">
        <v>73.099999999999994</v>
      </c>
      <c r="I1927">
        <v>66.5</v>
      </c>
      <c r="J1927">
        <v>79.8</v>
      </c>
      <c r="K1927">
        <v>2380</v>
      </c>
      <c r="L1927">
        <v>689</v>
      </c>
      <c r="M1927">
        <v>4071</v>
      </c>
      <c r="N1927">
        <v>17</v>
      </c>
      <c r="O1927">
        <v>13.6</v>
      </c>
      <c r="P1927">
        <v>20.399999999999999</v>
      </c>
      <c r="Q1927">
        <f t="shared" si="58"/>
        <v>6912239</v>
      </c>
      <c r="R1927">
        <f t="shared" si="59"/>
        <v>34.431679807367772</v>
      </c>
      <c r="U1927">
        <v>820</v>
      </c>
      <c r="V1927">
        <v>141</v>
      </c>
      <c r="W1927">
        <v>1499</v>
      </c>
      <c r="X1927">
        <v>293</v>
      </c>
      <c r="Y1927">
        <v>73.7</v>
      </c>
      <c r="Z1927">
        <v>65.599999999999994</v>
      </c>
      <c r="AA1927">
        <v>81.900000000000006</v>
      </c>
    </row>
    <row r="1928" spans="1:27" x14ac:dyDescent="0.25">
      <c r="A1928" t="s">
        <v>243</v>
      </c>
      <c r="B1928" t="s">
        <v>187</v>
      </c>
      <c r="C1928" s="76">
        <v>43978</v>
      </c>
      <c r="D1928">
        <v>10223</v>
      </c>
      <c r="E1928">
        <v>3019</v>
      </c>
      <c r="F1928">
        <v>17426</v>
      </c>
      <c r="G1928">
        <v>3704</v>
      </c>
      <c r="H1928">
        <v>73.400000000000006</v>
      </c>
      <c r="I1928">
        <v>67.8</v>
      </c>
      <c r="J1928">
        <v>79</v>
      </c>
      <c r="K1928">
        <v>2393</v>
      </c>
      <c r="L1928">
        <v>580</v>
      </c>
      <c r="M1928">
        <v>4206</v>
      </c>
      <c r="N1928">
        <v>17.2</v>
      </c>
      <c r="O1928">
        <v>14</v>
      </c>
      <c r="P1928">
        <v>20.3</v>
      </c>
      <c r="Q1928">
        <f t="shared" si="58"/>
        <v>6912239</v>
      </c>
      <c r="R1928">
        <f t="shared" si="59"/>
        <v>34.619752007996254</v>
      </c>
      <c r="U1928">
        <v>872</v>
      </c>
      <c r="V1928">
        <v>170</v>
      </c>
      <c r="W1928">
        <v>1574</v>
      </c>
      <c r="X1928">
        <v>240</v>
      </c>
      <c r="Y1928">
        <v>78.400000000000006</v>
      </c>
      <c r="Z1928">
        <v>69.5</v>
      </c>
      <c r="AA1928">
        <v>87.4</v>
      </c>
    </row>
    <row r="1929" spans="1:27" x14ac:dyDescent="0.25">
      <c r="A1929" t="s">
        <v>243</v>
      </c>
      <c r="B1929" t="s">
        <v>187</v>
      </c>
      <c r="C1929" s="76">
        <v>43979</v>
      </c>
      <c r="D1929">
        <v>10084</v>
      </c>
      <c r="E1929">
        <v>2546</v>
      </c>
      <c r="F1929">
        <v>17621</v>
      </c>
      <c r="G1929">
        <v>2633</v>
      </c>
      <c r="H1929">
        <v>79.3</v>
      </c>
      <c r="I1929">
        <v>73.900000000000006</v>
      </c>
      <c r="J1929">
        <v>84.6</v>
      </c>
      <c r="K1929">
        <v>2323</v>
      </c>
      <c r="L1929">
        <v>457</v>
      </c>
      <c r="M1929">
        <v>4189</v>
      </c>
      <c r="N1929">
        <v>18.3</v>
      </c>
      <c r="O1929">
        <v>14.1</v>
      </c>
      <c r="P1929">
        <v>22.5</v>
      </c>
      <c r="Q1929">
        <f t="shared" si="58"/>
        <v>6912239</v>
      </c>
      <c r="R1929">
        <f t="shared" si="59"/>
        <v>33.60705554307367</v>
      </c>
      <c r="U1929">
        <v>849</v>
      </c>
      <c r="V1929">
        <v>112</v>
      </c>
      <c r="W1929">
        <v>1587</v>
      </c>
      <c r="X1929">
        <v>199</v>
      </c>
      <c r="Y1929">
        <v>81</v>
      </c>
      <c r="Z1929">
        <v>67.900000000000006</v>
      </c>
      <c r="AA1929">
        <v>94.1</v>
      </c>
    </row>
    <row r="1930" spans="1:27" x14ac:dyDescent="0.25">
      <c r="A1930" t="s">
        <v>243</v>
      </c>
      <c r="B1930" t="s">
        <v>187</v>
      </c>
      <c r="C1930" s="76">
        <v>43980</v>
      </c>
      <c r="D1930">
        <v>10681</v>
      </c>
      <c r="E1930">
        <v>4403</v>
      </c>
      <c r="F1930">
        <v>16959</v>
      </c>
      <c r="G1930">
        <v>3407</v>
      </c>
      <c r="H1930">
        <v>75.8</v>
      </c>
      <c r="I1930">
        <v>70.599999999999994</v>
      </c>
      <c r="J1930">
        <v>81</v>
      </c>
      <c r="K1930">
        <v>2220</v>
      </c>
      <c r="L1930">
        <v>845</v>
      </c>
      <c r="M1930">
        <v>3596</v>
      </c>
      <c r="N1930">
        <v>15.8</v>
      </c>
      <c r="O1930">
        <v>12.6</v>
      </c>
      <c r="P1930">
        <v>18.899999999999999</v>
      </c>
      <c r="Q1930">
        <f t="shared" si="58"/>
        <v>6912239</v>
      </c>
      <c r="R1930">
        <f t="shared" si="59"/>
        <v>32.116945030401872</v>
      </c>
      <c r="U1930">
        <v>1118</v>
      </c>
      <c r="V1930">
        <v>183</v>
      </c>
      <c r="W1930">
        <v>2052</v>
      </c>
      <c r="X1930">
        <v>424</v>
      </c>
      <c r="Y1930">
        <v>72.5</v>
      </c>
      <c r="Z1930">
        <v>64.900000000000006</v>
      </c>
      <c r="AA1930">
        <v>80.099999999999994</v>
      </c>
    </row>
    <row r="1931" spans="1:27" x14ac:dyDescent="0.25">
      <c r="A1931" t="s">
        <v>243</v>
      </c>
      <c r="B1931" t="s">
        <v>187</v>
      </c>
      <c r="C1931" s="76">
        <v>43981</v>
      </c>
      <c r="D1931">
        <v>10002</v>
      </c>
      <c r="E1931">
        <v>3901</v>
      </c>
      <c r="F1931">
        <v>16104</v>
      </c>
      <c r="G1931">
        <v>3823</v>
      </c>
      <c r="H1931">
        <v>72.3</v>
      </c>
      <c r="I1931">
        <v>66.3</v>
      </c>
      <c r="J1931">
        <v>78.400000000000006</v>
      </c>
      <c r="K1931">
        <v>2086</v>
      </c>
      <c r="L1931">
        <v>742</v>
      </c>
      <c r="M1931">
        <v>3430</v>
      </c>
      <c r="N1931">
        <v>15.1</v>
      </c>
      <c r="O1931">
        <v>12.2</v>
      </c>
      <c r="P1931">
        <v>17.899999999999999</v>
      </c>
      <c r="Q1931">
        <f t="shared" si="58"/>
        <v>6912239</v>
      </c>
      <c r="R1931">
        <f t="shared" si="59"/>
        <v>30.178354654692932</v>
      </c>
      <c r="U1931">
        <v>1087</v>
      </c>
      <c r="V1931">
        <v>137</v>
      </c>
      <c r="W1931">
        <v>2036</v>
      </c>
      <c r="X1931">
        <v>430</v>
      </c>
      <c r="Y1931">
        <v>71.7</v>
      </c>
      <c r="Z1931">
        <v>64.099999999999994</v>
      </c>
      <c r="AA1931">
        <v>79.3</v>
      </c>
    </row>
    <row r="1932" spans="1:27" x14ac:dyDescent="0.25">
      <c r="A1932" t="s">
        <v>243</v>
      </c>
      <c r="B1932" t="s">
        <v>187</v>
      </c>
      <c r="C1932" s="76">
        <v>43982</v>
      </c>
      <c r="D1932">
        <v>10309</v>
      </c>
      <c r="E1932">
        <v>4207</v>
      </c>
      <c r="F1932">
        <v>16411</v>
      </c>
      <c r="G1932">
        <v>3616</v>
      </c>
      <c r="H1932">
        <v>74</v>
      </c>
      <c r="I1932">
        <v>68</v>
      </c>
      <c r="J1932">
        <v>80</v>
      </c>
      <c r="K1932">
        <v>2081</v>
      </c>
      <c r="L1932">
        <v>788</v>
      </c>
      <c r="M1932">
        <v>3374</v>
      </c>
      <c r="N1932">
        <v>14.9</v>
      </c>
      <c r="O1932">
        <v>12</v>
      </c>
      <c r="P1932">
        <v>17.899999999999999</v>
      </c>
      <c r="Q1932">
        <f t="shared" si="58"/>
        <v>6912239</v>
      </c>
      <c r="R1932">
        <f t="shared" si="59"/>
        <v>30.106019192912743</v>
      </c>
      <c r="U1932">
        <v>1015</v>
      </c>
      <c r="V1932">
        <v>150</v>
      </c>
      <c r="W1932">
        <v>1879</v>
      </c>
      <c r="X1932">
        <v>482</v>
      </c>
      <c r="Y1932">
        <v>67.8</v>
      </c>
      <c r="Z1932">
        <v>59.8</v>
      </c>
      <c r="AA1932">
        <v>75.8</v>
      </c>
    </row>
    <row r="1933" spans="1:27" x14ac:dyDescent="0.25">
      <c r="A1933" t="s">
        <v>243</v>
      </c>
      <c r="B1933" t="s">
        <v>187</v>
      </c>
      <c r="C1933" s="76">
        <v>43983</v>
      </c>
      <c r="D1933">
        <v>9482</v>
      </c>
      <c r="E1933">
        <v>2828</v>
      </c>
      <c r="F1933">
        <v>16136</v>
      </c>
      <c r="G1933">
        <v>3834</v>
      </c>
      <c r="H1933">
        <v>71.2</v>
      </c>
      <c r="I1933">
        <v>65.3</v>
      </c>
      <c r="J1933">
        <v>77.099999999999994</v>
      </c>
      <c r="K1933">
        <v>1813</v>
      </c>
      <c r="L1933">
        <v>383</v>
      </c>
      <c r="M1933">
        <v>3242</v>
      </c>
      <c r="N1933">
        <v>13.6</v>
      </c>
      <c r="O1933">
        <v>10.9</v>
      </c>
      <c r="P1933">
        <v>16.3</v>
      </c>
      <c r="Q1933">
        <f t="shared" si="58"/>
        <v>6912239</v>
      </c>
      <c r="R1933">
        <f t="shared" si="59"/>
        <v>26.228838441494862</v>
      </c>
      <c r="U1933">
        <v>741</v>
      </c>
      <c r="V1933">
        <v>144</v>
      </c>
      <c r="W1933">
        <v>1338</v>
      </c>
      <c r="X1933">
        <v>314</v>
      </c>
      <c r="Y1933">
        <v>70.2</v>
      </c>
      <c r="Z1933">
        <v>63</v>
      </c>
      <c r="AA1933">
        <v>77.5</v>
      </c>
    </row>
    <row r="1934" spans="1:27" x14ac:dyDescent="0.25">
      <c r="A1934" t="s">
        <v>243</v>
      </c>
      <c r="B1934" t="s">
        <v>187</v>
      </c>
      <c r="C1934" s="76">
        <v>43984</v>
      </c>
      <c r="D1934">
        <v>9834</v>
      </c>
      <c r="E1934">
        <v>2665</v>
      </c>
      <c r="F1934">
        <v>17003</v>
      </c>
      <c r="G1934">
        <v>3651</v>
      </c>
      <c r="H1934">
        <v>72.900000000000006</v>
      </c>
      <c r="I1934">
        <v>67.900000000000006</v>
      </c>
      <c r="J1934">
        <v>78</v>
      </c>
      <c r="K1934">
        <v>1929</v>
      </c>
      <c r="L1934">
        <v>326</v>
      </c>
      <c r="M1934">
        <v>3532</v>
      </c>
      <c r="N1934">
        <v>14.3</v>
      </c>
      <c r="O1934">
        <v>11</v>
      </c>
      <c r="P1934">
        <v>17.600000000000001</v>
      </c>
      <c r="Q1934">
        <f t="shared" si="58"/>
        <v>6912239</v>
      </c>
      <c r="R1934">
        <f t="shared" si="59"/>
        <v>27.907021154795139</v>
      </c>
      <c r="U1934">
        <v>728</v>
      </c>
      <c r="V1934">
        <v>157</v>
      </c>
      <c r="W1934">
        <v>1298</v>
      </c>
      <c r="X1934">
        <v>337</v>
      </c>
      <c r="Y1934">
        <v>68.400000000000006</v>
      </c>
      <c r="Z1934">
        <v>61.6</v>
      </c>
      <c r="AA1934">
        <v>75.2</v>
      </c>
    </row>
    <row r="1935" spans="1:27" x14ac:dyDescent="0.25">
      <c r="A1935" t="s">
        <v>243</v>
      </c>
      <c r="B1935" t="s">
        <v>187</v>
      </c>
      <c r="C1935" s="76">
        <v>43985</v>
      </c>
      <c r="D1935">
        <v>10066</v>
      </c>
      <c r="E1935">
        <v>2795</v>
      </c>
      <c r="F1935">
        <v>17336</v>
      </c>
      <c r="G1935">
        <v>3677</v>
      </c>
      <c r="H1935">
        <v>73.2</v>
      </c>
      <c r="I1935">
        <v>68.099999999999994</v>
      </c>
      <c r="J1935">
        <v>78.400000000000006</v>
      </c>
      <c r="K1935">
        <v>1809</v>
      </c>
      <c r="L1935">
        <v>423</v>
      </c>
      <c r="M1935">
        <v>3195</v>
      </c>
      <c r="N1935">
        <v>13.2</v>
      </c>
      <c r="O1935">
        <v>10.4</v>
      </c>
      <c r="P1935">
        <v>15.9</v>
      </c>
      <c r="Q1935">
        <f t="shared" si="58"/>
        <v>6912239</v>
      </c>
      <c r="R1935">
        <f t="shared" si="59"/>
        <v>26.170970072070716</v>
      </c>
      <c r="U1935">
        <v>741</v>
      </c>
      <c r="V1935">
        <v>134</v>
      </c>
      <c r="W1935">
        <v>1349</v>
      </c>
      <c r="X1935">
        <v>345</v>
      </c>
      <c r="Y1935">
        <v>68.2</v>
      </c>
      <c r="Z1935">
        <v>60.1</v>
      </c>
      <c r="AA1935">
        <v>76.3</v>
      </c>
    </row>
    <row r="1936" spans="1:27" x14ac:dyDescent="0.25">
      <c r="A1936" t="s">
        <v>243</v>
      </c>
      <c r="B1936" t="s">
        <v>187</v>
      </c>
      <c r="C1936" s="76">
        <v>43986</v>
      </c>
      <c r="D1936">
        <v>10641</v>
      </c>
      <c r="E1936">
        <v>4135</v>
      </c>
      <c r="F1936">
        <v>17148</v>
      </c>
      <c r="G1936">
        <v>3517</v>
      </c>
      <c r="H1936">
        <v>75.2</v>
      </c>
      <c r="I1936">
        <v>67.3</v>
      </c>
      <c r="J1936">
        <v>83</v>
      </c>
      <c r="K1936">
        <v>1672</v>
      </c>
      <c r="L1936">
        <v>650</v>
      </c>
      <c r="M1936">
        <v>2693</v>
      </c>
      <c r="N1936">
        <v>11.8</v>
      </c>
      <c r="O1936">
        <v>9.4</v>
      </c>
      <c r="P1936">
        <v>14.2</v>
      </c>
      <c r="Q1936">
        <f t="shared" si="58"/>
        <v>6912239</v>
      </c>
      <c r="R1936">
        <f t="shared" si="59"/>
        <v>24.188978419293662</v>
      </c>
      <c r="U1936">
        <v>1068</v>
      </c>
      <c r="V1936">
        <v>108</v>
      </c>
      <c r="W1936">
        <v>2028</v>
      </c>
      <c r="X1936">
        <v>385</v>
      </c>
      <c r="Y1936">
        <v>73.5</v>
      </c>
      <c r="Z1936">
        <v>62.4</v>
      </c>
      <c r="AA1936">
        <v>84.5</v>
      </c>
    </row>
    <row r="1937" spans="1:27" x14ac:dyDescent="0.25">
      <c r="A1937" t="s">
        <v>243</v>
      </c>
      <c r="B1937" t="s">
        <v>187</v>
      </c>
      <c r="C1937" s="76">
        <v>43987</v>
      </c>
      <c r="D1937">
        <v>10599</v>
      </c>
      <c r="E1937">
        <v>4248</v>
      </c>
      <c r="F1937">
        <v>16950</v>
      </c>
      <c r="G1937">
        <v>3373</v>
      </c>
      <c r="H1937">
        <v>75.900000000000006</v>
      </c>
      <c r="I1937">
        <v>68.8</v>
      </c>
      <c r="J1937">
        <v>82.9</v>
      </c>
      <c r="K1937">
        <v>1611</v>
      </c>
      <c r="L1937">
        <v>639</v>
      </c>
      <c r="M1937">
        <v>2583</v>
      </c>
      <c r="N1937">
        <v>11.5</v>
      </c>
      <c r="O1937">
        <v>9.1</v>
      </c>
      <c r="P1937">
        <v>14</v>
      </c>
      <c r="Q1937">
        <f t="shared" si="58"/>
        <v>6912239</v>
      </c>
      <c r="R1937">
        <f t="shared" si="59"/>
        <v>23.306485785575411</v>
      </c>
      <c r="U1937">
        <v>1066</v>
      </c>
      <c r="V1937">
        <v>157</v>
      </c>
      <c r="W1937">
        <v>1975</v>
      </c>
      <c r="X1937">
        <v>374</v>
      </c>
      <c r="Y1937">
        <v>74</v>
      </c>
      <c r="Z1937">
        <v>67.099999999999994</v>
      </c>
      <c r="AA1937">
        <v>81</v>
      </c>
    </row>
    <row r="1938" spans="1:27" x14ac:dyDescent="0.25">
      <c r="A1938" t="s">
        <v>243</v>
      </c>
      <c r="B1938" t="s">
        <v>187</v>
      </c>
      <c r="C1938" s="76">
        <v>43988</v>
      </c>
      <c r="D1938">
        <v>10329</v>
      </c>
      <c r="E1938">
        <v>4065</v>
      </c>
      <c r="F1938">
        <v>16593</v>
      </c>
      <c r="G1938">
        <v>3565</v>
      </c>
      <c r="H1938">
        <v>74.3</v>
      </c>
      <c r="I1938">
        <v>66.8</v>
      </c>
      <c r="J1938">
        <v>81.900000000000006</v>
      </c>
      <c r="K1938">
        <v>1548</v>
      </c>
      <c r="L1938">
        <v>576</v>
      </c>
      <c r="M1938">
        <v>2521</v>
      </c>
      <c r="N1938">
        <v>11.1</v>
      </c>
      <c r="O1938">
        <v>9</v>
      </c>
      <c r="P1938">
        <v>13.3</v>
      </c>
      <c r="Q1938">
        <f t="shared" si="58"/>
        <v>6912239</v>
      </c>
      <c r="R1938">
        <f t="shared" si="59"/>
        <v>22.395058967145086</v>
      </c>
      <c r="U1938">
        <v>1011</v>
      </c>
      <c r="V1938">
        <v>123</v>
      </c>
      <c r="W1938">
        <v>1898</v>
      </c>
      <c r="X1938">
        <v>422</v>
      </c>
      <c r="Y1938">
        <v>70.5</v>
      </c>
      <c r="Z1938">
        <v>61.4</v>
      </c>
      <c r="AA1938">
        <v>79.7</v>
      </c>
    </row>
    <row r="1939" spans="1:27" x14ac:dyDescent="0.25">
      <c r="A1939" t="s">
        <v>243</v>
      </c>
      <c r="B1939" t="s">
        <v>187</v>
      </c>
      <c r="C1939" s="76">
        <v>43989</v>
      </c>
      <c r="D1939">
        <v>9524</v>
      </c>
      <c r="E1939">
        <v>3148</v>
      </c>
      <c r="F1939">
        <v>15901</v>
      </c>
      <c r="G1939">
        <v>4071</v>
      </c>
      <c r="H1939">
        <v>70.099999999999994</v>
      </c>
      <c r="I1939">
        <v>62.5</v>
      </c>
      <c r="J1939">
        <v>77.599999999999994</v>
      </c>
      <c r="K1939">
        <v>1408</v>
      </c>
      <c r="L1939">
        <v>323</v>
      </c>
      <c r="M1939">
        <v>2493</v>
      </c>
      <c r="N1939">
        <v>10.4</v>
      </c>
      <c r="O1939">
        <v>8.1</v>
      </c>
      <c r="P1939">
        <v>12.6</v>
      </c>
      <c r="Q1939">
        <f t="shared" si="58"/>
        <v>6912239</v>
      </c>
      <c r="R1939">
        <f t="shared" si="59"/>
        <v>20.369666037299925</v>
      </c>
      <c r="U1939">
        <v>826</v>
      </c>
      <c r="V1939">
        <v>142</v>
      </c>
      <c r="W1939">
        <v>1511</v>
      </c>
      <c r="X1939">
        <v>275</v>
      </c>
      <c r="Y1939">
        <v>75</v>
      </c>
      <c r="Z1939">
        <v>62.8</v>
      </c>
      <c r="AA1939">
        <v>87.2</v>
      </c>
    </row>
    <row r="1940" spans="1:27" x14ac:dyDescent="0.25">
      <c r="A1940" t="s">
        <v>243</v>
      </c>
      <c r="B1940" t="s">
        <v>187</v>
      </c>
      <c r="C1940" s="76">
        <v>43990</v>
      </c>
      <c r="D1940">
        <v>10430</v>
      </c>
      <c r="E1940">
        <v>4231</v>
      </c>
      <c r="F1940">
        <v>16630</v>
      </c>
      <c r="G1940">
        <v>3417</v>
      </c>
      <c r="H1940">
        <v>75.3</v>
      </c>
      <c r="I1940">
        <v>67.400000000000006</v>
      </c>
      <c r="J1940">
        <v>83.3</v>
      </c>
      <c r="K1940">
        <v>1437</v>
      </c>
      <c r="L1940">
        <v>529</v>
      </c>
      <c r="M1940">
        <v>2346</v>
      </c>
      <c r="N1940">
        <v>10.4</v>
      </c>
      <c r="O1940">
        <v>8.1999999999999993</v>
      </c>
      <c r="P1940">
        <v>12.6</v>
      </c>
      <c r="Q1940">
        <f t="shared" si="58"/>
        <v>6912239</v>
      </c>
      <c r="R1940">
        <f t="shared" si="59"/>
        <v>20.789211715624994</v>
      </c>
      <c r="U1940">
        <v>984</v>
      </c>
      <c r="V1940">
        <v>125</v>
      </c>
      <c r="W1940">
        <v>1843</v>
      </c>
      <c r="X1940">
        <v>585</v>
      </c>
      <c r="Y1940">
        <v>62.7</v>
      </c>
      <c r="Z1940">
        <v>46.5</v>
      </c>
      <c r="AA1940">
        <v>78.900000000000006</v>
      </c>
    </row>
    <row r="1941" spans="1:27" x14ac:dyDescent="0.25">
      <c r="A1941" t="s">
        <v>243</v>
      </c>
      <c r="B1941" t="s">
        <v>187</v>
      </c>
      <c r="C1941" s="76">
        <v>43991</v>
      </c>
      <c r="D1941">
        <v>10569</v>
      </c>
      <c r="E1941">
        <v>4449</v>
      </c>
      <c r="F1941">
        <v>16689</v>
      </c>
      <c r="G1941">
        <v>3347</v>
      </c>
      <c r="H1941">
        <v>75.900000000000006</v>
      </c>
      <c r="I1941">
        <v>68.5</v>
      </c>
      <c r="J1941">
        <v>83.4</v>
      </c>
      <c r="K1941">
        <v>1359</v>
      </c>
      <c r="L1941">
        <v>527</v>
      </c>
      <c r="M1941">
        <v>2191</v>
      </c>
      <c r="N1941">
        <v>9.8000000000000007</v>
      </c>
      <c r="O1941">
        <v>7.7</v>
      </c>
      <c r="P1941">
        <v>11.8</v>
      </c>
      <c r="Q1941">
        <f t="shared" si="58"/>
        <v>6912239</v>
      </c>
      <c r="R1941">
        <f t="shared" si="59"/>
        <v>19.660778511854119</v>
      </c>
      <c r="U1941">
        <v>1013</v>
      </c>
      <c r="V1941">
        <v>177</v>
      </c>
      <c r="W1941">
        <v>1850</v>
      </c>
      <c r="X1941">
        <v>414</v>
      </c>
      <c r="Y1941">
        <v>71</v>
      </c>
      <c r="Z1941">
        <v>64.099999999999994</v>
      </c>
      <c r="AA1941">
        <v>77.900000000000006</v>
      </c>
    </row>
    <row r="1942" spans="1:27" x14ac:dyDescent="0.25">
      <c r="A1942" t="s">
        <v>243</v>
      </c>
      <c r="B1942" t="s">
        <v>187</v>
      </c>
      <c r="C1942" s="76">
        <v>43992</v>
      </c>
      <c r="D1942">
        <v>10521</v>
      </c>
      <c r="E1942">
        <v>4605</v>
      </c>
      <c r="F1942">
        <v>16437</v>
      </c>
      <c r="G1942">
        <v>3353</v>
      </c>
      <c r="H1942">
        <v>75.8</v>
      </c>
      <c r="I1942">
        <v>67.8</v>
      </c>
      <c r="J1942">
        <v>83.8</v>
      </c>
      <c r="K1942">
        <v>1256</v>
      </c>
      <c r="L1942">
        <v>545</v>
      </c>
      <c r="M1942">
        <v>1967</v>
      </c>
      <c r="N1942">
        <v>9.1</v>
      </c>
      <c r="O1942">
        <v>6.9</v>
      </c>
      <c r="P1942">
        <v>11.2</v>
      </c>
      <c r="Q1942">
        <f t="shared" si="58"/>
        <v>6912239</v>
      </c>
      <c r="R1942">
        <f t="shared" si="59"/>
        <v>18.170667999182321</v>
      </c>
      <c r="U1942">
        <v>951</v>
      </c>
      <c r="V1942">
        <v>161</v>
      </c>
      <c r="W1942">
        <v>1741</v>
      </c>
      <c r="X1942">
        <v>367</v>
      </c>
      <c r="Y1942">
        <v>72.2</v>
      </c>
      <c r="Z1942">
        <v>64.2</v>
      </c>
      <c r="AA1942">
        <v>80.099999999999994</v>
      </c>
    </row>
    <row r="1943" spans="1:27" x14ac:dyDescent="0.25">
      <c r="A1943" t="s">
        <v>243</v>
      </c>
      <c r="B1943" t="s">
        <v>187</v>
      </c>
      <c r="C1943" s="76">
        <v>43993</v>
      </c>
      <c r="D1943">
        <v>9750</v>
      </c>
      <c r="E1943">
        <v>3132</v>
      </c>
      <c r="F1943">
        <v>16368</v>
      </c>
      <c r="G1943">
        <v>3804</v>
      </c>
      <c r="H1943">
        <v>71.900000000000006</v>
      </c>
      <c r="I1943">
        <v>64.5</v>
      </c>
      <c r="J1943">
        <v>79.3</v>
      </c>
      <c r="K1943">
        <v>1104</v>
      </c>
      <c r="L1943">
        <v>262</v>
      </c>
      <c r="M1943">
        <v>1945</v>
      </c>
      <c r="N1943">
        <v>8.1</v>
      </c>
      <c r="O1943">
        <v>6.3</v>
      </c>
      <c r="P1943">
        <v>10</v>
      </c>
      <c r="Q1943">
        <f t="shared" si="58"/>
        <v>6912239</v>
      </c>
      <c r="R1943">
        <f t="shared" si="59"/>
        <v>15.971669961064714</v>
      </c>
      <c r="U1943">
        <v>685</v>
      </c>
      <c r="V1943">
        <v>164</v>
      </c>
      <c r="W1943">
        <v>1206</v>
      </c>
      <c r="X1943">
        <v>411</v>
      </c>
      <c r="Y1943">
        <v>62.5</v>
      </c>
      <c r="Z1943">
        <v>53.8</v>
      </c>
      <c r="AA1943">
        <v>71.2</v>
      </c>
    </row>
    <row r="1944" spans="1:27" x14ac:dyDescent="0.25">
      <c r="A1944" t="s">
        <v>243</v>
      </c>
      <c r="B1944" t="s">
        <v>187</v>
      </c>
      <c r="C1944" s="76">
        <v>43994</v>
      </c>
      <c r="D1944">
        <v>9961</v>
      </c>
      <c r="E1944">
        <v>3027</v>
      </c>
      <c r="F1944">
        <v>16896</v>
      </c>
      <c r="G1944">
        <v>3556</v>
      </c>
      <c r="H1944">
        <v>73.7</v>
      </c>
      <c r="I1944">
        <v>67.2</v>
      </c>
      <c r="J1944">
        <v>80.2</v>
      </c>
      <c r="K1944">
        <v>995</v>
      </c>
      <c r="L1944">
        <v>248</v>
      </c>
      <c r="M1944">
        <v>1742</v>
      </c>
      <c r="N1944">
        <v>7.4</v>
      </c>
      <c r="O1944">
        <v>5.7</v>
      </c>
      <c r="P1944">
        <v>9</v>
      </c>
      <c r="Q1944">
        <f t="shared" si="58"/>
        <v>6912239</v>
      </c>
      <c r="R1944">
        <f t="shared" si="59"/>
        <v>14.394756894256695</v>
      </c>
      <c r="U1944">
        <v>716</v>
      </c>
      <c r="V1944">
        <v>122</v>
      </c>
      <c r="W1944">
        <v>1309</v>
      </c>
      <c r="X1944">
        <v>366</v>
      </c>
      <c r="Y1944">
        <v>66.099999999999994</v>
      </c>
      <c r="Z1944">
        <v>55.2</v>
      </c>
      <c r="AA1944">
        <v>77.099999999999994</v>
      </c>
    </row>
    <row r="1945" spans="1:27" x14ac:dyDescent="0.25">
      <c r="A1945" t="s">
        <v>243</v>
      </c>
      <c r="B1945" t="s">
        <v>187</v>
      </c>
      <c r="C1945" s="76">
        <v>43995</v>
      </c>
      <c r="D1945">
        <v>9555</v>
      </c>
      <c r="E1945">
        <v>2848</v>
      </c>
      <c r="F1945">
        <v>16261</v>
      </c>
      <c r="G1945">
        <v>3843</v>
      </c>
      <c r="H1945">
        <v>71.3</v>
      </c>
      <c r="I1945">
        <v>65.099999999999994</v>
      </c>
      <c r="J1945">
        <v>77.5</v>
      </c>
      <c r="K1945">
        <v>1023</v>
      </c>
      <c r="L1945">
        <v>204</v>
      </c>
      <c r="M1945">
        <v>1842</v>
      </c>
      <c r="N1945">
        <v>7.6</v>
      </c>
      <c r="O1945">
        <v>6</v>
      </c>
      <c r="P1945">
        <v>9.3000000000000007</v>
      </c>
      <c r="Q1945">
        <f t="shared" si="58"/>
        <v>6912239</v>
      </c>
      <c r="R1945">
        <f t="shared" si="59"/>
        <v>14.799835480225727</v>
      </c>
      <c r="U1945">
        <v>674</v>
      </c>
      <c r="V1945">
        <v>114</v>
      </c>
      <c r="W1945">
        <v>1234</v>
      </c>
      <c r="X1945">
        <v>419</v>
      </c>
      <c r="Y1945">
        <v>61.6</v>
      </c>
      <c r="Z1945">
        <v>50.3</v>
      </c>
      <c r="AA1945">
        <v>72.900000000000006</v>
      </c>
    </row>
    <row r="1946" spans="1:27" x14ac:dyDescent="0.25">
      <c r="A1946" t="s">
        <v>243</v>
      </c>
      <c r="B1946" t="s">
        <v>187</v>
      </c>
      <c r="C1946" s="76">
        <v>43996</v>
      </c>
      <c r="D1946">
        <v>9357</v>
      </c>
      <c r="E1946">
        <v>2973</v>
      </c>
      <c r="F1946">
        <v>15742</v>
      </c>
      <c r="G1946">
        <v>3913</v>
      </c>
      <c r="H1946">
        <v>70.5</v>
      </c>
      <c r="I1946">
        <v>62.9</v>
      </c>
      <c r="J1946">
        <v>78.099999999999994</v>
      </c>
      <c r="K1946">
        <v>914</v>
      </c>
      <c r="L1946">
        <v>227</v>
      </c>
      <c r="M1946">
        <v>1602</v>
      </c>
      <c r="N1946">
        <v>6.9</v>
      </c>
      <c r="O1946">
        <v>5.2</v>
      </c>
      <c r="P1946">
        <v>8.6</v>
      </c>
      <c r="Q1946">
        <f t="shared" si="58"/>
        <v>6912239</v>
      </c>
      <c r="R1946">
        <f t="shared" si="59"/>
        <v>13.222922413417708</v>
      </c>
      <c r="U1946">
        <v>744</v>
      </c>
      <c r="V1946">
        <v>99</v>
      </c>
      <c r="W1946">
        <v>1389</v>
      </c>
      <c r="X1946">
        <v>344</v>
      </c>
      <c r="Y1946">
        <v>68.400000000000006</v>
      </c>
      <c r="Z1946">
        <v>55.6</v>
      </c>
      <c r="AA1946">
        <v>81.2</v>
      </c>
    </row>
    <row r="1947" spans="1:27" x14ac:dyDescent="0.25">
      <c r="A1947" t="s">
        <v>243</v>
      </c>
      <c r="B1947" t="s">
        <v>187</v>
      </c>
      <c r="C1947" s="76">
        <v>43997</v>
      </c>
      <c r="D1947">
        <v>10042</v>
      </c>
      <c r="E1947">
        <v>4210</v>
      </c>
      <c r="F1947">
        <v>15874</v>
      </c>
      <c r="G1947">
        <v>3538</v>
      </c>
      <c r="H1947">
        <v>73.900000000000006</v>
      </c>
      <c r="I1947">
        <v>65.7</v>
      </c>
      <c r="J1947">
        <v>82.2</v>
      </c>
      <c r="K1947">
        <v>1020</v>
      </c>
      <c r="L1947">
        <v>336</v>
      </c>
      <c r="M1947">
        <v>1705</v>
      </c>
      <c r="N1947">
        <v>7.5</v>
      </c>
      <c r="O1947">
        <v>5.5</v>
      </c>
      <c r="P1947">
        <v>9.5</v>
      </c>
      <c r="Q1947">
        <f t="shared" si="58"/>
        <v>6912239</v>
      </c>
      <c r="R1947">
        <f t="shared" si="59"/>
        <v>14.756434203157617</v>
      </c>
      <c r="U1947">
        <v>950</v>
      </c>
      <c r="V1947">
        <v>145</v>
      </c>
      <c r="W1947">
        <v>1756</v>
      </c>
      <c r="X1947">
        <v>451</v>
      </c>
      <c r="Y1947">
        <v>67.8</v>
      </c>
      <c r="Z1947">
        <v>58.4</v>
      </c>
      <c r="AA1947">
        <v>77.2</v>
      </c>
    </row>
    <row r="1948" spans="1:27" x14ac:dyDescent="0.25">
      <c r="A1948" t="s">
        <v>243</v>
      </c>
      <c r="B1948" t="s">
        <v>187</v>
      </c>
      <c r="C1948" s="76">
        <v>43998</v>
      </c>
      <c r="D1948">
        <v>10666</v>
      </c>
      <c r="E1948">
        <v>4402</v>
      </c>
      <c r="F1948">
        <v>16931</v>
      </c>
      <c r="G1948">
        <v>3045</v>
      </c>
      <c r="H1948">
        <v>77.8</v>
      </c>
      <c r="I1948">
        <v>70.3</v>
      </c>
      <c r="J1948">
        <v>85.3</v>
      </c>
      <c r="K1948">
        <v>1050</v>
      </c>
      <c r="L1948">
        <v>374</v>
      </c>
      <c r="M1948">
        <v>1726</v>
      </c>
      <c r="N1948">
        <v>7.7</v>
      </c>
      <c r="O1948">
        <v>5.6</v>
      </c>
      <c r="P1948">
        <v>9.6999999999999993</v>
      </c>
      <c r="Q1948">
        <f t="shared" si="58"/>
        <v>6912239</v>
      </c>
      <c r="R1948">
        <f t="shared" si="59"/>
        <v>15.190446973838723</v>
      </c>
      <c r="U1948">
        <v>897</v>
      </c>
      <c r="V1948">
        <v>111</v>
      </c>
      <c r="W1948">
        <v>1682</v>
      </c>
      <c r="X1948">
        <v>455</v>
      </c>
      <c r="Y1948">
        <v>66.3</v>
      </c>
      <c r="Z1948">
        <v>56.2</v>
      </c>
      <c r="AA1948">
        <v>76.400000000000006</v>
      </c>
    </row>
    <row r="1949" spans="1:27" x14ac:dyDescent="0.25">
      <c r="A1949" t="s">
        <v>243</v>
      </c>
      <c r="B1949" t="s">
        <v>187</v>
      </c>
      <c r="C1949" s="76">
        <v>43999</v>
      </c>
      <c r="D1949">
        <v>10663</v>
      </c>
      <c r="E1949">
        <v>4283</v>
      </c>
      <c r="F1949">
        <v>17042</v>
      </c>
      <c r="G1949">
        <v>2684</v>
      </c>
      <c r="H1949">
        <v>79.900000000000006</v>
      </c>
      <c r="I1949">
        <v>73.8</v>
      </c>
      <c r="J1949">
        <v>86</v>
      </c>
      <c r="K1949">
        <v>1146</v>
      </c>
      <c r="L1949">
        <v>396</v>
      </c>
      <c r="M1949">
        <v>1896</v>
      </c>
      <c r="N1949">
        <v>8.6</v>
      </c>
      <c r="O1949">
        <v>6.6</v>
      </c>
      <c r="P1949">
        <v>10.6</v>
      </c>
      <c r="Q1949">
        <f t="shared" si="58"/>
        <v>6912239</v>
      </c>
      <c r="R1949">
        <f t="shared" si="59"/>
        <v>16.579287840018264</v>
      </c>
      <c r="U1949">
        <v>880</v>
      </c>
      <c r="V1949">
        <v>138</v>
      </c>
      <c r="W1949">
        <v>1623</v>
      </c>
      <c r="X1949">
        <v>475</v>
      </c>
      <c r="Y1949">
        <v>64.900000000000006</v>
      </c>
      <c r="Z1949">
        <v>56.7</v>
      </c>
      <c r="AA1949">
        <v>73.2</v>
      </c>
    </row>
    <row r="1950" spans="1:27" x14ac:dyDescent="0.25">
      <c r="A1950" t="s">
        <v>243</v>
      </c>
      <c r="B1950" t="s">
        <v>187</v>
      </c>
      <c r="C1950" s="76">
        <v>44000</v>
      </c>
      <c r="D1950">
        <v>10233</v>
      </c>
      <c r="E1950">
        <v>3042</v>
      </c>
      <c r="F1950">
        <v>17423</v>
      </c>
      <c r="G1950">
        <v>3467</v>
      </c>
      <c r="H1950">
        <v>74.7</v>
      </c>
      <c r="I1950">
        <v>69.599999999999994</v>
      </c>
      <c r="J1950">
        <v>79.7</v>
      </c>
      <c r="K1950">
        <v>1186</v>
      </c>
      <c r="L1950">
        <v>158</v>
      </c>
      <c r="M1950">
        <v>2213</v>
      </c>
      <c r="N1950">
        <v>8.6999999999999993</v>
      </c>
      <c r="O1950">
        <v>6.3</v>
      </c>
      <c r="P1950">
        <v>11</v>
      </c>
      <c r="Q1950">
        <f t="shared" si="58"/>
        <v>6912239</v>
      </c>
      <c r="R1950">
        <f t="shared" si="59"/>
        <v>17.157971534259737</v>
      </c>
      <c r="U1950">
        <v>709</v>
      </c>
      <c r="V1950">
        <v>72</v>
      </c>
      <c r="W1950">
        <v>1346</v>
      </c>
      <c r="X1950">
        <v>360</v>
      </c>
      <c r="Y1950">
        <v>66.3</v>
      </c>
      <c r="Z1950">
        <v>52.1</v>
      </c>
      <c r="AA1950">
        <v>80.599999999999994</v>
      </c>
    </row>
    <row r="1951" spans="1:27" x14ac:dyDescent="0.25">
      <c r="A1951" t="s">
        <v>243</v>
      </c>
      <c r="B1951" t="s">
        <v>187</v>
      </c>
      <c r="C1951" s="76">
        <v>44001</v>
      </c>
      <c r="D1951">
        <v>9784</v>
      </c>
      <c r="E1951">
        <v>2874</v>
      </c>
      <c r="F1951">
        <v>16694</v>
      </c>
      <c r="G1951">
        <v>3836</v>
      </c>
      <c r="H1951">
        <v>71.8</v>
      </c>
      <c r="I1951">
        <v>66.2</v>
      </c>
      <c r="J1951">
        <v>77.5</v>
      </c>
      <c r="K1951">
        <v>1048</v>
      </c>
      <c r="L1951">
        <v>75</v>
      </c>
      <c r="M1951">
        <v>2021</v>
      </c>
      <c r="N1951">
        <v>7.7</v>
      </c>
      <c r="O1951">
        <v>5.4</v>
      </c>
      <c r="P1951">
        <v>10</v>
      </c>
      <c r="Q1951">
        <f t="shared" si="58"/>
        <v>6912239</v>
      </c>
      <c r="R1951">
        <f t="shared" si="59"/>
        <v>15.16151278912665</v>
      </c>
      <c r="U1951">
        <v>708</v>
      </c>
      <c r="V1951">
        <v>72</v>
      </c>
      <c r="W1951">
        <v>1344</v>
      </c>
      <c r="X1951">
        <v>347</v>
      </c>
      <c r="Y1951">
        <v>67.099999999999994</v>
      </c>
      <c r="Z1951">
        <v>51.5</v>
      </c>
      <c r="AA1951">
        <v>82.7</v>
      </c>
    </row>
    <row r="1952" spans="1:27" x14ac:dyDescent="0.25">
      <c r="A1952" t="s">
        <v>243</v>
      </c>
      <c r="B1952" t="s">
        <v>187</v>
      </c>
      <c r="C1952" s="76">
        <v>44002</v>
      </c>
      <c r="D1952">
        <v>9813</v>
      </c>
      <c r="E1952">
        <v>2545</v>
      </c>
      <c r="F1952">
        <v>17081</v>
      </c>
      <c r="G1952">
        <v>3531</v>
      </c>
      <c r="H1952">
        <v>73.5</v>
      </c>
      <c r="I1952">
        <v>68.099999999999994</v>
      </c>
      <c r="J1952">
        <v>79</v>
      </c>
      <c r="K1952">
        <v>994</v>
      </c>
      <c r="L1952">
        <v>55</v>
      </c>
      <c r="M1952">
        <v>1933</v>
      </c>
      <c r="N1952">
        <v>7.4</v>
      </c>
      <c r="O1952">
        <v>5.2</v>
      </c>
      <c r="P1952">
        <v>9.6999999999999993</v>
      </c>
      <c r="Q1952">
        <f t="shared" si="58"/>
        <v>6912239</v>
      </c>
      <c r="R1952">
        <f t="shared" si="59"/>
        <v>14.380289801900657</v>
      </c>
      <c r="U1952">
        <v>627</v>
      </c>
      <c r="V1952">
        <v>78</v>
      </c>
      <c r="W1952">
        <v>1175</v>
      </c>
      <c r="X1952">
        <v>417</v>
      </c>
      <c r="Y1952">
        <v>60</v>
      </c>
      <c r="Z1952">
        <v>48.7</v>
      </c>
      <c r="AA1952">
        <v>71.3</v>
      </c>
    </row>
    <row r="1953" spans="1:27" x14ac:dyDescent="0.25">
      <c r="A1953" t="s">
        <v>243</v>
      </c>
      <c r="B1953" t="s">
        <v>187</v>
      </c>
      <c r="C1953" s="76">
        <v>44003</v>
      </c>
      <c r="D1953">
        <v>9553</v>
      </c>
      <c r="E1953">
        <v>2750</v>
      </c>
      <c r="F1953">
        <v>16355</v>
      </c>
      <c r="G1953">
        <v>3808</v>
      </c>
      <c r="H1953">
        <v>71.5</v>
      </c>
      <c r="I1953">
        <v>65.8</v>
      </c>
      <c r="J1953">
        <v>77.2</v>
      </c>
      <c r="K1953">
        <v>956</v>
      </c>
      <c r="L1953">
        <v>69</v>
      </c>
      <c r="M1953">
        <v>1842</v>
      </c>
      <c r="N1953">
        <v>7.2</v>
      </c>
      <c r="O1953">
        <v>5.0999999999999996</v>
      </c>
      <c r="P1953">
        <v>9.1999999999999993</v>
      </c>
      <c r="Q1953">
        <f t="shared" si="58"/>
        <v>6912239</v>
      </c>
      <c r="R1953">
        <f t="shared" si="59"/>
        <v>13.830540292371257</v>
      </c>
      <c r="U1953">
        <v>625</v>
      </c>
      <c r="V1953">
        <v>104</v>
      </c>
      <c r="W1953">
        <v>1147</v>
      </c>
      <c r="X1953">
        <v>401</v>
      </c>
      <c r="Y1953">
        <v>60.9</v>
      </c>
      <c r="Z1953">
        <v>51.8</v>
      </c>
      <c r="AA1953">
        <v>70.099999999999994</v>
      </c>
    </row>
    <row r="1954" spans="1:27" x14ac:dyDescent="0.25">
      <c r="A1954" t="s">
        <v>243</v>
      </c>
      <c r="B1954" t="s">
        <v>187</v>
      </c>
      <c r="C1954" s="76">
        <v>44004</v>
      </c>
      <c r="D1954">
        <v>10430</v>
      </c>
      <c r="E1954">
        <v>4238</v>
      </c>
      <c r="F1954">
        <v>16623</v>
      </c>
      <c r="G1954">
        <v>3332</v>
      </c>
      <c r="H1954">
        <v>75.8</v>
      </c>
      <c r="I1954">
        <v>68.900000000000006</v>
      </c>
      <c r="J1954">
        <v>82.7</v>
      </c>
      <c r="K1954">
        <v>903</v>
      </c>
      <c r="L1954">
        <v>299</v>
      </c>
      <c r="M1954">
        <v>1506</v>
      </c>
      <c r="N1954">
        <v>6.6</v>
      </c>
      <c r="O1954">
        <v>4.8</v>
      </c>
      <c r="P1954">
        <v>8.3000000000000007</v>
      </c>
      <c r="Q1954">
        <f t="shared" si="58"/>
        <v>6912239</v>
      </c>
      <c r="R1954">
        <f t="shared" si="59"/>
        <v>13.063784397501301</v>
      </c>
      <c r="U1954">
        <v>823</v>
      </c>
      <c r="V1954">
        <v>176</v>
      </c>
      <c r="W1954">
        <v>1469</v>
      </c>
      <c r="X1954">
        <v>478</v>
      </c>
      <c r="Y1954">
        <v>63.2</v>
      </c>
      <c r="Z1954">
        <v>56.7</v>
      </c>
      <c r="AA1954">
        <v>69.8</v>
      </c>
    </row>
    <row r="1955" spans="1:27" x14ac:dyDescent="0.25">
      <c r="A1955" t="s">
        <v>243</v>
      </c>
      <c r="B1955" t="s">
        <v>187</v>
      </c>
      <c r="C1955" s="76">
        <v>44005</v>
      </c>
      <c r="D1955">
        <v>10865</v>
      </c>
      <c r="E1955">
        <v>4416</v>
      </c>
      <c r="F1955">
        <v>17315</v>
      </c>
      <c r="G1955">
        <v>2980</v>
      </c>
      <c r="H1955">
        <v>78.5</v>
      </c>
      <c r="I1955">
        <v>71.599999999999994</v>
      </c>
      <c r="J1955">
        <v>85.3</v>
      </c>
      <c r="K1955">
        <v>929</v>
      </c>
      <c r="L1955">
        <v>322</v>
      </c>
      <c r="M1955">
        <v>1535</v>
      </c>
      <c r="N1955">
        <v>6.7</v>
      </c>
      <c r="O1955">
        <v>5.0999999999999996</v>
      </c>
      <c r="P1955">
        <v>8.4</v>
      </c>
      <c r="Q1955">
        <f t="shared" si="58"/>
        <v>6912239</v>
      </c>
      <c r="R1955">
        <f t="shared" si="59"/>
        <v>13.439928798758261</v>
      </c>
      <c r="U1955">
        <v>877</v>
      </c>
      <c r="V1955">
        <v>183</v>
      </c>
      <c r="W1955">
        <v>1572</v>
      </c>
      <c r="X1955">
        <v>422</v>
      </c>
      <c r="Y1955">
        <v>67.5</v>
      </c>
      <c r="Z1955">
        <v>59.2</v>
      </c>
      <c r="AA1955">
        <v>75.900000000000006</v>
      </c>
    </row>
    <row r="1956" spans="1:27" x14ac:dyDescent="0.25">
      <c r="A1956" t="s">
        <v>243</v>
      </c>
      <c r="B1956" t="s">
        <v>187</v>
      </c>
      <c r="C1956" s="76">
        <v>44006</v>
      </c>
      <c r="D1956">
        <v>10903</v>
      </c>
      <c r="E1956">
        <v>4325</v>
      </c>
      <c r="F1956">
        <v>17481</v>
      </c>
      <c r="G1956">
        <v>2905</v>
      </c>
      <c r="H1956">
        <v>79</v>
      </c>
      <c r="I1956">
        <v>71.8</v>
      </c>
      <c r="J1956">
        <v>86.1</v>
      </c>
      <c r="K1956">
        <v>901</v>
      </c>
      <c r="L1956">
        <v>298</v>
      </c>
      <c r="M1956">
        <v>1504</v>
      </c>
      <c r="N1956">
        <v>6.5</v>
      </c>
      <c r="O1956">
        <v>4.5999999999999996</v>
      </c>
      <c r="P1956">
        <v>8.5</v>
      </c>
      <c r="Q1956">
        <f t="shared" si="58"/>
        <v>6912239</v>
      </c>
      <c r="R1956">
        <f t="shared" si="59"/>
        <v>13.034850212789229</v>
      </c>
      <c r="U1956">
        <v>890</v>
      </c>
      <c r="V1956">
        <v>139</v>
      </c>
      <c r="W1956">
        <v>1642</v>
      </c>
      <c r="X1956">
        <v>370</v>
      </c>
      <c r="Y1956">
        <v>70.599999999999994</v>
      </c>
      <c r="Z1956">
        <v>62.9</v>
      </c>
      <c r="AA1956">
        <v>78.3</v>
      </c>
    </row>
    <row r="1957" spans="1:27" x14ac:dyDescent="0.25">
      <c r="A1957" t="s">
        <v>243</v>
      </c>
      <c r="B1957" t="s">
        <v>187</v>
      </c>
      <c r="C1957" s="76">
        <v>44007</v>
      </c>
      <c r="D1957">
        <v>11128</v>
      </c>
      <c r="E1957">
        <v>4555</v>
      </c>
      <c r="F1957">
        <v>17702</v>
      </c>
      <c r="G1957">
        <v>3039</v>
      </c>
      <c r="H1957">
        <v>78.5</v>
      </c>
      <c r="I1957">
        <v>71.2</v>
      </c>
      <c r="J1957">
        <v>85.9</v>
      </c>
      <c r="K1957">
        <v>827</v>
      </c>
      <c r="L1957">
        <v>223</v>
      </c>
      <c r="M1957">
        <v>1432</v>
      </c>
      <c r="N1957">
        <v>5.8</v>
      </c>
      <c r="O1957">
        <v>3.8</v>
      </c>
      <c r="P1957">
        <v>7.9</v>
      </c>
      <c r="Q1957">
        <f t="shared" si="58"/>
        <v>6912239</v>
      </c>
      <c r="R1957">
        <f t="shared" si="59"/>
        <v>11.964285378442499</v>
      </c>
      <c r="U1957">
        <v>926</v>
      </c>
      <c r="V1957">
        <v>188</v>
      </c>
      <c r="W1957">
        <v>1664</v>
      </c>
      <c r="X1957">
        <v>432</v>
      </c>
      <c r="Y1957">
        <v>68.2</v>
      </c>
      <c r="Z1957">
        <v>60.1</v>
      </c>
      <c r="AA1957">
        <v>76.3</v>
      </c>
    </row>
    <row r="1958" spans="1:27" x14ac:dyDescent="0.25">
      <c r="A1958" t="s">
        <v>243</v>
      </c>
      <c r="B1958" t="s">
        <v>187</v>
      </c>
      <c r="C1958" s="76">
        <v>44008</v>
      </c>
      <c r="D1958">
        <v>10624</v>
      </c>
      <c r="E1958">
        <v>3965</v>
      </c>
      <c r="F1958">
        <v>17284</v>
      </c>
      <c r="G1958">
        <v>2979</v>
      </c>
      <c r="H1958">
        <v>78.099999999999994</v>
      </c>
      <c r="I1958">
        <v>69.8</v>
      </c>
      <c r="J1958">
        <v>86.4</v>
      </c>
      <c r="K1958">
        <v>757</v>
      </c>
      <c r="L1958">
        <v>221</v>
      </c>
      <c r="M1958">
        <v>1293</v>
      </c>
      <c r="N1958">
        <v>5.6</v>
      </c>
      <c r="O1958">
        <v>3.9</v>
      </c>
      <c r="P1958">
        <v>7.3</v>
      </c>
      <c r="Q1958">
        <f t="shared" si="58"/>
        <v>6912239</v>
      </c>
      <c r="R1958">
        <f t="shared" si="59"/>
        <v>10.951588913519918</v>
      </c>
      <c r="U1958">
        <v>855</v>
      </c>
      <c r="V1958">
        <v>111</v>
      </c>
      <c r="W1958">
        <v>1598</v>
      </c>
      <c r="X1958">
        <v>435</v>
      </c>
      <c r="Y1958">
        <v>66.2</v>
      </c>
      <c r="Z1958">
        <v>55.5</v>
      </c>
      <c r="AA1958">
        <v>77</v>
      </c>
    </row>
    <row r="1959" spans="1:27" x14ac:dyDescent="0.25">
      <c r="A1959" t="s">
        <v>243</v>
      </c>
      <c r="B1959" t="s">
        <v>187</v>
      </c>
      <c r="C1959" s="76">
        <v>44009</v>
      </c>
      <c r="D1959">
        <v>10377</v>
      </c>
      <c r="E1959">
        <v>3854</v>
      </c>
      <c r="F1959">
        <v>16900</v>
      </c>
      <c r="G1959">
        <v>3129</v>
      </c>
      <c r="H1959">
        <v>76.8</v>
      </c>
      <c r="I1959">
        <v>68.400000000000006</v>
      </c>
      <c r="J1959">
        <v>85.3</v>
      </c>
      <c r="K1959">
        <v>718</v>
      </c>
      <c r="L1959">
        <v>222</v>
      </c>
      <c r="M1959">
        <v>1213</v>
      </c>
      <c r="N1959">
        <v>5.3</v>
      </c>
      <c r="O1959">
        <v>3.9</v>
      </c>
      <c r="P1959">
        <v>6.7</v>
      </c>
      <c r="Q1959">
        <f t="shared" ref="Q1959:Q2022" si="60">VLOOKUP(B1959,$AE$4:$AF$55,2,FALSE)</f>
        <v>6912239</v>
      </c>
      <c r="R1959">
        <f t="shared" si="59"/>
        <v>10.387372311634479</v>
      </c>
      <c r="U1959">
        <v>900</v>
      </c>
      <c r="V1959">
        <v>75</v>
      </c>
      <c r="W1959">
        <v>1725</v>
      </c>
      <c r="X1959">
        <v>388</v>
      </c>
      <c r="Y1959">
        <v>69.900000000000006</v>
      </c>
      <c r="Z1959">
        <v>55.2</v>
      </c>
      <c r="AA1959">
        <v>84.6</v>
      </c>
    </row>
    <row r="1960" spans="1:27" x14ac:dyDescent="0.25">
      <c r="A1960" t="s">
        <v>243</v>
      </c>
      <c r="B1960" t="s">
        <v>187</v>
      </c>
      <c r="C1960" s="76">
        <v>44010</v>
      </c>
      <c r="D1960">
        <v>9678</v>
      </c>
      <c r="E1960">
        <v>2685</v>
      </c>
      <c r="F1960">
        <v>16671</v>
      </c>
      <c r="G1960">
        <v>3704</v>
      </c>
      <c r="H1960">
        <v>72.3</v>
      </c>
      <c r="I1960">
        <v>66.599999999999994</v>
      </c>
      <c r="J1960">
        <v>78.099999999999994</v>
      </c>
      <c r="K1960">
        <v>508</v>
      </c>
      <c r="L1960">
        <v>209</v>
      </c>
      <c r="M1960">
        <v>806</v>
      </c>
      <c r="N1960">
        <v>3.8</v>
      </c>
      <c r="O1960">
        <v>1.4</v>
      </c>
      <c r="P1960">
        <v>6.2</v>
      </c>
      <c r="Q1960">
        <f t="shared" si="60"/>
        <v>6912239</v>
      </c>
      <c r="R1960">
        <f t="shared" si="59"/>
        <v>7.3492829168667342</v>
      </c>
      <c r="U1960">
        <v>582</v>
      </c>
      <c r="V1960">
        <v>105</v>
      </c>
      <c r="W1960">
        <v>1060</v>
      </c>
      <c r="X1960">
        <v>468</v>
      </c>
      <c r="Y1960">
        <v>55.4</v>
      </c>
      <c r="Z1960">
        <v>37.1</v>
      </c>
      <c r="AA1960">
        <v>73.8</v>
      </c>
    </row>
    <row r="1961" spans="1:27" x14ac:dyDescent="0.25">
      <c r="A1961" t="s">
        <v>243</v>
      </c>
      <c r="B1961" t="s">
        <v>187</v>
      </c>
      <c r="C1961" s="76">
        <v>44011</v>
      </c>
      <c r="D1961">
        <v>10474</v>
      </c>
      <c r="E1961">
        <v>4212</v>
      </c>
      <c r="F1961">
        <v>16735</v>
      </c>
      <c r="G1961">
        <v>3483</v>
      </c>
      <c r="H1961">
        <v>75</v>
      </c>
      <c r="I1961">
        <v>66.5</v>
      </c>
      <c r="J1961">
        <v>83.5</v>
      </c>
      <c r="K1961">
        <v>679</v>
      </c>
      <c r="L1961">
        <v>272</v>
      </c>
      <c r="M1961">
        <v>1087</v>
      </c>
      <c r="N1961">
        <v>4.9000000000000004</v>
      </c>
      <c r="O1961">
        <v>3.5</v>
      </c>
      <c r="P1961">
        <v>6.3</v>
      </c>
      <c r="Q1961">
        <f t="shared" si="60"/>
        <v>6912239</v>
      </c>
      <c r="R1961">
        <f t="shared" si="59"/>
        <v>9.8231557097490416</v>
      </c>
      <c r="U1961">
        <v>789</v>
      </c>
      <c r="V1961">
        <v>93</v>
      </c>
      <c r="W1961">
        <v>1484</v>
      </c>
      <c r="X1961">
        <v>553</v>
      </c>
      <c r="Y1961">
        <v>58.8</v>
      </c>
      <c r="Z1961">
        <v>46.7</v>
      </c>
      <c r="AA1961">
        <v>70.900000000000006</v>
      </c>
    </row>
    <row r="1962" spans="1:27" x14ac:dyDescent="0.25">
      <c r="A1962" t="s">
        <v>243</v>
      </c>
      <c r="B1962" t="s">
        <v>187</v>
      </c>
      <c r="C1962" s="76">
        <v>44012</v>
      </c>
      <c r="D1962">
        <v>11011</v>
      </c>
      <c r="E1962">
        <v>4488</v>
      </c>
      <c r="F1962">
        <v>17535</v>
      </c>
      <c r="G1962">
        <v>3233</v>
      </c>
      <c r="H1962">
        <v>77.3</v>
      </c>
      <c r="I1962">
        <v>70</v>
      </c>
      <c r="J1962">
        <v>84.6</v>
      </c>
      <c r="K1962">
        <v>861</v>
      </c>
      <c r="L1962">
        <v>357</v>
      </c>
      <c r="M1962">
        <v>1364</v>
      </c>
      <c r="N1962">
        <v>6</v>
      </c>
      <c r="O1962">
        <v>4.0999999999999996</v>
      </c>
      <c r="P1962">
        <v>8</v>
      </c>
      <c r="Q1962">
        <f t="shared" si="60"/>
        <v>6912239</v>
      </c>
      <c r="R1962">
        <f t="shared" si="59"/>
        <v>12.456166518547754</v>
      </c>
      <c r="U1962">
        <v>853</v>
      </c>
      <c r="V1962">
        <v>109</v>
      </c>
      <c r="W1962">
        <v>1597</v>
      </c>
      <c r="X1962">
        <v>544</v>
      </c>
      <c r="Y1962">
        <v>61.1</v>
      </c>
      <c r="Z1962">
        <v>48.2</v>
      </c>
      <c r="AA1962">
        <v>73.900000000000006</v>
      </c>
    </row>
    <row r="1963" spans="1:27" x14ac:dyDescent="0.25">
      <c r="A1963" t="s">
        <v>243</v>
      </c>
      <c r="B1963" t="s">
        <v>187</v>
      </c>
      <c r="C1963" s="76">
        <v>44013</v>
      </c>
      <c r="D1963">
        <v>11038</v>
      </c>
      <c r="E1963">
        <v>4491</v>
      </c>
      <c r="F1963">
        <v>17585</v>
      </c>
      <c r="G1963">
        <v>3272</v>
      </c>
      <c r="H1963">
        <v>77.099999999999994</v>
      </c>
      <c r="I1963">
        <v>69.900000000000006</v>
      </c>
      <c r="J1963">
        <v>84.4</v>
      </c>
      <c r="K1963">
        <v>727</v>
      </c>
      <c r="L1963">
        <v>296</v>
      </c>
      <c r="M1963">
        <v>1158</v>
      </c>
      <c r="N1963">
        <v>5.0999999999999996</v>
      </c>
      <c r="O1963">
        <v>3.4</v>
      </c>
      <c r="P1963">
        <v>6.8</v>
      </c>
      <c r="Q1963">
        <f t="shared" si="60"/>
        <v>6912239</v>
      </c>
      <c r="R1963">
        <f t="shared" si="59"/>
        <v>10.517576142838811</v>
      </c>
      <c r="U1963">
        <v>902</v>
      </c>
      <c r="V1963">
        <v>155</v>
      </c>
      <c r="W1963">
        <v>1650</v>
      </c>
      <c r="X1963">
        <v>506</v>
      </c>
      <c r="Y1963">
        <v>64.099999999999994</v>
      </c>
      <c r="Z1963">
        <v>54</v>
      </c>
      <c r="AA1963">
        <v>74.099999999999994</v>
      </c>
    </row>
    <row r="1964" spans="1:27" x14ac:dyDescent="0.25">
      <c r="A1964" t="s">
        <v>243</v>
      </c>
      <c r="B1964" t="s">
        <v>187</v>
      </c>
      <c r="C1964" s="76">
        <v>44014</v>
      </c>
      <c r="D1964">
        <v>10843</v>
      </c>
      <c r="E1964">
        <v>4391</v>
      </c>
      <c r="F1964">
        <v>17294</v>
      </c>
      <c r="G1964">
        <v>3395</v>
      </c>
      <c r="H1964">
        <v>76.2</v>
      </c>
      <c r="I1964">
        <v>68.099999999999994</v>
      </c>
      <c r="J1964">
        <v>84.2</v>
      </c>
      <c r="K1964">
        <v>657</v>
      </c>
      <c r="L1964">
        <v>250</v>
      </c>
      <c r="M1964">
        <v>1065</v>
      </c>
      <c r="N1964">
        <v>4.5999999999999996</v>
      </c>
      <c r="O1964">
        <v>3.4</v>
      </c>
      <c r="P1964">
        <v>5.8</v>
      </c>
      <c r="Q1964">
        <f t="shared" si="60"/>
        <v>6912239</v>
      </c>
      <c r="R1964">
        <f t="shared" si="59"/>
        <v>9.5048796779162288</v>
      </c>
      <c r="U1964">
        <v>856</v>
      </c>
      <c r="V1964">
        <v>163</v>
      </c>
      <c r="W1964">
        <v>1550</v>
      </c>
      <c r="X1964">
        <v>523</v>
      </c>
      <c r="Y1964">
        <v>62.1</v>
      </c>
      <c r="Z1964">
        <v>53.4</v>
      </c>
      <c r="AA1964">
        <v>70.8</v>
      </c>
    </row>
    <row r="1965" spans="1:27" x14ac:dyDescent="0.25">
      <c r="A1965" t="s">
        <v>243</v>
      </c>
      <c r="B1965" t="s">
        <v>187</v>
      </c>
      <c r="C1965" s="76">
        <v>44015</v>
      </c>
      <c r="D1965">
        <v>10505</v>
      </c>
      <c r="E1965">
        <v>4251</v>
      </c>
      <c r="F1965">
        <v>16760</v>
      </c>
      <c r="G1965">
        <v>3443</v>
      </c>
      <c r="H1965">
        <v>75.3</v>
      </c>
      <c r="I1965">
        <v>68</v>
      </c>
      <c r="J1965">
        <v>82.6</v>
      </c>
      <c r="K1965">
        <v>619</v>
      </c>
      <c r="L1965">
        <v>239</v>
      </c>
      <c r="M1965">
        <v>998</v>
      </c>
      <c r="N1965">
        <v>4.4000000000000004</v>
      </c>
      <c r="O1965">
        <v>3.1</v>
      </c>
      <c r="P1965">
        <v>5.8</v>
      </c>
      <c r="Q1965">
        <f t="shared" si="60"/>
        <v>6912239</v>
      </c>
      <c r="R1965">
        <f t="shared" si="59"/>
        <v>8.9551301683868285</v>
      </c>
      <c r="U1965">
        <v>839</v>
      </c>
      <c r="V1965">
        <v>167</v>
      </c>
      <c r="W1965">
        <v>1511</v>
      </c>
      <c r="X1965">
        <v>542</v>
      </c>
      <c r="Y1965">
        <v>60.7</v>
      </c>
      <c r="Z1965">
        <v>52.6</v>
      </c>
      <c r="AA1965">
        <v>68.900000000000006</v>
      </c>
    </row>
    <row r="1966" spans="1:27" x14ac:dyDescent="0.25">
      <c r="A1966" t="s">
        <v>243</v>
      </c>
      <c r="B1966" t="s">
        <v>187</v>
      </c>
      <c r="C1966" s="76">
        <v>44016</v>
      </c>
      <c r="D1966">
        <v>9820</v>
      </c>
      <c r="E1966">
        <v>4153</v>
      </c>
      <c r="F1966">
        <v>15486</v>
      </c>
      <c r="G1966">
        <v>3988</v>
      </c>
      <c r="H1966">
        <v>71.099999999999994</v>
      </c>
      <c r="I1966">
        <v>65.400000000000006</v>
      </c>
      <c r="J1966">
        <v>76.8</v>
      </c>
      <c r="K1966">
        <v>561</v>
      </c>
      <c r="L1966">
        <v>179</v>
      </c>
      <c r="M1966">
        <v>944</v>
      </c>
      <c r="N1966">
        <v>4.0999999999999996</v>
      </c>
      <c r="O1966">
        <v>2.5</v>
      </c>
      <c r="P1966">
        <v>5.7</v>
      </c>
      <c r="Q1966">
        <f t="shared" si="60"/>
        <v>6912239</v>
      </c>
      <c r="R1966">
        <f t="shared" si="59"/>
        <v>8.1160388117366882</v>
      </c>
      <c r="U1966">
        <v>710</v>
      </c>
      <c r="V1966">
        <v>143</v>
      </c>
      <c r="W1966">
        <v>1277</v>
      </c>
      <c r="X1966">
        <v>620</v>
      </c>
      <c r="Y1966">
        <v>53.4</v>
      </c>
      <c r="Z1966">
        <v>46.4</v>
      </c>
      <c r="AA1966">
        <v>60.4</v>
      </c>
    </row>
    <row r="1967" spans="1:27" x14ac:dyDescent="0.25">
      <c r="A1967" t="s">
        <v>243</v>
      </c>
      <c r="B1967" t="s">
        <v>187</v>
      </c>
      <c r="C1967" s="76">
        <v>44017</v>
      </c>
      <c r="D1967">
        <v>10053</v>
      </c>
      <c r="E1967">
        <v>4212</v>
      </c>
      <c r="F1967">
        <v>15893</v>
      </c>
      <c r="G1967">
        <v>3704</v>
      </c>
      <c r="H1967">
        <v>73.099999999999994</v>
      </c>
      <c r="I1967">
        <v>66.099999999999994</v>
      </c>
      <c r="J1967">
        <v>80</v>
      </c>
      <c r="K1967">
        <v>607</v>
      </c>
      <c r="L1967">
        <v>218</v>
      </c>
      <c r="M1967">
        <v>995</v>
      </c>
      <c r="N1967">
        <v>4.4000000000000004</v>
      </c>
      <c r="O1967">
        <v>3.1</v>
      </c>
      <c r="P1967">
        <v>5.7</v>
      </c>
      <c r="Q1967">
        <f t="shared" si="60"/>
        <v>6912239</v>
      </c>
      <c r="R1967">
        <f t="shared" si="59"/>
        <v>8.7815250601143848</v>
      </c>
      <c r="U1967">
        <v>799</v>
      </c>
      <c r="V1967">
        <v>156</v>
      </c>
      <c r="W1967">
        <v>1443</v>
      </c>
      <c r="X1967">
        <v>528</v>
      </c>
      <c r="Y1967">
        <v>60.2</v>
      </c>
      <c r="Z1967">
        <v>53</v>
      </c>
      <c r="AA1967">
        <v>67.400000000000006</v>
      </c>
    </row>
    <row r="1968" spans="1:27" x14ac:dyDescent="0.25">
      <c r="A1968" t="s">
        <v>243</v>
      </c>
      <c r="B1968" t="s">
        <v>187</v>
      </c>
      <c r="C1968" s="76">
        <v>44018</v>
      </c>
      <c r="D1968">
        <v>10253</v>
      </c>
      <c r="E1968">
        <v>4312</v>
      </c>
      <c r="F1968">
        <v>16194</v>
      </c>
      <c r="G1968">
        <v>3484</v>
      </c>
      <c r="H1968">
        <v>74.599999999999994</v>
      </c>
      <c r="I1968">
        <v>67.7</v>
      </c>
      <c r="J1968">
        <v>81.599999999999994</v>
      </c>
      <c r="K1968">
        <v>558</v>
      </c>
      <c r="L1968">
        <v>182</v>
      </c>
      <c r="M1968">
        <v>934</v>
      </c>
      <c r="N1968">
        <v>4.0999999999999996</v>
      </c>
      <c r="O1968">
        <v>2.6</v>
      </c>
      <c r="P1968">
        <v>5.5</v>
      </c>
      <c r="Q1968">
        <f t="shared" si="60"/>
        <v>6912239</v>
      </c>
      <c r="R1968">
        <f t="shared" si="59"/>
        <v>8.0726375346685781</v>
      </c>
      <c r="U1968">
        <v>756</v>
      </c>
      <c r="V1968">
        <v>167</v>
      </c>
      <c r="W1968">
        <v>1344</v>
      </c>
      <c r="X1968">
        <v>571</v>
      </c>
      <c r="Y1968">
        <v>57</v>
      </c>
      <c r="Z1968">
        <v>49.6</v>
      </c>
      <c r="AA1968">
        <v>64.3</v>
      </c>
    </row>
    <row r="1969" spans="1:27" x14ac:dyDescent="0.25">
      <c r="A1969" t="s">
        <v>243</v>
      </c>
      <c r="B1969" t="s">
        <v>187</v>
      </c>
      <c r="C1969" s="76">
        <v>44019</v>
      </c>
      <c r="D1969">
        <v>10689</v>
      </c>
      <c r="E1969">
        <v>4491</v>
      </c>
      <c r="F1969">
        <v>16888</v>
      </c>
      <c r="G1969">
        <v>3216</v>
      </c>
      <c r="H1969">
        <v>76.900000000000006</v>
      </c>
      <c r="I1969">
        <v>69.900000000000006</v>
      </c>
      <c r="J1969">
        <v>83.8</v>
      </c>
      <c r="K1969">
        <v>566</v>
      </c>
      <c r="L1969">
        <v>167</v>
      </c>
      <c r="M1969">
        <v>966</v>
      </c>
      <c r="N1969">
        <v>4.0999999999999996</v>
      </c>
      <c r="O1969">
        <v>2.7</v>
      </c>
      <c r="P1969">
        <v>5.4</v>
      </c>
      <c r="Q1969">
        <f t="shared" si="60"/>
        <v>6912239</v>
      </c>
      <c r="R1969">
        <f t="shared" si="59"/>
        <v>8.1883742735168745</v>
      </c>
      <c r="U1969">
        <v>768</v>
      </c>
      <c r="V1969">
        <v>144</v>
      </c>
      <c r="W1969">
        <v>1392</v>
      </c>
      <c r="X1969">
        <v>572</v>
      </c>
      <c r="Y1969">
        <v>57.3</v>
      </c>
      <c r="Z1969">
        <v>46.6</v>
      </c>
      <c r="AA1969">
        <v>68.099999999999994</v>
      </c>
    </row>
    <row r="1970" spans="1:27" x14ac:dyDescent="0.25">
      <c r="A1970" t="s">
        <v>244</v>
      </c>
      <c r="B1970" t="s">
        <v>190</v>
      </c>
      <c r="C1970" s="76">
        <v>43922</v>
      </c>
      <c r="D1970">
        <v>5507</v>
      </c>
      <c r="E1970">
        <v>1970</v>
      </c>
      <c r="F1970">
        <v>9043</v>
      </c>
      <c r="G1970">
        <v>4398</v>
      </c>
      <c r="H1970">
        <v>55.6</v>
      </c>
      <c r="I1970">
        <v>48.7</v>
      </c>
      <c r="J1970">
        <v>62.5</v>
      </c>
      <c r="K1970">
        <v>1157</v>
      </c>
      <c r="L1970">
        <v>394</v>
      </c>
      <c r="M1970">
        <v>1920</v>
      </c>
      <c r="N1970">
        <v>11.7</v>
      </c>
      <c r="O1970">
        <v>7.4</v>
      </c>
      <c r="P1970">
        <v>16</v>
      </c>
      <c r="Q1970">
        <f t="shared" si="60"/>
        <v>6065436</v>
      </c>
      <c r="R1970">
        <f t="shared" si="59"/>
        <v>19.075298131906756</v>
      </c>
      <c r="U1970">
        <v>666</v>
      </c>
      <c r="V1970">
        <v>224</v>
      </c>
      <c r="W1970">
        <v>1108</v>
      </c>
      <c r="X1970">
        <v>359</v>
      </c>
      <c r="Y1970">
        <v>65</v>
      </c>
      <c r="Z1970">
        <v>51.4</v>
      </c>
      <c r="AA1970">
        <v>78.599999999999994</v>
      </c>
    </row>
    <row r="1971" spans="1:27" x14ac:dyDescent="0.25">
      <c r="A1971" t="s">
        <v>244</v>
      </c>
      <c r="B1971" t="s">
        <v>190</v>
      </c>
      <c r="C1971" s="76">
        <v>43923</v>
      </c>
      <c r="D1971">
        <v>5558</v>
      </c>
      <c r="E1971">
        <v>2000</v>
      </c>
      <c r="F1971">
        <v>9115</v>
      </c>
      <c r="G1971">
        <v>4199</v>
      </c>
      <c r="H1971">
        <v>57</v>
      </c>
      <c r="I1971">
        <v>49.8</v>
      </c>
      <c r="J1971">
        <v>64.099999999999994</v>
      </c>
      <c r="K1971">
        <v>1144</v>
      </c>
      <c r="L1971">
        <v>402</v>
      </c>
      <c r="M1971">
        <v>1886</v>
      </c>
      <c r="N1971">
        <v>11.7</v>
      </c>
      <c r="O1971">
        <v>7.5</v>
      </c>
      <c r="P1971">
        <v>16</v>
      </c>
      <c r="Q1971">
        <f t="shared" si="60"/>
        <v>6065436</v>
      </c>
      <c r="R1971">
        <f t="shared" si="59"/>
        <v>18.860968939413425</v>
      </c>
      <c r="U1971">
        <v>666</v>
      </c>
      <c r="V1971">
        <v>235</v>
      </c>
      <c r="W1971">
        <v>1098</v>
      </c>
      <c r="X1971">
        <v>504</v>
      </c>
      <c r="Y1971">
        <v>57</v>
      </c>
      <c r="Z1971">
        <v>40.6</v>
      </c>
      <c r="AA1971">
        <v>73.3</v>
      </c>
    </row>
    <row r="1972" spans="1:27" x14ac:dyDescent="0.25">
      <c r="A1972" t="s">
        <v>244</v>
      </c>
      <c r="B1972" t="s">
        <v>190</v>
      </c>
      <c r="C1972" s="76">
        <v>43924</v>
      </c>
      <c r="D1972">
        <v>5428</v>
      </c>
      <c r="E1972">
        <v>2176</v>
      </c>
      <c r="F1972">
        <v>8679</v>
      </c>
      <c r="G1972">
        <v>4596</v>
      </c>
      <c r="H1972">
        <v>54.1</v>
      </c>
      <c r="I1972">
        <v>45</v>
      </c>
      <c r="J1972">
        <v>63.3</v>
      </c>
      <c r="K1972">
        <v>987</v>
      </c>
      <c r="L1972">
        <v>378</v>
      </c>
      <c r="M1972">
        <v>1597</v>
      </c>
      <c r="N1972">
        <v>9.8000000000000007</v>
      </c>
      <c r="O1972">
        <v>5.9</v>
      </c>
      <c r="P1972">
        <v>13.8</v>
      </c>
      <c r="Q1972">
        <f t="shared" si="60"/>
        <v>6065436</v>
      </c>
      <c r="R1972">
        <f t="shared" si="59"/>
        <v>16.272531768532385</v>
      </c>
      <c r="U1972">
        <v>763</v>
      </c>
      <c r="V1972">
        <v>285</v>
      </c>
      <c r="W1972">
        <v>1241</v>
      </c>
      <c r="X1972">
        <v>448</v>
      </c>
      <c r="Y1972">
        <v>63</v>
      </c>
      <c r="Z1972">
        <v>53</v>
      </c>
      <c r="AA1972">
        <v>73</v>
      </c>
    </row>
    <row r="1973" spans="1:27" x14ac:dyDescent="0.25">
      <c r="A1973" t="s">
        <v>244</v>
      </c>
      <c r="B1973" t="s">
        <v>190</v>
      </c>
      <c r="C1973" s="76">
        <v>43925</v>
      </c>
      <c r="D1973">
        <v>5219</v>
      </c>
      <c r="E1973">
        <v>2120</v>
      </c>
      <c r="F1973">
        <v>8318</v>
      </c>
      <c r="G1973">
        <v>4801</v>
      </c>
      <c r="H1973">
        <v>52.1</v>
      </c>
      <c r="I1973">
        <v>43.4</v>
      </c>
      <c r="J1973">
        <v>60.7</v>
      </c>
      <c r="K1973">
        <v>1070</v>
      </c>
      <c r="L1973">
        <v>415</v>
      </c>
      <c r="M1973">
        <v>1725</v>
      </c>
      <c r="N1973">
        <v>10.7</v>
      </c>
      <c r="O1973">
        <v>6.2</v>
      </c>
      <c r="P1973">
        <v>15.2</v>
      </c>
      <c r="Q1973">
        <f t="shared" si="60"/>
        <v>6065436</v>
      </c>
      <c r="R1973">
        <f t="shared" si="59"/>
        <v>17.640941228297521</v>
      </c>
      <c r="U1973">
        <v>750</v>
      </c>
      <c r="V1973">
        <v>297</v>
      </c>
      <c r="W1973">
        <v>1203</v>
      </c>
      <c r="X1973">
        <v>519</v>
      </c>
      <c r="Y1973">
        <v>59.1</v>
      </c>
      <c r="Z1973">
        <v>50</v>
      </c>
      <c r="AA1973">
        <v>68.099999999999994</v>
      </c>
    </row>
    <row r="1974" spans="1:27" x14ac:dyDescent="0.25">
      <c r="A1974" t="s">
        <v>244</v>
      </c>
      <c r="B1974" t="s">
        <v>190</v>
      </c>
      <c r="C1974" s="76">
        <v>43926</v>
      </c>
      <c r="D1974">
        <v>5302</v>
      </c>
      <c r="E1974">
        <v>2094</v>
      </c>
      <c r="F1974">
        <v>8510</v>
      </c>
      <c r="G1974">
        <v>4671</v>
      </c>
      <c r="H1974">
        <v>53.2</v>
      </c>
      <c r="I1974">
        <v>44.8</v>
      </c>
      <c r="J1974">
        <v>61.6</v>
      </c>
      <c r="K1974">
        <v>1077</v>
      </c>
      <c r="L1974">
        <v>440</v>
      </c>
      <c r="M1974">
        <v>1715</v>
      </c>
      <c r="N1974">
        <v>10.8</v>
      </c>
      <c r="O1974">
        <v>6.5</v>
      </c>
      <c r="P1974">
        <v>15.1</v>
      </c>
      <c r="Q1974">
        <f t="shared" si="60"/>
        <v>6065436</v>
      </c>
      <c r="R1974">
        <f t="shared" si="59"/>
        <v>17.756349255024702</v>
      </c>
      <c r="U1974">
        <v>728</v>
      </c>
      <c r="V1974">
        <v>259</v>
      </c>
      <c r="W1974">
        <v>1197</v>
      </c>
      <c r="X1974">
        <v>546</v>
      </c>
      <c r="Y1974">
        <v>57.1</v>
      </c>
      <c r="Z1974">
        <v>44.6</v>
      </c>
      <c r="AA1974">
        <v>69.7</v>
      </c>
    </row>
    <row r="1975" spans="1:27" x14ac:dyDescent="0.25">
      <c r="A1975" t="s">
        <v>244</v>
      </c>
      <c r="B1975" t="s">
        <v>190</v>
      </c>
      <c r="C1975" s="76">
        <v>43927</v>
      </c>
      <c r="D1975">
        <v>5341</v>
      </c>
      <c r="E1975">
        <v>2094</v>
      </c>
      <c r="F1975">
        <v>8588</v>
      </c>
      <c r="G1975">
        <v>4676</v>
      </c>
      <c r="H1975">
        <v>53.3</v>
      </c>
      <c r="I1975">
        <v>46</v>
      </c>
      <c r="J1975">
        <v>60.6</v>
      </c>
      <c r="K1975">
        <v>1136</v>
      </c>
      <c r="L1975">
        <v>438</v>
      </c>
      <c r="M1975">
        <v>1834</v>
      </c>
      <c r="N1975">
        <v>11.3</v>
      </c>
      <c r="O1975">
        <v>7.2</v>
      </c>
      <c r="P1975">
        <v>15.5</v>
      </c>
      <c r="Q1975">
        <f t="shared" si="60"/>
        <v>6065436</v>
      </c>
      <c r="R1975">
        <f t="shared" si="59"/>
        <v>18.729074051725217</v>
      </c>
      <c r="U1975">
        <v>738</v>
      </c>
      <c r="V1975">
        <v>266</v>
      </c>
      <c r="W1975">
        <v>1211</v>
      </c>
      <c r="X1975">
        <v>483</v>
      </c>
      <c r="Y1975">
        <v>60.5</v>
      </c>
      <c r="Z1975">
        <v>50.5</v>
      </c>
      <c r="AA1975">
        <v>70.400000000000006</v>
      </c>
    </row>
    <row r="1976" spans="1:27" x14ac:dyDescent="0.25">
      <c r="A1976" t="s">
        <v>244</v>
      </c>
      <c r="B1976" t="s">
        <v>190</v>
      </c>
      <c r="C1976" s="76">
        <v>43928</v>
      </c>
      <c r="D1976">
        <v>5620</v>
      </c>
      <c r="E1976">
        <v>2103</v>
      </c>
      <c r="F1976">
        <v>9136</v>
      </c>
      <c r="G1976">
        <v>4238</v>
      </c>
      <c r="H1976">
        <v>57</v>
      </c>
      <c r="I1976">
        <v>50.3</v>
      </c>
      <c r="J1976">
        <v>63.7</v>
      </c>
      <c r="K1976">
        <v>1204</v>
      </c>
      <c r="L1976">
        <v>479</v>
      </c>
      <c r="M1976">
        <v>1928</v>
      </c>
      <c r="N1976">
        <v>12.2</v>
      </c>
      <c r="O1976">
        <v>8.1999999999999993</v>
      </c>
      <c r="P1976">
        <v>16.2</v>
      </c>
      <c r="Q1976">
        <f t="shared" si="60"/>
        <v>6065436</v>
      </c>
      <c r="R1976">
        <f t="shared" si="59"/>
        <v>19.850180597074967</v>
      </c>
      <c r="U1976">
        <v>808</v>
      </c>
      <c r="V1976">
        <v>297</v>
      </c>
      <c r="W1976">
        <v>1318</v>
      </c>
      <c r="X1976">
        <v>474</v>
      </c>
      <c r="Y1976">
        <v>63</v>
      </c>
      <c r="Z1976">
        <v>51.6</v>
      </c>
      <c r="AA1976">
        <v>74.5</v>
      </c>
    </row>
    <row r="1977" spans="1:27" x14ac:dyDescent="0.25">
      <c r="A1977" t="s">
        <v>244</v>
      </c>
      <c r="B1977" t="s">
        <v>190</v>
      </c>
      <c r="C1977" s="76">
        <v>43929</v>
      </c>
      <c r="D1977">
        <v>5744</v>
      </c>
      <c r="E1977">
        <v>2158</v>
      </c>
      <c r="F1977">
        <v>9330</v>
      </c>
      <c r="G1977">
        <v>4136</v>
      </c>
      <c r="H1977">
        <v>58.1</v>
      </c>
      <c r="I1977">
        <v>50.2</v>
      </c>
      <c r="J1977">
        <v>66.099999999999994</v>
      </c>
      <c r="K1977">
        <v>1310</v>
      </c>
      <c r="L1977">
        <v>490</v>
      </c>
      <c r="M1977">
        <v>2131</v>
      </c>
      <c r="N1977">
        <v>13.3</v>
      </c>
      <c r="O1977">
        <v>9.6</v>
      </c>
      <c r="P1977">
        <v>16.899999999999999</v>
      </c>
      <c r="Q1977">
        <f t="shared" si="60"/>
        <v>6065436</v>
      </c>
      <c r="R1977">
        <f t="shared" si="59"/>
        <v>21.597787858943693</v>
      </c>
      <c r="U1977">
        <v>761</v>
      </c>
      <c r="V1977">
        <v>301</v>
      </c>
      <c r="W1977">
        <v>1220</v>
      </c>
      <c r="X1977">
        <v>465</v>
      </c>
      <c r="Y1977">
        <v>62.1</v>
      </c>
      <c r="Z1977">
        <v>52.3</v>
      </c>
      <c r="AA1977">
        <v>71.900000000000006</v>
      </c>
    </row>
    <row r="1978" spans="1:27" x14ac:dyDescent="0.25">
      <c r="A1978" t="s">
        <v>244</v>
      </c>
      <c r="B1978" t="s">
        <v>190</v>
      </c>
      <c r="C1978" s="76">
        <v>43930</v>
      </c>
      <c r="D1978">
        <v>5997</v>
      </c>
      <c r="E1978">
        <v>2162</v>
      </c>
      <c r="F1978">
        <v>9833</v>
      </c>
      <c r="G1978">
        <v>3960</v>
      </c>
      <c r="H1978">
        <v>60.2</v>
      </c>
      <c r="I1978">
        <v>52.7</v>
      </c>
      <c r="J1978">
        <v>67.8</v>
      </c>
      <c r="K1978">
        <v>1321</v>
      </c>
      <c r="L1978">
        <v>484</v>
      </c>
      <c r="M1978">
        <v>2158</v>
      </c>
      <c r="N1978">
        <v>13.3</v>
      </c>
      <c r="O1978">
        <v>9.1</v>
      </c>
      <c r="P1978">
        <v>17.399999999999999</v>
      </c>
      <c r="Q1978">
        <f t="shared" si="60"/>
        <v>6065436</v>
      </c>
      <c r="R1978">
        <f t="shared" si="59"/>
        <v>21.779143329514977</v>
      </c>
      <c r="U1978">
        <v>810</v>
      </c>
      <c r="V1978">
        <v>326</v>
      </c>
      <c r="W1978">
        <v>1293</v>
      </c>
      <c r="X1978">
        <v>463</v>
      </c>
      <c r="Y1978">
        <v>63.6</v>
      </c>
      <c r="Z1978">
        <v>53.6</v>
      </c>
      <c r="AA1978">
        <v>73.599999999999994</v>
      </c>
    </row>
    <row r="1979" spans="1:27" x14ac:dyDescent="0.25">
      <c r="A1979" t="s">
        <v>244</v>
      </c>
      <c r="B1979" t="s">
        <v>190</v>
      </c>
      <c r="C1979" s="76">
        <v>43931</v>
      </c>
      <c r="D1979">
        <v>5659</v>
      </c>
      <c r="E1979">
        <v>2134</v>
      </c>
      <c r="F1979">
        <v>9184</v>
      </c>
      <c r="G1979">
        <v>4197</v>
      </c>
      <c r="H1979">
        <v>57.4</v>
      </c>
      <c r="I1979">
        <v>48.3</v>
      </c>
      <c r="J1979">
        <v>66.599999999999994</v>
      </c>
      <c r="K1979">
        <v>1299</v>
      </c>
      <c r="L1979">
        <v>493</v>
      </c>
      <c r="M1979">
        <v>2104</v>
      </c>
      <c r="N1979">
        <v>13.2</v>
      </c>
      <c r="O1979">
        <v>9.1</v>
      </c>
      <c r="P1979">
        <v>17.3</v>
      </c>
      <c r="Q1979">
        <f t="shared" si="60"/>
        <v>6065436</v>
      </c>
      <c r="R1979">
        <f t="shared" si="59"/>
        <v>21.41643238837241</v>
      </c>
      <c r="U1979">
        <v>855</v>
      </c>
      <c r="V1979">
        <v>335</v>
      </c>
      <c r="W1979">
        <v>1375</v>
      </c>
      <c r="X1979">
        <v>394</v>
      </c>
      <c r="Y1979">
        <v>68.5</v>
      </c>
      <c r="Z1979">
        <v>58.9</v>
      </c>
      <c r="AA1979">
        <v>78</v>
      </c>
    </row>
    <row r="1980" spans="1:27" x14ac:dyDescent="0.25">
      <c r="A1980" t="s">
        <v>244</v>
      </c>
      <c r="B1980" t="s">
        <v>190</v>
      </c>
      <c r="C1980" s="76">
        <v>43932</v>
      </c>
      <c r="D1980">
        <v>5928</v>
      </c>
      <c r="E1980">
        <v>1089</v>
      </c>
      <c r="F1980">
        <v>10766</v>
      </c>
      <c r="G1980">
        <v>5438</v>
      </c>
      <c r="H1980">
        <v>52.2</v>
      </c>
      <c r="I1980">
        <v>42.3</v>
      </c>
      <c r="J1980">
        <v>62</v>
      </c>
      <c r="K1980">
        <v>1301</v>
      </c>
      <c r="L1980">
        <v>328</v>
      </c>
      <c r="M1980">
        <v>2274</v>
      </c>
      <c r="N1980">
        <v>11.4</v>
      </c>
      <c r="O1980">
        <v>6.9</v>
      </c>
      <c r="P1980">
        <v>16</v>
      </c>
      <c r="Q1980">
        <f t="shared" si="60"/>
        <v>6065436</v>
      </c>
      <c r="R1980">
        <f t="shared" si="59"/>
        <v>21.449406110294461</v>
      </c>
      <c r="U1980">
        <v>771</v>
      </c>
      <c r="V1980">
        <v>237</v>
      </c>
      <c r="W1980">
        <v>1305</v>
      </c>
      <c r="X1980">
        <v>481</v>
      </c>
      <c r="Y1980">
        <v>61.6</v>
      </c>
      <c r="Z1980">
        <v>49.6</v>
      </c>
      <c r="AA1980">
        <v>73.599999999999994</v>
      </c>
    </row>
    <row r="1981" spans="1:27" x14ac:dyDescent="0.25">
      <c r="A1981" t="s">
        <v>244</v>
      </c>
      <c r="B1981" t="s">
        <v>190</v>
      </c>
      <c r="C1981" s="76">
        <v>43933</v>
      </c>
      <c r="D1981">
        <v>6103</v>
      </c>
      <c r="E1981">
        <v>965</v>
      </c>
      <c r="F1981">
        <v>11241</v>
      </c>
      <c r="G1981">
        <v>5203</v>
      </c>
      <c r="H1981">
        <v>54</v>
      </c>
      <c r="I1981">
        <v>45.8</v>
      </c>
      <c r="J1981">
        <v>62.2</v>
      </c>
      <c r="K1981">
        <v>1467</v>
      </c>
      <c r="L1981">
        <v>373</v>
      </c>
      <c r="M1981">
        <v>2561</v>
      </c>
      <c r="N1981">
        <v>13</v>
      </c>
      <c r="O1981">
        <v>8</v>
      </c>
      <c r="P1981">
        <v>18</v>
      </c>
      <c r="Q1981">
        <f t="shared" si="60"/>
        <v>6065436</v>
      </c>
      <c r="R1981">
        <f t="shared" si="59"/>
        <v>24.186225029824733</v>
      </c>
      <c r="U1981">
        <v>834</v>
      </c>
      <c r="V1981">
        <v>250</v>
      </c>
      <c r="W1981">
        <v>1418</v>
      </c>
      <c r="X1981">
        <v>477</v>
      </c>
      <c r="Y1981">
        <v>63.6</v>
      </c>
      <c r="Z1981">
        <v>49.6</v>
      </c>
      <c r="AA1981">
        <v>77.5</v>
      </c>
    </row>
    <row r="1982" spans="1:27" x14ac:dyDescent="0.25">
      <c r="A1982" t="s">
        <v>244</v>
      </c>
      <c r="B1982" t="s">
        <v>190</v>
      </c>
      <c r="C1982" s="76">
        <v>43934</v>
      </c>
      <c r="D1982">
        <v>6120</v>
      </c>
      <c r="E1982">
        <v>1109</v>
      </c>
      <c r="F1982">
        <v>11131</v>
      </c>
      <c r="G1982">
        <v>5264</v>
      </c>
      <c r="H1982">
        <v>53.8</v>
      </c>
      <c r="I1982">
        <v>44.4</v>
      </c>
      <c r="J1982">
        <v>63.1</v>
      </c>
      <c r="K1982">
        <v>1494</v>
      </c>
      <c r="L1982">
        <v>295</v>
      </c>
      <c r="M1982">
        <v>2693</v>
      </c>
      <c r="N1982">
        <v>13.1</v>
      </c>
      <c r="O1982">
        <v>8.8000000000000007</v>
      </c>
      <c r="P1982">
        <v>17.5</v>
      </c>
      <c r="Q1982">
        <f t="shared" si="60"/>
        <v>6065436</v>
      </c>
      <c r="R1982">
        <f t="shared" si="59"/>
        <v>24.631370275772426</v>
      </c>
      <c r="U1982">
        <v>803</v>
      </c>
      <c r="V1982">
        <v>238</v>
      </c>
      <c r="W1982">
        <v>1367</v>
      </c>
      <c r="X1982">
        <v>397</v>
      </c>
      <c r="Y1982">
        <v>66.900000000000006</v>
      </c>
      <c r="Z1982">
        <v>59.2</v>
      </c>
      <c r="AA1982">
        <v>74.599999999999994</v>
      </c>
    </row>
    <row r="1983" spans="1:27" x14ac:dyDescent="0.25">
      <c r="A1983" t="s">
        <v>244</v>
      </c>
      <c r="B1983" t="s">
        <v>190</v>
      </c>
      <c r="C1983" s="76">
        <v>43935</v>
      </c>
      <c r="D1983">
        <v>6439</v>
      </c>
      <c r="E1983">
        <v>1198</v>
      </c>
      <c r="F1983">
        <v>11681</v>
      </c>
      <c r="G1983">
        <v>4956</v>
      </c>
      <c r="H1983">
        <v>56.5</v>
      </c>
      <c r="I1983">
        <v>46.3</v>
      </c>
      <c r="J1983">
        <v>66.7</v>
      </c>
      <c r="K1983">
        <v>1467</v>
      </c>
      <c r="L1983">
        <v>387</v>
      </c>
      <c r="M1983">
        <v>2546</v>
      </c>
      <c r="N1983">
        <v>12.9</v>
      </c>
      <c r="O1983">
        <v>7.9</v>
      </c>
      <c r="P1983">
        <v>17.8</v>
      </c>
      <c r="Q1983">
        <f t="shared" si="60"/>
        <v>6065436</v>
      </c>
      <c r="R1983">
        <f t="shared" si="59"/>
        <v>24.186225029824733</v>
      </c>
      <c r="U1983">
        <v>797</v>
      </c>
      <c r="V1983">
        <v>268</v>
      </c>
      <c r="W1983">
        <v>1325</v>
      </c>
      <c r="X1983">
        <v>592</v>
      </c>
      <c r="Y1983">
        <v>57.4</v>
      </c>
      <c r="Z1983">
        <v>44.7</v>
      </c>
      <c r="AA1983">
        <v>70</v>
      </c>
    </row>
    <row r="1984" spans="1:27" x14ac:dyDescent="0.25">
      <c r="A1984" t="s">
        <v>244</v>
      </c>
      <c r="B1984" t="s">
        <v>190</v>
      </c>
      <c r="C1984" s="76">
        <v>43936</v>
      </c>
      <c r="D1984">
        <v>6550</v>
      </c>
      <c r="E1984">
        <v>1101</v>
      </c>
      <c r="F1984">
        <v>12000</v>
      </c>
      <c r="G1984">
        <v>4795</v>
      </c>
      <c r="H1984">
        <v>57.7</v>
      </c>
      <c r="I1984">
        <v>48.6</v>
      </c>
      <c r="J1984">
        <v>66.900000000000006</v>
      </c>
      <c r="K1984">
        <v>1488</v>
      </c>
      <c r="L1984">
        <v>420</v>
      </c>
      <c r="M1984">
        <v>2557</v>
      </c>
      <c r="N1984">
        <v>13.1</v>
      </c>
      <c r="O1984">
        <v>7.4</v>
      </c>
      <c r="P1984">
        <v>18.8</v>
      </c>
      <c r="Q1984">
        <f t="shared" si="60"/>
        <v>6065436</v>
      </c>
      <c r="R1984">
        <f t="shared" si="59"/>
        <v>24.532449110006276</v>
      </c>
      <c r="U1984">
        <v>793</v>
      </c>
      <c r="V1984">
        <v>268</v>
      </c>
      <c r="W1984">
        <v>1318</v>
      </c>
      <c r="X1984">
        <v>481</v>
      </c>
      <c r="Y1984">
        <v>62.2</v>
      </c>
      <c r="Z1984">
        <v>50.9</v>
      </c>
      <c r="AA1984">
        <v>73.599999999999994</v>
      </c>
    </row>
    <row r="1985" spans="1:27" x14ac:dyDescent="0.25">
      <c r="A1985" t="s">
        <v>244</v>
      </c>
      <c r="B1985" t="s">
        <v>190</v>
      </c>
      <c r="C1985" s="76">
        <v>43937</v>
      </c>
      <c r="D1985">
        <v>5874</v>
      </c>
      <c r="E1985">
        <v>2300</v>
      </c>
      <c r="F1985">
        <v>9449</v>
      </c>
      <c r="G1985">
        <v>3687</v>
      </c>
      <c r="H1985">
        <v>61.4</v>
      </c>
      <c r="I1985">
        <v>52.5</v>
      </c>
      <c r="J1985">
        <v>70.400000000000006</v>
      </c>
      <c r="K1985">
        <v>1479</v>
      </c>
      <c r="L1985">
        <v>511</v>
      </c>
      <c r="M1985">
        <v>2447</v>
      </c>
      <c r="N1985">
        <v>15.5</v>
      </c>
      <c r="O1985">
        <v>10.3</v>
      </c>
      <c r="P1985">
        <v>20.7</v>
      </c>
      <c r="Q1985">
        <f t="shared" si="60"/>
        <v>6065436</v>
      </c>
      <c r="R1985">
        <f t="shared" si="59"/>
        <v>24.38406736135704</v>
      </c>
      <c r="U1985">
        <v>818</v>
      </c>
      <c r="V1985">
        <v>308</v>
      </c>
      <c r="W1985">
        <v>1327</v>
      </c>
      <c r="X1985">
        <v>336</v>
      </c>
      <c r="Y1985">
        <v>70.900000000000006</v>
      </c>
      <c r="Z1985">
        <v>62.4</v>
      </c>
      <c r="AA1985">
        <v>79.400000000000006</v>
      </c>
    </row>
    <row r="1986" spans="1:27" x14ac:dyDescent="0.25">
      <c r="A1986" t="s">
        <v>244</v>
      </c>
      <c r="B1986" t="s">
        <v>190</v>
      </c>
      <c r="C1986" s="76">
        <v>43938</v>
      </c>
      <c r="D1986">
        <v>5553</v>
      </c>
      <c r="E1986">
        <v>2258</v>
      </c>
      <c r="F1986">
        <v>8848</v>
      </c>
      <c r="G1986">
        <v>3878</v>
      </c>
      <c r="H1986">
        <v>58.9</v>
      </c>
      <c r="I1986">
        <v>48.9</v>
      </c>
      <c r="J1986">
        <v>68.8</v>
      </c>
      <c r="K1986">
        <v>1414</v>
      </c>
      <c r="L1986">
        <v>477</v>
      </c>
      <c r="M1986">
        <v>2352</v>
      </c>
      <c r="N1986">
        <v>15</v>
      </c>
      <c r="O1986">
        <v>9.3000000000000007</v>
      </c>
      <c r="P1986">
        <v>20.7</v>
      </c>
      <c r="Q1986">
        <f t="shared" si="60"/>
        <v>6065436</v>
      </c>
      <c r="R1986">
        <f t="shared" si="59"/>
        <v>23.312421398890368</v>
      </c>
      <c r="U1986">
        <v>749</v>
      </c>
      <c r="V1986">
        <v>305</v>
      </c>
      <c r="W1986">
        <v>1192</v>
      </c>
      <c r="X1986">
        <v>400</v>
      </c>
      <c r="Y1986">
        <v>65.2</v>
      </c>
      <c r="Z1986">
        <v>53.6</v>
      </c>
      <c r="AA1986">
        <v>76.8</v>
      </c>
    </row>
    <row r="1987" spans="1:27" x14ac:dyDescent="0.25">
      <c r="A1987" t="s">
        <v>244</v>
      </c>
      <c r="B1987" t="s">
        <v>190</v>
      </c>
      <c r="C1987" s="76">
        <v>43939</v>
      </c>
      <c r="D1987">
        <v>5606</v>
      </c>
      <c r="E1987">
        <v>2058</v>
      </c>
      <c r="F1987">
        <v>9154</v>
      </c>
      <c r="G1987">
        <v>4222</v>
      </c>
      <c r="H1987">
        <v>57</v>
      </c>
      <c r="I1987">
        <v>46.5</v>
      </c>
      <c r="J1987">
        <v>67.599999999999994</v>
      </c>
      <c r="K1987">
        <v>1597</v>
      </c>
      <c r="L1987">
        <v>549</v>
      </c>
      <c r="M1987">
        <v>2644</v>
      </c>
      <c r="N1987">
        <v>16.2</v>
      </c>
      <c r="O1987">
        <v>10.5</v>
      </c>
      <c r="P1987">
        <v>21.9</v>
      </c>
      <c r="Q1987">
        <f t="shared" si="60"/>
        <v>6065436</v>
      </c>
      <c r="R1987">
        <f t="shared" si="59"/>
        <v>26.329516954758077</v>
      </c>
      <c r="U1987">
        <v>745</v>
      </c>
      <c r="V1987">
        <v>300</v>
      </c>
      <c r="W1987">
        <v>1190</v>
      </c>
      <c r="X1987">
        <v>481</v>
      </c>
      <c r="Y1987">
        <v>60.8</v>
      </c>
      <c r="Z1987">
        <v>47.1</v>
      </c>
      <c r="AA1987">
        <v>74.400000000000006</v>
      </c>
    </row>
    <row r="1988" spans="1:27" x14ac:dyDescent="0.25">
      <c r="A1988" t="s">
        <v>244</v>
      </c>
      <c r="B1988" t="s">
        <v>190</v>
      </c>
      <c r="C1988" s="76">
        <v>43940</v>
      </c>
      <c r="D1988">
        <v>6063</v>
      </c>
      <c r="E1988">
        <v>2256</v>
      </c>
      <c r="F1988">
        <v>9870</v>
      </c>
      <c r="G1988">
        <v>3776</v>
      </c>
      <c r="H1988">
        <v>61.6</v>
      </c>
      <c r="I1988">
        <v>51.8</v>
      </c>
      <c r="J1988">
        <v>71.5</v>
      </c>
      <c r="K1988">
        <v>1667</v>
      </c>
      <c r="L1988">
        <v>578</v>
      </c>
      <c r="M1988">
        <v>2756</v>
      </c>
      <c r="N1988">
        <v>16.899999999999999</v>
      </c>
      <c r="O1988">
        <v>10.7</v>
      </c>
      <c r="P1988">
        <v>23.2</v>
      </c>
      <c r="Q1988">
        <f t="shared" si="60"/>
        <v>6065436</v>
      </c>
      <c r="R1988">
        <f t="shared" si="59"/>
        <v>27.483597222029875</v>
      </c>
      <c r="U1988">
        <v>877</v>
      </c>
      <c r="V1988">
        <v>350</v>
      </c>
      <c r="W1988">
        <v>1404</v>
      </c>
      <c r="X1988">
        <v>357</v>
      </c>
      <c r="Y1988">
        <v>71.099999999999994</v>
      </c>
      <c r="Z1988">
        <v>61.3</v>
      </c>
      <c r="AA1988">
        <v>80.900000000000006</v>
      </c>
    </row>
    <row r="1989" spans="1:27" x14ac:dyDescent="0.25">
      <c r="A1989" t="s">
        <v>244</v>
      </c>
      <c r="B1989" t="s">
        <v>190</v>
      </c>
      <c r="C1989" s="76">
        <v>43941</v>
      </c>
      <c r="D1989">
        <v>6022</v>
      </c>
      <c r="E1989">
        <v>3817</v>
      </c>
      <c r="F1989">
        <v>8226</v>
      </c>
      <c r="G1989">
        <v>2706</v>
      </c>
      <c r="H1989">
        <v>69</v>
      </c>
      <c r="I1989">
        <v>64.2</v>
      </c>
      <c r="J1989">
        <v>73.8</v>
      </c>
      <c r="K1989">
        <v>1836</v>
      </c>
      <c r="L1989">
        <v>1098</v>
      </c>
      <c r="M1989">
        <v>2574</v>
      </c>
      <c r="N1989">
        <v>21</v>
      </c>
      <c r="O1989">
        <v>16.5</v>
      </c>
      <c r="P1989">
        <v>25.6</v>
      </c>
      <c r="Q1989">
        <f t="shared" si="60"/>
        <v>6065436</v>
      </c>
      <c r="R1989">
        <f t="shared" ref="R1989:R2052" si="61">K1989/(Q1989)*100000</f>
        <v>30.269876724443222</v>
      </c>
      <c r="U1989">
        <v>1210</v>
      </c>
      <c r="V1989">
        <v>656</v>
      </c>
      <c r="W1989">
        <v>1764</v>
      </c>
      <c r="X1989">
        <v>418</v>
      </c>
      <c r="Y1989">
        <v>74.3</v>
      </c>
      <c r="Z1989">
        <v>68.3</v>
      </c>
      <c r="AA1989">
        <v>80.3</v>
      </c>
    </row>
    <row r="1990" spans="1:27" x14ac:dyDescent="0.25">
      <c r="A1990" t="s">
        <v>244</v>
      </c>
      <c r="B1990" t="s">
        <v>190</v>
      </c>
      <c r="C1990" s="76">
        <v>43942</v>
      </c>
      <c r="D1990">
        <v>6161</v>
      </c>
      <c r="E1990">
        <v>3945</v>
      </c>
      <c r="F1990">
        <v>8376</v>
      </c>
      <c r="G1990">
        <v>2154</v>
      </c>
      <c r="H1990">
        <v>74.099999999999994</v>
      </c>
      <c r="I1990">
        <v>69.099999999999994</v>
      </c>
      <c r="J1990">
        <v>79.099999999999994</v>
      </c>
      <c r="K1990">
        <v>1846</v>
      </c>
      <c r="L1990">
        <v>1157</v>
      </c>
      <c r="M1990">
        <v>2535</v>
      </c>
      <c r="N1990">
        <v>22.2</v>
      </c>
      <c r="O1990">
        <v>18.5</v>
      </c>
      <c r="P1990">
        <v>25.9</v>
      </c>
      <c r="Q1990">
        <f t="shared" si="60"/>
        <v>6065436</v>
      </c>
      <c r="R1990">
        <f t="shared" si="61"/>
        <v>30.434745334053478</v>
      </c>
      <c r="U1990">
        <v>1220</v>
      </c>
      <c r="V1990">
        <v>642</v>
      </c>
      <c r="W1990">
        <v>1799</v>
      </c>
      <c r="X1990">
        <v>288</v>
      </c>
      <c r="Y1990">
        <v>80.900000000000006</v>
      </c>
      <c r="Z1990">
        <v>76.099999999999994</v>
      </c>
      <c r="AA1990">
        <v>85.7</v>
      </c>
    </row>
    <row r="1991" spans="1:27" x14ac:dyDescent="0.25">
      <c r="A1991" t="s">
        <v>244</v>
      </c>
      <c r="B1991" t="s">
        <v>190</v>
      </c>
      <c r="C1991" s="76">
        <v>43943</v>
      </c>
      <c r="D1991">
        <v>6210</v>
      </c>
      <c r="E1991">
        <v>4017</v>
      </c>
      <c r="F1991">
        <v>8403</v>
      </c>
      <c r="G1991">
        <v>1978</v>
      </c>
      <c r="H1991">
        <v>75.8</v>
      </c>
      <c r="I1991">
        <v>70.8</v>
      </c>
      <c r="J1991">
        <v>80.900000000000006</v>
      </c>
      <c r="K1991">
        <v>1784</v>
      </c>
      <c r="L1991">
        <v>1098</v>
      </c>
      <c r="M1991">
        <v>2470</v>
      </c>
      <c r="N1991">
        <v>21.8</v>
      </c>
      <c r="O1991">
        <v>17.600000000000001</v>
      </c>
      <c r="P1991">
        <v>26</v>
      </c>
      <c r="Q1991">
        <f t="shared" si="60"/>
        <v>6065436</v>
      </c>
      <c r="R1991">
        <f t="shared" si="61"/>
        <v>29.412559954469884</v>
      </c>
      <c r="U1991">
        <v>1128</v>
      </c>
      <c r="V1991">
        <v>647</v>
      </c>
      <c r="W1991">
        <v>1610</v>
      </c>
      <c r="X1991">
        <v>344</v>
      </c>
      <c r="Y1991">
        <v>76.599999999999994</v>
      </c>
      <c r="Z1991">
        <v>71.8</v>
      </c>
      <c r="AA1991">
        <v>81.5</v>
      </c>
    </row>
    <row r="1992" spans="1:27" x14ac:dyDescent="0.25">
      <c r="A1992" t="s">
        <v>244</v>
      </c>
      <c r="B1992" t="s">
        <v>190</v>
      </c>
      <c r="C1992" s="76">
        <v>43944</v>
      </c>
      <c r="D1992">
        <v>6160</v>
      </c>
      <c r="E1992">
        <v>3964</v>
      </c>
      <c r="F1992">
        <v>8355</v>
      </c>
      <c r="G1992">
        <v>2098</v>
      </c>
      <c r="H1992">
        <v>74.599999999999994</v>
      </c>
      <c r="I1992">
        <v>69.8</v>
      </c>
      <c r="J1992">
        <v>79.400000000000006</v>
      </c>
      <c r="K1992">
        <v>1829</v>
      </c>
      <c r="L1992">
        <v>1137</v>
      </c>
      <c r="M1992">
        <v>2522</v>
      </c>
      <c r="N1992">
        <v>22.2</v>
      </c>
      <c r="O1992">
        <v>18.3</v>
      </c>
      <c r="P1992">
        <v>26</v>
      </c>
      <c r="Q1992">
        <f t="shared" si="60"/>
        <v>6065436</v>
      </c>
      <c r="R1992">
        <f t="shared" si="61"/>
        <v>30.154468697716045</v>
      </c>
      <c r="U1992">
        <v>1154</v>
      </c>
      <c r="V1992">
        <v>651</v>
      </c>
      <c r="W1992">
        <v>1657</v>
      </c>
      <c r="X1992">
        <v>374</v>
      </c>
      <c r="Y1992">
        <v>75.5</v>
      </c>
      <c r="Z1992">
        <v>71.2</v>
      </c>
      <c r="AA1992">
        <v>79.900000000000006</v>
      </c>
    </row>
    <row r="1993" spans="1:27" x14ac:dyDescent="0.25">
      <c r="A1993" t="s">
        <v>244</v>
      </c>
      <c r="B1993" t="s">
        <v>190</v>
      </c>
      <c r="C1993" s="76">
        <v>43945</v>
      </c>
      <c r="D1993">
        <v>6172</v>
      </c>
      <c r="E1993">
        <v>4009</v>
      </c>
      <c r="F1993">
        <v>8336</v>
      </c>
      <c r="G1993">
        <v>2132</v>
      </c>
      <c r="H1993">
        <v>74.3</v>
      </c>
      <c r="I1993">
        <v>69.599999999999994</v>
      </c>
      <c r="J1993">
        <v>79.099999999999994</v>
      </c>
      <c r="K1993">
        <v>1813</v>
      </c>
      <c r="L1993">
        <v>1113</v>
      </c>
      <c r="M1993">
        <v>2514</v>
      </c>
      <c r="N1993">
        <v>21.8</v>
      </c>
      <c r="O1993">
        <v>17.600000000000001</v>
      </c>
      <c r="P1993">
        <v>26.1</v>
      </c>
      <c r="Q1993">
        <f t="shared" si="60"/>
        <v>6065436</v>
      </c>
      <c r="R1993">
        <f t="shared" si="61"/>
        <v>29.890678922339632</v>
      </c>
      <c r="U1993">
        <v>1175</v>
      </c>
      <c r="V1993">
        <v>641</v>
      </c>
      <c r="W1993">
        <v>1710</v>
      </c>
      <c r="X1993">
        <v>367</v>
      </c>
      <c r="Y1993">
        <v>76.2</v>
      </c>
      <c r="Z1993">
        <v>71.400000000000006</v>
      </c>
      <c r="AA1993">
        <v>80.900000000000006</v>
      </c>
    </row>
    <row r="1994" spans="1:27" x14ac:dyDescent="0.25">
      <c r="A1994" t="s">
        <v>244</v>
      </c>
      <c r="B1994" t="s">
        <v>190</v>
      </c>
      <c r="C1994" s="76">
        <v>43946</v>
      </c>
      <c r="D1994">
        <v>5984</v>
      </c>
      <c r="E1994">
        <v>3871</v>
      </c>
      <c r="F1994">
        <v>8096</v>
      </c>
      <c r="G1994">
        <v>2171</v>
      </c>
      <c r="H1994">
        <v>73.400000000000006</v>
      </c>
      <c r="I1994">
        <v>68.7</v>
      </c>
      <c r="J1994">
        <v>78</v>
      </c>
      <c r="K1994">
        <v>1931</v>
      </c>
      <c r="L1994">
        <v>1190</v>
      </c>
      <c r="M1994">
        <v>2672</v>
      </c>
      <c r="N1994">
        <v>23.7</v>
      </c>
      <c r="O1994">
        <v>19.3</v>
      </c>
      <c r="P1994">
        <v>28</v>
      </c>
      <c r="Q1994">
        <f t="shared" si="60"/>
        <v>6065436</v>
      </c>
      <c r="R1994">
        <f t="shared" si="61"/>
        <v>31.836128515740665</v>
      </c>
      <c r="U1994">
        <v>1160</v>
      </c>
      <c r="V1994">
        <v>629</v>
      </c>
      <c r="W1994">
        <v>1690</v>
      </c>
      <c r="X1994">
        <v>360</v>
      </c>
      <c r="Y1994">
        <v>76.3</v>
      </c>
      <c r="Z1994">
        <v>70.400000000000006</v>
      </c>
      <c r="AA1994">
        <v>82.2</v>
      </c>
    </row>
    <row r="1995" spans="1:27" x14ac:dyDescent="0.25">
      <c r="A1995" t="s">
        <v>244</v>
      </c>
      <c r="B1995" t="s">
        <v>190</v>
      </c>
      <c r="C1995" s="76">
        <v>43947</v>
      </c>
      <c r="D1995">
        <v>6289</v>
      </c>
      <c r="E1995">
        <v>4110</v>
      </c>
      <c r="F1995">
        <v>8467</v>
      </c>
      <c r="G1995">
        <v>1908</v>
      </c>
      <c r="H1995">
        <v>76.7</v>
      </c>
      <c r="I1995">
        <v>72.5</v>
      </c>
      <c r="J1995">
        <v>81</v>
      </c>
      <c r="K1995">
        <v>1957</v>
      </c>
      <c r="L1995">
        <v>1208</v>
      </c>
      <c r="M1995">
        <v>2705</v>
      </c>
      <c r="N1995">
        <v>23.9</v>
      </c>
      <c r="O1995">
        <v>19.600000000000001</v>
      </c>
      <c r="P1995">
        <v>28.1</v>
      </c>
      <c r="Q1995">
        <f t="shared" si="60"/>
        <v>6065436</v>
      </c>
      <c r="R1995">
        <f t="shared" si="61"/>
        <v>32.26478690072733</v>
      </c>
      <c r="U1995">
        <v>1184</v>
      </c>
      <c r="V1995">
        <v>643</v>
      </c>
      <c r="W1995">
        <v>1726</v>
      </c>
      <c r="X1995">
        <v>323</v>
      </c>
      <c r="Y1995">
        <v>78.5</v>
      </c>
      <c r="Z1995">
        <v>72.5</v>
      </c>
      <c r="AA1995">
        <v>84.6</v>
      </c>
    </row>
    <row r="1996" spans="1:27" x14ac:dyDescent="0.25">
      <c r="A1996" t="s">
        <v>244</v>
      </c>
      <c r="B1996" t="s">
        <v>190</v>
      </c>
      <c r="C1996" s="76">
        <v>43948</v>
      </c>
      <c r="D1996">
        <v>6316</v>
      </c>
      <c r="E1996">
        <v>4113</v>
      </c>
      <c r="F1996">
        <v>8520</v>
      </c>
      <c r="G1996">
        <v>2123</v>
      </c>
      <c r="H1996">
        <v>74.8</v>
      </c>
      <c r="I1996">
        <v>69.5</v>
      </c>
      <c r="J1996">
        <v>80.2</v>
      </c>
      <c r="K1996">
        <v>1982</v>
      </c>
      <c r="L1996">
        <v>1235</v>
      </c>
      <c r="M1996">
        <v>2729</v>
      </c>
      <c r="N1996">
        <v>23.5</v>
      </c>
      <c r="O1996">
        <v>19.399999999999999</v>
      </c>
      <c r="P1996">
        <v>27.5</v>
      </c>
      <c r="Q1996">
        <f t="shared" si="60"/>
        <v>6065436</v>
      </c>
      <c r="R1996">
        <f t="shared" si="61"/>
        <v>32.676958424752975</v>
      </c>
      <c r="U1996">
        <v>1169</v>
      </c>
      <c r="V1996">
        <v>659</v>
      </c>
      <c r="W1996">
        <v>1679</v>
      </c>
      <c r="X1996">
        <v>354</v>
      </c>
      <c r="Y1996">
        <v>76.8</v>
      </c>
      <c r="Z1996">
        <v>71.900000000000006</v>
      </c>
      <c r="AA1996">
        <v>81.599999999999994</v>
      </c>
    </row>
    <row r="1997" spans="1:27" x14ac:dyDescent="0.25">
      <c r="A1997" t="s">
        <v>244</v>
      </c>
      <c r="B1997" t="s">
        <v>190</v>
      </c>
      <c r="C1997" s="76">
        <v>43949</v>
      </c>
      <c r="D1997">
        <v>6553</v>
      </c>
      <c r="E1997">
        <v>4315</v>
      </c>
      <c r="F1997">
        <v>8792</v>
      </c>
      <c r="G1997">
        <v>2078</v>
      </c>
      <c r="H1997">
        <v>75.900000000000006</v>
      </c>
      <c r="I1997">
        <v>71.900000000000006</v>
      </c>
      <c r="J1997">
        <v>80</v>
      </c>
      <c r="K1997">
        <v>2155</v>
      </c>
      <c r="L1997">
        <v>1350</v>
      </c>
      <c r="M1997">
        <v>2960</v>
      </c>
      <c r="N1997">
        <v>25</v>
      </c>
      <c r="O1997">
        <v>20.6</v>
      </c>
      <c r="P1997">
        <v>29.3</v>
      </c>
      <c r="Q1997">
        <f t="shared" si="60"/>
        <v>6065436</v>
      </c>
      <c r="R1997">
        <f t="shared" si="61"/>
        <v>35.529185371010428</v>
      </c>
      <c r="U1997">
        <v>1262</v>
      </c>
      <c r="V1997">
        <v>719</v>
      </c>
      <c r="W1997">
        <v>1804</v>
      </c>
      <c r="X1997">
        <v>389</v>
      </c>
      <c r="Y1997">
        <v>76.400000000000006</v>
      </c>
      <c r="Z1997">
        <v>71.3</v>
      </c>
      <c r="AA1997">
        <v>81.599999999999994</v>
      </c>
    </row>
    <row r="1998" spans="1:27" x14ac:dyDescent="0.25">
      <c r="A1998" t="s">
        <v>244</v>
      </c>
      <c r="B1998" t="s">
        <v>190</v>
      </c>
      <c r="C1998" s="76">
        <v>43950</v>
      </c>
      <c r="D1998">
        <v>6451</v>
      </c>
      <c r="E1998">
        <v>4240</v>
      </c>
      <c r="F1998">
        <v>8662</v>
      </c>
      <c r="G1998">
        <v>2121</v>
      </c>
      <c r="H1998">
        <v>75.3</v>
      </c>
      <c r="I1998">
        <v>70.900000000000006</v>
      </c>
      <c r="J1998">
        <v>79.599999999999994</v>
      </c>
      <c r="K1998">
        <v>2173</v>
      </c>
      <c r="L1998">
        <v>1390</v>
      </c>
      <c r="M1998">
        <v>2957</v>
      </c>
      <c r="N1998">
        <v>25.4</v>
      </c>
      <c r="O1998">
        <v>21.5</v>
      </c>
      <c r="P1998">
        <v>29.2</v>
      </c>
      <c r="Q1998">
        <f t="shared" si="60"/>
        <v>6065436</v>
      </c>
      <c r="R1998">
        <f t="shared" si="61"/>
        <v>35.825948868308885</v>
      </c>
      <c r="U1998">
        <v>1268</v>
      </c>
      <c r="V1998">
        <v>707</v>
      </c>
      <c r="W1998">
        <v>1829</v>
      </c>
      <c r="X1998">
        <v>379</v>
      </c>
      <c r="Y1998">
        <v>77</v>
      </c>
      <c r="Z1998">
        <v>71.8</v>
      </c>
      <c r="AA1998">
        <v>82.2</v>
      </c>
    </row>
    <row r="1999" spans="1:27" x14ac:dyDescent="0.25">
      <c r="A1999" t="s">
        <v>244</v>
      </c>
      <c r="B1999" t="s">
        <v>190</v>
      </c>
      <c r="C1999" s="76">
        <v>43951</v>
      </c>
      <c r="D1999">
        <v>6487</v>
      </c>
      <c r="E1999">
        <v>4263</v>
      </c>
      <c r="F1999">
        <v>8711</v>
      </c>
      <c r="G1999">
        <v>2059</v>
      </c>
      <c r="H1999">
        <v>75.900000000000006</v>
      </c>
      <c r="I1999">
        <v>71.8</v>
      </c>
      <c r="J1999">
        <v>80</v>
      </c>
      <c r="K1999">
        <v>2116</v>
      </c>
      <c r="L1999">
        <v>1332</v>
      </c>
      <c r="M1999">
        <v>2901</v>
      </c>
      <c r="N1999">
        <v>24.8</v>
      </c>
      <c r="O1999">
        <v>20.399999999999999</v>
      </c>
      <c r="P1999">
        <v>29.1</v>
      </c>
      <c r="Q1999">
        <f t="shared" si="60"/>
        <v>6065436</v>
      </c>
      <c r="R1999">
        <f t="shared" si="61"/>
        <v>34.886197793530428</v>
      </c>
      <c r="U1999">
        <v>1240</v>
      </c>
      <c r="V1999">
        <v>687</v>
      </c>
      <c r="W1999">
        <v>1792</v>
      </c>
      <c r="X1999">
        <v>399</v>
      </c>
      <c r="Y1999">
        <v>75.7</v>
      </c>
      <c r="Z1999">
        <v>70</v>
      </c>
      <c r="AA1999">
        <v>81.400000000000006</v>
      </c>
    </row>
    <row r="2000" spans="1:27" x14ac:dyDescent="0.25">
      <c r="A2000" t="s">
        <v>244</v>
      </c>
      <c r="B2000" t="s">
        <v>190</v>
      </c>
      <c r="C2000" s="76">
        <v>43952</v>
      </c>
      <c r="D2000">
        <v>6386</v>
      </c>
      <c r="E2000">
        <v>4185</v>
      </c>
      <c r="F2000">
        <v>8587</v>
      </c>
      <c r="G2000">
        <v>2227</v>
      </c>
      <c r="H2000">
        <v>74.099999999999994</v>
      </c>
      <c r="I2000">
        <v>69.599999999999994</v>
      </c>
      <c r="J2000">
        <v>78.599999999999994</v>
      </c>
      <c r="K2000">
        <v>2126</v>
      </c>
      <c r="L2000">
        <v>1347</v>
      </c>
      <c r="M2000">
        <v>2904</v>
      </c>
      <c r="N2000">
        <v>24.7</v>
      </c>
      <c r="O2000">
        <v>20.399999999999999</v>
      </c>
      <c r="P2000">
        <v>29</v>
      </c>
      <c r="Q2000">
        <f t="shared" si="60"/>
        <v>6065436</v>
      </c>
      <c r="R2000">
        <f t="shared" si="61"/>
        <v>35.05106640314068</v>
      </c>
      <c r="U2000">
        <v>1247</v>
      </c>
      <c r="V2000">
        <v>702</v>
      </c>
      <c r="W2000">
        <v>1791</v>
      </c>
      <c r="X2000">
        <v>382</v>
      </c>
      <c r="Y2000">
        <v>76.5</v>
      </c>
      <c r="Z2000">
        <v>71.599999999999994</v>
      </c>
      <c r="AA2000">
        <v>81.5</v>
      </c>
    </row>
    <row r="2001" spans="1:27" x14ac:dyDescent="0.25">
      <c r="A2001" t="s">
        <v>244</v>
      </c>
      <c r="B2001" t="s">
        <v>190</v>
      </c>
      <c r="C2001" s="76">
        <v>43953</v>
      </c>
      <c r="D2001">
        <v>6220</v>
      </c>
      <c r="E2001">
        <v>4065</v>
      </c>
      <c r="F2001">
        <v>8375</v>
      </c>
      <c r="G2001">
        <v>2169</v>
      </c>
      <c r="H2001">
        <v>74.099999999999994</v>
      </c>
      <c r="I2001">
        <v>69.5</v>
      </c>
      <c r="J2001">
        <v>78.7</v>
      </c>
      <c r="K2001">
        <v>2109</v>
      </c>
      <c r="L2001">
        <v>1337</v>
      </c>
      <c r="M2001">
        <v>2882</v>
      </c>
      <c r="N2001">
        <v>25.1</v>
      </c>
      <c r="O2001">
        <v>20.6</v>
      </c>
      <c r="P2001">
        <v>29.6</v>
      </c>
      <c r="Q2001">
        <f t="shared" si="60"/>
        <v>6065436</v>
      </c>
      <c r="R2001">
        <f t="shared" si="61"/>
        <v>34.770789766803247</v>
      </c>
      <c r="U2001">
        <v>1233</v>
      </c>
      <c r="V2001">
        <v>698</v>
      </c>
      <c r="W2001">
        <v>1767</v>
      </c>
      <c r="X2001">
        <v>348</v>
      </c>
      <c r="Y2001">
        <v>78</v>
      </c>
      <c r="Z2001">
        <v>72.8</v>
      </c>
      <c r="AA2001">
        <v>83.1</v>
      </c>
    </row>
    <row r="2002" spans="1:27" x14ac:dyDescent="0.25">
      <c r="A2002" t="s">
        <v>244</v>
      </c>
      <c r="B2002" t="s">
        <v>190</v>
      </c>
      <c r="C2002" s="76">
        <v>43954</v>
      </c>
      <c r="D2002">
        <v>6246</v>
      </c>
      <c r="E2002">
        <v>4068</v>
      </c>
      <c r="F2002">
        <v>8425</v>
      </c>
      <c r="G2002">
        <v>2179</v>
      </c>
      <c r="H2002">
        <v>74.099999999999994</v>
      </c>
      <c r="I2002">
        <v>69.5</v>
      </c>
      <c r="J2002">
        <v>78.7</v>
      </c>
      <c r="K2002">
        <v>2101</v>
      </c>
      <c r="L2002">
        <v>1319</v>
      </c>
      <c r="M2002">
        <v>2882</v>
      </c>
      <c r="N2002">
        <v>24.9</v>
      </c>
      <c r="O2002">
        <v>20.6</v>
      </c>
      <c r="P2002">
        <v>29.2</v>
      </c>
      <c r="Q2002">
        <f t="shared" si="60"/>
        <v>6065436</v>
      </c>
      <c r="R2002">
        <f t="shared" si="61"/>
        <v>34.638894879115043</v>
      </c>
      <c r="U2002">
        <v>1201</v>
      </c>
      <c r="V2002">
        <v>668</v>
      </c>
      <c r="W2002">
        <v>1733</v>
      </c>
      <c r="X2002">
        <v>371</v>
      </c>
      <c r="Y2002">
        <v>76.400000000000006</v>
      </c>
      <c r="Z2002">
        <v>72.2</v>
      </c>
      <c r="AA2002">
        <v>80.599999999999994</v>
      </c>
    </row>
    <row r="2003" spans="1:27" x14ac:dyDescent="0.25">
      <c r="A2003" t="s">
        <v>244</v>
      </c>
      <c r="B2003" t="s">
        <v>190</v>
      </c>
      <c r="C2003" s="76">
        <v>43955</v>
      </c>
      <c r="D2003">
        <v>6489</v>
      </c>
      <c r="E2003">
        <v>4241</v>
      </c>
      <c r="F2003">
        <v>8738</v>
      </c>
      <c r="G2003">
        <v>2050</v>
      </c>
      <c r="H2003">
        <v>76</v>
      </c>
      <c r="I2003">
        <v>71.599999999999994</v>
      </c>
      <c r="J2003">
        <v>80.400000000000006</v>
      </c>
      <c r="K2003">
        <v>2173</v>
      </c>
      <c r="L2003">
        <v>1366</v>
      </c>
      <c r="M2003">
        <v>2980</v>
      </c>
      <c r="N2003">
        <v>25.5</v>
      </c>
      <c r="O2003">
        <v>20.8</v>
      </c>
      <c r="P2003">
        <v>30.1</v>
      </c>
      <c r="Q2003">
        <f t="shared" si="60"/>
        <v>6065436</v>
      </c>
      <c r="R2003">
        <f t="shared" si="61"/>
        <v>35.825948868308885</v>
      </c>
      <c r="U2003">
        <v>1230</v>
      </c>
      <c r="V2003">
        <v>668</v>
      </c>
      <c r="W2003">
        <v>1791</v>
      </c>
      <c r="X2003">
        <v>415</v>
      </c>
      <c r="Y2003">
        <v>74.8</v>
      </c>
      <c r="Z2003">
        <v>70</v>
      </c>
      <c r="AA2003">
        <v>79.599999999999994</v>
      </c>
    </row>
    <row r="2004" spans="1:27" x14ac:dyDescent="0.25">
      <c r="A2004" t="s">
        <v>244</v>
      </c>
      <c r="B2004" t="s">
        <v>190</v>
      </c>
      <c r="C2004" s="76">
        <v>43956</v>
      </c>
      <c r="D2004">
        <v>6553</v>
      </c>
      <c r="E2004">
        <v>4287</v>
      </c>
      <c r="F2004">
        <v>8820</v>
      </c>
      <c r="G2004">
        <v>2110</v>
      </c>
      <c r="H2004">
        <v>75.599999999999994</v>
      </c>
      <c r="I2004">
        <v>71.099999999999994</v>
      </c>
      <c r="J2004">
        <v>80.2</v>
      </c>
      <c r="K2004">
        <v>2207</v>
      </c>
      <c r="L2004">
        <v>1389</v>
      </c>
      <c r="M2004">
        <v>3026</v>
      </c>
      <c r="N2004">
        <v>25.5</v>
      </c>
      <c r="O2004">
        <v>21</v>
      </c>
      <c r="P2004">
        <v>30</v>
      </c>
      <c r="Q2004">
        <f t="shared" si="60"/>
        <v>6065436</v>
      </c>
      <c r="R2004">
        <f t="shared" si="61"/>
        <v>36.386502140983765</v>
      </c>
      <c r="U2004">
        <v>1272</v>
      </c>
      <c r="V2004">
        <v>710</v>
      </c>
      <c r="W2004">
        <v>1834</v>
      </c>
      <c r="X2004">
        <v>367</v>
      </c>
      <c r="Y2004">
        <v>77.599999999999994</v>
      </c>
      <c r="Z2004">
        <v>72.8</v>
      </c>
      <c r="AA2004">
        <v>82.5</v>
      </c>
    </row>
    <row r="2005" spans="1:27" x14ac:dyDescent="0.25">
      <c r="A2005" t="s">
        <v>244</v>
      </c>
      <c r="B2005" t="s">
        <v>190</v>
      </c>
      <c r="C2005" s="76">
        <v>43957</v>
      </c>
      <c r="D2005">
        <v>6706</v>
      </c>
      <c r="E2005">
        <v>4395</v>
      </c>
      <c r="F2005">
        <v>9017</v>
      </c>
      <c r="G2005">
        <v>1899</v>
      </c>
      <c r="H2005">
        <v>77.900000000000006</v>
      </c>
      <c r="I2005">
        <v>73.3</v>
      </c>
      <c r="J2005">
        <v>82.6</v>
      </c>
      <c r="K2005">
        <v>2221</v>
      </c>
      <c r="L2005">
        <v>1404</v>
      </c>
      <c r="M2005">
        <v>3039</v>
      </c>
      <c r="N2005">
        <v>25.8</v>
      </c>
      <c r="O2005">
        <v>21.4</v>
      </c>
      <c r="P2005">
        <v>30.2</v>
      </c>
      <c r="Q2005">
        <f t="shared" si="60"/>
        <v>6065436</v>
      </c>
      <c r="R2005">
        <f t="shared" si="61"/>
        <v>36.617318194438127</v>
      </c>
      <c r="U2005">
        <v>1287</v>
      </c>
      <c r="V2005">
        <v>719</v>
      </c>
      <c r="W2005">
        <v>1856</v>
      </c>
      <c r="X2005">
        <v>327</v>
      </c>
      <c r="Y2005">
        <v>79.8</v>
      </c>
      <c r="Z2005">
        <v>74.3</v>
      </c>
      <c r="AA2005">
        <v>85.2</v>
      </c>
    </row>
    <row r="2006" spans="1:27" x14ac:dyDescent="0.25">
      <c r="A2006" t="s">
        <v>244</v>
      </c>
      <c r="B2006" t="s">
        <v>190</v>
      </c>
      <c r="C2006" s="76">
        <v>43958</v>
      </c>
      <c r="D2006">
        <v>6662</v>
      </c>
      <c r="E2006">
        <v>4343</v>
      </c>
      <c r="F2006">
        <v>8980</v>
      </c>
      <c r="G2006">
        <v>1909</v>
      </c>
      <c r="H2006">
        <v>77.7</v>
      </c>
      <c r="I2006">
        <v>72.5</v>
      </c>
      <c r="J2006">
        <v>82.9</v>
      </c>
      <c r="K2006">
        <v>2192</v>
      </c>
      <c r="L2006">
        <v>1388</v>
      </c>
      <c r="M2006">
        <v>2997</v>
      </c>
      <c r="N2006">
        <v>25.6</v>
      </c>
      <c r="O2006">
        <v>21.2</v>
      </c>
      <c r="P2006">
        <v>30</v>
      </c>
      <c r="Q2006">
        <f t="shared" si="60"/>
        <v>6065436</v>
      </c>
      <c r="R2006">
        <f t="shared" si="61"/>
        <v>36.139199226568373</v>
      </c>
      <c r="U2006">
        <v>1276</v>
      </c>
      <c r="V2006">
        <v>738</v>
      </c>
      <c r="W2006">
        <v>1815</v>
      </c>
      <c r="X2006">
        <v>357</v>
      </c>
      <c r="Y2006">
        <v>78.2</v>
      </c>
      <c r="Z2006">
        <v>73.099999999999994</v>
      </c>
      <c r="AA2006">
        <v>83.2</v>
      </c>
    </row>
    <row r="2007" spans="1:27" x14ac:dyDescent="0.25">
      <c r="A2007" t="s">
        <v>244</v>
      </c>
      <c r="B2007" t="s">
        <v>190</v>
      </c>
      <c r="C2007" s="76">
        <v>43959</v>
      </c>
      <c r="D2007">
        <v>6584</v>
      </c>
      <c r="E2007">
        <v>4287</v>
      </c>
      <c r="F2007">
        <v>8881</v>
      </c>
      <c r="G2007">
        <v>1833</v>
      </c>
      <c r="H2007">
        <v>78.2</v>
      </c>
      <c r="I2007">
        <v>73.8</v>
      </c>
      <c r="J2007">
        <v>82.7</v>
      </c>
      <c r="K2007">
        <v>2165</v>
      </c>
      <c r="L2007">
        <v>1367</v>
      </c>
      <c r="M2007">
        <v>2963</v>
      </c>
      <c r="N2007">
        <v>25.7</v>
      </c>
      <c r="O2007">
        <v>21.3</v>
      </c>
      <c r="P2007">
        <v>30.2</v>
      </c>
      <c r="Q2007">
        <f t="shared" si="60"/>
        <v>6065436</v>
      </c>
      <c r="R2007">
        <f t="shared" si="61"/>
        <v>35.69405398062068</v>
      </c>
      <c r="U2007">
        <v>1248</v>
      </c>
      <c r="V2007">
        <v>694</v>
      </c>
      <c r="W2007">
        <v>1802</v>
      </c>
      <c r="X2007">
        <v>347</v>
      </c>
      <c r="Y2007">
        <v>78.2</v>
      </c>
      <c r="Z2007">
        <v>73.2</v>
      </c>
      <c r="AA2007">
        <v>83.2</v>
      </c>
    </row>
    <row r="2008" spans="1:27" x14ac:dyDescent="0.25">
      <c r="A2008" t="s">
        <v>244</v>
      </c>
      <c r="B2008" t="s">
        <v>190</v>
      </c>
      <c r="C2008" s="76">
        <v>43960</v>
      </c>
      <c r="D2008">
        <v>6385</v>
      </c>
      <c r="E2008">
        <v>4136</v>
      </c>
      <c r="F2008">
        <v>8633</v>
      </c>
      <c r="G2008">
        <v>1997</v>
      </c>
      <c r="H2008">
        <v>76.2</v>
      </c>
      <c r="I2008">
        <v>71.400000000000006</v>
      </c>
      <c r="J2008">
        <v>81</v>
      </c>
      <c r="K2008">
        <v>2151</v>
      </c>
      <c r="L2008">
        <v>1353</v>
      </c>
      <c r="M2008">
        <v>2950</v>
      </c>
      <c r="N2008">
        <v>25.7</v>
      </c>
      <c r="O2008">
        <v>21.1</v>
      </c>
      <c r="P2008">
        <v>30.2</v>
      </c>
      <c r="Q2008">
        <f t="shared" si="60"/>
        <v>6065436</v>
      </c>
      <c r="R2008">
        <f t="shared" si="61"/>
        <v>35.463237927166325</v>
      </c>
      <c r="U2008">
        <v>1225</v>
      </c>
      <c r="V2008">
        <v>693</v>
      </c>
      <c r="W2008">
        <v>1756</v>
      </c>
      <c r="X2008">
        <v>360</v>
      </c>
      <c r="Y2008">
        <v>77.3</v>
      </c>
      <c r="Z2008">
        <v>71.900000000000006</v>
      </c>
      <c r="AA2008">
        <v>82.6</v>
      </c>
    </row>
    <row r="2009" spans="1:27" x14ac:dyDescent="0.25">
      <c r="A2009" t="s">
        <v>244</v>
      </c>
      <c r="B2009" t="s">
        <v>190</v>
      </c>
      <c r="C2009" s="76">
        <v>43961</v>
      </c>
      <c r="D2009">
        <v>6327</v>
      </c>
      <c r="E2009">
        <v>4089</v>
      </c>
      <c r="F2009">
        <v>8565</v>
      </c>
      <c r="G2009">
        <v>1863</v>
      </c>
      <c r="H2009">
        <v>77.2</v>
      </c>
      <c r="I2009">
        <v>72.599999999999994</v>
      </c>
      <c r="J2009">
        <v>81.900000000000006</v>
      </c>
      <c r="K2009">
        <v>2075</v>
      </c>
      <c r="L2009">
        <v>1309</v>
      </c>
      <c r="M2009">
        <v>2841</v>
      </c>
      <c r="N2009">
        <v>25.3</v>
      </c>
      <c r="O2009">
        <v>21</v>
      </c>
      <c r="P2009">
        <v>29.7</v>
      </c>
      <c r="Q2009">
        <f t="shared" si="60"/>
        <v>6065436</v>
      </c>
      <c r="R2009">
        <f t="shared" si="61"/>
        <v>34.210236494128367</v>
      </c>
      <c r="U2009">
        <v>1195</v>
      </c>
      <c r="V2009">
        <v>673</v>
      </c>
      <c r="W2009">
        <v>1717</v>
      </c>
      <c r="X2009">
        <v>313</v>
      </c>
      <c r="Y2009">
        <v>79.2</v>
      </c>
      <c r="Z2009">
        <v>73.599999999999994</v>
      </c>
      <c r="AA2009">
        <v>84.9</v>
      </c>
    </row>
    <row r="2010" spans="1:27" x14ac:dyDescent="0.25">
      <c r="A2010" t="s">
        <v>244</v>
      </c>
      <c r="B2010" t="s">
        <v>190</v>
      </c>
      <c r="C2010" s="76">
        <v>43962</v>
      </c>
      <c r="D2010">
        <v>6487</v>
      </c>
      <c r="E2010">
        <v>4210</v>
      </c>
      <c r="F2010">
        <v>8764</v>
      </c>
      <c r="G2010">
        <v>1926</v>
      </c>
      <c r="H2010">
        <v>77.099999999999994</v>
      </c>
      <c r="I2010">
        <v>72.900000000000006</v>
      </c>
      <c r="J2010">
        <v>81.400000000000006</v>
      </c>
      <c r="K2010">
        <v>2098</v>
      </c>
      <c r="L2010">
        <v>1319</v>
      </c>
      <c r="M2010">
        <v>2877</v>
      </c>
      <c r="N2010">
        <v>24.9</v>
      </c>
      <c r="O2010">
        <v>20.7</v>
      </c>
      <c r="P2010">
        <v>29.2</v>
      </c>
      <c r="Q2010">
        <f t="shared" si="60"/>
        <v>6065436</v>
      </c>
      <c r="R2010">
        <f t="shared" si="61"/>
        <v>34.589434296231957</v>
      </c>
      <c r="U2010">
        <v>1239</v>
      </c>
      <c r="V2010">
        <v>681</v>
      </c>
      <c r="W2010">
        <v>1797</v>
      </c>
      <c r="X2010">
        <v>317</v>
      </c>
      <c r="Y2010">
        <v>79.599999999999994</v>
      </c>
      <c r="Z2010">
        <v>74</v>
      </c>
      <c r="AA2010">
        <v>85.3</v>
      </c>
    </row>
    <row r="2011" spans="1:27" x14ac:dyDescent="0.25">
      <c r="A2011" t="s">
        <v>244</v>
      </c>
      <c r="B2011" t="s">
        <v>190</v>
      </c>
      <c r="C2011" s="76">
        <v>43963</v>
      </c>
      <c r="D2011">
        <v>6764</v>
      </c>
      <c r="E2011">
        <v>4331</v>
      </c>
      <c r="F2011">
        <v>9196</v>
      </c>
      <c r="G2011">
        <v>1858</v>
      </c>
      <c r="H2011">
        <v>78.5</v>
      </c>
      <c r="I2011">
        <v>73.900000000000006</v>
      </c>
      <c r="J2011">
        <v>83</v>
      </c>
      <c r="K2011">
        <v>2131</v>
      </c>
      <c r="L2011">
        <v>1340</v>
      </c>
      <c r="M2011">
        <v>2922</v>
      </c>
      <c r="N2011">
        <v>24.7</v>
      </c>
      <c r="O2011">
        <v>20.3</v>
      </c>
      <c r="P2011">
        <v>29.1</v>
      </c>
      <c r="Q2011">
        <f t="shared" si="60"/>
        <v>6065436</v>
      </c>
      <c r="R2011">
        <f t="shared" si="61"/>
        <v>35.133500707945807</v>
      </c>
      <c r="U2011">
        <v>1259</v>
      </c>
      <c r="V2011">
        <v>704</v>
      </c>
      <c r="W2011">
        <v>1815</v>
      </c>
      <c r="X2011">
        <v>362</v>
      </c>
      <c r="Y2011">
        <v>77.7</v>
      </c>
      <c r="Z2011">
        <v>70.099999999999994</v>
      </c>
      <c r="AA2011">
        <v>85.2</v>
      </c>
    </row>
    <row r="2012" spans="1:27" x14ac:dyDescent="0.25">
      <c r="A2012" t="s">
        <v>244</v>
      </c>
      <c r="B2012" t="s">
        <v>190</v>
      </c>
      <c r="C2012" s="76">
        <v>43964</v>
      </c>
      <c r="D2012">
        <v>6801</v>
      </c>
      <c r="E2012">
        <v>4341</v>
      </c>
      <c r="F2012">
        <v>9261</v>
      </c>
      <c r="G2012">
        <v>1852</v>
      </c>
      <c r="H2012">
        <v>78.599999999999994</v>
      </c>
      <c r="I2012">
        <v>73.900000000000006</v>
      </c>
      <c r="J2012">
        <v>83.3</v>
      </c>
      <c r="K2012">
        <v>2083</v>
      </c>
      <c r="L2012">
        <v>1258</v>
      </c>
      <c r="M2012">
        <v>2908</v>
      </c>
      <c r="N2012">
        <v>24.1</v>
      </c>
      <c r="O2012">
        <v>18.899999999999999</v>
      </c>
      <c r="P2012">
        <v>29.2</v>
      </c>
      <c r="Q2012">
        <f t="shared" si="60"/>
        <v>6065436</v>
      </c>
      <c r="R2012">
        <f t="shared" si="61"/>
        <v>34.342131381816571</v>
      </c>
      <c r="U2012">
        <v>1289</v>
      </c>
      <c r="V2012">
        <v>708</v>
      </c>
      <c r="W2012">
        <v>1870</v>
      </c>
      <c r="X2012">
        <v>292</v>
      </c>
      <c r="Y2012">
        <v>81.5</v>
      </c>
      <c r="Z2012">
        <v>77.400000000000006</v>
      </c>
      <c r="AA2012">
        <v>85.7</v>
      </c>
    </row>
    <row r="2013" spans="1:27" x14ac:dyDescent="0.25">
      <c r="A2013" t="s">
        <v>244</v>
      </c>
      <c r="B2013" t="s">
        <v>190</v>
      </c>
      <c r="C2013" s="76">
        <v>43965</v>
      </c>
      <c r="D2013">
        <v>6746</v>
      </c>
      <c r="E2013">
        <v>4292</v>
      </c>
      <c r="F2013">
        <v>9200</v>
      </c>
      <c r="G2013">
        <v>1979</v>
      </c>
      <c r="H2013">
        <v>77.3</v>
      </c>
      <c r="I2013">
        <v>72.8</v>
      </c>
      <c r="J2013">
        <v>81.8</v>
      </c>
      <c r="K2013">
        <v>2058</v>
      </c>
      <c r="L2013">
        <v>1286</v>
      </c>
      <c r="M2013">
        <v>2829</v>
      </c>
      <c r="N2013">
        <v>23.6</v>
      </c>
      <c r="O2013">
        <v>19.3</v>
      </c>
      <c r="P2013">
        <v>27.9</v>
      </c>
      <c r="Q2013">
        <f t="shared" si="60"/>
        <v>6065436</v>
      </c>
      <c r="R2013">
        <f t="shared" si="61"/>
        <v>33.929959857790934</v>
      </c>
      <c r="U2013">
        <v>1327</v>
      </c>
      <c r="V2013">
        <v>703</v>
      </c>
      <c r="W2013">
        <v>1952</v>
      </c>
      <c r="X2013">
        <v>323</v>
      </c>
      <c r="Y2013">
        <v>80.400000000000006</v>
      </c>
      <c r="Z2013">
        <v>75.7</v>
      </c>
      <c r="AA2013">
        <v>85.1</v>
      </c>
    </row>
    <row r="2014" spans="1:27" x14ac:dyDescent="0.25">
      <c r="A2014" t="s">
        <v>244</v>
      </c>
      <c r="B2014" t="s">
        <v>190</v>
      </c>
      <c r="C2014" s="76">
        <v>43966</v>
      </c>
      <c r="D2014">
        <v>6741</v>
      </c>
      <c r="E2014">
        <v>4325</v>
      </c>
      <c r="F2014">
        <v>9156</v>
      </c>
      <c r="G2014">
        <v>1909</v>
      </c>
      <c r="H2014">
        <v>77.900000000000006</v>
      </c>
      <c r="I2014">
        <v>73.099999999999994</v>
      </c>
      <c r="J2014">
        <v>82.7</v>
      </c>
      <c r="K2014">
        <v>1968</v>
      </c>
      <c r="L2014">
        <v>1238</v>
      </c>
      <c r="M2014">
        <v>2698</v>
      </c>
      <c r="N2014">
        <v>22.8</v>
      </c>
      <c r="O2014">
        <v>18.7</v>
      </c>
      <c r="P2014">
        <v>26.8</v>
      </c>
      <c r="Q2014">
        <f t="shared" si="60"/>
        <v>6065436</v>
      </c>
      <c r="R2014">
        <f t="shared" si="61"/>
        <v>32.446142371298613</v>
      </c>
      <c r="U2014">
        <v>1340</v>
      </c>
      <c r="V2014">
        <v>694</v>
      </c>
      <c r="W2014">
        <v>1985</v>
      </c>
      <c r="X2014">
        <v>336</v>
      </c>
      <c r="Y2014">
        <v>79.900000000000006</v>
      </c>
      <c r="Z2014">
        <v>75.3</v>
      </c>
      <c r="AA2014">
        <v>84.6</v>
      </c>
    </row>
    <row r="2015" spans="1:27" x14ac:dyDescent="0.25">
      <c r="A2015" t="s">
        <v>244</v>
      </c>
      <c r="B2015" t="s">
        <v>190</v>
      </c>
      <c r="C2015" s="76">
        <v>43967</v>
      </c>
      <c r="D2015">
        <v>6527</v>
      </c>
      <c r="E2015">
        <v>4230</v>
      </c>
      <c r="F2015">
        <v>8824</v>
      </c>
      <c r="G2015">
        <v>1988</v>
      </c>
      <c r="H2015">
        <v>76.7</v>
      </c>
      <c r="I2015">
        <v>72.400000000000006</v>
      </c>
      <c r="J2015">
        <v>80.900000000000006</v>
      </c>
      <c r="K2015">
        <v>2047</v>
      </c>
      <c r="L2015">
        <v>1291</v>
      </c>
      <c r="M2015">
        <v>2803</v>
      </c>
      <c r="N2015">
        <v>24</v>
      </c>
      <c r="O2015">
        <v>19.899999999999999</v>
      </c>
      <c r="P2015">
        <v>28.2</v>
      </c>
      <c r="Q2015">
        <f t="shared" si="60"/>
        <v>6065436</v>
      </c>
      <c r="R2015">
        <f t="shared" si="61"/>
        <v>33.74860438721965</v>
      </c>
      <c r="U2015">
        <v>1155</v>
      </c>
      <c r="V2015">
        <v>641</v>
      </c>
      <c r="W2015">
        <v>1669</v>
      </c>
      <c r="X2015">
        <v>382</v>
      </c>
      <c r="Y2015">
        <v>75.2</v>
      </c>
      <c r="Z2015">
        <v>69.599999999999994</v>
      </c>
      <c r="AA2015">
        <v>80.8</v>
      </c>
    </row>
    <row r="2016" spans="1:27" x14ac:dyDescent="0.25">
      <c r="A2016" t="s">
        <v>244</v>
      </c>
      <c r="B2016" t="s">
        <v>190</v>
      </c>
      <c r="C2016" s="76">
        <v>43968</v>
      </c>
      <c r="D2016">
        <v>6539</v>
      </c>
      <c r="E2016">
        <v>4239</v>
      </c>
      <c r="F2016">
        <v>8839</v>
      </c>
      <c r="G2016">
        <v>1979</v>
      </c>
      <c r="H2016">
        <v>76.8</v>
      </c>
      <c r="I2016">
        <v>72.3</v>
      </c>
      <c r="J2016">
        <v>81.3</v>
      </c>
      <c r="K2016">
        <v>2061</v>
      </c>
      <c r="L2016">
        <v>1302</v>
      </c>
      <c r="M2016">
        <v>2821</v>
      </c>
      <c r="N2016">
        <v>24.2</v>
      </c>
      <c r="O2016">
        <v>20.100000000000001</v>
      </c>
      <c r="P2016">
        <v>28.3</v>
      </c>
      <c r="Q2016">
        <f t="shared" si="60"/>
        <v>6065436</v>
      </c>
      <c r="R2016">
        <f t="shared" si="61"/>
        <v>33.979420440674012</v>
      </c>
      <c r="U2016">
        <v>1162</v>
      </c>
      <c r="V2016">
        <v>646</v>
      </c>
      <c r="W2016">
        <v>1678</v>
      </c>
      <c r="X2016">
        <v>377</v>
      </c>
      <c r="Y2016">
        <v>75.5</v>
      </c>
      <c r="Z2016">
        <v>69.7</v>
      </c>
      <c r="AA2016">
        <v>81.3</v>
      </c>
    </row>
    <row r="2017" spans="1:27" x14ac:dyDescent="0.25">
      <c r="A2017" t="s">
        <v>244</v>
      </c>
      <c r="B2017" t="s">
        <v>190</v>
      </c>
      <c r="C2017" s="76">
        <v>43969</v>
      </c>
      <c r="D2017">
        <v>6510</v>
      </c>
      <c r="E2017">
        <v>4230</v>
      </c>
      <c r="F2017">
        <v>8789</v>
      </c>
      <c r="G2017">
        <v>1978</v>
      </c>
      <c r="H2017">
        <v>76.7</v>
      </c>
      <c r="I2017">
        <v>72.3</v>
      </c>
      <c r="J2017">
        <v>81.099999999999994</v>
      </c>
      <c r="K2017">
        <v>2074</v>
      </c>
      <c r="L2017">
        <v>1313</v>
      </c>
      <c r="M2017">
        <v>2836</v>
      </c>
      <c r="N2017">
        <v>24.4</v>
      </c>
      <c r="O2017">
        <v>20.2</v>
      </c>
      <c r="P2017">
        <v>28.7</v>
      </c>
      <c r="Q2017">
        <f t="shared" si="60"/>
        <v>6065436</v>
      </c>
      <c r="R2017">
        <f t="shared" si="61"/>
        <v>34.193749633167343</v>
      </c>
      <c r="U2017">
        <v>1167</v>
      </c>
      <c r="V2017">
        <v>649</v>
      </c>
      <c r="W2017">
        <v>1684</v>
      </c>
      <c r="X2017">
        <v>392</v>
      </c>
      <c r="Y2017">
        <v>74.900000000000006</v>
      </c>
      <c r="Z2017">
        <v>69.7</v>
      </c>
      <c r="AA2017">
        <v>80</v>
      </c>
    </row>
    <row r="2018" spans="1:27" x14ac:dyDescent="0.25">
      <c r="A2018" t="s">
        <v>244</v>
      </c>
      <c r="B2018" t="s">
        <v>190</v>
      </c>
      <c r="C2018" s="76">
        <v>43970</v>
      </c>
      <c r="D2018">
        <v>6759</v>
      </c>
      <c r="E2018">
        <v>4381</v>
      </c>
      <c r="F2018">
        <v>9138</v>
      </c>
      <c r="G2018">
        <v>1867</v>
      </c>
      <c r="H2018">
        <v>78.400000000000006</v>
      </c>
      <c r="I2018">
        <v>72.900000000000006</v>
      </c>
      <c r="J2018">
        <v>83.8</v>
      </c>
      <c r="K2018">
        <v>1996</v>
      </c>
      <c r="L2018">
        <v>1247</v>
      </c>
      <c r="M2018">
        <v>2744</v>
      </c>
      <c r="N2018">
        <v>23.1</v>
      </c>
      <c r="O2018">
        <v>18.5</v>
      </c>
      <c r="P2018">
        <v>27.7</v>
      </c>
      <c r="Q2018">
        <f t="shared" si="60"/>
        <v>6065436</v>
      </c>
      <c r="R2018">
        <f t="shared" si="61"/>
        <v>32.907774478207337</v>
      </c>
      <c r="U2018">
        <v>1180</v>
      </c>
      <c r="V2018">
        <v>653</v>
      </c>
      <c r="W2018">
        <v>1708</v>
      </c>
      <c r="X2018">
        <v>424</v>
      </c>
      <c r="Y2018">
        <v>73.599999999999994</v>
      </c>
      <c r="Z2018">
        <v>66.7</v>
      </c>
      <c r="AA2018">
        <v>80.400000000000006</v>
      </c>
    </row>
    <row r="2019" spans="1:27" x14ac:dyDescent="0.25">
      <c r="A2019" t="s">
        <v>244</v>
      </c>
      <c r="B2019" t="s">
        <v>190</v>
      </c>
      <c r="C2019" s="76">
        <v>43971</v>
      </c>
      <c r="D2019">
        <v>6819</v>
      </c>
      <c r="E2019">
        <v>4385</v>
      </c>
      <c r="F2019">
        <v>9253</v>
      </c>
      <c r="G2019">
        <v>1836</v>
      </c>
      <c r="H2019">
        <v>78.8</v>
      </c>
      <c r="I2019">
        <v>74.7</v>
      </c>
      <c r="J2019">
        <v>82.9</v>
      </c>
      <c r="K2019">
        <v>1941</v>
      </c>
      <c r="L2019">
        <v>1219</v>
      </c>
      <c r="M2019">
        <v>2664</v>
      </c>
      <c r="N2019">
        <v>22.4</v>
      </c>
      <c r="O2019">
        <v>18.600000000000001</v>
      </c>
      <c r="P2019">
        <v>26.3</v>
      </c>
      <c r="Q2019">
        <f t="shared" si="60"/>
        <v>6065436</v>
      </c>
      <c r="R2019">
        <f t="shared" si="61"/>
        <v>32.000997125350921</v>
      </c>
      <c r="U2019">
        <v>1244</v>
      </c>
      <c r="V2019">
        <v>674</v>
      </c>
      <c r="W2019">
        <v>1815</v>
      </c>
      <c r="X2019">
        <v>335</v>
      </c>
      <c r="Y2019">
        <v>78.8</v>
      </c>
      <c r="Z2019">
        <v>73.900000000000006</v>
      </c>
      <c r="AA2019">
        <v>83.6</v>
      </c>
    </row>
    <row r="2020" spans="1:27" x14ac:dyDescent="0.25">
      <c r="A2020" t="s">
        <v>244</v>
      </c>
      <c r="B2020" t="s">
        <v>190</v>
      </c>
      <c r="C2020" s="76">
        <v>43972</v>
      </c>
      <c r="D2020">
        <v>6754</v>
      </c>
      <c r="E2020">
        <v>4351</v>
      </c>
      <c r="F2020">
        <v>9157</v>
      </c>
      <c r="G2020">
        <v>1888</v>
      </c>
      <c r="H2020">
        <v>78.2</v>
      </c>
      <c r="I2020">
        <v>74.3</v>
      </c>
      <c r="J2020">
        <v>82</v>
      </c>
      <c r="K2020">
        <v>1829</v>
      </c>
      <c r="L2020">
        <v>1142</v>
      </c>
      <c r="M2020">
        <v>2517</v>
      </c>
      <c r="N2020">
        <v>21.2</v>
      </c>
      <c r="O2020">
        <v>17.399999999999999</v>
      </c>
      <c r="P2020">
        <v>24.9</v>
      </c>
      <c r="Q2020">
        <f t="shared" si="60"/>
        <v>6065436</v>
      </c>
      <c r="R2020">
        <f t="shared" si="61"/>
        <v>30.154468697716045</v>
      </c>
      <c r="U2020">
        <v>1207</v>
      </c>
      <c r="V2020">
        <v>653</v>
      </c>
      <c r="W2020">
        <v>1762</v>
      </c>
      <c r="X2020">
        <v>339</v>
      </c>
      <c r="Y2020">
        <v>78.099999999999994</v>
      </c>
      <c r="Z2020">
        <v>72.599999999999994</v>
      </c>
      <c r="AA2020">
        <v>83.6</v>
      </c>
    </row>
    <row r="2021" spans="1:27" x14ac:dyDescent="0.25">
      <c r="A2021" t="s">
        <v>244</v>
      </c>
      <c r="B2021" t="s">
        <v>190</v>
      </c>
      <c r="C2021" s="76">
        <v>43973</v>
      </c>
      <c r="D2021">
        <v>6554</v>
      </c>
      <c r="E2021">
        <v>4245</v>
      </c>
      <c r="F2021">
        <v>8864</v>
      </c>
      <c r="G2021">
        <v>1956</v>
      </c>
      <c r="H2021">
        <v>77</v>
      </c>
      <c r="I2021">
        <v>73.7</v>
      </c>
      <c r="J2021">
        <v>80.3</v>
      </c>
      <c r="K2021">
        <v>1844</v>
      </c>
      <c r="L2021">
        <v>1171</v>
      </c>
      <c r="M2021">
        <v>2516</v>
      </c>
      <c r="N2021">
        <v>21.7</v>
      </c>
      <c r="O2021">
        <v>17.899999999999999</v>
      </c>
      <c r="P2021">
        <v>25.5</v>
      </c>
      <c r="Q2021">
        <f t="shared" si="60"/>
        <v>6065436</v>
      </c>
      <c r="R2021">
        <f t="shared" si="61"/>
        <v>30.401771612131427</v>
      </c>
      <c r="U2021">
        <v>1188</v>
      </c>
      <c r="V2021">
        <v>666</v>
      </c>
      <c r="W2021">
        <v>1710</v>
      </c>
      <c r="X2021">
        <v>363</v>
      </c>
      <c r="Y2021">
        <v>76.599999999999994</v>
      </c>
      <c r="Z2021">
        <v>71.900000000000006</v>
      </c>
      <c r="AA2021">
        <v>81.3</v>
      </c>
    </row>
    <row r="2022" spans="1:27" x14ac:dyDescent="0.25">
      <c r="A2022" t="s">
        <v>244</v>
      </c>
      <c r="B2022" t="s">
        <v>190</v>
      </c>
      <c r="C2022" s="76">
        <v>43974</v>
      </c>
      <c r="D2022">
        <v>6592</v>
      </c>
      <c r="E2022">
        <v>4244</v>
      </c>
      <c r="F2022">
        <v>8941</v>
      </c>
      <c r="G2022">
        <v>2052</v>
      </c>
      <c r="H2022">
        <v>76.3</v>
      </c>
      <c r="I2022">
        <v>72.8</v>
      </c>
      <c r="J2022">
        <v>79.7</v>
      </c>
      <c r="K2022">
        <v>1820</v>
      </c>
      <c r="L2022">
        <v>1156</v>
      </c>
      <c r="M2022">
        <v>2485</v>
      </c>
      <c r="N2022">
        <v>21.1</v>
      </c>
      <c r="O2022">
        <v>17.3</v>
      </c>
      <c r="P2022">
        <v>24.8</v>
      </c>
      <c r="Q2022">
        <f t="shared" si="60"/>
        <v>6065436</v>
      </c>
      <c r="R2022">
        <f t="shared" si="61"/>
        <v>30.006086949066809</v>
      </c>
      <c r="U2022">
        <v>1203</v>
      </c>
      <c r="V2022">
        <v>638</v>
      </c>
      <c r="W2022">
        <v>1768</v>
      </c>
      <c r="X2022">
        <v>401</v>
      </c>
      <c r="Y2022">
        <v>75</v>
      </c>
      <c r="Z2022">
        <v>69.8</v>
      </c>
      <c r="AA2022">
        <v>80.2</v>
      </c>
    </row>
    <row r="2023" spans="1:27" x14ac:dyDescent="0.25">
      <c r="A2023" t="s">
        <v>244</v>
      </c>
      <c r="B2023" t="s">
        <v>190</v>
      </c>
      <c r="C2023" s="76">
        <v>43975</v>
      </c>
      <c r="D2023">
        <v>6382</v>
      </c>
      <c r="E2023">
        <v>4097</v>
      </c>
      <c r="F2023">
        <v>8666</v>
      </c>
      <c r="G2023">
        <v>2424</v>
      </c>
      <c r="H2023">
        <v>72.5</v>
      </c>
      <c r="I2023">
        <v>68.8</v>
      </c>
      <c r="J2023">
        <v>76.2</v>
      </c>
      <c r="K2023">
        <v>1791</v>
      </c>
      <c r="L2023">
        <v>1119</v>
      </c>
      <c r="M2023">
        <v>2463</v>
      </c>
      <c r="N2023">
        <v>20.3</v>
      </c>
      <c r="O2023">
        <v>16.3</v>
      </c>
      <c r="P2023">
        <v>24.3</v>
      </c>
      <c r="Q2023">
        <f t="shared" ref="Q2023:Q2086" si="62">VLOOKUP(B2023,$AE$4:$AF$55,2,FALSE)</f>
        <v>6065436</v>
      </c>
      <c r="R2023">
        <f t="shared" si="61"/>
        <v>29.527967981197062</v>
      </c>
      <c r="U2023">
        <v>1175</v>
      </c>
      <c r="V2023">
        <v>624</v>
      </c>
      <c r="W2023">
        <v>1726</v>
      </c>
      <c r="X2023">
        <v>404</v>
      </c>
      <c r="Y2023">
        <v>74.400000000000006</v>
      </c>
      <c r="Z2023">
        <v>67.900000000000006</v>
      </c>
      <c r="AA2023">
        <v>80.900000000000006</v>
      </c>
    </row>
    <row r="2024" spans="1:27" x14ac:dyDescent="0.25">
      <c r="A2024" t="s">
        <v>244</v>
      </c>
      <c r="B2024" t="s">
        <v>190</v>
      </c>
      <c r="C2024" s="76">
        <v>43976</v>
      </c>
      <c r="D2024">
        <v>6658</v>
      </c>
      <c r="E2024">
        <v>4297</v>
      </c>
      <c r="F2024">
        <v>9019</v>
      </c>
      <c r="G2024">
        <v>1775</v>
      </c>
      <c r="H2024">
        <v>79</v>
      </c>
      <c r="I2024">
        <v>75</v>
      </c>
      <c r="J2024">
        <v>82.9</v>
      </c>
      <c r="K2024">
        <v>1804</v>
      </c>
      <c r="L2024">
        <v>1141</v>
      </c>
      <c r="M2024">
        <v>2466</v>
      </c>
      <c r="N2024">
        <v>21.4</v>
      </c>
      <c r="O2024">
        <v>17.600000000000001</v>
      </c>
      <c r="P2024">
        <v>25.2</v>
      </c>
      <c r="Q2024">
        <f t="shared" si="62"/>
        <v>6065436</v>
      </c>
      <c r="R2024">
        <f t="shared" si="61"/>
        <v>29.7422971736904</v>
      </c>
      <c r="U2024">
        <v>1177</v>
      </c>
      <c r="V2024">
        <v>642</v>
      </c>
      <c r="W2024">
        <v>1712</v>
      </c>
      <c r="X2024">
        <v>296</v>
      </c>
      <c r="Y2024">
        <v>79.900000000000006</v>
      </c>
      <c r="Z2024">
        <v>76.2</v>
      </c>
      <c r="AA2024">
        <v>83.6</v>
      </c>
    </row>
    <row r="2025" spans="1:27" x14ac:dyDescent="0.25">
      <c r="A2025" t="s">
        <v>244</v>
      </c>
      <c r="B2025" t="s">
        <v>190</v>
      </c>
      <c r="C2025" s="76">
        <v>43977</v>
      </c>
      <c r="D2025">
        <v>3402</v>
      </c>
      <c r="E2025">
        <v>0</v>
      </c>
      <c r="F2025">
        <v>7089</v>
      </c>
      <c r="G2025">
        <v>1222</v>
      </c>
      <c r="H2025">
        <v>73.599999999999994</v>
      </c>
      <c r="I2025">
        <v>57.3</v>
      </c>
      <c r="J2025">
        <v>89.8</v>
      </c>
      <c r="K2025">
        <v>1053</v>
      </c>
      <c r="L2025">
        <v>0</v>
      </c>
      <c r="M2025">
        <v>2478</v>
      </c>
      <c r="N2025">
        <v>22.8</v>
      </c>
      <c r="O2025">
        <v>4.4000000000000004</v>
      </c>
      <c r="P2025">
        <v>41.1</v>
      </c>
      <c r="Q2025">
        <f t="shared" si="62"/>
        <v>6065436</v>
      </c>
      <c r="R2025">
        <f t="shared" si="61"/>
        <v>17.360664591960081</v>
      </c>
      <c r="U2025">
        <v>624</v>
      </c>
      <c r="V2025">
        <v>0</v>
      </c>
      <c r="W2025">
        <v>1391</v>
      </c>
      <c r="X2025">
        <v>192</v>
      </c>
      <c r="Y2025">
        <v>76.5</v>
      </c>
      <c r="Z2025">
        <v>64.7</v>
      </c>
      <c r="AA2025">
        <v>88.2</v>
      </c>
    </row>
    <row r="2026" spans="1:27" x14ac:dyDescent="0.25">
      <c r="A2026" t="s">
        <v>244</v>
      </c>
      <c r="B2026" t="s">
        <v>190</v>
      </c>
      <c r="C2026" s="76">
        <v>43978</v>
      </c>
      <c r="D2026">
        <v>3686</v>
      </c>
      <c r="E2026">
        <v>0</v>
      </c>
      <c r="F2026">
        <v>9236</v>
      </c>
      <c r="G2026">
        <v>761</v>
      </c>
      <c r="H2026">
        <v>82.9</v>
      </c>
      <c r="I2026">
        <v>79.099999999999994</v>
      </c>
      <c r="J2026">
        <v>86.7</v>
      </c>
      <c r="K2026">
        <v>1560</v>
      </c>
      <c r="L2026">
        <v>0</v>
      </c>
      <c r="M2026">
        <v>4173</v>
      </c>
      <c r="N2026">
        <v>35.1</v>
      </c>
      <c r="O2026">
        <v>27.1</v>
      </c>
      <c r="P2026">
        <v>43</v>
      </c>
      <c r="Q2026">
        <f t="shared" si="62"/>
        <v>6065436</v>
      </c>
      <c r="R2026">
        <f t="shared" si="61"/>
        <v>25.719503099200121</v>
      </c>
      <c r="U2026">
        <v>817</v>
      </c>
      <c r="V2026">
        <v>0</v>
      </c>
      <c r="W2026">
        <v>2258</v>
      </c>
      <c r="X2026">
        <v>303</v>
      </c>
      <c r="Y2026">
        <v>72.900000000000006</v>
      </c>
      <c r="Z2026">
        <v>70.400000000000006</v>
      </c>
      <c r="AA2026">
        <v>75.5</v>
      </c>
    </row>
    <row r="2027" spans="1:27" x14ac:dyDescent="0.25">
      <c r="A2027" t="s">
        <v>244</v>
      </c>
      <c r="B2027" t="s">
        <v>190</v>
      </c>
      <c r="C2027" s="76">
        <v>43979</v>
      </c>
      <c r="D2027">
        <v>3368</v>
      </c>
      <c r="E2027">
        <v>0</v>
      </c>
      <c r="F2027">
        <v>8818</v>
      </c>
      <c r="G2027">
        <v>776</v>
      </c>
      <c r="H2027">
        <v>81.3</v>
      </c>
      <c r="I2027">
        <v>77.599999999999994</v>
      </c>
      <c r="J2027">
        <v>85</v>
      </c>
      <c r="K2027">
        <v>1539</v>
      </c>
      <c r="L2027">
        <v>0</v>
      </c>
      <c r="M2027">
        <v>4193</v>
      </c>
      <c r="N2027">
        <v>37.1</v>
      </c>
      <c r="O2027">
        <v>30.6</v>
      </c>
      <c r="P2027">
        <v>43.7</v>
      </c>
      <c r="Q2027">
        <f t="shared" si="62"/>
        <v>6065436</v>
      </c>
      <c r="R2027">
        <f t="shared" si="61"/>
        <v>25.373279019018586</v>
      </c>
      <c r="U2027">
        <v>791</v>
      </c>
      <c r="V2027">
        <v>0</v>
      </c>
      <c r="W2027">
        <v>2164</v>
      </c>
      <c r="X2027">
        <v>329</v>
      </c>
      <c r="Y2027">
        <v>70.599999999999994</v>
      </c>
      <c r="Z2027">
        <v>65.2</v>
      </c>
      <c r="AA2027">
        <v>76.099999999999994</v>
      </c>
    </row>
    <row r="2028" spans="1:27" x14ac:dyDescent="0.25">
      <c r="A2028" t="s">
        <v>244</v>
      </c>
      <c r="B2028" t="s">
        <v>190</v>
      </c>
      <c r="C2028" s="76">
        <v>43980</v>
      </c>
      <c r="D2028">
        <v>2298</v>
      </c>
      <c r="E2028">
        <v>0</v>
      </c>
      <c r="F2028">
        <v>5236</v>
      </c>
      <c r="G2028">
        <v>555</v>
      </c>
      <c r="H2028">
        <v>80.5</v>
      </c>
      <c r="I2028">
        <v>67.7</v>
      </c>
      <c r="J2028">
        <v>93.4</v>
      </c>
      <c r="K2028">
        <v>862</v>
      </c>
      <c r="L2028">
        <v>0</v>
      </c>
      <c r="M2028">
        <v>2156</v>
      </c>
      <c r="N2028">
        <v>30.2</v>
      </c>
      <c r="O2028">
        <v>18.5</v>
      </c>
      <c r="P2028">
        <v>41.9</v>
      </c>
      <c r="Q2028">
        <f t="shared" si="62"/>
        <v>6065436</v>
      </c>
      <c r="R2028">
        <f t="shared" si="61"/>
        <v>14.211674148404173</v>
      </c>
      <c r="U2028">
        <v>495</v>
      </c>
      <c r="V2028">
        <v>0</v>
      </c>
      <c r="W2028">
        <v>1201</v>
      </c>
      <c r="X2028">
        <v>205</v>
      </c>
      <c r="Y2028">
        <v>70.7</v>
      </c>
      <c r="Z2028">
        <v>58.9</v>
      </c>
      <c r="AA2028">
        <v>82.5</v>
      </c>
    </row>
    <row r="2029" spans="1:27" x14ac:dyDescent="0.25">
      <c r="A2029" t="s">
        <v>244</v>
      </c>
      <c r="B2029" t="s">
        <v>190</v>
      </c>
      <c r="C2029" s="76">
        <v>43981</v>
      </c>
      <c r="D2029">
        <v>6720</v>
      </c>
      <c r="E2029">
        <v>4293</v>
      </c>
      <c r="F2029">
        <v>9148</v>
      </c>
      <c r="G2029">
        <v>1935</v>
      </c>
      <c r="H2029">
        <v>77.599999999999994</v>
      </c>
      <c r="I2029">
        <v>73.5</v>
      </c>
      <c r="J2029">
        <v>81.8</v>
      </c>
      <c r="K2029">
        <v>1684</v>
      </c>
      <c r="L2029">
        <v>1059</v>
      </c>
      <c r="M2029">
        <v>2308</v>
      </c>
      <c r="N2029">
        <v>19.5</v>
      </c>
      <c r="O2029">
        <v>16.100000000000001</v>
      </c>
      <c r="P2029">
        <v>22.8</v>
      </c>
      <c r="Q2029">
        <f t="shared" si="62"/>
        <v>6065436</v>
      </c>
      <c r="R2029">
        <f t="shared" si="61"/>
        <v>27.763873858367315</v>
      </c>
      <c r="U2029">
        <v>1206</v>
      </c>
      <c r="V2029">
        <v>637</v>
      </c>
      <c r="W2029">
        <v>1776</v>
      </c>
      <c r="X2029">
        <v>378</v>
      </c>
      <c r="Y2029">
        <v>76.2</v>
      </c>
      <c r="Z2029">
        <v>68.8</v>
      </c>
      <c r="AA2029">
        <v>83.5</v>
      </c>
    </row>
    <row r="2030" spans="1:27" x14ac:dyDescent="0.25">
      <c r="A2030" t="s">
        <v>244</v>
      </c>
      <c r="B2030" t="s">
        <v>190</v>
      </c>
      <c r="C2030" s="76">
        <v>43982</v>
      </c>
      <c r="D2030">
        <v>6617</v>
      </c>
      <c r="E2030">
        <v>4166</v>
      </c>
      <c r="F2030">
        <v>9069</v>
      </c>
      <c r="G2030">
        <v>1821</v>
      </c>
      <c r="H2030">
        <v>78.400000000000006</v>
      </c>
      <c r="I2030">
        <v>75.099999999999994</v>
      </c>
      <c r="J2030">
        <v>81.7</v>
      </c>
      <c r="K2030">
        <v>1505</v>
      </c>
      <c r="L2030">
        <v>933</v>
      </c>
      <c r="M2030">
        <v>2076</v>
      </c>
      <c r="N2030">
        <v>17.8</v>
      </c>
      <c r="O2030">
        <v>14.6</v>
      </c>
      <c r="P2030">
        <v>21.1</v>
      </c>
      <c r="Q2030">
        <f t="shared" si="62"/>
        <v>6065436</v>
      </c>
      <c r="R2030">
        <f t="shared" si="61"/>
        <v>24.812725746343709</v>
      </c>
      <c r="U2030">
        <v>1136</v>
      </c>
      <c r="V2030">
        <v>587</v>
      </c>
      <c r="W2030">
        <v>1685</v>
      </c>
      <c r="X2030">
        <v>331</v>
      </c>
      <c r="Y2030">
        <v>77.400000000000006</v>
      </c>
      <c r="Z2030">
        <v>72.7</v>
      </c>
      <c r="AA2030">
        <v>82.1</v>
      </c>
    </row>
    <row r="2031" spans="1:27" x14ac:dyDescent="0.25">
      <c r="A2031" t="s">
        <v>244</v>
      </c>
      <c r="B2031" t="s">
        <v>190</v>
      </c>
      <c r="C2031" s="76">
        <v>43983</v>
      </c>
      <c r="D2031">
        <v>6585</v>
      </c>
      <c r="E2031">
        <v>4152</v>
      </c>
      <c r="F2031">
        <v>9019</v>
      </c>
      <c r="G2031">
        <v>1833</v>
      </c>
      <c r="H2031">
        <v>78.2</v>
      </c>
      <c r="I2031">
        <v>74.900000000000006</v>
      </c>
      <c r="J2031">
        <v>81.599999999999994</v>
      </c>
      <c r="K2031">
        <v>1506</v>
      </c>
      <c r="L2031">
        <v>934</v>
      </c>
      <c r="M2031">
        <v>2077</v>
      </c>
      <c r="N2031">
        <v>17.899999999999999</v>
      </c>
      <c r="O2031">
        <v>14.5</v>
      </c>
      <c r="P2031">
        <v>21.2</v>
      </c>
      <c r="Q2031">
        <f t="shared" si="62"/>
        <v>6065436</v>
      </c>
      <c r="R2031">
        <f t="shared" si="61"/>
        <v>24.829212607304736</v>
      </c>
      <c r="U2031">
        <v>1134</v>
      </c>
      <c r="V2031">
        <v>585</v>
      </c>
      <c r="W2031">
        <v>1683</v>
      </c>
      <c r="X2031">
        <v>366</v>
      </c>
      <c r="Y2031">
        <v>75.599999999999994</v>
      </c>
      <c r="Z2031">
        <v>70.900000000000006</v>
      </c>
      <c r="AA2031">
        <v>80.3</v>
      </c>
    </row>
    <row r="2032" spans="1:27" x14ac:dyDescent="0.25">
      <c r="A2032" t="s">
        <v>244</v>
      </c>
      <c r="B2032" t="s">
        <v>190</v>
      </c>
      <c r="C2032" s="76">
        <v>43984</v>
      </c>
      <c r="D2032">
        <v>6913</v>
      </c>
      <c r="E2032">
        <v>4363</v>
      </c>
      <c r="F2032">
        <v>9464</v>
      </c>
      <c r="G2032">
        <v>1654</v>
      </c>
      <c r="H2032">
        <v>80.7</v>
      </c>
      <c r="I2032">
        <v>77.8</v>
      </c>
      <c r="J2032">
        <v>83.5</v>
      </c>
      <c r="K2032">
        <v>1554</v>
      </c>
      <c r="L2032">
        <v>967</v>
      </c>
      <c r="M2032">
        <v>2140</v>
      </c>
      <c r="N2032">
        <v>18.100000000000001</v>
      </c>
      <c r="O2032">
        <v>14.8</v>
      </c>
      <c r="P2032">
        <v>21.5</v>
      </c>
      <c r="Q2032">
        <f t="shared" si="62"/>
        <v>6065436</v>
      </c>
      <c r="R2032">
        <f t="shared" si="61"/>
        <v>25.620581933433971</v>
      </c>
      <c r="U2032">
        <v>1166</v>
      </c>
      <c r="V2032">
        <v>596</v>
      </c>
      <c r="W2032">
        <v>1736</v>
      </c>
      <c r="X2032">
        <v>341</v>
      </c>
      <c r="Y2032">
        <v>77.400000000000006</v>
      </c>
      <c r="Z2032">
        <v>72.7</v>
      </c>
      <c r="AA2032">
        <v>82.1</v>
      </c>
    </row>
    <row r="2033" spans="1:27" x14ac:dyDescent="0.25">
      <c r="A2033" t="s">
        <v>244</v>
      </c>
      <c r="B2033" t="s">
        <v>190</v>
      </c>
      <c r="C2033" s="76">
        <v>43985</v>
      </c>
      <c r="D2033">
        <v>3468</v>
      </c>
      <c r="E2033">
        <v>0</v>
      </c>
      <c r="F2033">
        <v>8794</v>
      </c>
      <c r="G2033">
        <v>712</v>
      </c>
      <c r="H2033">
        <v>83</v>
      </c>
      <c r="I2033">
        <v>74.599999999999994</v>
      </c>
      <c r="J2033">
        <v>91.3</v>
      </c>
      <c r="K2033">
        <v>1471</v>
      </c>
      <c r="L2033">
        <v>0</v>
      </c>
      <c r="M2033">
        <v>3898</v>
      </c>
      <c r="N2033">
        <v>35.200000000000003</v>
      </c>
      <c r="O2033">
        <v>26.8</v>
      </c>
      <c r="P2033">
        <v>43.6</v>
      </c>
      <c r="Q2033">
        <f t="shared" si="62"/>
        <v>6065436</v>
      </c>
      <c r="R2033">
        <f t="shared" si="61"/>
        <v>24.252172473668836</v>
      </c>
      <c r="U2033">
        <v>748</v>
      </c>
      <c r="V2033">
        <v>0</v>
      </c>
      <c r="W2033">
        <v>2035</v>
      </c>
      <c r="X2033">
        <v>322</v>
      </c>
      <c r="Y2033">
        <v>69.900000000000006</v>
      </c>
      <c r="Z2033">
        <v>68.7</v>
      </c>
      <c r="AA2033">
        <v>71.099999999999994</v>
      </c>
    </row>
    <row r="2034" spans="1:27" x14ac:dyDescent="0.25">
      <c r="A2034" t="s">
        <v>244</v>
      </c>
      <c r="B2034" t="s">
        <v>190</v>
      </c>
      <c r="C2034" s="76">
        <v>43986</v>
      </c>
      <c r="D2034">
        <v>3458</v>
      </c>
      <c r="E2034">
        <v>0</v>
      </c>
      <c r="F2034">
        <v>8539</v>
      </c>
      <c r="G2034">
        <v>627</v>
      </c>
      <c r="H2034">
        <v>84.7</v>
      </c>
      <c r="I2034">
        <v>81.5</v>
      </c>
      <c r="J2034">
        <v>87.8</v>
      </c>
      <c r="K2034">
        <v>1415</v>
      </c>
      <c r="L2034">
        <v>0</v>
      </c>
      <c r="M2034">
        <v>3825</v>
      </c>
      <c r="N2034">
        <v>34.6</v>
      </c>
      <c r="O2034">
        <v>25.4</v>
      </c>
      <c r="P2034">
        <v>43.8</v>
      </c>
      <c r="Q2034">
        <f t="shared" si="62"/>
        <v>6065436</v>
      </c>
      <c r="R2034">
        <f t="shared" si="61"/>
        <v>23.328908259851392</v>
      </c>
      <c r="U2034">
        <v>790</v>
      </c>
      <c r="V2034">
        <v>0</v>
      </c>
      <c r="W2034">
        <v>2175</v>
      </c>
      <c r="X2034">
        <v>245</v>
      </c>
      <c r="Y2034">
        <v>76.400000000000006</v>
      </c>
      <c r="Z2034">
        <v>74</v>
      </c>
      <c r="AA2034">
        <v>78.7</v>
      </c>
    </row>
    <row r="2035" spans="1:27" x14ac:dyDescent="0.25">
      <c r="A2035" t="s">
        <v>244</v>
      </c>
      <c r="B2035" t="s">
        <v>190</v>
      </c>
      <c r="C2035" s="76">
        <v>43987</v>
      </c>
      <c r="D2035">
        <v>6869</v>
      </c>
      <c r="E2035">
        <v>4384</v>
      </c>
      <c r="F2035">
        <v>9354</v>
      </c>
      <c r="G2035">
        <v>1703</v>
      </c>
      <c r="H2035">
        <v>80.099999999999994</v>
      </c>
      <c r="I2035">
        <v>76.599999999999994</v>
      </c>
      <c r="J2035">
        <v>83.6</v>
      </c>
      <c r="K2035">
        <v>1538</v>
      </c>
      <c r="L2035">
        <v>970</v>
      </c>
      <c r="M2035">
        <v>2106</v>
      </c>
      <c r="N2035">
        <v>17.899999999999999</v>
      </c>
      <c r="O2035">
        <v>15</v>
      </c>
      <c r="P2035">
        <v>20.9</v>
      </c>
      <c r="Q2035">
        <f t="shared" si="62"/>
        <v>6065436</v>
      </c>
      <c r="R2035">
        <f t="shared" si="61"/>
        <v>25.356792158057559</v>
      </c>
      <c r="U2035">
        <v>1221</v>
      </c>
      <c r="V2035">
        <v>652</v>
      </c>
      <c r="W2035">
        <v>1790</v>
      </c>
      <c r="X2035">
        <v>295</v>
      </c>
      <c r="Y2035">
        <v>80.5</v>
      </c>
      <c r="Z2035">
        <v>76</v>
      </c>
      <c r="AA2035">
        <v>85</v>
      </c>
    </row>
    <row r="2036" spans="1:27" x14ac:dyDescent="0.25">
      <c r="A2036" t="s">
        <v>244</v>
      </c>
      <c r="B2036" t="s">
        <v>190</v>
      </c>
      <c r="C2036" s="76">
        <v>43988</v>
      </c>
      <c r="D2036">
        <v>7011</v>
      </c>
      <c r="E2036">
        <v>4503</v>
      </c>
      <c r="F2036">
        <v>9518</v>
      </c>
      <c r="G2036">
        <v>1578</v>
      </c>
      <c r="H2036">
        <v>81.599999999999994</v>
      </c>
      <c r="I2036">
        <v>78.2</v>
      </c>
      <c r="J2036">
        <v>85</v>
      </c>
      <c r="K2036">
        <v>1520</v>
      </c>
      <c r="L2036">
        <v>952</v>
      </c>
      <c r="M2036">
        <v>2088</v>
      </c>
      <c r="N2036">
        <v>17.7</v>
      </c>
      <c r="O2036">
        <v>14.6</v>
      </c>
      <c r="P2036">
        <v>20.8</v>
      </c>
      <c r="Q2036">
        <f t="shared" si="62"/>
        <v>6065436</v>
      </c>
      <c r="R2036">
        <f t="shared" si="61"/>
        <v>25.060028660759091</v>
      </c>
      <c r="U2036">
        <v>1214</v>
      </c>
      <c r="V2036">
        <v>646</v>
      </c>
      <c r="W2036">
        <v>1781</v>
      </c>
      <c r="X2036">
        <v>400</v>
      </c>
      <c r="Y2036">
        <v>75.2</v>
      </c>
      <c r="Z2036">
        <v>68.400000000000006</v>
      </c>
      <c r="AA2036">
        <v>82</v>
      </c>
    </row>
    <row r="2037" spans="1:27" x14ac:dyDescent="0.25">
      <c r="A2037" t="s">
        <v>244</v>
      </c>
      <c r="B2037" t="s">
        <v>190</v>
      </c>
      <c r="C2037" s="76">
        <v>43989</v>
      </c>
      <c r="D2037">
        <v>6736</v>
      </c>
      <c r="E2037">
        <v>4271</v>
      </c>
      <c r="F2037">
        <v>9200</v>
      </c>
      <c r="G2037">
        <v>1789</v>
      </c>
      <c r="H2037">
        <v>79</v>
      </c>
      <c r="I2037">
        <v>74.400000000000006</v>
      </c>
      <c r="J2037">
        <v>83.6</v>
      </c>
      <c r="K2037">
        <v>1490</v>
      </c>
      <c r="L2037">
        <v>936</v>
      </c>
      <c r="M2037">
        <v>2044</v>
      </c>
      <c r="N2037">
        <v>17.5</v>
      </c>
      <c r="O2037">
        <v>14.5</v>
      </c>
      <c r="P2037">
        <v>20.399999999999999</v>
      </c>
      <c r="Q2037">
        <f t="shared" si="62"/>
        <v>6065436</v>
      </c>
      <c r="R2037">
        <f t="shared" si="61"/>
        <v>24.565422831928323</v>
      </c>
      <c r="U2037">
        <v>1238</v>
      </c>
      <c r="V2037">
        <v>664</v>
      </c>
      <c r="W2037">
        <v>1812</v>
      </c>
      <c r="X2037">
        <v>370</v>
      </c>
      <c r="Y2037">
        <v>77</v>
      </c>
      <c r="Z2037">
        <v>70.599999999999994</v>
      </c>
      <c r="AA2037">
        <v>83.3</v>
      </c>
    </row>
    <row r="2038" spans="1:27" x14ac:dyDescent="0.25">
      <c r="A2038" t="s">
        <v>244</v>
      </c>
      <c r="B2038" t="s">
        <v>190</v>
      </c>
      <c r="C2038" s="76">
        <v>43990</v>
      </c>
      <c r="D2038">
        <v>6819</v>
      </c>
      <c r="E2038">
        <v>4356</v>
      </c>
      <c r="F2038">
        <v>9283</v>
      </c>
      <c r="G2038">
        <v>1732</v>
      </c>
      <c r="H2038">
        <v>79.7</v>
      </c>
      <c r="I2038">
        <v>75.099999999999994</v>
      </c>
      <c r="J2038">
        <v>84.4</v>
      </c>
      <c r="K2038">
        <v>1394</v>
      </c>
      <c r="L2038">
        <v>881</v>
      </c>
      <c r="M2038">
        <v>1907</v>
      </c>
      <c r="N2038">
        <v>16.3</v>
      </c>
      <c r="O2038">
        <v>13.7</v>
      </c>
      <c r="P2038">
        <v>18.899999999999999</v>
      </c>
      <c r="Q2038">
        <f t="shared" si="62"/>
        <v>6065436</v>
      </c>
      <c r="R2038">
        <f t="shared" si="61"/>
        <v>22.982684179669853</v>
      </c>
      <c r="U2038">
        <v>1219</v>
      </c>
      <c r="V2038">
        <v>658</v>
      </c>
      <c r="W2038">
        <v>1780</v>
      </c>
      <c r="X2038">
        <v>376</v>
      </c>
      <c r="Y2038">
        <v>76.400000000000006</v>
      </c>
      <c r="Z2038">
        <v>70.7</v>
      </c>
      <c r="AA2038">
        <v>82.1</v>
      </c>
    </row>
    <row r="2039" spans="1:27" x14ac:dyDescent="0.25">
      <c r="A2039" t="s">
        <v>244</v>
      </c>
      <c r="B2039" t="s">
        <v>190</v>
      </c>
      <c r="C2039" s="76">
        <v>43991</v>
      </c>
      <c r="D2039">
        <v>7119</v>
      </c>
      <c r="E2039">
        <v>4584</v>
      </c>
      <c r="F2039">
        <v>9654</v>
      </c>
      <c r="G2039">
        <v>1488</v>
      </c>
      <c r="H2039">
        <v>82.7</v>
      </c>
      <c r="I2039">
        <v>78.900000000000006</v>
      </c>
      <c r="J2039">
        <v>86.6</v>
      </c>
      <c r="K2039">
        <v>1396</v>
      </c>
      <c r="L2039">
        <v>888</v>
      </c>
      <c r="M2039">
        <v>1905</v>
      </c>
      <c r="N2039">
        <v>16.2</v>
      </c>
      <c r="O2039">
        <v>13.7</v>
      </c>
      <c r="P2039">
        <v>18.8</v>
      </c>
      <c r="Q2039">
        <f t="shared" si="62"/>
        <v>6065436</v>
      </c>
      <c r="R2039">
        <f t="shared" si="61"/>
        <v>23.015657901591904</v>
      </c>
      <c r="U2039">
        <v>1245</v>
      </c>
      <c r="V2039">
        <v>674</v>
      </c>
      <c r="W2039">
        <v>1816</v>
      </c>
      <c r="X2039">
        <v>336</v>
      </c>
      <c r="Y2039">
        <v>78.7</v>
      </c>
      <c r="Z2039">
        <v>72.900000000000006</v>
      </c>
      <c r="AA2039">
        <v>84.5</v>
      </c>
    </row>
    <row r="2040" spans="1:27" x14ac:dyDescent="0.25">
      <c r="A2040" t="s">
        <v>244</v>
      </c>
      <c r="B2040" t="s">
        <v>190</v>
      </c>
      <c r="C2040" s="76">
        <v>43992</v>
      </c>
      <c r="D2040">
        <v>7059</v>
      </c>
      <c r="E2040">
        <v>4511</v>
      </c>
      <c r="F2040">
        <v>9607</v>
      </c>
      <c r="G2040">
        <v>1386</v>
      </c>
      <c r="H2040">
        <v>83.6</v>
      </c>
      <c r="I2040">
        <v>80.7</v>
      </c>
      <c r="J2040">
        <v>86.5</v>
      </c>
      <c r="K2040">
        <v>1287</v>
      </c>
      <c r="L2040">
        <v>802</v>
      </c>
      <c r="M2040">
        <v>1772</v>
      </c>
      <c r="N2040">
        <v>15.2</v>
      </c>
      <c r="O2040">
        <v>12.4</v>
      </c>
      <c r="P2040">
        <v>18.100000000000001</v>
      </c>
      <c r="Q2040">
        <f t="shared" si="62"/>
        <v>6065436</v>
      </c>
      <c r="R2040">
        <f t="shared" si="61"/>
        <v>21.2185900568401</v>
      </c>
      <c r="U2040">
        <v>1153</v>
      </c>
      <c r="V2040">
        <v>627</v>
      </c>
      <c r="W2040">
        <v>1679</v>
      </c>
      <c r="X2040">
        <v>358</v>
      </c>
      <c r="Y2040">
        <v>76.3</v>
      </c>
      <c r="Z2040">
        <v>69.3</v>
      </c>
      <c r="AA2040">
        <v>83.3</v>
      </c>
    </row>
    <row r="2041" spans="1:27" x14ac:dyDescent="0.25">
      <c r="A2041" t="s">
        <v>244</v>
      </c>
      <c r="B2041" t="s">
        <v>190</v>
      </c>
      <c r="C2041" s="76">
        <v>43993</v>
      </c>
      <c r="D2041">
        <v>7084</v>
      </c>
      <c r="E2041">
        <v>4553</v>
      </c>
      <c r="F2041">
        <v>9614</v>
      </c>
      <c r="G2041">
        <v>1563</v>
      </c>
      <c r="H2041">
        <v>81.900000000000006</v>
      </c>
      <c r="I2041">
        <v>78.7</v>
      </c>
      <c r="J2041">
        <v>85.2</v>
      </c>
      <c r="K2041">
        <v>1268</v>
      </c>
      <c r="L2041">
        <v>803</v>
      </c>
      <c r="M2041">
        <v>1732</v>
      </c>
      <c r="N2041">
        <v>14.7</v>
      </c>
      <c r="O2041">
        <v>12.1</v>
      </c>
      <c r="P2041">
        <v>17.2</v>
      </c>
      <c r="Q2041">
        <f t="shared" si="62"/>
        <v>6065436</v>
      </c>
      <c r="R2041">
        <f t="shared" si="61"/>
        <v>20.905339698580612</v>
      </c>
      <c r="U2041">
        <v>1247</v>
      </c>
      <c r="V2041">
        <v>675</v>
      </c>
      <c r="W2041">
        <v>1819</v>
      </c>
      <c r="X2041">
        <v>367</v>
      </c>
      <c r="Y2041">
        <v>77.2</v>
      </c>
      <c r="Z2041">
        <v>73</v>
      </c>
      <c r="AA2041">
        <v>81.5</v>
      </c>
    </row>
    <row r="2042" spans="1:27" x14ac:dyDescent="0.25">
      <c r="A2042" t="s">
        <v>244</v>
      </c>
      <c r="B2042" t="s">
        <v>190</v>
      </c>
      <c r="C2042" s="76">
        <v>43994</v>
      </c>
      <c r="D2042">
        <v>7107</v>
      </c>
      <c r="E2042">
        <v>4572</v>
      </c>
      <c r="F2042">
        <v>9642</v>
      </c>
      <c r="G2042">
        <v>1509</v>
      </c>
      <c r="H2042">
        <v>82.5</v>
      </c>
      <c r="I2042">
        <v>79.400000000000006</v>
      </c>
      <c r="J2042">
        <v>85.6</v>
      </c>
      <c r="K2042">
        <v>1244</v>
      </c>
      <c r="L2042">
        <v>788</v>
      </c>
      <c r="M2042">
        <v>1699</v>
      </c>
      <c r="N2042">
        <v>14.4</v>
      </c>
      <c r="O2042">
        <v>11.9</v>
      </c>
      <c r="P2042">
        <v>16.899999999999999</v>
      </c>
      <c r="Q2042">
        <f t="shared" si="62"/>
        <v>6065436</v>
      </c>
      <c r="R2042">
        <f t="shared" si="61"/>
        <v>20.509655035515994</v>
      </c>
      <c r="U2042">
        <v>1195</v>
      </c>
      <c r="V2042">
        <v>639</v>
      </c>
      <c r="W2042">
        <v>1751</v>
      </c>
      <c r="X2042">
        <v>382</v>
      </c>
      <c r="Y2042">
        <v>75.8</v>
      </c>
      <c r="Z2042">
        <v>70.7</v>
      </c>
      <c r="AA2042">
        <v>80.8</v>
      </c>
    </row>
    <row r="2043" spans="1:27" x14ac:dyDescent="0.25">
      <c r="A2043" t="s">
        <v>244</v>
      </c>
      <c r="B2043" t="s">
        <v>190</v>
      </c>
      <c r="C2043" s="76">
        <v>43995</v>
      </c>
      <c r="D2043">
        <v>6698</v>
      </c>
      <c r="E2043">
        <v>4258</v>
      </c>
      <c r="F2043">
        <v>9138</v>
      </c>
      <c r="G2043">
        <v>1820</v>
      </c>
      <c r="H2043">
        <v>78.599999999999994</v>
      </c>
      <c r="I2043">
        <v>74.8</v>
      </c>
      <c r="J2043">
        <v>82.5</v>
      </c>
      <c r="K2043">
        <v>1151</v>
      </c>
      <c r="L2043">
        <v>735</v>
      </c>
      <c r="M2043">
        <v>1567</v>
      </c>
      <c r="N2043">
        <v>13.5</v>
      </c>
      <c r="O2043">
        <v>11.2</v>
      </c>
      <c r="P2043">
        <v>15.9</v>
      </c>
      <c r="Q2043">
        <f t="shared" si="62"/>
        <v>6065436</v>
      </c>
      <c r="R2043">
        <f t="shared" si="61"/>
        <v>18.976376966140606</v>
      </c>
      <c r="U2043">
        <v>1171</v>
      </c>
      <c r="V2043">
        <v>606</v>
      </c>
      <c r="W2043">
        <v>1736</v>
      </c>
      <c r="X2043">
        <v>389</v>
      </c>
      <c r="Y2043">
        <v>75.099999999999994</v>
      </c>
      <c r="Z2043">
        <v>69</v>
      </c>
      <c r="AA2043">
        <v>81.099999999999994</v>
      </c>
    </row>
    <row r="2044" spans="1:27" x14ac:dyDescent="0.25">
      <c r="A2044" t="s">
        <v>244</v>
      </c>
      <c r="B2044" t="s">
        <v>190</v>
      </c>
      <c r="C2044" s="76">
        <v>43996</v>
      </c>
      <c r="D2044">
        <v>6752</v>
      </c>
      <c r="E2044">
        <v>4258</v>
      </c>
      <c r="F2044">
        <v>9246</v>
      </c>
      <c r="G2044">
        <v>1830</v>
      </c>
      <c r="H2044">
        <v>78.7</v>
      </c>
      <c r="I2044">
        <v>74.3</v>
      </c>
      <c r="J2044">
        <v>83.1</v>
      </c>
      <c r="K2044">
        <v>1155</v>
      </c>
      <c r="L2044">
        <v>736</v>
      </c>
      <c r="M2044">
        <v>1573</v>
      </c>
      <c r="N2044">
        <v>13.5</v>
      </c>
      <c r="O2044">
        <v>11</v>
      </c>
      <c r="P2044">
        <v>15.9</v>
      </c>
      <c r="Q2044">
        <f t="shared" si="62"/>
        <v>6065436</v>
      </c>
      <c r="R2044">
        <f t="shared" si="61"/>
        <v>19.042324409984705</v>
      </c>
      <c r="U2044">
        <v>1194</v>
      </c>
      <c r="V2044">
        <v>619</v>
      </c>
      <c r="W2044">
        <v>1769</v>
      </c>
      <c r="X2044">
        <v>399</v>
      </c>
      <c r="Y2044">
        <v>74.900000000000006</v>
      </c>
      <c r="Z2044">
        <v>68</v>
      </c>
      <c r="AA2044">
        <v>81.900000000000006</v>
      </c>
    </row>
    <row r="2045" spans="1:27" x14ac:dyDescent="0.25">
      <c r="A2045" t="s">
        <v>244</v>
      </c>
      <c r="B2045" t="s">
        <v>190</v>
      </c>
      <c r="C2045" s="76">
        <v>43997</v>
      </c>
      <c r="D2045">
        <v>6645</v>
      </c>
      <c r="E2045">
        <v>4193</v>
      </c>
      <c r="F2045">
        <v>9097</v>
      </c>
      <c r="G2045">
        <v>2036</v>
      </c>
      <c r="H2045">
        <v>76.5</v>
      </c>
      <c r="I2045">
        <v>72.2</v>
      </c>
      <c r="J2045">
        <v>80.900000000000006</v>
      </c>
      <c r="K2045">
        <v>1173</v>
      </c>
      <c r="L2045">
        <v>725</v>
      </c>
      <c r="M2045">
        <v>1621</v>
      </c>
      <c r="N2045">
        <v>13.5</v>
      </c>
      <c r="O2045">
        <v>10.6</v>
      </c>
      <c r="P2045">
        <v>16.399999999999999</v>
      </c>
      <c r="Q2045">
        <f t="shared" si="62"/>
        <v>6065436</v>
      </c>
      <c r="R2045">
        <f t="shared" si="61"/>
        <v>19.339087907283169</v>
      </c>
      <c r="U2045">
        <v>1189</v>
      </c>
      <c r="V2045">
        <v>620</v>
      </c>
      <c r="W2045">
        <v>1757</v>
      </c>
      <c r="X2045">
        <v>436</v>
      </c>
      <c r="Y2045">
        <v>73.2</v>
      </c>
      <c r="Z2045">
        <v>66</v>
      </c>
      <c r="AA2045">
        <v>80.3</v>
      </c>
    </row>
    <row r="2046" spans="1:27" x14ac:dyDescent="0.25">
      <c r="A2046" t="s">
        <v>244</v>
      </c>
      <c r="B2046" t="s">
        <v>190</v>
      </c>
      <c r="C2046" s="76">
        <v>43998</v>
      </c>
      <c r="D2046">
        <v>6870</v>
      </c>
      <c r="E2046">
        <v>4328</v>
      </c>
      <c r="F2046">
        <v>9412</v>
      </c>
      <c r="G2046">
        <v>1737</v>
      </c>
      <c r="H2046">
        <v>79.8</v>
      </c>
      <c r="I2046">
        <v>76.599999999999994</v>
      </c>
      <c r="J2046">
        <v>83</v>
      </c>
      <c r="K2046">
        <v>1119</v>
      </c>
      <c r="L2046">
        <v>698</v>
      </c>
      <c r="M2046">
        <v>1539</v>
      </c>
      <c r="N2046">
        <v>13</v>
      </c>
      <c r="O2046">
        <v>10.3</v>
      </c>
      <c r="P2046">
        <v>15.7</v>
      </c>
      <c r="Q2046">
        <f t="shared" si="62"/>
        <v>6065436</v>
      </c>
      <c r="R2046">
        <f t="shared" si="61"/>
        <v>18.44879741538778</v>
      </c>
      <c r="U2046">
        <v>1158</v>
      </c>
      <c r="V2046">
        <v>595</v>
      </c>
      <c r="W2046">
        <v>1722</v>
      </c>
      <c r="X2046">
        <v>390</v>
      </c>
      <c r="Y2046">
        <v>74.8</v>
      </c>
      <c r="Z2046">
        <v>69.5</v>
      </c>
      <c r="AA2046">
        <v>80.099999999999994</v>
      </c>
    </row>
    <row r="2047" spans="1:27" x14ac:dyDescent="0.25">
      <c r="A2047" t="s">
        <v>244</v>
      </c>
      <c r="B2047" t="s">
        <v>190</v>
      </c>
      <c r="C2047" s="76">
        <v>43999</v>
      </c>
      <c r="D2047">
        <v>6672</v>
      </c>
      <c r="E2047">
        <v>4162</v>
      </c>
      <c r="F2047">
        <v>9181</v>
      </c>
      <c r="G2047">
        <v>1581</v>
      </c>
      <c r="H2047">
        <v>80.8</v>
      </c>
      <c r="I2047">
        <v>77.7</v>
      </c>
      <c r="J2047">
        <v>84</v>
      </c>
      <c r="K2047">
        <v>1023</v>
      </c>
      <c r="L2047">
        <v>651</v>
      </c>
      <c r="M2047">
        <v>1395</v>
      </c>
      <c r="N2047">
        <v>12.4</v>
      </c>
      <c r="O2047">
        <v>10.3</v>
      </c>
      <c r="P2047">
        <v>14.5</v>
      </c>
      <c r="Q2047">
        <f t="shared" si="62"/>
        <v>6065436</v>
      </c>
      <c r="R2047">
        <f t="shared" si="61"/>
        <v>16.866058763129313</v>
      </c>
      <c r="U2047">
        <v>1171</v>
      </c>
      <c r="V2047">
        <v>604</v>
      </c>
      <c r="W2047">
        <v>1738</v>
      </c>
      <c r="X2047">
        <v>335</v>
      </c>
      <c r="Y2047">
        <v>77.8</v>
      </c>
      <c r="Z2047">
        <v>73</v>
      </c>
      <c r="AA2047">
        <v>82.5</v>
      </c>
    </row>
    <row r="2048" spans="1:27" x14ac:dyDescent="0.25">
      <c r="A2048" t="s">
        <v>244</v>
      </c>
      <c r="B2048" t="s">
        <v>190</v>
      </c>
      <c r="C2048" s="76">
        <v>44000</v>
      </c>
      <c r="D2048">
        <v>7005</v>
      </c>
      <c r="E2048">
        <v>4432</v>
      </c>
      <c r="F2048">
        <v>9578</v>
      </c>
      <c r="G2048">
        <v>1672</v>
      </c>
      <c r="H2048">
        <v>80.7</v>
      </c>
      <c r="I2048">
        <v>76.099999999999994</v>
      </c>
      <c r="J2048">
        <v>85.4</v>
      </c>
      <c r="K2048">
        <v>1024</v>
      </c>
      <c r="L2048">
        <v>656</v>
      </c>
      <c r="M2048">
        <v>1392</v>
      </c>
      <c r="N2048">
        <v>11.8</v>
      </c>
      <c r="O2048">
        <v>9.6999999999999993</v>
      </c>
      <c r="P2048">
        <v>13.9</v>
      </c>
      <c r="Q2048">
        <f t="shared" si="62"/>
        <v>6065436</v>
      </c>
      <c r="R2048">
        <f t="shared" si="61"/>
        <v>16.882545624090337</v>
      </c>
      <c r="U2048">
        <v>1189</v>
      </c>
      <c r="V2048">
        <v>626</v>
      </c>
      <c r="W2048">
        <v>1751</v>
      </c>
      <c r="X2048">
        <v>392</v>
      </c>
      <c r="Y2048">
        <v>75.2</v>
      </c>
      <c r="Z2048">
        <v>68.5</v>
      </c>
      <c r="AA2048">
        <v>81.900000000000006</v>
      </c>
    </row>
    <row r="2049" spans="1:27" x14ac:dyDescent="0.25">
      <c r="A2049" t="s">
        <v>244</v>
      </c>
      <c r="B2049" t="s">
        <v>190</v>
      </c>
      <c r="C2049" s="76">
        <v>44001</v>
      </c>
      <c r="D2049">
        <v>6886</v>
      </c>
      <c r="E2049">
        <v>4346</v>
      </c>
      <c r="F2049">
        <v>9427</v>
      </c>
      <c r="G2049">
        <v>1726</v>
      </c>
      <c r="H2049">
        <v>80</v>
      </c>
      <c r="I2049">
        <v>75.7</v>
      </c>
      <c r="J2049">
        <v>84.3</v>
      </c>
      <c r="K2049">
        <v>1036</v>
      </c>
      <c r="L2049">
        <v>649</v>
      </c>
      <c r="M2049">
        <v>1422</v>
      </c>
      <c r="N2049">
        <v>12</v>
      </c>
      <c r="O2049">
        <v>9.6</v>
      </c>
      <c r="P2049">
        <v>14.4</v>
      </c>
      <c r="Q2049">
        <f t="shared" si="62"/>
        <v>6065436</v>
      </c>
      <c r="R2049">
        <f t="shared" si="61"/>
        <v>17.080387955622648</v>
      </c>
      <c r="U2049">
        <v>1171</v>
      </c>
      <c r="V2049">
        <v>615</v>
      </c>
      <c r="W2049">
        <v>1727</v>
      </c>
      <c r="X2049">
        <v>395</v>
      </c>
      <c r="Y2049">
        <v>74.8</v>
      </c>
      <c r="Z2049">
        <v>67.5</v>
      </c>
      <c r="AA2049">
        <v>82.1</v>
      </c>
    </row>
    <row r="2050" spans="1:27" x14ac:dyDescent="0.25">
      <c r="A2050" t="s">
        <v>244</v>
      </c>
      <c r="B2050" t="s">
        <v>190</v>
      </c>
      <c r="C2050" s="76">
        <v>44002</v>
      </c>
      <c r="D2050">
        <v>6749</v>
      </c>
      <c r="E2050">
        <v>4246</v>
      </c>
      <c r="F2050">
        <v>9252</v>
      </c>
      <c r="G2050">
        <v>1846</v>
      </c>
      <c r="H2050">
        <v>78.5</v>
      </c>
      <c r="I2050">
        <v>73.900000000000006</v>
      </c>
      <c r="J2050">
        <v>83.1</v>
      </c>
      <c r="K2050">
        <v>925</v>
      </c>
      <c r="L2050">
        <v>575</v>
      </c>
      <c r="M2050">
        <v>1274</v>
      </c>
      <c r="N2050">
        <v>10.8</v>
      </c>
      <c r="O2050">
        <v>8.6</v>
      </c>
      <c r="P2050">
        <v>12.9</v>
      </c>
      <c r="Q2050">
        <f t="shared" si="62"/>
        <v>6065436</v>
      </c>
      <c r="R2050">
        <f t="shared" si="61"/>
        <v>15.25034638894879</v>
      </c>
      <c r="U2050">
        <v>1156</v>
      </c>
      <c r="V2050">
        <v>607</v>
      </c>
      <c r="W2050">
        <v>1706</v>
      </c>
      <c r="X2050">
        <v>390</v>
      </c>
      <c r="Y2050">
        <v>74.8</v>
      </c>
      <c r="Z2050">
        <v>68.099999999999994</v>
      </c>
      <c r="AA2050">
        <v>81.400000000000006</v>
      </c>
    </row>
    <row r="2051" spans="1:27" x14ac:dyDescent="0.25">
      <c r="A2051" t="s">
        <v>244</v>
      </c>
      <c r="B2051" t="s">
        <v>190</v>
      </c>
      <c r="C2051" s="76">
        <v>44003</v>
      </c>
      <c r="D2051">
        <v>2363</v>
      </c>
      <c r="E2051">
        <v>0</v>
      </c>
      <c r="F2051">
        <v>5316</v>
      </c>
      <c r="G2051">
        <v>734</v>
      </c>
      <c r="H2051">
        <v>76.3</v>
      </c>
      <c r="I2051">
        <v>69.8</v>
      </c>
      <c r="J2051">
        <v>82.7</v>
      </c>
      <c r="K2051">
        <v>539</v>
      </c>
      <c r="L2051">
        <v>0</v>
      </c>
      <c r="M2051">
        <v>1396</v>
      </c>
      <c r="N2051">
        <v>17.399999999999999</v>
      </c>
      <c r="O2051">
        <v>10.5</v>
      </c>
      <c r="P2051">
        <v>24.3</v>
      </c>
      <c r="Q2051">
        <f t="shared" si="62"/>
        <v>6065436</v>
      </c>
      <c r="R2051">
        <f t="shared" si="61"/>
        <v>8.8864180579928629</v>
      </c>
      <c r="U2051">
        <v>619</v>
      </c>
      <c r="V2051">
        <v>0</v>
      </c>
      <c r="W2051">
        <v>1650</v>
      </c>
      <c r="X2051">
        <v>438</v>
      </c>
      <c r="Y2051">
        <v>58.6</v>
      </c>
      <c r="Z2051">
        <v>51</v>
      </c>
      <c r="AA2051">
        <v>66.099999999999994</v>
      </c>
    </row>
    <row r="2052" spans="1:27" x14ac:dyDescent="0.25">
      <c r="A2052" t="s">
        <v>244</v>
      </c>
      <c r="B2052" t="s">
        <v>190</v>
      </c>
      <c r="C2052" s="76">
        <v>44004</v>
      </c>
      <c r="D2052">
        <v>6682</v>
      </c>
      <c r="E2052">
        <v>4261</v>
      </c>
      <c r="F2052">
        <v>9104</v>
      </c>
      <c r="G2052">
        <v>1812</v>
      </c>
      <c r="H2052">
        <v>78.7</v>
      </c>
      <c r="I2052">
        <v>74.900000000000006</v>
      </c>
      <c r="J2052">
        <v>82.4</v>
      </c>
      <c r="K2052">
        <v>919</v>
      </c>
      <c r="L2052">
        <v>577</v>
      </c>
      <c r="M2052">
        <v>1261</v>
      </c>
      <c r="N2052">
        <v>10.8</v>
      </c>
      <c r="O2052">
        <v>8.8000000000000007</v>
      </c>
      <c r="P2052">
        <v>12.8</v>
      </c>
      <c r="Q2052">
        <f t="shared" si="62"/>
        <v>6065436</v>
      </c>
      <c r="R2052">
        <f t="shared" si="61"/>
        <v>15.151425223182638</v>
      </c>
      <c r="U2052">
        <v>1091</v>
      </c>
      <c r="V2052">
        <v>588</v>
      </c>
      <c r="W2052">
        <v>1595</v>
      </c>
      <c r="X2052">
        <v>414</v>
      </c>
      <c r="Y2052">
        <v>72.5</v>
      </c>
      <c r="Z2052">
        <v>67.2</v>
      </c>
      <c r="AA2052">
        <v>77.8</v>
      </c>
    </row>
    <row r="2053" spans="1:27" x14ac:dyDescent="0.25">
      <c r="A2053" t="s">
        <v>244</v>
      </c>
      <c r="B2053" t="s">
        <v>190</v>
      </c>
      <c r="C2053" s="76">
        <v>44005</v>
      </c>
      <c r="D2053">
        <v>6687</v>
      </c>
      <c r="E2053">
        <v>4256</v>
      </c>
      <c r="F2053">
        <v>9118</v>
      </c>
      <c r="G2053">
        <v>1852</v>
      </c>
      <c r="H2053">
        <v>78.3</v>
      </c>
      <c r="I2053">
        <v>74.400000000000006</v>
      </c>
      <c r="J2053">
        <v>82.2</v>
      </c>
      <c r="K2053">
        <v>916</v>
      </c>
      <c r="L2053">
        <v>574</v>
      </c>
      <c r="M2053">
        <v>1258</v>
      </c>
      <c r="N2053">
        <v>10.7</v>
      </c>
      <c r="O2053">
        <v>8.8000000000000007</v>
      </c>
      <c r="P2053">
        <v>12.7</v>
      </c>
      <c r="Q2053">
        <f t="shared" si="62"/>
        <v>6065436</v>
      </c>
      <c r="R2053">
        <f t="shared" ref="R2053:R2116" si="63">K2053/(Q2053)*100000</f>
        <v>15.10196464029956</v>
      </c>
      <c r="U2053">
        <v>1058</v>
      </c>
      <c r="V2053">
        <v>571</v>
      </c>
      <c r="W2053">
        <v>1544</v>
      </c>
      <c r="X2053">
        <v>340</v>
      </c>
      <c r="Y2053">
        <v>75.7</v>
      </c>
      <c r="Z2053">
        <v>70</v>
      </c>
      <c r="AA2053">
        <v>81.400000000000006</v>
      </c>
    </row>
    <row r="2054" spans="1:27" x14ac:dyDescent="0.25">
      <c r="A2054" t="s">
        <v>244</v>
      </c>
      <c r="B2054" t="s">
        <v>190</v>
      </c>
      <c r="C2054" s="76">
        <v>44006</v>
      </c>
      <c r="D2054">
        <v>7071</v>
      </c>
      <c r="E2054">
        <v>4458</v>
      </c>
      <c r="F2054">
        <v>9684</v>
      </c>
      <c r="G2054">
        <v>1513</v>
      </c>
      <c r="H2054">
        <v>82.4</v>
      </c>
      <c r="I2054">
        <v>80</v>
      </c>
      <c r="J2054">
        <v>84.7</v>
      </c>
      <c r="K2054">
        <v>825</v>
      </c>
      <c r="L2054">
        <v>504</v>
      </c>
      <c r="M2054">
        <v>1146</v>
      </c>
      <c r="N2054">
        <v>9.6</v>
      </c>
      <c r="O2054">
        <v>7.5</v>
      </c>
      <c r="P2054">
        <v>11.7</v>
      </c>
      <c r="Q2054">
        <f t="shared" si="62"/>
        <v>6065436</v>
      </c>
      <c r="R2054">
        <f t="shared" si="63"/>
        <v>13.601660292846217</v>
      </c>
      <c r="U2054">
        <v>1075</v>
      </c>
      <c r="V2054">
        <v>555</v>
      </c>
      <c r="W2054">
        <v>1595</v>
      </c>
      <c r="X2054">
        <v>287</v>
      </c>
      <c r="Y2054">
        <v>78.900000000000006</v>
      </c>
      <c r="Z2054">
        <v>73.7</v>
      </c>
      <c r="AA2054">
        <v>84.2</v>
      </c>
    </row>
    <row r="2055" spans="1:27" x14ac:dyDescent="0.25">
      <c r="A2055" t="s">
        <v>244</v>
      </c>
      <c r="B2055" t="s">
        <v>190</v>
      </c>
      <c r="C2055" s="76">
        <v>44007</v>
      </c>
      <c r="D2055">
        <v>2545</v>
      </c>
      <c r="E2055">
        <v>0</v>
      </c>
      <c r="F2055">
        <v>5805</v>
      </c>
      <c r="G2055">
        <v>792</v>
      </c>
      <c r="H2055">
        <v>76.3</v>
      </c>
      <c r="I2055">
        <v>66.7</v>
      </c>
      <c r="J2055">
        <v>85.8</v>
      </c>
      <c r="K2055">
        <v>465</v>
      </c>
      <c r="L2055">
        <v>0</v>
      </c>
      <c r="M2055">
        <v>1217</v>
      </c>
      <c r="N2055">
        <v>13.9</v>
      </c>
      <c r="O2055">
        <v>8.8000000000000007</v>
      </c>
      <c r="P2055">
        <v>19.100000000000001</v>
      </c>
      <c r="Q2055">
        <f t="shared" si="62"/>
        <v>6065436</v>
      </c>
      <c r="R2055">
        <f t="shared" si="63"/>
        <v>7.6663903468769599</v>
      </c>
      <c r="U2055">
        <v>400</v>
      </c>
      <c r="V2055">
        <v>0</v>
      </c>
      <c r="W2055">
        <v>938</v>
      </c>
      <c r="X2055">
        <v>31</v>
      </c>
      <c r="Y2055">
        <v>92.9</v>
      </c>
      <c r="Z2055">
        <v>70.3</v>
      </c>
      <c r="AA2055">
        <v>100</v>
      </c>
    </row>
    <row r="2056" spans="1:27" x14ac:dyDescent="0.25">
      <c r="A2056" t="s">
        <v>244</v>
      </c>
      <c r="B2056" t="s">
        <v>190</v>
      </c>
      <c r="C2056" s="76">
        <v>44008</v>
      </c>
      <c r="D2056">
        <v>2163</v>
      </c>
      <c r="E2056">
        <v>0</v>
      </c>
      <c r="F2056">
        <v>4914</v>
      </c>
      <c r="G2056">
        <v>868</v>
      </c>
      <c r="H2056">
        <v>71.400000000000006</v>
      </c>
      <c r="I2056">
        <v>64.5</v>
      </c>
      <c r="J2056">
        <v>78.3</v>
      </c>
      <c r="K2056">
        <v>441</v>
      </c>
      <c r="L2056">
        <v>0</v>
      </c>
      <c r="M2056">
        <v>1146</v>
      </c>
      <c r="N2056">
        <v>14.6</v>
      </c>
      <c r="O2056">
        <v>9</v>
      </c>
      <c r="P2056">
        <v>20.2</v>
      </c>
      <c r="Q2056">
        <f t="shared" si="62"/>
        <v>6065436</v>
      </c>
      <c r="R2056">
        <f t="shared" si="63"/>
        <v>7.2707056838123423</v>
      </c>
      <c r="U2056">
        <v>713</v>
      </c>
      <c r="V2056">
        <v>0</v>
      </c>
      <c r="W2056">
        <v>1834</v>
      </c>
      <c r="X2056">
        <v>383</v>
      </c>
      <c r="Y2056">
        <v>65.099999999999994</v>
      </c>
      <c r="Z2056">
        <v>57.1</v>
      </c>
      <c r="AA2056">
        <v>73.099999999999994</v>
      </c>
    </row>
    <row r="2057" spans="1:27" x14ac:dyDescent="0.25">
      <c r="A2057" t="s">
        <v>244</v>
      </c>
      <c r="B2057" t="s">
        <v>190</v>
      </c>
      <c r="C2057" s="76">
        <v>44009</v>
      </c>
      <c r="D2057">
        <v>2190</v>
      </c>
      <c r="E2057">
        <v>0</v>
      </c>
      <c r="F2057">
        <v>4835</v>
      </c>
      <c r="G2057">
        <v>932</v>
      </c>
      <c r="H2057">
        <v>70.2</v>
      </c>
      <c r="I2057">
        <v>59.7</v>
      </c>
      <c r="J2057">
        <v>80.599999999999994</v>
      </c>
      <c r="K2057">
        <v>370</v>
      </c>
      <c r="L2057">
        <v>0</v>
      </c>
      <c r="M2057">
        <v>916</v>
      </c>
      <c r="N2057">
        <v>11.8</v>
      </c>
      <c r="O2057">
        <v>8.1999999999999993</v>
      </c>
      <c r="P2057">
        <v>15.5</v>
      </c>
      <c r="Q2057">
        <f t="shared" si="62"/>
        <v>6065436</v>
      </c>
      <c r="R2057">
        <f t="shared" si="63"/>
        <v>6.100138555579516</v>
      </c>
      <c r="U2057">
        <v>678</v>
      </c>
      <c r="V2057">
        <v>0</v>
      </c>
      <c r="W2057">
        <v>1773</v>
      </c>
      <c r="X2057">
        <v>418</v>
      </c>
      <c r="Y2057">
        <v>61.9</v>
      </c>
      <c r="Z2057">
        <v>51.8</v>
      </c>
      <c r="AA2057">
        <v>71.900000000000006</v>
      </c>
    </row>
    <row r="2058" spans="1:27" x14ac:dyDescent="0.25">
      <c r="A2058" t="s">
        <v>244</v>
      </c>
      <c r="B2058" t="s">
        <v>190</v>
      </c>
      <c r="C2058" s="76">
        <v>44010</v>
      </c>
      <c r="D2058">
        <v>7010</v>
      </c>
      <c r="E2058">
        <v>4454</v>
      </c>
      <c r="F2058">
        <v>9567</v>
      </c>
      <c r="G2058">
        <v>1613</v>
      </c>
      <c r="H2058">
        <v>81.3</v>
      </c>
      <c r="I2058">
        <v>78</v>
      </c>
      <c r="J2058">
        <v>84.6</v>
      </c>
      <c r="K2058">
        <v>842</v>
      </c>
      <c r="L2058">
        <v>527</v>
      </c>
      <c r="M2058">
        <v>1156</v>
      </c>
      <c r="N2058">
        <v>9.8000000000000007</v>
      </c>
      <c r="O2058">
        <v>7.8</v>
      </c>
      <c r="P2058">
        <v>11.7</v>
      </c>
      <c r="Q2058">
        <f t="shared" si="62"/>
        <v>6065436</v>
      </c>
      <c r="R2058">
        <f t="shared" si="63"/>
        <v>13.881936929183658</v>
      </c>
      <c r="U2058">
        <v>1060</v>
      </c>
      <c r="V2058">
        <v>559</v>
      </c>
      <c r="W2058">
        <v>1561</v>
      </c>
      <c r="X2058">
        <v>335</v>
      </c>
      <c r="Y2058">
        <v>76</v>
      </c>
      <c r="Z2058">
        <v>70.599999999999994</v>
      </c>
      <c r="AA2058">
        <v>81.400000000000006</v>
      </c>
    </row>
    <row r="2059" spans="1:27" x14ac:dyDescent="0.25">
      <c r="A2059" t="s">
        <v>244</v>
      </c>
      <c r="B2059" t="s">
        <v>190</v>
      </c>
      <c r="C2059" s="76">
        <v>44011</v>
      </c>
      <c r="D2059">
        <v>7021</v>
      </c>
      <c r="E2059">
        <v>4458</v>
      </c>
      <c r="F2059">
        <v>9584</v>
      </c>
      <c r="G2059">
        <v>1617</v>
      </c>
      <c r="H2059">
        <v>81.3</v>
      </c>
      <c r="I2059">
        <v>77.900000000000006</v>
      </c>
      <c r="J2059">
        <v>84.6</v>
      </c>
      <c r="K2059">
        <v>840</v>
      </c>
      <c r="L2059">
        <v>526</v>
      </c>
      <c r="M2059">
        <v>1155</v>
      </c>
      <c r="N2059">
        <v>9.6999999999999993</v>
      </c>
      <c r="O2059">
        <v>7.7</v>
      </c>
      <c r="P2059">
        <v>11.7</v>
      </c>
      <c r="Q2059">
        <f t="shared" si="62"/>
        <v>6065436</v>
      </c>
      <c r="R2059">
        <f t="shared" si="63"/>
        <v>13.848963207261606</v>
      </c>
      <c r="U2059">
        <v>1059</v>
      </c>
      <c r="V2059">
        <v>558</v>
      </c>
      <c r="W2059">
        <v>1560</v>
      </c>
      <c r="X2059">
        <v>338</v>
      </c>
      <c r="Y2059">
        <v>75.8</v>
      </c>
      <c r="Z2059">
        <v>70.3</v>
      </c>
      <c r="AA2059">
        <v>81.400000000000006</v>
      </c>
    </row>
    <row r="2060" spans="1:27" x14ac:dyDescent="0.25">
      <c r="A2060" t="s">
        <v>244</v>
      </c>
      <c r="B2060" t="s">
        <v>190</v>
      </c>
      <c r="C2060" s="76">
        <v>44012</v>
      </c>
      <c r="D2060">
        <v>7045</v>
      </c>
      <c r="E2060">
        <v>4505</v>
      </c>
      <c r="F2060">
        <v>9585</v>
      </c>
      <c r="G2060">
        <v>1667</v>
      </c>
      <c r="H2060">
        <v>80.900000000000006</v>
      </c>
      <c r="I2060">
        <v>77.7</v>
      </c>
      <c r="J2060">
        <v>84</v>
      </c>
      <c r="K2060">
        <v>882</v>
      </c>
      <c r="L2060">
        <v>542</v>
      </c>
      <c r="M2060">
        <v>1222</v>
      </c>
      <c r="N2060">
        <v>10.1</v>
      </c>
      <c r="O2060">
        <v>8.1</v>
      </c>
      <c r="P2060">
        <v>12.1</v>
      </c>
      <c r="Q2060">
        <f t="shared" si="62"/>
        <v>6065436</v>
      </c>
      <c r="R2060">
        <f t="shared" si="63"/>
        <v>14.541411367624685</v>
      </c>
      <c r="U2060">
        <v>1079</v>
      </c>
      <c r="V2060">
        <v>546</v>
      </c>
      <c r="W2060">
        <v>1612</v>
      </c>
      <c r="X2060">
        <v>402</v>
      </c>
      <c r="Y2060">
        <v>72.8</v>
      </c>
      <c r="Z2060">
        <v>66</v>
      </c>
      <c r="AA2060">
        <v>79.7</v>
      </c>
    </row>
    <row r="2061" spans="1:27" x14ac:dyDescent="0.25">
      <c r="A2061" t="s">
        <v>244</v>
      </c>
      <c r="B2061" t="s">
        <v>190</v>
      </c>
      <c r="C2061" s="76">
        <v>44013</v>
      </c>
      <c r="D2061">
        <v>7093</v>
      </c>
      <c r="E2061">
        <v>4487</v>
      </c>
      <c r="F2061">
        <v>9698</v>
      </c>
      <c r="G2061">
        <v>1723</v>
      </c>
      <c r="H2061">
        <v>80.5</v>
      </c>
      <c r="I2061">
        <v>75.599999999999994</v>
      </c>
      <c r="J2061">
        <v>85.3</v>
      </c>
      <c r="K2061">
        <v>872</v>
      </c>
      <c r="L2061">
        <v>534</v>
      </c>
      <c r="M2061">
        <v>1209</v>
      </c>
      <c r="N2061">
        <v>9.9</v>
      </c>
      <c r="O2061">
        <v>8</v>
      </c>
      <c r="P2061">
        <v>11.8</v>
      </c>
      <c r="Q2061">
        <f t="shared" si="62"/>
        <v>6065436</v>
      </c>
      <c r="R2061">
        <f t="shared" si="63"/>
        <v>14.376542758014427</v>
      </c>
      <c r="U2061">
        <v>1095</v>
      </c>
      <c r="V2061">
        <v>555</v>
      </c>
      <c r="W2061">
        <v>1636</v>
      </c>
      <c r="X2061">
        <v>420</v>
      </c>
      <c r="Y2061">
        <v>72.3</v>
      </c>
      <c r="Z2061">
        <v>64.3</v>
      </c>
      <c r="AA2061">
        <v>80.3</v>
      </c>
    </row>
    <row r="2062" spans="1:27" x14ac:dyDescent="0.25">
      <c r="A2062" t="s">
        <v>244</v>
      </c>
      <c r="B2062" t="s">
        <v>190</v>
      </c>
      <c r="C2062" s="76">
        <v>44014</v>
      </c>
      <c r="D2062">
        <v>2999</v>
      </c>
      <c r="E2062">
        <v>0</v>
      </c>
      <c r="F2062">
        <v>6609</v>
      </c>
      <c r="G2062">
        <v>802</v>
      </c>
      <c r="H2062">
        <v>78.900000000000006</v>
      </c>
      <c r="I2062">
        <v>71.2</v>
      </c>
      <c r="J2062">
        <v>86.6</v>
      </c>
      <c r="K2062">
        <v>459</v>
      </c>
      <c r="L2062">
        <v>0</v>
      </c>
      <c r="M2062">
        <v>1111</v>
      </c>
      <c r="N2062">
        <v>12.1</v>
      </c>
      <c r="O2062">
        <v>7.7</v>
      </c>
      <c r="P2062">
        <v>16.399999999999999</v>
      </c>
      <c r="Q2062">
        <f t="shared" si="62"/>
        <v>6065436</v>
      </c>
      <c r="R2062">
        <f t="shared" si="63"/>
        <v>7.5674691811108055</v>
      </c>
      <c r="U2062">
        <v>457</v>
      </c>
      <c r="V2062">
        <v>0</v>
      </c>
      <c r="W2062">
        <v>1059</v>
      </c>
      <c r="X2062">
        <v>50</v>
      </c>
      <c r="Y2062">
        <v>90.1</v>
      </c>
      <c r="Z2062">
        <v>71.3</v>
      </c>
      <c r="AA2062">
        <v>100</v>
      </c>
    </row>
    <row r="2063" spans="1:27" x14ac:dyDescent="0.25">
      <c r="A2063" t="s">
        <v>244</v>
      </c>
      <c r="B2063" t="s">
        <v>190</v>
      </c>
      <c r="C2063" s="76">
        <v>44015</v>
      </c>
      <c r="D2063">
        <v>2783</v>
      </c>
      <c r="E2063">
        <v>0</v>
      </c>
      <c r="F2063">
        <v>5911</v>
      </c>
      <c r="G2063">
        <v>994</v>
      </c>
      <c r="H2063">
        <v>73.7</v>
      </c>
      <c r="I2063">
        <v>63.4</v>
      </c>
      <c r="J2063">
        <v>84</v>
      </c>
      <c r="K2063">
        <v>472</v>
      </c>
      <c r="L2063">
        <v>0</v>
      </c>
      <c r="M2063">
        <v>1131</v>
      </c>
      <c r="N2063">
        <v>12.5</v>
      </c>
      <c r="O2063">
        <v>7.8</v>
      </c>
      <c r="P2063">
        <v>17.2</v>
      </c>
      <c r="Q2063">
        <f t="shared" si="62"/>
        <v>6065436</v>
      </c>
      <c r="R2063">
        <f t="shared" si="63"/>
        <v>7.7817983736041398</v>
      </c>
      <c r="U2063">
        <v>809</v>
      </c>
      <c r="V2063">
        <v>0</v>
      </c>
      <c r="W2063">
        <v>1989</v>
      </c>
      <c r="X2063">
        <v>420</v>
      </c>
      <c r="Y2063">
        <v>65.8</v>
      </c>
      <c r="Z2063">
        <v>56.8</v>
      </c>
      <c r="AA2063">
        <v>74.8</v>
      </c>
    </row>
    <row r="2064" spans="1:27" x14ac:dyDescent="0.25">
      <c r="A2064" t="s">
        <v>244</v>
      </c>
      <c r="B2064" t="s">
        <v>190</v>
      </c>
      <c r="C2064" s="76">
        <v>44016</v>
      </c>
      <c r="D2064">
        <v>2559</v>
      </c>
      <c r="E2064">
        <v>0</v>
      </c>
      <c r="F2064">
        <v>5490</v>
      </c>
      <c r="G2064">
        <v>1182</v>
      </c>
      <c r="H2064">
        <v>68.400000000000006</v>
      </c>
      <c r="I2064">
        <v>57.4</v>
      </c>
      <c r="J2064">
        <v>79.400000000000006</v>
      </c>
      <c r="K2064">
        <v>449</v>
      </c>
      <c r="L2064">
        <v>0</v>
      </c>
      <c r="M2064">
        <v>1054</v>
      </c>
      <c r="N2064">
        <v>12</v>
      </c>
      <c r="O2064">
        <v>8.3000000000000007</v>
      </c>
      <c r="P2064">
        <v>15.7</v>
      </c>
      <c r="Q2064">
        <f t="shared" si="62"/>
        <v>6065436</v>
      </c>
      <c r="R2064">
        <f t="shared" si="63"/>
        <v>7.4026005715005478</v>
      </c>
      <c r="U2064">
        <v>739</v>
      </c>
      <c r="V2064">
        <v>0</v>
      </c>
      <c r="W2064">
        <v>1888</v>
      </c>
      <c r="X2064">
        <v>475</v>
      </c>
      <c r="Y2064">
        <v>60.9</v>
      </c>
      <c r="Z2064">
        <v>46.5</v>
      </c>
      <c r="AA2064">
        <v>75.2</v>
      </c>
    </row>
    <row r="2065" spans="1:27" x14ac:dyDescent="0.25">
      <c r="A2065" t="s">
        <v>244</v>
      </c>
      <c r="B2065" t="s">
        <v>190</v>
      </c>
      <c r="C2065" s="76">
        <v>44017</v>
      </c>
      <c r="D2065">
        <v>2555</v>
      </c>
      <c r="E2065">
        <v>0</v>
      </c>
      <c r="F2065">
        <v>5449</v>
      </c>
      <c r="G2065">
        <v>1158</v>
      </c>
      <c r="H2065">
        <v>68.8</v>
      </c>
      <c r="I2065">
        <v>58.3</v>
      </c>
      <c r="J2065">
        <v>79.3</v>
      </c>
      <c r="K2065">
        <v>447</v>
      </c>
      <c r="L2065">
        <v>0</v>
      </c>
      <c r="M2065">
        <v>1076</v>
      </c>
      <c r="N2065">
        <v>12</v>
      </c>
      <c r="O2065">
        <v>7.7</v>
      </c>
      <c r="P2065">
        <v>16.399999999999999</v>
      </c>
      <c r="Q2065">
        <f t="shared" si="62"/>
        <v>6065436</v>
      </c>
      <c r="R2065">
        <f t="shared" si="63"/>
        <v>7.3696268495784967</v>
      </c>
      <c r="U2065">
        <v>713</v>
      </c>
      <c r="V2065">
        <v>0</v>
      </c>
      <c r="W2065">
        <v>1816</v>
      </c>
      <c r="X2065">
        <v>502</v>
      </c>
      <c r="Y2065">
        <v>58.7</v>
      </c>
      <c r="Z2065">
        <v>46.8</v>
      </c>
      <c r="AA2065">
        <v>70.599999999999994</v>
      </c>
    </row>
    <row r="2066" spans="1:27" x14ac:dyDescent="0.25">
      <c r="A2066" t="s">
        <v>244</v>
      </c>
      <c r="B2066" t="s">
        <v>190</v>
      </c>
      <c r="C2066" s="76">
        <v>44018</v>
      </c>
      <c r="D2066">
        <v>2523</v>
      </c>
      <c r="E2066">
        <v>0</v>
      </c>
      <c r="F2066">
        <v>5392</v>
      </c>
      <c r="G2066">
        <v>1163</v>
      </c>
      <c r="H2066">
        <v>68.5</v>
      </c>
      <c r="I2066">
        <v>57.6</v>
      </c>
      <c r="J2066">
        <v>79.3</v>
      </c>
      <c r="K2066">
        <v>486</v>
      </c>
      <c r="L2066">
        <v>0</v>
      </c>
      <c r="M2066">
        <v>1152</v>
      </c>
      <c r="N2066">
        <v>13.2</v>
      </c>
      <c r="O2066">
        <v>9.1</v>
      </c>
      <c r="P2066">
        <v>17.2</v>
      </c>
      <c r="Q2066">
        <f t="shared" si="62"/>
        <v>6065436</v>
      </c>
      <c r="R2066">
        <f t="shared" si="63"/>
        <v>8.0126144270584998</v>
      </c>
      <c r="U2066">
        <v>776</v>
      </c>
      <c r="V2066">
        <v>0</v>
      </c>
      <c r="W2066">
        <v>1928</v>
      </c>
      <c r="X2066">
        <v>439</v>
      </c>
      <c r="Y2066">
        <v>63.8</v>
      </c>
      <c r="Z2066">
        <v>54.2</v>
      </c>
      <c r="AA2066">
        <v>73.5</v>
      </c>
    </row>
    <row r="2067" spans="1:27" x14ac:dyDescent="0.25">
      <c r="A2067" t="s">
        <v>244</v>
      </c>
      <c r="B2067" t="s">
        <v>190</v>
      </c>
      <c r="C2067" s="76">
        <v>44019</v>
      </c>
      <c r="D2067">
        <v>2670</v>
      </c>
      <c r="E2067">
        <v>0</v>
      </c>
      <c r="F2067">
        <v>5681</v>
      </c>
      <c r="G2067">
        <v>1037</v>
      </c>
      <c r="H2067">
        <v>72</v>
      </c>
      <c r="I2067">
        <v>63.5</v>
      </c>
      <c r="J2067">
        <v>80.5</v>
      </c>
      <c r="K2067">
        <v>483</v>
      </c>
      <c r="L2067">
        <v>0</v>
      </c>
      <c r="M2067">
        <v>1124</v>
      </c>
      <c r="N2067">
        <v>13</v>
      </c>
      <c r="O2067">
        <v>9.5</v>
      </c>
      <c r="P2067">
        <v>16.600000000000001</v>
      </c>
      <c r="Q2067">
        <f t="shared" si="62"/>
        <v>6065436</v>
      </c>
      <c r="R2067">
        <f t="shared" si="63"/>
        <v>7.963153844175423</v>
      </c>
      <c r="U2067">
        <v>795</v>
      </c>
      <c r="V2067">
        <v>0</v>
      </c>
      <c r="W2067">
        <v>1982</v>
      </c>
      <c r="X2067">
        <v>419</v>
      </c>
      <c r="Y2067">
        <v>65.5</v>
      </c>
      <c r="Z2067">
        <v>55.8</v>
      </c>
      <c r="AA2067">
        <v>75.2</v>
      </c>
    </row>
    <row r="2068" spans="1:27" x14ac:dyDescent="0.25">
      <c r="A2068" t="s">
        <v>245</v>
      </c>
      <c r="B2068" t="s">
        <v>214</v>
      </c>
      <c r="C2068" s="76">
        <v>43922</v>
      </c>
      <c r="D2068">
        <v>1859</v>
      </c>
      <c r="E2068">
        <v>413</v>
      </c>
      <c r="F2068">
        <v>3305</v>
      </c>
      <c r="G2068">
        <v>1921</v>
      </c>
      <c r="H2068">
        <v>49.2</v>
      </c>
      <c r="I2068">
        <v>39.6</v>
      </c>
      <c r="J2068">
        <v>58.8</v>
      </c>
      <c r="K2068">
        <v>120</v>
      </c>
      <c r="L2068">
        <v>7</v>
      </c>
      <c r="M2068">
        <v>234</v>
      </c>
      <c r="N2068">
        <v>3.2</v>
      </c>
      <c r="O2068">
        <v>1.7</v>
      </c>
      <c r="P2068">
        <v>4.5999999999999996</v>
      </c>
      <c r="Q2068">
        <f t="shared" si="62"/>
        <v>1354522</v>
      </c>
      <c r="R2068">
        <f t="shared" si="63"/>
        <v>8.8592138038363348</v>
      </c>
      <c r="U2068">
        <v>248</v>
      </c>
      <c r="V2068">
        <v>0</v>
      </c>
      <c r="W2068">
        <v>517</v>
      </c>
      <c r="X2068">
        <v>191</v>
      </c>
      <c r="Y2068">
        <v>56.5</v>
      </c>
      <c r="Z2068">
        <v>44.9</v>
      </c>
      <c r="AA2068">
        <v>68</v>
      </c>
    </row>
    <row r="2069" spans="1:27" x14ac:dyDescent="0.25">
      <c r="A2069" t="s">
        <v>245</v>
      </c>
      <c r="B2069" t="s">
        <v>214</v>
      </c>
      <c r="C2069" s="76">
        <v>43923</v>
      </c>
      <c r="D2069">
        <v>1790</v>
      </c>
      <c r="E2069">
        <v>379</v>
      </c>
      <c r="F2069">
        <v>3200</v>
      </c>
      <c r="G2069">
        <v>1976</v>
      </c>
      <c r="H2069">
        <v>47.5</v>
      </c>
      <c r="I2069">
        <v>38.4</v>
      </c>
      <c r="J2069">
        <v>56.6</v>
      </c>
      <c r="K2069">
        <v>110</v>
      </c>
      <c r="L2069">
        <v>0</v>
      </c>
      <c r="M2069">
        <v>222</v>
      </c>
      <c r="N2069">
        <v>2.9</v>
      </c>
      <c r="O2069">
        <v>1.3</v>
      </c>
      <c r="P2069">
        <v>4.5</v>
      </c>
      <c r="Q2069">
        <f t="shared" si="62"/>
        <v>1354522</v>
      </c>
      <c r="R2069">
        <f t="shared" si="63"/>
        <v>8.1209459868499749</v>
      </c>
      <c r="U2069">
        <v>239</v>
      </c>
      <c r="V2069">
        <v>0</v>
      </c>
      <c r="W2069">
        <v>505</v>
      </c>
      <c r="X2069">
        <v>213</v>
      </c>
      <c r="Y2069">
        <v>52.9</v>
      </c>
      <c r="Z2069">
        <v>40.1</v>
      </c>
      <c r="AA2069">
        <v>65.599999999999994</v>
      </c>
    </row>
    <row r="2070" spans="1:27" x14ac:dyDescent="0.25">
      <c r="A2070" t="s">
        <v>245</v>
      </c>
      <c r="B2070" t="s">
        <v>214</v>
      </c>
      <c r="C2070" s="76">
        <v>43924</v>
      </c>
      <c r="D2070">
        <v>1794</v>
      </c>
      <c r="E2070">
        <v>401</v>
      </c>
      <c r="F2070">
        <v>3187</v>
      </c>
      <c r="G2070">
        <v>2058</v>
      </c>
      <c r="H2070">
        <v>46.6</v>
      </c>
      <c r="I2070">
        <v>38.6</v>
      </c>
      <c r="J2070">
        <v>54.5</v>
      </c>
      <c r="K2070">
        <v>130</v>
      </c>
      <c r="L2070">
        <v>10</v>
      </c>
      <c r="M2070">
        <v>251</v>
      </c>
      <c r="N2070">
        <v>3.4</v>
      </c>
      <c r="O2070">
        <v>1.8</v>
      </c>
      <c r="P2070">
        <v>5</v>
      </c>
      <c r="Q2070">
        <f t="shared" si="62"/>
        <v>1354522</v>
      </c>
      <c r="R2070">
        <f t="shared" si="63"/>
        <v>9.5974816208226947</v>
      </c>
      <c r="U2070">
        <v>254</v>
      </c>
      <c r="V2070">
        <v>0</v>
      </c>
      <c r="W2070">
        <v>519</v>
      </c>
      <c r="X2070">
        <v>217</v>
      </c>
      <c r="Y2070">
        <v>53.9</v>
      </c>
      <c r="Z2070">
        <v>42</v>
      </c>
      <c r="AA2070">
        <v>65.900000000000006</v>
      </c>
    </row>
    <row r="2071" spans="1:27" x14ac:dyDescent="0.25">
      <c r="A2071" t="s">
        <v>245</v>
      </c>
      <c r="B2071" t="s">
        <v>214</v>
      </c>
      <c r="C2071" s="76">
        <v>43925</v>
      </c>
      <c r="D2071">
        <v>1722</v>
      </c>
      <c r="E2071">
        <v>361</v>
      </c>
      <c r="F2071">
        <v>3082</v>
      </c>
      <c r="G2071">
        <v>2102</v>
      </c>
      <c r="H2071">
        <v>45</v>
      </c>
      <c r="I2071">
        <v>37</v>
      </c>
      <c r="J2071">
        <v>53</v>
      </c>
      <c r="K2071">
        <v>137</v>
      </c>
      <c r="L2071">
        <v>11</v>
      </c>
      <c r="M2071">
        <v>264</v>
      </c>
      <c r="N2071">
        <v>3.6</v>
      </c>
      <c r="O2071">
        <v>1.9</v>
      </c>
      <c r="P2071">
        <v>5.3</v>
      </c>
      <c r="Q2071">
        <f t="shared" si="62"/>
        <v>1354522</v>
      </c>
      <c r="R2071">
        <f t="shared" si="63"/>
        <v>10.114269092713149</v>
      </c>
      <c r="U2071">
        <v>244</v>
      </c>
      <c r="V2071">
        <v>0</v>
      </c>
      <c r="W2071">
        <v>517</v>
      </c>
      <c r="X2071">
        <v>220</v>
      </c>
      <c r="Y2071">
        <v>52.5</v>
      </c>
      <c r="Z2071">
        <v>37.700000000000003</v>
      </c>
      <c r="AA2071">
        <v>67.3</v>
      </c>
    </row>
    <row r="2072" spans="1:27" x14ac:dyDescent="0.25">
      <c r="A2072" t="s">
        <v>245</v>
      </c>
      <c r="B2072" t="s">
        <v>214</v>
      </c>
      <c r="C2072" s="76">
        <v>43926</v>
      </c>
      <c r="D2072">
        <v>1693</v>
      </c>
      <c r="E2072">
        <v>354</v>
      </c>
      <c r="F2072">
        <v>3032</v>
      </c>
      <c r="G2072">
        <v>2131</v>
      </c>
      <c r="H2072">
        <v>44.3</v>
      </c>
      <c r="I2072">
        <v>36.4</v>
      </c>
      <c r="J2072">
        <v>52.2</v>
      </c>
      <c r="K2072">
        <v>133</v>
      </c>
      <c r="L2072">
        <v>18</v>
      </c>
      <c r="M2072">
        <v>249</v>
      </c>
      <c r="N2072">
        <v>3.5</v>
      </c>
      <c r="O2072">
        <v>1.9</v>
      </c>
      <c r="P2072">
        <v>5.0999999999999996</v>
      </c>
      <c r="Q2072">
        <f t="shared" si="62"/>
        <v>1354522</v>
      </c>
      <c r="R2072">
        <f t="shared" si="63"/>
        <v>9.8189619659186036</v>
      </c>
      <c r="U2072">
        <v>244</v>
      </c>
      <c r="V2072">
        <v>0</v>
      </c>
      <c r="W2072">
        <v>505</v>
      </c>
      <c r="X2072">
        <v>223</v>
      </c>
      <c r="Y2072">
        <v>52.3</v>
      </c>
      <c r="Z2072">
        <v>39.200000000000003</v>
      </c>
      <c r="AA2072">
        <v>65.400000000000006</v>
      </c>
    </row>
    <row r="2073" spans="1:27" x14ac:dyDescent="0.25">
      <c r="A2073" t="s">
        <v>245</v>
      </c>
      <c r="B2073" t="s">
        <v>214</v>
      </c>
      <c r="C2073" s="76">
        <v>43927</v>
      </c>
      <c r="D2073">
        <v>1769</v>
      </c>
      <c r="E2073">
        <v>375</v>
      </c>
      <c r="F2073">
        <v>3162</v>
      </c>
      <c r="G2073">
        <v>2055</v>
      </c>
      <c r="H2073">
        <v>46.3</v>
      </c>
      <c r="I2073">
        <v>38.1</v>
      </c>
      <c r="J2073">
        <v>54.4</v>
      </c>
      <c r="K2073">
        <v>149</v>
      </c>
      <c r="L2073">
        <v>12</v>
      </c>
      <c r="M2073">
        <v>285</v>
      </c>
      <c r="N2073">
        <v>3.9</v>
      </c>
      <c r="O2073">
        <v>2.1</v>
      </c>
      <c r="P2073">
        <v>5.7</v>
      </c>
      <c r="Q2073">
        <f t="shared" si="62"/>
        <v>1354522</v>
      </c>
      <c r="R2073">
        <f t="shared" si="63"/>
        <v>11.000190473096783</v>
      </c>
      <c r="U2073">
        <v>254</v>
      </c>
      <c r="V2073">
        <v>0</v>
      </c>
      <c r="W2073">
        <v>512</v>
      </c>
      <c r="X2073">
        <v>216</v>
      </c>
      <c r="Y2073">
        <v>54.1</v>
      </c>
      <c r="Z2073">
        <v>43.6</v>
      </c>
      <c r="AA2073">
        <v>64.599999999999994</v>
      </c>
    </row>
    <row r="2074" spans="1:27" x14ac:dyDescent="0.25">
      <c r="A2074" t="s">
        <v>245</v>
      </c>
      <c r="B2074" t="s">
        <v>214</v>
      </c>
      <c r="C2074" s="76">
        <v>43928</v>
      </c>
      <c r="D2074">
        <v>1717</v>
      </c>
      <c r="E2074">
        <v>328</v>
      </c>
      <c r="F2074">
        <v>3106</v>
      </c>
      <c r="G2074">
        <v>2031</v>
      </c>
      <c r="H2074">
        <v>45.8</v>
      </c>
      <c r="I2074">
        <v>36.1</v>
      </c>
      <c r="J2074">
        <v>55.5</v>
      </c>
      <c r="K2074">
        <v>153</v>
      </c>
      <c r="L2074">
        <v>23</v>
      </c>
      <c r="M2074">
        <v>283</v>
      </c>
      <c r="N2074">
        <v>4.0999999999999996</v>
      </c>
      <c r="O2074">
        <v>2.1</v>
      </c>
      <c r="P2074">
        <v>6</v>
      </c>
      <c r="Q2074">
        <f t="shared" si="62"/>
        <v>1354522</v>
      </c>
      <c r="R2074">
        <f t="shared" si="63"/>
        <v>11.295497599891327</v>
      </c>
      <c r="U2074">
        <v>243</v>
      </c>
      <c r="V2074">
        <v>0</v>
      </c>
      <c r="W2074">
        <v>500</v>
      </c>
      <c r="X2074">
        <v>231</v>
      </c>
      <c r="Y2074">
        <v>51.3</v>
      </c>
      <c r="Z2074">
        <v>38.6</v>
      </c>
      <c r="AA2074">
        <v>64</v>
      </c>
    </row>
    <row r="2075" spans="1:27" x14ac:dyDescent="0.25">
      <c r="A2075" t="s">
        <v>245</v>
      </c>
      <c r="B2075" t="s">
        <v>214</v>
      </c>
      <c r="C2075" s="76">
        <v>43929</v>
      </c>
      <c r="D2075">
        <v>1735</v>
      </c>
      <c r="E2075">
        <v>372</v>
      </c>
      <c r="F2075">
        <v>3098</v>
      </c>
      <c r="G2075">
        <v>1995</v>
      </c>
      <c r="H2075">
        <v>46.5</v>
      </c>
      <c r="I2075">
        <v>37.4</v>
      </c>
      <c r="J2075">
        <v>55.6</v>
      </c>
      <c r="K2075">
        <v>143</v>
      </c>
      <c r="L2075">
        <v>19</v>
      </c>
      <c r="M2075">
        <v>266</v>
      </c>
      <c r="N2075">
        <v>3.8</v>
      </c>
      <c r="O2075">
        <v>1.9</v>
      </c>
      <c r="P2075">
        <v>5.7</v>
      </c>
      <c r="Q2075">
        <f t="shared" si="62"/>
        <v>1354522</v>
      </c>
      <c r="R2075">
        <f t="shared" si="63"/>
        <v>10.557229782904965</v>
      </c>
      <c r="U2075">
        <v>242</v>
      </c>
      <c r="V2075">
        <v>0</v>
      </c>
      <c r="W2075">
        <v>495</v>
      </c>
      <c r="X2075">
        <v>217</v>
      </c>
      <c r="Y2075">
        <v>52.7</v>
      </c>
      <c r="Z2075">
        <v>42.6</v>
      </c>
      <c r="AA2075">
        <v>62.9</v>
      </c>
    </row>
    <row r="2076" spans="1:27" x14ac:dyDescent="0.25">
      <c r="A2076" t="s">
        <v>245</v>
      </c>
      <c r="B2076" t="s">
        <v>214</v>
      </c>
      <c r="C2076" s="76">
        <v>43930</v>
      </c>
      <c r="D2076">
        <v>1792</v>
      </c>
      <c r="E2076">
        <v>376</v>
      </c>
      <c r="F2076">
        <v>3207</v>
      </c>
      <c r="G2076">
        <v>1932</v>
      </c>
      <c r="H2076">
        <v>48.1</v>
      </c>
      <c r="I2076">
        <v>38.799999999999997</v>
      </c>
      <c r="J2076">
        <v>57.5</v>
      </c>
      <c r="K2076">
        <v>139</v>
      </c>
      <c r="L2076">
        <v>12</v>
      </c>
      <c r="M2076">
        <v>266</v>
      </c>
      <c r="N2076">
        <v>3.7</v>
      </c>
      <c r="O2076">
        <v>1.9</v>
      </c>
      <c r="P2076">
        <v>5.5</v>
      </c>
      <c r="Q2076">
        <f t="shared" si="62"/>
        <v>1354522</v>
      </c>
      <c r="R2076">
        <f t="shared" si="63"/>
        <v>10.261922656110421</v>
      </c>
      <c r="U2076">
        <v>241</v>
      </c>
      <c r="V2076">
        <v>0</v>
      </c>
      <c r="W2076">
        <v>490</v>
      </c>
      <c r="X2076">
        <v>213</v>
      </c>
      <c r="Y2076">
        <v>53.1</v>
      </c>
      <c r="Z2076">
        <v>43.8</v>
      </c>
      <c r="AA2076">
        <v>62.3</v>
      </c>
    </row>
    <row r="2077" spans="1:27" x14ac:dyDescent="0.25">
      <c r="A2077" t="s">
        <v>245</v>
      </c>
      <c r="B2077" t="s">
        <v>214</v>
      </c>
      <c r="C2077" s="76">
        <v>43931</v>
      </c>
      <c r="D2077">
        <v>1804</v>
      </c>
      <c r="E2077">
        <v>380</v>
      </c>
      <c r="F2077">
        <v>3229</v>
      </c>
      <c r="G2077">
        <v>1932</v>
      </c>
      <c r="H2077">
        <v>48.3</v>
      </c>
      <c r="I2077">
        <v>38.700000000000003</v>
      </c>
      <c r="J2077">
        <v>57.9</v>
      </c>
      <c r="K2077">
        <v>129</v>
      </c>
      <c r="L2077">
        <v>9</v>
      </c>
      <c r="M2077">
        <v>249</v>
      </c>
      <c r="N2077">
        <v>3.5</v>
      </c>
      <c r="O2077">
        <v>1.7</v>
      </c>
      <c r="P2077">
        <v>5.2</v>
      </c>
      <c r="Q2077">
        <f t="shared" si="62"/>
        <v>1354522</v>
      </c>
      <c r="R2077">
        <f t="shared" si="63"/>
        <v>9.5236548391240596</v>
      </c>
      <c r="U2077">
        <v>254</v>
      </c>
      <c r="V2077">
        <v>0</v>
      </c>
      <c r="W2077">
        <v>521</v>
      </c>
      <c r="X2077">
        <v>208</v>
      </c>
      <c r="Y2077">
        <v>55</v>
      </c>
      <c r="Z2077">
        <v>44.4</v>
      </c>
      <c r="AA2077">
        <v>65.7</v>
      </c>
    </row>
    <row r="2078" spans="1:27" x14ac:dyDescent="0.25">
      <c r="A2078" t="s">
        <v>245</v>
      </c>
      <c r="B2078" t="s">
        <v>214</v>
      </c>
      <c r="C2078" s="76">
        <v>43932</v>
      </c>
      <c r="D2078">
        <v>1843</v>
      </c>
      <c r="E2078">
        <v>406</v>
      </c>
      <c r="F2078">
        <v>3281</v>
      </c>
      <c r="G2078">
        <v>1891</v>
      </c>
      <c r="H2078">
        <v>49.4</v>
      </c>
      <c r="I2078">
        <v>39.6</v>
      </c>
      <c r="J2078">
        <v>59.1</v>
      </c>
      <c r="K2078">
        <v>129</v>
      </c>
      <c r="L2078">
        <v>16</v>
      </c>
      <c r="M2078">
        <v>242</v>
      </c>
      <c r="N2078">
        <v>3.4</v>
      </c>
      <c r="O2078">
        <v>2</v>
      </c>
      <c r="P2078">
        <v>4.9000000000000004</v>
      </c>
      <c r="Q2078">
        <f t="shared" si="62"/>
        <v>1354522</v>
      </c>
      <c r="R2078">
        <f t="shared" si="63"/>
        <v>9.5236548391240596</v>
      </c>
      <c r="U2078">
        <v>248</v>
      </c>
      <c r="V2078">
        <v>0</v>
      </c>
      <c r="W2078">
        <v>512</v>
      </c>
      <c r="X2078">
        <v>214</v>
      </c>
      <c r="Y2078">
        <v>53.8</v>
      </c>
      <c r="Z2078">
        <v>42.7</v>
      </c>
      <c r="AA2078">
        <v>64.8</v>
      </c>
    </row>
    <row r="2079" spans="1:27" x14ac:dyDescent="0.25">
      <c r="A2079" t="s">
        <v>245</v>
      </c>
      <c r="B2079" t="s">
        <v>214</v>
      </c>
      <c r="C2079" s="76">
        <v>43933</v>
      </c>
      <c r="D2079">
        <v>1861</v>
      </c>
      <c r="E2079">
        <v>435</v>
      </c>
      <c r="F2079">
        <v>3288</v>
      </c>
      <c r="G2079">
        <v>1870</v>
      </c>
      <c r="H2079">
        <v>49.9</v>
      </c>
      <c r="I2079">
        <v>40.5</v>
      </c>
      <c r="J2079">
        <v>59.2</v>
      </c>
      <c r="K2079">
        <v>136</v>
      </c>
      <c r="L2079">
        <v>15</v>
      </c>
      <c r="M2079">
        <v>256</v>
      </c>
      <c r="N2079">
        <v>3.6</v>
      </c>
      <c r="O2079">
        <v>2.2999999999999998</v>
      </c>
      <c r="P2079">
        <v>5</v>
      </c>
      <c r="Q2079">
        <f t="shared" si="62"/>
        <v>1354522</v>
      </c>
      <c r="R2079">
        <f t="shared" si="63"/>
        <v>10.040442311014512</v>
      </c>
      <c r="U2079">
        <v>256</v>
      </c>
      <c r="V2079">
        <v>0</v>
      </c>
      <c r="W2079">
        <v>519</v>
      </c>
      <c r="X2079">
        <v>207</v>
      </c>
      <c r="Y2079">
        <v>55.3</v>
      </c>
      <c r="Z2079">
        <v>40.1</v>
      </c>
      <c r="AA2079">
        <v>70.5</v>
      </c>
    </row>
    <row r="2080" spans="1:27" x14ac:dyDescent="0.25">
      <c r="A2080" t="s">
        <v>245</v>
      </c>
      <c r="B2080" t="s">
        <v>214</v>
      </c>
      <c r="C2080" s="76">
        <v>43934</v>
      </c>
      <c r="D2080">
        <v>1878</v>
      </c>
      <c r="E2080">
        <v>437</v>
      </c>
      <c r="F2080">
        <v>3319</v>
      </c>
      <c r="G2080">
        <v>1882</v>
      </c>
      <c r="H2080">
        <v>49.9</v>
      </c>
      <c r="I2080">
        <v>41.1</v>
      </c>
      <c r="J2080">
        <v>58.8</v>
      </c>
      <c r="K2080">
        <v>126</v>
      </c>
      <c r="L2080">
        <v>10</v>
      </c>
      <c r="M2080">
        <v>243</v>
      </c>
      <c r="N2080">
        <v>3.4</v>
      </c>
      <c r="O2080">
        <v>1.8</v>
      </c>
      <c r="P2080">
        <v>4.9000000000000004</v>
      </c>
      <c r="Q2080">
        <f t="shared" si="62"/>
        <v>1354522</v>
      </c>
      <c r="R2080">
        <f t="shared" si="63"/>
        <v>9.3021744940281508</v>
      </c>
      <c r="U2080">
        <v>243</v>
      </c>
      <c r="V2080">
        <v>0</v>
      </c>
      <c r="W2080">
        <v>488</v>
      </c>
      <c r="X2080">
        <v>220</v>
      </c>
      <c r="Y2080">
        <v>52.6</v>
      </c>
      <c r="Z2080">
        <v>44.4</v>
      </c>
      <c r="AA2080">
        <v>60.7</v>
      </c>
    </row>
    <row r="2081" spans="1:27" x14ac:dyDescent="0.25">
      <c r="A2081" t="s">
        <v>245</v>
      </c>
      <c r="B2081" t="s">
        <v>214</v>
      </c>
      <c r="C2081" s="76">
        <v>43935</v>
      </c>
      <c r="D2081">
        <v>1908</v>
      </c>
      <c r="E2081">
        <v>440</v>
      </c>
      <c r="F2081">
        <v>3376</v>
      </c>
      <c r="G2081">
        <v>1836</v>
      </c>
      <c r="H2081">
        <v>51</v>
      </c>
      <c r="I2081">
        <v>42.5</v>
      </c>
      <c r="J2081">
        <v>59.5</v>
      </c>
      <c r="K2081">
        <v>123</v>
      </c>
      <c r="L2081">
        <v>14</v>
      </c>
      <c r="M2081">
        <v>232</v>
      </c>
      <c r="N2081">
        <v>3.3</v>
      </c>
      <c r="O2081">
        <v>1.9</v>
      </c>
      <c r="P2081">
        <v>4.7</v>
      </c>
      <c r="Q2081">
        <f t="shared" si="62"/>
        <v>1354522</v>
      </c>
      <c r="R2081">
        <f t="shared" si="63"/>
        <v>9.0806941489322419</v>
      </c>
      <c r="U2081">
        <v>248</v>
      </c>
      <c r="V2081">
        <v>9</v>
      </c>
      <c r="W2081">
        <v>487</v>
      </c>
      <c r="X2081">
        <v>224</v>
      </c>
      <c r="Y2081">
        <v>52.6</v>
      </c>
      <c r="Z2081">
        <v>44.9</v>
      </c>
      <c r="AA2081">
        <v>60.3</v>
      </c>
    </row>
    <row r="2082" spans="1:27" x14ac:dyDescent="0.25">
      <c r="A2082" t="s">
        <v>245</v>
      </c>
      <c r="B2082" t="s">
        <v>214</v>
      </c>
      <c r="C2082" s="76">
        <v>43936</v>
      </c>
      <c r="D2082">
        <v>1951</v>
      </c>
      <c r="E2082">
        <v>474</v>
      </c>
      <c r="F2082">
        <v>3427</v>
      </c>
      <c r="G2082">
        <v>1806</v>
      </c>
      <c r="H2082">
        <v>51.9</v>
      </c>
      <c r="I2082">
        <v>43.5</v>
      </c>
      <c r="J2082">
        <v>60.3</v>
      </c>
      <c r="K2082">
        <v>129</v>
      </c>
      <c r="L2082">
        <v>24</v>
      </c>
      <c r="M2082">
        <v>235</v>
      </c>
      <c r="N2082">
        <v>3.4</v>
      </c>
      <c r="O2082">
        <v>2.1</v>
      </c>
      <c r="P2082">
        <v>4.7</v>
      </c>
      <c r="Q2082">
        <f t="shared" si="62"/>
        <v>1354522</v>
      </c>
      <c r="R2082">
        <f t="shared" si="63"/>
        <v>9.5236548391240596</v>
      </c>
      <c r="U2082">
        <v>248</v>
      </c>
      <c r="V2082">
        <v>2</v>
      </c>
      <c r="W2082">
        <v>493</v>
      </c>
      <c r="X2082">
        <v>218</v>
      </c>
      <c r="Y2082">
        <v>53.2</v>
      </c>
      <c r="Z2082">
        <v>43.7</v>
      </c>
      <c r="AA2082">
        <v>62.7</v>
      </c>
    </row>
    <row r="2083" spans="1:27" x14ac:dyDescent="0.25">
      <c r="A2083" t="s">
        <v>245</v>
      </c>
      <c r="B2083" t="s">
        <v>214</v>
      </c>
      <c r="C2083" s="76">
        <v>43937</v>
      </c>
      <c r="D2083">
        <v>1945</v>
      </c>
      <c r="E2083">
        <v>462</v>
      </c>
      <c r="F2083">
        <v>3429</v>
      </c>
      <c r="G2083">
        <v>1811</v>
      </c>
      <c r="H2083">
        <v>51.8</v>
      </c>
      <c r="I2083">
        <v>42.9</v>
      </c>
      <c r="J2083">
        <v>60.6</v>
      </c>
      <c r="K2083">
        <v>145</v>
      </c>
      <c r="L2083">
        <v>24</v>
      </c>
      <c r="M2083">
        <v>266</v>
      </c>
      <c r="N2083">
        <v>3.8</v>
      </c>
      <c r="O2083">
        <v>2.5</v>
      </c>
      <c r="P2083">
        <v>5.2</v>
      </c>
      <c r="Q2083">
        <f t="shared" si="62"/>
        <v>1354522</v>
      </c>
      <c r="R2083">
        <f t="shared" si="63"/>
        <v>10.704883346302237</v>
      </c>
      <c r="U2083">
        <v>252</v>
      </c>
      <c r="V2083">
        <v>0</v>
      </c>
      <c r="W2083">
        <v>508</v>
      </c>
      <c r="X2083">
        <v>220</v>
      </c>
      <c r="Y2083">
        <v>53.4</v>
      </c>
      <c r="Z2083">
        <v>43</v>
      </c>
      <c r="AA2083">
        <v>63.7</v>
      </c>
    </row>
    <row r="2084" spans="1:27" x14ac:dyDescent="0.25">
      <c r="A2084" t="s">
        <v>245</v>
      </c>
      <c r="B2084" t="s">
        <v>214</v>
      </c>
      <c r="C2084" s="76">
        <v>43938</v>
      </c>
      <c r="D2084">
        <v>1866</v>
      </c>
      <c r="E2084">
        <v>431</v>
      </c>
      <c r="F2084">
        <v>3301</v>
      </c>
      <c r="G2084">
        <v>1889</v>
      </c>
      <c r="H2084">
        <v>49.7</v>
      </c>
      <c r="I2084">
        <v>41.2</v>
      </c>
      <c r="J2084">
        <v>58.2</v>
      </c>
      <c r="K2084">
        <v>104</v>
      </c>
      <c r="L2084">
        <v>14</v>
      </c>
      <c r="M2084">
        <v>195</v>
      </c>
      <c r="N2084">
        <v>2.8</v>
      </c>
      <c r="O2084">
        <v>1.7</v>
      </c>
      <c r="P2084">
        <v>3.9</v>
      </c>
      <c r="Q2084">
        <f t="shared" si="62"/>
        <v>1354522</v>
      </c>
      <c r="R2084">
        <f t="shared" si="63"/>
        <v>7.6779852966581563</v>
      </c>
      <c r="U2084">
        <v>305</v>
      </c>
      <c r="V2084">
        <v>0</v>
      </c>
      <c r="W2084">
        <v>618</v>
      </c>
      <c r="X2084">
        <v>221</v>
      </c>
      <c r="Y2084">
        <v>58</v>
      </c>
      <c r="Z2084">
        <v>39.9</v>
      </c>
      <c r="AA2084">
        <v>76.099999999999994</v>
      </c>
    </row>
    <row r="2085" spans="1:27" x14ac:dyDescent="0.25">
      <c r="A2085" t="s">
        <v>245</v>
      </c>
      <c r="B2085" t="s">
        <v>214</v>
      </c>
      <c r="C2085" s="76">
        <v>43939</v>
      </c>
      <c r="D2085">
        <v>1792</v>
      </c>
      <c r="E2085">
        <v>437</v>
      </c>
      <c r="F2085">
        <v>3147</v>
      </c>
      <c r="G2085">
        <v>1956</v>
      </c>
      <c r="H2085">
        <v>47.8</v>
      </c>
      <c r="I2085">
        <v>40.299999999999997</v>
      </c>
      <c r="J2085">
        <v>55.3</v>
      </c>
      <c r="K2085">
        <v>107</v>
      </c>
      <c r="L2085">
        <v>7</v>
      </c>
      <c r="M2085">
        <v>206</v>
      </c>
      <c r="N2085">
        <v>2.8</v>
      </c>
      <c r="O2085">
        <v>1.6</v>
      </c>
      <c r="P2085">
        <v>4.0999999999999996</v>
      </c>
      <c r="Q2085">
        <f t="shared" si="62"/>
        <v>1354522</v>
      </c>
      <c r="R2085">
        <f t="shared" si="63"/>
        <v>7.8994656417540652</v>
      </c>
      <c r="U2085">
        <v>286</v>
      </c>
      <c r="V2085">
        <v>0</v>
      </c>
      <c r="W2085">
        <v>574</v>
      </c>
      <c r="X2085">
        <v>250</v>
      </c>
      <c r="Y2085">
        <v>53.3</v>
      </c>
      <c r="Z2085">
        <v>41.5</v>
      </c>
      <c r="AA2085">
        <v>65.099999999999994</v>
      </c>
    </row>
    <row r="2086" spans="1:27" x14ac:dyDescent="0.25">
      <c r="A2086" t="s">
        <v>245</v>
      </c>
      <c r="B2086" t="s">
        <v>214</v>
      </c>
      <c r="C2086" s="76">
        <v>43940</v>
      </c>
      <c r="D2086">
        <v>1802</v>
      </c>
      <c r="E2086">
        <v>455</v>
      </c>
      <c r="F2086">
        <v>3148</v>
      </c>
      <c r="G2086">
        <v>1896</v>
      </c>
      <c r="H2086">
        <v>48.7</v>
      </c>
      <c r="I2086">
        <v>40.799999999999997</v>
      </c>
      <c r="J2086">
        <v>56.7</v>
      </c>
      <c r="K2086">
        <v>96</v>
      </c>
      <c r="L2086">
        <v>16</v>
      </c>
      <c r="M2086">
        <v>175</v>
      </c>
      <c r="N2086">
        <v>2.6</v>
      </c>
      <c r="O2086">
        <v>1.7</v>
      </c>
      <c r="P2086">
        <v>3.5</v>
      </c>
      <c r="Q2086">
        <f t="shared" si="62"/>
        <v>1354522</v>
      </c>
      <c r="R2086">
        <f t="shared" si="63"/>
        <v>7.0873710430690675</v>
      </c>
      <c r="U2086">
        <v>296</v>
      </c>
      <c r="V2086">
        <v>0</v>
      </c>
      <c r="W2086">
        <v>592</v>
      </c>
      <c r="X2086">
        <v>237</v>
      </c>
      <c r="Y2086">
        <v>55.5</v>
      </c>
      <c r="Z2086">
        <v>42.8</v>
      </c>
      <c r="AA2086">
        <v>68.2</v>
      </c>
    </row>
    <row r="2087" spans="1:27" x14ac:dyDescent="0.25">
      <c r="A2087" t="s">
        <v>245</v>
      </c>
      <c r="B2087" t="s">
        <v>214</v>
      </c>
      <c r="C2087" s="76">
        <v>43941</v>
      </c>
      <c r="D2087">
        <v>1858</v>
      </c>
      <c r="E2087">
        <v>460</v>
      </c>
      <c r="F2087">
        <v>3256</v>
      </c>
      <c r="G2087">
        <v>1888</v>
      </c>
      <c r="H2087">
        <v>49.6</v>
      </c>
      <c r="I2087">
        <v>41.9</v>
      </c>
      <c r="J2087">
        <v>57.3</v>
      </c>
      <c r="K2087">
        <v>116</v>
      </c>
      <c r="L2087">
        <v>29</v>
      </c>
      <c r="M2087">
        <v>203</v>
      </c>
      <c r="N2087">
        <v>3.1</v>
      </c>
      <c r="O2087">
        <v>2</v>
      </c>
      <c r="P2087">
        <v>4.2</v>
      </c>
      <c r="Q2087">
        <f t="shared" ref="Q2087:Q2150" si="64">VLOOKUP(B2087,$AE$4:$AF$55,2,FALSE)</f>
        <v>1354522</v>
      </c>
      <c r="R2087">
        <f t="shared" si="63"/>
        <v>8.5639066770417909</v>
      </c>
      <c r="U2087">
        <v>304</v>
      </c>
      <c r="V2087">
        <v>0</v>
      </c>
      <c r="W2087">
        <v>612</v>
      </c>
      <c r="X2087">
        <v>231</v>
      </c>
      <c r="Y2087">
        <v>56.9</v>
      </c>
      <c r="Z2087">
        <v>43.2</v>
      </c>
      <c r="AA2087">
        <v>70.5</v>
      </c>
    </row>
    <row r="2088" spans="1:27" x14ac:dyDescent="0.25">
      <c r="A2088" t="s">
        <v>245</v>
      </c>
      <c r="B2088" t="s">
        <v>214</v>
      </c>
      <c r="C2088" s="76">
        <v>43942</v>
      </c>
      <c r="D2088">
        <v>1970</v>
      </c>
      <c r="E2088">
        <v>462</v>
      </c>
      <c r="F2088">
        <v>3478</v>
      </c>
      <c r="G2088">
        <v>1782</v>
      </c>
      <c r="H2088">
        <v>52.5</v>
      </c>
      <c r="I2088">
        <v>42.8</v>
      </c>
      <c r="J2088">
        <v>62.2</v>
      </c>
      <c r="K2088">
        <v>85</v>
      </c>
      <c r="L2088">
        <v>12</v>
      </c>
      <c r="M2088">
        <v>158</v>
      </c>
      <c r="N2088">
        <v>2.2999999999999998</v>
      </c>
      <c r="O2088">
        <v>1.4</v>
      </c>
      <c r="P2088">
        <v>3.2</v>
      </c>
      <c r="Q2088">
        <f t="shared" si="64"/>
        <v>1354522</v>
      </c>
      <c r="R2088">
        <f t="shared" si="63"/>
        <v>6.2752764443840707</v>
      </c>
      <c r="U2088">
        <v>298</v>
      </c>
      <c r="V2088">
        <v>0</v>
      </c>
      <c r="W2088">
        <v>612</v>
      </c>
      <c r="X2088">
        <v>227</v>
      </c>
      <c r="Y2088">
        <v>56.7</v>
      </c>
      <c r="Z2088">
        <v>42.7</v>
      </c>
      <c r="AA2088">
        <v>70.7</v>
      </c>
    </row>
    <row r="2089" spans="1:27" x14ac:dyDescent="0.25">
      <c r="A2089" t="s">
        <v>245</v>
      </c>
      <c r="B2089" t="s">
        <v>214</v>
      </c>
      <c r="C2089" s="76">
        <v>43943</v>
      </c>
      <c r="D2089">
        <v>1968</v>
      </c>
      <c r="E2089">
        <v>425</v>
      </c>
      <c r="F2089">
        <v>3511</v>
      </c>
      <c r="G2089">
        <v>1757</v>
      </c>
      <c r="H2089">
        <v>52.8</v>
      </c>
      <c r="I2089">
        <v>42.7</v>
      </c>
      <c r="J2089">
        <v>62.9</v>
      </c>
      <c r="K2089">
        <v>87</v>
      </c>
      <c r="L2089">
        <v>14</v>
      </c>
      <c r="M2089">
        <v>160</v>
      </c>
      <c r="N2089">
        <v>2.2999999999999998</v>
      </c>
      <c r="O2089">
        <v>1.5</v>
      </c>
      <c r="P2089">
        <v>3.2</v>
      </c>
      <c r="Q2089">
        <f t="shared" si="64"/>
        <v>1354522</v>
      </c>
      <c r="R2089">
        <f t="shared" si="63"/>
        <v>6.4229300077813427</v>
      </c>
      <c r="U2089">
        <v>297</v>
      </c>
      <c r="V2089">
        <v>0</v>
      </c>
      <c r="W2089">
        <v>608</v>
      </c>
      <c r="X2089">
        <v>220</v>
      </c>
      <c r="Y2089">
        <v>57.4</v>
      </c>
      <c r="Z2089">
        <v>41.3</v>
      </c>
      <c r="AA2089">
        <v>73.5</v>
      </c>
    </row>
    <row r="2090" spans="1:27" x14ac:dyDescent="0.25">
      <c r="A2090" t="s">
        <v>245</v>
      </c>
      <c r="B2090" t="s">
        <v>214</v>
      </c>
      <c r="C2090" s="76">
        <v>43944</v>
      </c>
      <c r="D2090">
        <v>2006</v>
      </c>
      <c r="E2090">
        <v>439</v>
      </c>
      <c r="F2090">
        <v>3572</v>
      </c>
      <c r="G2090">
        <v>1729</v>
      </c>
      <c r="H2090">
        <v>53.7</v>
      </c>
      <c r="I2090">
        <v>43.4</v>
      </c>
      <c r="J2090">
        <v>64</v>
      </c>
      <c r="K2090">
        <v>92</v>
      </c>
      <c r="L2090">
        <v>22</v>
      </c>
      <c r="M2090">
        <v>162</v>
      </c>
      <c r="N2090">
        <v>2.5</v>
      </c>
      <c r="O2090">
        <v>1.7</v>
      </c>
      <c r="P2090">
        <v>3.2</v>
      </c>
      <c r="Q2090">
        <f t="shared" si="64"/>
        <v>1354522</v>
      </c>
      <c r="R2090">
        <f t="shared" si="63"/>
        <v>6.7920639162745235</v>
      </c>
      <c r="U2090">
        <v>293</v>
      </c>
      <c r="V2090">
        <v>0</v>
      </c>
      <c r="W2090">
        <v>595</v>
      </c>
      <c r="X2090">
        <v>227</v>
      </c>
      <c r="Y2090">
        <v>56.3</v>
      </c>
      <c r="Z2090">
        <v>41.7</v>
      </c>
      <c r="AA2090">
        <v>71</v>
      </c>
    </row>
    <row r="2091" spans="1:27" x14ac:dyDescent="0.25">
      <c r="A2091" t="s">
        <v>245</v>
      </c>
      <c r="B2091" t="s">
        <v>214</v>
      </c>
      <c r="C2091" s="76">
        <v>43945</v>
      </c>
      <c r="D2091">
        <v>1978</v>
      </c>
      <c r="E2091">
        <v>416</v>
      </c>
      <c r="F2091">
        <v>3540</v>
      </c>
      <c r="G2091">
        <v>1731</v>
      </c>
      <c r="H2091">
        <v>53.3</v>
      </c>
      <c r="I2091">
        <v>42.6</v>
      </c>
      <c r="J2091">
        <v>64.099999999999994</v>
      </c>
      <c r="K2091">
        <v>79</v>
      </c>
      <c r="L2091">
        <v>9</v>
      </c>
      <c r="M2091">
        <v>149</v>
      </c>
      <c r="N2091">
        <v>2.1</v>
      </c>
      <c r="O2091">
        <v>1.3</v>
      </c>
      <c r="P2091">
        <v>2.9</v>
      </c>
      <c r="Q2091">
        <f t="shared" si="64"/>
        <v>1354522</v>
      </c>
      <c r="R2091">
        <f t="shared" si="63"/>
        <v>5.8323157541922539</v>
      </c>
      <c r="U2091">
        <v>299</v>
      </c>
      <c r="V2091">
        <v>0</v>
      </c>
      <c r="W2091">
        <v>600</v>
      </c>
      <c r="X2091">
        <v>234</v>
      </c>
      <c r="Y2091">
        <v>56.1</v>
      </c>
      <c r="Z2091">
        <v>47</v>
      </c>
      <c r="AA2091">
        <v>65.099999999999994</v>
      </c>
    </row>
    <row r="2092" spans="1:27" x14ac:dyDescent="0.25">
      <c r="A2092" t="s">
        <v>245</v>
      </c>
      <c r="B2092" t="s">
        <v>214</v>
      </c>
      <c r="C2092" s="76">
        <v>43946</v>
      </c>
      <c r="D2092">
        <v>1975</v>
      </c>
      <c r="E2092">
        <v>449</v>
      </c>
      <c r="F2092">
        <v>3501</v>
      </c>
      <c r="G2092">
        <v>1740</v>
      </c>
      <c r="H2092">
        <v>53.2</v>
      </c>
      <c r="I2092">
        <v>42.9</v>
      </c>
      <c r="J2092">
        <v>63.4</v>
      </c>
      <c r="K2092">
        <v>94</v>
      </c>
      <c r="L2092">
        <v>24</v>
      </c>
      <c r="M2092">
        <v>163</v>
      </c>
      <c r="N2092">
        <v>2.5</v>
      </c>
      <c r="O2092">
        <v>1.7</v>
      </c>
      <c r="P2092">
        <v>3.4</v>
      </c>
      <c r="Q2092">
        <f t="shared" si="64"/>
        <v>1354522</v>
      </c>
      <c r="R2092">
        <f t="shared" si="63"/>
        <v>6.9397174796717955</v>
      </c>
      <c r="U2092">
        <v>290</v>
      </c>
      <c r="V2092">
        <v>2</v>
      </c>
      <c r="W2092">
        <v>579</v>
      </c>
      <c r="X2092">
        <v>233</v>
      </c>
      <c r="Y2092">
        <v>55.5</v>
      </c>
      <c r="Z2092">
        <v>44.6</v>
      </c>
      <c r="AA2092">
        <v>66.400000000000006</v>
      </c>
    </row>
    <row r="2093" spans="1:27" x14ac:dyDescent="0.25">
      <c r="A2093" t="s">
        <v>245</v>
      </c>
      <c r="B2093" t="s">
        <v>214</v>
      </c>
      <c r="C2093" s="76">
        <v>43947</v>
      </c>
      <c r="D2093">
        <v>1908</v>
      </c>
      <c r="E2093">
        <v>444</v>
      </c>
      <c r="F2093">
        <v>3373</v>
      </c>
      <c r="G2093">
        <v>1786</v>
      </c>
      <c r="H2093">
        <v>51.6</v>
      </c>
      <c r="I2093">
        <v>42.7</v>
      </c>
      <c r="J2093">
        <v>60.6</v>
      </c>
      <c r="K2093">
        <v>84</v>
      </c>
      <c r="L2093">
        <v>12</v>
      </c>
      <c r="M2093">
        <v>157</v>
      </c>
      <c r="N2093">
        <v>2.2999999999999998</v>
      </c>
      <c r="O2093">
        <v>1.5</v>
      </c>
      <c r="P2093">
        <v>3.1</v>
      </c>
      <c r="Q2093">
        <f t="shared" si="64"/>
        <v>1354522</v>
      </c>
      <c r="R2093">
        <f t="shared" si="63"/>
        <v>6.2014496626854339</v>
      </c>
      <c r="U2093">
        <v>295</v>
      </c>
      <c r="V2093">
        <v>12</v>
      </c>
      <c r="W2093">
        <v>578</v>
      </c>
      <c r="X2093">
        <v>233</v>
      </c>
      <c r="Y2093">
        <v>55.9</v>
      </c>
      <c r="Z2093">
        <v>48</v>
      </c>
      <c r="AA2093">
        <v>63.7</v>
      </c>
    </row>
    <row r="2094" spans="1:27" x14ac:dyDescent="0.25">
      <c r="A2094" t="s">
        <v>245</v>
      </c>
      <c r="B2094" t="s">
        <v>214</v>
      </c>
      <c r="C2094" s="76">
        <v>43948</v>
      </c>
      <c r="D2094">
        <v>1976</v>
      </c>
      <c r="E2094">
        <v>457</v>
      </c>
      <c r="F2094">
        <v>3495</v>
      </c>
      <c r="G2094">
        <v>1765</v>
      </c>
      <c r="H2094">
        <v>52.8</v>
      </c>
      <c r="I2094">
        <v>43.8</v>
      </c>
      <c r="J2094">
        <v>61.9</v>
      </c>
      <c r="K2094">
        <v>102</v>
      </c>
      <c r="L2094">
        <v>19</v>
      </c>
      <c r="M2094">
        <v>185</v>
      </c>
      <c r="N2094">
        <v>2.7</v>
      </c>
      <c r="O2094">
        <v>1.9</v>
      </c>
      <c r="P2094">
        <v>3.6</v>
      </c>
      <c r="Q2094">
        <f t="shared" si="64"/>
        <v>1354522</v>
      </c>
      <c r="R2094">
        <f t="shared" si="63"/>
        <v>7.5303317332608843</v>
      </c>
      <c r="U2094">
        <v>302</v>
      </c>
      <c r="V2094">
        <v>0</v>
      </c>
      <c r="W2094">
        <v>608</v>
      </c>
      <c r="X2094">
        <v>220</v>
      </c>
      <c r="Y2094">
        <v>57.8</v>
      </c>
      <c r="Z2094">
        <v>47.5</v>
      </c>
      <c r="AA2094">
        <v>68.099999999999994</v>
      </c>
    </row>
    <row r="2095" spans="1:27" x14ac:dyDescent="0.25">
      <c r="A2095" t="s">
        <v>245</v>
      </c>
      <c r="B2095" t="s">
        <v>214</v>
      </c>
      <c r="C2095" s="76">
        <v>43949</v>
      </c>
      <c r="D2095">
        <v>1955</v>
      </c>
      <c r="E2095">
        <v>449</v>
      </c>
      <c r="F2095">
        <v>3461</v>
      </c>
      <c r="G2095">
        <v>1726</v>
      </c>
      <c r="H2095">
        <v>53.1</v>
      </c>
      <c r="I2095">
        <v>43.5</v>
      </c>
      <c r="J2095">
        <v>62.7</v>
      </c>
      <c r="K2095">
        <v>90</v>
      </c>
      <c r="L2095">
        <v>13</v>
      </c>
      <c r="M2095">
        <v>167</v>
      </c>
      <c r="N2095">
        <v>2.4</v>
      </c>
      <c r="O2095">
        <v>1.6</v>
      </c>
      <c r="P2095">
        <v>3.2</v>
      </c>
      <c r="Q2095">
        <f t="shared" si="64"/>
        <v>1354522</v>
      </c>
      <c r="R2095">
        <f t="shared" si="63"/>
        <v>6.6444103528772516</v>
      </c>
      <c r="U2095">
        <v>312</v>
      </c>
      <c r="V2095">
        <v>0</v>
      </c>
      <c r="W2095">
        <v>636</v>
      </c>
      <c r="X2095">
        <v>214</v>
      </c>
      <c r="Y2095">
        <v>59.3</v>
      </c>
      <c r="Z2095">
        <v>44.4</v>
      </c>
      <c r="AA2095">
        <v>74.2</v>
      </c>
    </row>
    <row r="2096" spans="1:27" x14ac:dyDescent="0.25">
      <c r="A2096" t="s">
        <v>245</v>
      </c>
      <c r="B2096" t="s">
        <v>214</v>
      </c>
      <c r="C2096" s="76">
        <v>43950</v>
      </c>
      <c r="D2096">
        <v>2002</v>
      </c>
      <c r="E2096">
        <v>442</v>
      </c>
      <c r="F2096">
        <v>3563</v>
      </c>
      <c r="G2096">
        <v>1706</v>
      </c>
      <c r="H2096">
        <v>54</v>
      </c>
      <c r="I2096">
        <v>43.9</v>
      </c>
      <c r="J2096">
        <v>64.099999999999994</v>
      </c>
      <c r="K2096">
        <v>87</v>
      </c>
      <c r="L2096">
        <v>18</v>
      </c>
      <c r="M2096">
        <v>156</v>
      </c>
      <c r="N2096">
        <v>2.2999999999999998</v>
      </c>
      <c r="O2096">
        <v>1.7</v>
      </c>
      <c r="P2096">
        <v>3</v>
      </c>
      <c r="Q2096">
        <f t="shared" si="64"/>
        <v>1354522</v>
      </c>
      <c r="R2096">
        <f t="shared" si="63"/>
        <v>6.4229300077813427</v>
      </c>
      <c r="U2096">
        <v>305</v>
      </c>
      <c r="V2096">
        <v>0</v>
      </c>
      <c r="W2096">
        <v>623</v>
      </c>
      <c r="X2096">
        <v>226</v>
      </c>
      <c r="Y2096">
        <v>57.5</v>
      </c>
      <c r="Z2096">
        <v>44.9</v>
      </c>
      <c r="AA2096">
        <v>70</v>
      </c>
    </row>
    <row r="2097" spans="1:27" x14ac:dyDescent="0.25">
      <c r="A2097" t="s">
        <v>245</v>
      </c>
      <c r="B2097" t="s">
        <v>214</v>
      </c>
      <c r="C2097" s="76">
        <v>43951</v>
      </c>
      <c r="D2097">
        <v>1981</v>
      </c>
      <c r="E2097">
        <v>441</v>
      </c>
      <c r="F2097">
        <v>3521</v>
      </c>
      <c r="G2097">
        <v>1686</v>
      </c>
      <c r="H2097">
        <v>54</v>
      </c>
      <c r="I2097">
        <v>44.6</v>
      </c>
      <c r="J2097">
        <v>63.4</v>
      </c>
      <c r="K2097">
        <v>92</v>
      </c>
      <c r="L2097">
        <v>13</v>
      </c>
      <c r="M2097">
        <v>171</v>
      </c>
      <c r="N2097">
        <v>2.5</v>
      </c>
      <c r="O2097">
        <v>1.7</v>
      </c>
      <c r="P2097">
        <v>3.3</v>
      </c>
      <c r="Q2097">
        <f t="shared" si="64"/>
        <v>1354522</v>
      </c>
      <c r="R2097">
        <f t="shared" si="63"/>
        <v>6.7920639162745235</v>
      </c>
      <c r="U2097">
        <v>291</v>
      </c>
      <c r="V2097">
        <v>2</v>
      </c>
      <c r="W2097">
        <v>580</v>
      </c>
      <c r="X2097">
        <v>250</v>
      </c>
      <c r="Y2097">
        <v>53.8</v>
      </c>
      <c r="Z2097">
        <v>44.5</v>
      </c>
      <c r="AA2097">
        <v>63.1</v>
      </c>
    </row>
    <row r="2098" spans="1:27" x14ac:dyDescent="0.25">
      <c r="A2098" t="s">
        <v>245</v>
      </c>
      <c r="B2098" t="s">
        <v>214</v>
      </c>
      <c r="C2098" s="76">
        <v>43952</v>
      </c>
      <c r="D2098">
        <v>1999</v>
      </c>
      <c r="E2098">
        <v>418</v>
      </c>
      <c r="F2098">
        <v>3580</v>
      </c>
      <c r="G2098">
        <v>1683</v>
      </c>
      <c r="H2098">
        <v>54.3</v>
      </c>
      <c r="I2098">
        <v>43.8</v>
      </c>
      <c r="J2098">
        <v>64.8</v>
      </c>
      <c r="K2098">
        <v>91</v>
      </c>
      <c r="L2098">
        <v>14</v>
      </c>
      <c r="M2098">
        <v>168</v>
      </c>
      <c r="N2098">
        <v>2.4</v>
      </c>
      <c r="O2098">
        <v>1.6</v>
      </c>
      <c r="P2098">
        <v>3.3</v>
      </c>
      <c r="Q2098">
        <f t="shared" si="64"/>
        <v>1354522</v>
      </c>
      <c r="R2098">
        <f t="shared" si="63"/>
        <v>6.7182371345758876</v>
      </c>
      <c r="U2098">
        <v>304</v>
      </c>
      <c r="V2098">
        <v>0</v>
      </c>
      <c r="W2098">
        <v>615</v>
      </c>
      <c r="X2098">
        <v>227</v>
      </c>
      <c r="Y2098">
        <v>57.2</v>
      </c>
      <c r="Z2098">
        <v>46.1</v>
      </c>
      <c r="AA2098">
        <v>68.3</v>
      </c>
    </row>
    <row r="2099" spans="1:27" x14ac:dyDescent="0.25">
      <c r="A2099" t="s">
        <v>245</v>
      </c>
      <c r="B2099" t="s">
        <v>214</v>
      </c>
      <c r="C2099" s="76">
        <v>43953</v>
      </c>
      <c r="D2099">
        <v>1879</v>
      </c>
      <c r="E2099">
        <v>389</v>
      </c>
      <c r="F2099">
        <v>3369</v>
      </c>
      <c r="G2099">
        <v>1773</v>
      </c>
      <c r="H2099">
        <v>51.5</v>
      </c>
      <c r="I2099">
        <v>41.6</v>
      </c>
      <c r="J2099">
        <v>61.3</v>
      </c>
      <c r="K2099">
        <v>92</v>
      </c>
      <c r="L2099">
        <v>14</v>
      </c>
      <c r="M2099">
        <v>169</v>
      </c>
      <c r="N2099">
        <v>2.5</v>
      </c>
      <c r="O2099">
        <v>1.7</v>
      </c>
      <c r="P2099">
        <v>3.3</v>
      </c>
      <c r="Q2099">
        <f t="shared" si="64"/>
        <v>1354522</v>
      </c>
      <c r="R2099">
        <f t="shared" si="63"/>
        <v>6.7920639162745235</v>
      </c>
      <c r="U2099">
        <v>311</v>
      </c>
      <c r="V2099">
        <v>0</v>
      </c>
      <c r="W2099">
        <v>634</v>
      </c>
      <c r="X2099">
        <v>224</v>
      </c>
      <c r="Y2099">
        <v>58.1</v>
      </c>
      <c r="Z2099">
        <v>45.1</v>
      </c>
      <c r="AA2099">
        <v>71.2</v>
      </c>
    </row>
    <row r="2100" spans="1:27" x14ac:dyDescent="0.25">
      <c r="A2100" t="s">
        <v>245</v>
      </c>
      <c r="B2100" t="s">
        <v>214</v>
      </c>
      <c r="C2100" s="76">
        <v>43954</v>
      </c>
      <c r="D2100">
        <v>1937</v>
      </c>
      <c r="E2100">
        <v>420</v>
      </c>
      <c r="F2100">
        <v>3454</v>
      </c>
      <c r="G2100">
        <v>1715</v>
      </c>
      <c r="H2100">
        <v>53</v>
      </c>
      <c r="I2100">
        <v>42.4</v>
      </c>
      <c r="J2100">
        <v>63.7</v>
      </c>
      <c r="K2100">
        <v>94</v>
      </c>
      <c r="L2100">
        <v>15</v>
      </c>
      <c r="M2100">
        <v>172</v>
      </c>
      <c r="N2100">
        <v>2.6</v>
      </c>
      <c r="O2100">
        <v>1.6</v>
      </c>
      <c r="P2100">
        <v>3.6</v>
      </c>
      <c r="Q2100">
        <f t="shared" si="64"/>
        <v>1354522</v>
      </c>
      <c r="R2100">
        <f t="shared" si="63"/>
        <v>6.9397174796717955</v>
      </c>
      <c r="U2100">
        <v>309</v>
      </c>
      <c r="V2100">
        <v>0</v>
      </c>
      <c r="W2100">
        <v>625</v>
      </c>
      <c r="X2100">
        <v>228</v>
      </c>
      <c r="Y2100">
        <v>57.5</v>
      </c>
      <c r="Z2100">
        <v>44.2</v>
      </c>
      <c r="AA2100">
        <v>70.7</v>
      </c>
    </row>
    <row r="2101" spans="1:27" x14ac:dyDescent="0.25">
      <c r="A2101" t="s">
        <v>245</v>
      </c>
      <c r="B2101" t="s">
        <v>214</v>
      </c>
      <c r="C2101" s="76">
        <v>43955</v>
      </c>
      <c r="D2101">
        <v>1967</v>
      </c>
      <c r="E2101">
        <v>405</v>
      </c>
      <c r="F2101">
        <v>3528</v>
      </c>
      <c r="G2101">
        <v>1670</v>
      </c>
      <c r="H2101">
        <v>54.1</v>
      </c>
      <c r="I2101">
        <v>42.9</v>
      </c>
      <c r="J2101">
        <v>65.3</v>
      </c>
      <c r="K2101">
        <v>86</v>
      </c>
      <c r="L2101">
        <v>10</v>
      </c>
      <c r="M2101">
        <v>161</v>
      </c>
      <c r="N2101">
        <v>2.2999999999999998</v>
      </c>
      <c r="O2101">
        <v>1.6</v>
      </c>
      <c r="P2101">
        <v>3.1</v>
      </c>
      <c r="Q2101">
        <f t="shared" si="64"/>
        <v>1354522</v>
      </c>
      <c r="R2101">
        <f t="shared" si="63"/>
        <v>6.3491032260827076</v>
      </c>
      <c r="U2101">
        <v>308</v>
      </c>
      <c r="V2101">
        <v>0</v>
      </c>
      <c r="W2101">
        <v>627</v>
      </c>
      <c r="X2101">
        <v>226</v>
      </c>
      <c r="Y2101">
        <v>57.7</v>
      </c>
      <c r="Z2101">
        <v>44.1</v>
      </c>
      <c r="AA2101">
        <v>71.2</v>
      </c>
    </row>
    <row r="2102" spans="1:27" x14ac:dyDescent="0.25">
      <c r="A2102" t="s">
        <v>245</v>
      </c>
      <c r="B2102" t="s">
        <v>214</v>
      </c>
      <c r="C2102" s="76">
        <v>43956</v>
      </c>
      <c r="D2102">
        <v>2054</v>
      </c>
      <c r="E2102">
        <v>429</v>
      </c>
      <c r="F2102">
        <v>3679</v>
      </c>
      <c r="G2102">
        <v>1570</v>
      </c>
      <c r="H2102">
        <v>56.7</v>
      </c>
      <c r="I2102">
        <v>44.9</v>
      </c>
      <c r="J2102">
        <v>68.5</v>
      </c>
      <c r="K2102">
        <v>92</v>
      </c>
      <c r="L2102">
        <v>7</v>
      </c>
      <c r="M2102">
        <v>177</v>
      </c>
      <c r="N2102">
        <v>2.5</v>
      </c>
      <c r="O2102">
        <v>1.6</v>
      </c>
      <c r="P2102">
        <v>3.4</v>
      </c>
      <c r="Q2102">
        <f t="shared" si="64"/>
        <v>1354522</v>
      </c>
      <c r="R2102">
        <f t="shared" si="63"/>
        <v>6.7920639162745235</v>
      </c>
      <c r="U2102">
        <v>312</v>
      </c>
      <c r="V2102">
        <v>0</v>
      </c>
      <c r="W2102">
        <v>630</v>
      </c>
      <c r="X2102">
        <v>204</v>
      </c>
      <c r="Y2102">
        <v>60.5</v>
      </c>
      <c r="Z2102">
        <v>46.6</v>
      </c>
      <c r="AA2102">
        <v>74.3</v>
      </c>
    </row>
    <row r="2103" spans="1:27" x14ac:dyDescent="0.25">
      <c r="A2103" t="s">
        <v>245</v>
      </c>
      <c r="B2103" t="s">
        <v>214</v>
      </c>
      <c r="C2103" s="76">
        <v>43957</v>
      </c>
      <c r="D2103">
        <v>2071</v>
      </c>
      <c r="E2103">
        <v>448</v>
      </c>
      <c r="F2103">
        <v>3695</v>
      </c>
      <c r="G2103">
        <v>1600</v>
      </c>
      <c r="H2103">
        <v>56.4</v>
      </c>
      <c r="I2103">
        <v>45.6</v>
      </c>
      <c r="J2103">
        <v>67.2</v>
      </c>
      <c r="K2103">
        <v>82</v>
      </c>
      <c r="L2103">
        <v>6</v>
      </c>
      <c r="M2103">
        <v>158</v>
      </c>
      <c r="N2103">
        <v>2.2000000000000002</v>
      </c>
      <c r="O2103">
        <v>1.4</v>
      </c>
      <c r="P2103">
        <v>3</v>
      </c>
      <c r="Q2103">
        <f t="shared" si="64"/>
        <v>1354522</v>
      </c>
      <c r="R2103">
        <f t="shared" si="63"/>
        <v>6.0537960992881619</v>
      </c>
      <c r="U2103">
        <v>322</v>
      </c>
      <c r="V2103">
        <v>0</v>
      </c>
      <c r="W2103">
        <v>646</v>
      </c>
      <c r="X2103">
        <v>214</v>
      </c>
      <c r="Y2103">
        <v>60.1</v>
      </c>
      <c r="Z2103">
        <v>46.9</v>
      </c>
      <c r="AA2103">
        <v>73.400000000000006</v>
      </c>
    </row>
    <row r="2104" spans="1:27" x14ac:dyDescent="0.25">
      <c r="A2104" t="s">
        <v>245</v>
      </c>
      <c r="B2104" t="s">
        <v>214</v>
      </c>
      <c r="C2104" s="76">
        <v>43958</v>
      </c>
      <c r="D2104">
        <v>2111</v>
      </c>
      <c r="E2104">
        <v>473</v>
      </c>
      <c r="F2104">
        <v>3750</v>
      </c>
      <c r="G2104">
        <v>1565</v>
      </c>
      <c r="H2104">
        <v>57.4</v>
      </c>
      <c r="I2104">
        <v>47.6</v>
      </c>
      <c r="J2104">
        <v>67.3</v>
      </c>
      <c r="K2104">
        <v>95</v>
      </c>
      <c r="L2104">
        <v>0</v>
      </c>
      <c r="M2104">
        <v>190</v>
      </c>
      <c r="N2104">
        <v>2.6</v>
      </c>
      <c r="O2104">
        <v>1.5</v>
      </c>
      <c r="P2104">
        <v>3.7</v>
      </c>
      <c r="Q2104">
        <f t="shared" si="64"/>
        <v>1354522</v>
      </c>
      <c r="R2104">
        <f t="shared" si="63"/>
        <v>7.0135442613704315</v>
      </c>
      <c r="U2104">
        <v>321</v>
      </c>
      <c r="V2104">
        <v>2</v>
      </c>
      <c r="W2104">
        <v>641</v>
      </c>
      <c r="X2104">
        <v>211</v>
      </c>
      <c r="Y2104">
        <v>60.4</v>
      </c>
      <c r="Z2104">
        <v>47.9</v>
      </c>
      <c r="AA2104">
        <v>72.900000000000006</v>
      </c>
    </row>
    <row r="2105" spans="1:27" x14ac:dyDescent="0.25">
      <c r="A2105" t="s">
        <v>245</v>
      </c>
      <c r="B2105" t="s">
        <v>214</v>
      </c>
      <c r="C2105" s="76">
        <v>43959</v>
      </c>
      <c r="D2105">
        <v>2101</v>
      </c>
      <c r="E2105">
        <v>458</v>
      </c>
      <c r="F2105">
        <v>3744</v>
      </c>
      <c r="G2105">
        <v>1560</v>
      </c>
      <c r="H2105">
        <v>57.4</v>
      </c>
      <c r="I2105">
        <v>46.4</v>
      </c>
      <c r="J2105">
        <v>68.3</v>
      </c>
      <c r="K2105">
        <v>94</v>
      </c>
      <c r="L2105">
        <v>4</v>
      </c>
      <c r="M2105">
        <v>185</v>
      </c>
      <c r="N2105">
        <v>2.6</v>
      </c>
      <c r="O2105">
        <v>1.6</v>
      </c>
      <c r="P2105">
        <v>3.5</v>
      </c>
      <c r="Q2105">
        <f t="shared" si="64"/>
        <v>1354522</v>
      </c>
      <c r="R2105">
        <f t="shared" si="63"/>
        <v>6.9397174796717955</v>
      </c>
      <c r="U2105">
        <v>326</v>
      </c>
      <c r="V2105">
        <v>4</v>
      </c>
      <c r="W2105">
        <v>647</v>
      </c>
      <c r="X2105">
        <v>220</v>
      </c>
      <c r="Y2105">
        <v>59.7</v>
      </c>
      <c r="Z2105">
        <v>47.5</v>
      </c>
      <c r="AA2105">
        <v>72</v>
      </c>
    </row>
    <row r="2106" spans="1:27" x14ac:dyDescent="0.25">
      <c r="A2106" t="s">
        <v>245</v>
      </c>
      <c r="B2106" t="s">
        <v>214</v>
      </c>
      <c r="C2106" s="76">
        <v>43960</v>
      </c>
      <c r="D2106">
        <v>1955</v>
      </c>
      <c r="E2106">
        <v>412</v>
      </c>
      <c r="F2106">
        <v>3497</v>
      </c>
      <c r="G2106">
        <v>1735</v>
      </c>
      <c r="H2106">
        <v>53</v>
      </c>
      <c r="I2106">
        <v>42.8</v>
      </c>
      <c r="J2106">
        <v>63.2</v>
      </c>
      <c r="K2106">
        <v>77</v>
      </c>
      <c r="L2106">
        <v>10</v>
      </c>
      <c r="M2106">
        <v>145</v>
      </c>
      <c r="N2106">
        <v>2.1</v>
      </c>
      <c r="O2106">
        <v>1.4</v>
      </c>
      <c r="P2106">
        <v>2.8</v>
      </c>
      <c r="Q2106">
        <f t="shared" si="64"/>
        <v>1354522</v>
      </c>
      <c r="R2106">
        <f t="shared" si="63"/>
        <v>5.6846621907949819</v>
      </c>
      <c r="U2106">
        <v>307</v>
      </c>
      <c r="V2106">
        <v>0</v>
      </c>
      <c r="W2106">
        <v>614</v>
      </c>
      <c r="X2106">
        <v>231</v>
      </c>
      <c r="Y2106">
        <v>57</v>
      </c>
      <c r="Z2106">
        <v>42.8</v>
      </c>
      <c r="AA2106">
        <v>71.099999999999994</v>
      </c>
    </row>
    <row r="2107" spans="1:27" x14ac:dyDescent="0.25">
      <c r="A2107" t="s">
        <v>245</v>
      </c>
      <c r="B2107" t="s">
        <v>214</v>
      </c>
      <c r="C2107" s="76">
        <v>43961</v>
      </c>
      <c r="D2107">
        <v>1945</v>
      </c>
      <c r="E2107">
        <v>432</v>
      </c>
      <c r="F2107">
        <v>3457</v>
      </c>
      <c r="G2107">
        <v>1676</v>
      </c>
      <c r="H2107">
        <v>53.7</v>
      </c>
      <c r="I2107">
        <v>42.9</v>
      </c>
      <c r="J2107">
        <v>64.5</v>
      </c>
      <c r="K2107">
        <v>72</v>
      </c>
      <c r="L2107">
        <v>0</v>
      </c>
      <c r="M2107">
        <v>146</v>
      </c>
      <c r="N2107">
        <v>2</v>
      </c>
      <c r="O2107">
        <v>1.2</v>
      </c>
      <c r="P2107">
        <v>2.8</v>
      </c>
      <c r="Q2107">
        <f t="shared" si="64"/>
        <v>1354522</v>
      </c>
      <c r="R2107">
        <f t="shared" si="63"/>
        <v>5.3155282823018011</v>
      </c>
      <c r="U2107">
        <v>311</v>
      </c>
      <c r="V2107">
        <v>0</v>
      </c>
      <c r="W2107">
        <v>628</v>
      </c>
      <c r="X2107">
        <v>230</v>
      </c>
      <c r="Y2107">
        <v>57.5</v>
      </c>
      <c r="Z2107">
        <v>41.7</v>
      </c>
      <c r="AA2107">
        <v>73.3</v>
      </c>
    </row>
    <row r="2108" spans="1:27" x14ac:dyDescent="0.25">
      <c r="A2108" t="s">
        <v>245</v>
      </c>
      <c r="B2108" t="s">
        <v>214</v>
      </c>
      <c r="C2108" s="76">
        <v>43962</v>
      </c>
      <c r="D2108">
        <v>1918</v>
      </c>
      <c r="E2108">
        <v>435</v>
      </c>
      <c r="F2108">
        <v>3401</v>
      </c>
      <c r="G2108">
        <v>1707</v>
      </c>
      <c r="H2108">
        <v>52.9</v>
      </c>
      <c r="I2108">
        <v>44.1</v>
      </c>
      <c r="J2108">
        <v>61.7</v>
      </c>
      <c r="K2108">
        <v>75</v>
      </c>
      <c r="L2108">
        <v>2</v>
      </c>
      <c r="M2108">
        <v>149</v>
      </c>
      <c r="N2108">
        <v>2.1</v>
      </c>
      <c r="O2108">
        <v>1.3</v>
      </c>
      <c r="P2108">
        <v>2.9</v>
      </c>
      <c r="Q2108">
        <f t="shared" si="64"/>
        <v>1354522</v>
      </c>
      <c r="R2108">
        <f t="shared" si="63"/>
        <v>5.537008627397709</v>
      </c>
      <c r="U2108">
        <v>319</v>
      </c>
      <c r="V2108">
        <v>8</v>
      </c>
      <c r="W2108">
        <v>631</v>
      </c>
      <c r="X2108">
        <v>222</v>
      </c>
      <c r="Y2108">
        <v>59</v>
      </c>
      <c r="Z2108">
        <v>46.6</v>
      </c>
      <c r="AA2108">
        <v>71.3</v>
      </c>
    </row>
    <row r="2109" spans="1:27" x14ac:dyDescent="0.25">
      <c r="A2109" t="s">
        <v>245</v>
      </c>
      <c r="B2109" t="s">
        <v>214</v>
      </c>
      <c r="C2109" s="76">
        <v>43963</v>
      </c>
      <c r="D2109">
        <v>2048</v>
      </c>
      <c r="E2109">
        <v>479</v>
      </c>
      <c r="F2109">
        <v>3617</v>
      </c>
      <c r="G2109">
        <v>1617</v>
      </c>
      <c r="H2109">
        <v>55.9</v>
      </c>
      <c r="I2109">
        <v>46.3</v>
      </c>
      <c r="J2109">
        <v>65.400000000000006</v>
      </c>
      <c r="K2109">
        <v>88</v>
      </c>
      <c r="L2109">
        <v>12</v>
      </c>
      <c r="M2109">
        <v>164</v>
      </c>
      <c r="N2109">
        <v>2.4</v>
      </c>
      <c r="O2109">
        <v>1.4</v>
      </c>
      <c r="P2109">
        <v>3.4</v>
      </c>
      <c r="Q2109">
        <f t="shared" si="64"/>
        <v>1354522</v>
      </c>
      <c r="R2109">
        <f t="shared" si="63"/>
        <v>6.4967567894799796</v>
      </c>
      <c r="U2109">
        <v>321</v>
      </c>
      <c r="V2109">
        <v>19</v>
      </c>
      <c r="W2109">
        <v>623</v>
      </c>
      <c r="X2109">
        <v>211</v>
      </c>
      <c r="Y2109">
        <v>60.3</v>
      </c>
      <c r="Z2109">
        <v>50.2</v>
      </c>
      <c r="AA2109">
        <v>70.400000000000006</v>
      </c>
    </row>
    <row r="2110" spans="1:27" x14ac:dyDescent="0.25">
      <c r="A2110" t="s">
        <v>245</v>
      </c>
      <c r="B2110" t="s">
        <v>214</v>
      </c>
      <c r="C2110" s="76">
        <v>43964</v>
      </c>
      <c r="D2110">
        <v>2118</v>
      </c>
      <c r="E2110">
        <v>468</v>
      </c>
      <c r="F2110">
        <v>3769</v>
      </c>
      <c r="G2110">
        <v>1572</v>
      </c>
      <c r="H2110">
        <v>57.4</v>
      </c>
      <c r="I2110">
        <v>46.9</v>
      </c>
      <c r="J2110">
        <v>67.900000000000006</v>
      </c>
      <c r="K2110">
        <v>80</v>
      </c>
      <c r="L2110">
        <v>0</v>
      </c>
      <c r="M2110">
        <v>167</v>
      </c>
      <c r="N2110">
        <v>2.2000000000000002</v>
      </c>
      <c r="O2110">
        <v>1</v>
      </c>
      <c r="P2110">
        <v>3.4</v>
      </c>
      <c r="Q2110">
        <f t="shared" si="64"/>
        <v>1354522</v>
      </c>
      <c r="R2110">
        <f t="shared" si="63"/>
        <v>5.9061425358908899</v>
      </c>
      <c r="U2110">
        <v>331</v>
      </c>
      <c r="V2110">
        <v>10</v>
      </c>
      <c r="W2110">
        <v>651</v>
      </c>
      <c r="X2110">
        <v>221</v>
      </c>
      <c r="Y2110">
        <v>60</v>
      </c>
      <c r="Z2110">
        <v>49.7</v>
      </c>
      <c r="AA2110">
        <v>70.2</v>
      </c>
    </row>
    <row r="2111" spans="1:27" x14ac:dyDescent="0.25">
      <c r="A2111" t="s">
        <v>245</v>
      </c>
      <c r="B2111" t="s">
        <v>214</v>
      </c>
      <c r="C2111" s="76">
        <v>43965</v>
      </c>
      <c r="D2111">
        <v>2152</v>
      </c>
      <c r="E2111">
        <v>471</v>
      </c>
      <c r="F2111">
        <v>3833</v>
      </c>
      <c r="G2111">
        <v>1533</v>
      </c>
      <c r="H2111">
        <v>58.4</v>
      </c>
      <c r="I2111">
        <v>47.1</v>
      </c>
      <c r="J2111">
        <v>69.599999999999994</v>
      </c>
      <c r="K2111">
        <v>79</v>
      </c>
      <c r="L2111">
        <v>5</v>
      </c>
      <c r="M2111">
        <v>152</v>
      </c>
      <c r="N2111">
        <v>2.1</v>
      </c>
      <c r="O2111">
        <v>1.2</v>
      </c>
      <c r="P2111">
        <v>3.1</v>
      </c>
      <c r="Q2111">
        <f t="shared" si="64"/>
        <v>1354522</v>
      </c>
      <c r="R2111">
        <f t="shared" si="63"/>
        <v>5.8323157541922539</v>
      </c>
      <c r="U2111">
        <v>310</v>
      </c>
      <c r="V2111">
        <v>14</v>
      </c>
      <c r="W2111">
        <v>606</v>
      </c>
      <c r="X2111">
        <v>241</v>
      </c>
      <c r="Y2111">
        <v>56.3</v>
      </c>
      <c r="Z2111">
        <v>45.1</v>
      </c>
      <c r="AA2111">
        <v>67.400000000000006</v>
      </c>
    </row>
    <row r="2112" spans="1:27" x14ac:dyDescent="0.25">
      <c r="A2112" t="s">
        <v>245</v>
      </c>
      <c r="B2112" t="s">
        <v>214</v>
      </c>
      <c r="C2112" s="76">
        <v>43966</v>
      </c>
      <c r="D2112">
        <v>2200</v>
      </c>
      <c r="E2112">
        <v>477</v>
      </c>
      <c r="F2112">
        <v>3923</v>
      </c>
      <c r="G2112">
        <v>1506</v>
      </c>
      <c r="H2112">
        <v>59.4</v>
      </c>
      <c r="I2112">
        <v>47.8</v>
      </c>
      <c r="J2112">
        <v>70.900000000000006</v>
      </c>
      <c r="K2112">
        <v>84</v>
      </c>
      <c r="L2112">
        <v>7</v>
      </c>
      <c r="M2112">
        <v>161</v>
      </c>
      <c r="N2112">
        <v>2.2999999999999998</v>
      </c>
      <c r="O2112">
        <v>1.2</v>
      </c>
      <c r="P2112">
        <v>3.3</v>
      </c>
      <c r="Q2112">
        <f t="shared" si="64"/>
        <v>1354522</v>
      </c>
      <c r="R2112">
        <f t="shared" si="63"/>
        <v>6.2014496626854339</v>
      </c>
      <c r="U2112">
        <v>309</v>
      </c>
      <c r="V2112">
        <v>5</v>
      </c>
      <c r="W2112">
        <v>613</v>
      </c>
      <c r="X2112">
        <v>241</v>
      </c>
      <c r="Y2112">
        <v>56.2</v>
      </c>
      <c r="Z2112">
        <v>42.9</v>
      </c>
      <c r="AA2112">
        <v>69.5</v>
      </c>
    </row>
    <row r="2113" spans="1:27" x14ac:dyDescent="0.25">
      <c r="A2113" t="s">
        <v>245</v>
      </c>
      <c r="B2113" t="s">
        <v>214</v>
      </c>
      <c r="C2113" s="76">
        <v>43967</v>
      </c>
      <c r="D2113">
        <v>2092</v>
      </c>
      <c r="E2113">
        <v>456</v>
      </c>
      <c r="F2113">
        <v>3729</v>
      </c>
      <c r="G2113">
        <v>1607</v>
      </c>
      <c r="H2113">
        <v>56.6</v>
      </c>
      <c r="I2113">
        <v>45.4</v>
      </c>
      <c r="J2113">
        <v>67.7</v>
      </c>
      <c r="K2113">
        <v>102</v>
      </c>
      <c r="L2113">
        <v>6</v>
      </c>
      <c r="M2113">
        <v>197</v>
      </c>
      <c r="N2113">
        <v>2.7</v>
      </c>
      <c r="O2113">
        <v>1.4</v>
      </c>
      <c r="P2113">
        <v>4.0999999999999996</v>
      </c>
      <c r="Q2113">
        <f t="shared" si="64"/>
        <v>1354522</v>
      </c>
      <c r="R2113">
        <f t="shared" si="63"/>
        <v>7.5303317332608843</v>
      </c>
      <c r="U2113">
        <v>309</v>
      </c>
      <c r="V2113">
        <v>4</v>
      </c>
      <c r="W2113">
        <v>615</v>
      </c>
      <c r="X2113">
        <v>240</v>
      </c>
      <c r="Y2113">
        <v>56.3</v>
      </c>
      <c r="Z2113">
        <v>43.5</v>
      </c>
      <c r="AA2113">
        <v>69.2</v>
      </c>
    </row>
    <row r="2114" spans="1:27" x14ac:dyDescent="0.25">
      <c r="A2114" t="s">
        <v>245</v>
      </c>
      <c r="B2114" t="s">
        <v>214</v>
      </c>
      <c r="C2114" s="76">
        <v>43968</v>
      </c>
      <c r="D2114">
        <v>2047</v>
      </c>
      <c r="E2114">
        <v>448</v>
      </c>
      <c r="F2114">
        <v>3646</v>
      </c>
      <c r="G2114">
        <v>1637</v>
      </c>
      <c r="H2114">
        <v>55.6</v>
      </c>
      <c r="I2114">
        <v>44.9</v>
      </c>
      <c r="J2114">
        <v>66.2</v>
      </c>
      <c r="K2114">
        <v>75</v>
      </c>
      <c r="L2114">
        <v>5</v>
      </c>
      <c r="M2114">
        <v>146</v>
      </c>
      <c r="N2114">
        <v>2</v>
      </c>
      <c r="O2114">
        <v>1.2</v>
      </c>
      <c r="P2114">
        <v>2.9</v>
      </c>
      <c r="Q2114">
        <f t="shared" si="64"/>
        <v>1354522</v>
      </c>
      <c r="R2114">
        <f t="shared" si="63"/>
        <v>5.537008627397709</v>
      </c>
      <c r="U2114">
        <v>298</v>
      </c>
      <c r="V2114">
        <v>5</v>
      </c>
      <c r="W2114">
        <v>591</v>
      </c>
      <c r="X2114">
        <v>244</v>
      </c>
      <c r="Y2114">
        <v>55</v>
      </c>
      <c r="Z2114">
        <v>46.8</v>
      </c>
      <c r="AA2114">
        <v>63.2</v>
      </c>
    </row>
    <row r="2115" spans="1:27" x14ac:dyDescent="0.25">
      <c r="A2115" t="s">
        <v>245</v>
      </c>
      <c r="B2115" t="s">
        <v>214</v>
      </c>
      <c r="C2115" s="76">
        <v>43969</v>
      </c>
      <c r="D2115">
        <v>2067</v>
      </c>
      <c r="E2115">
        <v>478</v>
      </c>
      <c r="F2115">
        <v>3656</v>
      </c>
      <c r="G2115">
        <v>1631</v>
      </c>
      <c r="H2115">
        <v>55.9</v>
      </c>
      <c r="I2115">
        <v>46.2</v>
      </c>
      <c r="J2115">
        <v>65.599999999999994</v>
      </c>
      <c r="K2115">
        <v>90</v>
      </c>
      <c r="L2115">
        <v>8</v>
      </c>
      <c r="M2115">
        <v>171</v>
      </c>
      <c r="N2115">
        <v>2.4</v>
      </c>
      <c r="O2115">
        <v>1.3</v>
      </c>
      <c r="P2115">
        <v>3.5</v>
      </c>
      <c r="Q2115">
        <f t="shared" si="64"/>
        <v>1354522</v>
      </c>
      <c r="R2115">
        <f t="shared" si="63"/>
        <v>6.6444103528772516</v>
      </c>
      <c r="U2115">
        <v>286</v>
      </c>
      <c r="V2115">
        <v>5</v>
      </c>
      <c r="W2115">
        <v>566</v>
      </c>
      <c r="X2115">
        <v>267</v>
      </c>
      <c r="Y2115">
        <v>51.7</v>
      </c>
      <c r="Z2115">
        <v>40.9</v>
      </c>
      <c r="AA2115">
        <v>62.5</v>
      </c>
    </row>
    <row r="2116" spans="1:27" x14ac:dyDescent="0.25">
      <c r="A2116" t="s">
        <v>245</v>
      </c>
      <c r="B2116" t="s">
        <v>214</v>
      </c>
      <c r="C2116" s="76">
        <v>43970</v>
      </c>
      <c r="D2116">
        <v>2115</v>
      </c>
      <c r="E2116">
        <v>510</v>
      </c>
      <c r="F2116">
        <v>3720</v>
      </c>
      <c r="G2116">
        <v>1577</v>
      </c>
      <c r="H2116">
        <v>57.3</v>
      </c>
      <c r="I2116">
        <v>47.9</v>
      </c>
      <c r="J2116">
        <v>66.599999999999994</v>
      </c>
      <c r="K2116">
        <v>96</v>
      </c>
      <c r="L2116">
        <v>7</v>
      </c>
      <c r="M2116">
        <v>185</v>
      </c>
      <c r="N2116">
        <v>2.6</v>
      </c>
      <c r="O2116">
        <v>1.4</v>
      </c>
      <c r="P2116">
        <v>3.8</v>
      </c>
      <c r="Q2116">
        <f t="shared" si="64"/>
        <v>1354522</v>
      </c>
      <c r="R2116">
        <f t="shared" si="63"/>
        <v>7.0873710430690675</v>
      </c>
      <c r="U2116">
        <v>304</v>
      </c>
      <c r="V2116">
        <v>14</v>
      </c>
      <c r="W2116">
        <v>594</v>
      </c>
      <c r="X2116">
        <v>252</v>
      </c>
      <c r="Y2116">
        <v>54.7</v>
      </c>
      <c r="Z2116">
        <v>44.2</v>
      </c>
      <c r="AA2116">
        <v>65.2</v>
      </c>
    </row>
    <row r="2117" spans="1:27" x14ac:dyDescent="0.25">
      <c r="A2117" t="s">
        <v>245</v>
      </c>
      <c r="B2117" t="s">
        <v>214</v>
      </c>
      <c r="C2117" s="76">
        <v>43971</v>
      </c>
      <c r="D2117">
        <v>2200</v>
      </c>
      <c r="E2117">
        <v>476</v>
      </c>
      <c r="F2117">
        <v>3925</v>
      </c>
      <c r="G2117">
        <v>1493</v>
      </c>
      <c r="H2117">
        <v>59.6</v>
      </c>
      <c r="I2117">
        <v>48.7</v>
      </c>
      <c r="J2117">
        <v>70.400000000000006</v>
      </c>
      <c r="K2117">
        <v>95</v>
      </c>
      <c r="L2117">
        <v>10</v>
      </c>
      <c r="M2117">
        <v>180</v>
      </c>
      <c r="N2117">
        <v>2.6</v>
      </c>
      <c r="O2117">
        <v>1.5</v>
      </c>
      <c r="P2117">
        <v>3.6</v>
      </c>
      <c r="Q2117">
        <f t="shared" si="64"/>
        <v>1354522</v>
      </c>
      <c r="R2117">
        <f t="shared" ref="R2117:R2180" si="65">K2117/(Q2117)*100000</f>
        <v>7.0135442613704315</v>
      </c>
      <c r="U2117">
        <v>324</v>
      </c>
      <c r="V2117">
        <v>5</v>
      </c>
      <c r="W2117">
        <v>643</v>
      </c>
      <c r="X2117">
        <v>221</v>
      </c>
      <c r="Y2117">
        <v>59.4</v>
      </c>
      <c r="Z2117">
        <v>47.9</v>
      </c>
      <c r="AA2117">
        <v>70.900000000000006</v>
      </c>
    </row>
    <row r="2118" spans="1:27" x14ac:dyDescent="0.25">
      <c r="A2118" t="s">
        <v>245</v>
      </c>
      <c r="B2118" t="s">
        <v>214</v>
      </c>
      <c r="C2118" s="76">
        <v>43972</v>
      </c>
      <c r="D2118">
        <v>2237</v>
      </c>
      <c r="E2118">
        <v>455</v>
      </c>
      <c r="F2118">
        <v>4018</v>
      </c>
      <c r="G2118">
        <v>1466</v>
      </c>
      <c r="H2118">
        <v>60.4</v>
      </c>
      <c r="I2118">
        <v>48.6</v>
      </c>
      <c r="J2118">
        <v>72.2</v>
      </c>
      <c r="K2118">
        <v>108</v>
      </c>
      <c r="L2118">
        <v>11</v>
      </c>
      <c r="M2118">
        <v>206</v>
      </c>
      <c r="N2118">
        <v>2.9</v>
      </c>
      <c r="O2118">
        <v>1.8</v>
      </c>
      <c r="P2118">
        <v>4.0999999999999996</v>
      </c>
      <c r="Q2118">
        <f t="shared" si="64"/>
        <v>1354522</v>
      </c>
      <c r="R2118">
        <f t="shared" si="65"/>
        <v>7.9732924234527021</v>
      </c>
      <c r="U2118">
        <v>315</v>
      </c>
      <c r="V2118">
        <v>0</v>
      </c>
      <c r="W2118">
        <v>642</v>
      </c>
      <c r="X2118">
        <v>230</v>
      </c>
      <c r="Y2118">
        <v>57.8</v>
      </c>
      <c r="Z2118">
        <v>44.8</v>
      </c>
      <c r="AA2118">
        <v>70.7</v>
      </c>
    </row>
    <row r="2119" spans="1:27" x14ac:dyDescent="0.25">
      <c r="A2119" t="s">
        <v>245</v>
      </c>
      <c r="B2119" t="s">
        <v>214</v>
      </c>
      <c r="C2119" s="76">
        <v>43973</v>
      </c>
      <c r="D2119">
        <v>2208</v>
      </c>
      <c r="E2119">
        <v>448</v>
      </c>
      <c r="F2119">
        <v>3968</v>
      </c>
      <c r="G2119">
        <v>1497</v>
      </c>
      <c r="H2119">
        <v>59.6</v>
      </c>
      <c r="I2119">
        <v>47.7</v>
      </c>
      <c r="J2119">
        <v>71.5</v>
      </c>
      <c r="K2119">
        <v>105</v>
      </c>
      <c r="L2119">
        <v>5</v>
      </c>
      <c r="M2119">
        <v>205</v>
      </c>
      <c r="N2119">
        <v>2.8</v>
      </c>
      <c r="O2119">
        <v>1.5</v>
      </c>
      <c r="P2119">
        <v>4.0999999999999996</v>
      </c>
      <c r="Q2119">
        <f t="shared" si="64"/>
        <v>1354522</v>
      </c>
      <c r="R2119">
        <f t="shared" si="65"/>
        <v>7.7518120783567932</v>
      </c>
      <c r="U2119">
        <v>327</v>
      </c>
      <c r="V2119">
        <v>0</v>
      </c>
      <c r="W2119">
        <v>654</v>
      </c>
      <c r="X2119">
        <v>232</v>
      </c>
      <c r="Y2119">
        <v>58.5</v>
      </c>
      <c r="Z2119">
        <v>44.2</v>
      </c>
      <c r="AA2119">
        <v>72.8</v>
      </c>
    </row>
    <row r="2120" spans="1:27" x14ac:dyDescent="0.25">
      <c r="A2120" t="s">
        <v>245</v>
      </c>
      <c r="B2120" t="s">
        <v>214</v>
      </c>
      <c r="C2120" s="76">
        <v>43974</v>
      </c>
      <c r="D2120">
        <v>2184</v>
      </c>
      <c r="E2120">
        <v>443</v>
      </c>
      <c r="F2120">
        <v>3926</v>
      </c>
      <c r="G2120">
        <v>1416</v>
      </c>
      <c r="H2120">
        <v>60.7</v>
      </c>
      <c r="I2120">
        <v>48.9</v>
      </c>
      <c r="J2120">
        <v>72.5</v>
      </c>
      <c r="K2120">
        <v>117</v>
      </c>
      <c r="L2120">
        <v>0</v>
      </c>
      <c r="M2120">
        <v>251</v>
      </c>
      <c r="N2120">
        <v>3.3</v>
      </c>
      <c r="O2120">
        <v>1.3</v>
      </c>
      <c r="P2120">
        <v>5.2</v>
      </c>
      <c r="Q2120">
        <f t="shared" si="64"/>
        <v>1354522</v>
      </c>
      <c r="R2120">
        <f t="shared" si="65"/>
        <v>8.637733458740426</v>
      </c>
      <c r="U2120">
        <v>327</v>
      </c>
      <c r="V2120">
        <v>2</v>
      </c>
      <c r="W2120">
        <v>652</v>
      </c>
      <c r="X2120">
        <v>225</v>
      </c>
      <c r="Y2120">
        <v>59.3</v>
      </c>
      <c r="Z2120">
        <v>44.1</v>
      </c>
      <c r="AA2120">
        <v>74.5</v>
      </c>
    </row>
    <row r="2121" spans="1:27" x14ac:dyDescent="0.25">
      <c r="A2121" t="s">
        <v>245</v>
      </c>
      <c r="B2121" t="s">
        <v>214</v>
      </c>
      <c r="C2121" s="76">
        <v>43975</v>
      </c>
      <c r="D2121">
        <v>2090</v>
      </c>
      <c r="E2121">
        <v>417</v>
      </c>
      <c r="F2121">
        <v>3763</v>
      </c>
      <c r="G2121">
        <v>1653</v>
      </c>
      <c r="H2121">
        <v>55.8</v>
      </c>
      <c r="I2121">
        <v>44.1</v>
      </c>
      <c r="J2121">
        <v>67.599999999999994</v>
      </c>
      <c r="K2121">
        <v>105</v>
      </c>
      <c r="L2121">
        <v>0</v>
      </c>
      <c r="M2121">
        <v>235</v>
      </c>
      <c r="N2121">
        <v>2.8</v>
      </c>
      <c r="O2121">
        <v>0.8</v>
      </c>
      <c r="P2121">
        <v>4.8</v>
      </c>
      <c r="Q2121">
        <f t="shared" si="64"/>
        <v>1354522</v>
      </c>
      <c r="R2121">
        <f t="shared" si="65"/>
        <v>7.7518120783567932</v>
      </c>
      <c r="U2121">
        <v>315</v>
      </c>
      <c r="V2121">
        <v>0</v>
      </c>
      <c r="W2121">
        <v>636</v>
      </c>
      <c r="X2121">
        <v>240</v>
      </c>
      <c r="Y2121">
        <v>56.8</v>
      </c>
      <c r="Z2121">
        <v>40.700000000000003</v>
      </c>
      <c r="AA2121">
        <v>72.8</v>
      </c>
    </row>
    <row r="2122" spans="1:27" x14ac:dyDescent="0.25">
      <c r="A2122" t="s">
        <v>245</v>
      </c>
      <c r="B2122" t="s">
        <v>214</v>
      </c>
      <c r="C2122" s="76">
        <v>43976</v>
      </c>
      <c r="D2122">
        <v>2090</v>
      </c>
      <c r="E2122">
        <v>442</v>
      </c>
      <c r="F2122">
        <v>3739</v>
      </c>
      <c r="G2122">
        <v>1674</v>
      </c>
      <c r="H2122">
        <v>55.5</v>
      </c>
      <c r="I2122">
        <v>44.5</v>
      </c>
      <c r="J2122">
        <v>66.599999999999994</v>
      </c>
      <c r="K2122">
        <v>115</v>
      </c>
      <c r="L2122">
        <v>0</v>
      </c>
      <c r="M2122">
        <v>249</v>
      </c>
      <c r="N2122">
        <v>3.1</v>
      </c>
      <c r="O2122">
        <v>1</v>
      </c>
      <c r="P2122">
        <v>5.0999999999999996</v>
      </c>
      <c r="Q2122">
        <f t="shared" si="64"/>
        <v>1354522</v>
      </c>
      <c r="R2122">
        <f t="shared" si="65"/>
        <v>8.490079895343154</v>
      </c>
      <c r="U2122">
        <v>308</v>
      </c>
      <c r="V2122">
        <v>0</v>
      </c>
      <c r="W2122">
        <v>622</v>
      </c>
      <c r="X2122">
        <v>240</v>
      </c>
      <c r="Y2122">
        <v>56.2</v>
      </c>
      <c r="Z2122">
        <v>38.700000000000003</v>
      </c>
      <c r="AA2122">
        <v>73.8</v>
      </c>
    </row>
    <row r="2123" spans="1:27" x14ac:dyDescent="0.25">
      <c r="A2123" t="s">
        <v>245</v>
      </c>
      <c r="B2123" t="s">
        <v>214</v>
      </c>
      <c r="C2123" s="76">
        <v>43977</v>
      </c>
      <c r="D2123">
        <v>2231</v>
      </c>
      <c r="E2123">
        <v>539</v>
      </c>
      <c r="F2123">
        <v>3924</v>
      </c>
      <c r="G2123">
        <v>1537</v>
      </c>
      <c r="H2123">
        <v>59.2</v>
      </c>
      <c r="I2123">
        <v>49</v>
      </c>
      <c r="J2123">
        <v>69.400000000000006</v>
      </c>
      <c r="K2123">
        <v>115</v>
      </c>
      <c r="L2123">
        <v>0</v>
      </c>
      <c r="M2123">
        <v>257</v>
      </c>
      <c r="N2123">
        <v>3</v>
      </c>
      <c r="O2123">
        <v>0.8</v>
      </c>
      <c r="P2123">
        <v>5.3</v>
      </c>
      <c r="Q2123">
        <f t="shared" si="64"/>
        <v>1354522</v>
      </c>
      <c r="R2123">
        <f t="shared" si="65"/>
        <v>8.490079895343154</v>
      </c>
      <c r="U2123">
        <v>335</v>
      </c>
      <c r="V2123">
        <v>0</v>
      </c>
      <c r="W2123">
        <v>670</v>
      </c>
      <c r="X2123">
        <v>217</v>
      </c>
      <c r="Y2123">
        <v>60.7</v>
      </c>
      <c r="Z2123">
        <v>44.2</v>
      </c>
      <c r="AA2123">
        <v>77.099999999999994</v>
      </c>
    </row>
    <row r="2124" spans="1:27" x14ac:dyDescent="0.25">
      <c r="A2124" t="s">
        <v>245</v>
      </c>
      <c r="B2124" t="s">
        <v>214</v>
      </c>
      <c r="C2124" s="76">
        <v>43978</v>
      </c>
      <c r="D2124">
        <v>2450</v>
      </c>
      <c r="E2124">
        <v>601</v>
      </c>
      <c r="F2124">
        <v>4298</v>
      </c>
      <c r="G2124">
        <v>1367</v>
      </c>
      <c r="H2124">
        <v>64.2</v>
      </c>
      <c r="I2124">
        <v>54.3</v>
      </c>
      <c r="J2124">
        <v>74.099999999999994</v>
      </c>
      <c r="K2124">
        <v>103</v>
      </c>
      <c r="L2124">
        <v>0</v>
      </c>
      <c r="M2124">
        <v>217</v>
      </c>
      <c r="N2124">
        <v>2.7</v>
      </c>
      <c r="O2124">
        <v>1</v>
      </c>
      <c r="P2124">
        <v>4.4000000000000004</v>
      </c>
      <c r="Q2124">
        <f t="shared" si="64"/>
        <v>1354522</v>
      </c>
      <c r="R2124">
        <f t="shared" si="65"/>
        <v>7.6041585149595212</v>
      </c>
      <c r="U2124">
        <v>354</v>
      </c>
      <c r="V2124">
        <v>19</v>
      </c>
      <c r="W2124">
        <v>688</v>
      </c>
      <c r="X2124">
        <v>202</v>
      </c>
      <c r="Y2124">
        <v>63.6</v>
      </c>
      <c r="Z2124">
        <v>49.1</v>
      </c>
      <c r="AA2124">
        <v>78.099999999999994</v>
      </c>
    </row>
    <row r="2125" spans="1:27" x14ac:dyDescent="0.25">
      <c r="A2125" t="s">
        <v>245</v>
      </c>
      <c r="B2125" t="s">
        <v>214</v>
      </c>
      <c r="C2125" s="76">
        <v>43979</v>
      </c>
      <c r="D2125">
        <v>2482</v>
      </c>
      <c r="E2125">
        <v>565</v>
      </c>
      <c r="F2125">
        <v>4399</v>
      </c>
      <c r="G2125">
        <v>1284</v>
      </c>
      <c r="H2125">
        <v>65.900000000000006</v>
      </c>
      <c r="I2125">
        <v>55.3</v>
      </c>
      <c r="J2125">
        <v>76.5</v>
      </c>
      <c r="K2125">
        <v>108</v>
      </c>
      <c r="L2125">
        <v>0</v>
      </c>
      <c r="M2125">
        <v>238</v>
      </c>
      <c r="N2125">
        <v>2.9</v>
      </c>
      <c r="O2125">
        <v>0.8</v>
      </c>
      <c r="P2125">
        <v>4.9000000000000004</v>
      </c>
      <c r="Q2125">
        <f t="shared" si="64"/>
        <v>1354522</v>
      </c>
      <c r="R2125">
        <f t="shared" si="65"/>
        <v>7.9732924234527021</v>
      </c>
      <c r="U2125">
        <v>353</v>
      </c>
      <c r="V2125">
        <v>7</v>
      </c>
      <c r="W2125">
        <v>700</v>
      </c>
      <c r="X2125">
        <v>196</v>
      </c>
      <c r="Y2125">
        <v>64.3</v>
      </c>
      <c r="Z2125">
        <v>50.6</v>
      </c>
      <c r="AA2125">
        <v>78.099999999999994</v>
      </c>
    </row>
    <row r="2126" spans="1:27" x14ac:dyDescent="0.25">
      <c r="A2126" t="s">
        <v>245</v>
      </c>
      <c r="B2126" t="s">
        <v>214</v>
      </c>
      <c r="C2126" s="76">
        <v>43980</v>
      </c>
      <c r="D2126">
        <v>2397</v>
      </c>
      <c r="E2126">
        <v>565</v>
      </c>
      <c r="F2126">
        <v>4230</v>
      </c>
      <c r="G2126">
        <v>1210</v>
      </c>
      <c r="H2126">
        <v>66.5</v>
      </c>
      <c r="I2126">
        <v>57.2</v>
      </c>
      <c r="J2126">
        <v>75.7</v>
      </c>
      <c r="K2126">
        <v>107</v>
      </c>
      <c r="L2126">
        <v>0</v>
      </c>
      <c r="M2126">
        <v>225</v>
      </c>
      <c r="N2126">
        <v>3</v>
      </c>
      <c r="O2126">
        <v>1.3</v>
      </c>
      <c r="P2126">
        <v>4.5999999999999996</v>
      </c>
      <c r="Q2126">
        <f t="shared" si="64"/>
        <v>1354522</v>
      </c>
      <c r="R2126">
        <f t="shared" si="65"/>
        <v>7.8994656417540652</v>
      </c>
      <c r="U2126">
        <v>355</v>
      </c>
      <c r="V2126">
        <v>12</v>
      </c>
      <c r="W2126">
        <v>697</v>
      </c>
      <c r="X2126">
        <v>165</v>
      </c>
      <c r="Y2126">
        <v>68.2</v>
      </c>
      <c r="Z2126">
        <v>53.7</v>
      </c>
      <c r="AA2126">
        <v>82.8</v>
      </c>
    </row>
    <row r="2127" spans="1:27" x14ac:dyDescent="0.25">
      <c r="A2127" t="s">
        <v>245</v>
      </c>
      <c r="B2127" t="s">
        <v>214</v>
      </c>
      <c r="C2127" s="76">
        <v>43981</v>
      </c>
      <c r="D2127">
        <v>2341</v>
      </c>
      <c r="E2127">
        <v>515</v>
      </c>
      <c r="F2127">
        <v>4166</v>
      </c>
      <c r="G2127">
        <v>1386</v>
      </c>
      <c r="H2127">
        <v>62.8</v>
      </c>
      <c r="I2127">
        <v>52.1</v>
      </c>
      <c r="J2127">
        <v>73.5</v>
      </c>
      <c r="K2127">
        <v>109</v>
      </c>
      <c r="L2127">
        <v>0</v>
      </c>
      <c r="M2127">
        <v>226</v>
      </c>
      <c r="N2127">
        <v>2.9</v>
      </c>
      <c r="O2127">
        <v>1.3</v>
      </c>
      <c r="P2127">
        <v>4.5</v>
      </c>
      <c r="Q2127">
        <f t="shared" si="64"/>
        <v>1354522</v>
      </c>
      <c r="R2127">
        <f t="shared" si="65"/>
        <v>8.0471192051513381</v>
      </c>
      <c r="U2127">
        <v>359</v>
      </c>
      <c r="V2127">
        <v>11</v>
      </c>
      <c r="W2127">
        <v>707</v>
      </c>
      <c r="X2127">
        <v>186</v>
      </c>
      <c r="Y2127">
        <v>65.8</v>
      </c>
      <c r="Z2127">
        <v>52.5</v>
      </c>
      <c r="AA2127">
        <v>79.2</v>
      </c>
    </row>
    <row r="2128" spans="1:27" x14ac:dyDescent="0.25">
      <c r="A2128" t="s">
        <v>245</v>
      </c>
      <c r="B2128" t="s">
        <v>214</v>
      </c>
      <c r="C2128" s="76">
        <v>43982</v>
      </c>
      <c r="D2128">
        <v>2340</v>
      </c>
      <c r="E2128">
        <v>578</v>
      </c>
      <c r="F2128">
        <v>4102</v>
      </c>
      <c r="G2128">
        <v>1424</v>
      </c>
      <c r="H2128">
        <v>62.2</v>
      </c>
      <c r="I2128">
        <v>52.5</v>
      </c>
      <c r="J2128">
        <v>71.8</v>
      </c>
      <c r="K2128">
        <v>100</v>
      </c>
      <c r="L2128">
        <v>0</v>
      </c>
      <c r="M2128">
        <v>212</v>
      </c>
      <c r="N2128">
        <v>2.7</v>
      </c>
      <c r="O2128">
        <v>1.1000000000000001</v>
      </c>
      <c r="P2128">
        <v>4.2</v>
      </c>
      <c r="Q2128">
        <f t="shared" si="64"/>
        <v>1354522</v>
      </c>
      <c r="R2128">
        <f t="shared" si="65"/>
        <v>7.3826781698636124</v>
      </c>
      <c r="U2128">
        <v>342</v>
      </c>
      <c r="V2128">
        <v>4</v>
      </c>
      <c r="W2128">
        <v>681</v>
      </c>
      <c r="X2128">
        <v>198</v>
      </c>
      <c r="Y2128">
        <v>63.4</v>
      </c>
      <c r="Z2128">
        <v>47.7</v>
      </c>
      <c r="AA2128">
        <v>79.099999999999994</v>
      </c>
    </row>
    <row r="2129" spans="1:27" x14ac:dyDescent="0.25">
      <c r="A2129" t="s">
        <v>245</v>
      </c>
      <c r="B2129" t="s">
        <v>214</v>
      </c>
      <c r="C2129" s="76">
        <v>43983</v>
      </c>
      <c r="D2129">
        <v>2372</v>
      </c>
      <c r="E2129">
        <v>592</v>
      </c>
      <c r="F2129">
        <v>4152</v>
      </c>
      <c r="G2129">
        <v>1400</v>
      </c>
      <c r="H2129">
        <v>62.9</v>
      </c>
      <c r="I2129">
        <v>53.5</v>
      </c>
      <c r="J2129">
        <v>72.2</v>
      </c>
      <c r="K2129">
        <v>107</v>
      </c>
      <c r="L2129">
        <v>5</v>
      </c>
      <c r="M2129">
        <v>209</v>
      </c>
      <c r="N2129">
        <v>2.8</v>
      </c>
      <c r="O2129">
        <v>1.6</v>
      </c>
      <c r="P2129">
        <v>4</v>
      </c>
      <c r="Q2129">
        <f t="shared" si="64"/>
        <v>1354522</v>
      </c>
      <c r="R2129">
        <f t="shared" si="65"/>
        <v>7.8994656417540652</v>
      </c>
      <c r="U2129">
        <v>345</v>
      </c>
      <c r="V2129">
        <v>10</v>
      </c>
      <c r="W2129">
        <v>680</v>
      </c>
      <c r="X2129">
        <v>199</v>
      </c>
      <c r="Y2129">
        <v>63.4</v>
      </c>
      <c r="Z2129">
        <v>50.5</v>
      </c>
      <c r="AA2129">
        <v>76.400000000000006</v>
      </c>
    </row>
    <row r="2130" spans="1:27" x14ac:dyDescent="0.25">
      <c r="A2130" t="s">
        <v>245</v>
      </c>
      <c r="B2130" t="s">
        <v>214</v>
      </c>
      <c r="C2130" s="76">
        <v>43984</v>
      </c>
      <c r="D2130">
        <v>2503</v>
      </c>
      <c r="E2130">
        <v>609</v>
      </c>
      <c r="F2130">
        <v>4397</v>
      </c>
      <c r="G2130">
        <v>1257</v>
      </c>
      <c r="H2130">
        <v>66.599999999999994</v>
      </c>
      <c r="I2130">
        <v>57.2</v>
      </c>
      <c r="J2130">
        <v>75.900000000000006</v>
      </c>
      <c r="K2130">
        <v>105</v>
      </c>
      <c r="L2130">
        <v>4</v>
      </c>
      <c r="M2130">
        <v>206</v>
      </c>
      <c r="N2130">
        <v>2.8</v>
      </c>
      <c r="O2130">
        <v>1.4</v>
      </c>
      <c r="P2130">
        <v>4.2</v>
      </c>
      <c r="Q2130">
        <f t="shared" si="64"/>
        <v>1354522</v>
      </c>
      <c r="R2130">
        <f t="shared" si="65"/>
        <v>7.7518120783567932</v>
      </c>
      <c r="U2130">
        <v>331</v>
      </c>
      <c r="V2130">
        <v>2</v>
      </c>
      <c r="W2130">
        <v>660</v>
      </c>
      <c r="X2130">
        <v>209</v>
      </c>
      <c r="Y2130">
        <v>61.3</v>
      </c>
      <c r="Z2130">
        <v>45.9</v>
      </c>
      <c r="AA2130">
        <v>76.7</v>
      </c>
    </row>
    <row r="2131" spans="1:27" x14ac:dyDescent="0.25">
      <c r="A2131" t="s">
        <v>245</v>
      </c>
      <c r="B2131" t="s">
        <v>214</v>
      </c>
      <c r="C2131" s="76">
        <v>43985</v>
      </c>
      <c r="D2131">
        <v>2490</v>
      </c>
      <c r="E2131">
        <v>602</v>
      </c>
      <c r="F2131">
        <v>4378</v>
      </c>
      <c r="G2131">
        <v>1265</v>
      </c>
      <c r="H2131">
        <v>66.3</v>
      </c>
      <c r="I2131">
        <v>56.2</v>
      </c>
      <c r="J2131">
        <v>76.400000000000006</v>
      </c>
      <c r="K2131">
        <v>97</v>
      </c>
      <c r="L2131">
        <v>6</v>
      </c>
      <c r="M2131">
        <v>187</v>
      </c>
      <c r="N2131">
        <v>2.6</v>
      </c>
      <c r="O2131">
        <v>1.5</v>
      </c>
      <c r="P2131">
        <v>3.7</v>
      </c>
      <c r="Q2131">
        <f t="shared" si="64"/>
        <v>1354522</v>
      </c>
      <c r="R2131">
        <f t="shared" si="65"/>
        <v>7.1611978247677044</v>
      </c>
      <c r="U2131">
        <v>338</v>
      </c>
      <c r="V2131">
        <v>12</v>
      </c>
      <c r="W2131">
        <v>664</v>
      </c>
      <c r="X2131">
        <v>194</v>
      </c>
      <c r="Y2131">
        <v>63.5</v>
      </c>
      <c r="Z2131">
        <v>48.7</v>
      </c>
      <c r="AA2131">
        <v>78.3</v>
      </c>
    </row>
    <row r="2132" spans="1:27" x14ac:dyDescent="0.25">
      <c r="A2132" t="s">
        <v>245</v>
      </c>
      <c r="B2132" t="s">
        <v>214</v>
      </c>
      <c r="C2132" s="76">
        <v>43986</v>
      </c>
      <c r="D2132">
        <v>2507</v>
      </c>
      <c r="E2132">
        <v>599</v>
      </c>
      <c r="F2132">
        <v>4415</v>
      </c>
      <c r="G2132">
        <v>1310</v>
      </c>
      <c r="H2132">
        <v>65.7</v>
      </c>
      <c r="I2132">
        <v>55.7</v>
      </c>
      <c r="J2132">
        <v>75.7</v>
      </c>
      <c r="K2132">
        <v>72</v>
      </c>
      <c r="L2132">
        <v>7</v>
      </c>
      <c r="M2132">
        <v>136</v>
      </c>
      <c r="N2132">
        <v>1.9</v>
      </c>
      <c r="O2132">
        <v>1.1000000000000001</v>
      </c>
      <c r="P2132">
        <v>2.7</v>
      </c>
      <c r="Q2132">
        <f t="shared" si="64"/>
        <v>1354522</v>
      </c>
      <c r="R2132">
        <f t="shared" si="65"/>
        <v>5.3155282823018011</v>
      </c>
      <c r="U2132">
        <v>360</v>
      </c>
      <c r="V2132">
        <v>17</v>
      </c>
      <c r="W2132">
        <v>704</v>
      </c>
      <c r="X2132">
        <v>182</v>
      </c>
      <c r="Y2132">
        <v>66.5</v>
      </c>
      <c r="Z2132">
        <v>51.5</v>
      </c>
      <c r="AA2132">
        <v>81.400000000000006</v>
      </c>
    </row>
    <row r="2133" spans="1:27" x14ac:dyDescent="0.25">
      <c r="A2133" t="s">
        <v>245</v>
      </c>
      <c r="B2133" t="s">
        <v>214</v>
      </c>
      <c r="C2133" s="76">
        <v>43987</v>
      </c>
      <c r="D2133">
        <v>2458</v>
      </c>
      <c r="E2133">
        <v>600</v>
      </c>
      <c r="F2133">
        <v>4316</v>
      </c>
      <c r="G2133">
        <v>1246</v>
      </c>
      <c r="H2133">
        <v>66.400000000000006</v>
      </c>
      <c r="I2133">
        <v>56.6</v>
      </c>
      <c r="J2133">
        <v>76.099999999999994</v>
      </c>
      <c r="K2133">
        <v>85</v>
      </c>
      <c r="L2133">
        <v>3</v>
      </c>
      <c r="M2133">
        <v>168</v>
      </c>
      <c r="N2133">
        <v>2.2999999999999998</v>
      </c>
      <c r="O2133">
        <v>1.1000000000000001</v>
      </c>
      <c r="P2133">
        <v>3.5</v>
      </c>
      <c r="Q2133">
        <f t="shared" si="64"/>
        <v>1354522</v>
      </c>
      <c r="R2133">
        <f t="shared" si="65"/>
        <v>6.2752764443840707</v>
      </c>
      <c r="U2133">
        <v>349</v>
      </c>
      <c r="V2133">
        <v>2</v>
      </c>
      <c r="W2133">
        <v>697</v>
      </c>
      <c r="X2133">
        <v>217</v>
      </c>
      <c r="Y2133">
        <v>61.7</v>
      </c>
      <c r="Z2133">
        <v>44.4</v>
      </c>
      <c r="AA2133">
        <v>78.900000000000006</v>
      </c>
    </row>
    <row r="2134" spans="1:27" x14ac:dyDescent="0.25">
      <c r="A2134" t="s">
        <v>245</v>
      </c>
      <c r="B2134" t="s">
        <v>214</v>
      </c>
      <c r="C2134" s="76">
        <v>43988</v>
      </c>
      <c r="D2134">
        <v>2378</v>
      </c>
      <c r="E2134">
        <v>612</v>
      </c>
      <c r="F2134">
        <v>4143</v>
      </c>
      <c r="G2134">
        <v>1318</v>
      </c>
      <c r="H2134">
        <v>64.3</v>
      </c>
      <c r="I2134">
        <v>54.7</v>
      </c>
      <c r="J2134">
        <v>73.900000000000006</v>
      </c>
      <c r="K2134">
        <v>75</v>
      </c>
      <c r="L2134">
        <v>0</v>
      </c>
      <c r="M2134">
        <v>156</v>
      </c>
      <c r="N2134">
        <v>2</v>
      </c>
      <c r="O2134">
        <v>0.8</v>
      </c>
      <c r="P2134">
        <v>3.2</v>
      </c>
      <c r="Q2134">
        <f t="shared" si="64"/>
        <v>1354522</v>
      </c>
      <c r="R2134">
        <f t="shared" si="65"/>
        <v>5.537008627397709</v>
      </c>
      <c r="U2134">
        <v>346</v>
      </c>
      <c r="V2134">
        <v>4</v>
      </c>
      <c r="W2134">
        <v>688</v>
      </c>
      <c r="X2134">
        <v>215</v>
      </c>
      <c r="Y2134">
        <v>61.6</v>
      </c>
      <c r="Z2134">
        <v>45.7</v>
      </c>
      <c r="AA2134">
        <v>77.599999999999994</v>
      </c>
    </row>
    <row r="2135" spans="1:27" x14ac:dyDescent="0.25">
      <c r="A2135" t="s">
        <v>245</v>
      </c>
      <c r="B2135" t="s">
        <v>214</v>
      </c>
      <c r="C2135" s="76">
        <v>43989</v>
      </c>
      <c r="D2135">
        <v>2173</v>
      </c>
      <c r="E2135">
        <v>518</v>
      </c>
      <c r="F2135">
        <v>3827</v>
      </c>
      <c r="G2135">
        <v>1558</v>
      </c>
      <c r="H2135">
        <v>58.2</v>
      </c>
      <c r="I2135">
        <v>49.2</v>
      </c>
      <c r="J2135">
        <v>67.3</v>
      </c>
      <c r="K2135">
        <v>74</v>
      </c>
      <c r="L2135">
        <v>8</v>
      </c>
      <c r="M2135">
        <v>139</v>
      </c>
      <c r="N2135">
        <v>2</v>
      </c>
      <c r="O2135">
        <v>1.2</v>
      </c>
      <c r="P2135">
        <v>2.8</v>
      </c>
      <c r="Q2135">
        <f t="shared" si="64"/>
        <v>1354522</v>
      </c>
      <c r="R2135">
        <f t="shared" si="65"/>
        <v>5.4631818456990731</v>
      </c>
      <c r="U2135">
        <v>320</v>
      </c>
      <c r="V2135">
        <v>0</v>
      </c>
      <c r="W2135">
        <v>643</v>
      </c>
      <c r="X2135">
        <v>253</v>
      </c>
      <c r="Y2135">
        <v>55.9</v>
      </c>
      <c r="Z2135">
        <v>44.7</v>
      </c>
      <c r="AA2135">
        <v>67.099999999999994</v>
      </c>
    </row>
    <row r="2136" spans="1:27" x14ac:dyDescent="0.25">
      <c r="A2136" t="s">
        <v>245</v>
      </c>
      <c r="B2136" t="s">
        <v>214</v>
      </c>
      <c r="C2136" s="76">
        <v>43990</v>
      </c>
      <c r="D2136">
        <v>2297</v>
      </c>
      <c r="E2136">
        <v>610</v>
      </c>
      <c r="F2136">
        <v>3984</v>
      </c>
      <c r="G2136">
        <v>1379</v>
      </c>
      <c r="H2136">
        <v>62.5</v>
      </c>
      <c r="I2136">
        <v>53.5</v>
      </c>
      <c r="J2136">
        <v>71.5</v>
      </c>
      <c r="K2136">
        <v>79</v>
      </c>
      <c r="L2136">
        <v>4</v>
      </c>
      <c r="M2136">
        <v>154</v>
      </c>
      <c r="N2136">
        <v>2.1</v>
      </c>
      <c r="O2136">
        <v>1.1000000000000001</v>
      </c>
      <c r="P2136">
        <v>3.2</v>
      </c>
      <c r="Q2136">
        <f t="shared" si="64"/>
        <v>1354522</v>
      </c>
      <c r="R2136">
        <f t="shared" si="65"/>
        <v>5.8323157541922539</v>
      </c>
      <c r="U2136">
        <v>322</v>
      </c>
      <c r="V2136">
        <v>11</v>
      </c>
      <c r="W2136">
        <v>632</v>
      </c>
      <c r="X2136">
        <v>236</v>
      </c>
      <c r="Y2136">
        <v>57.6</v>
      </c>
      <c r="Z2136">
        <v>42.5</v>
      </c>
      <c r="AA2136">
        <v>72.8</v>
      </c>
    </row>
    <row r="2137" spans="1:27" x14ac:dyDescent="0.25">
      <c r="A2137" t="s">
        <v>245</v>
      </c>
      <c r="B2137" t="s">
        <v>214</v>
      </c>
      <c r="C2137" s="76">
        <v>43991</v>
      </c>
      <c r="D2137">
        <v>2400</v>
      </c>
      <c r="E2137">
        <v>567</v>
      </c>
      <c r="F2137">
        <v>4233</v>
      </c>
      <c r="G2137">
        <v>1318</v>
      </c>
      <c r="H2137">
        <v>64.5</v>
      </c>
      <c r="I2137">
        <v>53.4</v>
      </c>
      <c r="J2137">
        <v>75.7</v>
      </c>
      <c r="K2137">
        <v>88</v>
      </c>
      <c r="L2137">
        <v>7</v>
      </c>
      <c r="M2137">
        <v>170</v>
      </c>
      <c r="N2137">
        <v>2.4</v>
      </c>
      <c r="O2137">
        <v>1.2</v>
      </c>
      <c r="P2137">
        <v>3.5</v>
      </c>
      <c r="Q2137">
        <f t="shared" si="64"/>
        <v>1354522</v>
      </c>
      <c r="R2137">
        <f t="shared" si="65"/>
        <v>6.4967567894799796</v>
      </c>
      <c r="U2137">
        <v>345</v>
      </c>
      <c r="V2137">
        <v>3</v>
      </c>
      <c r="W2137">
        <v>687</v>
      </c>
      <c r="X2137">
        <v>217</v>
      </c>
      <c r="Y2137">
        <v>61.4</v>
      </c>
      <c r="Z2137">
        <v>47.7</v>
      </c>
      <c r="AA2137">
        <v>75.099999999999994</v>
      </c>
    </row>
    <row r="2138" spans="1:27" x14ac:dyDescent="0.25">
      <c r="A2138" t="s">
        <v>245</v>
      </c>
      <c r="B2138" t="s">
        <v>214</v>
      </c>
      <c r="C2138" s="76">
        <v>43992</v>
      </c>
      <c r="D2138">
        <v>2484</v>
      </c>
      <c r="E2138">
        <v>590</v>
      </c>
      <c r="F2138">
        <v>4379</v>
      </c>
      <c r="G2138">
        <v>1120</v>
      </c>
      <c r="H2138">
        <v>68.900000000000006</v>
      </c>
      <c r="I2138">
        <v>58.3</v>
      </c>
      <c r="J2138">
        <v>79.5</v>
      </c>
      <c r="K2138">
        <v>68</v>
      </c>
      <c r="L2138">
        <v>6</v>
      </c>
      <c r="M2138">
        <v>130</v>
      </c>
      <c r="N2138">
        <v>1.9</v>
      </c>
      <c r="O2138">
        <v>0.9</v>
      </c>
      <c r="P2138">
        <v>2.8</v>
      </c>
      <c r="Q2138">
        <f t="shared" si="64"/>
        <v>1354522</v>
      </c>
      <c r="R2138">
        <f t="shared" si="65"/>
        <v>5.0202211555072562</v>
      </c>
      <c r="U2138">
        <v>342</v>
      </c>
      <c r="V2138">
        <v>3</v>
      </c>
      <c r="W2138">
        <v>680</v>
      </c>
      <c r="X2138">
        <v>202</v>
      </c>
      <c r="Y2138">
        <v>62.8</v>
      </c>
      <c r="Z2138">
        <v>49.5</v>
      </c>
      <c r="AA2138">
        <v>76.099999999999994</v>
      </c>
    </row>
    <row r="2139" spans="1:27" x14ac:dyDescent="0.25">
      <c r="A2139" t="s">
        <v>245</v>
      </c>
      <c r="B2139" t="s">
        <v>214</v>
      </c>
      <c r="C2139" s="76">
        <v>43993</v>
      </c>
      <c r="D2139">
        <v>2394</v>
      </c>
      <c r="E2139">
        <v>562</v>
      </c>
      <c r="F2139">
        <v>4225</v>
      </c>
      <c r="G2139">
        <v>1135</v>
      </c>
      <c r="H2139">
        <v>67.8</v>
      </c>
      <c r="I2139">
        <v>57.4</v>
      </c>
      <c r="J2139">
        <v>78.3</v>
      </c>
      <c r="K2139">
        <v>65</v>
      </c>
      <c r="L2139">
        <v>0</v>
      </c>
      <c r="M2139">
        <v>136</v>
      </c>
      <c r="N2139">
        <v>1.8</v>
      </c>
      <c r="O2139">
        <v>0.7</v>
      </c>
      <c r="P2139">
        <v>3</v>
      </c>
      <c r="Q2139">
        <f t="shared" si="64"/>
        <v>1354522</v>
      </c>
      <c r="R2139">
        <f t="shared" si="65"/>
        <v>4.7987408104113474</v>
      </c>
      <c r="U2139">
        <v>335</v>
      </c>
      <c r="V2139">
        <v>7</v>
      </c>
      <c r="W2139">
        <v>662</v>
      </c>
      <c r="X2139">
        <v>220</v>
      </c>
      <c r="Y2139">
        <v>60.3</v>
      </c>
      <c r="Z2139">
        <v>47.7</v>
      </c>
      <c r="AA2139">
        <v>73</v>
      </c>
    </row>
    <row r="2140" spans="1:27" x14ac:dyDescent="0.25">
      <c r="A2140" t="s">
        <v>245</v>
      </c>
      <c r="B2140" t="s">
        <v>214</v>
      </c>
      <c r="C2140" s="76">
        <v>43994</v>
      </c>
      <c r="D2140">
        <v>2334</v>
      </c>
      <c r="E2140">
        <v>532</v>
      </c>
      <c r="F2140">
        <v>4136</v>
      </c>
      <c r="G2140">
        <v>1371</v>
      </c>
      <c r="H2140">
        <v>63</v>
      </c>
      <c r="I2140">
        <v>52.5</v>
      </c>
      <c r="J2140">
        <v>73.5</v>
      </c>
      <c r="K2140">
        <v>79</v>
      </c>
      <c r="L2140">
        <v>0</v>
      </c>
      <c r="M2140">
        <v>158</v>
      </c>
      <c r="N2140">
        <v>2.1</v>
      </c>
      <c r="O2140">
        <v>0.9</v>
      </c>
      <c r="P2140">
        <v>3.3</v>
      </c>
      <c r="Q2140">
        <f t="shared" si="64"/>
        <v>1354522</v>
      </c>
      <c r="R2140">
        <f t="shared" si="65"/>
        <v>5.8323157541922539</v>
      </c>
      <c r="U2140">
        <v>332</v>
      </c>
      <c r="V2140">
        <v>5</v>
      </c>
      <c r="W2140">
        <v>660</v>
      </c>
      <c r="X2140">
        <v>227</v>
      </c>
      <c r="Y2140">
        <v>59.4</v>
      </c>
      <c r="Z2140">
        <v>46</v>
      </c>
      <c r="AA2140">
        <v>72.900000000000006</v>
      </c>
    </row>
    <row r="2141" spans="1:27" x14ac:dyDescent="0.25">
      <c r="A2141" t="s">
        <v>245</v>
      </c>
      <c r="B2141" t="s">
        <v>214</v>
      </c>
      <c r="C2141" s="76">
        <v>43995</v>
      </c>
      <c r="D2141">
        <v>2281</v>
      </c>
      <c r="E2141">
        <v>502</v>
      </c>
      <c r="F2141">
        <v>4060</v>
      </c>
      <c r="G2141">
        <v>1442</v>
      </c>
      <c r="H2141">
        <v>61.3</v>
      </c>
      <c r="I2141">
        <v>50.4</v>
      </c>
      <c r="J2141">
        <v>72.2</v>
      </c>
      <c r="K2141">
        <v>61</v>
      </c>
      <c r="L2141">
        <v>0</v>
      </c>
      <c r="M2141">
        <v>127</v>
      </c>
      <c r="N2141">
        <v>1.6</v>
      </c>
      <c r="O2141">
        <v>0.7</v>
      </c>
      <c r="P2141">
        <v>2.6</v>
      </c>
      <c r="Q2141">
        <f t="shared" si="64"/>
        <v>1354522</v>
      </c>
      <c r="R2141">
        <f t="shared" si="65"/>
        <v>4.5034336836168034</v>
      </c>
      <c r="U2141">
        <v>307</v>
      </c>
      <c r="V2141">
        <v>12</v>
      </c>
      <c r="W2141">
        <v>601</v>
      </c>
      <c r="X2141">
        <v>240</v>
      </c>
      <c r="Y2141">
        <v>56.1</v>
      </c>
      <c r="Z2141">
        <v>43.4</v>
      </c>
      <c r="AA2141">
        <v>68.900000000000006</v>
      </c>
    </row>
    <row r="2142" spans="1:27" x14ac:dyDescent="0.25">
      <c r="A2142" t="s">
        <v>245</v>
      </c>
      <c r="B2142" t="s">
        <v>214</v>
      </c>
      <c r="C2142" s="76">
        <v>43996</v>
      </c>
      <c r="D2142">
        <v>2188</v>
      </c>
      <c r="E2142">
        <v>510</v>
      </c>
      <c r="F2142">
        <v>3866</v>
      </c>
      <c r="G2142">
        <v>1525</v>
      </c>
      <c r="H2142">
        <v>58.9</v>
      </c>
      <c r="I2142">
        <v>48.8</v>
      </c>
      <c r="J2142">
        <v>69</v>
      </c>
      <c r="K2142">
        <v>70</v>
      </c>
      <c r="L2142">
        <v>0</v>
      </c>
      <c r="M2142">
        <v>145</v>
      </c>
      <c r="N2142">
        <v>1.9</v>
      </c>
      <c r="O2142">
        <v>0.7</v>
      </c>
      <c r="P2142">
        <v>3</v>
      </c>
      <c r="Q2142">
        <f t="shared" si="64"/>
        <v>1354522</v>
      </c>
      <c r="R2142">
        <f t="shared" si="65"/>
        <v>5.1678747189045282</v>
      </c>
      <c r="U2142">
        <v>308</v>
      </c>
      <c r="V2142">
        <v>14</v>
      </c>
      <c r="W2142">
        <v>602</v>
      </c>
      <c r="X2142">
        <v>215</v>
      </c>
      <c r="Y2142">
        <v>58.9</v>
      </c>
      <c r="Z2142">
        <v>44.4</v>
      </c>
      <c r="AA2142">
        <v>73.400000000000006</v>
      </c>
    </row>
    <row r="2143" spans="1:27" x14ac:dyDescent="0.25">
      <c r="A2143" t="s">
        <v>245</v>
      </c>
      <c r="B2143" t="s">
        <v>214</v>
      </c>
      <c r="C2143" s="76">
        <v>43997</v>
      </c>
      <c r="D2143">
        <v>2259</v>
      </c>
      <c r="E2143">
        <v>544</v>
      </c>
      <c r="F2143">
        <v>3975</v>
      </c>
      <c r="G2143">
        <v>1416</v>
      </c>
      <c r="H2143">
        <v>61.5</v>
      </c>
      <c r="I2143">
        <v>51.7</v>
      </c>
      <c r="J2143">
        <v>71.2</v>
      </c>
      <c r="K2143">
        <v>80</v>
      </c>
      <c r="L2143">
        <v>13</v>
      </c>
      <c r="M2143">
        <v>148</v>
      </c>
      <c r="N2143">
        <v>2.2000000000000002</v>
      </c>
      <c r="O2143">
        <v>1.3</v>
      </c>
      <c r="P2143">
        <v>3.1</v>
      </c>
      <c r="Q2143">
        <f t="shared" si="64"/>
        <v>1354522</v>
      </c>
      <c r="R2143">
        <f t="shared" si="65"/>
        <v>5.9061425358908899</v>
      </c>
      <c r="U2143">
        <v>298</v>
      </c>
      <c r="V2143">
        <v>17</v>
      </c>
      <c r="W2143">
        <v>580</v>
      </c>
      <c r="X2143">
        <v>243</v>
      </c>
      <c r="Y2143">
        <v>55.1</v>
      </c>
      <c r="Z2143">
        <v>47</v>
      </c>
      <c r="AA2143">
        <v>63.1</v>
      </c>
    </row>
    <row r="2144" spans="1:27" x14ac:dyDescent="0.25">
      <c r="A2144" t="s">
        <v>245</v>
      </c>
      <c r="B2144" t="s">
        <v>214</v>
      </c>
      <c r="C2144" s="76">
        <v>43998</v>
      </c>
      <c r="D2144">
        <v>2439</v>
      </c>
      <c r="E2144">
        <v>615</v>
      </c>
      <c r="F2144">
        <v>4264</v>
      </c>
      <c r="G2144">
        <v>1298</v>
      </c>
      <c r="H2144">
        <v>65.3</v>
      </c>
      <c r="I2144">
        <v>55.6</v>
      </c>
      <c r="J2144">
        <v>74.900000000000006</v>
      </c>
      <c r="K2144">
        <v>77</v>
      </c>
      <c r="L2144">
        <v>13</v>
      </c>
      <c r="M2144">
        <v>141</v>
      </c>
      <c r="N2144">
        <v>2.1</v>
      </c>
      <c r="O2144">
        <v>1.2</v>
      </c>
      <c r="P2144">
        <v>2.9</v>
      </c>
      <c r="Q2144">
        <f t="shared" si="64"/>
        <v>1354522</v>
      </c>
      <c r="R2144">
        <f t="shared" si="65"/>
        <v>5.6846621907949819</v>
      </c>
      <c r="U2144">
        <v>320</v>
      </c>
      <c r="V2144">
        <v>21</v>
      </c>
      <c r="W2144">
        <v>618</v>
      </c>
      <c r="X2144">
        <v>217</v>
      </c>
      <c r="Y2144">
        <v>59.5</v>
      </c>
      <c r="Z2144">
        <v>48.3</v>
      </c>
      <c r="AA2144">
        <v>70.7</v>
      </c>
    </row>
    <row r="2145" spans="1:27" x14ac:dyDescent="0.25">
      <c r="A2145" t="s">
        <v>245</v>
      </c>
      <c r="B2145" t="s">
        <v>214</v>
      </c>
      <c r="C2145" s="76">
        <v>43999</v>
      </c>
      <c r="D2145">
        <v>2514</v>
      </c>
      <c r="E2145">
        <v>618</v>
      </c>
      <c r="F2145">
        <v>4411</v>
      </c>
      <c r="G2145">
        <v>1236</v>
      </c>
      <c r="H2145">
        <v>67</v>
      </c>
      <c r="I2145">
        <v>56.4</v>
      </c>
      <c r="J2145">
        <v>77.7</v>
      </c>
      <c r="K2145">
        <v>71</v>
      </c>
      <c r="L2145">
        <v>10</v>
      </c>
      <c r="M2145">
        <v>132</v>
      </c>
      <c r="N2145">
        <v>1.9</v>
      </c>
      <c r="O2145">
        <v>1.1000000000000001</v>
      </c>
      <c r="P2145">
        <v>2.7</v>
      </c>
      <c r="Q2145">
        <f t="shared" si="64"/>
        <v>1354522</v>
      </c>
      <c r="R2145">
        <f t="shared" si="65"/>
        <v>5.2417015006031651</v>
      </c>
      <c r="U2145">
        <v>335</v>
      </c>
      <c r="V2145">
        <v>4</v>
      </c>
      <c r="W2145">
        <v>666</v>
      </c>
      <c r="X2145">
        <v>190</v>
      </c>
      <c r="Y2145">
        <v>63.8</v>
      </c>
      <c r="Z2145">
        <v>52.7</v>
      </c>
      <c r="AA2145">
        <v>75</v>
      </c>
    </row>
    <row r="2146" spans="1:27" x14ac:dyDescent="0.25">
      <c r="A2146" t="s">
        <v>245</v>
      </c>
      <c r="B2146" t="s">
        <v>214</v>
      </c>
      <c r="C2146" s="76">
        <v>44000</v>
      </c>
      <c r="D2146">
        <v>2446</v>
      </c>
      <c r="E2146">
        <v>553</v>
      </c>
      <c r="F2146">
        <v>4338</v>
      </c>
      <c r="G2146">
        <v>1272</v>
      </c>
      <c r="H2146">
        <v>65.8</v>
      </c>
      <c r="I2146">
        <v>55</v>
      </c>
      <c r="J2146">
        <v>76.5</v>
      </c>
      <c r="K2146">
        <v>58</v>
      </c>
      <c r="L2146">
        <v>7</v>
      </c>
      <c r="M2146">
        <v>110</v>
      </c>
      <c r="N2146">
        <v>1.6</v>
      </c>
      <c r="O2146">
        <v>0.9</v>
      </c>
      <c r="P2146">
        <v>2.2000000000000002</v>
      </c>
      <c r="Q2146">
        <f t="shared" si="64"/>
        <v>1354522</v>
      </c>
      <c r="R2146">
        <f t="shared" si="65"/>
        <v>4.2819533385208954</v>
      </c>
      <c r="U2146">
        <v>329</v>
      </c>
      <c r="V2146">
        <v>0</v>
      </c>
      <c r="W2146">
        <v>660</v>
      </c>
      <c r="X2146">
        <v>212</v>
      </c>
      <c r="Y2146">
        <v>60.8</v>
      </c>
      <c r="Z2146">
        <v>49.5</v>
      </c>
      <c r="AA2146">
        <v>72.2</v>
      </c>
    </row>
    <row r="2147" spans="1:27" x14ac:dyDescent="0.25">
      <c r="A2147" t="s">
        <v>245</v>
      </c>
      <c r="B2147" t="s">
        <v>214</v>
      </c>
      <c r="C2147" s="76">
        <v>44001</v>
      </c>
      <c r="D2147">
        <v>2302</v>
      </c>
      <c r="E2147">
        <v>476</v>
      </c>
      <c r="F2147">
        <v>4129</v>
      </c>
      <c r="G2147">
        <v>1428</v>
      </c>
      <c r="H2147">
        <v>61.7</v>
      </c>
      <c r="I2147">
        <v>47.6</v>
      </c>
      <c r="J2147">
        <v>75.8</v>
      </c>
      <c r="K2147">
        <v>58</v>
      </c>
      <c r="L2147">
        <v>5</v>
      </c>
      <c r="M2147">
        <v>111</v>
      </c>
      <c r="N2147">
        <v>1.6</v>
      </c>
      <c r="O2147">
        <v>0.9</v>
      </c>
      <c r="P2147">
        <v>2.2000000000000002</v>
      </c>
      <c r="Q2147">
        <f t="shared" si="64"/>
        <v>1354522</v>
      </c>
      <c r="R2147">
        <f t="shared" si="65"/>
        <v>4.2819533385208954</v>
      </c>
      <c r="U2147">
        <v>321</v>
      </c>
      <c r="V2147">
        <v>0</v>
      </c>
      <c r="W2147">
        <v>651</v>
      </c>
      <c r="X2147">
        <v>210</v>
      </c>
      <c r="Y2147">
        <v>60.5</v>
      </c>
      <c r="Z2147">
        <v>43.1</v>
      </c>
      <c r="AA2147">
        <v>77.900000000000006</v>
      </c>
    </row>
    <row r="2148" spans="1:27" x14ac:dyDescent="0.25">
      <c r="A2148" t="s">
        <v>245</v>
      </c>
      <c r="B2148" t="s">
        <v>214</v>
      </c>
      <c r="C2148" s="76">
        <v>44002</v>
      </c>
      <c r="D2148">
        <v>2289</v>
      </c>
      <c r="E2148">
        <v>512</v>
      </c>
      <c r="F2148">
        <v>4066</v>
      </c>
      <c r="G2148">
        <v>1434</v>
      </c>
      <c r="H2148">
        <v>61.5</v>
      </c>
      <c r="I2148">
        <v>50.1</v>
      </c>
      <c r="J2148">
        <v>72.900000000000006</v>
      </c>
      <c r="K2148">
        <v>60</v>
      </c>
      <c r="L2148">
        <v>5</v>
      </c>
      <c r="M2148">
        <v>115</v>
      </c>
      <c r="N2148">
        <v>1.6</v>
      </c>
      <c r="O2148">
        <v>0.9</v>
      </c>
      <c r="P2148">
        <v>2.2999999999999998</v>
      </c>
      <c r="Q2148">
        <f t="shared" si="64"/>
        <v>1354522</v>
      </c>
      <c r="R2148">
        <f t="shared" si="65"/>
        <v>4.4296069019181674</v>
      </c>
      <c r="U2148">
        <v>345</v>
      </c>
      <c r="V2148">
        <v>11</v>
      </c>
      <c r="W2148">
        <v>678</v>
      </c>
      <c r="X2148">
        <v>188</v>
      </c>
      <c r="Y2148">
        <v>64.7</v>
      </c>
      <c r="Z2148">
        <v>52.1</v>
      </c>
      <c r="AA2148">
        <v>77.2</v>
      </c>
    </row>
    <row r="2149" spans="1:27" x14ac:dyDescent="0.25">
      <c r="A2149" t="s">
        <v>245</v>
      </c>
      <c r="B2149" t="s">
        <v>214</v>
      </c>
      <c r="C2149" s="76">
        <v>44003</v>
      </c>
      <c r="D2149">
        <v>2324</v>
      </c>
      <c r="E2149">
        <v>611</v>
      </c>
      <c r="F2149">
        <v>4038</v>
      </c>
      <c r="G2149">
        <v>1377</v>
      </c>
      <c r="H2149">
        <v>62.8</v>
      </c>
      <c r="I2149">
        <v>52.9</v>
      </c>
      <c r="J2149">
        <v>72.7</v>
      </c>
      <c r="K2149">
        <v>77</v>
      </c>
      <c r="L2149">
        <v>4</v>
      </c>
      <c r="M2149">
        <v>150</v>
      </c>
      <c r="N2149">
        <v>2.1</v>
      </c>
      <c r="O2149">
        <v>1.1000000000000001</v>
      </c>
      <c r="P2149">
        <v>3.1</v>
      </c>
      <c r="Q2149">
        <f t="shared" si="64"/>
        <v>1354522</v>
      </c>
      <c r="R2149">
        <f t="shared" si="65"/>
        <v>5.6846621907949819</v>
      </c>
      <c r="U2149">
        <v>349</v>
      </c>
      <c r="V2149">
        <v>16</v>
      </c>
      <c r="W2149">
        <v>682</v>
      </c>
      <c r="X2149">
        <v>189</v>
      </c>
      <c r="Y2149">
        <v>64.8</v>
      </c>
      <c r="Z2149">
        <v>51.5</v>
      </c>
      <c r="AA2149">
        <v>78.2</v>
      </c>
    </row>
    <row r="2150" spans="1:27" x14ac:dyDescent="0.25">
      <c r="A2150" t="s">
        <v>245</v>
      </c>
      <c r="B2150" t="s">
        <v>214</v>
      </c>
      <c r="C2150" s="76">
        <v>44004</v>
      </c>
      <c r="D2150">
        <v>2304</v>
      </c>
      <c r="E2150">
        <v>565</v>
      </c>
      <c r="F2150">
        <v>4043</v>
      </c>
      <c r="G2150">
        <v>1403</v>
      </c>
      <c r="H2150">
        <v>62.1</v>
      </c>
      <c r="I2150">
        <v>51.7</v>
      </c>
      <c r="J2150">
        <v>72.599999999999994</v>
      </c>
      <c r="K2150">
        <v>68</v>
      </c>
      <c r="L2150">
        <v>10</v>
      </c>
      <c r="M2150">
        <v>125</v>
      </c>
      <c r="N2150">
        <v>1.8</v>
      </c>
      <c r="O2150">
        <v>1.2</v>
      </c>
      <c r="P2150">
        <v>2.5</v>
      </c>
      <c r="Q2150">
        <f t="shared" si="64"/>
        <v>1354522</v>
      </c>
      <c r="R2150">
        <f t="shared" si="65"/>
        <v>5.0202211555072562</v>
      </c>
      <c r="U2150">
        <v>341</v>
      </c>
      <c r="V2150">
        <v>21</v>
      </c>
      <c r="W2150">
        <v>661</v>
      </c>
      <c r="X2150">
        <v>197</v>
      </c>
      <c r="Y2150">
        <v>63.3</v>
      </c>
      <c r="Z2150">
        <v>50</v>
      </c>
      <c r="AA2150">
        <v>76.599999999999994</v>
      </c>
    </row>
    <row r="2151" spans="1:27" x14ac:dyDescent="0.25">
      <c r="A2151" t="s">
        <v>245</v>
      </c>
      <c r="B2151" t="s">
        <v>214</v>
      </c>
      <c r="C2151" s="76">
        <v>44005</v>
      </c>
      <c r="D2151">
        <v>2407</v>
      </c>
      <c r="E2151">
        <v>571</v>
      </c>
      <c r="F2151">
        <v>4242</v>
      </c>
      <c r="G2151">
        <v>1306</v>
      </c>
      <c r="H2151">
        <v>64.8</v>
      </c>
      <c r="I2151">
        <v>54.2</v>
      </c>
      <c r="J2151">
        <v>75.5</v>
      </c>
      <c r="K2151">
        <v>58</v>
      </c>
      <c r="L2151">
        <v>4</v>
      </c>
      <c r="M2151">
        <v>111</v>
      </c>
      <c r="N2151">
        <v>1.6</v>
      </c>
      <c r="O2151">
        <v>0.9</v>
      </c>
      <c r="P2151">
        <v>2.2000000000000002</v>
      </c>
      <c r="Q2151">
        <f t="shared" ref="Q2151:Q2214" si="66">VLOOKUP(B2151,$AE$4:$AF$55,2,FALSE)</f>
        <v>1354522</v>
      </c>
      <c r="R2151">
        <f t="shared" si="65"/>
        <v>4.2819533385208954</v>
      </c>
      <c r="U2151">
        <v>339</v>
      </c>
      <c r="V2151">
        <v>0</v>
      </c>
      <c r="W2151">
        <v>681</v>
      </c>
      <c r="X2151">
        <v>203</v>
      </c>
      <c r="Y2151">
        <v>62.5</v>
      </c>
      <c r="Z2151">
        <v>47.4</v>
      </c>
      <c r="AA2151">
        <v>77.599999999999994</v>
      </c>
    </row>
    <row r="2152" spans="1:27" x14ac:dyDescent="0.25">
      <c r="A2152" t="s">
        <v>245</v>
      </c>
      <c r="B2152" t="s">
        <v>214</v>
      </c>
      <c r="C2152" s="76">
        <v>44006</v>
      </c>
      <c r="D2152">
        <v>2532</v>
      </c>
      <c r="E2152">
        <v>644</v>
      </c>
      <c r="F2152">
        <v>4420</v>
      </c>
      <c r="G2152">
        <v>1242</v>
      </c>
      <c r="H2152">
        <v>67.099999999999994</v>
      </c>
      <c r="I2152">
        <v>57.1</v>
      </c>
      <c r="J2152">
        <v>77.099999999999994</v>
      </c>
      <c r="K2152">
        <v>79</v>
      </c>
      <c r="L2152">
        <v>8</v>
      </c>
      <c r="M2152">
        <v>150</v>
      </c>
      <c r="N2152">
        <v>2.1</v>
      </c>
      <c r="O2152">
        <v>1.3</v>
      </c>
      <c r="P2152">
        <v>2.9</v>
      </c>
      <c r="Q2152">
        <f t="shared" si="66"/>
        <v>1354522</v>
      </c>
      <c r="R2152">
        <f t="shared" si="65"/>
        <v>5.8323157541922539</v>
      </c>
      <c r="U2152">
        <v>336</v>
      </c>
      <c r="V2152">
        <v>9</v>
      </c>
      <c r="W2152">
        <v>664</v>
      </c>
      <c r="X2152">
        <v>192</v>
      </c>
      <c r="Y2152">
        <v>63.7</v>
      </c>
      <c r="Z2152">
        <v>48.5</v>
      </c>
      <c r="AA2152">
        <v>78.900000000000006</v>
      </c>
    </row>
    <row r="2153" spans="1:27" x14ac:dyDescent="0.25">
      <c r="A2153" t="s">
        <v>245</v>
      </c>
      <c r="B2153" t="s">
        <v>214</v>
      </c>
      <c r="C2153" s="76">
        <v>44007</v>
      </c>
      <c r="D2153">
        <v>2520</v>
      </c>
      <c r="E2153">
        <v>606</v>
      </c>
      <c r="F2153">
        <v>4435</v>
      </c>
      <c r="G2153">
        <v>1195</v>
      </c>
      <c r="H2153">
        <v>67.8</v>
      </c>
      <c r="I2153">
        <v>56.5</v>
      </c>
      <c r="J2153">
        <v>79.2</v>
      </c>
      <c r="K2153">
        <v>62</v>
      </c>
      <c r="L2153">
        <v>9</v>
      </c>
      <c r="M2153">
        <v>115</v>
      </c>
      <c r="N2153">
        <v>1.7</v>
      </c>
      <c r="O2153">
        <v>1.2</v>
      </c>
      <c r="P2153">
        <v>2.2000000000000002</v>
      </c>
      <c r="Q2153">
        <f t="shared" si="66"/>
        <v>1354522</v>
      </c>
      <c r="R2153">
        <f t="shared" si="65"/>
        <v>4.5772604653154394</v>
      </c>
      <c r="U2153">
        <v>351</v>
      </c>
      <c r="V2153">
        <v>17</v>
      </c>
      <c r="W2153">
        <v>685</v>
      </c>
      <c r="X2153">
        <v>178</v>
      </c>
      <c r="Y2153">
        <v>66.3</v>
      </c>
      <c r="Z2153">
        <v>50.8</v>
      </c>
      <c r="AA2153">
        <v>81.900000000000006</v>
      </c>
    </row>
    <row r="2154" spans="1:27" x14ac:dyDescent="0.25">
      <c r="A2154" t="s">
        <v>245</v>
      </c>
      <c r="B2154" t="s">
        <v>214</v>
      </c>
      <c r="C2154" s="76">
        <v>44008</v>
      </c>
      <c r="D2154">
        <v>2460</v>
      </c>
      <c r="E2154">
        <v>553</v>
      </c>
      <c r="F2154">
        <v>4367</v>
      </c>
      <c r="G2154">
        <v>1255</v>
      </c>
      <c r="H2154">
        <v>66.2</v>
      </c>
      <c r="I2154">
        <v>54.7</v>
      </c>
      <c r="J2154">
        <v>77.7</v>
      </c>
      <c r="K2154">
        <v>67</v>
      </c>
      <c r="L2154">
        <v>12</v>
      </c>
      <c r="M2154">
        <v>123</v>
      </c>
      <c r="N2154">
        <v>1.8</v>
      </c>
      <c r="O2154">
        <v>1.1000000000000001</v>
      </c>
      <c r="P2154">
        <v>2.5</v>
      </c>
      <c r="Q2154">
        <f t="shared" si="66"/>
        <v>1354522</v>
      </c>
      <c r="R2154">
        <f t="shared" si="65"/>
        <v>4.9463943738086202</v>
      </c>
      <c r="U2154">
        <v>324</v>
      </c>
      <c r="V2154">
        <v>0</v>
      </c>
      <c r="W2154">
        <v>649</v>
      </c>
      <c r="X2154">
        <v>205</v>
      </c>
      <c r="Y2154">
        <v>61.3</v>
      </c>
      <c r="Z2154">
        <v>46.5</v>
      </c>
      <c r="AA2154">
        <v>76.099999999999994</v>
      </c>
    </row>
    <row r="2155" spans="1:27" x14ac:dyDescent="0.25">
      <c r="A2155" t="s">
        <v>245</v>
      </c>
      <c r="B2155" t="s">
        <v>214</v>
      </c>
      <c r="C2155" s="76">
        <v>44009</v>
      </c>
      <c r="D2155">
        <v>2352</v>
      </c>
      <c r="E2155">
        <v>524</v>
      </c>
      <c r="F2155">
        <v>4179</v>
      </c>
      <c r="G2155">
        <v>1384</v>
      </c>
      <c r="H2155">
        <v>63</v>
      </c>
      <c r="I2155">
        <v>51.8</v>
      </c>
      <c r="J2155">
        <v>74.099999999999994</v>
      </c>
      <c r="K2155">
        <v>52</v>
      </c>
      <c r="L2155">
        <v>1</v>
      </c>
      <c r="M2155">
        <v>103</v>
      </c>
      <c r="N2155">
        <v>1.4</v>
      </c>
      <c r="O2155">
        <v>0.7</v>
      </c>
      <c r="P2155">
        <v>2.1</v>
      </c>
      <c r="Q2155">
        <f t="shared" si="66"/>
        <v>1354522</v>
      </c>
      <c r="R2155">
        <f t="shared" si="65"/>
        <v>3.8389926483290782</v>
      </c>
      <c r="U2155">
        <v>337</v>
      </c>
      <c r="V2155">
        <v>0</v>
      </c>
      <c r="W2155">
        <v>680</v>
      </c>
      <c r="X2155">
        <v>202</v>
      </c>
      <c r="Y2155">
        <v>62.5</v>
      </c>
      <c r="Z2155">
        <v>46.5</v>
      </c>
      <c r="AA2155">
        <v>78.5</v>
      </c>
    </row>
    <row r="2156" spans="1:27" x14ac:dyDescent="0.25">
      <c r="A2156" t="s">
        <v>245</v>
      </c>
      <c r="B2156" t="s">
        <v>214</v>
      </c>
      <c r="C2156" s="76">
        <v>44010</v>
      </c>
      <c r="D2156">
        <v>2256</v>
      </c>
      <c r="E2156">
        <v>532</v>
      </c>
      <c r="F2156">
        <v>3981</v>
      </c>
      <c r="G2156">
        <v>1445</v>
      </c>
      <c r="H2156">
        <v>61</v>
      </c>
      <c r="I2156">
        <v>49.9</v>
      </c>
      <c r="J2156">
        <v>72</v>
      </c>
      <c r="K2156">
        <v>64</v>
      </c>
      <c r="L2156">
        <v>9</v>
      </c>
      <c r="M2156">
        <v>118</v>
      </c>
      <c r="N2156">
        <v>1.7</v>
      </c>
      <c r="O2156">
        <v>1</v>
      </c>
      <c r="P2156">
        <v>2.4</v>
      </c>
      <c r="Q2156">
        <f t="shared" si="66"/>
        <v>1354522</v>
      </c>
      <c r="R2156">
        <f t="shared" si="65"/>
        <v>4.7249140287127114</v>
      </c>
      <c r="U2156">
        <v>325</v>
      </c>
      <c r="V2156">
        <v>2</v>
      </c>
      <c r="W2156">
        <v>649</v>
      </c>
      <c r="X2156">
        <v>213</v>
      </c>
      <c r="Y2156">
        <v>60.5</v>
      </c>
      <c r="Z2156">
        <v>44.9</v>
      </c>
      <c r="AA2156">
        <v>76</v>
      </c>
    </row>
    <row r="2157" spans="1:27" x14ac:dyDescent="0.25">
      <c r="A2157" t="s">
        <v>245</v>
      </c>
      <c r="B2157" t="s">
        <v>214</v>
      </c>
      <c r="C2157" s="76">
        <v>44011</v>
      </c>
      <c r="D2157">
        <v>2329</v>
      </c>
      <c r="E2157">
        <v>610</v>
      </c>
      <c r="F2157">
        <v>4049</v>
      </c>
      <c r="G2157">
        <v>1357</v>
      </c>
      <c r="H2157">
        <v>63.2</v>
      </c>
      <c r="I2157">
        <v>54.6</v>
      </c>
      <c r="J2157">
        <v>71.8</v>
      </c>
      <c r="K2157">
        <v>60</v>
      </c>
      <c r="L2157">
        <v>7</v>
      </c>
      <c r="M2157">
        <v>112</v>
      </c>
      <c r="N2157">
        <v>1.6</v>
      </c>
      <c r="O2157">
        <v>0.9</v>
      </c>
      <c r="P2157">
        <v>2.2999999999999998</v>
      </c>
      <c r="Q2157">
        <f t="shared" si="66"/>
        <v>1354522</v>
      </c>
      <c r="R2157">
        <f t="shared" si="65"/>
        <v>4.4296069019181674</v>
      </c>
      <c r="U2157">
        <v>329</v>
      </c>
      <c r="V2157">
        <v>13</v>
      </c>
      <c r="W2157">
        <v>645</v>
      </c>
      <c r="X2157">
        <v>211</v>
      </c>
      <c r="Y2157">
        <v>61</v>
      </c>
      <c r="Z2157">
        <v>47.1</v>
      </c>
      <c r="AA2157">
        <v>74.900000000000006</v>
      </c>
    </row>
    <row r="2158" spans="1:27" x14ac:dyDescent="0.25">
      <c r="A2158" t="s">
        <v>245</v>
      </c>
      <c r="B2158" t="s">
        <v>214</v>
      </c>
      <c r="C2158" s="76">
        <v>44012</v>
      </c>
      <c r="D2158">
        <v>2468</v>
      </c>
      <c r="E2158">
        <v>600</v>
      </c>
      <c r="F2158">
        <v>4336</v>
      </c>
      <c r="G2158">
        <v>1060</v>
      </c>
      <c r="H2158">
        <v>70</v>
      </c>
      <c r="I2158">
        <v>61.2</v>
      </c>
      <c r="J2158">
        <v>78.7</v>
      </c>
      <c r="K2158">
        <v>61</v>
      </c>
      <c r="L2158">
        <v>7</v>
      </c>
      <c r="M2158">
        <v>114</v>
      </c>
      <c r="N2158">
        <v>1.7</v>
      </c>
      <c r="O2158">
        <v>0.9</v>
      </c>
      <c r="P2158">
        <v>2.5</v>
      </c>
      <c r="Q2158">
        <f t="shared" si="66"/>
        <v>1354522</v>
      </c>
      <c r="R2158">
        <f t="shared" si="65"/>
        <v>4.5034336836168034</v>
      </c>
      <c r="U2158">
        <v>345</v>
      </c>
      <c r="V2158">
        <v>8</v>
      </c>
      <c r="W2158">
        <v>683</v>
      </c>
      <c r="X2158">
        <v>191</v>
      </c>
      <c r="Y2158">
        <v>64.3</v>
      </c>
      <c r="Z2158">
        <v>55.6</v>
      </c>
      <c r="AA2158">
        <v>73.099999999999994</v>
      </c>
    </row>
    <row r="2159" spans="1:27" x14ac:dyDescent="0.25">
      <c r="A2159" t="s">
        <v>245</v>
      </c>
      <c r="B2159" t="s">
        <v>214</v>
      </c>
      <c r="C2159" s="76">
        <v>44013</v>
      </c>
      <c r="D2159">
        <v>2538</v>
      </c>
      <c r="E2159">
        <v>587</v>
      </c>
      <c r="F2159">
        <v>4488</v>
      </c>
      <c r="G2159">
        <v>997</v>
      </c>
      <c r="H2159">
        <v>71.8</v>
      </c>
      <c r="I2159">
        <v>63.4</v>
      </c>
      <c r="J2159">
        <v>80.2</v>
      </c>
      <c r="K2159">
        <v>62</v>
      </c>
      <c r="L2159">
        <v>1</v>
      </c>
      <c r="M2159">
        <v>123</v>
      </c>
      <c r="N2159">
        <v>1.8</v>
      </c>
      <c r="O2159">
        <v>0.9</v>
      </c>
      <c r="P2159">
        <v>2.6</v>
      </c>
      <c r="Q2159">
        <f t="shared" si="66"/>
        <v>1354522</v>
      </c>
      <c r="R2159">
        <f t="shared" si="65"/>
        <v>4.5772604653154394</v>
      </c>
      <c r="U2159">
        <v>346</v>
      </c>
      <c r="V2159">
        <v>5</v>
      </c>
      <c r="W2159">
        <v>688</v>
      </c>
      <c r="X2159">
        <v>193</v>
      </c>
      <c r="Y2159">
        <v>64.2</v>
      </c>
      <c r="Z2159">
        <v>53.8</v>
      </c>
      <c r="AA2159">
        <v>74.599999999999994</v>
      </c>
    </row>
    <row r="2160" spans="1:27" x14ac:dyDescent="0.25">
      <c r="A2160" t="s">
        <v>245</v>
      </c>
      <c r="B2160" t="s">
        <v>214</v>
      </c>
      <c r="C2160" s="76">
        <v>44014</v>
      </c>
      <c r="D2160">
        <v>2507</v>
      </c>
      <c r="E2160">
        <v>594</v>
      </c>
      <c r="F2160">
        <v>4420</v>
      </c>
      <c r="G2160">
        <v>1186</v>
      </c>
      <c r="H2160">
        <v>67.900000000000006</v>
      </c>
      <c r="I2160">
        <v>59</v>
      </c>
      <c r="J2160">
        <v>76.7</v>
      </c>
      <c r="K2160">
        <v>76</v>
      </c>
      <c r="L2160">
        <v>0</v>
      </c>
      <c r="M2160">
        <v>152</v>
      </c>
      <c r="N2160">
        <v>2</v>
      </c>
      <c r="O2160">
        <v>1.2</v>
      </c>
      <c r="P2160">
        <v>2.9</v>
      </c>
      <c r="Q2160">
        <f t="shared" si="66"/>
        <v>1354522</v>
      </c>
      <c r="R2160">
        <f t="shared" si="65"/>
        <v>5.610835409096345</v>
      </c>
      <c r="U2160">
        <v>333</v>
      </c>
      <c r="V2160">
        <v>4</v>
      </c>
      <c r="W2160">
        <v>662</v>
      </c>
      <c r="X2160">
        <v>193</v>
      </c>
      <c r="Y2160">
        <v>63.3</v>
      </c>
      <c r="Z2160">
        <v>52.9</v>
      </c>
      <c r="AA2160">
        <v>73.599999999999994</v>
      </c>
    </row>
    <row r="2161" spans="1:27" x14ac:dyDescent="0.25">
      <c r="A2161" t="s">
        <v>245</v>
      </c>
      <c r="B2161" t="s">
        <v>214</v>
      </c>
      <c r="C2161" s="76">
        <v>44015</v>
      </c>
      <c r="D2161">
        <v>2439</v>
      </c>
      <c r="E2161">
        <v>576</v>
      </c>
      <c r="F2161">
        <v>4302</v>
      </c>
      <c r="G2161">
        <v>1246</v>
      </c>
      <c r="H2161">
        <v>66.2</v>
      </c>
      <c r="I2161">
        <v>56.1</v>
      </c>
      <c r="J2161">
        <v>76.3</v>
      </c>
      <c r="K2161">
        <v>84</v>
      </c>
      <c r="L2161">
        <v>16</v>
      </c>
      <c r="M2161">
        <v>152</v>
      </c>
      <c r="N2161">
        <v>2.2999999999999998</v>
      </c>
      <c r="O2161">
        <v>1.6</v>
      </c>
      <c r="P2161">
        <v>3</v>
      </c>
      <c r="Q2161">
        <f t="shared" si="66"/>
        <v>1354522</v>
      </c>
      <c r="R2161">
        <f t="shared" si="65"/>
        <v>6.2014496626854339</v>
      </c>
      <c r="U2161">
        <v>321</v>
      </c>
      <c r="V2161">
        <v>5</v>
      </c>
      <c r="W2161">
        <v>637</v>
      </c>
      <c r="X2161">
        <v>213</v>
      </c>
      <c r="Y2161">
        <v>60.1</v>
      </c>
      <c r="Z2161">
        <v>50.2</v>
      </c>
      <c r="AA2161">
        <v>70</v>
      </c>
    </row>
    <row r="2162" spans="1:27" x14ac:dyDescent="0.25">
      <c r="A2162" t="s">
        <v>245</v>
      </c>
      <c r="B2162" t="s">
        <v>214</v>
      </c>
      <c r="C2162" s="76">
        <v>44016</v>
      </c>
      <c r="D2162">
        <v>2291</v>
      </c>
      <c r="E2162">
        <v>518</v>
      </c>
      <c r="F2162">
        <v>4064</v>
      </c>
      <c r="G2162">
        <v>1394</v>
      </c>
      <c r="H2162">
        <v>62.2</v>
      </c>
      <c r="I2162">
        <v>52</v>
      </c>
      <c r="J2162">
        <v>72.3</v>
      </c>
      <c r="K2162">
        <v>64</v>
      </c>
      <c r="L2162">
        <v>0</v>
      </c>
      <c r="M2162">
        <v>129</v>
      </c>
      <c r="N2162">
        <v>1.7</v>
      </c>
      <c r="O2162">
        <v>0.8</v>
      </c>
      <c r="P2162">
        <v>2.6</v>
      </c>
      <c r="Q2162">
        <f t="shared" si="66"/>
        <v>1354522</v>
      </c>
      <c r="R2162">
        <f t="shared" si="65"/>
        <v>4.7249140287127114</v>
      </c>
      <c r="U2162">
        <v>319</v>
      </c>
      <c r="V2162">
        <v>13</v>
      </c>
      <c r="W2162">
        <v>625</v>
      </c>
      <c r="X2162">
        <v>211</v>
      </c>
      <c r="Y2162">
        <v>60.2</v>
      </c>
      <c r="Z2162">
        <v>48.7</v>
      </c>
      <c r="AA2162">
        <v>71.599999999999994</v>
      </c>
    </row>
    <row r="2163" spans="1:27" x14ac:dyDescent="0.25">
      <c r="A2163" t="s">
        <v>245</v>
      </c>
      <c r="B2163" t="s">
        <v>214</v>
      </c>
      <c r="C2163" s="76">
        <v>44017</v>
      </c>
      <c r="D2163">
        <v>2253</v>
      </c>
      <c r="E2163">
        <v>523</v>
      </c>
      <c r="F2163">
        <v>3982</v>
      </c>
      <c r="G2163">
        <v>1397</v>
      </c>
      <c r="H2163">
        <v>61.7</v>
      </c>
      <c r="I2163">
        <v>51.9</v>
      </c>
      <c r="J2163">
        <v>71.599999999999994</v>
      </c>
      <c r="K2163">
        <v>63</v>
      </c>
      <c r="L2163">
        <v>0</v>
      </c>
      <c r="M2163">
        <v>126</v>
      </c>
      <c r="N2163">
        <v>1.7</v>
      </c>
      <c r="O2163">
        <v>0.9</v>
      </c>
      <c r="P2163">
        <v>2.5</v>
      </c>
      <c r="Q2163">
        <f t="shared" si="66"/>
        <v>1354522</v>
      </c>
      <c r="R2163">
        <f t="shared" si="65"/>
        <v>4.6510872470140754</v>
      </c>
      <c r="U2163">
        <v>330</v>
      </c>
      <c r="V2163">
        <v>7</v>
      </c>
      <c r="W2163">
        <v>652</v>
      </c>
      <c r="X2163">
        <v>194</v>
      </c>
      <c r="Y2163">
        <v>63</v>
      </c>
      <c r="Z2163">
        <v>53.7</v>
      </c>
      <c r="AA2163">
        <v>72.2</v>
      </c>
    </row>
    <row r="2164" spans="1:27" x14ac:dyDescent="0.25">
      <c r="A2164" t="s">
        <v>245</v>
      </c>
      <c r="B2164" t="s">
        <v>214</v>
      </c>
      <c r="C2164" s="76">
        <v>44018</v>
      </c>
      <c r="D2164">
        <v>2314</v>
      </c>
      <c r="E2164">
        <v>561</v>
      </c>
      <c r="F2164">
        <v>4067</v>
      </c>
      <c r="G2164">
        <v>1310</v>
      </c>
      <c r="H2164">
        <v>63.9</v>
      </c>
      <c r="I2164">
        <v>54.3</v>
      </c>
      <c r="J2164">
        <v>73.400000000000006</v>
      </c>
      <c r="K2164">
        <v>62</v>
      </c>
      <c r="L2164">
        <v>9</v>
      </c>
      <c r="M2164">
        <v>115</v>
      </c>
      <c r="N2164">
        <v>1.7</v>
      </c>
      <c r="O2164">
        <v>1.1000000000000001</v>
      </c>
      <c r="P2164">
        <v>2.2999999999999998</v>
      </c>
      <c r="Q2164">
        <f t="shared" si="66"/>
        <v>1354522</v>
      </c>
      <c r="R2164">
        <f t="shared" si="65"/>
        <v>4.5772604653154394</v>
      </c>
      <c r="U2164">
        <v>330</v>
      </c>
      <c r="V2164">
        <v>17</v>
      </c>
      <c r="W2164">
        <v>643</v>
      </c>
      <c r="X2164">
        <v>200</v>
      </c>
      <c r="Y2164">
        <v>62.3</v>
      </c>
      <c r="Z2164">
        <v>54.3</v>
      </c>
      <c r="AA2164">
        <v>70.3</v>
      </c>
    </row>
    <row r="2165" spans="1:27" x14ac:dyDescent="0.25">
      <c r="A2165" t="s">
        <v>245</v>
      </c>
      <c r="B2165" t="s">
        <v>214</v>
      </c>
      <c r="C2165" s="76">
        <v>44019</v>
      </c>
      <c r="D2165">
        <v>2513</v>
      </c>
      <c r="E2165">
        <v>641</v>
      </c>
      <c r="F2165">
        <v>4386</v>
      </c>
      <c r="G2165">
        <v>1194</v>
      </c>
      <c r="H2165">
        <v>67.8</v>
      </c>
      <c r="I2165">
        <v>59.5</v>
      </c>
      <c r="J2165">
        <v>76.099999999999994</v>
      </c>
      <c r="K2165">
        <v>70</v>
      </c>
      <c r="L2165">
        <v>3</v>
      </c>
      <c r="M2165">
        <v>137</v>
      </c>
      <c r="N2165">
        <v>1.9</v>
      </c>
      <c r="O2165">
        <v>1.1000000000000001</v>
      </c>
      <c r="P2165">
        <v>2.7</v>
      </c>
      <c r="Q2165">
        <f t="shared" si="66"/>
        <v>1354522</v>
      </c>
      <c r="R2165">
        <f t="shared" si="65"/>
        <v>5.1678747189045282</v>
      </c>
      <c r="U2165">
        <v>339</v>
      </c>
      <c r="V2165">
        <v>19</v>
      </c>
      <c r="W2165">
        <v>659</v>
      </c>
      <c r="X2165">
        <v>195</v>
      </c>
      <c r="Y2165">
        <v>63.5</v>
      </c>
      <c r="Z2165">
        <v>54.7</v>
      </c>
      <c r="AA2165">
        <v>72.3</v>
      </c>
    </row>
    <row r="2166" spans="1:27" x14ac:dyDescent="0.25">
      <c r="A2166" t="s">
        <v>246</v>
      </c>
      <c r="B2166" t="s">
        <v>181</v>
      </c>
      <c r="C2166" s="76">
        <v>43922</v>
      </c>
      <c r="D2166">
        <v>13462</v>
      </c>
      <c r="E2166">
        <v>6503</v>
      </c>
      <c r="F2166">
        <v>20422</v>
      </c>
      <c r="G2166">
        <v>12069</v>
      </c>
      <c r="H2166">
        <v>52.7</v>
      </c>
      <c r="I2166">
        <v>43.5</v>
      </c>
      <c r="J2166">
        <v>61.9</v>
      </c>
      <c r="K2166">
        <v>5155</v>
      </c>
      <c r="L2166">
        <v>2126</v>
      </c>
      <c r="M2166">
        <v>8184</v>
      </c>
      <c r="N2166">
        <v>20.2</v>
      </c>
      <c r="O2166">
        <v>14.2</v>
      </c>
      <c r="P2166">
        <v>26.2</v>
      </c>
      <c r="Q2166">
        <f t="shared" si="66"/>
        <v>9992427</v>
      </c>
      <c r="R2166">
        <f t="shared" si="65"/>
        <v>51.589068401500455</v>
      </c>
      <c r="U2166">
        <v>2294</v>
      </c>
      <c r="V2166">
        <v>787</v>
      </c>
      <c r="W2166">
        <v>3802</v>
      </c>
      <c r="X2166">
        <v>1058</v>
      </c>
      <c r="Y2166">
        <v>68.400000000000006</v>
      </c>
      <c r="Z2166">
        <v>53.7</v>
      </c>
      <c r="AA2166">
        <v>83.2</v>
      </c>
    </row>
    <row r="2167" spans="1:27" x14ac:dyDescent="0.25">
      <c r="A2167" t="s">
        <v>246</v>
      </c>
      <c r="B2167" t="s">
        <v>181</v>
      </c>
      <c r="C2167" s="76">
        <v>43923</v>
      </c>
      <c r="D2167">
        <v>13220</v>
      </c>
      <c r="E2167">
        <v>7816</v>
      </c>
      <c r="F2167">
        <v>18623</v>
      </c>
      <c r="G2167">
        <v>11517</v>
      </c>
      <c r="H2167">
        <v>53.4</v>
      </c>
      <c r="I2167">
        <v>47.3</v>
      </c>
      <c r="J2167">
        <v>59.5</v>
      </c>
      <c r="K2167">
        <v>4992</v>
      </c>
      <c r="L2167">
        <v>2598</v>
      </c>
      <c r="M2167">
        <v>7386</v>
      </c>
      <c r="N2167">
        <v>20.2</v>
      </c>
      <c r="O2167">
        <v>15.4</v>
      </c>
      <c r="P2167">
        <v>25</v>
      </c>
      <c r="Q2167">
        <f t="shared" si="66"/>
        <v>9992427</v>
      </c>
      <c r="R2167">
        <f t="shared" si="65"/>
        <v>49.957833066981628</v>
      </c>
      <c r="U2167">
        <v>2551</v>
      </c>
      <c r="V2167">
        <v>1198</v>
      </c>
      <c r="W2167">
        <v>3904</v>
      </c>
      <c r="X2167">
        <v>1199</v>
      </c>
      <c r="Y2167">
        <v>68</v>
      </c>
      <c r="Z2167">
        <v>56.1</v>
      </c>
      <c r="AA2167">
        <v>79.900000000000006</v>
      </c>
    </row>
    <row r="2168" spans="1:27" x14ac:dyDescent="0.25">
      <c r="A2168" t="s">
        <v>246</v>
      </c>
      <c r="B2168" t="s">
        <v>181</v>
      </c>
      <c r="C2168" s="76">
        <v>43924</v>
      </c>
      <c r="D2168">
        <v>14447</v>
      </c>
      <c r="E2168">
        <v>8735</v>
      </c>
      <c r="F2168">
        <v>20158</v>
      </c>
      <c r="G2168">
        <v>11257</v>
      </c>
      <c r="H2168">
        <v>56.2</v>
      </c>
      <c r="I2168">
        <v>47.8</v>
      </c>
      <c r="J2168">
        <v>64.7</v>
      </c>
      <c r="K2168">
        <v>4845</v>
      </c>
      <c r="L2168">
        <v>2573</v>
      </c>
      <c r="M2168">
        <v>7117</v>
      </c>
      <c r="N2168">
        <v>18.8</v>
      </c>
      <c r="O2168">
        <v>13.7</v>
      </c>
      <c r="P2168">
        <v>24</v>
      </c>
      <c r="Q2168">
        <f t="shared" si="66"/>
        <v>9992427</v>
      </c>
      <c r="R2168">
        <f t="shared" si="65"/>
        <v>48.486718992292865</v>
      </c>
      <c r="U2168">
        <v>2477</v>
      </c>
      <c r="V2168">
        <v>1277</v>
      </c>
      <c r="W2168">
        <v>3676</v>
      </c>
      <c r="X2168">
        <v>1570</v>
      </c>
      <c r="Y2168">
        <v>61.2</v>
      </c>
      <c r="Z2168">
        <v>51.6</v>
      </c>
      <c r="AA2168">
        <v>70.8</v>
      </c>
    </row>
    <row r="2169" spans="1:27" x14ac:dyDescent="0.25">
      <c r="A2169" t="s">
        <v>246</v>
      </c>
      <c r="B2169" t="s">
        <v>181</v>
      </c>
      <c r="C2169" s="76">
        <v>43925</v>
      </c>
      <c r="D2169">
        <v>13343</v>
      </c>
      <c r="E2169">
        <v>8328</v>
      </c>
      <c r="F2169">
        <v>18357</v>
      </c>
      <c r="G2169">
        <v>12381</v>
      </c>
      <c r="H2169">
        <v>51.9</v>
      </c>
      <c r="I2169">
        <v>45.3</v>
      </c>
      <c r="J2169">
        <v>58.4</v>
      </c>
      <c r="K2169">
        <v>5100</v>
      </c>
      <c r="L2169">
        <v>2828</v>
      </c>
      <c r="M2169">
        <v>7373</v>
      </c>
      <c r="N2169">
        <v>19.8</v>
      </c>
      <c r="O2169">
        <v>14.8</v>
      </c>
      <c r="P2169">
        <v>24.9</v>
      </c>
      <c r="Q2169">
        <f t="shared" si="66"/>
        <v>9992427</v>
      </c>
      <c r="R2169">
        <f t="shared" si="65"/>
        <v>51.038651570834595</v>
      </c>
      <c r="U2169">
        <v>2632</v>
      </c>
      <c r="V2169">
        <v>1440</v>
      </c>
      <c r="W2169">
        <v>3824</v>
      </c>
      <c r="X2169">
        <v>1379</v>
      </c>
      <c r="Y2169">
        <v>65.599999999999994</v>
      </c>
      <c r="Z2169">
        <v>56.2</v>
      </c>
      <c r="AA2169">
        <v>75.099999999999994</v>
      </c>
    </row>
    <row r="2170" spans="1:27" x14ac:dyDescent="0.25">
      <c r="A2170" t="s">
        <v>246</v>
      </c>
      <c r="B2170" t="s">
        <v>181</v>
      </c>
      <c r="C2170" s="76">
        <v>43926</v>
      </c>
      <c r="D2170">
        <v>13290</v>
      </c>
      <c r="E2170">
        <v>8305</v>
      </c>
      <c r="F2170">
        <v>18274</v>
      </c>
      <c r="G2170">
        <v>12449</v>
      </c>
      <c r="H2170">
        <v>51.6</v>
      </c>
      <c r="I2170">
        <v>45</v>
      </c>
      <c r="J2170">
        <v>58.3</v>
      </c>
      <c r="K2170">
        <v>5288</v>
      </c>
      <c r="L2170">
        <v>2929</v>
      </c>
      <c r="M2170">
        <v>7648</v>
      </c>
      <c r="N2170">
        <v>20.5</v>
      </c>
      <c r="O2170">
        <v>15.2</v>
      </c>
      <c r="P2170">
        <v>25.9</v>
      </c>
      <c r="Q2170">
        <f t="shared" si="66"/>
        <v>9992427</v>
      </c>
      <c r="R2170">
        <f t="shared" si="65"/>
        <v>52.920076373837901</v>
      </c>
      <c r="U2170">
        <v>2683</v>
      </c>
      <c r="V2170">
        <v>1468</v>
      </c>
      <c r="W2170">
        <v>3898</v>
      </c>
      <c r="X2170">
        <v>1373</v>
      </c>
      <c r="Y2170">
        <v>66.099999999999994</v>
      </c>
      <c r="Z2170">
        <v>55.5</v>
      </c>
      <c r="AA2170">
        <v>76.8</v>
      </c>
    </row>
    <row r="2171" spans="1:27" x14ac:dyDescent="0.25">
      <c r="A2171" t="s">
        <v>246</v>
      </c>
      <c r="B2171" t="s">
        <v>181</v>
      </c>
      <c r="C2171" s="76">
        <v>43927</v>
      </c>
      <c r="D2171">
        <v>13271</v>
      </c>
      <c r="E2171">
        <v>8411</v>
      </c>
      <c r="F2171">
        <v>18131</v>
      </c>
      <c r="G2171">
        <v>12349</v>
      </c>
      <c r="H2171">
        <v>51.8</v>
      </c>
      <c r="I2171">
        <v>45.3</v>
      </c>
      <c r="J2171">
        <v>58.3</v>
      </c>
      <c r="K2171">
        <v>5239</v>
      </c>
      <c r="L2171">
        <v>2925</v>
      </c>
      <c r="M2171">
        <v>7553</v>
      </c>
      <c r="N2171">
        <v>20.399999999999999</v>
      </c>
      <c r="O2171">
        <v>15.2</v>
      </c>
      <c r="P2171">
        <v>25.7</v>
      </c>
      <c r="Q2171">
        <f t="shared" si="66"/>
        <v>9992427</v>
      </c>
      <c r="R2171">
        <f t="shared" si="65"/>
        <v>52.42970501560832</v>
      </c>
      <c r="U2171">
        <v>2604</v>
      </c>
      <c r="V2171">
        <v>1441</v>
      </c>
      <c r="W2171">
        <v>3766</v>
      </c>
      <c r="X2171">
        <v>1387</v>
      </c>
      <c r="Y2171">
        <v>65.3</v>
      </c>
      <c r="Z2171">
        <v>55.8</v>
      </c>
      <c r="AA2171">
        <v>74.7</v>
      </c>
    </row>
    <row r="2172" spans="1:27" x14ac:dyDescent="0.25">
      <c r="A2172" t="s">
        <v>246</v>
      </c>
      <c r="B2172" t="s">
        <v>181</v>
      </c>
      <c r="C2172" s="76">
        <v>43928</v>
      </c>
      <c r="D2172">
        <v>13744</v>
      </c>
      <c r="E2172">
        <v>8831</v>
      </c>
      <c r="F2172">
        <v>18657</v>
      </c>
      <c r="G2172">
        <v>14125</v>
      </c>
      <c r="H2172">
        <v>49.3</v>
      </c>
      <c r="I2172">
        <v>43.9</v>
      </c>
      <c r="J2172">
        <v>54.7</v>
      </c>
      <c r="K2172">
        <v>5456</v>
      </c>
      <c r="L2172">
        <v>3068</v>
      </c>
      <c r="M2172">
        <v>7844</v>
      </c>
      <c r="N2172">
        <v>19.600000000000001</v>
      </c>
      <c r="O2172">
        <v>15.1</v>
      </c>
      <c r="P2172">
        <v>24.1</v>
      </c>
      <c r="Q2172">
        <f t="shared" si="66"/>
        <v>9992427</v>
      </c>
      <c r="R2172">
        <f t="shared" si="65"/>
        <v>54.601349602053631</v>
      </c>
      <c r="U2172">
        <v>2610</v>
      </c>
      <c r="V2172">
        <v>1449</v>
      </c>
      <c r="W2172">
        <v>3770</v>
      </c>
      <c r="X2172">
        <v>1375</v>
      </c>
      <c r="Y2172">
        <v>65.5</v>
      </c>
      <c r="Z2172">
        <v>57.3</v>
      </c>
      <c r="AA2172">
        <v>73.7</v>
      </c>
    </row>
    <row r="2173" spans="1:27" x14ac:dyDescent="0.25">
      <c r="A2173" t="s">
        <v>246</v>
      </c>
      <c r="B2173" t="s">
        <v>181</v>
      </c>
      <c r="C2173" s="76">
        <v>43929</v>
      </c>
      <c r="D2173">
        <v>13796</v>
      </c>
      <c r="E2173">
        <v>8882</v>
      </c>
      <c r="F2173">
        <v>18710</v>
      </c>
      <c r="G2173">
        <v>13675</v>
      </c>
      <c r="H2173">
        <v>50.2</v>
      </c>
      <c r="I2173">
        <v>45.1</v>
      </c>
      <c r="J2173">
        <v>55.3</v>
      </c>
      <c r="K2173">
        <v>5344</v>
      </c>
      <c r="L2173">
        <v>3012</v>
      </c>
      <c r="M2173">
        <v>7675</v>
      </c>
      <c r="N2173">
        <v>19.5</v>
      </c>
      <c r="O2173">
        <v>14.9</v>
      </c>
      <c r="P2173">
        <v>24</v>
      </c>
      <c r="Q2173">
        <f t="shared" si="66"/>
        <v>9992427</v>
      </c>
      <c r="R2173">
        <f t="shared" si="65"/>
        <v>53.480500783243151</v>
      </c>
      <c r="U2173">
        <v>2665</v>
      </c>
      <c r="V2173">
        <v>1485</v>
      </c>
      <c r="W2173">
        <v>3844</v>
      </c>
      <c r="X2173">
        <v>1336</v>
      </c>
      <c r="Y2173">
        <v>66.599999999999994</v>
      </c>
      <c r="Z2173">
        <v>58.4</v>
      </c>
      <c r="AA2173">
        <v>74.8</v>
      </c>
    </row>
    <row r="2174" spans="1:27" x14ac:dyDescent="0.25">
      <c r="A2174" t="s">
        <v>246</v>
      </c>
      <c r="B2174" t="s">
        <v>181</v>
      </c>
      <c r="C2174" s="76">
        <v>43930</v>
      </c>
      <c r="D2174">
        <v>14355</v>
      </c>
      <c r="E2174">
        <v>9106</v>
      </c>
      <c r="F2174">
        <v>19603</v>
      </c>
      <c r="G2174">
        <v>13711</v>
      </c>
      <c r="H2174">
        <v>51.1</v>
      </c>
      <c r="I2174">
        <v>46.7</v>
      </c>
      <c r="J2174">
        <v>55.6</v>
      </c>
      <c r="K2174">
        <v>5267</v>
      </c>
      <c r="L2174">
        <v>2923</v>
      </c>
      <c r="M2174">
        <v>7612</v>
      </c>
      <c r="N2174">
        <v>18.8</v>
      </c>
      <c r="O2174">
        <v>14.5</v>
      </c>
      <c r="P2174">
        <v>23</v>
      </c>
      <c r="Q2174">
        <f t="shared" si="66"/>
        <v>9992427</v>
      </c>
      <c r="R2174">
        <f t="shared" si="65"/>
        <v>52.709917220310949</v>
      </c>
      <c r="U2174">
        <v>3289</v>
      </c>
      <c r="V2174">
        <v>1551</v>
      </c>
      <c r="W2174">
        <v>5026</v>
      </c>
      <c r="X2174">
        <v>1367</v>
      </c>
      <c r="Y2174">
        <v>70.599999999999994</v>
      </c>
      <c r="Z2174">
        <v>63.3</v>
      </c>
      <c r="AA2174">
        <v>78</v>
      </c>
    </row>
    <row r="2175" spans="1:27" x14ac:dyDescent="0.25">
      <c r="A2175" t="s">
        <v>246</v>
      </c>
      <c r="B2175" t="s">
        <v>181</v>
      </c>
      <c r="C2175" s="76">
        <v>43931</v>
      </c>
      <c r="D2175">
        <v>14154</v>
      </c>
      <c r="E2175">
        <v>9030</v>
      </c>
      <c r="F2175">
        <v>19278</v>
      </c>
      <c r="G2175">
        <v>13818</v>
      </c>
      <c r="H2175">
        <v>50.6</v>
      </c>
      <c r="I2175">
        <v>46.2</v>
      </c>
      <c r="J2175">
        <v>55</v>
      </c>
      <c r="K2175">
        <v>5081</v>
      </c>
      <c r="L2175">
        <v>2830</v>
      </c>
      <c r="M2175">
        <v>7333</v>
      </c>
      <c r="N2175">
        <v>18.2</v>
      </c>
      <c r="O2175">
        <v>14.1</v>
      </c>
      <c r="P2175">
        <v>22.2</v>
      </c>
      <c r="Q2175">
        <f t="shared" si="66"/>
        <v>9992427</v>
      </c>
      <c r="R2175">
        <f t="shared" si="65"/>
        <v>50.848507574786389</v>
      </c>
      <c r="U2175">
        <v>3370</v>
      </c>
      <c r="V2175">
        <v>1589</v>
      </c>
      <c r="W2175">
        <v>5150</v>
      </c>
      <c r="X2175">
        <v>1404</v>
      </c>
      <c r="Y2175">
        <v>70.599999999999994</v>
      </c>
      <c r="Z2175">
        <v>62.9</v>
      </c>
      <c r="AA2175">
        <v>78.3</v>
      </c>
    </row>
    <row r="2176" spans="1:27" x14ac:dyDescent="0.25">
      <c r="A2176" t="s">
        <v>246</v>
      </c>
      <c r="B2176" t="s">
        <v>181</v>
      </c>
      <c r="C2176" s="76">
        <v>43932</v>
      </c>
      <c r="D2176">
        <v>14523</v>
      </c>
      <c r="E2176">
        <v>9289</v>
      </c>
      <c r="F2176">
        <v>19758</v>
      </c>
      <c r="G2176">
        <v>14029</v>
      </c>
      <c r="H2176">
        <v>50.9</v>
      </c>
      <c r="I2176">
        <v>46.6</v>
      </c>
      <c r="J2176">
        <v>55.1</v>
      </c>
      <c r="K2176">
        <v>4970</v>
      </c>
      <c r="L2176">
        <v>2777</v>
      </c>
      <c r="M2176">
        <v>7162</v>
      </c>
      <c r="N2176">
        <v>17.399999999999999</v>
      </c>
      <c r="O2176">
        <v>13.5</v>
      </c>
      <c r="P2176">
        <v>21.3</v>
      </c>
      <c r="Q2176">
        <f t="shared" si="66"/>
        <v>9992427</v>
      </c>
      <c r="R2176">
        <f t="shared" si="65"/>
        <v>49.737666334715279</v>
      </c>
      <c r="U2176">
        <v>3287</v>
      </c>
      <c r="V2176">
        <v>1532</v>
      </c>
      <c r="W2176">
        <v>5041</v>
      </c>
      <c r="X2176">
        <v>1419</v>
      </c>
      <c r="Y2176">
        <v>69.900000000000006</v>
      </c>
      <c r="Z2176">
        <v>62.1</v>
      </c>
      <c r="AA2176">
        <v>77.599999999999994</v>
      </c>
    </row>
    <row r="2177" spans="1:27" x14ac:dyDescent="0.25">
      <c r="A2177" t="s">
        <v>246</v>
      </c>
      <c r="B2177" t="s">
        <v>181</v>
      </c>
      <c r="C2177" s="76">
        <v>43933</v>
      </c>
      <c r="D2177">
        <v>13974</v>
      </c>
      <c r="E2177">
        <v>8955</v>
      </c>
      <c r="F2177">
        <v>18993</v>
      </c>
      <c r="G2177">
        <v>14114</v>
      </c>
      <c r="H2177">
        <v>49.8</v>
      </c>
      <c r="I2177">
        <v>45.4</v>
      </c>
      <c r="J2177">
        <v>54.1</v>
      </c>
      <c r="K2177">
        <v>4866</v>
      </c>
      <c r="L2177">
        <v>2745</v>
      </c>
      <c r="M2177">
        <v>6987</v>
      </c>
      <c r="N2177">
        <v>17.3</v>
      </c>
      <c r="O2177">
        <v>13.5</v>
      </c>
      <c r="P2177">
        <v>21.1</v>
      </c>
      <c r="Q2177">
        <f t="shared" si="66"/>
        <v>9992427</v>
      </c>
      <c r="R2177">
        <f t="shared" si="65"/>
        <v>48.696878145819831</v>
      </c>
      <c r="U2177">
        <v>3156</v>
      </c>
      <c r="V2177">
        <v>1451</v>
      </c>
      <c r="W2177">
        <v>4861</v>
      </c>
      <c r="X2177">
        <v>1437</v>
      </c>
      <c r="Y2177">
        <v>68.7</v>
      </c>
      <c r="Z2177">
        <v>60.5</v>
      </c>
      <c r="AA2177">
        <v>76.900000000000006</v>
      </c>
    </row>
    <row r="2178" spans="1:27" x14ac:dyDescent="0.25">
      <c r="A2178" t="s">
        <v>246</v>
      </c>
      <c r="B2178" t="s">
        <v>181</v>
      </c>
      <c r="C2178" s="76">
        <v>43934</v>
      </c>
      <c r="D2178">
        <v>13800</v>
      </c>
      <c r="E2178">
        <v>9096</v>
      </c>
      <c r="F2178">
        <v>18505</v>
      </c>
      <c r="G2178">
        <v>14172</v>
      </c>
      <c r="H2178">
        <v>49.3</v>
      </c>
      <c r="I2178">
        <v>45.1</v>
      </c>
      <c r="J2178">
        <v>53.6</v>
      </c>
      <c r="K2178">
        <v>4834</v>
      </c>
      <c r="L2178">
        <v>2795</v>
      </c>
      <c r="M2178">
        <v>6873</v>
      </c>
      <c r="N2178">
        <v>17.3</v>
      </c>
      <c r="O2178">
        <v>13.8</v>
      </c>
      <c r="P2178">
        <v>20.8</v>
      </c>
      <c r="Q2178">
        <f t="shared" si="66"/>
        <v>9992427</v>
      </c>
      <c r="R2178">
        <f t="shared" si="65"/>
        <v>48.37663562615969</v>
      </c>
      <c r="U2178">
        <v>2916</v>
      </c>
      <c r="V2178">
        <v>1627</v>
      </c>
      <c r="W2178">
        <v>4205</v>
      </c>
      <c r="X2178">
        <v>1416</v>
      </c>
      <c r="Y2178">
        <v>67.3</v>
      </c>
      <c r="Z2178">
        <v>59.2</v>
      </c>
      <c r="AA2178">
        <v>75.400000000000006</v>
      </c>
    </row>
    <row r="2179" spans="1:27" x14ac:dyDescent="0.25">
      <c r="A2179" t="s">
        <v>246</v>
      </c>
      <c r="B2179" t="s">
        <v>181</v>
      </c>
      <c r="C2179" s="76">
        <v>43935</v>
      </c>
      <c r="D2179">
        <v>14173</v>
      </c>
      <c r="E2179">
        <v>9343</v>
      </c>
      <c r="F2179">
        <v>19004</v>
      </c>
      <c r="G2179">
        <v>13724</v>
      </c>
      <c r="H2179">
        <v>50.8</v>
      </c>
      <c r="I2179">
        <v>46.4</v>
      </c>
      <c r="J2179">
        <v>55.2</v>
      </c>
      <c r="K2179">
        <v>4786</v>
      </c>
      <c r="L2179">
        <v>2760</v>
      </c>
      <c r="M2179">
        <v>6813</v>
      </c>
      <c r="N2179">
        <v>17.2</v>
      </c>
      <c r="O2179">
        <v>13.6</v>
      </c>
      <c r="P2179">
        <v>20.7</v>
      </c>
      <c r="Q2179">
        <f t="shared" si="66"/>
        <v>9992427</v>
      </c>
      <c r="R2179">
        <f t="shared" si="65"/>
        <v>47.896271846669478</v>
      </c>
      <c r="U2179">
        <v>2790</v>
      </c>
      <c r="V2179">
        <v>1556</v>
      </c>
      <c r="W2179">
        <v>4025</v>
      </c>
      <c r="X2179">
        <v>1549</v>
      </c>
      <c r="Y2179">
        <v>64.3</v>
      </c>
      <c r="Z2179">
        <v>56.8</v>
      </c>
      <c r="AA2179">
        <v>71.8</v>
      </c>
    </row>
    <row r="2180" spans="1:27" x14ac:dyDescent="0.25">
      <c r="A2180" t="s">
        <v>246</v>
      </c>
      <c r="B2180" t="s">
        <v>181</v>
      </c>
      <c r="C2180" s="76">
        <v>43936</v>
      </c>
      <c r="D2180">
        <v>14183</v>
      </c>
      <c r="E2180">
        <v>9166</v>
      </c>
      <c r="F2180">
        <v>19200</v>
      </c>
      <c r="G2180">
        <v>13575</v>
      </c>
      <c r="H2180">
        <v>51.1</v>
      </c>
      <c r="I2180">
        <v>46.3</v>
      </c>
      <c r="J2180">
        <v>55.9</v>
      </c>
      <c r="K2180">
        <v>4512</v>
      </c>
      <c r="L2180">
        <v>2536</v>
      </c>
      <c r="M2180">
        <v>6488</v>
      </c>
      <c r="N2180">
        <v>16.3</v>
      </c>
      <c r="O2180">
        <v>12.8</v>
      </c>
      <c r="P2180">
        <v>19.7</v>
      </c>
      <c r="Q2180">
        <f t="shared" si="66"/>
        <v>9992427</v>
      </c>
      <c r="R2180">
        <f t="shared" si="65"/>
        <v>45.154195272079548</v>
      </c>
      <c r="U2180">
        <v>2811</v>
      </c>
      <c r="V2180">
        <v>1546</v>
      </c>
      <c r="W2180">
        <v>4076</v>
      </c>
      <c r="X2180">
        <v>1563</v>
      </c>
      <c r="Y2180">
        <v>64.3</v>
      </c>
      <c r="Z2180">
        <v>57.7</v>
      </c>
      <c r="AA2180">
        <v>70.900000000000006</v>
      </c>
    </row>
    <row r="2181" spans="1:27" x14ac:dyDescent="0.25">
      <c r="A2181" t="s">
        <v>246</v>
      </c>
      <c r="B2181" t="s">
        <v>181</v>
      </c>
      <c r="C2181" s="76">
        <v>43937</v>
      </c>
      <c r="D2181">
        <v>13915</v>
      </c>
      <c r="E2181">
        <v>9326</v>
      </c>
      <c r="F2181">
        <v>18504</v>
      </c>
      <c r="G2181">
        <v>12838</v>
      </c>
      <c r="H2181">
        <v>52</v>
      </c>
      <c r="I2181">
        <v>47.4</v>
      </c>
      <c r="J2181">
        <v>56.6</v>
      </c>
      <c r="K2181">
        <v>4268</v>
      </c>
      <c r="L2181">
        <v>2518</v>
      </c>
      <c r="M2181">
        <v>6018</v>
      </c>
      <c r="N2181">
        <v>16</v>
      </c>
      <c r="O2181">
        <v>12.6</v>
      </c>
      <c r="P2181">
        <v>19.3</v>
      </c>
      <c r="Q2181">
        <f t="shared" si="66"/>
        <v>9992427</v>
      </c>
      <c r="R2181">
        <f t="shared" ref="R2181:R2244" si="67">K2181/(Q2181)*100000</f>
        <v>42.712346059670985</v>
      </c>
      <c r="U2181">
        <v>2759</v>
      </c>
      <c r="V2181">
        <v>1603</v>
      </c>
      <c r="W2181">
        <v>3916</v>
      </c>
      <c r="X2181">
        <v>1502</v>
      </c>
      <c r="Y2181">
        <v>64.8</v>
      </c>
      <c r="Z2181">
        <v>58.8</v>
      </c>
      <c r="AA2181">
        <v>70.7</v>
      </c>
    </row>
    <row r="2182" spans="1:27" x14ac:dyDescent="0.25">
      <c r="A2182" t="s">
        <v>246</v>
      </c>
      <c r="B2182" t="s">
        <v>181</v>
      </c>
      <c r="C2182" s="76">
        <v>43938</v>
      </c>
      <c r="D2182">
        <v>13571</v>
      </c>
      <c r="E2182">
        <v>9148</v>
      </c>
      <c r="F2182">
        <v>17993</v>
      </c>
      <c r="G2182">
        <v>12725</v>
      </c>
      <c r="H2182">
        <v>51.6</v>
      </c>
      <c r="I2182">
        <v>47</v>
      </c>
      <c r="J2182">
        <v>56.2</v>
      </c>
      <c r="K2182">
        <v>3974</v>
      </c>
      <c r="L2182">
        <v>2350</v>
      </c>
      <c r="M2182">
        <v>5598</v>
      </c>
      <c r="N2182">
        <v>15.1</v>
      </c>
      <c r="O2182">
        <v>11.9</v>
      </c>
      <c r="P2182">
        <v>18.399999999999999</v>
      </c>
      <c r="Q2182">
        <f t="shared" si="66"/>
        <v>9992427</v>
      </c>
      <c r="R2182">
        <f t="shared" si="67"/>
        <v>39.770117910293465</v>
      </c>
      <c r="U2182">
        <v>2764</v>
      </c>
      <c r="V2182">
        <v>1628</v>
      </c>
      <c r="W2182">
        <v>3900</v>
      </c>
      <c r="X2182">
        <v>1419</v>
      </c>
      <c r="Y2182">
        <v>66.099999999999994</v>
      </c>
      <c r="Z2182">
        <v>60.3</v>
      </c>
      <c r="AA2182">
        <v>71.8</v>
      </c>
    </row>
    <row r="2183" spans="1:27" x14ac:dyDescent="0.25">
      <c r="A2183" t="s">
        <v>246</v>
      </c>
      <c r="B2183" t="s">
        <v>181</v>
      </c>
      <c r="C2183" s="76">
        <v>43939</v>
      </c>
      <c r="D2183">
        <v>12925</v>
      </c>
      <c r="E2183">
        <v>8769</v>
      </c>
      <c r="F2183">
        <v>17081</v>
      </c>
      <c r="G2183">
        <v>13389</v>
      </c>
      <c r="H2183">
        <v>49.1</v>
      </c>
      <c r="I2183">
        <v>44.1</v>
      </c>
      <c r="J2183">
        <v>54.1</v>
      </c>
      <c r="K2183">
        <v>3947</v>
      </c>
      <c r="L2183">
        <v>2358</v>
      </c>
      <c r="M2183">
        <v>5536</v>
      </c>
      <c r="N2183">
        <v>15</v>
      </c>
      <c r="O2183">
        <v>11.8</v>
      </c>
      <c r="P2183">
        <v>18.2</v>
      </c>
      <c r="Q2183">
        <f t="shared" si="66"/>
        <v>9992427</v>
      </c>
      <c r="R2183">
        <f t="shared" si="67"/>
        <v>39.499913284330219</v>
      </c>
      <c r="U2183">
        <v>2624</v>
      </c>
      <c r="V2183">
        <v>1500</v>
      </c>
      <c r="W2183">
        <v>3748</v>
      </c>
      <c r="X2183">
        <v>1528</v>
      </c>
      <c r="Y2183">
        <v>63.2</v>
      </c>
      <c r="Z2183">
        <v>56.4</v>
      </c>
      <c r="AA2183">
        <v>70</v>
      </c>
    </row>
    <row r="2184" spans="1:27" x14ac:dyDescent="0.25">
      <c r="A2184" t="s">
        <v>246</v>
      </c>
      <c r="B2184" t="s">
        <v>181</v>
      </c>
      <c r="C2184" s="76">
        <v>43940</v>
      </c>
      <c r="D2184">
        <v>13091</v>
      </c>
      <c r="E2184">
        <v>8840</v>
      </c>
      <c r="F2184">
        <v>17342</v>
      </c>
      <c r="G2184">
        <v>13643</v>
      </c>
      <c r="H2184">
        <v>49</v>
      </c>
      <c r="I2184">
        <v>44.1</v>
      </c>
      <c r="J2184">
        <v>53.9</v>
      </c>
      <c r="K2184">
        <v>4049</v>
      </c>
      <c r="L2184">
        <v>2405</v>
      </c>
      <c r="M2184">
        <v>5694</v>
      </c>
      <c r="N2184">
        <v>15.1</v>
      </c>
      <c r="O2184">
        <v>12</v>
      </c>
      <c r="P2184">
        <v>18.3</v>
      </c>
      <c r="Q2184">
        <f t="shared" si="66"/>
        <v>9992427</v>
      </c>
      <c r="R2184">
        <f t="shared" si="67"/>
        <v>40.520686315746914</v>
      </c>
      <c r="U2184">
        <v>2674</v>
      </c>
      <c r="V2184">
        <v>1539</v>
      </c>
      <c r="W2184">
        <v>3808</v>
      </c>
      <c r="X2184">
        <v>1537</v>
      </c>
      <c r="Y2184">
        <v>63.5</v>
      </c>
      <c r="Z2184">
        <v>57</v>
      </c>
      <c r="AA2184">
        <v>70</v>
      </c>
    </row>
    <row r="2185" spans="1:27" x14ac:dyDescent="0.25">
      <c r="A2185" t="s">
        <v>246</v>
      </c>
      <c r="B2185" t="s">
        <v>181</v>
      </c>
      <c r="C2185" s="76">
        <v>43941</v>
      </c>
      <c r="D2185">
        <v>13515</v>
      </c>
      <c r="E2185">
        <v>9600</v>
      </c>
      <c r="F2185">
        <v>17431</v>
      </c>
      <c r="G2185">
        <v>12134</v>
      </c>
      <c r="H2185">
        <v>52.7</v>
      </c>
      <c r="I2185">
        <v>48.2</v>
      </c>
      <c r="J2185">
        <v>57.2</v>
      </c>
      <c r="K2185">
        <v>4160</v>
      </c>
      <c r="L2185">
        <v>2706</v>
      </c>
      <c r="M2185">
        <v>5613</v>
      </c>
      <c r="N2185">
        <v>16.2</v>
      </c>
      <c r="O2185">
        <v>13.3</v>
      </c>
      <c r="P2185">
        <v>19.2</v>
      </c>
      <c r="Q2185">
        <f t="shared" si="66"/>
        <v>9992427</v>
      </c>
      <c r="R2185">
        <f t="shared" si="67"/>
        <v>41.631527555818025</v>
      </c>
      <c r="U2185">
        <v>2705</v>
      </c>
      <c r="V2185">
        <v>1699</v>
      </c>
      <c r="W2185">
        <v>3711</v>
      </c>
      <c r="X2185">
        <v>1407</v>
      </c>
      <c r="Y2185">
        <v>65.8</v>
      </c>
      <c r="Z2185">
        <v>60.2</v>
      </c>
      <c r="AA2185">
        <v>71.400000000000006</v>
      </c>
    </row>
    <row r="2186" spans="1:27" x14ac:dyDescent="0.25">
      <c r="A2186" t="s">
        <v>246</v>
      </c>
      <c r="B2186" t="s">
        <v>181</v>
      </c>
      <c r="C2186" s="76">
        <v>43942</v>
      </c>
      <c r="D2186">
        <v>13979</v>
      </c>
      <c r="E2186">
        <v>9882</v>
      </c>
      <c r="F2186">
        <v>18076</v>
      </c>
      <c r="G2186">
        <v>11821</v>
      </c>
      <c r="H2186">
        <v>54.2</v>
      </c>
      <c r="I2186">
        <v>50.1</v>
      </c>
      <c r="J2186">
        <v>58.3</v>
      </c>
      <c r="K2186">
        <v>4015</v>
      </c>
      <c r="L2186">
        <v>2606</v>
      </c>
      <c r="M2186">
        <v>5424</v>
      </c>
      <c r="N2186">
        <v>15.6</v>
      </c>
      <c r="O2186">
        <v>12.6</v>
      </c>
      <c r="P2186">
        <v>18.5</v>
      </c>
      <c r="Q2186">
        <f t="shared" si="66"/>
        <v>9992427</v>
      </c>
      <c r="R2186">
        <f t="shared" si="67"/>
        <v>40.180428638608021</v>
      </c>
      <c r="U2186">
        <v>2821</v>
      </c>
      <c r="V2186">
        <v>1640</v>
      </c>
      <c r="W2186">
        <v>4002</v>
      </c>
      <c r="X2186">
        <v>1369</v>
      </c>
      <c r="Y2186">
        <v>67.3</v>
      </c>
      <c r="Z2186">
        <v>61.6</v>
      </c>
      <c r="AA2186">
        <v>73.099999999999994</v>
      </c>
    </row>
    <row r="2187" spans="1:27" x14ac:dyDescent="0.25">
      <c r="A2187" t="s">
        <v>246</v>
      </c>
      <c r="B2187" t="s">
        <v>181</v>
      </c>
      <c r="C2187" s="76">
        <v>43943</v>
      </c>
      <c r="D2187">
        <v>13710</v>
      </c>
      <c r="E2187">
        <v>9694</v>
      </c>
      <c r="F2187">
        <v>17725</v>
      </c>
      <c r="G2187">
        <v>11902</v>
      </c>
      <c r="H2187">
        <v>53.5</v>
      </c>
      <c r="I2187">
        <v>48.9</v>
      </c>
      <c r="J2187">
        <v>58.1</v>
      </c>
      <c r="K2187">
        <v>3911</v>
      </c>
      <c r="L2187">
        <v>2547</v>
      </c>
      <c r="M2187">
        <v>5275</v>
      </c>
      <c r="N2187">
        <v>15.3</v>
      </c>
      <c r="O2187">
        <v>12.4</v>
      </c>
      <c r="P2187">
        <v>18.100000000000001</v>
      </c>
      <c r="Q2187">
        <f t="shared" si="66"/>
        <v>9992427</v>
      </c>
      <c r="R2187">
        <f t="shared" si="67"/>
        <v>39.139640449712573</v>
      </c>
      <c r="U2187">
        <v>2752</v>
      </c>
      <c r="V2187">
        <v>1572</v>
      </c>
      <c r="W2187">
        <v>3931</v>
      </c>
      <c r="X2187">
        <v>1405</v>
      </c>
      <c r="Y2187">
        <v>66.2</v>
      </c>
      <c r="Z2187">
        <v>60.3</v>
      </c>
      <c r="AA2187">
        <v>72.099999999999994</v>
      </c>
    </row>
    <row r="2188" spans="1:27" x14ac:dyDescent="0.25">
      <c r="A2188" t="s">
        <v>246</v>
      </c>
      <c r="B2188" t="s">
        <v>181</v>
      </c>
      <c r="C2188" s="76">
        <v>43944</v>
      </c>
      <c r="D2188">
        <v>13613</v>
      </c>
      <c r="E2188">
        <v>9651</v>
      </c>
      <c r="F2188">
        <v>17574</v>
      </c>
      <c r="G2188">
        <v>12045</v>
      </c>
      <c r="H2188">
        <v>53.1</v>
      </c>
      <c r="I2188">
        <v>48.7</v>
      </c>
      <c r="J2188">
        <v>57.4</v>
      </c>
      <c r="K2188">
        <v>3651</v>
      </c>
      <c r="L2188">
        <v>2356</v>
      </c>
      <c r="M2188">
        <v>4945</v>
      </c>
      <c r="N2188">
        <v>14.2</v>
      </c>
      <c r="O2188">
        <v>11.5</v>
      </c>
      <c r="P2188">
        <v>16.899999999999999</v>
      </c>
      <c r="Q2188">
        <f t="shared" si="66"/>
        <v>9992427</v>
      </c>
      <c r="R2188">
        <f t="shared" si="67"/>
        <v>36.537669977473939</v>
      </c>
      <c r="U2188">
        <v>2601</v>
      </c>
      <c r="V2188">
        <v>1467</v>
      </c>
      <c r="W2188">
        <v>3734</v>
      </c>
      <c r="X2188">
        <v>1520</v>
      </c>
      <c r="Y2188">
        <v>63.1</v>
      </c>
      <c r="Z2188">
        <v>54.9</v>
      </c>
      <c r="AA2188">
        <v>71.400000000000006</v>
      </c>
    </row>
    <row r="2189" spans="1:27" x14ac:dyDescent="0.25">
      <c r="A2189" t="s">
        <v>246</v>
      </c>
      <c r="B2189" t="s">
        <v>181</v>
      </c>
      <c r="C2189" s="76">
        <v>43945</v>
      </c>
      <c r="D2189">
        <v>13725</v>
      </c>
      <c r="E2189">
        <v>9727</v>
      </c>
      <c r="F2189">
        <v>17722</v>
      </c>
      <c r="G2189">
        <v>11952</v>
      </c>
      <c r="H2189">
        <v>53.5</v>
      </c>
      <c r="I2189">
        <v>49</v>
      </c>
      <c r="J2189">
        <v>57.9</v>
      </c>
      <c r="K2189">
        <v>3533</v>
      </c>
      <c r="L2189">
        <v>2291</v>
      </c>
      <c r="M2189">
        <v>4775</v>
      </c>
      <c r="N2189">
        <v>13.8</v>
      </c>
      <c r="O2189">
        <v>11.2</v>
      </c>
      <c r="P2189">
        <v>16.3</v>
      </c>
      <c r="Q2189">
        <f t="shared" si="66"/>
        <v>9992427</v>
      </c>
      <c r="R2189">
        <f t="shared" si="67"/>
        <v>35.356775686227181</v>
      </c>
      <c r="U2189">
        <v>2734</v>
      </c>
      <c r="V2189">
        <v>1560</v>
      </c>
      <c r="W2189">
        <v>3908</v>
      </c>
      <c r="X2189">
        <v>1414</v>
      </c>
      <c r="Y2189">
        <v>65.900000000000006</v>
      </c>
      <c r="Z2189">
        <v>60.1</v>
      </c>
      <c r="AA2189">
        <v>71.7</v>
      </c>
    </row>
    <row r="2190" spans="1:27" x14ac:dyDescent="0.25">
      <c r="A2190" t="s">
        <v>246</v>
      </c>
      <c r="B2190" t="s">
        <v>181</v>
      </c>
      <c r="C2190" s="76">
        <v>43946</v>
      </c>
      <c r="D2190">
        <v>13516</v>
      </c>
      <c r="E2190">
        <v>9546</v>
      </c>
      <c r="F2190">
        <v>17486</v>
      </c>
      <c r="G2190">
        <v>12085</v>
      </c>
      <c r="H2190">
        <v>52.8</v>
      </c>
      <c r="I2190">
        <v>48.1</v>
      </c>
      <c r="J2190">
        <v>57.5</v>
      </c>
      <c r="K2190">
        <v>3378</v>
      </c>
      <c r="L2190">
        <v>2199</v>
      </c>
      <c r="M2190">
        <v>4557</v>
      </c>
      <c r="N2190">
        <v>13.2</v>
      </c>
      <c r="O2190">
        <v>10.7</v>
      </c>
      <c r="P2190">
        <v>15.6</v>
      </c>
      <c r="Q2190">
        <f t="shared" si="66"/>
        <v>9992427</v>
      </c>
      <c r="R2190">
        <f t="shared" si="67"/>
        <v>33.805600981623378</v>
      </c>
      <c r="U2190">
        <v>2673</v>
      </c>
      <c r="V2190">
        <v>1502</v>
      </c>
      <c r="W2190">
        <v>3843</v>
      </c>
      <c r="X2190">
        <v>1445</v>
      </c>
      <c r="Y2190">
        <v>64.900000000000006</v>
      </c>
      <c r="Z2190">
        <v>58.8</v>
      </c>
      <c r="AA2190">
        <v>71</v>
      </c>
    </row>
    <row r="2191" spans="1:27" x14ac:dyDescent="0.25">
      <c r="A2191" t="s">
        <v>246</v>
      </c>
      <c r="B2191" t="s">
        <v>181</v>
      </c>
      <c r="C2191" s="76">
        <v>43947</v>
      </c>
      <c r="D2191">
        <v>13219</v>
      </c>
      <c r="E2191">
        <v>9362</v>
      </c>
      <c r="F2191">
        <v>17077</v>
      </c>
      <c r="G2191">
        <v>12377</v>
      </c>
      <c r="H2191">
        <v>51.6</v>
      </c>
      <c r="I2191">
        <v>47.1</v>
      </c>
      <c r="J2191">
        <v>56.2</v>
      </c>
      <c r="K2191">
        <v>3317</v>
      </c>
      <c r="L2191">
        <v>2174</v>
      </c>
      <c r="M2191">
        <v>4460</v>
      </c>
      <c r="N2191">
        <v>13</v>
      </c>
      <c r="O2191">
        <v>10.6</v>
      </c>
      <c r="P2191">
        <v>15.3</v>
      </c>
      <c r="Q2191">
        <f t="shared" si="66"/>
        <v>9992427</v>
      </c>
      <c r="R2191">
        <f t="shared" si="67"/>
        <v>33.195138678521246</v>
      </c>
      <c r="U2191">
        <v>2642</v>
      </c>
      <c r="V2191">
        <v>1502</v>
      </c>
      <c r="W2191">
        <v>3782</v>
      </c>
      <c r="X2191">
        <v>1505</v>
      </c>
      <c r="Y2191">
        <v>63.7</v>
      </c>
      <c r="Z2191">
        <v>58.2</v>
      </c>
      <c r="AA2191">
        <v>69.3</v>
      </c>
    </row>
    <row r="2192" spans="1:27" x14ac:dyDescent="0.25">
      <c r="A2192" t="s">
        <v>246</v>
      </c>
      <c r="B2192" t="s">
        <v>181</v>
      </c>
      <c r="C2192" s="76">
        <v>43948</v>
      </c>
      <c r="D2192">
        <v>13477</v>
      </c>
      <c r="E2192">
        <v>9572</v>
      </c>
      <c r="F2192">
        <v>17382</v>
      </c>
      <c r="G2192">
        <v>12114</v>
      </c>
      <c r="H2192">
        <v>52.7</v>
      </c>
      <c r="I2192">
        <v>48</v>
      </c>
      <c r="J2192">
        <v>57.3</v>
      </c>
      <c r="K2192">
        <v>3294</v>
      </c>
      <c r="L2192">
        <v>2165</v>
      </c>
      <c r="M2192">
        <v>4423</v>
      </c>
      <c r="N2192">
        <v>12.9</v>
      </c>
      <c r="O2192">
        <v>10.5</v>
      </c>
      <c r="P2192">
        <v>15.2</v>
      </c>
      <c r="Q2192">
        <f t="shared" si="66"/>
        <v>9992427</v>
      </c>
      <c r="R2192">
        <f t="shared" si="67"/>
        <v>32.96496436751552</v>
      </c>
      <c r="U2192">
        <v>2600</v>
      </c>
      <c r="V2192">
        <v>1493</v>
      </c>
      <c r="W2192">
        <v>3708</v>
      </c>
      <c r="X2192">
        <v>1504</v>
      </c>
      <c r="Y2192">
        <v>63.3</v>
      </c>
      <c r="Z2192">
        <v>58.2</v>
      </c>
      <c r="AA2192">
        <v>68.5</v>
      </c>
    </row>
    <row r="2193" spans="1:27" x14ac:dyDescent="0.25">
      <c r="A2193" t="s">
        <v>246</v>
      </c>
      <c r="B2193" t="s">
        <v>181</v>
      </c>
      <c r="C2193" s="76">
        <v>43949</v>
      </c>
      <c r="D2193">
        <v>13838</v>
      </c>
      <c r="E2193">
        <v>9904</v>
      </c>
      <c r="F2193">
        <v>17772</v>
      </c>
      <c r="G2193">
        <v>11484</v>
      </c>
      <c r="H2193">
        <v>54.6</v>
      </c>
      <c r="I2193">
        <v>49.9</v>
      </c>
      <c r="J2193">
        <v>59.4</v>
      </c>
      <c r="K2193">
        <v>3324</v>
      </c>
      <c r="L2193">
        <v>2203</v>
      </c>
      <c r="M2193">
        <v>4446</v>
      </c>
      <c r="N2193">
        <v>13.1</v>
      </c>
      <c r="O2193">
        <v>10.9</v>
      </c>
      <c r="P2193">
        <v>15.4</v>
      </c>
      <c r="Q2193">
        <f t="shared" si="66"/>
        <v>9992427</v>
      </c>
      <c r="R2193">
        <f t="shared" si="67"/>
        <v>33.265191729696902</v>
      </c>
      <c r="U2193">
        <v>2558</v>
      </c>
      <c r="V2193">
        <v>1595</v>
      </c>
      <c r="W2193">
        <v>3522</v>
      </c>
      <c r="X2193">
        <v>1430</v>
      </c>
      <c r="Y2193">
        <v>64.099999999999994</v>
      </c>
      <c r="Z2193">
        <v>59</v>
      </c>
      <c r="AA2193">
        <v>69.3</v>
      </c>
    </row>
    <row r="2194" spans="1:27" x14ac:dyDescent="0.25">
      <c r="A2194" t="s">
        <v>246</v>
      </c>
      <c r="B2194" t="s">
        <v>181</v>
      </c>
      <c r="C2194" s="76">
        <v>43950</v>
      </c>
      <c r="D2194">
        <v>13910</v>
      </c>
      <c r="E2194">
        <v>9952</v>
      </c>
      <c r="F2194">
        <v>17867</v>
      </c>
      <c r="G2194">
        <v>11615</v>
      </c>
      <c r="H2194">
        <v>54.5</v>
      </c>
      <c r="I2194">
        <v>49.7</v>
      </c>
      <c r="J2194">
        <v>59.3</v>
      </c>
      <c r="K2194">
        <v>3281</v>
      </c>
      <c r="L2194">
        <v>2157</v>
      </c>
      <c r="M2194">
        <v>4406</v>
      </c>
      <c r="N2194">
        <v>12.9</v>
      </c>
      <c r="O2194">
        <v>10.5</v>
      </c>
      <c r="P2194">
        <v>15.2</v>
      </c>
      <c r="Q2194">
        <f t="shared" si="66"/>
        <v>9992427</v>
      </c>
      <c r="R2194">
        <f t="shared" si="67"/>
        <v>32.834865843903586</v>
      </c>
      <c r="U2194">
        <v>2596</v>
      </c>
      <c r="V2194">
        <v>1617</v>
      </c>
      <c r="W2194">
        <v>3574</v>
      </c>
      <c r="X2194">
        <v>1551</v>
      </c>
      <c r="Y2194">
        <v>62.6</v>
      </c>
      <c r="Z2194">
        <v>56.5</v>
      </c>
      <c r="AA2194">
        <v>68.8</v>
      </c>
    </row>
    <row r="2195" spans="1:27" x14ac:dyDescent="0.25">
      <c r="A2195" t="s">
        <v>246</v>
      </c>
      <c r="B2195" t="s">
        <v>181</v>
      </c>
      <c r="C2195" s="76">
        <v>43951</v>
      </c>
      <c r="D2195">
        <v>13788</v>
      </c>
      <c r="E2195">
        <v>9833</v>
      </c>
      <c r="F2195">
        <v>17742</v>
      </c>
      <c r="G2195">
        <v>11801</v>
      </c>
      <c r="H2195">
        <v>53.9</v>
      </c>
      <c r="I2195">
        <v>48.8</v>
      </c>
      <c r="J2195">
        <v>59</v>
      </c>
      <c r="K2195">
        <v>3075</v>
      </c>
      <c r="L2195">
        <v>1911</v>
      </c>
      <c r="M2195">
        <v>4239</v>
      </c>
      <c r="N2195">
        <v>12</v>
      </c>
      <c r="O2195">
        <v>9.5</v>
      </c>
      <c r="P2195">
        <v>14.5</v>
      </c>
      <c r="Q2195">
        <f t="shared" si="66"/>
        <v>9992427</v>
      </c>
      <c r="R2195">
        <f t="shared" si="67"/>
        <v>30.773304623591443</v>
      </c>
      <c r="U2195">
        <v>2566</v>
      </c>
      <c r="V2195">
        <v>1599</v>
      </c>
      <c r="W2195">
        <v>3532</v>
      </c>
      <c r="X2195">
        <v>1560</v>
      </c>
      <c r="Y2195">
        <v>62.2</v>
      </c>
      <c r="Z2195">
        <v>56.1</v>
      </c>
      <c r="AA2195">
        <v>68.3</v>
      </c>
    </row>
    <row r="2196" spans="1:27" x14ac:dyDescent="0.25">
      <c r="A2196" t="s">
        <v>246</v>
      </c>
      <c r="B2196" t="s">
        <v>181</v>
      </c>
      <c r="C2196" s="76">
        <v>43952</v>
      </c>
      <c r="D2196">
        <v>13649</v>
      </c>
      <c r="E2196">
        <v>9716</v>
      </c>
      <c r="F2196">
        <v>17582</v>
      </c>
      <c r="G2196">
        <v>11794</v>
      </c>
      <c r="H2196">
        <v>53.6</v>
      </c>
      <c r="I2196">
        <v>48.8</v>
      </c>
      <c r="J2196">
        <v>58.5</v>
      </c>
      <c r="K2196">
        <v>2900</v>
      </c>
      <c r="L2196">
        <v>1843</v>
      </c>
      <c r="M2196">
        <v>3956</v>
      </c>
      <c r="N2196">
        <v>11.4</v>
      </c>
      <c r="O2196">
        <v>9.1999999999999993</v>
      </c>
      <c r="P2196">
        <v>13.5</v>
      </c>
      <c r="Q2196">
        <f t="shared" si="66"/>
        <v>9992427</v>
      </c>
      <c r="R2196">
        <f t="shared" si="67"/>
        <v>29.021978344200065</v>
      </c>
      <c r="U2196">
        <v>2536</v>
      </c>
      <c r="V2196">
        <v>1556</v>
      </c>
      <c r="W2196">
        <v>3516</v>
      </c>
      <c r="X2196">
        <v>1437</v>
      </c>
      <c r="Y2196">
        <v>63.8</v>
      </c>
      <c r="Z2196">
        <v>58.3</v>
      </c>
      <c r="AA2196">
        <v>69.3</v>
      </c>
    </row>
    <row r="2197" spans="1:27" x14ac:dyDescent="0.25">
      <c r="A2197" t="s">
        <v>246</v>
      </c>
      <c r="B2197" t="s">
        <v>181</v>
      </c>
      <c r="C2197" s="76">
        <v>43953</v>
      </c>
      <c r="D2197">
        <v>13254</v>
      </c>
      <c r="E2197">
        <v>9397</v>
      </c>
      <c r="F2197">
        <v>17110</v>
      </c>
      <c r="G2197">
        <v>12126</v>
      </c>
      <c r="H2197">
        <v>52.2</v>
      </c>
      <c r="I2197">
        <v>47.3</v>
      </c>
      <c r="J2197">
        <v>57.1</v>
      </c>
      <c r="K2197">
        <v>2567</v>
      </c>
      <c r="L2197">
        <v>1705</v>
      </c>
      <c r="M2197">
        <v>3428</v>
      </c>
      <c r="N2197">
        <v>10.1</v>
      </c>
      <c r="O2197">
        <v>8.5</v>
      </c>
      <c r="P2197">
        <v>11.7</v>
      </c>
      <c r="Q2197">
        <f t="shared" si="66"/>
        <v>9992427</v>
      </c>
      <c r="R2197">
        <f t="shared" si="67"/>
        <v>25.689454623986745</v>
      </c>
      <c r="U2197">
        <v>2495</v>
      </c>
      <c r="V2197">
        <v>1522</v>
      </c>
      <c r="W2197">
        <v>3467</v>
      </c>
      <c r="X2197">
        <v>1499</v>
      </c>
      <c r="Y2197">
        <v>62.5</v>
      </c>
      <c r="Z2197">
        <v>57.3</v>
      </c>
      <c r="AA2197">
        <v>67.7</v>
      </c>
    </row>
    <row r="2198" spans="1:27" x14ac:dyDescent="0.25">
      <c r="A2198" t="s">
        <v>246</v>
      </c>
      <c r="B2198" t="s">
        <v>181</v>
      </c>
      <c r="C2198" s="76">
        <v>43954</v>
      </c>
      <c r="D2198">
        <v>13234</v>
      </c>
      <c r="E2198">
        <v>9394</v>
      </c>
      <c r="F2198">
        <v>17073</v>
      </c>
      <c r="G2198">
        <v>12336</v>
      </c>
      <c r="H2198">
        <v>51.8</v>
      </c>
      <c r="I2198">
        <v>47</v>
      </c>
      <c r="J2198">
        <v>56.5</v>
      </c>
      <c r="K2198">
        <v>2577</v>
      </c>
      <c r="L2198">
        <v>1712</v>
      </c>
      <c r="M2198">
        <v>3442</v>
      </c>
      <c r="N2198">
        <v>10.1</v>
      </c>
      <c r="O2198">
        <v>8.5</v>
      </c>
      <c r="P2198">
        <v>11.7</v>
      </c>
      <c r="Q2198">
        <f t="shared" si="66"/>
        <v>9992427</v>
      </c>
      <c r="R2198">
        <f t="shared" si="67"/>
        <v>25.789530411380539</v>
      </c>
      <c r="U2198">
        <v>2476</v>
      </c>
      <c r="V2198">
        <v>1531</v>
      </c>
      <c r="W2198">
        <v>3421</v>
      </c>
      <c r="X2198">
        <v>1673</v>
      </c>
      <c r="Y2198">
        <v>59.7</v>
      </c>
      <c r="Z2198">
        <v>53.7</v>
      </c>
      <c r="AA2198">
        <v>65.7</v>
      </c>
    </row>
    <row r="2199" spans="1:27" x14ac:dyDescent="0.25">
      <c r="A2199" t="s">
        <v>246</v>
      </c>
      <c r="B2199" t="s">
        <v>181</v>
      </c>
      <c r="C2199" s="76">
        <v>43955</v>
      </c>
      <c r="D2199">
        <v>13119</v>
      </c>
      <c r="E2199">
        <v>9385</v>
      </c>
      <c r="F2199">
        <v>16853</v>
      </c>
      <c r="G2199">
        <v>11846</v>
      </c>
      <c r="H2199">
        <v>52.5</v>
      </c>
      <c r="I2199">
        <v>47.6</v>
      </c>
      <c r="J2199">
        <v>57.5</v>
      </c>
      <c r="K2199">
        <v>2461</v>
      </c>
      <c r="L2199">
        <v>1640</v>
      </c>
      <c r="M2199">
        <v>3283</v>
      </c>
      <c r="N2199">
        <v>9.9</v>
      </c>
      <c r="O2199">
        <v>8.3000000000000007</v>
      </c>
      <c r="P2199">
        <v>11.5</v>
      </c>
      <c r="Q2199">
        <f t="shared" si="66"/>
        <v>9992427</v>
      </c>
      <c r="R2199">
        <f t="shared" si="67"/>
        <v>24.628651277612533</v>
      </c>
      <c r="U2199">
        <v>2367</v>
      </c>
      <c r="V2199">
        <v>1472</v>
      </c>
      <c r="W2199">
        <v>3261</v>
      </c>
      <c r="X2199">
        <v>1456</v>
      </c>
      <c r="Y2199">
        <v>61.9</v>
      </c>
      <c r="Z2199">
        <v>56.8</v>
      </c>
      <c r="AA2199">
        <v>67</v>
      </c>
    </row>
    <row r="2200" spans="1:27" x14ac:dyDescent="0.25">
      <c r="A2200" t="s">
        <v>246</v>
      </c>
      <c r="B2200" t="s">
        <v>181</v>
      </c>
      <c r="C2200" s="76">
        <v>43956</v>
      </c>
      <c r="D2200">
        <v>13462</v>
      </c>
      <c r="E2200">
        <v>9645</v>
      </c>
      <c r="F2200">
        <v>17278</v>
      </c>
      <c r="G2200">
        <v>11456</v>
      </c>
      <c r="H2200">
        <v>54</v>
      </c>
      <c r="I2200">
        <v>49.1</v>
      </c>
      <c r="J2200">
        <v>59</v>
      </c>
      <c r="K2200">
        <v>2351</v>
      </c>
      <c r="L2200">
        <v>1570</v>
      </c>
      <c r="M2200">
        <v>3132</v>
      </c>
      <c r="N2200">
        <v>9.4</v>
      </c>
      <c r="O2200">
        <v>7.9</v>
      </c>
      <c r="P2200">
        <v>11</v>
      </c>
      <c r="Q2200">
        <f t="shared" si="66"/>
        <v>9992427</v>
      </c>
      <c r="R2200">
        <f t="shared" si="67"/>
        <v>23.52781761628081</v>
      </c>
      <c r="U2200">
        <v>2346</v>
      </c>
      <c r="V2200">
        <v>1451</v>
      </c>
      <c r="W2200">
        <v>3241</v>
      </c>
      <c r="X2200">
        <v>1404</v>
      </c>
      <c r="Y2200">
        <v>62.6</v>
      </c>
      <c r="Z2200">
        <v>57.2</v>
      </c>
      <c r="AA2200">
        <v>67.900000000000006</v>
      </c>
    </row>
    <row r="2201" spans="1:27" x14ac:dyDescent="0.25">
      <c r="A2201" t="s">
        <v>246</v>
      </c>
      <c r="B2201" t="s">
        <v>181</v>
      </c>
      <c r="C2201" s="76">
        <v>43957</v>
      </c>
      <c r="D2201">
        <v>13412</v>
      </c>
      <c r="E2201">
        <v>9607</v>
      </c>
      <c r="F2201">
        <v>17217</v>
      </c>
      <c r="G2201">
        <v>11474</v>
      </c>
      <c r="H2201">
        <v>53.9</v>
      </c>
      <c r="I2201">
        <v>48.9</v>
      </c>
      <c r="J2201">
        <v>58.9</v>
      </c>
      <c r="K2201">
        <v>2245</v>
      </c>
      <c r="L2201">
        <v>1497</v>
      </c>
      <c r="M2201">
        <v>2994</v>
      </c>
      <c r="N2201">
        <v>9</v>
      </c>
      <c r="O2201">
        <v>7.6</v>
      </c>
      <c r="P2201">
        <v>10.5</v>
      </c>
      <c r="Q2201">
        <f t="shared" si="66"/>
        <v>9992427</v>
      </c>
      <c r="R2201">
        <f t="shared" si="67"/>
        <v>22.467014269906599</v>
      </c>
      <c r="U2201">
        <v>2258</v>
      </c>
      <c r="V2201">
        <v>1421</v>
      </c>
      <c r="W2201">
        <v>3096</v>
      </c>
      <c r="X2201">
        <v>1481</v>
      </c>
      <c r="Y2201">
        <v>60.4</v>
      </c>
      <c r="Z2201">
        <v>55.6</v>
      </c>
      <c r="AA2201">
        <v>65.2</v>
      </c>
    </row>
    <row r="2202" spans="1:27" x14ac:dyDescent="0.25">
      <c r="A2202" t="s">
        <v>246</v>
      </c>
      <c r="B2202" t="s">
        <v>181</v>
      </c>
      <c r="C2202" s="76">
        <v>43958</v>
      </c>
      <c r="D2202">
        <v>13710</v>
      </c>
      <c r="E2202">
        <v>9785</v>
      </c>
      <c r="F2202">
        <v>17635</v>
      </c>
      <c r="G2202">
        <v>11341</v>
      </c>
      <c r="H2202">
        <v>54.7</v>
      </c>
      <c r="I2202">
        <v>49.3</v>
      </c>
      <c r="J2202">
        <v>60.2</v>
      </c>
      <c r="K2202">
        <v>2117</v>
      </c>
      <c r="L2202">
        <v>1415</v>
      </c>
      <c r="M2202">
        <v>2820</v>
      </c>
      <c r="N2202">
        <v>8.5</v>
      </c>
      <c r="O2202">
        <v>7.1</v>
      </c>
      <c r="P2202">
        <v>9.8000000000000007</v>
      </c>
      <c r="Q2202">
        <f t="shared" si="66"/>
        <v>9992427</v>
      </c>
      <c r="R2202">
        <f t="shared" si="67"/>
        <v>21.186044191266046</v>
      </c>
      <c r="U2202">
        <v>2207</v>
      </c>
      <c r="V2202">
        <v>1364</v>
      </c>
      <c r="W2202">
        <v>3049</v>
      </c>
      <c r="X2202">
        <v>1395</v>
      </c>
      <c r="Y2202">
        <v>61.2</v>
      </c>
      <c r="Z2202">
        <v>56.3</v>
      </c>
      <c r="AA2202">
        <v>66.099999999999994</v>
      </c>
    </row>
    <row r="2203" spans="1:27" x14ac:dyDescent="0.25">
      <c r="A2203" t="s">
        <v>246</v>
      </c>
      <c r="B2203" t="s">
        <v>181</v>
      </c>
      <c r="C2203" s="76">
        <v>43959</v>
      </c>
      <c r="D2203">
        <v>13438</v>
      </c>
      <c r="E2203">
        <v>9641</v>
      </c>
      <c r="F2203">
        <v>17236</v>
      </c>
      <c r="G2203">
        <v>11360</v>
      </c>
      <c r="H2203">
        <v>54.2</v>
      </c>
      <c r="I2203">
        <v>49.4</v>
      </c>
      <c r="J2203">
        <v>59</v>
      </c>
      <c r="K2203">
        <v>2010</v>
      </c>
      <c r="L2203">
        <v>1353</v>
      </c>
      <c r="M2203">
        <v>2668</v>
      </c>
      <c r="N2203">
        <v>8.1</v>
      </c>
      <c r="O2203">
        <v>6.8</v>
      </c>
      <c r="P2203">
        <v>9.4</v>
      </c>
      <c r="Q2203">
        <f t="shared" si="66"/>
        <v>9992427</v>
      </c>
      <c r="R2203">
        <f t="shared" si="67"/>
        <v>20.115233266152455</v>
      </c>
      <c r="U2203">
        <v>2223</v>
      </c>
      <c r="V2203">
        <v>1413</v>
      </c>
      <c r="W2203">
        <v>3033</v>
      </c>
      <c r="X2203">
        <v>1309</v>
      </c>
      <c r="Y2203">
        <v>62.9</v>
      </c>
      <c r="Z2203">
        <v>58.3</v>
      </c>
      <c r="AA2203">
        <v>67.599999999999994</v>
      </c>
    </row>
    <row r="2204" spans="1:27" x14ac:dyDescent="0.25">
      <c r="A2204" t="s">
        <v>246</v>
      </c>
      <c r="B2204" t="s">
        <v>181</v>
      </c>
      <c r="C2204" s="76">
        <v>43960</v>
      </c>
      <c r="D2204">
        <v>13025</v>
      </c>
      <c r="E2204">
        <v>8994</v>
      </c>
      <c r="F2204">
        <v>17057</v>
      </c>
      <c r="G2204">
        <v>12407</v>
      </c>
      <c r="H2204">
        <v>51.2</v>
      </c>
      <c r="I2204">
        <v>46.3</v>
      </c>
      <c r="J2204">
        <v>56.1</v>
      </c>
      <c r="K2204">
        <v>1967</v>
      </c>
      <c r="L2204">
        <v>1260</v>
      </c>
      <c r="M2204">
        <v>2674</v>
      </c>
      <c r="N2204">
        <v>7.7</v>
      </c>
      <c r="O2204">
        <v>6.3</v>
      </c>
      <c r="P2204">
        <v>9.1999999999999993</v>
      </c>
      <c r="Q2204">
        <f t="shared" si="66"/>
        <v>9992427</v>
      </c>
      <c r="R2204">
        <f t="shared" si="67"/>
        <v>19.684907380359146</v>
      </c>
      <c r="U2204">
        <v>2176</v>
      </c>
      <c r="V2204">
        <v>1248</v>
      </c>
      <c r="W2204">
        <v>3104</v>
      </c>
      <c r="X2204">
        <v>1440</v>
      </c>
      <c r="Y2204">
        <v>60.2</v>
      </c>
      <c r="Z2204">
        <v>53.8</v>
      </c>
      <c r="AA2204">
        <v>66.599999999999994</v>
      </c>
    </row>
    <row r="2205" spans="1:27" x14ac:dyDescent="0.25">
      <c r="A2205" t="s">
        <v>246</v>
      </c>
      <c r="B2205" t="s">
        <v>181</v>
      </c>
      <c r="C2205" s="76">
        <v>43961</v>
      </c>
      <c r="D2205">
        <v>12658</v>
      </c>
      <c r="E2205">
        <v>8745</v>
      </c>
      <c r="F2205">
        <v>16571</v>
      </c>
      <c r="G2205">
        <v>12740</v>
      </c>
      <c r="H2205">
        <v>49.8</v>
      </c>
      <c r="I2205">
        <v>44.7</v>
      </c>
      <c r="J2205">
        <v>55</v>
      </c>
      <c r="K2205">
        <v>1932</v>
      </c>
      <c r="L2205">
        <v>1234</v>
      </c>
      <c r="M2205">
        <v>2629</v>
      </c>
      <c r="N2205">
        <v>7.6</v>
      </c>
      <c r="O2205">
        <v>6.2</v>
      </c>
      <c r="P2205">
        <v>9</v>
      </c>
      <c r="Q2205">
        <f t="shared" si="66"/>
        <v>9992427</v>
      </c>
      <c r="R2205">
        <f t="shared" si="67"/>
        <v>19.334642124480869</v>
      </c>
      <c r="U2205">
        <v>2063</v>
      </c>
      <c r="V2205">
        <v>1150</v>
      </c>
      <c r="W2205">
        <v>2976</v>
      </c>
      <c r="X2205">
        <v>1473</v>
      </c>
      <c r="Y2205">
        <v>58.3</v>
      </c>
      <c r="Z2205">
        <v>51.9</v>
      </c>
      <c r="AA2205">
        <v>64.8</v>
      </c>
    </row>
    <row r="2206" spans="1:27" x14ac:dyDescent="0.25">
      <c r="A2206" t="s">
        <v>246</v>
      </c>
      <c r="B2206" t="s">
        <v>181</v>
      </c>
      <c r="C2206" s="76">
        <v>43962</v>
      </c>
      <c r="D2206">
        <v>13308</v>
      </c>
      <c r="E2206">
        <v>9161</v>
      </c>
      <c r="F2206">
        <v>17455</v>
      </c>
      <c r="G2206">
        <v>12160</v>
      </c>
      <c r="H2206">
        <v>52.3</v>
      </c>
      <c r="I2206">
        <v>46.8</v>
      </c>
      <c r="J2206">
        <v>57.7</v>
      </c>
      <c r="K2206">
        <v>1995</v>
      </c>
      <c r="L2206">
        <v>1283</v>
      </c>
      <c r="M2206">
        <v>2707</v>
      </c>
      <c r="N2206">
        <v>7.8</v>
      </c>
      <c r="O2206">
        <v>6.4</v>
      </c>
      <c r="P2206">
        <v>9.3000000000000007</v>
      </c>
      <c r="Q2206">
        <f t="shared" si="66"/>
        <v>9992427</v>
      </c>
      <c r="R2206">
        <f t="shared" si="67"/>
        <v>19.965119585061768</v>
      </c>
      <c r="U2206">
        <v>2184</v>
      </c>
      <c r="V2206">
        <v>1273</v>
      </c>
      <c r="W2206">
        <v>3095</v>
      </c>
      <c r="X2206">
        <v>1410</v>
      </c>
      <c r="Y2206">
        <v>60.8</v>
      </c>
      <c r="Z2206">
        <v>55.2</v>
      </c>
      <c r="AA2206">
        <v>66.3</v>
      </c>
    </row>
    <row r="2207" spans="1:27" x14ac:dyDescent="0.25">
      <c r="A2207" t="s">
        <v>246</v>
      </c>
      <c r="B2207" t="s">
        <v>181</v>
      </c>
      <c r="C2207" s="76">
        <v>43963</v>
      </c>
      <c r="D2207">
        <v>13603</v>
      </c>
      <c r="E2207">
        <v>9443</v>
      </c>
      <c r="F2207">
        <v>17762</v>
      </c>
      <c r="G2207">
        <v>11786</v>
      </c>
      <c r="H2207">
        <v>53.6</v>
      </c>
      <c r="I2207">
        <v>48.5</v>
      </c>
      <c r="J2207">
        <v>58.7</v>
      </c>
      <c r="K2207">
        <v>1956</v>
      </c>
      <c r="L2207">
        <v>1254</v>
      </c>
      <c r="M2207">
        <v>2657</v>
      </c>
      <c r="N2207">
        <v>7.7</v>
      </c>
      <c r="O2207">
        <v>6.3</v>
      </c>
      <c r="P2207">
        <v>9.1</v>
      </c>
      <c r="Q2207">
        <f t="shared" si="66"/>
        <v>9992427</v>
      </c>
      <c r="R2207">
        <f t="shared" si="67"/>
        <v>19.574824014225975</v>
      </c>
      <c r="U2207">
        <v>2241</v>
      </c>
      <c r="V2207">
        <v>1311</v>
      </c>
      <c r="W2207">
        <v>3171</v>
      </c>
      <c r="X2207">
        <v>1355</v>
      </c>
      <c r="Y2207">
        <v>62.3</v>
      </c>
      <c r="Z2207">
        <v>56.5</v>
      </c>
      <c r="AA2207">
        <v>68.099999999999994</v>
      </c>
    </row>
    <row r="2208" spans="1:27" x14ac:dyDescent="0.25">
      <c r="A2208" t="s">
        <v>246</v>
      </c>
      <c r="B2208" t="s">
        <v>181</v>
      </c>
      <c r="C2208" s="76">
        <v>43964</v>
      </c>
      <c r="D2208">
        <v>13603</v>
      </c>
      <c r="E2208">
        <v>9391</v>
      </c>
      <c r="F2208">
        <v>17815</v>
      </c>
      <c r="G2208">
        <v>11821</v>
      </c>
      <c r="H2208">
        <v>53.5</v>
      </c>
      <c r="I2208">
        <v>48.4</v>
      </c>
      <c r="J2208">
        <v>58.6</v>
      </c>
      <c r="K2208">
        <v>1861</v>
      </c>
      <c r="L2208">
        <v>1192</v>
      </c>
      <c r="M2208">
        <v>2530</v>
      </c>
      <c r="N2208">
        <v>7.3</v>
      </c>
      <c r="O2208">
        <v>6</v>
      </c>
      <c r="P2208">
        <v>8.6999999999999993</v>
      </c>
      <c r="Q2208">
        <f t="shared" si="66"/>
        <v>9992427</v>
      </c>
      <c r="R2208">
        <f t="shared" si="67"/>
        <v>18.624104033984938</v>
      </c>
      <c r="U2208">
        <v>2197</v>
      </c>
      <c r="V2208">
        <v>1283</v>
      </c>
      <c r="W2208">
        <v>3110</v>
      </c>
      <c r="X2208">
        <v>1362</v>
      </c>
      <c r="Y2208">
        <v>61.7</v>
      </c>
      <c r="Z2208">
        <v>56.1</v>
      </c>
      <c r="AA2208">
        <v>67.3</v>
      </c>
    </row>
    <row r="2209" spans="1:27" x14ac:dyDescent="0.25">
      <c r="A2209" t="s">
        <v>246</v>
      </c>
      <c r="B2209" t="s">
        <v>181</v>
      </c>
      <c r="C2209" s="76">
        <v>43965</v>
      </c>
      <c r="D2209">
        <v>13911</v>
      </c>
      <c r="E2209">
        <v>9637</v>
      </c>
      <c r="F2209">
        <v>18186</v>
      </c>
      <c r="G2209">
        <v>11674</v>
      </c>
      <c r="H2209">
        <v>54.4</v>
      </c>
      <c r="I2209">
        <v>49.2</v>
      </c>
      <c r="J2209">
        <v>59.5</v>
      </c>
      <c r="K2209">
        <v>1838</v>
      </c>
      <c r="L2209">
        <v>1181</v>
      </c>
      <c r="M2209">
        <v>2494</v>
      </c>
      <c r="N2209">
        <v>7.2</v>
      </c>
      <c r="O2209">
        <v>5.9</v>
      </c>
      <c r="P2209">
        <v>8.5</v>
      </c>
      <c r="Q2209">
        <f t="shared" si="66"/>
        <v>9992427</v>
      </c>
      <c r="R2209">
        <f t="shared" si="67"/>
        <v>18.393929722979212</v>
      </c>
      <c r="U2209">
        <v>2279</v>
      </c>
      <c r="V2209">
        <v>1319</v>
      </c>
      <c r="W2209">
        <v>3240</v>
      </c>
      <c r="X2209">
        <v>1236</v>
      </c>
      <c r="Y2209">
        <v>64.8</v>
      </c>
      <c r="Z2209">
        <v>59.8</v>
      </c>
      <c r="AA2209">
        <v>69.900000000000006</v>
      </c>
    </row>
    <row r="2210" spans="1:27" x14ac:dyDescent="0.25">
      <c r="A2210" t="s">
        <v>246</v>
      </c>
      <c r="B2210" t="s">
        <v>181</v>
      </c>
      <c r="C2210" s="76">
        <v>43966</v>
      </c>
      <c r="D2210">
        <v>13675</v>
      </c>
      <c r="E2210">
        <v>9430</v>
      </c>
      <c r="F2210">
        <v>17920</v>
      </c>
      <c r="G2210">
        <v>11941</v>
      </c>
      <c r="H2210">
        <v>53.4</v>
      </c>
      <c r="I2210">
        <v>48.2</v>
      </c>
      <c r="J2210">
        <v>58.6</v>
      </c>
      <c r="K2210">
        <v>1769</v>
      </c>
      <c r="L2210">
        <v>1126</v>
      </c>
      <c r="M2210">
        <v>2412</v>
      </c>
      <c r="N2210">
        <v>6.9</v>
      </c>
      <c r="O2210">
        <v>5.6</v>
      </c>
      <c r="P2210">
        <v>8.1999999999999993</v>
      </c>
      <c r="Q2210">
        <f t="shared" si="66"/>
        <v>9992427</v>
      </c>
      <c r="R2210">
        <f t="shared" si="67"/>
        <v>17.703406789962038</v>
      </c>
      <c r="U2210">
        <v>2190</v>
      </c>
      <c r="V2210">
        <v>1233</v>
      </c>
      <c r="W2210">
        <v>3148</v>
      </c>
      <c r="X2210">
        <v>1306</v>
      </c>
      <c r="Y2210">
        <v>62.6</v>
      </c>
      <c r="Z2210">
        <v>57</v>
      </c>
      <c r="AA2210">
        <v>68.3</v>
      </c>
    </row>
    <row r="2211" spans="1:27" x14ac:dyDescent="0.25">
      <c r="A2211" t="s">
        <v>246</v>
      </c>
      <c r="B2211" t="s">
        <v>181</v>
      </c>
      <c r="C2211" s="76">
        <v>43967</v>
      </c>
      <c r="D2211">
        <v>13408</v>
      </c>
      <c r="E2211">
        <v>9192</v>
      </c>
      <c r="F2211">
        <v>17625</v>
      </c>
      <c r="G2211">
        <v>12092</v>
      </c>
      <c r="H2211">
        <v>52.6</v>
      </c>
      <c r="I2211">
        <v>47.3</v>
      </c>
      <c r="J2211">
        <v>57.8</v>
      </c>
      <c r="K2211">
        <v>1689</v>
      </c>
      <c r="L2211">
        <v>1058</v>
      </c>
      <c r="M2211">
        <v>2320</v>
      </c>
      <c r="N2211">
        <v>6.6</v>
      </c>
      <c r="O2211">
        <v>5.4</v>
      </c>
      <c r="P2211">
        <v>7.9</v>
      </c>
      <c r="Q2211">
        <f t="shared" si="66"/>
        <v>9992427</v>
      </c>
      <c r="R2211">
        <f t="shared" si="67"/>
        <v>16.902800490811689</v>
      </c>
      <c r="U2211">
        <v>2134</v>
      </c>
      <c r="V2211">
        <v>1207</v>
      </c>
      <c r="W2211">
        <v>3061</v>
      </c>
      <c r="X2211">
        <v>1350</v>
      </c>
      <c r="Y2211">
        <v>61.3</v>
      </c>
      <c r="Z2211">
        <v>55.6</v>
      </c>
      <c r="AA2211">
        <v>66.900000000000006</v>
      </c>
    </row>
    <row r="2212" spans="1:27" x14ac:dyDescent="0.25">
      <c r="A2212" t="s">
        <v>246</v>
      </c>
      <c r="B2212" t="s">
        <v>181</v>
      </c>
      <c r="C2212" s="76">
        <v>43968</v>
      </c>
      <c r="D2212">
        <v>12877</v>
      </c>
      <c r="E2212">
        <v>8786</v>
      </c>
      <c r="F2212">
        <v>16969</v>
      </c>
      <c r="G2212">
        <v>12600</v>
      </c>
      <c r="H2212">
        <v>50.5</v>
      </c>
      <c r="I2212">
        <v>45.3</v>
      </c>
      <c r="J2212">
        <v>55.8</v>
      </c>
      <c r="K2212">
        <v>1579</v>
      </c>
      <c r="L2212">
        <v>983</v>
      </c>
      <c r="M2212">
        <v>2175</v>
      </c>
      <c r="N2212">
        <v>6.2</v>
      </c>
      <c r="O2212">
        <v>5</v>
      </c>
      <c r="P2212">
        <v>7.4</v>
      </c>
      <c r="Q2212">
        <f t="shared" si="66"/>
        <v>9992427</v>
      </c>
      <c r="R2212">
        <f t="shared" si="67"/>
        <v>15.801966829479964</v>
      </c>
      <c r="U2212">
        <v>2086</v>
      </c>
      <c r="V2212">
        <v>1179</v>
      </c>
      <c r="W2212">
        <v>2993</v>
      </c>
      <c r="X2212">
        <v>1374</v>
      </c>
      <c r="Y2212">
        <v>60.3</v>
      </c>
      <c r="Z2212">
        <v>54.6</v>
      </c>
      <c r="AA2212">
        <v>66</v>
      </c>
    </row>
    <row r="2213" spans="1:27" x14ac:dyDescent="0.25">
      <c r="A2213" t="s">
        <v>246</v>
      </c>
      <c r="B2213" t="s">
        <v>181</v>
      </c>
      <c r="C2213" s="76">
        <v>43969</v>
      </c>
      <c r="D2213">
        <v>13440</v>
      </c>
      <c r="E2213">
        <v>9213</v>
      </c>
      <c r="F2213">
        <v>17667</v>
      </c>
      <c r="G2213">
        <v>12106</v>
      </c>
      <c r="H2213">
        <v>52.6</v>
      </c>
      <c r="I2213">
        <v>47.5</v>
      </c>
      <c r="J2213">
        <v>57.7</v>
      </c>
      <c r="K2213">
        <v>1703</v>
      </c>
      <c r="L2213">
        <v>1063</v>
      </c>
      <c r="M2213">
        <v>2343</v>
      </c>
      <c r="N2213">
        <v>6.7</v>
      </c>
      <c r="O2213">
        <v>5.5</v>
      </c>
      <c r="P2213">
        <v>7.9</v>
      </c>
      <c r="Q2213">
        <f t="shared" si="66"/>
        <v>9992427</v>
      </c>
      <c r="R2213">
        <f t="shared" si="67"/>
        <v>17.042906593163003</v>
      </c>
      <c r="U2213">
        <v>2095</v>
      </c>
      <c r="V2213">
        <v>1167</v>
      </c>
      <c r="W2213">
        <v>3022</v>
      </c>
      <c r="X2213">
        <v>1391</v>
      </c>
      <c r="Y2213">
        <v>60.1</v>
      </c>
      <c r="Z2213">
        <v>54.5</v>
      </c>
      <c r="AA2213">
        <v>65.599999999999994</v>
      </c>
    </row>
    <row r="2214" spans="1:27" x14ac:dyDescent="0.25">
      <c r="A2214" t="s">
        <v>246</v>
      </c>
      <c r="B2214" t="s">
        <v>181</v>
      </c>
      <c r="C2214" s="76">
        <v>43970</v>
      </c>
      <c r="D2214">
        <v>14098</v>
      </c>
      <c r="E2214">
        <v>9697</v>
      </c>
      <c r="F2214">
        <v>18499</v>
      </c>
      <c r="G2214">
        <v>11472</v>
      </c>
      <c r="H2214">
        <v>55.1</v>
      </c>
      <c r="I2214">
        <v>49.7</v>
      </c>
      <c r="J2214">
        <v>60.6</v>
      </c>
      <c r="K2214">
        <v>1748</v>
      </c>
      <c r="L2214">
        <v>1100</v>
      </c>
      <c r="M2214">
        <v>2395</v>
      </c>
      <c r="N2214">
        <v>6.8</v>
      </c>
      <c r="O2214">
        <v>5.5</v>
      </c>
      <c r="P2214">
        <v>8.1</v>
      </c>
      <c r="Q2214">
        <f t="shared" si="66"/>
        <v>9992427</v>
      </c>
      <c r="R2214">
        <f t="shared" si="67"/>
        <v>17.493247636435072</v>
      </c>
      <c r="U2214">
        <v>2026</v>
      </c>
      <c r="V2214">
        <v>1199</v>
      </c>
      <c r="W2214">
        <v>2853</v>
      </c>
      <c r="X2214">
        <v>1378</v>
      </c>
      <c r="Y2214">
        <v>59.5</v>
      </c>
      <c r="Z2214">
        <v>54</v>
      </c>
      <c r="AA2214">
        <v>65</v>
      </c>
    </row>
    <row r="2215" spans="1:27" x14ac:dyDescent="0.25">
      <c r="A2215" t="s">
        <v>246</v>
      </c>
      <c r="B2215" t="s">
        <v>181</v>
      </c>
      <c r="C2215" s="76">
        <v>43971</v>
      </c>
      <c r="D2215">
        <v>14463</v>
      </c>
      <c r="E2215">
        <v>9953</v>
      </c>
      <c r="F2215">
        <v>18973</v>
      </c>
      <c r="G2215">
        <v>11116</v>
      </c>
      <c r="H2215">
        <v>56.5</v>
      </c>
      <c r="I2215">
        <v>50.9</v>
      </c>
      <c r="J2215">
        <v>62.2</v>
      </c>
      <c r="K2215">
        <v>1626</v>
      </c>
      <c r="L2215">
        <v>1034</v>
      </c>
      <c r="M2215">
        <v>2219</v>
      </c>
      <c r="N2215">
        <v>6.4</v>
      </c>
      <c r="O2215">
        <v>5.2</v>
      </c>
      <c r="P2215">
        <v>7.5</v>
      </c>
      <c r="Q2215">
        <f t="shared" ref="Q2215:Q2278" si="68">VLOOKUP(B2215,$AE$4:$AF$55,2,FALSE)</f>
        <v>9992427</v>
      </c>
      <c r="R2215">
        <f t="shared" si="67"/>
        <v>16.272323030230794</v>
      </c>
      <c r="U2215">
        <v>2135</v>
      </c>
      <c r="V2215">
        <v>1224</v>
      </c>
      <c r="W2215">
        <v>3046</v>
      </c>
      <c r="X2215">
        <v>1244</v>
      </c>
      <c r="Y2215">
        <v>63.2</v>
      </c>
      <c r="Z2215">
        <v>58.3</v>
      </c>
      <c r="AA2215">
        <v>68.099999999999994</v>
      </c>
    </row>
    <row r="2216" spans="1:27" x14ac:dyDescent="0.25">
      <c r="A2216" t="s">
        <v>246</v>
      </c>
      <c r="B2216" t="s">
        <v>181</v>
      </c>
      <c r="C2216" s="76">
        <v>43972</v>
      </c>
      <c r="D2216">
        <v>14330</v>
      </c>
      <c r="E2216">
        <v>9836</v>
      </c>
      <c r="F2216">
        <v>18824</v>
      </c>
      <c r="G2216">
        <v>11251</v>
      </c>
      <c r="H2216">
        <v>56</v>
      </c>
      <c r="I2216">
        <v>50.5</v>
      </c>
      <c r="J2216">
        <v>61.6</v>
      </c>
      <c r="K2216">
        <v>1540</v>
      </c>
      <c r="L2216">
        <v>971</v>
      </c>
      <c r="M2216">
        <v>2108</v>
      </c>
      <c r="N2216">
        <v>6</v>
      </c>
      <c r="O2216">
        <v>4.8</v>
      </c>
      <c r="P2216">
        <v>7.2</v>
      </c>
      <c r="Q2216">
        <f t="shared" si="68"/>
        <v>9992427</v>
      </c>
      <c r="R2216">
        <f t="shared" si="67"/>
        <v>15.411671258644171</v>
      </c>
      <c r="U2216">
        <v>2191</v>
      </c>
      <c r="V2216">
        <v>1227</v>
      </c>
      <c r="W2216">
        <v>3154</v>
      </c>
      <c r="X2216">
        <v>1222</v>
      </c>
      <c r="Y2216">
        <v>64.2</v>
      </c>
      <c r="Z2216">
        <v>58.7</v>
      </c>
      <c r="AA2216">
        <v>69.7</v>
      </c>
    </row>
    <row r="2217" spans="1:27" x14ac:dyDescent="0.25">
      <c r="A2217" t="s">
        <v>246</v>
      </c>
      <c r="B2217" t="s">
        <v>181</v>
      </c>
      <c r="C2217" s="76">
        <v>43973</v>
      </c>
      <c r="D2217">
        <v>14171</v>
      </c>
      <c r="E2217">
        <v>9709</v>
      </c>
      <c r="F2217">
        <v>18634</v>
      </c>
      <c r="G2217">
        <v>11387</v>
      </c>
      <c r="H2217">
        <v>55.4</v>
      </c>
      <c r="I2217">
        <v>49.6</v>
      </c>
      <c r="J2217">
        <v>61.3</v>
      </c>
      <c r="K2217">
        <v>1499</v>
      </c>
      <c r="L2217">
        <v>948</v>
      </c>
      <c r="M2217">
        <v>2051</v>
      </c>
      <c r="N2217">
        <v>5.9</v>
      </c>
      <c r="O2217">
        <v>4.8</v>
      </c>
      <c r="P2217">
        <v>7</v>
      </c>
      <c r="Q2217">
        <f t="shared" si="68"/>
        <v>9992427</v>
      </c>
      <c r="R2217">
        <f t="shared" si="67"/>
        <v>15.001360530329618</v>
      </c>
      <c r="U2217">
        <v>2169</v>
      </c>
      <c r="V2217">
        <v>1242</v>
      </c>
      <c r="W2217">
        <v>3097</v>
      </c>
      <c r="X2217">
        <v>1237</v>
      </c>
      <c r="Y2217">
        <v>63.7</v>
      </c>
      <c r="Z2217">
        <v>58.5</v>
      </c>
      <c r="AA2217">
        <v>68.900000000000006</v>
      </c>
    </row>
    <row r="2218" spans="1:27" x14ac:dyDescent="0.25">
      <c r="A2218" t="s">
        <v>246</v>
      </c>
      <c r="B2218" t="s">
        <v>181</v>
      </c>
      <c r="C2218" s="76">
        <v>43974</v>
      </c>
      <c r="D2218">
        <v>13516</v>
      </c>
      <c r="E2218">
        <v>9243</v>
      </c>
      <c r="F2218">
        <v>17789</v>
      </c>
      <c r="G2218">
        <v>11936</v>
      </c>
      <c r="H2218">
        <v>53.1</v>
      </c>
      <c r="I2218">
        <v>47.6</v>
      </c>
      <c r="J2218">
        <v>58.6</v>
      </c>
      <c r="K2218">
        <v>1347</v>
      </c>
      <c r="L2218">
        <v>846</v>
      </c>
      <c r="M2218">
        <v>1848</v>
      </c>
      <c r="N2218">
        <v>5.3</v>
      </c>
      <c r="O2218">
        <v>4.2</v>
      </c>
      <c r="P2218">
        <v>6.3</v>
      </c>
      <c r="Q2218">
        <f t="shared" si="68"/>
        <v>9992427</v>
      </c>
      <c r="R2218">
        <f t="shared" si="67"/>
        <v>13.480208561943959</v>
      </c>
      <c r="U2218">
        <v>2160</v>
      </c>
      <c r="V2218">
        <v>1233</v>
      </c>
      <c r="W2218">
        <v>3088</v>
      </c>
      <c r="X2218">
        <v>1248</v>
      </c>
      <c r="Y2218">
        <v>63.3</v>
      </c>
      <c r="Z2218">
        <v>57.9</v>
      </c>
      <c r="AA2218">
        <v>68.7</v>
      </c>
    </row>
    <row r="2219" spans="1:27" x14ac:dyDescent="0.25">
      <c r="A2219" t="s">
        <v>246</v>
      </c>
      <c r="B2219" t="s">
        <v>181</v>
      </c>
      <c r="C2219" s="76">
        <v>43975</v>
      </c>
      <c r="D2219">
        <v>12900</v>
      </c>
      <c r="E2219">
        <v>8791</v>
      </c>
      <c r="F2219">
        <v>17008</v>
      </c>
      <c r="G2219">
        <v>12569</v>
      </c>
      <c r="H2219">
        <v>50.6</v>
      </c>
      <c r="I2219">
        <v>45.2</v>
      </c>
      <c r="J2219">
        <v>56.1</v>
      </c>
      <c r="K2219">
        <v>1409</v>
      </c>
      <c r="L2219">
        <v>892</v>
      </c>
      <c r="M2219">
        <v>1926</v>
      </c>
      <c r="N2219">
        <v>5.5</v>
      </c>
      <c r="O2219">
        <v>4.4000000000000004</v>
      </c>
      <c r="P2219">
        <v>6.7</v>
      </c>
      <c r="Q2219">
        <f t="shared" si="68"/>
        <v>9992427</v>
      </c>
      <c r="R2219">
        <f t="shared" si="67"/>
        <v>14.100678443785478</v>
      </c>
      <c r="U2219">
        <v>2111</v>
      </c>
      <c r="V2219">
        <v>1200</v>
      </c>
      <c r="W2219">
        <v>3021</v>
      </c>
      <c r="X2219">
        <v>1333</v>
      </c>
      <c r="Y2219">
        <v>61.3</v>
      </c>
      <c r="Z2219">
        <v>56.4</v>
      </c>
      <c r="AA2219">
        <v>66.2</v>
      </c>
    </row>
    <row r="2220" spans="1:27" x14ac:dyDescent="0.25">
      <c r="A2220" t="s">
        <v>246</v>
      </c>
      <c r="B2220" t="s">
        <v>181</v>
      </c>
      <c r="C2220" s="76">
        <v>43976</v>
      </c>
      <c r="D2220">
        <v>13474</v>
      </c>
      <c r="E2220">
        <v>9097</v>
      </c>
      <c r="F2220">
        <v>17851</v>
      </c>
      <c r="G2220">
        <v>12547</v>
      </c>
      <c r="H2220">
        <v>51.8</v>
      </c>
      <c r="I2220">
        <v>46.6</v>
      </c>
      <c r="J2220">
        <v>57</v>
      </c>
      <c r="K2220">
        <v>1385</v>
      </c>
      <c r="L2220">
        <v>871</v>
      </c>
      <c r="M2220">
        <v>1899</v>
      </c>
      <c r="N2220">
        <v>5.3</v>
      </c>
      <c r="O2220">
        <v>4.2</v>
      </c>
      <c r="P2220">
        <v>6.5</v>
      </c>
      <c r="Q2220">
        <f t="shared" si="68"/>
        <v>9992427</v>
      </c>
      <c r="R2220">
        <f t="shared" si="67"/>
        <v>13.860496554040376</v>
      </c>
      <c r="U2220">
        <v>2268</v>
      </c>
      <c r="V2220">
        <v>1018</v>
      </c>
      <c r="W2220">
        <v>3518</v>
      </c>
      <c r="X2220">
        <v>1391</v>
      </c>
      <c r="Y2220">
        <v>62</v>
      </c>
      <c r="Z2220">
        <v>56.8</v>
      </c>
      <c r="AA2220">
        <v>67.2</v>
      </c>
    </row>
    <row r="2221" spans="1:27" x14ac:dyDescent="0.25">
      <c r="A2221" t="s">
        <v>246</v>
      </c>
      <c r="B2221" t="s">
        <v>181</v>
      </c>
      <c r="C2221" s="76">
        <v>43977</v>
      </c>
      <c r="D2221">
        <v>13682</v>
      </c>
      <c r="E2221">
        <v>9298</v>
      </c>
      <c r="F2221">
        <v>18065</v>
      </c>
      <c r="G2221">
        <v>12359</v>
      </c>
      <c r="H2221">
        <v>52.5</v>
      </c>
      <c r="I2221">
        <v>44.6</v>
      </c>
      <c r="J2221">
        <v>60.5</v>
      </c>
      <c r="K2221">
        <v>1460</v>
      </c>
      <c r="L2221">
        <v>924</v>
      </c>
      <c r="M2221">
        <v>1996</v>
      </c>
      <c r="N2221">
        <v>5.6</v>
      </c>
      <c r="O2221">
        <v>4.5</v>
      </c>
      <c r="P2221">
        <v>6.7</v>
      </c>
      <c r="Q2221">
        <f t="shared" si="68"/>
        <v>9992427</v>
      </c>
      <c r="R2221">
        <f t="shared" si="67"/>
        <v>14.611064959493824</v>
      </c>
      <c r="U2221">
        <v>2250</v>
      </c>
      <c r="V2221">
        <v>1001</v>
      </c>
      <c r="W2221">
        <v>3499</v>
      </c>
      <c r="X2221">
        <v>1410</v>
      </c>
      <c r="Y2221">
        <v>61.5</v>
      </c>
      <c r="Z2221">
        <v>55.9</v>
      </c>
      <c r="AA2221">
        <v>67.099999999999994</v>
      </c>
    </row>
    <row r="2222" spans="1:27" x14ac:dyDescent="0.25">
      <c r="A2222" t="s">
        <v>246</v>
      </c>
      <c r="B2222" t="s">
        <v>181</v>
      </c>
      <c r="C2222" s="76">
        <v>43978</v>
      </c>
      <c r="D2222">
        <v>15147</v>
      </c>
      <c r="E2222">
        <v>10291</v>
      </c>
      <c r="F2222">
        <v>20003</v>
      </c>
      <c r="G2222">
        <v>10908</v>
      </c>
      <c r="H2222">
        <v>58.1</v>
      </c>
      <c r="I2222">
        <v>52.6</v>
      </c>
      <c r="J2222">
        <v>63.7</v>
      </c>
      <c r="K2222">
        <v>1404</v>
      </c>
      <c r="L2222">
        <v>872</v>
      </c>
      <c r="M2222">
        <v>1935</v>
      </c>
      <c r="N2222">
        <v>5.4</v>
      </c>
      <c r="O2222">
        <v>4.2</v>
      </c>
      <c r="P2222">
        <v>6.6</v>
      </c>
      <c r="Q2222">
        <f t="shared" si="68"/>
        <v>9992427</v>
      </c>
      <c r="R2222">
        <f t="shared" si="67"/>
        <v>14.05064055008858</v>
      </c>
      <c r="U2222">
        <v>2366</v>
      </c>
      <c r="V2222">
        <v>1077</v>
      </c>
      <c r="W2222">
        <v>3655</v>
      </c>
      <c r="X2222">
        <v>1278</v>
      </c>
      <c r="Y2222">
        <v>64.900000000000006</v>
      </c>
      <c r="Z2222">
        <v>59.6</v>
      </c>
      <c r="AA2222">
        <v>70.3</v>
      </c>
    </row>
    <row r="2223" spans="1:27" x14ac:dyDescent="0.25">
      <c r="A2223" t="s">
        <v>246</v>
      </c>
      <c r="B2223" t="s">
        <v>181</v>
      </c>
      <c r="C2223" s="76">
        <v>43979</v>
      </c>
      <c r="D2223">
        <v>15323</v>
      </c>
      <c r="E2223">
        <v>10427</v>
      </c>
      <c r="F2223">
        <v>20219</v>
      </c>
      <c r="G2223">
        <v>10837</v>
      </c>
      <c r="H2223">
        <v>58.6</v>
      </c>
      <c r="I2223">
        <v>53.1</v>
      </c>
      <c r="J2223">
        <v>64</v>
      </c>
      <c r="K2223">
        <v>1294</v>
      </c>
      <c r="L2223">
        <v>796</v>
      </c>
      <c r="M2223">
        <v>1792</v>
      </c>
      <c r="N2223">
        <v>4.9000000000000004</v>
      </c>
      <c r="O2223">
        <v>3.9</v>
      </c>
      <c r="P2223">
        <v>6</v>
      </c>
      <c r="Q2223">
        <f t="shared" si="68"/>
        <v>9992427</v>
      </c>
      <c r="R2223">
        <f t="shared" si="67"/>
        <v>12.949806888756855</v>
      </c>
      <c r="U2223">
        <v>2406</v>
      </c>
      <c r="V2223">
        <v>1090</v>
      </c>
      <c r="W2223">
        <v>3721</v>
      </c>
      <c r="X2223">
        <v>1263</v>
      </c>
      <c r="Y2223">
        <v>65.599999999999994</v>
      </c>
      <c r="Z2223">
        <v>60.5</v>
      </c>
      <c r="AA2223">
        <v>70.7</v>
      </c>
    </row>
    <row r="2224" spans="1:27" x14ac:dyDescent="0.25">
      <c r="A2224" t="s">
        <v>246</v>
      </c>
      <c r="B2224" t="s">
        <v>181</v>
      </c>
      <c r="C2224" s="76">
        <v>43980</v>
      </c>
      <c r="D2224">
        <v>15178</v>
      </c>
      <c r="E2224">
        <v>10525</v>
      </c>
      <c r="F2224">
        <v>19831</v>
      </c>
      <c r="G2224">
        <v>10303</v>
      </c>
      <c r="H2224">
        <v>59.6</v>
      </c>
      <c r="I2224">
        <v>53.7</v>
      </c>
      <c r="J2224">
        <v>65.400000000000006</v>
      </c>
      <c r="K2224">
        <v>1205</v>
      </c>
      <c r="L2224">
        <v>756</v>
      </c>
      <c r="M2224">
        <v>1653</v>
      </c>
      <c r="N2224">
        <v>4.7</v>
      </c>
      <c r="O2224">
        <v>3.8</v>
      </c>
      <c r="P2224">
        <v>5.7</v>
      </c>
      <c r="Q2224">
        <f t="shared" si="68"/>
        <v>9992427</v>
      </c>
      <c r="R2224">
        <f t="shared" si="67"/>
        <v>12.059132380952096</v>
      </c>
      <c r="U2224">
        <v>2182</v>
      </c>
      <c r="V2224">
        <v>1243</v>
      </c>
      <c r="W2224">
        <v>3122</v>
      </c>
      <c r="X2224">
        <v>1186</v>
      </c>
      <c r="Y2224">
        <v>64.8</v>
      </c>
      <c r="Z2224">
        <v>59.4</v>
      </c>
      <c r="AA2224">
        <v>70.2</v>
      </c>
    </row>
    <row r="2225" spans="1:27" x14ac:dyDescent="0.25">
      <c r="A2225" t="s">
        <v>246</v>
      </c>
      <c r="B2225" t="s">
        <v>181</v>
      </c>
      <c r="C2225" s="76">
        <v>43981</v>
      </c>
      <c r="D2225">
        <v>14789</v>
      </c>
      <c r="E2225">
        <v>9971</v>
      </c>
      <c r="F2225">
        <v>19608</v>
      </c>
      <c r="G2225">
        <v>10446</v>
      </c>
      <c r="H2225">
        <v>58.6</v>
      </c>
      <c r="I2225">
        <v>53.8</v>
      </c>
      <c r="J2225">
        <v>63.4</v>
      </c>
      <c r="K2225">
        <v>1041</v>
      </c>
      <c r="L2225">
        <v>665</v>
      </c>
      <c r="M2225">
        <v>1417</v>
      </c>
      <c r="N2225">
        <v>4.0999999999999996</v>
      </c>
      <c r="O2225">
        <v>3.3</v>
      </c>
      <c r="P2225">
        <v>4.9000000000000004</v>
      </c>
      <c r="Q2225">
        <f t="shared" si="68"/>
        <v>9992427</v>
      </c>
      <c r="R2225">
        <f t="shared" si="67"/>
        <v>10.417889467693884</v>
      </c>
      <c r="U2225">
        <v>2135</v>
      </c>
      <c r="V2225">
        <v>1261</v>
      </c>
      <c r="W2225">
        <v>3009</v>
      </c>
      <c r="X2225">
        <v>1216</v>
      </c>
      <c r="Y2225">
        <v>63.7</v>
      </c>
      <c r="Z2225">
        <v>58.7</v>
      </c>
      <c r="AA2225">
        <v>68.8</v>
      </c>
    </row>
    <row r="2226" spans="1:27" x14ac:dyDescent="0.25">
      <c r="A2226" t="s">
        <v>246</v>
      </c>
      <c r="B2226" t="s">
        <v>181</v>
      </c>
      <c r="C2226" s="76">
        <v>43982</v>
      </c>
      <c r="D2226">
        <v>13897</v>
      </c>
      <c r="E2226">
        <v>9528</v>
      </c>
      <c r="F2226">
        <v>18267</v>
      </c>
      <c r="G2226">
        <v>11721</v>
      </c>
      <c r="H2226">
        <v>54.2</v>
      </c>
      <c r="I2226">
        <v>48.9</v>
      </c>
      <c r="J2226">
        <v>59.6</v>
      </c>
      <c r="K2226">
        <v>1055</v>
      </c>
      <c r="L2226">
        <v>672</v>
      </c>
      <c r="M2226">
        <v>1439</v>
      </c>
      <c r="N2226">
        <v>4.0999999999999996</v>
      </c>
      <c r="O2226">
        <v>3.3</v>
      </c>
      <c r="P2226">
        <v>5</v>
      </c>
      <c r="Q2226">
        <f t="shared" si="68"/>
        <v>9992427</v>
      </c>
      <c r="R2226">
        <f t="shared" si="67"/>
        <v>10.557995570045195</v>
      </c>
      <c r="U2226">
        <v>2188</v>
      </c>
      <c r="V2226">
        <v>1106</v>
      </c>
      <c r="W2226">
        <v>3270</v>
      </c>
      <c r="X2226">
        <v>1316</v>
      </c>
      <c r="Y2226">
        <v>62.4</v>
      </c>
      <c r="Z2226">
        <v>56.7</v>
      </c>
      <c r="AA2226">
        <v>68.2</v>
      </c>
    </row>
    <row r="2227" spans="1:27" x14ac:dyDescent="0.25">
      <c r="A2227" t="s">
        <v>246</v>
      </c>
      <c r="B2227" t="s">
        <v>181</v>
      </c>
      <c r="C2227" s="76">
        <v>43983</v>
      </c>
      <c r="D2227">
        <v>14087</v>
      </c>
      <c r="E2227">
        <v>9695</v>
      </c>
      <c r="F2227">
        <v>18478</v>
      </c>
      <c r="G2227">
        <v>11574</v>
      </c>
      <c r="H2227">
        <v>54.9</v>
      </c>
      <c r="I2227">
        <v>49.9</v>
      </c>
      <c r="J2227">
        <v>59.9</v>
      </c>
      <c r="K2227">
        <v>1053</v>
      </c>
      <c r="L2227">
        <v>677</v>
      </c>
      <c r="M2227">
        <v>1429</v>
      </c>
      <c r="N2227">
        <v>4.0999999999999996</v>
      </c>
      <c r="O2227">
        <v>3.3</v>
      </c>
      <c r="P2227">
        <v>4.9000000000000004</v>
      </c>
      <c r="Q2227">
        <f t="shared" si="68"/>
        <v>9992427</v>
      </c>
      <c r="R2227">
        <f t="shared" si="67"/>
        <v>10.537980412566437</v>
      </c>
      <c r="U2227">
        <v>2175</v>
      </c>
      <c r="V2227">
        <v>1097</v>
      </c>
      <c r="W2227">
        <v>3253</v>
      </c>
      <c r="X2227">
        <v>1287</v>
      </c>
      <c r="Y2227">
        <v>62.8</v>
      </c>
      <c r="Z2227">
        <v>57.2</v>
      </c>
      <c r="AA2227">
        <v>68.400000000000006</v>
      </c>
    </row>
    <row r="2228" spans="1:27" x14ac:dyDescent="0.25">
      <c r="A2228" t="s">
        <v>246</v>
      </c>
      <c r="B2228" t="s">
        <v>181</v>
      </c>
      <c r="C2228" s="76">
        <v>43984</v>
      </c>
      <c r="D2228">
        <v>14903</v>
      </c>
      <c r="E2228">
        <v>10281</v>
      </c>
      <c r="F2228">
        <v>19525</v>
      </c>
      <c r="G2228">
        <v>10669</v>
      </c>
      <c r="H2228">
        <v>58.3</v>
      </c>
      <c r="I2228">
        <v>53.1</v>
      </c>
      <c r="J2228">
        <v>63.4</v>
      </c>
      <c r="K2228">
        <v>1132</v>
      </c>
      <c r="L2228">
        <v>724</v>
      </c>
      <c r="M2228">
        <v>1540</v>
      </c>
      <c r="N2228">
        <v>4.4000000000000004</v>
      </c>
      <c r="O2228">
        <v>3.6</v>
      </c>
      <c r="P2228">
        <v>5.3</v>
      </c>
      <c r="Q2228">
        <f t="shared" si="68"/>
        <v>9992427</v>
      </c>
      <c r="R2228">
        <f t="shared" si="67"/>
        <v>11.328579132977405</v>
      </c>
      <c r="U2228">
        <v>2285</v>
      </c>
      <c r="V2228">
        <v>1198</v>
      </c>
      <c r="W2228">
        <v>3371</v>
      </c>
      <c r="X2228">
        <v>1182</v>
      </c>
      <c r="Y2228">
        <v>65.900000000000006</v>
      </c>
      <c r="Z2228">
        <v>60.9</v>
      </c>
      <c r="AA2228">
        <v>70.900000000000006</v>
      </c>
    </row>
    <row r="2229" spans="1:27" x14ac:dyDescent="0.25">
      <c r="A2229" t="s">
        <v>246</v>
      </c>
      <c r="B2229" t="s">
        <v>181</v>
      </c>
      <c r="C2229" s="76">
        <v>43985</v>
      </c>
      <c r="D2229">
        <v>15694</v>
      </c>
      <c r="E2229">
        <v>10683</v>
      </c>
      <c r="F2229">
        <v>20704</v>
      </c>
      <c r="G2229">
        <v>10258</v>
      </c>
      <c r="H2229">
        <v>60.5</v>
      </c>
      <c r="I2229">
        <v>54.6</v>
      </c>
      <c r="J2229">
        <v>66.3</v>
      </c>
      <c r="K2229">
        <v>1114</v>
      </c>
      <c r="L2229">
        <v>697</v>
      </c>
      <c r="M2229">
        <v>1531</v>
      </c>
      <c r="N2229">
        <v>4.3</v>
      </c>
      <c r="O2229">
        <v>3.4</v>
      </c>
      <c r="P2229">
        <v>5.2</v>
      </c>
      <c r="Q2229">
        <f t="shared" si="68"/>
        <v>9992427</v>
      </c>
      <c r="R2229">
        <f t="shared" si="67"/>
        <v>11.148442715668576</v>
      </c>
      <c r="U2229">
        <v>2440</v>
      </c>
      <c r="V2229">
        <v>1248</v>
      </c>
      <c r="W2229">
        <v>3631</v>
      </c>
      <c r="X2229">
        <v>1155</v>
      </c>
      <c r="Y2229">
        <v>67.900000000000006</v>
      </c>
      <c r="Z2229">
        <v>63.6</v>
      </c>
      <c r="AA2229">
        <v>72.099999999999994</v>
      </c>
    </row>
    <row r="2230" spans="1:27" x14ac:dyDescent="0.25">
      <c r="A2230" t="s">
        <v>246</v>
      </c>
      <c r="B2230" t="s">
        <v>181</v>
      </c>
      <c r="C2230" s="76">
        <v>43986</v>
      </c>
      <c r="D2230">
        <v>15056</v>
      </c>
      <c r="E2230">
        <v>10248</v>
      </c>
      <c r="F2230">
        <v>19864</v>
      </c>
      <c r="G2230">
        <v>10825</v>
      </c>
      <c r="H2230">
        <v>58.2</v>
      </c>
      <c r="I2230">
        <v>52.7</v>
      </c>
      <c r="J2230">
        <v>63.7</v>
      </c>
      <c r="K2230">
        <v>1004</v>
      </c>
      <c r="L2230">
        <v>619</v>
      </c>
      <c r="M2230">
        <v>1388</v>
      </c>
      <c r="N2230">
        <v>3.9</v>
      </c>
      <c r="O2230">
        <v>3</v>
      </c>
      <c r="P2230">
        <v>4.7</v>
      </c>
      <c r="Q2230">
        <f t="shared" si="68"/>
        <v>9992427</v>
      </c>
      <c r="R2230">
        <f t="shared" si="67"/>
        <v>10.047609054336849</v>
      </c>
      <c r="U2230">
        <v>2346</v>
      </c>
      <c r="V2230">
        <v>1113</v>
      </c>
      <c r="W2230">
        <v>3580</v>
      </c>
      <c r="X2230">
        <v>1159</v>
      </c>
      <c r="Y2230">
        <v>66.900000000000006</v>
      </c>
      <c r="Z2230">
        <v>61.6</v>
      </c>
      <c r="AA2230">
        <v>72.2</v>
      </c>
    </row>
    <row r="2231" spans="1:27" x14ac:dyDescent="0.25">
      <c r="A2231" t="s">
        <v>246</v>
      </c>
      <c r="B2231" t="s">
        <v>181</v>
      </c>
      <c r="C2231" s="76">
        <v>43987</v>
      </c>
      <c r="D2231">
        <v>14841</v>
      </c>
      <c r="E2231">
        <v>10189</v>
      </c>
      <c r="F2231">
        <v>19494</v>
      </c>
      <c r="G2231">
        <v>10704</v>
      </c>
      <c r="H2231">
        <v>58.1</v>
      </c>
      <c r="I2231">
        <v>52.3</v>
      </c>
      <c r="J2231">
        <v>63.9</v>
      </c>
      <c r="K2231">
        <v>943</v>
      </c>
      <c r="L2231">
        <v>593</v>
      </c>
      <c r="M2231">
        <v>1294</v>
      </c>
      <c r="N2231">
        <v>3.7</v>
      </c>
      <c r="O2231">
        <v>3</v>
      </c>
      <c r="P2231">
        <v>4.4000000000000004</v>
      </c>
      <c r="Q2231">
        <f t="shared" si="68"/>
        <v>9992427</v>
      </c>
      <c r="R2231">
        <f t="shared" si="67"/>
        <v>9.4371467512347103</v>
      </c>
      <c r="U2231">
        <v>2302</v>
      </c>
      <c r="V2231">
        <v>1316</v>
      </c>
      <c r="W2231">
        <v>3289</v>
      </c>
      <c r="X2231">
        <v>1249</v>
      </c>
      <c r="Y2231">
        <v>64.8</v>
      </c>
      <c r="Z2231">
        <v>59.3</v>
      </c>
      <c r="AA2231">
        <v>70.400000000000006</v>
      </c>
    </row>
    <row r="2232" spans="1:27" x14ac:dyDescent="0.25">
      <c r="A2232" t="s">
        <v>246</v>
      </c>
      <c r="B2232" t="s">
        <v>181</v>
      </c>
      <c r="C2232" s="76">
        <v>43988</v>
      </c>
      <c r="D2232">
        <v>14541</v>
      </c>
      <c r="E2232">
        <v>10009</v>
      </c>
      <c r="F2232">
        <v>19074</v>
      </c>
      <c r="G2232">
        <v>10878</v>
      </c>
      <c r="H2232">
        <v>57.2</v>
      </c>
      <c r="I2232">
        <v>52</v>
      </c>
      <c r="J2232">
        <v>62.4</v>
      </c>
      <c r="K2232">
        <v>831</v>
      </c>
      <c r="L2232">
        <v>522</v>
      </c>
      <c r="M2232">
        <v>1140</v>
      </c>
      <c r="N2232">
        <v>3.3</v>
      </c>
      <c r="O2232">
        <v>2.6</v>
      </c>
      <c r="P2232">
        <v>3.9</v>
      </c>
      <c r="Q2232">
        <f t="shared" si="68"/>
        <v>9992427</v>
      </c>
      <c r="R2232">
        <f t="shared" si="67"/>
        <v>8.3162979324242254</v>
      </c>
      <c r="U2232">
        <v>2269</v>
      </c>
      <c r="V2232">
        <v>1335</v>
      </c>
      <c r="W2232">
        <v>3203</v>
      </c>
      <c r="X2232">
        <v>1298</v>
      </c>
      <c r="Y2232">
        <v>63.6</v>
      </c>
      <c r="Z2232">
        <v>58.2</v>
      </c>
      <c r="AA2232">
        <v>69</v>
      </c>
    </row>
    <row r="2233" spans="1:27" x14ac:dyDescent="0.25">
      <c r="A2233" t="s">
        <v>246</v>
      </c>
      <c r="B2233" t="s">
        <v>181</v>
      </c>
      <c r="C2233" s="76">
        <v>43989</v>
      </c>
      <c r="D2233">
        <v>14021</v>
      </c>
      <c r="E2233">
        <v>9509</v>
      </c>
      <c r="F2233">
        <v>18534</v>
      </c>
      <c r="G2233">
        <v>11288</v>
      </c>
      <c r="H2233">
        <v>55.4</v>
      </c>
      <c r="I2233">
        <v>50.1</v>
      </c>
      <c r="J2233">
        <v>60.7</v>
      </c>
      <c r="K2233">
        <v>802</v>
      </c>
      <c r="L2233">
        <v>486</v>
      </c>
      <c r="M2233">
        <v>1118</v>
      </c>
      <c r="N2233">
        <v>3.2</v>
      </c>
      <c r="O2233">
        <v>2.5</v>
      </c>
      <c r="P2233">
        <v>3.9</v>
      </c>
      <c r="Q2233">
        <f t="shared" si="68"/>
        <v>9992427</v>
      </c>
      <c r="R2233">
        <f t="shared" si="67"/>
        <v>8.0260781489822239</v>
      </c>
      <c r="U2233">
        <v>2165</v>
      </c>
      <c r="V2233">
        <v>1202</v>
      </c>
      <c r="W2233">
        <v>3128</v>
      </c>
      <c r="X2233">
        <v>1405</v>
      </c>
      <c r="Y2233">
        <v>60.6</v>
      </c>
      <c r="Z2233">
        <v>54.6</v>
      </c>
      <c r="AA2233">
        <v>66.7</v>
      </c>
    </row>
    <row r="2234" spans="1:27" x14ac:dyDescent="0.25">
      <c r="A2234" t="s">
        <v>246</v>
      </c>
      <c r="B2234" t="s">
        <v>181</v>
      </c>
      <c r="C2234" s="76">
        <v>43990</v>
      </c>
      <c r="D2234">
        <v>13985</v>
      </c>
      <c r="E2234">
        <v>9541</v>
      </c>
      <c r="F2234">
        <v>18429</v>
      </c>
      <c r="G2234">
        <v>10770</v>
      </c>
      <c r="H2234">
        <v>56.5</v>
      </c>
      <c r="I2234">
        <v>51.1</v>
      </c>
      <c r="J2234">
        <v>61.9</v>
      </c>
      <c r="K2234">
        <v>788</v>
      </c>
      <c r="L2234">
        <v>477</v>
      </c>
      <c r="M2234">
        <v>1098</v>
      </c>
      <c r="N2234">
        <v>3.2</v>
      </c>
      <c r="O2234">
        <v>2.5</v>
      </c>
      <c r="P2234">
        <v>3.9</v>
      </c>
      <c r="Q2234">
        <f t="shared" si="68"/>
        <v>9992427</v>
      </c>
      <c r="R2234">
        <f t="shared" si="67"/>
        <v>7.885972046630914</v>
      </c>
      <c r="U2234">
        <v>2171</v>
      </c>
      <c r="V2234">
        <v>1235</v>
      </c>
      <c r="W2234">
        <v>3106</v>
      </c>
      <c r="X2234">
        <v>1340</v>
      </c>
      <c r="Y2234">
        <v>61.8</v>
      </c>
      <c r="Z2234">
        <v>56.2</v>
      </c>
      <c r="AA2234">
        <v>67.5</v>
      </c>
    </row>
    <row r="2235" spans="1:27" x14ac:dyDescent="0.25">
      <c r="A2235" t="s">
        <v>246</v>
      </c>
      <c r="B2235" t="s">
        <v>181</v>
      </c>
      <c r="C2235" s="76">
        <v>43991</v>
      </c>
      <c r="D2235">
        <v>15060</v>
      </c>
      <c r="E2235">
        <v>10213</v>
      </c>
      <c r="F2235">
        <v>19907</v>
      </c>
      <c r="G2235">
        <v>10153</v>
      </c>
      <c r="H2235">
        <v>59.7</v>
      </c>
      <c r="I2235">
        <v>54.1</v>
      </c>
      <c r="J2235">
        <v>65.3</v>
      </c>
      <c r="K2235">
        <v>859</v>
      </c>
      <c r="L2235">
        <v>522</v>
      </c>
      <c r="M2235">
        <v>1195</v>
      </c>
      <c r="N2235">
        <v>3.4</v>
      </c>
      <c r="O2235">
        <v>2.7</v>
      </c>
      <c r="P2235">
        <v>4.0999999999999996</v>
      </c>
      <c r="Q2235">
        <f t="shared" si="68"/>
        <v>9992427</v>
      </c>
      <c r="R2235">
        <f t="shared" si="67"/>
        <v>8.5965101371268453</v>
      </c>
      <c r="U2235">
        <v>2348</v>
      </c>
      <c r="V2235">
        <v>1365</v>
      </c>
      <c r="W2235">
        <v>3331</v>
      </c>
      <c r="X2235">
        <v>1188</v>
      </c>
      <c r="Y2235">
        <v>66.400000000000006</v>
      </c>
      <c r="Z2235">
        <v>61.1</v>
      </c>
      <c r="AA2235">
        <v>71.7</v>
      </c>
    </row>
    <row r="2236" spans="1:27" x14ac:dyDescent="0.25">
      <c r="A2236" t="s">
        <v>246</v>
      </c>
      <c r="B2236" t="s">
        <v>181</v>
      </c>
      <c r="C2236" s="76">
        <v>43992</v>
      </c>
      <c r="D2236">
        <v>15885</v>
      </c>
      <c r="E2236">
        <v>10744</v>
      </c>
      <c r="F2236">
        <v>21026</v>
      </c>
      <c r="G2236">
        <v>9492</v>
      </c>
      <c r="H2236">
        <v>62.6</v>
      </c>
      <c r="I2236">
        <v>56.6</v>
      </c>
      <c r="J2236">
        <v>68.599999999999994</v>
      </c>
      <c r="K2236">
        <v>851</v>
      </c>
      <c r="L2236">
        <v>526</v>
      </c>
      <c r="M2236">
        <v>1176</v>
      </c>
      <c r="N2236">
        <v>3.4</v>
      </c>
      <c r="O2236">
        <v>2.7</v>
      </c>
      <c r="P2236">
        <v>4</v>
      </c>
      <c r="Q2236">
        <f t="shared" si="68"/>
        <v>9992427</v>
      </c>
      <c r="R2236">
        <f t="shared" si="67"/>
        <v>8.5164495072118118</v>
      </c>
      <c r="U2236">
        <v>2397</v>
      </c>
      <c r="V2236">
        <v>1206</v>
      </c>
      <c r="W2236">
        <v>3587</v>
      </c>
      <c r="X2236">
        <v>1284</v>
      </c>
      <c r="Y2236">
        <v>65.099999999999994</v>
      </c>
      <c r="Z2236">
        <v>58.4</v>
      </c>
      <c r="AA2236">
        <v>71.8</v>
      </c>
    </row>
    <row r="2237" spans="1:27" x14ac:dyDescent="0.25">
      <c r="A2237" t="s">
        <v>246</v>
      </c>
      <c r="B2237" t="s">
        <v>181</v>
      </c>
      <c r="C2237" s="76">
        <v>43993</v>
      </c>
      <c r="D2237">
        <v>15649</v>
      </c>
      <c r="E2237">
        <v>10807</v>
      </c>
      <c r="F2237">
        <v>20491</v>
      </c>
      <c r="G2237">
        <v>9654</v>
      </c>
      <c r="H2237">
        <v>61.8</v>
      </c>
      <c r="I2237">
        <v>56.5</v>
      </c>
      <c r="J2237">
        <v>67.2</v>
      </c>
      <c r="K2237">
        <v>749</v>
      </c>
      <c r="L2237">
        <v>470</v>
      </c>
      <c r="M2237">
        <v>1029</v>
      </c>
      <c r="N2237">
        <v>3</v>
      </c>
      <c r="O2237">
        <v>2.4</v>
      </c>
      <c r="P2237">
        <v>3.5</v>
      </c>
      <c r="Q2237">
        <f t="shared" si="68"/>
        <v>9992427</v>
      </c>
      <c r="R2237">
        <f t="shared" si="67"/>
        <v>7.4956764757951202</v>
      </c>
      <c r="U2237">
        <v>2225</v>
      </c>
      <c r="V2237">
        <v>1286</v>
      </c>
      <c r="W2237">
        <v>3164</v>
      </c>
      <c r="X2237">
        <v>1346</v>
      </c>
      <c r="Y2237">
        <v>62.3</v>
      </c>
      <c r="Z2237">
        <v>56</v>
      </c>
      <c r="AA2237">
        <v>68.599999999999994</v>
      </c>
    </row>
    <row r="2238" spans="1:27" x14ac:dyDescent="0.25">
      <c r="A2238" t="s">
        <v>246</v>
      </c>
      <c r="B2238" t="s">
        <v>181</v>
      </c>
      <c r="C2238" s="76">
        <v>43994</v>
      </c>
      <c r="D2238">
        <v>15749</v>
      </c>
      <c r="E2238">
        <v>10912</v>
      </c>
      <c r="F2238">
        <v>20586</v>
      </c>
      <c r="G2238">
        <v>9764</v>
      </c>
      <c r="H2238">
        <v>61.7</v>
      </c>
      <c r="I2238">
        <v>56.3</v>
      </c>
      <c r="J2238">
        <v>67.2</v>
      </c>
      <c r="K2238">
        <v>734</v>
      </c>
      <c r="L2238">
        <v>465</v>
      </c>
      <c r="M2238">
        <v>1003</v>
      </c>
      <c r="N2238">
        <v>2.9</v>
      </c>
      <c r="O2238">
        <v>2.4</v>
      </c>
      <c r="P2238">
        <v>3.4</v>
      </c>
      <c r="Q2238">
        <f t="shared" si="68"/>
        <v>9992427</v>
      </c>
      <c r="R2238">
        <f t="shared" si="67"/>
        <v>7.3455627947044295</v>
      </c>
      <c r="U2238">
        <v>2330</v>
      </c>
      <c r="V2238">
        <v>1345</v>
      </c>
      <c r="W2238">
        <v>3315</v>
      </c>
      <c r="X2238">
        <v>1257</v>
      </c>
      <c r="Y2238">
        <v>65</v>
      </c>
      <c r="Z2238">
        <v>58.7</v>
      </c>
      <c r="AA2238">
        <v>71.2</v>
      </c>
    </row>
    <row r="2239" spans="1:27" x14ac:dyDescent="0.25">
      <c r="A2239" t="s">
        <v>246</v>
      </c>
      <c r="B2239" t="s">
        <v>181</v>
      </c>
      <c r="C2239" s="76">
        <v>43995</v>
      </c>
      <c r="D2239">
        <v>15191</v>
      </c>
      <c r="E2239">
        <v>10407</v>
      </c>
      <c r="F2239">
        <v>19974</v>
      </c>
      <c r="G2239">
        <v>10486</v>
      </c>
      <c r="H2239">
        <v>59.2</v>
      </c>
      <c r="I2239">
        <v>53.6</v>
      </c>
      <c r="J2239">
        <v>64.7</v>
      </c>
      <c r="K2239">
        <v>698</v>
      </c>
      <c r="L2239">
        <v>434</v>
      </c>
      <c r="M2239">
        <v>962</v>
      </c>
      <c r="N2239">
        <v>2.7</v>
      </c>
      <c r="O2239">
        <v>2.2000000000000002</v>
      </c>
      <c r="P2239">
        <v>3.2</v>
      </c>
      <c r="Q2239">
        <f t="shared" si="68"/>
        <v>9992427</v>
      </c>
      <c r="R2239">
        <f t="shared" si="67"/>
        <v>6.9852899600867735</v>
      </c>
      <c r="U2239">
        <v>2386</v>
      </c>
      <c r="V2239">
        <v>1367</v>
      </c>
      <c r="W2239">
        <v>3405</v>
      </c>
      <c r="X2239">
        <v>1264</v>
      </c>
      <c r="Y2239">
        <v>65.400000000000006</v>
      </c>
      <c r="Z2239">
        <v>59.2</v>
      </c>
      <c r="AA2239">
        <v>71.5</v>
      </c>
    </row>
    <row r="2240" spans="1:27" x14ac:dyDescent="0.25">
      <c r="A2240" t="s">
        <v>246</v>
      </c>
      <c r="B2240" t="s">
        <v>181</v>
      </c>
      <c r="C2240" s="76">
        <v>43996</v>
      </c>
      <c r="D2240">
        <v>14538</v>
      </c>
      <c r="E2240">
        <v>9960</v>
      </c>
      <c r="F2240">
        <v>19115</v>
      </c>
      <c r="G2240">
        <v>11026</v>
      </c>
      <c r="H2240">
        <v>56.9</v>
      </c>
      <c r="I2240">
        <v>51.4</v>
      </c>
      <c r="J2240">
        <v>62.3</v>
      </c>
      <c r="K2240">
        <v>735</v>
      </c>
      <c r="L2240">
        <v>466</v>
      </c>
      <c r="M2240">
        <v>1004</v>
      </c>
      <c r="N2240">
        <v>2.9</v>
      </c>
      <c r="O2240">
        <v>2.2999999999999998</v>
      </c>
      <c r="P2240">
        <v>3.4</v>
      </c>
      <c r="Q2240">
        <f t="shared" si="68"/>
        <v>9992427</v>
      </c>
      <c r="R2240">
        <f t="shared" si="67"/>
        <v>7.3555703734438085</v>
      </c>
      <c r="U2240">
        <v>2256</v>
      </c>
      <c r="V2240">
        <v>1274</v>
      </c>
      <c r="W2240">
        <v>3238</v>
      </c>
      <c r="X2240">
        <v>1368</v>
      </c>
      <c r="Y2240">
        <v>62.3</v>
      </c>
      <c r="Z2240">
        <v>56.3</v>
      </c>
      <c r="AA2240">
        <v>68.2</v>
      </c>
    </row>
    <row r="2241" spans="1:27" x14ac:dyDescent="0.25">
      <c r="A2241" t="s">
        <v>246</v>
      </c>
      <c r="B2241" t="s">
        <v>181</v>
      </c>
      <c r="C2241" s="76">
        <v>43997</v>
      </c>
      <c r="D2241">
        <v>14529</v>
      </c>
      <c r="E2241">
        <v>9978</v>
      </c>
      <c r="F2241">
        <v>19080</v>
      </c>
      <c r="G2241">
        <v>10801</v>
      </c>
      <c r="H2241">
        <v>57.4</v>
      </c>
      <c r="I2241">
        <v>52.3</v>
      </c>
      <c r="J2241">
        <v>62.4</v>
      </c>
      <c r="K2241">
        <v>679</v>
      </c>
      <c r="L2241">
        <v>431</v>
      </c>
      <c r="M2241">
        <v>926</v>
      </c>
      <c r="N2241">
        <v>2.7</v>
      </c>
      <c r="O2241">
        <v>2.2000000000000002</v>
      </c>
      <c r="P2241">
        <v>3.2</v>
      </c>
      <c r="Q2241">
        <f t="shared" si="68"/>
        <v>9992427</v>
      </c>
      <c r="R2241">
        <f t="shared" si="67"/>
        <v>6.7951459640385661</v>
      </c>
      <c r="U2241">
        <v>2180</v>
      </c>
      <c r="V2241">
        <v>1241</v>
      </c>
      <c r="W2241">
        <v>3119</v>
      </c>
      <c r="X2241">
        <v>1398</v>
      </c>
      <c r="Y2241">
        <v>60.9</v>
      </c>
      <c r="Z2241">
        <v>55.2</v>
      </c>
      <c r="AA2241">
        <v>66.599999999999994</v>
      </c>
    </row>
    <row r="2242" spans="1:27" x14ac:dyDescent="0.25">
      <c r="A2242" t="s">
        <v>246</v>
      </c>
      <c r="B2242" t="s">
        <v>181</v>
      </c>
      <c r="C2242" s="76">
        <v>43998</v>
      </c>
      <c r="D2242">
        <v>16052</v>
      </c>
      <c r="E2242">
        <v>10977</v>
      </c>
      <c r="F2242">
        <v>21127</v>
      </c>
      <c r="G2242">
        <v>9735</v>
      </c>
      <c r="H2242">
        <v>62.2</v>
      </c>
      <c r="I2242">
        <v>56.9</v>
      </c>
      <c r="J2242">
        <v>67.599999999999994</v>
      </c>
      <c r="K2242">
        <v>710</v>
      </c>
      <c r="L2242">
        <v>432</v>
      </c>
      <c r="M2242">
        <v>988</v>
      </c>
      <c r="N2242">
        <v>2.8</v>
      </c>
      <c r="O2242">
        <v>2.1</v>
      </c>
      <c r="P2242">
        <v>3.4</v>
      </c>
      <c r="Q2242">
        <f t="shared" si="68"/>
        <v>9992427</v>
      </c>
      <c r="R2242">
        <f t="shared" si="67"/>
        <v>7.1053809049593255</v>
      </c>
      <c r="U2242">
        <v>2442</v>
      </c>
      <c r="V2242">
        <v>1229</v>
      </c>
      <c r="W2242">
        <v>3656</v>
      </c>
      <c r="X2242">
        <v>1302</v>
      </c>
      <c r="Y2242">
        <v>65.2</v>
      </c>
      <c r="Z2242">
        <v>58.6</v>
      </c>
      <c r="AA2242">
        <v>71.900000000000006</v>
      </c>
    </row>
    <row r="2243" spans="1:27" x14ac:dyDescent="0.25">
      <c r="A2243" t="s">
        <v>246</v>
      </c>
      <c r="B2243" t="s">
        <v>181</v>
      </c>
      <c r="C2243" s="76">
        <v>43999</v>
      </c>
      <c r="D2243">
        <v>16443</v>
      </c>
      <c r="E2243">
        <v>11282</v>
      </c>
      <c r="F2243">
        <v>21605</v>
      </c>
      <c r="G2243">
        <v>9266</v>
      </c>
      <c r="H2243">
        <v>64</v>
      </c>
      <c r="I2243">
        <v>58.4</v>
      </c>
      <c r="J2243">
        <v>69.5</v>
      </c>
      <c r="K2243">
        <v>710</v>
      </c>
      <c r="L2243">
        <v>429</v>
      </c>
      <c r="M2243">
        <v>991</v>
      </c>
      <c r="N2243">
        <v>2.8</v>
      </c>
      <c r="O2243">
        <v>2.1</v>
      </c>
      <c r="P2243">
        <v>3.4</v>
      </c>
      <c r="Q2243">
        <f t="shared" si="68"/>
        <v>9992427</v>
      </c>
      <c r="R2243">
        <f t="shared" si="67"/>
        <v>7.1053809049593255</v>
      </c>
      <c r="U2243">
        <v>2488</v>
      </c>
      <c r="V2243">
        <v>1249</v>
      </c>
      <c r="W2243">
        <v>3726</v>
      </c>
      <c r="X2243">
        <v>1245</v>
      </c>
      <c r="Y2243">
        <v>66.599999999999994</v>
      </c>
      <c r="Z2243">
        <v>59.7</v>
      </c>
      <c r="AA2243">
        <v>73.599999999999994</v>
      </c>
    </row>
    <row r="2244" spans="1:27" x14ac:dyDescent="0.25">
      <c r="A2244" t="s">
        <v>246</v>
      </c>
      <c r="B2244" t="s">
        <v>181</v>
      </c>
      <c r="C2244" s="76">
        <v>44000</v>
      </c>
      <c r="D2244">
        <v>15557</v>
      </c>
      <c r="E2244">
        <v>10669</v>
      </c>
      <c r="F2244">
        <v>20444</v>
      </c>
      <c r="G2244">
        <v>9639</v>
      </c>
      <c r="H2244">
        <v>61.7</v>
      </c>
      <c r="I2244">
        <v>56.2</v>
      </c>
      <c r="J2244">
        <v>67.3</v>
      </c>
      <c r="K2244">
        <v>676</v>
      </c>
      <c r="L2244">
        <v>419</v>
      </c>
      <c r="M2244">
        <v>934</v>
      </c>
      <c r="N2244">
        <v>2.7</v>
      </c>
      <c r="O2244">
        <v>2.1</v>
      </c>
      <c r="P2244">
        <v>3.2</v>
      </c>
      <c r="Q2244">
        <f t="shared" si="68"/>
        <v>9992427</v>
      </c>
      <c r="R2244">
        <f t="shared" si="67"/>
        <v>6.7651232278204283</v>
      </c>
      <c r="U2244">
        <v>2393</v>
      </c>
      <c r="V2244">
        <v>1324</v>
      </c>
      <c r="W2244">
        <v>3461</v>
      </c>
      <c r="X2244">
        <v>1188</v>
      </c>
      <c r="Y2244">
        <v>66.8</v>
      </c>
      <c r="Z2244">
        <v>60.3</v>
      </c>
      <c r="AA2244">
        <v>73.400000000000006</v>
      </c>
    </row>
    <row r="2245" spans="1:27" x14ac:dyDescent="0.25">
      <c r="A2245" t="s">
        <v>246</v>
      </c>
      <c r="B2245" t="s">
        <v>181</v>
      </c>
      <c r="C2245" s="76">
        <v>44001</v>
      </c>
      <c r="D2245">
        <v>15923</v>
      </c>
      <c r="E2245">
        <v>10995</v>
      </c>
      <c r="F2245">
        <v>20850</v>
      </c>
      <c r="G2245">
        <v>9365</v>
      </c>
      <c r="H2245">
        <v>63</v>
      </c>
      <c r="I2245">
        <v>57.4</v>
      </c>
      <c r="J2245">
        <v>68.5</v>
      </c>
      <c r="K2245">
        <v>623</v>
      </c>
      <c r="L2245">
        <v>395</v>
      </c>
      <c r="M2245">
        <v>852</v>
      </c>
      <c r="N2245">
        <v>2.5</v>
      </c>
      <c r="O2245">
        <v>2</v>
      </c>
      <c r="P2245">
        <v>2.9</v>
      </c>
      <c r="Q2245">
        <f t="shared" si="68"/>
        <v>9992427</v>
      </c>
      <c r="R2245">
        <f t="shared" ref="R2245:R2308" si="69">K2245/(Q2245)*100000</f>
        <v>6.2347215546333246</v>
      </c>
      <c r="U2245">
        <v>2402</v>
      </c>
      <c r="V2245">
        <v>1362</v>
      </c>
      <c r="W2245">
        <v>3441</v>
      </c>
      <c r="X2245">
        <v>1202</v>
      </c>
      <c r="Y2245">
        <v>66.7</v>
      </c>
      <c r="Z2245">
        <v>61</v>
      </c>
      <c r="AA2245">
        <v>72.3</v>
      </c>
    </row>
    <row r="2246" spans="1:27" x14ac:dyDescent="0.25">
      <c r="A2246" t="s">
        <v>246</v>
      </c>
      <c r="B2246" t="s">
        <v>181</v>
      </c>
      <c r="C2246" s="76">
        <v>44002</v>
      </c>
      <c r="D2246">
        <v>15330</v>
      </c>
      <c r="E2246">
        <v>10563</v>
      </c>
      <c r="F2246">
        <v>20098</v>
      </c>
      <c r="G2246">
        <v>10226</v>
      </c>
      <c r="H2246">
        <v>60</v>
      </c>
      <c r="I2246">
        <v>54.5</v>
      </c>
      <c r="J2246">
        <v>65.5</v>
      </c>
      <c r="K2246">
        <v>611</v>
      </c>
      <c r="L2246">
        <v>385</v>
      </c>
      <c r="M2246">
        <v>838</v>
      </c>
      <c r="N2246">
        <v>2.4</v>
      </c>
      <c r="O2246">
        <v>1.9</v>
      </c>
      <c r="P2246">
        <v>2.9</v>
      </c>
      <c r="Q2246">
        <f t="shared" si="68"/>
        <v>9992427</v>
      </c>
      <c r="R2246">
        <f t="shared" si="69"/>
        <v>6.1146306097607726</v>
      </c>
      <c r="U2246">
        <v>2307</v>
      </c>
      <c r="V2246">
        <v>1315</v>
      </c>
      <c r="W2246">
        <v>3298</v>
      </c>
      <c r="X2246">
        <v>1292</v>
      </c>
      <c r="Y2246">
        <v>64.099999999999994</v>
      </c>
      <c r="Z2246">
        <v>58.8</v>
      </c>
      <c r="AA2246">
        <v>69.400000000000006</v>
      </c>
    </row>
    <row r="2247" spans="1:27" x14ac:dyDescent="0.25">
      <c r="A2247" t="s">
        <v>246</v>
      </c>
      <c r="B2247" t="s">
        <v>181</v>
      </c>
      <c r="C2247" s="76">
        <v>44003</v>
      </c>
      <c r="D2247">
        <v>14892</v>
      </c>
      <c r="E2247">
        <v>10263</v>
      </c>
      <c r="F2247">
        <v>19522</v>
      </c>
      <c r="G2247">
        <v>10445</v>
      </c>
      <c r="H2247">
        <v>58.8</v>
      </c>
      <c r="I2247">
        <v>52.8</v>
      </c>
      <c r="J2247">
        <v>64.7</v>
      </c>
      <c r="K2247">
        <v>672</v>
      </c>
      <c r="L2247">
        <v>419</v>
      </c>
      <c r="M2247">
        <v>924</v>
      </c>
      <c r="N2247">
        <v>2.7</v>
      </c>
      <c r="O2247">
        <v>2.1</v>
      </c>
      <c r="P2247">
        <v>3.2</v>
      </c>
      <c r="Q2247">
        <f t="shared" si="68"/>
        <v>9992427</v>
      </c>
      <c r="R2247">
        <f t="shared" si="69"/>
        <v>6.7250929128629107</v>
      </c>
      <c r="U2247">
        <v>2332</v>
      </c>
      <c r="V2247">
        <v>1291</v>
      </c>
      <c r="W2247">
        <v>3372</v>
      </c>
      <c r="X2247">
        <v>1247</v>
      </c>
      <c r="Y2247">
        <v>65.2</v>
      </c>
      <c r="Z2247">
        <v>58</v>
      </c>
      <c r="AA2247">
        <v>72.3</v>
      </c>
    </row>
    <row r="2248" spans="1:27" x14ac:dyDescent="0.25">
      <c r="A2248" t="s">
        <v>246</v>
      </c>
      <c r="B2248" t="s">
        <v>181</v>
      </c>
      <c r="C2248" s="76">
        <v>44004</v>
      </c>
      <c r="D2248">
        <v>15221</v>
      </c>
      <c r="E2248">
        <v>10527</v>
      </c>
      <c r="F2248">
        <v>19914</v>
      </c>
      <c r="G2248">
        <v>9837</v>
      </c>
      <c r="H2248">
        <v>60.7</v>
      </c>
      <c r="I2248">
        <v>55</v>
      </c>
      <c r="J2248">
        <v>66.5</v>
      </c>
      <c r="K2248">
        <v>680</v>
      </c>
      <c r="L2248">
        <v>427</v>
      </c>
      <c r="M2248">
        <v>934</v>
      </c>
      <c r="N2248">
        <v>2.7</v>
      </c>
      <c r="O2248">
        <v>2.2000000000000002</v>
      </c>
      <c r="P2248">
        <v>3.2</v>
      </c>
      <c r="Q2248">
        <f t="shared" si="68"/>
        <v>9992427</v>
      </c>
      <c r="R2248">
        <f t="shared" si="69"/>
        <v>6.805153542777945</v>
      </c>
      <c r="U2248">
        <v>2339</v>
      </c>
      <c r="V2248">
        <v>1319</v>
      </c>
      <c r="W2248">
        <v>3358</v>
      </c>
      <c r="X2248">
        <v>1256</v>
      </c>
      <c r="Y2248">
        <v>65.099999999999994</v>
      </c>
      <c r="Z2248">
        <v>58.9</v>
      </c>
      <c r="AA2248">
        <v>71.2</v>
      </c>
    </row>
    <row r="2249" spans="1:27" x14ac:dyDescent="0.25">
      <c r="A2249" t="s">
        <v>246</v>
      </c>
      <c r="B2249" t="s">
        <v>181</v>
      </c>
      <c r="C2249" s="76">
        <v>44005</v>
      </c>
      <c r="D2249">
        <v>16598</v>
      </c>
      <c r="E2249">
        <v>11478</v>
      </c>
      <c r="F2249">
        <v>21718</v>
      </c>
      <c r="G2249">
        <v>8846</v>
      </c>
      <c r="H2249">
        <v>65.2</v>
      </c>
      <c r="I2249">
        <v>59.2</v>
      </c>
      <c r="J2249">
        <v>71.3</v>
      </c>
      <c r="K2249">
        <v>696</v>
      </c>
      <c r="L2249">
        <v>433</v>
      </c>
      <c r="M2249">
        <v>959</v>
      </c>
      <c r="N2249">
        <v>2.7</v>
      </c>
      <c r="O2249">
        <v>2.2000000000000002</v>
      </c>
      <c r="P2249">
        <v>3.3</v>
      </c>
      <c r="Q2249">
        <f t="shared" si="68"/>
        <v>9992427</v>
      </c>
      <c r="R2249">
        <f t="shared" si="69"/>
        <v>6.9652748026080156</v>
      </c>
      <c r="U2249">
        <v>2451</v>
      </c>
      <c r="V2249">
        <v>1395</v>
      </c>
      <c r="W2249">
        <v>3507</v>
      </c>
      <c r="X2249">
        <v>1164</v>
      </c>
      <c r="Y2249">
        <v>67.8</v>
      </c>
      <c r="Z2249">
        <v>61.7</v>
      </c>
      <c r="AA2249">
        <v>73.900000000000006</v>
      </c>
    </row>
    <row r="2250" spans="1:27" x14ac:dyDescent="0.25">
      <c r="A2250" t="s">
        <v>246</v>
      </c>
      <c r="B2250" t="s">
        <v>181</v>
      </c>
      <c r="C2250" s="76">
        <v>44006</v>
      </c>
      <c r="D2250">
        <v>18834</v>
      </c>
      <c r="E2250">
        <v>12575</v>
      </c>
      <c r="F2250">
        <v>25093</v>
      </c>
      <c r="G2250">
        <v>8513</v>
      </c>
      <c r="H2250">
        <v>68.900000000000006</v>
      </c>
      <c r="I2250">
        <v>62.6</v>
      </c>
      <c r="J2250">
        <v>75.099999999999994</v>
      </c>
      <c r="K2250">
        <v>854</v>
      </c>
      <c r="L2250">
        <v>527</v>
      </c>
      <c r="M2250">
        <v>1181</v>
      </c>
      <c r="N2250">
        <v>3.1</v>
      </c>
      <c r="O2250">
        <v>2.5</v>
      </c>
      <c r="P2250">
        <v>3.8</v>
      </c>
      <c r="Q2250">
        <f t="shared" si="68"/>
        <v>9992427</v>
      </c>
      <c r="R2250">
        <f t="shared" si="69"/>
        <v>8.5464722434299496</v>
      </c>
      <c r="U2250">
        <v>3055</v>
      </c>
      <c r="V2250">
        <v>1268</v>
      </c>
      <c r="W2250">
        <v>4842</v>
      </c>
      <c r="X2250">
        <v>1138</v>
      </c>
      <c r="Y2250">
        <v>72.900000000000006</v>
      </c>
      <c r="Z2250">
        <v>66.3</v>
      </c>
      <c r="AA2250">
        <v>79.400000000000006</v>
      </c>
    </row>
    <row r="2251" spans="1:27" x14ac:dyDescent="0.25">
      <c r="A2251" t="s">
        <v>246</v>
      </c>
      <c r="B2251" t="s">
        <v>181</v>
      </c>
      <c r="C2251" s="76">
        <v>44007</v>
      </c>
      <c r="D2251">
        <v>16177</v>
      </c>
      <c r="E2251">
        <v>11165</v>
      </c>
      <c r="F2251">
        <v>21190</v>
      </c>
      <c r="G2251">
        <v>8765</v>
      </c>
      <c r="H2251">
        <v>64.900000000000006</v>
      </c>
      <c r="I2251">
        <v>58.9</v>
      </c>
      <c r="J2251">
        <v>70.8</v>
      </c>
      <c r="K2251">
        <v>738</v>
      </c>
      <c r="L2251">
        <v>467</v>
      </c>
      <c r="M2251">
        <v>1009</v>
      </c>
      <c r="N2251">
        <v>3</v>
      </c>
      <c r="O2251">
        <v>2.4</v>
      </c>
      <c r="P2251">
        <v>3.6</v>
      </c>
      <c r="Q2251">
        <f t="shared" si="68"/>
        <v>9992427</v>
      </c>
      <c r="R2251">
        <f t="shared" si="69"/>
        <v>7.3855931096619472</v>
      </c>
      <c r="U2251">
        <v>2389</v>
      </c>
      <c r="V2251">
        <v>1357</v>
      </c>
      <c r="W2251">
        <v>3420</v>
      </c>
      <c r="X2251">
        <v>1145</v>
      </c>
      <c r="Y2251">
        <v>67.599999999999994</v>
      </c>
      <c r="Z2251">
        <v>61.1</v>
      </c>
      <c r="AA2251">
        <v>74.099999999999994</v>
      </c>
    </row>
    <row r="2252" spans="1:27" x14ac:dyDescent="0.25">
      <c r="A2252" t="s">
        <v>246</v>
      </c>
      <c r="B2252" t="s">
        <v>181</v>
      </c>
      <c r="C2252" s="76">
        <v>44008</v>
      </c>
      <c r="D2252">
        <v>15753</v>
      </c>
      <c r="E2252">
        <v>10875</v>
      </c>
      <c r="F2252">
        <v>20630</v>
      </c>
      <c r="G2252">
        <v>9351</v>
      </c>
      <c r="H2252">
        <v>62.7</v>
      </c>
      <c r="I2252">
        <v>57.2</v>
      </c>
      <c r="J2252">
        <v>68.3</v>
      </c>
      <c r="K2252">
        <v>662</v>
      </c>
      <c r="L2252">
        <v>415</v>
      </c>
      <c r="M2252">
        <v>908</v>
      </c>
      <c r="N2252">
        <v>2.6</v>
      </c>
      <c r="O2252">
        <v>2.1</v>
      </c>
      <c r="P2252">
        <v>3.1</v>
      </c>
      <c r="Q2252">
        <f t="shared" si="68"/>
        <v>9992427</v>
      </c>
      <c r="R2252">
        <f t="shared" si="69"/>
        <v>6.6250171254691175</v>
      </c>
      <c r="U2252">
        <v>2322</v>
      </c>
      <c r="V2252">
        <v>1324</v>
      </c>
      <c r="W2252">
        <v>3320</v>
      </c>
      <c r="X2252">
        <v>1239</v>
      </c>
      <c r="Y2252">
        <v>65.2</v>
      </c>
      <c r="Z2252">
        <v>59.1</v>
      </c>
      <c r="AA2252">
        <v>71.3</v>
      </c>
    </row>
    <row r="2253" spans="1:27" x14ac:dyDescent="0.25">
      <c r="A2253" t="s">
        <v>246</v>
      </c>
      <c r="B2253" t="s">
        <v>181</v>
      </c>
      <c r="C2253" s="76">
        <v>44009</v>
      </c>
      <c r="D2253">
        <v>15409</v>
      </c>
      <c r="E2253">
        <v>10626</v>
      </c>
      <c r="F2253">
        <v>20192</v>
      </c>
      <c r="G2253">
        <v>9797</v>
      </c>
      <c r="H2253">
        <v>61.1</v>
      </c>
      <c r="I2253">
        <v>55.5</v>
      </c>
      <c r="J2253">
        <v>66.8</v>
      </c>
      <c r="K2253">
        <v>640</v>
      </c>
      <c r="L2253">
        <v>405</v>
      </c>
      <c r="M2253">
        <v>875</v>
      </c>
      <c r="N2253">
        <v>2.5</v>
      </c>
      <c r="O2253">
        <v>2.1</v>
      </c>
      <c r="P2253">
        <v>3</v>
      </c>
      <c r="Q2253">
        <f t="shared" si="68"/>
        <v>9992427</v>
      </c>
      <c r="R2253">
        <f t="shared" si="69"/>
        <v>6.4048503932027723</v>
      </c>
      <c r="U2253">
        <v>2298</v>
      </c>
      <c r="V2253">
        <v>1322</v>
      </c>
      <c r="W2253">
        <v>3274</v>
      </c>
      <c r="X2253">
        <v>1258</v>
      </c>
      <c r="Y2253">
        <v>64.599999999999994</v>
      </c>
      <c r="Z2253">
        <v>58.3</v>
      </c>
      <c r="AA2253">
        <v>71</v>
      </c>
    </row>
    <row r="2254" spans="1:27" x14ac:dyDescent="0.25">
      <c r="A2254" t="s">
        <v>246</v>
      </c>
      <c r="B2254" t="s">
        <v>181</v>
      </c>
      <c r="C2254" s="76">
        <v>44010</v>
      </c>
      <c r="D2254">
        <v>14936</v>
      </c>
      <c r="E2254">
        <v>10310</v>
      </c>
      <c r="F2254">
        <v>19563</v>
      </c>
      <c r="G2254">
        <v>10353</v>
      </c>
      <c r="H2254">
        <v>59.1</v>
      </c>
      <c r="I2254">
        <v>53.2</v>
      </c>
      <c r="J2254">
        <v>65</v>
      </c>
      <c r="K2254">
        <v>619</v>
      </c>
      <c r="L2254">
        <v>386</v>
      </c>
      <c r="M2254">
        <v>851</v>
      </c>
      <c r="N2254">
        <v>2.4</v>
      </c>
      <c r="O2254">
        <v>2</v>
      </c>
      <c r="P2254">
        <v>2.9</v>
      </c>
      <c r="Q2254">
        <f t="shared" si="68"/>
        <v>9992427</v>
      </c>
      <c r="R2254">
        <f t="shared" si="69"/>
        <v>6.194691239675806</v>
      </c>
      <c r="U2254">
        <v>2298</v>
      </c>
      <c r="V2254">
        <v>1331</v>
      </c>
      <c r="W2254">
        <v>3264</v>
      </c>
      <c r="X2254">
        <v>1261</v>
      </c>
      <c r="Y2254">
        <v>64.599999999999994</v>
      </c>
      <c r="Z2254">
        <v>59.2</v>
      </c>
      <c r="AA2254">
        <v>69.900000000000006</v>
      </c>
    </row>
    <row r="2255" spans="1:27" x14ac:dyDescent="0.25">
      <c r="A2255" t="s">
        <v>246</v>
      </c>
      <c r="B2255" t="s">
        <v>181</v>
      </c>
      <c r="C2255" s="76">
        <v>44011</v>
      </c>
      <c r="D2255">
        <v>15066</v>
      </c>
      <c r="E2255">
        <v>10402</v>
      </c>
      <c r="F2255">
        <v>19730</v>
      </c>
      <c r="G2255">
        <v>10096</v>
      </c>
      <c r="H2255">
        <v>59.9</v>
      </c>
      <c r="I2255">
        <v>54.4</v>
      </c>
      <c r="J2255">
        <v>65.3</v>
      </c>
      <c r="K2255">
        <v>603</v>
      </c>
      <c r="L2255">
        <v>378</v>
      </c>
      <c r="M2255">
        <v>828</v>
      </c>
      <c r="N2255">
        <v>2.4</v>
      </c>
      <c r="O2255">
        <v>2</v>
      </c>
      <c r="P2255">
        <v>2.8</v>
      </c>
      <c r="Q2255">
        <f t="shared" si="68"/>
        <v>9992427</v>
      </c>
      <c r="R2255">
        <f t="shared" si="69"/>
        <v>6.0345699798457373</v>
      </c>
      <c r="U2255">
        <v>2323</v>
      </c>
      <c r="V2255">
        <v>1351</v>
      </c>
      <c r="W2255">
        <v>3295</v>
      </c>
      <c r="X2255">
        <v>1240</v>
      </c>
      <c r="Y2255">
        <v>65.2</v>
      </c>
      <c r="Z2255">
        <v>59.4</v>
      </c>
      <c r="AA2255">
        <v>71</v>
      </c>
    </row>
    <row r="2256" spans="1:27" x14ac:dyDescent="0.25">
      <c r="A2256" t="s">
        <v>246</v>
      </c>
      <c r="B2256" t="s">
        <v>181</v>
      </c>
      <c r="C2256" s="76">
        <v>44012</v>
      </c>
      <c r="D2256">
        <v>15768</v>
      </c>
      <c r="E2256">
        <v>10710</v>
      </c>
      <c r="F2256">
        <v>20825</v>
      </c>
      <c r="G2256">
        <v>9475</v>
      </c>
      <c r="H2256">
        <v>62.5</v>
      </c>
      <c r="I2256">
        <v>56.9</v>
      </c>
      <c r="J2256">
        <v>68</v>
      </c>
      <c r="K2256">
        <v>754</v>
      </c>
      <c r="L2256">
        <v>459</v>
      </c>
      <c r="M2256">
        <v>1049</v>
      </c>
      <c r="N2256">
        <v>3</v>
      </c>
      <c r="O2256">
        <v>2.4</v>
      </c>
      <c r="P2256">
        <v>3.6</v>
      </c>
      <c r="Q2256">
        <f t="shared" si="68"/>
        <v>9992427</v>
      </c>
      <c r="R2256">
        <f t="shared" si="69"/>
        <v>7.5457143694920159</v>
      </c>
      <c r="U2256">
        <v>2352</v>
      </c>
      <c r="V2256">
        <v>1338</v>
      </c>
      <c r="W2256">
        <v>3365</v>
      </c>
      <c r="X2256">
        <v>1195</v>
      </c>
      <c r="Y2256">
        <v>66.3</v>
      </c>
      <c r="Z2256">
        <v>60.5</v>
      </c>
      <c r="AA2256">
        <v>72.099999999999994</v>
      </c>
    </row>
    <row r="2257" spans="1:27" x14ac:dyDescent="0.25">
      <c r="A2257" t="s">
        <v>246</v>
      </c>
      <c r="B2257" t="s">
        <v>181</v>
      </c>
      <c r="C2257" s="76">
        <v>44013</v>
      </c>
      <c r="D2257">
        <v>16275</v>
      </c>
      <c r="E2257">
        <v>10990</v>
      </c>
      <c r="F2257">
        <v>21561</v>
      </c>
      <c r="G2257">
        <v>9436</v>
      </c>
      <c r="H2257">
        <v>63.3</v>
      </c>
      <c r="I2257">
        <v>57.7</v>
      </c>
      <c r="J2257">
        <v>68.900000000000006</v>
      </c>
      <c r="K2257">
        <v>721</v>
      </c>
      <c r="L2257">
        <v>433</v>
      </c>
      <c r="M2257">
        <v>1009</v>
      </c>
      <c r="N2257">
        <v>2.8</v>
      </c>
      <c r="O2257">
        <v>2.2000000000000002</v>
      </c>
      <c r="P2257">
        <v>3.4</v>
      </c>
      <c r="Q2257">
        <f t="shared" si="68"/>
        <v>9992427</v>
      </c>
      <c r="R2257">
        <f t="shared" si="69"/>
        <v>7.2154642710924985</v>
      </c>
      <c r="U2257">
        <v>2369</v>
      </c>
      <c r="V2257">
        <v>1332</v>
      </c>
      <c r="W2257">
        <v>3406</v>
      </c>
      <c r="X2257">
        <v>1210</v>
      </c>
      <c r="Y2257">
        <v>66.2</v>
      </c>
      <c r="Z2257">
        <v>60.2</v>
      </c>
      <c r="AA2257">
        <v>72.2</v>
      </c>
    </row>
    <row r="2258" spans="1:27" x14ac:dyDescent="0.25">
      <c r="A2258" t="s">
        <v>246</v>
      </c>
      <c r="B2258" t="s">
        <v>181</v>
      </c>
      <c r="C2258" s="76">
        <v>44014</v>
      </c>
      <c r="D2258">
        <v>16241</v>
      </c>
      <c r="E2258">
        <v>10912</v>
      </c>
      <c r="F2258">
        <v>21569</v>
      </c>
      <c r="G2258">
        <v>9404</v>
      </c>
      <c r="H2258">
        <v>63.3</v>
      </c>
      <c r="I2258">
        <v>57.5</v>
      </c>
      <c r="J2258">
        <v>69.099999999999994</v>
      </c>
      <c r="K2258">
        <v>585</v>
      </c>
      <c r="L2258">
        <v>357</v>
      </c>
      <c r="M2258">
        <v>812</v>
      </c>
      <c r="N2258">
        <v>2.2999999999999998</v>
      </c>
      <c r="O2258">
        <v>1.8</v>
      </c>
      <c r="P2258">
        <v>2.7</v>
      </c>
      <c r="Q2258">
        <f t="shared" si="68"/>
        <v>9992427</v>
      </c>
      <c r="R2258">
        <f t="shared" si="69"/>
        <v>5.8544335625369088</v>
      </c>
      <c r="U2258">
        <v>2322</v>
      </c>
      <c r="V2258">
        <v>1292</v>
      </c>
      <c r="W2258">
        <v>3353</v>
      </c>
      <c r="X2258">
        <v>1195</v>
      </c>
      <c r="Y2258">
        <v>66</v>
      </c>
      <c r="Z2258">
        <v>60.3</v>
      </c>
      <c r="AA2258">
        <v>71.8</v>
      </c>
    </row>
    <row r="2259" spans="1:27" x14ac:dyDescent="0.25">
      <c r="A2259" t="s">
        <v>246</v>
      </c>
      <c r="B2259" t="s">
        <v>181</v>
      </c>
      <c r="C2259" s="76">
        <v>44015</v>
      </c>
      <c r="D2259">
        <v>15438</v>
      </c>
      <c r="E2259">
        <v>10322</v>
      </c>
      <c r="F2259">
        <v>20554</v>
      </c>
      <c r="G2259">
        <v>10147</v>
      </c>
      <c r="H2259">
        <v>60.3</v>
      </c>
      <c r="I2259">
        <v>55.1</v>
      </c>
      <c r="J2259">
        <v>65.599999999999994</v>
      </c>
      <c r="K2259">
        <v>627</v>
      </c>
      <c r="L2259">
        <v>376</v>
      </c>
      <c r="M2259">
        <v>878</v>
      </c>
      <c r="N2259">
        <v>2.4</v>
      </c>
      <c r="O2259">
        <v>2</v>
      </c>
      <c r="P2259">
        <v>2.9</v>
      </c>
      <c r="Q2259">
        <f t="shared" si="68"/>
        <v>9992427</v>
      </c>
      <c r="R2259">
        <f t="shared" si="69"/>
        <v>6.2747518695908413</v>
      </c>
      <c r="U2259">
        <v>2303</v>
      </c>
      <c r="V2259">
        <v>1294</v>
      </c>
      <c r="W2259">
        <v>3312</v>
      </c>
      <c r="X2259">
        <v>1214</v>
      </c>
      <c r="Y2259">
        <v>65.400000000000006</v>
      </c>
      <c r="Z2259">
        <v>60.4</v>
      </c>
      <c r="AA2259">
        <v>70.5</v>
      </c>
    </row>
    <row r="2260" spans="1:27" x14ac:dyDescent="0.25">
      <c r="A2260" t="s">
        <v>246</v>
      </c>
      <c r="B2260" t="s">
        <v>181</v>
      </c>
      <c r="C2260" s="76">
        <v>44016</v>
      </c>
      <c r="D2260">
        <v>14349</v>
      </c>
      <c r="E2260">
        <v>9585</v>
      </c>
      <c r="F2260">
        <v>19113</v>
      </c>
      <c r="G2260">
        <v>11176</v>
      </c>
      <c r="H2260">
        <v>56.2</v>
      </c>
      <c r="I2260">
        <v>51</v>
      </c>
      <c r="J2260">
        <v>61.4</v>
      </c>
      <c r="K2260">
        <v>567</v>
      </c>
      <c r="L2260">
        <v>353</v>
      </c>
      <c r="M2260">
        <v>780</v>
      </c>
      <c r="N2260">
        <v>2.2000000000000002</v>
      </c>
      <c r="O2260">
        <v>1.8</v>
      </c>
      <c r="P2260">
        <v>2.6</v>
      </c>
      <c r="Q2260">
        <f t="shared" si="68"/>
        <v>9992427</v>
      </c>
      <c r="R2260">
        <f t="shared" si="69"/>
        <v>5.6742971452280813</v>
      </c>
      <c r="U2260">
        <v>2251</v>
      </c>
      <c r="V2260">
        <v>1222</v>
      </c>
      <c r="W2260">
        <v>3280</v>
      </c>
      <c r="X2260">
        <v>1268</v>
      </c>
      <c r="Y2260">
        <v>63.9</v>
      </c>
      <c r="Z2260">
        <v>57.9</v>
      </c>
      <c r="AA2260">
        <v>70</v>
      </c>
    </row>
    <row r="2261" spans="1:27" x14ac:dyDescent="0.25">
      <c r="A2261" t="s">
        <v>246</v>
      </c>
      <c r="B2261" t="s">
        <v>181</v>
      </c>
      <c r="C2261" s="76">
        <v>44017</v>
      </c>
      <c r="D2261">
        <v>14319</v>
      </c>
      <c r="E2261">
        <v>9558</v>
      </c>
      <c r="F2261">
        <v>19080</v>
      </c>
      <c r="G2261">
        <v>11256</v>
      </c>
      <c r="H2261">
        <v>56</v>
      </c>
      <c r="I2261">
        <v>50.8</v>
      </c>
      <c r="J2261">
        <v>61.1</v>
      </c>
      <c r="K2261">
        <v>638</v>
      </c>
      <c r="L2261">
        <v>383</v>
      </c>
      <c r="M2261">
        <v>894</v>
      </c>
      <c r="N2261">
        <v>2.5</v>
      </c>
      <c r="O2261">
        <v>2</v>
      </c>
      <c r="P2261">
        <v>3</v>
      </c>
      <c r="Q2261">
        <f t="shared" si="68"/>
        <v>9992427</v>
      </c>
      <c r="R2261">
        <f t="shared" si="69"/>
        <v>6.3848352357240135</v>
      </c>
      <c r="U2261">
        <v>2219</v>
      </c>
      <c r="V2261">
        <v>1208</v>
      </c>
      <c r="W2261">
        <v>3229</v>
      </c>
      <c r="X2261">
        <v>1256</v>
      </c>
      <c r="Y2261">
        <v>63.9</v>
      </c>
      <c r="Z2261">
        <v>57.6</v>
      </c>
      <c r="AA2261">
        <v>70.099999999999994</v>
      </c>
    </row>
    <row r="2262" spans="1:27" x14ac:dyDescent="0.25">
      <c r="A2262" t="s">
        <v>246</v>
      </c>
      <c r="B2262" t="s">
        <v>181</v>
      </c>
      <c r="C2262" s="76">
        <v>44018</v>
      </c>
      <c r="D2262">
        <v>14843</v>
      </c>
      <c r="E2262">
        <v>9934</v>
      </c>
      <c r="F2262">
        <v>19751</v>
      </c>
      <c r="G2262">
        <v>10478</v>
      </c>
      <c r="H2262">
        <v>58.6</v>
      </c>
      <c r="I2262">
        <v>53.4</v>
      </c>
      <c r="J2262">
        <v>63.8</v>
      </c>
      <c r="K2262">
        <v>661</v>
      </c>
      <c r="L2262">
        <v>405</v>
      </c>
      <c r="M2262">
        <v>917</v>
      </c>
      <c r="N2262">
        <v>2.6</v>
      </c>
      <c r="O2262">
        <v>2.1</v>
      </c>
      <c r="P2262">
        <v>3.1</v>
      </c>
      <c r="Q2262">
        <f t="shared" si="68"/>
        <v>9992427</v>
      </c>
      <c r="R2262">
        <f t="shared" si="69"/>
        <v>6.6150095467297376</v>
      </c>
      <c r="U2262">
        <v>2290</v>
      </c>
      <c r="V2262">
        <v>1241</v>
      </c>
      <c r="W2262">
        <v>3338</v>
      </c>
      <c r="X2262">
        <v>1210</v>
      </c>
      <c r="Y2262">
        <v>65.400000000000006</v>
      </c>
      <c r="Z2262">
        <v>58.7</v>
      </c>
      <c r="AA2262">
        <v>72.099999999999994</v>
      </c>
    </row>
    <row r="2263" spans="1:27" x14ac:dyDescent="0.25">
      <c r="A2263" t="s">
        <v>246</v>
      </c>
      <c r="B2263" t="s">
        <v>181</v>
      </c>
      <c r="C2263" s="76">
        <v>44019</v>
      </c>
      <c r="D2263">
        <v>16065</v>
      </c>
      <c r="E2263">
        <v>10788</v>
      </c>
      <c r="F2263">
        <v>21341</v>
      </c>
      <c r="G2263">
        <v>9305</v>
      </c>
      <c r="H2263">
        <v>63.3</v>
      </c>
      <c r="I2263">
        <v>58</v>
      </c>
      <c r="J2263">
        <v>68.7</v>
      </c>
      <c r="K2263">
        <v>593</v>
      </c>
      <c r="L2263">
        <v>348</v>
      </c>
      <c r="M2263">
        <v>838</v>
      </c>
      <c r="N2263">
        <v>2.2999999999999998</v>
      </c>
      <c r="O2263">
        <v>1.8</v>
      </c>
      <c r="P2263">
        <v>2.8</v>
      </c>
      <c r="Q2263">
        <f t="shared" si="68"/>
        <v>9992427</v>
      </c>
      <c r="R2263">
        <f t="shared" si="69"/>
        <v>5.9344941924519441</v>
      </c>
      <c r="U2263">
        <v>2381</v>
      </c>
      <c r="V2263">
        <v>1307</v>
      </c>
      <c r="W2263">
        <v>3454</v>
      </c>
      <c r="X2263">
        <v>1091</v>
      </c>
      <c r="Y2263">
        <v>68.599999999999994</v>
      </c>
      <c r="Z2263">
        <v>61.9</v>
      </c>
      <c r="AA2263">
        <v>75.3</v>
      </c>
    </row>
    <row r="2264" spans="1:27" x14ac:dyDescent="0.25">
      <c r="A2264" t="s">
        <v>247</v>
      </c>
      <c r="B2264" t="s">
        <v>193</v>
      </c>
      <c r="C2264" s="76">
        <v>43936</v>
      </c>
      <c r="D2264">
        <v>6055</v>
      </c>
      <c r="E2264">
        <v>3409</v>
      </c>
      <c r="F2264">
        <v>8700</v>
      </c>
      <c r="G2264">
        <v>7086</v>
      </c>
      <c r="H2264">
        <v>46.1</v>
      </c>
      <c r="I2264">
        <v>39.299999999999997</v>
      </c>
      <c r="J2264">
        <v>52.9</v>
      </c>
      <c r="K2264">
        <v>492</v>
      </c>
      <c r="L2264">
        <v>156</v>
      </c>
      <c r="M2264">
        <v>829</v>
      </c>
      <c r="N2264">
        <v>3.7</v>
      </c>
      <c r="O2264">
        <v>1.8</v>
      </c>
      <c r="P2264">
        <v>5.7</v>
      </c>
      <c r="Q2264">
        <f t="shared" si="68"/>
        <v>5706398</v>
      </c>
      <c r="R2264">
        <f t="shared" si="69"/>
        <v>8.6219012413785361</v>
      </c>
      <c r="U2264">
        <v>753</v>
      </c>
      <c r="V2264">
        <v>349</v>
      </c>
      <c r="W2264">
        <v>1158</v>
      </c>
      <c r="X2264">
        <v>594</v>
      </c>
      <c r="Y2264">
        <v>55.9</v>
      </c>
      <c r="Z2264">
        <v>43.3</v>
      </c>
      <c r="AA2264">
        <v>68.599999999999994</v>
      </c>
    </row>
    <row r="2265" spans="1:27" x14ac:dyDescent="0.25">
      <c r="A2265" t="s">
        <v>247</v>
      </c>
      <c r="B2265" t="s">
        <v>193</v>
      </c>
      <c r="C2265" s="76">
        <v>43937</v>
      </c>
      <c r="D2265">
        <v>6085</v>
      </c>
      <c r="E2265">
        <v>3447</v>
      </c>
      <c r="F2265">
        <v>8722</v>
      </c>
      <c r="G2265">
        <v>7083</v>
      </c>
      <c r="H2265">
        <v>46.2</v>
      </c>
      <c r="I2265">
        <v>39.6</v>
      </c>
      <c r="J2265">
        <v>52.9</v>
      </c>
      <c r="K2265">
        <v>519</v>
      </c>
      <c r="L2265">
        <v>173</v>
      </c>
      <c r="M2265">
        <v>866</v>
      </c>
      <c r="N2265">
        <v>3.9</v>
      </c>
      <c r="O2265">
        <v>1.9</v>
      </c>
      <c r="P2265">
        <v>6</v>
      </c>
      <c r="Q2265">
        <f t="shared" si="68"/>
        <v>5706398</v>
      </c>
      <c r="R2265">
        <f t="shared" si="69"/>
        <v>9.0950543582834555</v>
      </c>
      <c r="U2265">
        <v>748</v>
      </c>
      <c r="V2265">
        <v>343</v>
      </c>
      <c r="W2265">
        <v>1153</v>
      </c>
      <c r="X2265">
        <v>613</v>
      </c>
      <c r="Y2265">
        <v>55</v>
      </c>
      <c r="Z2265">
        <v>42.4</v>
      </c>
      <c r="AA2265">
        <v>67.5</v>
      </c>
    </row>
    <row r="2266" spans="1:27" x14ac:dyDescent="0.25">
      <c r="A2266" t="s">
        <v>247</v>
      </c>
      <c r="B2266" t="s">
        <v>193</v>
      </c>
      <c r="C2266" s="76">
        <v>43938</v>
      </c>
      <c r="D2266">
        <v>6109</v>
      </c>
      <c r="E2266">
        <v>3475</v>
      </c>
      <c r="F2266">
        <v>8743</v>
      </c>
      <c r="G2266">
        <v>6806</v>
      </c>
      <c r="H2266">
        <v>47.3</v>
      </c>
      <c r="I2266">
        <v>40.700000000000003</v>
      </c>
      <c r="J2266">
        <v>53.9</v>
      </c>
      <c r="K2266">
        <v>528</v>
      </c>
      <c r="L2266">
        <v>200</v>
      </c>
      <c r="M2266">
        <v>856</v>
      </c>
      <c r="N2266">
        <v>4.0999999999999996</v>
      </c>
      <c r="O2266">
        <v>2.1</v>
      </c>
      <c r="P2266">
        <v>6</v>
      </c>
      <c r="Q2266">
        <f t="shared" si="68"/>
        <v>5706398</v>
      </c>
      <c r="R2266">
        <f t="shared" si="69"/>
        <v>9.2527720639184299</v>
      </c>
      <c r="U2266">
        <v>746</v>
      </c>
      <c r="V2266">
        <v>336</v>
      </c>
      <c r="W2266">
        <v>1155</v>
      </c>
      <c r="X2266">
        <v>621</v>
      </c>
      <c r="Y2266">
        <v>54.6</v>
      </c>
      <c r="Z2266">
        <v>41.3</v>
      </c>
      <c r="AA2266">
        <v>67.8</v>
      </c>
    </row>
    <row r="2267" spans="1:27" x14ac:dyDescent="0.25">
      <c r="A2267" t="s">
        <v>247</v>
      </c>
      <c r="B2267" t="s">
        <v>193</v>
      </c>
      <c r="C2267" s="76">
        <v>43939</v>
      </c>
      <c r="D2267">
        <v>6107</v>
      </c>
      <c r="E2267">
        <v>3490</v>
      </c>
      <c r="F2267">
        <v>8724</v>
      </c>
      <c r="G2267">
        <v>6784</v>
      </c>
      <c r="H2267">
        <v>47.4</v>
      </c>
      <c r="I2267">
        <v>40.799999999999997</v>
      </c>
      <c r="J2267">
        <v>54</v>
      </c>
      <c r="K2267">
        <v>531</v>
      </c>
      <c r="L2267">
        <v>187</v>
      </c>
      <c r="M2267">
        <v>875</v>
      </c>
      <c r="N2267">
        <v>4.0999999999999996</v>
      </c>
      <c r="O2267">
        <v>2</v>
      </c>
      <c r="P2267">
        <v>6.2</v>
      </c>
      <c r="Q2267">
        <f t="shared" si="68"/>
        <v>5706398</v>
      </c>
      <c r="R2267">
        <f t="shared" si="69"/>
        <v>9.3053446324634219</v>
      </c>
      <c r="U2267">
        <v>775</v>
      </c>
      <c r="V2267">
        <v>368</v>
      </c>
      <c r="W2267">
        <v>1183</v>
      </c>
      <c r="X2267">
        <v>640</v>
      </c>
      <c r="Y2267">
        <v>54.8</v>
      </c>
      <c r="Z2267">
        <v>43.2</v>
      </c>
      <c r="AA2267">
        <v>66.3</v>
      </c>
    </row>
    <row r="2268" spans="1:27" x14ac:dyDescent="0.25">
      <c r="A2268" t="s">
        <v>247</v>
      </c>
      <c r="B2268" t="s">
        <v>193</v>
      </c>
      <c r="C2268" s="76">
        <v>43940</v>
      </c>
      <c r="D2268">
        <v>6085</v>
      </c>
      <c r="E2268">
        <v>3477</v>
      </c>
      <c r="F2268">
        <v>8692</v>
      </c>
      <c r="G2268">
        <v>6829</v>
      </c>
      <c r="H2268">
        <v>47.1</v>
      </c>
      <c r="I2268">
        <v>40.5</v>
      </c>
      <c r="J2268">
        <v>53.8</v>
      </c>
      <c r="K2268">
        <v>582</v>
      </c>
      <c r="L2268">
        <v>185</v>
      </c>
      <c r="M2268">
        <v>978</v>
      </c>
      <c r="N2268">
        <v>4.5</v>
      </c>
      <c r="O2268">
        <v>2</v>
      </c>
      <c r="P2268">
        <v>7</v>
      </c>
      <c r="Q2268">
        <f t="shared" si="68"/>
        <v>5706398</v>
      </c>
      <c r="R2268">
        <f t="shared" si="69"/>
        <v>10.199078297728269</v>
      </c>
      <c r="U2268">
        <v>796</v>
      </c>
      <c r="V2268">
        <v>387</v>
      </c>
      <c r="W2268">
        <v>1204</v>
      </c>
      <c r="X2268">
        <v>578</v>
      </c>
      <c r="Y2268">
        <v>57.9</v>
      </c>
      <c r="Z2268">
        <v>46.2</v>
      </c>
      <c r="AA2268">
        <v>69.599999999999994</v>
      </c>
    </row>
    <row r="2269" spans="1:27" x14ac:dyDescent="0.25">
      <c r="A2269" t="s">
        <v>247</v>
      </c>
      <c r="B2269" t="s">
        <v>193</v>
      </c>
      <c r="C2269" s="76">
        <v>43941</v>
      </c>
      <c r="D2269">
        <v>6235</v>
      </c>
      <c r="E2269">
        <v>3555</v>
      </c>
      <c r="F2269">
        <v>8916</v>
      </c>
      <c r="G2269">
        <v>6769</v>
      </c>
      <c r="H2269">
        <v>47.9</v>
      </c>
      <c r="I2269">
        <v>41.3</v>
      </c>
      <c r="J2269">
        <v>54.6</v>
      </c>
      <c r="K2269">
        <v>600</v>
      </c>
      <c r="L2269">
        <v>224</v>
      </c>
      <c r="M2269">
        <v>977</v>
      </c>
      <c r="N2269">
        <v>4.5999999999999996</v>
      </c>
      <c r="O2269">
        <v>2.2999999999999998</v>
      </c>
      <c r="P2269">
        <v>6.9</v>
      </c>
      <c r="Q2269">
        <f t="shared" si="68"/>
        <v>5706398</v>
      </c>
      <c r="R2269">
        <f t="shared" si="69"/>
        <v>10.514513708998216</v>
      </c>
      <c r="U2269">
        <v>801</v>
      </c>
      <c r="V2269">
        <v>384</v>
      </c>
      <c r="W2269">
        <v>1219</v>
      </c>
      <c r="X2269">
        <v>578</v>
      </c>
      <c r="Y2269">
        <v>58.1</v>
      </c>
      <c r="Z2269">
        <v>46.5</v>
      </c>
      <c r="AA2269">
        <v>69.7</v>
      </c>
    </row>
    <row r="2270" spans="1:27" x14ac:dyDescent="0.25">
      <c r="A2270" t="s">
        <v>247</v>
      </c>
      <c r="B2270" t="s">
        <v>193</v>
      </c>
      <c r="C2270" s="76">
        <v>43942</v>
      </c>
      <c r="D2270">
        <v>6283</v>
      </c>
      <c r="E2270">
        <v>3602</v>
      </c>
      <c r="F2270">
        <v>8965</v>
      </c>
      <c r="G2270">
        <v>6502</v>
      </c>
      <c r="H2270">
        <v>49.1</v>
      </c>
      <c r="I2270">
        <v>42.7</v>
      </c>
      <c r="J2270">
        <v>55.5</v>
      </c>
      <c r="K2270">
        <v>651</v>
      </c>
      <c r="L2270">
        <v>218</v>
      </c>
      <c r="M2270">
        <v>1085</v>
      </c>
      <c r="N2270">
        <v>5.0999999999999996</v>
      </c>
      <c r="O2270">
        <v>2.4</v>
      </c>
      <c r="P2270">
        <v>7.7</v>
      </c>
      <c r="Q2270">
        <f t="shared" si="68"/>
        <v>5706398</v>
      </c>
      <c r="R2270">
        <f t="shared" si="69"/>
        <v>11.408247374263064</v>
      </c>
      <c r="U2270">
        <v>848</v>
      </c>
      <c r="V2270">
        <v>415</v>
      </c>
      <c r="W2270">
        <v>1282</v>
      </c>
      <c r="X2270">
        <v>534</v>
      </c>
      <c r="Y2270">
        <v>61.4</v>
      </c>
      <c r="Z2270">
        <v>50.4</v>
      </c>
      <c r="AA2270">
        <v>72.400000000000006</v>
      </c>
    </row>
    <row r="2271" spans="1:27" x14ac:dyDescent="0.25">
      <c r="A2271" t="s">
        <v>247</v>
      </c>
      <c r="B2271" t="s">
        <v>193</v>
      </c>
      <c r="C2271" s="76">
        <v>43943</v>
      </c>
      <c r="D2271">
        <v>6377</v>
      </c>
      <c r="E2271">
        <v>3686</v>
      </c>
      <c r="F2271">
        <v>9069</v>
      </c>
      <c r="G2271">
        <v>6422</v>
      </c>
      <c r="H2271">
        <v>49.8</v>
      </c>
      <c r="I2271">
        <v>43.7</v>
      </c>
      <c r="J2271">
        <v>56</v>
      </c>
      <c r="K2271">
        <v>634</v>
      </c>
      <c r="L2271">
        <v>231</v>
      </c>
      <c r="M2271">
        <v>1036</v>
      </c>
      <c r="N2271">
        <v>5</v>
      </c>
      <c r="O2271">
        <v>2.5</v>
      </c>
      <c r="P2271">
        <v>7.4</v>
      </c>
      <c r="Q2271">
        <f t="shared" si="68"/>
        <v>5706398</v>
      </c>
      <c r="R2271">
        <f t="shared" si="69"/>
        <v>11.110336152508115</v>
      </c>
      <c r="U2271">
        <v>826</v>
      </c>
      <c r="V2271">
        <v>408</v>
      </c>
      <c r="W2271">
        <v>1243</v>
      </c>
      <c r="X2271">
        <v>565</v>
      </c>
      <c r="Y2271">
        <v>59.4</v>
      </c>
      <c r="Z2271">
        <v>48.8</v>
      </c>
      <c r="AA2271">
        <v>69.900000000000006</v>
      </c>
    </row>
    <row r="2272" spans="1:27" x14ac:dyDescent="0.25">
      <c r="A2272" t="s">
        <v>247</v>
      </c>
      <c r="B2272" t="s">
        <v>193</v>
      </c>
      <c r="C2272" s="76">
        <v>43944</v>
      </c>
      <c r="D2272">
        <v>6396</v>
      </c>
      <c r="E2272">
        <v>3691</v>
      </c>
      <c r="F2272">
        <v>9102</v>
      </c>
      <c r="G2272">
        <v>6377</v>
      </c>
      <c r="H2272">
        <v>50.1</v>
      </c>
      <c r="I2272">
        <v>43.9</v>
      </c>
      <c r="J2272">
        <v>56.2</v>
      </c>
      <c r="K2272">
        <v>636</v>
      </c>
      <c r="L2272">
        <v>201</v>
      </c>
      <c r="M2272">
        <v>1071</v>
      </c>
      <c r="N2272">
        <v>5</v>
      </c>
      <c r="O2272">
        <v>2.2000000000000002</v>
      </c>
      <c r="P2272">
        <v>7.7</v>
      </c>
      <c r="Q2272">
        <f t="shared" si="68"/>
        <v>5706398</v>
      </c>
      <c r="R2272">
        <f t="shared" si="69"/>
        <v>11.145384531538109</v>
      </c>
      <c r="U2272">
        <v>824</v>
      </c>
      <c r="V2272">
        <v>397</v>
      </c>
      <c r="W2272">
        <v>1252</v>
      </c>
      <c r="X2272">
        <v>565</v>
      </c>
      <c r="Y2272">
        <v>59.3</v>
      </c>
      <c r="Z2272">
        <v>48</v>
      </c>
      <c r="AA2272">
        <v>70.599999999999994</v>
      </c>
    </row>
    <row r="2273" spans="1:27" x14ac:dyDescent="0.25">
      <c r="A2273" t="s">
        <v>247</v>
      </c>
      <c r="B2273" t="s">
        <v>193</v>
      </c>
      <c r="C2273" s="76">
        <v>43945</v>
      </c>
      <c r="D2273">
        <v>5850</v>
      </c>
      <c r="E2273">
        <v>3468</v>
      </c>
      <c r="F2273">
        <v>8233</v>
      </c>
      <c r="G2273">
        <v>6646</v>
      </c>
      <c r="H2273">
        <v>46.8</v>
      </c>
      <c r="I2273">
        <v>42.4</v>
      </c>
      <c r="J2273">
        <v>51.3</v>
      </c>
      <c r="K2273">
        <v>528</v>
      </c>
      <c r="L2273">
        <v>242</v>
      </c>
      <c r="M2273">
        <v>815</v>
      </c>
      <c r="N2273">
        <v>4.2</v>
      </c>
      <c r="O2273">
        <v>2.2000000000000002</v>
      </c>
      <c r="P2273">
        <v>6.3</v>
      </c>
      <c r="Q2273">
        <f t="shared" si="68"/>
        <v>5706398</v>
      </c>
      <c r="R2273">
        <f t="shared" si="69"/>
        <v>9.2527720639184299</v>
      </c>
      <c r="U2273">
        <v>769</v>
      </c>
      <c r="V2273">
        <v>415</v>
      </c>
      <c r="W2273">
        <v>1124</v>
      </c>
      <c r="X2273">
        <v>646</v>
      </c>
      <c r="Y2273">
        <v>54.3</v>
      </c>
      <c r="Z2273">
        <v>46.5</v>
      </c>
      <c r="AA2273">
        <v>62.2</v>
      </c>
    </row>
    <row r="2274" spans="1:27" x14ac:dyDescent="0.25">
      <c r="A2274" t="s">
        <v>247</v>
      </c>
      <c r="B2274" t="s">
        <v>193</v>
      </c>
      <c r="C2274" s="76">
        <v>43946</v>
      </c>
      <c r="D2274">
        <v>5754</v>
      </c>
      <c r="E2274">
        <v>3409</v>
      </c>
      <c r="F2274">
        <v>8098</v>
      </c>
      <c r="G2274">
        <v>6859</v>
      </c>
      <c r="H2274">
        <v>45.6</v>
      </c>
      <c r="I2274">
        <v>41.1</v>
      </c>
      <c r="J2274">
        <v>50.1</v>
      </c>
      <c r="K2274">
        <v>514</v>
      </c>
      <c r="L2274">
        <v>232</v>
      </c>
      <c r="M2274">
        <v>796</v>
      </c>
      <c r="N2274">
        <v>4.0999999999999996</v>
      </c>
      <c r="O2274">
        <v>2.1</v>
      </c>
      <c r="P2274">
        <v>6.1</v>
      </c>
      <c r="Q2274">
        <f t="shared" si="68"/>
        <v>5706398</v>
      </c>
      <c r="R2274">
        <f t="shared" si="69"/>
        <v>9.0074334107084706</v>
      </c>
      <c r="U2274">
        <v>754</v>
      </c>
      <c r="V2274">
        <v>399</v>
      </c>
      <c r="W2274">
        <v>1108</v>
      </c>
      <c r="X2274">
        <v>666</v>
      </c>
      <c r="Y2274">
        <v>53.1</v>
      </c>
      <c r="Z2274">
        <v>44.9</v>
      </c>
      <c r="AA2274">
        <v>61.3</v>
      </c>
    </row>
    <row r="2275" spans="1:27" x14ac:dyDescent="0.25">
      <c r="A2275" t="s">
        <v>247</v>
      </c>
      <c r="B2275" t="s">
        <v>193</v>
      </c>
      <c r="C2275" s="76">
        <v>43947</v>
      </c>
      <c r="D2275">
        <v>5705</v>
      </c>
      <c r="E2275">
        <v>3451</v>
      </c>
      <c r="F2275">
        <v>7959</v>
      </c>
      <c r="G2275">
        <v>6811</v>
      </c>
      <c r="H2275">
        <v>45.6</v>
      </c>
      <c r="I2275">
        <v>41.3</v>
      </c>
      <c r="J2275">
        <v>49.9</v>
      </c>
      <c r="K2275">
        <v>572</v>
      </c>
      <c r="L2275">
        <v>261</v>
      </c>
      <c r="M2275">
        <v>882</v>
      </c>
      <c r="N2275">
        <v>4.5999999999999996</v>
      </c>
      <c r="O2275">
        <v>2.4</v>
      </c>
      <c r="P2275">
        <v>6.8</v>
      </c>
      <c r="Q2275">
        <f t="shared" si="68"/>
        <v>5706398</v>
      </c>
      <c r="R2275">
        <f t="shared" si="69"/>
        <v>10.023836402578299</v>
      </c>
      <c r="U2275">
        <v>732</v>
      </c>
      <c r="V2275">
        <v>404</v>
      </c>
      <c r="W2275">
        <v>1059</v>
      </c>
      <c r="X2275">
        <v>699</v>
      </c>
      <c r="Y2275">
        <v>51.1</v>
      </c>
      <c r="Z2275">
        <v>42.7</v>
      </c>
      <c r="AA2275">
        <v>59.6</v>
      </c>
    </row>
    <row r="2276" spans="1:27" x14ac:dyDescent="0.25">
      <c r="A2276" t="s">
        <v>247</v>
      </c>
      <c r="B2276" t="s">
        <v>193</v>
      </c>
      <c r="C2276" s="76">
        <v>43948</v>
      </c>
      <c r="D2276">
        <v>5622</v>
      </c>
      <c r="E2276">
        <v>3402</v>
      </c>
      <c r="F2276">
        <v>7841</v>
      </c>
      <c r="G2276">
        <v>6445</v>
      </c>
      <c r="H2276">
        <v>46.6</v>
      </c>
      <c r="I2276">
        <v>41.7</v>
      </c>
      <c r="J2276">
        <v>51.5</v>
      </c>
      <c r="K2276">
        <v>593</v>
      </c>
      <c r="L2276">
        <v>298</v>
      </c>
      <c r="M2276">
        <v>889</v>
      </c>
      <c r="N2276">
        <v>4.9000000000000004</v>
      </c>
      <c r="O2276">
        <v>2.8</v>
      </c>
      <c r="P2276">
        <v>7</v>
      </c>
      <c r="Q2276">
        <f t="shared" si="68"/>
        <v>5706398</v>
      </c>
      <c r="R2276">
        <f t="shared" si="69"/>
        <v>10.391844382393236</v>
      </c>
      <c r="U2276">
        <v>767</v>
      </c>
      <c r="V2276">
        <v>433</v>
      </c>
      <c r="W2276">
        <v>1101</v>
      </c>
      <c r="X2276">
        <v>672</v>
      </c>
      <c r="Y2276">
        <v>53.3</v>
      </c>
      <c r="Z2276">
        <v>45.5</v>
      </c>
      <c r="AA2276">
        <v>61.1</v>
      </c>
    </row>
    <row r="2277" spans="1:27" x14ac:dyDescent="0.25">
      <c r="A2277" t="s">
        <v>247</v>
      </c>
      <c r="B2277" t="s">
        <v>193</v>
      </c>
      <c r="C2277" s="76">
        <v>43949</v>
      </c>
      <c r="D2277">
        <v>6041</v>
      </c>
      <c r="E2277">
        <v>3631</v>
      </c>
      <c r="F2277">
        <v>8451</v>
      </c>
      <c r="G2277">
        <v>6806</v>
      </c>
      <c r="H2277">
        <v>47</v>
      </c>
      <c r="I2277">
        <v>42.3</v>
      </c>
      <c r="J2277">
        <v>51.8</v>
      </c>
      <c r="K2277">
        <v>585</v>
      </c>
      <c r="L2277">
        <v>320</v>
      </c>
      <c r="M2277">
        <v>851</v>
      </c>
      <c r="N2277">
        <v>4.5999999999999996</v>
      </c>
      <c r="O2277">
        <v>2.8</v>
      </c>
      <c r="P2277">
        <v>6.3</v>
      </c>
      <c r="Q2277">
        <f t="shared" si="68"/>
        <v>5706398</v>
      </c>
      <c r="R2277">
        <f t="shared" si="69"/>
        <v>10.251650866273261</v>
      </c>
      <c r="U2277">
        <v>758</v>
      </c>
      <c r="V2277">
        <v>411</v>
      </c>
      <c r="W2277">
        <v>1105</v>
      </c>
      <c r="X2277">
        <v>660</v>
      </c>
      <c r="Y2277">
        <v>53.5</v>
      </c>
      <c r="Z2277">
        <v>45.9</v>
      </c>
      <c r="AA2277">
        <v>61</v>
      </c>
    </row>
    <row r="2278" spans="1:27" x14ac:dyDescent="0.25">
      <c r="A2278" t="s">
        <v>247</v>
      </c>
      <c r="B2278" t="s">
        <v>193</v>
      </c>
      <c r="C2278" s="76">
        <v>43950</v>
      </c>
      <c r="D2278">
        <v>6063</v>
      </c>
      <c r="E2278">
        <v>3625</v>
      </c>
      <c r="F2278">
        <v>8500</v>
      </c>
      <c r="G2278">
        <v>6832</v>
      </c>
      <c r="H2278">
        <v>47</v>
      </c>
      <c r="I2278">
        <v>42.6</v>
      </c>
      <c r="J2278">
        <v>51.4</v>
      </c>
      <c r="K2278">
        <v>639</v>
      </c>
      <c r="L2278">
        <v>336</v>
      </c>
      <c r="M2278">
        <v>942</v>
      </c>
      <c r="N2278">
        <v>5</v>
      </c>
      <c r="O2278">
        <v>3</v>
      </c>
      <c r="P2278">
        <v>6.9</v>
      </c>
      <c r="Q2278">
        <f t="shared" si="68"/>
        <v>5706398</v>
      </c>
      <c r="R2278">
        <f t="shared" si="69"/>
        <v>11.1979571000831</v>
      </c>
      <c r="U2278">
        <v>801</v>
      </c>
      <c r="V2278">
        <v>441</v>
      </c>
      <c r="W2278">
        <v>1160</v>
      </c>
      <c r="X2278">
        <v>627</v>
      </c>
      <c r="Y2278">
        <v>56.1</v>
      </c>
      <c r="Z2278">
        <v>48.4</v>
      </c>
      <c r="AA2278">
        <v>63.8</v>
      </c>
    </row>
    <row r="2279" spans="1:27" x14ac:dyDescent="0.25">
      <c r="A2279" t="s">
        <v>247</v>
      </c>
      <c r="B2279" t="s">
        <v>193</v>
      </c>
      <c r="C2279" s="76">
        <v>43951</v>
      </c>
      <c r="D2279">
        <v>5947</v>
      </c>
      <c r="E2279">
        <v>3515</v>
      </c>
      <c r="F2279">
        <v>8378</v>
      </c>
      <c r="G2279">
        <v>6439</v>
      </c>
      <c r="H2279">
        <v>48</v>
      </c>
      <c r="I2279">
        <v>43.2</v>
      </c>
      <c r="J2279">
        <v>52.8</v>
      </c>
      <c r="K2279">
        <v>626</v>
      </c>
      <c r="L2279">
        <v>342</v>
      </c>
      <c r="M2279">
        <v>910</v>
      </c>
      <c r="N2279">
        <v>5.0999999999999996</v>
      </c>
      <c r="O2279">
        <v>3</v>
      </c>
      <c r="P2279">
        <v>7.1</v>
      </c>
      <c r="Q2279">
        <f t="shared" ref="Q2279:Q2342" si="70">VLOOKUP(B2279,$AE$4:$AF$55,2,FALSE)</f>
        <v>5706398</v>
      </c>
      <c r="R2279">
        <f t="shared" si="69"/>
        <v>10.97014263638814</v>
      </c>
      <c r="U2279">
        <v>773</v>
      </c>
      <c r="V2279">
        <v>423</v>
      </c>
      <c r="W2279">
        <v>1123</v>
      </c>
      <c r="X2279">
        <v>581</v>
      </c>
      <c r="Y2279">
        <v>57.1</v>
      </c>
      <c r="Z2279">
        <v>48.8</v>
      </c>
      <c r="AA2279">
        <v>65.400000000000006</v>
      </c>
    </row>
    <row r="2280" spans="1:27" x14ac:dyDescent="0.25">
      <c r="A2280" t="s">
        <v>247</v>
      </c>
      <c r="B2280" t="s">
        <v>193</v>
      </c>
      <c r="C2280" s="76">
        <v>43952</v>
      </c>
      <c r="D2280">
        <v>5982</v>
      </c>
      <c r="E2280">
        <v>3504</v>
      </c>
      <c r="F2280">
        <v>8461</v>
      </c>
      <c r="G2280">
        <v>6585</v>
      </c>
      <c r="H2280">
        <v>47.6</v>
      </c>
      <c r="I2280">
        <v>42.6</v>
      </c>
      <c r="J2280">
        <v>52.6</v>
      </c>
      <c r="K2280">
        <v>657</v>
      </c>
      <c r="L2280">
        <v>252</v>
      </c>
      <c r="M2280">
        <v>1062</v>
      </c>
      <c r="N2280">
        <v>5.2</v>
      </c>
      <c r="O2280">
        <v>2.2999999999999998</v>
      </c>
      <c r="P2280">
        <v>8.1999999999999993</v>
      </c>
      <c r="Q2280">
        <f t="shared" si="70"/>
        <v>5706398</v>
      </c>
      <c r="R2280">
        <f t="shared" si="69"/>
        <v>11.513392511353045</v>
      </c>
      <c r="U2280">
        <v>767</v>
      </c>
      <c r="V2280">
        <v>409</v>
      </c>
      <c r="W2280">
        <v>1124</v>
      </c>
      <c r="X2280">
        <v>779</v>
      </c>
      <c r="Y2280">
        <v>49.6</v>
      </c>
      <c r="Z2280">
        <v>40.4</v>
      </c>
      <c r="AA2280">
        <v>58.8</v>
      </c>
    </row>
    <row r="2281" spans="1:27" x14ac:dyDescent="0.25">
      <c r="A2281" t="s">
        <v>247</v>
      </c>
      <c r="B2281" t="s">
        <v>193</v>
      </c>
      <c r="C2281" s="76">
        <v>43953</v>
      </c>
      <c r="D2281">
        <v>6032</v>
      </c>
      <c r="E2281">
        <v>3597</v>
      </c>
      <c r="F2281">
        <v>8466</v>
      </c>
      <c r="G2281">
        <v>6901</v>
      </c>
      <c r="H2281">
        <v>46.6</v>
      </c>
      <c r="I2281">
        <v>42</v>
      </c>
      <c r="J2281">
        <v>51.3</v>
      </c>
      <c r="K2281">
        <v>620</v>
      </c>
      <c r="L2281">
        <v>265</v>
      </c>
      <c r="M2281">
        <v>976</v>
      </c>
      <c r="N2281">
        <v>4.8</v>
      </c>
      <c r="O2281">
        <v>2.4</v>
      </c>
      <c r="P2281">
        <v>7.2</v>
      </c>
      <c r="Q2281">
        <f t="shared" si="70"/>
        <v>5706398</v>
      </c>
      <c r="R2281">
        <f t="shared" si="69"/>
        <v>10.864997499298156</v>
      </c>
      <c r="U2281">
        <v>892</v>
      </c>
      <c r="V2281">
        <v>476</v>
      </c>
      <c r="W2281">
        <v>1308</v>
      </c>
      <c r="X2281">
        <v>672</v>
      </c>
      <c r="Y2281">
        <v>57</v>
      </c>
      <c r="Z2281">
        <v>49.1</v>
      </c>
      <c r="AA2281">
        <v>65</v>
      </c>
    </row>
    <row r="2282" spans="1:27" x14ac:dyDescent="0.25">
      <c r="A2282" t="s">
        <v>247</v>
      </c>
      <c r="B2282" t="s">
        <v>193</v>
      </c>
      <c r="C2282" s="76">
        <v>43954</v>
      </c>
      <c r="D2282">
        <v>5834</v>
      </c>
      <c r="E2282">
        <v>3509</v>
      </c>
      <c r="F2282">
        <v>8159</v>
      </c>
      <c r="G2282">
        <v>7159</v>
      </c>
      <c r="H2282">
        <v>44.9</v>
      </c>
      <c r="I2282">
        <v>40.4</v>
      </c>
      <c r="J2282">
        <v>49.4</v>
      </c>
      <c r="K2282">
        <v>595</v>
      </c>
      <c r="L2282">
        <v>242</v>
      </c>
      <c r="M2282">
        <v>949</v>
      </c>
      <c r="N2282">
        <v>4.5999999999999996</v>
      </c>
      <c r="O2282">
        <v>2.1</v>
      </c>
      <c r="P2282">
        <v>7</v>
      </c>
      <c r="Q2282">
        <f t="shared" si="70"/>
        <v>5706398</v>
      </c>
      <c r="R2282">
        <f t="shared" si="69"/>
        <v>10.426892761423231</v>
      </c>
      <c r="U2282">
        <v>863</v>
      </c>
      <c r="V2282">
        <v>465</v>
      </c>
      <c r="W2282">
        <v>1260</v>
      </c>
      <c r="X2282">
        <v>703</v>
      </c>
      <c r="Y2282">
        <v>55.1</v>
      </c>
      <c r="Z2282">
        <v>46.7</v>
      </c>
      <c r="AA2282">
        <v>63.5</v>
      </c>
    </row>
    <row r="2283" spans="1:27" x14ac:dyDescent="0.25">
      <c r="A2283" t="s">
        <v>247</v>
      </c>
      <c r="B2283" t="s">
        <v>193</v>
      </c>
      <c r="C2283" s="76">
        <v>43955</v>
      </c>
      <c r="D2283">
        <v>5706</v>
      </c>
      <c r="E2283">
        <v>3360</v>
      </c>
      <c r="F2283">
        <v>8052</v>
      </c>
      <c r="G2283">
        <v>6703</v>
      </c>
      <c r="H2283">
        <v>46</v>
      </c>
      <c r="I2283">
        <v>41.4</v>
      </c>
      <c r="J2283">
        <v>50.5</v>
      </c>
      <c r="K2283">
        <v>488</v>
      </c>
      <c r="L2283">
        <v>276</v>
      </c>
      <c r="M2283">
        <v>700</v>
      </c>
      <c r="N2283">
        <v>3.9</v>
      </c>
      <c r="O2283">
        <v>2.7</v>
      </c>
      <c r="P2283">
        <v>5.2</v>
      </c>
      <c r="Q2283">
        <f t="shared" si="70"/>
        <v>5706398</v>
      </c>
      <c r="R2283">
        <f t="shared" si="69"/>
        <v>8.5518044833185503</v>
      </c>
      <c r="U2283">
        <v>844</v>
      </c>
      <c r="V2283">
        <v>447</v>
      </c>
      <c r="W2283">
        <v>1242</v>
      </c>
      <c r="X2283">
        <v>657</v>
      </c>
      <c r="Y2283">
        <v>56.2</v>
      </c>
      <c r="Z2283">
        <v>47.4</v>
      </c>
      <c r="AA2283">
        <v>65.099999999999994</v>
      </c>
    </row>
    <row r="2284" spans="1:27" x14ac:dyDescent="0.25">
      <c r="A2284" t="s">
        <v>247</v>
      </c>
      <c r="B2284" t="s">
        <v>193</v>
      </c>
      <c r="C2284" s="76">
        <v>43956</v>
      </c>
      <c r="D2284">
        <v>6398</v>
      </c>
      <c r="E2284">
        <v>3821</v>
      </c>
      <c r="F2284">
        <v>8975</v>
      </c>
      <c r="G2284">
        <v>6766</v>
      </c>
      <c r="H2284">
        <v>48.6</v>
      </c>
      <c r="I2284">
        <v>43.8</v>
      </c>
      <c r="J2284">
        <v>53.4</v>
      </c>
      <c r="K2284">
        <v>749</v>
      </c>
      <c r="L2284">
        <v>332</v>
      </c>
      <c r="M2284">
        <v>1165</v>
      </c>
      <c r="N2284">
        <v>5.7</v>
      </c>
      <c r="O2284">
        <v>2.9</v>
      </c>
      <c r="P2284">
        <v>8.5</v>
      </c>
      <c r="Q2284">
        <f t="shared" si="70"/>
        <v>5706398</v>
      </c>
      <c r="R2284">
        <f t="shared" si="69"/>
        <v>13.125617946732772</v>
      </c>
      <c r="U2284">
        <v>902</v>
      </c>
      <c r="V2284">
        <v>495</v>
      </c>
      <c r="W2284">
        <v>1310</v>
      </c>
      <c r="X2284">
        <v>786</v>
      </c>
      <c r="Y2284">
        <v>53.4</v>
      </c>
      <c r="Z2284">
        <v>45.4</v>
      </c>
      <c r="AA2284">
        <v>61.4</v>
      </c>
    </row>
    <row r="2285" spans="1:27" x14ac:dyDescent="0.25">
      <c r="A2285" t="s">
        <v>247</v>
      </c>
      <c r="B2285" t="s">
        <v>193</v>
      </c>
      <c r="C2285" s="76">
        <v>43957</v>
      </c>
      <c r="D2285">
        <v>6241</v>
      </c>
      <c r="E2285">
        <v>3667</v>
      </c>
      <c r="F2285">
        <v>8816</v>
      </c>
      <c r="G2285">
        <v>6859</v>
      </c>
      <c r="H2285">
        <v>47.6</v>
      </c>
      <c r="I2285">
        <v>41.7</v>
      </c>
      <c r="J2285">
        <v>53.6</v>
      </c>
      <c r="K2285">
        <v>643</v>
      </c>
      <c r="L2285">
        <v>356</v>
      </c>
      <c r="M2285">
        <v>931</v>
      </c>
      <c r="N2285">
        <v>4.9000000000000004</v>
      </c>
      <c r="O2285">
        <v>3.3</v>
      </c>
      <c r="P2285">
        <v>6.5</v>
      </c>
      <c r="Q2285">
        <f t="shared" si="70"/>
        <v>5706398</v>
      </c>
      <c r="R2285">
        <f t="shared" si="69"/>
        <v>11.268053858143087</v>
      </c>
      <c r="U2285">
        <v>913</v>
      </c>
      <c r="V2285">
        <v>496</v>
      </c>
      <c r="W2285">
        <v>1330</v>
      </c>
      <c r="X2285">
        <v>761</v>
      </c>
      <c r="Y2285">
        <v>54.6</v>
      </c>
      <c r="Z2285">
        <v>45.6</v>
      </c>
      <c r="AA2285">
        <v>63.5</v>
      </c>
    </row>
    <row r="2286" spans="1:27" x14ac:dyDescent="0.25">
      <c r="A2286" t="s">
        <v>247</v>
      </c>
      <c r="B2286" t="s">
        <v>193</v>
      </c>
      <c r="C2286" s="76">
        <v>43958</v>
      </c>
      <c r="D2286">
        <v>6535</v>
      </c>
      <c r="E2286">
        <v>3887</v>
      </c>
      <c r="F2286">
        <v>9183</v>
      </c>
      <c r="G2286">
        <v>6535</v>
      </c>
      <c r="H2286">
        <v>50</v>
      </c>
      <c r="I2286">
        <v>45.3</v>
      </c>
      <c r="J2286">
        <v>54.7</v>
      </c>
      <c r="K2286">
        <v>781</v>
      </c>
      <c r="L2286">
        <v>305</v>
      </c>
      <c r="M2286">
        <v>1258</v>
      </c>
      <c r="N2286">
        <v>6</v>
      </c>
      <c r="O2286">
        <v>2.7</v>
      </c>
      <c r="P2286">
        <v>9.1999999999999993</v>
      </c>
      <c r="Q2286">
        <f t="shared" si="70"/>
        <v>5706398</v>
      </c>
      <c r="R2286">
        <f t="shared" si="69"/>
        <v>13.686392011212677</v>
      </c>
      <c r="U2286">
        <v>930</v>
      </c>
      <c r="V2286">
        <v>511</v>
      </c>
      <c r="W2286">
        <v>1350</v>
      </c>
      <c r="X2286">
        <v>739</v>
      </c>
      <c r="Y2286">
        <v>55.7</v>
      </c>
      <c r="Z2286">
        <v>46.9</v>
      </c>
      <c r="AA2286">
        <v>64.5</v>
      </c>
    </row>
    <row r="2287" spans="1:27" x14ac:dyDescent="0.25">
      <c r="A2287" t="s">
        <v>247</v>
      </c>
      <c r="B2287" t="s">
        <v>193</v>
      </c>
      <c r="C2287" s="76">
        <v>43959</v>
      </c>
      <c r="D2287">
        <v>6521</v>
      </c>
      <c r="E2287">
        <v>3861</v>
      </c>
      <c r="F2287">
        <v>9180</v>
      </c>
      <c r="G2287">
        <v>6427</v>
      </c>
      <c r="H2287">
        <v>50.4</v>
      </c>
      <c r="I2287">
        <v>45.5</v>
      </c>
      <c r="J2287">
        <v>55.3</v>
      </c>
      <c r="K2287">
        <v>713</v>
      </c>
      <c r="L2287">
        <v>323</v>
      </c>
      <c r="M2287">
        <v>1102</v>
      </c>
      <c r="N2287">
        <v>5.5</v>
      </c>
      <c r="O2287">
        <v>2.9</v>
      </c>
      <c r="P2287">
        <v>8.1</v>
      </c>
      <c r="Q2287">
        <f t="shared" si="70"/>
        <v>5706398</v>
      </c>
      <c r="R2287">
        <f t="shared" si="69"/>
        <v>12.494747124192878</v>
      </c>
      <c r="U2287">
        <v>907</v>
      </c>
      <c r="V2287">
        <v>487</v>
      </c>
      <c r="W2287">
        <v>1328</v>
      </c>
      <c r="X2287">
        <v>763</v>
      </c>
      <c r="Y2287">
        <v>54.3</v>
      </c>
      <c r="Z2287">
        <v>46.5</v>
      </c>
      <c r="AA2287">
        <v>62.1</v>
      </c>
    </row>
    <row r="2288" spans="1:27" x14ac:dyDescent="0.25">
      <c r="A2288" t="s">
        <v>247</v>
      </c>
      <c r="B2288" t="s">
        <v>193</v>
      </c>
      <c r="C2288" s="76">
        <v>43960</v>
      </c>
      <c r="D2288">
        <v>6488</v>
      </c>
      <c r="E2288">
        <v>3818</v>
      </c>
      <c r="F2288">
        <v>9159</v>
      </c>
      <c r="G2288">
        <v>6500</v>
      </c>
      <c r="H2288">
        <v>50</v>
      </c>
      <c r="I2288">
        <v>44.9</v>
      </c>
      <c r="J2288">
        <v>55</v>
      </c>
      <c r="K2288">
        <v>663</v>
      </c>
      <c r="L2288">
        <v>342</v>
      </c>
      <c r="M2288">
        <v>984</v>
      </c>
      <c r="N2288">
        <v>5.0999999999999996</v>
      </c>
      <c r="O2288">
        <v>3.2</v>
      </c>
      <c r="P2288">
        <v>7</v>
      </c>
      <c r="Q2288">
        <f t="shared" si="70"/>
        <v>5706398</v>
      </c>
      <c r="R2288">
        <f t="shared" si="69"/>
        <v>11.618537648443029</v>
      </c>
      <c r="U2288">
        <v>854</v>
      </c>
      <c r="V2288">
        <v>462</v>
      </c>
      <c r="W2288">
        <v>1247</v>
      </c>
      <c r="X2288">
        <v>757</v>
      </c>
      <c r="Y2288">
        <v>53</v>
      </c>
      <c r="Z2288">
        <v>44</v>
      </c>
      <c r="AA2288">
        <v>62.1</v>
      </c>
    </row>
    <row r="2289" spans="1:27" x14ac:dyDescent="0.25">
      <c r="A2289" t="s">
        <v>247</v>
      </c>
      <c r="B2289" t="s">
        <v>193</v>
      </c>
      <c r="C2289" s="76">
        <v>43961</v>
      </c>
      <c r="D2289">
        <v>6136</v>
      </c>
      <c r="E2289">
        <v>3642</v>
      </c>
      <c r="F2289">
        <v>8630</v>
      </c>
      <c r="G2289">
        <v>6919</v>
      </c>
      <c r="H2289">
        <v>47</v>
      </c>
      <c r="I2289">
        <v>42.2</v>
      </c>
      <c r="J2289">
        <v>51.8</v>
      </c>
      <c r="K2289">
        <v>664</v>
      </c>
      <c r="L2289">
        <v>339</v>
      </c>
      <c r="M2289">
        <v>989</v>
      </c>
      <c r="N2289">
        <v>5.0999999999999996</v>
      </c>
      <c r="O2289">
        <v>3.1</v>
      </c>
      <c r="P2289">
        <v>7</v>
      </c>
      <c r="Q2289">
        <f t="shared" si="70"/>
        <v>5706398</v>
      </c>
      <c r="R2289">
        <f t="shared" si="69"/>
        <v>11.636061837958025</v>
      </c>
      <c r="U2289">
        <v>913</v>
      </c>
      <c r="V2289">
        <v>481</v>
      </c>
      <c r="W2289">
        <v>1344</v>
      </c>
      <c r="X2289">
        <v>763</v>
      </c>
      <c r="Y2289">
        <v>54.5</v>
      </c>
      <c r="Z2289">
        <v>47.4</v>
      </c>
      <c r="AA2289">
        <v>61.6</v>
      </c>
    </row>
    <row r="2290" spans="1:27" x14ac:dyDescent="0.25">
      <c r="A2290" t="s">
        <v>247</v>
      </c>
      <c r="B2290" t="s">
        <v>193</v>
      </c>
      <c r="C2290" s="76">
        <v>43962</v>
      </c>
      <c r="D2290">
        <v>6167</v>
      </c>
      <c r="E2290">
        <v>3663</v>
      </c>
      <c r="F2290">
        <v>8670</v>
      </c>
      <c r="G2290">
        <v>6907</v>
      </c>
      <c r="H2290">
        <v>47.2</v>
      </c>
      <c r="I2290">
        <v>42.4</v>
      </c>
      <c r="J2290">
        <v>51.9</v>
      </c>
      <c r="K2290">
        <v>696</v>
      </c>
      <c r="L2290">
        <v>353</v>
      </c>
      <c r="M2290">
        <v>1039</v>
      </c>
      <c r="N2290">
        <v>5.3</v>
      </c>
      <c r="O2290">
        <v>3.2</v>
      </c>
      <c r="P2290">
        <v>7.5</v>
      </c>
      <c r="Q2290">
        <f t="shared" si="70"/>
        <v>5706398</v>
      </c>
      <c r="R2290">
        <f t="shared" si="69"/>
        <v>12.196835902437931</v>
      </c>
      <c r="U2290">
        <v>889</v>
      </c>
      <c r="V2290">
        <v>470</v>
      </c>
      <c r="W2290">
        <v>1308</v>
      </c>
      <c r="X2290">
        <v>760</v>
      </c>
      <c r="Y2290">
        <v>53.9</v>
      </c>
      <c r="Z2290">
        <v>47.1</v>
      </c>
      <c r="AA2290">
        <v>60.7</v>
      </c>
    </row>
    <row r="2291" spans="1:27" x14ac:dyDescent="0.25">
      <c r="A2291" t="s">
        <v>247</v>
      </c>
      <c r="B2291" t="s">
        <v>193</v>
      </c>
      <c r="C2291" s="76">
        <v>43963</v>
      </c>
      <c r="D2291">
        <v>6590</v>
      </c>
      <c r="E2291">
        <v>3909</v>
      </c>
      <c r="F2291">
        <v>9271</v>
      </c>
      <c r="G2291">
        <v>6481</v>
      </c>
      <c r="H2291">
        <v>50.4</v>
      </c>
      <c r="I2291">
        <v>45.4</v>
      </c>
      <c r="J2291">
        <v>55.4</v>
      </c>
      <c r="K2291">
        <v>792</v>
      </c>
      <c r="L2291">
        <v>308</v>
      </c>
      <c r="M2291">
        <v>1275</v>
      </c>
      <c r="N2291">
        <v>6.1</v>
      </c>
      <c r="O2291">
        <v>2.7</v>
      </c>
      <c r="P2291">
        <v>9.4</v>
      </c>
      <c r="Q2291">
        <f t="shared" si="70"/>
        <v>5706398</v>
      </c>
      <c r="R2291">
        <f t="shared" si="69"/>
        <v>13.879158095877646</v>
      </c>
      <c r="U2291">
        <v>956</v>
      </c>
      <c r="V2291">
        <v>522</v>
      </c>
      <c r="W2291">
        <v>1390</v>
      </c>
      <c r="X2291">
        <v>737</v>
      </c>
      <c r="Y2291">
        <v>56.5</v>
      </c>
      <c r="Z2291">
        <v>49.1</v>
      </c>
      <c r="AA2291">
        <v>63.8</v>
      </c>
    </row>
    <row r="2292" spans="1:27" x14ac:dyDescent="0.25">
      <c r="A2292" t="s">
        <v>247</v>
      </c>
      <c r="B2292" t="s">
        <v>193</v>
      </c>
      <c r="C2292" s="76">
        <v>43964</v>
      </c>
      <c r="D2292">
        <v>6877</v>
      </c>
      <c r="E2292">
        <v>4128</v>
      </c>
      <c r="F2292">
        <v>9626</v>
      </c>
      <c r="G2292">
        <v>5943</v>
      </c>
      <c r="H2292">
        <v>53.6</v>
      </c>
      <c r="I2292">
        <v>49.4</v>
      </c>
      <c r="J2292">
        <v>57.9</v>
      </c>
      <c r="K2292">
        <v>875</v>
      </c>
      <c r="L2292">
        <v>332</v>
      </c>
      <c r="M2292">
        <v>1419</v>
      </c>
      <c r="N2292">
        <v>6.8</v>
      </c>
      <c r="O2292">
        <v>3.1</v>
      </c>
      <c r="P2292">
        <v>10.6</v>
      </c>
      <c r="Q2292">
        <f t="shared" si="70"/>
        <v>5706398</v>
      </c>
      <c r="R2292">
        <f t="shared" si="69"/>
        <v>15.333665825622399</v>
      </c>
      <c r="U2292">
        <v>1006</v>
      </c>
      <c r="V2292">
        <v>544</v>
      </c>
      <c r="W2292">
        <v>1468</v>
      </c>
      <c r="X2292">
        <v>691</v>
      </c>
      <c r="Y2292">
        <v>59.3</v>
      </c>
      <c r="Z2292">
        <v>51.3</v>
      </c>
      <c r="AA2292">
        <v>67.2</v>
      </c>
    </row>
    <row r="2293" spans="1:27" x14ac:dyDescent="0.25">
      <c r="A2293" t="s">
        <v>247</v>
      </c>
      <c r="B2293" t="s">
        <v>193</v>
      </c>
      <c r="C2293" s="76">
        <v>43965</v>
      </c>
      <c r="D2293">
        <v>6932</v>
      </c>
      <c r="E2293">
        <v>4147</v>
      </c>
      <c r="F2293">
        <v>9717</v>
      </c>
      <c r="G2293">
        <v>6224</v>
      </c>
      <c r="H2293">
        <v>52.7</v>
      </c>
      <c r="I2293">
        <v>48.2</v>
      </c>
      <c r="J2293">
        <v>57.2</v>
      </c>
      <c r="K2293">
        <v>829</v>
      </c>
      <c r="L2293">
        <v>326</v>
      </c>
      <c r="M2293">
        <v>1332</v>
      </c>
      <c r="N2293">
        <v>6.3</v>
      </c>
      <c r="O2293">
        <v>2.9</v>
      </c>
      <c r="P2293">
        <v>9.6999999999999993</v>
      </c>
      <c r="Q2293">
        <f t="shared" si="70"/>
        <v>5706398</v>
      </c>
      <c r="R2293">
        <f t="shared" si="69"/>
        <v>14.527553107932533</v>
      </c>
      <c r="U2293">
        <v>997</v>
      </c>
      <c r="V2293">
        <v>537</v>
      </c>
      <c r="W2293">
        <v>1457</v>
      </c>
      <c r="X2293">
        <v>685</v>
      </c>
      <c r="Y2293">
        <v>59.3</v>
      </c>
      <c r="Z2293">
        <v>52.1</v>
      </c>
      <c r="AA2293">
        <v>66.400000000000006</v>
      </c>
    </row>
    <row r="2294" spans="1:27" x14ac:dyDescent="0.25">
      <c r="A2294" t="s">
        <v>247</v>
      </c>
      <c r="B2294" t="s">
        <v>193</v>
      </c>
      <c r="C2294" s="76">
        <v>43966</v>
      </c>
      <c r="D2294">
        <v>7129</v>
      </c>
      <c r="E2294">
        <v>4248</v>
      </c>
      <c r="F2294">
        <v>10010</v>
      </c>
      <c r="G2294">
        <v>6053</v>
      </c>
      <c r="H2294">
        <v>54.1</v>
      </c>
      <c r="I2294">
        <v>49.2</v>
      </c>
      <c r="J2294">
        <v>58.9</v>
      </c>
      <c r="K2294">
        <v>821</v>
      </c>
      <c r="L2294">
        <v>343</v>
      </c>
      <c r="M2294">
        <v>1299</v>
      </c>
      <c r="N2294">
        <v>6.2</v>
      </c>
      <c r="O2294">
        <v>3</v>
      </c>
      <c r="P2294">
        <v>9.4</v>
      </c>
      <c r="Q2294">
        <f t="shared" si="70"/>
        <v>5706398</v>
      </c>
      <c r="R2294">
        <f t="shared" si="69"/>
        <v>14.38735959181256</v>
      </c>
      <c r="U2294">
        <v>1017</v>
      </c>
      <c r="V2294">
        <v>541</v>
      </c>
      <c r="W2294">
        <v>1494</v>
      </c>
      <c r="X2294">
        <v>680</v>
      </c>
      <c r="Y2294">
        <v>59.9</v>
      </c>
      <c r="Z2294">
        <v>52.3</v>
      </c>
      <c r="AA2294">
        <v>67.599999999999994</v>
      </c>
    </row>
    <row r="2295" spans="1:27" x14ac:dyDescent="0.25">
      <c r="A2295" t="s">
        <v>247</v>
      </c>
      <c r="B2295" t="s">
        <v>193</v>
      </c>
      <c r="C2295" s="76">
        <v>43967</v>
      </c>
      <c r="D2295">
        <v>6874</v>
      </c>
      <c r="E2295">
        <v>4059</v>
      </c>
      <c r="F2295">
        <v>9689</v>
      </c>
      <c r="G2295">
        <v>6166</v>
      </c>
      <c r="H2295">
        <v>52.7</v>
      </c>
      <c r="I2295">
        <v>47.9</v>
      </c>
      <c r="J2295">
        <v>57.5</v>
      </c>
      <c r="K2295">
        <v>849</v>
      </c>
      <c r="L2295">
        <v>274</v>
      </c>
      <c r="M2295">
        <v>1424</v>
      </c>
      <c r="N2295">
        <v>6.5</v>
      </c>
      <c r="O2295">
        <v>2.4</v>
      </c>
      <c r="P2295">
        <v>10.6</v>
      </c>
      <c r="Q2295">
        <f t="shared" si="70"/>
        <v>5706398</v>
      </c>
      <c r="R2295">
        <f t="shared" si="69"/>
        <v>14.878036898232475</v>
      </c>
      <c r="U2295">
        <v>1006</v>
      </c>
      <c r="V2295">
        <v>538</v>
      </c>
      <c r="W2295">
        <v>1474</v>
      </c>
      <c r="X2295">
        <v>673</v>
      </c>
      <c r="Y2295">
        <v>59.9</v>
      </c>
      <c r="Z2295">
        <v>52.4</v>
      </c>
      <c r="AA2295">
        <v>67.400000000000006</v>
      </c>
    </row>
    <row r="2296" spans="1:27" x14ac:dyDescent="0.25">
      <c r="A2296" t="s">
        <v>247</v>
      </c>
      <c r="B2296" t="s">
        <v>193</v>
      </c>
      <c r="C2296" s="76">
        <v>43968</v>
      </c>
      <c r="D2296">
        <v>6561</v>
      </c>
      <c r="E2296">
        <v>3930</v>
      </c>
      <c r="F2296">
        <v>9191</v>
      </c>
      <c r="G2296">
        <v>6628</v>
      </c>
      <c r="H2296">
        <v>49.7</v>
      </c>
      <c r="I2296">
        <v>45.1</v>
      </c>
      <c r="J2296">
        <v>54.4</v>
      </c>
      <c r="K2296">
        <v>816</v>
      </c>
      <c r="L2296">
        <v>265</v>
      </c>
      <c r="M2296">
        <v>1366</v>
      </c>
      <c r="N2296">
        <v>6.2</v>
      </c>
      <c r="O2296">
        <v>2.4</v>
      </c>
      <c r="P2296">
        <v>10</v>
      </c>
      <c r="Q2296">
        <f t="shared" si="70"/>
        <v>5706398</v>
      </c>
      <c r="R2296">
        <f t="shared" si="69"/>
        <v>14.299738644237573</v>
      </c>
      <c r="U2296">
        <v>944</v>
      </c>
      <c r="V2296">
        <v>505</v>
      </c>
      <c r="W2296">
        <v>1382</v>
      </c>
      <c r="X2296">
        <v>737</v>
      </c>
      <c r="Y2296">
        <v>56.2</v>
      </c>
      <c r="Z2296">
        <v>48.7</v>
      </c>
      <c r="AA2296">
        <v>63.6</v>
      </c>
    </row>
    <row r="2297" spans="1:27" x14ac:dyDescent="0.25">
      <c r="A2297" t="s">
        <v>247</v>
      </c>
      <c r="B2297" t="s">
        <v>193</v>
      </c>
      <c r="C2297" s="76">
        <v>43969</v>
      </c>
      <c r="D2297">
        <v>6639</v>
      </c>
      <c r="E2297">
        <v>3999</v>
      </c>
      <c r="F2297">
        <v>9279</v>
      </c>
      <c r="G2297">
        <v>6506</v>
      </c>
      <c r="H2297">
        <v>50.5</v>
      </c>
      <c r="I2297">
        <v>45.9</v>
      </c>
      <c r="J2297">
        <v>55.1</v>
      </c>
      <c r="K2297">
        <v>898</v>
      </c>
      <c r="L2297">
        <v>369</v>
      </c>
      <c r="M2297">
        <v>1428</v>
      </c>
      <c r="N2297">
        <v>6.8</v>
      </c>
      <c r="O2297">
        <v>3.3</v>
      </c>
      <c r="P2297">
        <v>10.4</v>
      </c>
      <c r="Q2297">
        <f t="shared" si="70"/>
        <v>5706398</v>
      </c>
      <c r="R2297">
        <f t="shared" si="69"/>
        <v>15.736722184467331</v>
      </c>
      <c r="U2297">
        <v>970</v>
      </c>
      <c r="V2297">
        <v>525</v>
      </c>
      <c r="W2297">
        <v>1415</v>
      </c>
      <c r="X2297">
        <v>742</v>
      </c>
      <c r="Y2297">
        <v>56.7</v>
      </c>
      <c r="Z2297">
        <v>49.2</v>
      </c>
      <c r="AA2297">
        <v>64.099999999999994</v>
      </c>
    </row>
    <row r="2298" spans="1:27" x14ac:dyDescent="0.25">
      <c r="A2298" t="s">
        <v>247</v>
      </c>
      <c r="B2298" t="s">
        <v>193</v>
      </c>
      <c r="C2298" s="76">
        <v>43970</v>
      </c>
      <c r="D2298">
        <v>7080</v>
      </c>
      <c r="E2298">
        <v>4121</v>
      </c>
      <c r="F2298">
        <v>10038</v>
      </c>
      <c r="G2298">
        <v>6188</v>
      </c>
      <c r="H2298">
        <v>53.4</v>
      </c>
      <c r="I2298">
        <v>49.1</v>
      </c>
      <c r="J2298">
        <v>57.7</v>
      </c>
      <c r="K2298">
        <v>872</v>
      </c>
      <c r="L2298">
        <v>338</v>
      </c>
      <c r="M2298">
        <v>1407</v>
      </c>
      <c r="N2298">
        <v>6.6</v>
      </c>
      <c r="O2298">
        <v>3.2</v>
      </c>
      <c r="P2298">
        <v>9.9</v>
      </c>
      <c r="Q2298">
        <f t="shared" si="70"/>
        <v>5706398</v>
      </c>
      <c r="R2298">
        <f t="shared" si="69"/>
        <v>15.281093257077407</v>
      </c>
      <c r="U2298">
        <v>986</v>
      </c>
      <c r="V2298">
        <v>500</v>
      </c>
      <c r="W2298">
        <v>1473</v>
      </c>
      <c r="X2298">
        <v>754</v>
      </c>
      <c r="Y2298">
        <v>56.7</v>
      </c>
      <c r="Z2298">
        <v>49.5</v>
      </c>
      <c r="AA2298">
        <v>63.8</v>
      </c>
    </row>
    <row r="2299" spans="1:27" x14ac:dyDescent="0.25">
      <c r="A2299" t="s">
        <v>247</v>
      </c>
      <c r="B2299" t="s">
        <v>193</v>
      </c>
      <c r="C2299" s="76">
        <v>43971</v>
      </c>
      <c r="D2299">
        <v>7404</v>
      </c>
      <c r="E2299">
        <v>4278</v>
      </c>
      <c r="F2299">
        <v>10530</v>
      </c>
      <c r="G2299">
        <v>6057</v>
      </c>
      <c r="H2299">
        <v>55</v>
      </c>
      <c r="I2299">
        <v>50.3</v>
      </c>
      <c r="J2299">
        <v>59.7</v>
      </c>
      <c r="K2299">
        <v>934</v>
      </c>
      <c r="L2299">
        <v>310</v>
      </c>
      <c r="M2299">
        <v>1558</v>
      </c>
      <c r="N2299">
        <v>6.9</v>
      </c>
      <c r="O2299">
        <v>3</v>
      </c>
      <c r="P2299">
        <v>10.9</v>
      </c>
      <c r="Q2299">
        <f t="shared" si="70"/>
        <v>5706398</v>
      </c>
      <c r="R2299">
        <f t="shared" si="69"/>
        <v>16.367593007007223</v>
      </c>
      <c r="U2299">
        <v>1060</v>
      </c>
      <c r="V2299">
        <v>526</v>
      </c>
      <c r="W2299">
        <v>1595</v>
      </c>
      <c r="X2299">
        <v>728</v>
      </c>
      <c r="Y2299">
        <v>59.3</v>
      </c>
      <c r="Z2299">
        <v>51.2</v>
      </c>
      <c r="AA2299">
        <v>67.3</v>
      </c>
    </row>
    <row r="2300" spans="1:27" x14ac:dyDescent="0.25">
      <c r="A2300" t="s">
        <v>247</v>
      </c>
      <c r="B2300" t="s">
        <v>193</v>
      </c>
      <c r="C2300" s="76">
        <v>43972</v>
      </c>
      <c r="D2300">
        <v>7546</v>
      </c>
      <c r="E2300">
        <v>4357</v>
      </c>
      <c r="F2300">
        <v>10734</v>
      </c>
      <c r="G2300">
        <v>6125</v>
      </c>
      <c r="H2300">
        <v>55.2</v>
      </c>
      <c r="I2300">
        <v>50.1</v>
      </c>
      <c r="J2300">
        <v>60.3</v>
      </c>
      <c r="K2300">
        <v>931</v>
      </c>
      <c r="L2300">
        <v>357</v>
      </c>
      <c r="M2300">
        <v>1505</v>
      </c>
      <c r="N2300">
        <v>6.8</v>
      </c>
      <c r="O2300">
        <v>3.3</v>
      </c>
      <c r="P2300">
        <v>10.3</v>
      </c>
      <c r="Q2300">
        <f t="shared" si="70"/>
        <v>5706398</v>
      </c>
      <c r="R2300">
        <f t="shared" si="69"/>
        <v>16.315020438462234</v>
      </c>
      <c r="U2300">
        <v>1079</v>
      </c>
      <c r="V2300">
        <v>546</v>
      </c>
      <c r="W2300">
        <v>1613</v>
      </c>
      <c r="X2300">
        <v>698</v>
      </c>
      <c r="Y2300">
        <v>60.7</v>
      </c>
      <c r="Z2300">
        <v>52.8</v>
      </c>
      <c r="AA2300">
        <v>68.7</v>
      </c>
    </row>
    <row r="2301" spans="1:27" x14ac:dyDescent="0.25">
      <c r="A2301" t="s">
        <v>247</v>
      </c>
      <c r="B2301" t="s">
        <v>193</v>
      </c>
      <c r="C2301" s="76">
        <v>43973</v>
      </c>
      <c r="D2301">
        <v>7500</v>
      </c>
      <c r="E2301">
        <v>4234</v>
      </c>
      <c r="F2301">
        <v>10766</v>
      </c>
      <c r="G2301">
        <v>6475</v>
      </c>
      <c r="H2301">
        <v>53.7</v>
      </c>
      <c r="I2301">
        <v>48</v>
      </c>
      <c r="J2301">
        <v>59.4</v>
      </c>
      <c r="K2301">
        <v>910</v>
      </c>
      <c r="L2301">
        <v>313</v>
      </c>
      <c r="M2301">
        <v>1508</v>
      </c>
      <c r="N2301">
        <v>6.5</v>
      </c>
      <c r="O2301">
        <v>2.8</v>
      </c>
      <c r="P2301">
        <v>10.199999999999999</v>
      </c>
      <c r="Q2301">
        <f t="shared" si="70"/>
        <v>5706398</v>
      </c>
      <c r="R2301">
        <f t="shared" si="69"/>
        <v>15.947012458647293</v>
      </c>
      <c r="U2301">
        <v>1052</v>
      </c>
      <c r="V2301">
        <v>517</v>
      </c>
      <c r="W2301">
        <v>1587</v>
      </c>
      <c r="X2301">
        <v>711</v>
      </c>
      <c r="Y2301">
        <v>59.7</v>
      </c>
      <c r="Z2301">
        <v>50.9</v>
      </c>
      <c r="AA2301">
        <v>68.400000000000006</v>
      </c>
    </row>
    <row r="2302" spans="1:27" x14ac:dyDescent="0.25">
      <c r="A2302" t="s">
        <v>247</v>
      </c>
      <c r="B2302" t="s">
        <v>193</v>
      </c>
      <c r="C2302" s="76">
        <v>43974</v>
      </c>
      <c r="D2302">
        <v>7613</v>
      </c>
      <c r="E2302">
        <v>4376</v>
      </c>
      <c r="F2302">
        <v>10851</v>
      </c>
      <c r="G2302">
        <v>6413</v>
      </c>
      <c r="H2302">
        <v>54.3</v>
      </c>
      <c r="I2302">
        <v>49</v>
      </c>
      <c r="J2302">
        <v>59.6</v>
      </c>
      <c r="K2302">
        <v>943</v>
      </c>
      <c r="L2302">
        <v>335</v>
      </c>
      <c r="M2302">
        <v>1552</v>
      </c>
      <c r="N2302">
        <v>6.7</v>
      </c>
      <c r="O2302">
        <v>3.1</v>
      </c>
      <c r="P2302">
        <v>10.4</v>
      </c>
      <c r="Q2302">
        <f t="shared" si="70"/>
        <v>5706398</v>
      </c>
      <c r="R2302">
        <f t="shared" si="69"/>
        <v>16.525310712642195</v>
      </c>
      <c r="U2302">
        <v>1068</v>
      </c>
      <c r="V2302">
        <v>529</v>
      </c>
      <c r="W2302">
        <v>1606</v>
      </c>
      <c r="X2302">
        <v>704</v>
      </c>
      <c r="Y2302">
        <v>60.2</v>
      </c>
      <c r="Z2302">
        <v>51.7</v>
      </c>
      <c r="AA2302">
        <v>68.7</v>
      </c>
    </row>
    <row r="2303" spans="1:27" x14ac:dyDescent="0.25">
      <c r="A2303" t="s">
        <v>247</v>
      </c>
      <c r="B2303" t="s">
        <v>193</v>
      </c>
      <c r="C2303" s="76">
        <v>43975</v>
      </c>
      <c r="D2303">
        <v>6992</v>
      </c>
      <c r="E2303">
        <v>4053</v>
      </c>
      <c r="F2303">
        <v>9931</v>
      </c>
      <c r="G2303">
        <v>6957</v>
      </c>
      <c r="H2303">
        <v>50.1</v>
      </c>
      <c r="I2303">
        <v>45.5</v>
      </c>
      <c r="J2303">
        <v>54.7</v>
      </c>
      <c r="K2303">
        <v>877</v>
      </c>
      <c r="L2303">
        <v>341</v>
      </c>
      <c r="M2303">
        <v>1413</v>
      </c>
      <c r="N2303">
        <v>6.3</v>
      </c>
      <c r="O2303">
        <v>3.2</v>
      </c>
      <c r="P2303">
        <v>9.4</v>
      </c>
      <c r="Q2303">
        <f t="shared" si="70"/>
        <v>5706398</v>
      </c>
      <c r="R2303">
        <f t="shared" si="69"/>
        <v>15.368714204652392</v>
      </c>
      <c r="U2303">
        <v>997</v>
      </c>
      <c r="V2303">
        <v>499</v>
      </c>
      <c r="W2303">
        <v>1496</v>
      </c>
      <c r="X2303">
        <v>764</v>
      </c>
      <c r="Y2303">
        <v>56.6</v>
      </c>
      <c r="Z2303">
        <v>48.3</v>
      </c>
      <c r="AA2303">
        <v>64.900000000000006</v>
      </c>
    </row>
    <row r="2304" spans="1:27" x14ac:dyDescent="0.25">
      <c r="A2304" t="s">
        <v>247</v>
      </c>
      <c r="B2304" t="s">
        <v>193</v>
      </c>
      <c r="C2304" s="76">
        <v>43976</v>
      </c>
      <c r="D2304">
        <v>6464</v>
      </c>
      <c r="E2304">
        <v>3796</v>
      </c>
      <c r="F2304">
        <v>9131</v>
      </c>
      <c r="G2304">
        <v>6847</v>
      </c>
      <c r="H2304">
        <v>48.6</v>
      </c>
      <c r="I2304">
        <v>44.2</v>
      </c>
      <c r="J2304">
        <v>52.9</v>
      </c>
      <c r="K2304">
        <v>904</v>
      </c>
      <c r="L2304">
        <v>313</v>
      </c>
      <c r="M2304">
        <v>1496</v>
      </c>
      <c r="N2304">
        <v>6.8</v>
      </c>
      <c r="O2304">
        <v>3.1</v>
      </c>
      <c r="P2304">
        <v>10.5</v>
      </c>
      <c r="Q2304">
        <f t="shared" si="70"/>
        <v>5706398</v>
      </c>
      <c r="R2304">
        <f t="shared" si="69"/>
        <v>15.841867321557311</v>
      </c>
      <c r="U2304">
        <v>1014</v>
      </c>
      <c r="V2304">
        <v>508</v>
      </c>
      <c r="W2304">
        <v>1521</v>
      </c>
      <c r="X2304">
        <v>766</v>
      </c>
      <c r="Y2304">
        <v>57</v>
      </c>
      <c r="Z2304">
        <v>49.2</v>
      </c>
      <c r="AA2304">
        <v>64.8</v>
      </c>
    </row>
    <row r="2305" spans="1:27" x14ac:dyDescent="0.25">
      <c r="A2305" t="s">
        <v>247</v>
      </c>
      <c r="B2305" t="s">
        <v>193</v>
      </c>
      <c r="C2305" s="76">
        <v>43977</v>
      </c>
      <c r="D2305">
        <v>6871</v>
      </c>
      <c r="E2305">
        <v>4066</v>
      </c>
      <c r="F2305">
        <v>9676</v>
      </c>
      <c r="G2305">
        <v>6457</v>
      </c>
      <c r="H2305">
        <v>51.6</v>
      </c>
      <c r="I2305">
        <v>47</v>
      </c>
      <c r="J2305">
        <v>56.1</v>
      </c>
      <c r="K2305">
        <v>893</v>
      </c>
      <c r="L2305">
        <v>384</v>
      </c>
      <c r="M2305">
        <v>1401</v>
      </c>
      <c r="N2305">
        <v>6.7</v>
      </c>
      <c r="O2305">
        <v>3.7</v>
      </c>
      <c r="P2305">
        <v>9.6999999999999993</v>
      </c>
      <c r="Q2305">
        <f t="shared" si="70"/>
        <v>5706398</v>
      </c>
      <c r="R2305">
        <f t="shared" si="69"/>
        <v>15.649101236892344</v>
      </c>
      <c r="U2305">
        <v>1002</v>
      </c>
      <c r="V2305">
        <v>491</v>
      </c>
      <c r="W2305">
        <v>1514</v>
      </c>
      <c r="X2305">
        <v>770</v>
      </c>
      <c r="Y2305">
        <v>56.6</v>
      </c>
      <c r="Z2305">
        <v>48.8</v>
      </c>
      <c r="AA2305">
        <v>64.3</v>
      </c>
    </row>
    <row r="2306" spans="1:27" x14ac:dyDescent="0.25">
      <c r="A2306" t="s">
        <v>247</v>
      </c>
      <c r="B2306" t="s">
        <v>193</v>
      </c>
      <c r="C2306" s="76">
        <v>43978</v>
      </c>
      <c r="D2306">
        <v>7519</v>
      </c>
      <c r="E2306">
        <v>4446</v>
      </c>
      <c r="F2306">
        <v>10593</v>
      </c>
      <c r="G2306">
        <v>6039</v>
      </c>
      <c r="H2306">
        <v>55.5</v>
      </c>
      <c r="I2306">
        <v>50.7</v>
      </c>
      <c r="J2306">
        <v>60.2</v>
      </c>
      <c r="K2306">
        <v>1073</v>
      </c>
      <c r="L2306">
        <v>246</v>
      </c>
      <c r="M2306">
        <v>1900</v>
      </c>
      <c r="N2306">
        <v>7.9</v>
      </c>
      <c r="O2306">
        <v>2.5</v>
      </c>
      <c r="P2306">
        <v>13.4</v>
      </c>
      <c r="Q2306">
        <f t="shared" si="70"/>
        <v>5706398</v>
      </c>
      <c r="R2306">
        <f t="shared" si="69"/>
        <v>18.803455349591808</v>
      </c>
      <c r="U2306">
        <v>1169</v>
      </c>
      <c r="V2306">
        <v>526</v>
      </c>
      <c r="W2306">
        <v>1812</v>
      </c>
      <c r="X2306">
        <v>748</v>
      </c>
      <c r="Y2306">
        <v>61</v>
      </c>
      <c r="Z2306">
        <v>52.4</v>
      </c>
      <c r="AA2306">
        <v>69.5</v>
      </c>
    </row>
    <row r="2307" spans="1:27" x14ac:dyDescent="0.25">
      <c r="A2307" t="s">
        <v>247</v>
      </c>
      <c r="B2307" t="s">
        <v>193</v>
      </c>
      <c r="C2307" s="76">
        <v>43979</v>
      </c>
      <c r="D2307">
        <v>7642</v>
      </c>
      <c r="E2307">
        <v>4550</v>
      </c>
      <c r="F2307">
        <v>10734</v>
      </c>
      <c r="G2307">
        <v>5731</v>
      </c>
      <c r="H2307">
        <v>57.1</v>
      </c>
      <c r="I2307">
        <v>52.2</v>
      </c>
      <c r="J2307">
        <v>62</v>
      </c>
      <c r="K2307">
        <v>987</v>
      </c>
      <c r="L2307">
        <v>401</v>
      </c>
      <c r="M2307">
        <v>1574</v>
      </c>
      <c r="N2307">
        <v>7.4</v>
      </c>
      <c r="O2307">
        <v>3.9</v>
      </c>
      <c r="P2307">
        <v>10.9</v>
      </c>
      <c r="Q2307">
        <f t="shared" si="70"/>
        <v>5706398</v>
      </c>
      <c r="R2307">
        <f t="shared" si="69"/>
        <v>17.296375051302064</v>
      </c>
      <c r="U2307">
        <v>1118</v>
      </c>
      <c r="V2307">
        <v>555</v>
      </c>
      <c r="W2307">
        <v>1681</v>
      </c>
      <c r="X2307">
        <v>717</v>
      </c>
      <c r="Y2307">
        <v>60.9</v>
      </c>
      <c r="Z2307">
        <v>53.4</v>
      </c>
      <c r="AA2307">
        <v>68.400000000000006</v>
      </c>
    </row>
    <row r="2308" spans="1:27" x14ac:dyDescent="0.25">
      <c r="A2308" t="s">
        <v>247</v>
      </c>
      <c r="B2308" t="s">
        <v>193</v>
      </c>
      <c r="C2308" s="76">
        <v>43980</v>
      </c>
      <c r="D2308">
        <v>7980</v>
      </c>
      <c r="E2308">
        <v>4759</v>
      </c>
      <c r="F2308">
        <v>11201</v>
      </c>
      <c r="G2308">
        <v>5749</v>
      </c>
      <c r="H2308">
        <v>58.1</v>
      </c>
      <c r="I2308">
        <v>52.9</v>
      </c>
      <c r="J2308">
        <v>63.3</v>
      </c>
      <c r="K2308">
        <v>939</v>
      </c>
      <c r="L2308">
        <v>414</v>
      </c>
      <c r="M2308">
        <v>1465</v>
      </c>
      <c r="N2308">
        <v>6.8</v>
      </c>
      <c r="O2308">
        <v>3.9</v>
      </c>
      <c r="P2308">
        <v>9.8000000000000007</v>
      </c>
      <c r="Q2308">
        <f t="shared" si="70"/>
        <v>5706398</v>
      </c>
      <c r="R2308">
        <f t="shared" si="69"/>
        <v>16.455213954582206</v>
      </c>
      <c r="U2308">
        <v>1076</v>
      </c>
      <c r="V2308">
        <v>559</v>
      </c>
      <c r="W2308">
        <v>1593</v>
      </c>
      <c r="X2308">
        <v>708</v>
      </c>
      <c r="Y2308">
        <v>60.3</v>
      </c>
      <c r="Z2308">
        <v>53.2</v>
      </c>
      <c r="AA2308">
        <v>67.5</v>
      </c>
    </row>
    <row r="2309" spans="1:27" x14ac:dyDescent="0.25">
      <c r="A2309" t="s">
        <v>247</v>
      </c>
      <c r="B2309" t="s">
        <v>193</v>
      </c>
      <c r="C2309" s="76">
        <v>43981</v>
      </c>
      <c r="D2309">
        <v>7479</v>
      </c>
      <c r="E2309">
        <v>4415</v>
      </c>
      <c r="F2309">
        <v>10543</v>
      </c>
      <c r="G2309">
        <v>6221</v>
      </c>
      <c r="H2309">
        <v>54.6</v>
      </c>
      <c r="I2309">
        <v>49.6</v>
      </c>
      <c r="J2309">
        <v>59.5</v>
      </c>
      <c r="K2309">
        <v>887</v>
      </c>
      <c r="L2309">
        <v>366</v>
      </c>
      <c r="M2309">
        <v>1407</v>
      </c>
      <c r="N2309">
        <v>6.5</v>
      </c>
      <c r="O2309">
        <v>3.4</v>
      </c>
      <c r="P2309">
        <v>9.5</v>
      </c>
      <c r="Q2309">
        <f t="shared" si="70"/>
        <v>5706398</v>
      </c>
      <c r="R2309">
        <f t="shared" ref="R2309:R2372" si="71">K2309/(Q2309)*100000</f>
        <v>15.543956099802362</v>
      </c>
      <c r="U2309">
        <v>1076</v>
      </c>
      <c r="V2309">
        <v>561</v>
      </c>
      <c r="W2309">
        <v>1591</v>
      </c>
      <c r="X2309">
        <v>698</v>
      </c>
      <c r="Y2309">
        <v>60.7</v>
      </c>
      <c r="Z2309">
        <v>53.5</v>
      </c>
      <c r="AA2309">
        <v>67.900000000000006</v>
      </c>
    </row>
    <row r="2310" spans="1:27" x14ac:dyDescent="0.25">
      <c r="A2310" t="s">
        <v>247</v>
      </c>
      <c r="B2310" t="s">
        <v>193</v>
      </c>
      <c r="C2310" s="76">
        <v>43982</v>
      </c>
      <c r="D2310">
        <v>6778</v>
      </c>
      <c r="E2310">
        <v>4041</v>
      </c>
      <c r="F2310">
        <v>9515</v>
      </c>
      <c r="G2310">
        <v>6579</v>
      </c>
      <c r="H2310">
        <v>50.7</v>
      </c>
      <c r="I2310">
        <v>46.3</v>
      </c>
      <c r="J2310">
        <v>55.2</v>
      </c>
      <c r="K2310">
        <v>880</v>
      </c>
      <c r="L2310">
        <v>333</v>
      </c>
      <c r="M2310">
        <v>1427</v>
      </c>
      <c r="N2310">
        <v>6.6</v>
      </c>
      <c r="O2310">
        <v>3.2</v>
      </c>
      <c r="P2310">
        <v>10</v>
      </c>
      <c r="Q2310">
        <f t="shared" si="70"/>
        <v>5706398</v>
      </c>
      <c r="R2310">
        <f t="shared" si="71"/>
        <v>15.421286773197382</v>
      </c>
      <c r="U2310">
        <v>1071</v>
      </c>
      <c r="V2310">
        <v>530</v>
      </c>
      <c r="W2310">
        <v>1612</v>
      </c>
      <c r="X2310">
        <v>752</v>
      </c>
      <c r="Y2310">
        <v>58.7</v>
      </c>
      <c r="Z2310">
        <v>50.7</v>
      </c>
      <c r="AA2310">
        <v>66.7</v>
      </c>
    </row>
    <row r="2311" spans="1:27" x14ac:dyDescent="0.25">
      <c r="A2311" t="s">
        <v>247</v>
      </c>
      <c r="B2311" t="s">
        <v>193</v>
      </c>
      <c r="C2311" s="76">
        <v>43983</v>
      </c>
      <c r="D2311">
        <v>6934</v>
      </c>
      <c r="E2311">
        <v>4162</v>
      </c>
      <c r="F2311">
        <v>9706</v>
      </c>
      <c r="G2311">
        <v>6438</v>
      </c>
      <c r="H2311">
        <v>51.9</v>
      </c>
      <c r="I2311">
        <v>47.3</v>
      </c>
      <c r="J2311">
        <v>56.4</v>
      </c>
      <c r="K2311">
        <v>876</v>
      </c>
      <c r="L2311">
        <v>374</v>
      </c>
      <c r="M2311">
        <v>1379</v>
      </c>
      <c r="N2311">
        <v>6.6</v>
      </c>
      <c r="O2311">
        <v>3.5</v>
      </c>
      <c r="P2311">
        <v>9.6</v>
      </c>
      <c r="Q2311">
        <f t="shared" si="70"/>
        <v>5706398</v>
      </c>
      <c r="R2311">
        <f t="shared" si="71"/>
        <v>15.351190015137396</v>
      </c>
      <c r="U2311">
        <v>1075</v>
      </c>
      <c r="V2311">
        <v>547</v>
      </c>
      <c r="W2311">
        <v>1604</v>
      </c>
      <c r="X2311">
        <v>752</v>
      </c>
      <c r="Y2311">
        <v>58.8</v>
      </c>
      <c r="Z2311">
        <v>50.9</v>
      </c>
      <c r="AA2311">
        <v>66.8</v>
      </c>
    </row>
    <row r="2312" spans="1:27" x14ac:dyDescent="0.25">
      <c r="A2312" t="s">
        <v>247</v>
      </c>
      <c r="B2312" t="s">
        <v>193</v>
      </c>
      <c r="C2312" s="76">
        <v>43984</v>
      </c>
      <c r="D2312">
        <v>7463</v>
      </c>
      <c r="E2312">
        <v>4464</v>
      </c>
      <c r="F2312">
        <v>10463</v>
      </c>
      <c r="G2312">
        <v>5905</v>
      </c>
      <c r="H2312">
        <v>55.8</v>
      </c>
      <c r="I2312">
        <v>51.1</v>
      </c>
      <c r="J2312">
        <v>60.6</v>
      </c>
      <c r="K2312">
        <v>935</v>
      </c>
      <c r="L2312">
        <v>354</v>
      </c>
      <c r="M2312">
        <v>1515</v>
      </c>
      <c r="N2312">
        <v>7</v>
      </c>
      <c r="O2312">
        <v>3.4</v>
      </c>
      <c r="P2312">
        <v>10.5</v>
      </c>
      <c r="Q2312">
        <f t="shared" si="70"/>
        <v>5706398</v>
      </c>
      <c r="R2312">
        <f t="shared" si="71"/>
        <v>16.38511719652222</v>
      </c>
      <c r="U2312">
        <v>1130</v>
      </c>
      <c r="V2312">
        <v>574</v>
      </c>
      <c r="W2312">
        <v>1685</v>
      </c>
      <c r="X2312">
        <v>693</v>
      </c>
      <c r="Y2312">
        <v>62</v>
      </c>
      <c r="Z2312">
        <v>54.7</v>
      </c>
      <c r="AA2312">
        <v>69.2</v>
      </c>
    </row>
    <row r="2313" spans="1:27" x14ac:dyDescent="0.25">
      <c r="A2313" t="s">
        <v>247</v>
      </c>
      <c r="B2313" t="s">
        <v>193</v>
      </c>
      <c r="C2313" s="76">
        <v>43985</v>
      </c>
      <c r="D2313">
        <v>7692</v>
      </c>
      <c r="E2313">
        <v>4588</v>
      </c>
      <c r="F2313">
        <v>10797</v>
      </c>
      <c r="G2313">
        <v>5471</v>
      </c>
      <c r="H2313">
        <v>58.4</v>
      </c>
      <c r="I2313">
        <v>53.5</v>
      </c>
      <c r="J2313">
        <v>63.4</v>
      </c>
      <c r="K2313">
        <v>867</v>
      </c>
      <c r="L2313">
        <v>372</v>
      </c>
      <c r="M2313">
        <v>1361</v>
      </c>
      <c r="N2313">
        <v>6.6</v>
      </c>
      <c r="O2313">
        <v>3.7</v>
      </c>
      <c r="P2313">
        <v>9.5</v>
      </c>
      <c r="Q2313">
        <f t="shared" si="70"/>
        <v>5706398</v>
      </c>
      <c r="R2313">
        <f t="shared" si="71"/>
        <v>15.19347230950242</v>
      </c>
      <c r="U2313">
        <v>1134</v>
      </c>
      <c r="V2313">
        <v>585</v>
      </c>
      <c r="W2313">
        <v>1683</v>
      </c>
      <c r="X2313">
        <v>638</v>
      </c>
      <c r="Y2313">
        <v>64</v>
      </c>
      <c r="Z2313">
        <v>56.7</v>
      </c>
      <c r="AA2313">
        <v>71.3</v>
      </c>
    </row>
    <row r="2314" spans="1:27" x14ac:dyDescent="0.25">
      <c r="A2314" t="s">
        <v>247</v>
      </c>
      <c r="B2314" t="s">
        <v>193</v>
      </c>
      <c r="C2314" s="76">
        <v>43986</v>
      </c>
      <c r="D2314">
        <v>7677</v>
      </c>
      <c r="E2314">
        <v>4529</v>
      </c>
      <c r="F2314">
        <v>10824</v>
      </c>
      <c r="G2314">
        <v>5507</v>
      </c>
      <c r="H2314">
        <v>58.2</v>
      </c>
      <c r="I2314">
        <v>53</v>
      </c>
      <c r="J2314">
        <v>63.5</v>
      </c>
      <c r="K2314">
        <v>772</v>
      </c>
      <c r="L2314">
        <v>353</v>
      </c>
      <c r="M2314">
        <v>1190</v>
      </c>
      <c r="N2314">
        <v>5.9</v>
      </c>
      <c r="O2314">
        <v>3.5</v>
      </c>
      <c r="P2314">
        <v>8.1999999999999993</v>
      </c>
      <c r="Q2314">
        <f t="shared" si="70"/>
        <v>5706398</v>
      </c>
      <c r="R2314">
        <f t="shared" si="71"/>
        <v>13.528674305577704</v>
      </c>
      <c r="U2314">
        <v>1106</v>
      </c>
      <c r="V2314">
        <v>555</v>
      </c>
      <c r="W2314">
        <v>1656</v>
      </c>
      <c r="X2314">
        <v>624</v>
      </c>
      <c r="Y2314">
        <v>63.9</v>
      </c>
      <c r="Z2314">
        <v>56.9</v>
      </c>
      <c r="AA2314">
        <v>71</v>
      </c>
    </row>
    <row r="2315" spans="1:27" x14ac:dyDescent="0.25">
      <c r="A2315" t="s">
        <v>247</v>
      </c>
      <c r="B2315" t="s">
        <v>193</v>
      </c>
      <c r="C2315" s="76">
        <v>43987</v>
      </c>
      <c r="D2315">
        <v>7717</v>
      </c>
      <c r="E2315">
        <v>4549</v>
      </c>
      <c r="F2315">
        <v>10886</v>
      </c>
      <c r="G2315">
        <v>5161</v>
      </c>
      <c r="H2315">
        <v>59.9</v>
      </c>
      <c r="I2315">
        <v>54.7</v>
      </c>
      <c r="J2315">
        <v>65.099999999999994</v>
      </c>
      <c r="K2315">
        <v>690</v>
      </c>
      <c r="L2315">
        <v>317</v>
      </c>
      <c r="M2315">
        <v>1064</v>
      </c>
      <c r="N2315">
        <v>5.4</v>
      </c>
      <c r="O2315">
        <v>3.2</v>
      </c>
      <c r="P2315">
        <v>7.5</v>
      </c>
      <c r="Q2315">
        <f t="shared" si="70"/>
        <v>5706398</v>
      </c>
      <c r="R2315">
        <f t="shared" si="71"/>
        <v>12.091690765347948</v>
      </c>
      <c r="U2315">
        <v>1002</v>
      </c>
      <c r="V2315">
        <v>518</v>
      </c>
      <c r="W2315">
        <v>1486</v>
      </c>
      <c r="X2315">
        <v>565</v>
      </c>
      <c r="Y2315">
        <v>64</v>
      </c>
      <c r="Z2315">
        <v>58</v>
      </c>
      <c r="AA2315">
        <v>69.900000000000006</v>
      </c>
    </row>
    <row r="2316" spans="1:27" x14ac:dyDescent="0.25">
      <c r="A2316" t="s">
        <v>247</v>
      </c>
      <c r="B2316" t="s">
        <v>193</v>
      </c>
      <c r="C2316" s="76">
        <v>43988</v>
      </c>
      <c r="D2316">
        <v>7436</v>
      </c>
      <c r="E2316">
        <v>4373</v>
      </c>
      <c r="F2316">
        <v>10500</v>
      </c>
      <c r="G2316">
        <v>5696</v>
      </c>
      <c r="H2316">
        <v>56.6</v>
      </c>
      <c r="I2316">
        <v>51.2</v>
      </c>
      <c r="J2316">
        <v>62</v>
      </c>
      <c r="K2316">
        <v>678</v>
      </c>
      <c r="L2316">
        <v>317</v>
      </c>
      <c r="M2316">
        <v>1039</v>
      </c>
      <c r="N2316">
        <v>5.2</v>
      </c>
      <c r="O2316">
        <v>3.1</v>
      </c>
      <c r="P2316">
        <v>7.2</v>
      </c>
      <c r="Q2316">
        <f t="shared" si="70"/>
        <v>5706398</v>
      </c>
      <c r="R2316">
        <f t="shared" si="71"/>
        <v>11.881400491167984</v>
      </c>
      <c r="U2316">
        <v>1081</v>
      </c>
      <c r="V2316">
        <v>565</v>
      </c>
      <c r="W2316">
        <v>1596</v>
      </c>
      <c r="X2316">
        <v>538</v>
      </c>
      <c r="Y2316">
        <v>66.8</v>
      </c>
      <c r="Z2316">
        <v>60.5</v>
      </c>
      <c r="AA2316">
        <v>73</v>
      </c>
    </row>
    <row r="2317" spans="1:27" x14ac:dyDescent="0.25">
      <c r="A2317" t="s">
        <v>247</v>
      </c>
      <c r="B2317" t="s">
        <v>193</v>
      </c>
      <c r="C2317" s="76">
        <v>43989</v>
      </c>
      <c r="D2317">
        <v>7287</v>
      </c>
      <c r="E2317">
        <v>4314</v>
      </c>
      <c r="F2317">
        <v>10260</v>
      </c>
      <c r="G2317">
        <v>5855</v>
      </c>
      <c r="H2317">
        <v>55.4</v>
      </c>
      <c r="I2317">
        <v>50.4</v>
      </c>
      <c r="J2317">
        <v>60.5</v>
      </c>
      <c r="K2317">
        <v>614</v>
      </c>
      <c r="L2317">
        <v>305</v>
      </c>
      <c r="M2317">
        <v>924</v>
      </c>
      <c r="N2317">
        <v>4.7</v>
      </c>
      <c r="O2317">
        <v>3</v>
      </c>
      <c r="P2317">
        <v>6.4</v>
      </c>
      <c r="Q2317">
        <f t="shared" si="70"/>
        <v>5706398</v>
      </c>
      <c r="R2317">
        <f t="shared" si="71"/>
        <v>10.759852362208173</v>
      </c>
      <c r="U2317">
        <v>1034</v>
      </c>
      <c r="V2317">
        <v>543</v>
      </c>
      <c r="W2317">
        <v>1524</v>
      </c>
      <c r="X2317">
        <v>571</v>
      </c>
      <c r="Y2317">
        <v>64.400000000000006</v>
      </c>
      <c r="Z2317">
        <v>58.6</v>
      </c>
      <c r="AA2317">
        <v>70.3</v>
      </c>
    </row>
    <row r="2318" spans="1:27" x14ac:dyDescent="0.25">
      <c r="A2318" t="s">
        <v>247</v>
      </c>
      <c r="B2318" t="s">
        <v>193</v>
      </c>
      <c r="C2318" s="76">
        <v>43990</v>
      </c>
      <c r="D2318">
        <v>7354</v>
      </c>
      <c r="E2318">
        <v>4231</v>
      </c>
      <c r="F2318">
        <v>10477</v>
      </c>
      <c r="G2318">
        <v>5870</v>
      </c>
      <c r="H2318">
        <v>55.6</v>
      </c>
      <c r="I2318">
        <v>50.4</v>
      </c>
      <c r="J2318">
        <v>60.8</v>
      </c>
      <c r="K2318">
        <v>677</v>
      </c>
      <c r="L2318">
        <v>323</v>
      </c>
      <c r="M2318">
        <v>1031</v>
      </c>
      <c r="N2318">
        <v>5.0999999999999996</v>
      </c>
      <c r="O2318">
        <v>3.3</v>
      </c>
      <c r="P2318">
        <v>7</v>
      </c>
      <c r="Q2318">
        <f t="shared" si="70"/>
        <v>5706398</v>
      </c>
      <c r="R2318">
        <f t="shared" si="71"/>
        <v>11.863876301652986</v>
      </c>
      <c r="U2318">
        <v>1016</v>
      </c>
      <c r="V2318">
        <v>519</v>
      </c>
      <c r="W2318">
        <v>1513</v>
      </c>
      <c r="X2318">
        <v>594</v>
      </c>
      <c r="Y2318">
        <v>63.1</v>
      </c>
      <c r="Z2318">
        <v>56.2</v>
      </c>
      <c r="AA2318">
        <v>70</v>
      </c>
    </row>
    <row r="2319" spans="1:27" x14ac:dyDescent="0.25">
      <c r="A2319" t="s">
        <v>247</v>
      </c>
      <c r="B2319" t="s">
        <v>193</v>
      </c>
      <c r="C2319" s="76">
        <v>43991</v>
      </c>
      <c r="D2319">
        <v>7948</v>
      </c>
      <c r="E2319">
        <v>4551</v>
      </c>
      <c r="F2319">
        <v>11344</v>
      </c>
      <c r="G2319">
        <v>5487</v>
      </c>
      <c r="H2319">
        <v>59.2</v>
      </c>
      <c r="I2319">
        <v>53.8</v>
      </c>
      <c r="J2319">
        <v>64.5</v>
      </c>
      <c r="K2319">
        <v>739</v>
      </c>
      <c r="L2319">
        <v>378</v>
      </c>
      <c r="M2319">
        <v>1099</v>
      </c>
      <c r="N2319">
        <v>5.5</v>
      </c>
      <c r="O2319">
        <v>3.8</v>
      </c>
      <c r="P2319">
        <v>7.2</v>
      </c>
      <c r="Q2319">
        <f t="shared" si="70"/>
        <v>5706398</v>
      </c>
      <c r="R2319">
        <f t="shared" si="71"/>
        <v>12.950376051582802</v>
      </c>
      <c r="U2319">
        <v>1162</v>
      </c>
      <c r="V2319">
        <v>588</v>
      </c>
      <c r="W2319">
        <v>1735</v>
      </c>
      <c r="X2319">
        <v>609</v>
      </c>
      <c r="Y2319">
        <v>65.599999999999994</v>
      </c>
      <c r="Z2319">
        <v>60.2</v>
      </c>
      <c r="AA2319">
        <v>71</v>
      </c>
    </row>
    <row r="2320" spans="1:27" x14ac:dyDescent="0.25">
      <c r="A2320" t="s">
        <v>247</v>
      </c>
      <c r="B2320" t="s">
        <v>193</v>
      </c>
      <c r="C2320" s="76">
        <v>43992</v>
      </c>
      <c r="D2320">
        <v>7974</v>
      </c>
      <c r="E2320">
        <v>4545</v>
      </c>
      <c r="F2320">
        <v>11403</v>
      </c>
      <c r="G2320">
        <v>5156</v>
      </c>
      <c r="H2320">
        <v>60.7</v>
      </c>
      <c r="I2320">
        <v>55.6</v>
      </c>
      <c r="J2320">
        <v>65.8</v>
      </c>
      <c r="K2320">
        <v>715</v>
      </c>
      <c r="L2320">
        <v>346</v>
      </c>
      <c r="M2320">
        <v>1083</v>
      </c>
      <c r="N2320">
        <v>5.4</v>
      </c>
      <c r="O2320">
        <v>3.5</v>
      </c>
      <c r="P2320">
        <v>7.4</v>
      </c>
      <c r="Q2320">
        <f t="shared" si="70"/>
        <v>5706398</v>
      </c>
      <c r="R2320">
        <f t="shared" si="71"/>
        <v>12.529795503222875</v>
      </c>
      <c r="U2320">
        <v>1233</v>
      </c>
      <c r="V2320">
        <v>610</v>
      </c>
      <c r="W2320">
        <v>1855</v>
      </c>
      <c r="X2320">
        <v>601</v>
      </c>
      <c r="Y2320">
        <v>67.2</v>
      </c>
      <c r="Z2320">
        <v>62.4</v>
      </c>
      <c r="AA2320">
        <v>72</v>
      </c>
    </row>
    <row r="2321" spans="1:27" x14ac:dyDescent="0.25">
      <c r="A2321" t="s">
        <v>247</v>
      </c>
      <c r="B2321" t="s">
        <v>193</v>
      </c>
      <c r="C2321" s="76">
        <v>43993</v>
      </c>
      <c r="D2321">
        <v>8031</v>
      </c>
      <c r="E2321">
        <v>4760</v>
      </c>
      <c r="F2321">
        <v>11302</v>
      </c>
      <c r="G2321">
        <v>5251</v>
      </c>
      <c r="H2321">
        <v>60.5</v>
      </c>
      <c r="I2321">
        <v>55.2</v>
      </c>
      <c r="J2321">
        <v>65.7</v>
      </c>
      <c r="K2321">
        <v>671</v>
      </c>
      <c r="L2321">
        <v>323</v>
      </c>
      <c r="M2321">
        <v>1018</v>
      </c>
      <c r="N2321">
        <v>5</v>
      </c>
      <c r="O2321">
        <v>3.2</v>
      </c>
      <c r="P2321">
        <v>6.9</v>
      </c>
      <c r="Q2321">
        <f t="shared" si="70"/>
        <v>5706398</v>
      </c>
      <c r="R2321">
        <f t="shared" si="71"/>
        <v>11.758731164563004</v>
      </c>
      <c r="U2321">
        <v>1169</v>
      </c>
      <c r="V2321">
        <v>621</v>
      </c>
      <c r="W2321">
        <v>1717</v>
      </c>
      <c r="X2321">
        <v>601</v>
      </c>
      <c r="Y2321">
        <v>66.099999999999994</v>
      </c>
      <c r="Z2321">
        <v>61.4</v>
      </c>
      <c r="AA2321">
        <v>70.7</v>
      </c>
    </row>
    <row r="2322" spans="1:27" x14ac:dyDescent="0.25">
      <c r="A2322" t="s">
        <v>247</v>
      </c>
      <c r="B2322" t="s">
        <v>193</v>
      </c>
      <c r="C2322" s="76">
        <v>43994</v>
      </c>
      <c r="D2322">
        <v>8057</v>
      </c>
      <c r="E2322">
        <v>4760</v>
      </c>
      <c r="F2322">
        <v>11354</v>
      </c>
      <c r="G2322">
        <v>5189</v>
      </c>
      <c r="H2322">
        <v>60.8</v>
      </c>
      <c r="I2322">
        <v>55.6</v>
      </c>
      <c r="J2322">
        <v>66.099999999999994</v>
      </c>
      <c r="K2322">
        <v>637</v>
      </c>
      <c r="L2322">
        <v>333</v>
      </c>
      <c r="M2322">
        <v>940</v>
      </c>
      <c r="N2322">
        <v>4.8</v>
      </c>
      <c r="O2322">
        <v>3.3</v>
      </c>
      <c r="P2322">
        <v>6.4</v>
      </c>
      <c r="Q2322">
        <f t="shared" si="70"/>
        <v>5706398</v>
      </c>
      <c r="R2322">
        <f t="shared" si="71"/>
        <v>11.162908721053105</v>
      </c>
      <c r="U2322">
        <v>1206</v>
      </c>
      <c r="V2322">
        <v>643</v>
      </c>
      <c r="W2322">
        <v>1768</v>
      </c>
      <c r="X2322">
        <v>604</v>
      </c>
      <c r="Y2322">
        <v>66.599999999999994</v>
      </c>
      <c r="Z2322">
        <v>61.3</v>
      </c>
      <c r="AA2322">
        <v>71.900000000000006</v>
      </c>
    </row>
    <row r="2323" spans="1:27" x14ac:dyDescent="0.25">
      <c r="A2323" t="s">
        <v>247</v>
      </c>
      <c r="B2323" t="s">
        <v>193</v>
      </c>
      <c r="C2323" s="76">
        <v>43995</v>
      </c>
      <c r="D2323">
        <v>7602</v>
      </c>
      <c r="E2323">
        <v>4465</v>
      </c>
      <c r="F2323">
        <v>10738</v>
      </c>
      <c r="G2323">
        <v>5588</v>
      </c>
      <c r="H2323">
        <v>57.6</v>
      </c>
      <c r="I2323">
        <v>52.2</v>
      </c>
      <c r="J2323">
        <v>63.1</v>
      </c>
      <c r="K2323">
        <v>591</v>
      </c>
      <c r="L2323">
        <v>293</v>
      </c>
      <c r="M2323">
        <v>890</v>
      </c>
      <c r="N2323">
        <v>4.5</v>
      </c>
      <c r="O2323">
        <v>2.9</v>
      </c>
      <c r="P2323">
        <v>6</v>
      </c>
      <c r="Q2323">
        <f t="shared" si="70"/>
        <v>5706398</v>
      </c>
      <c r="R2323">
        <f t="shared" si="71"/>
        <v>10.356796003363241</v>
      </c>
      <c r="U2323">
        <v>1193</v>
      </c>
      <c r="V2323">
        <v>621</v>
      </c>
      <c r="W2323">
        <v>1764</v>
      </c>
      <c r="X2323">
        <v>625</v>
      </c>
      <c r="Y2323">
        <v>65.599999999999994</v>
      </c>
      <c r="Z2323">
        <v>60</v>
      </c>
      <c r="AA2323">
        <v>71.3</v>
      </c>
    </row>
    <row r="2324" spans="1:27" x14ac:dyDescent="0.25">
      <c r="A2324" t="s">
        <v>247</v>
      </c>
      <c r="B2324" t="s">
        <v>193</v>
      </c>
      <c r="C2324" s="76">
        <v>43996</v>
      </c>
      <c r="D2324">
        <v>7179</v>
      </c>
      <c r="E2324">
        <v>4238</v>
      </c>
      <c r="F2324">
        <v>10121</v>
      </c>
      <c r="G2324">
        <v>5980</v>
      </c>
      <c r="H2324">
        <v>54.6</v>
      </c>
      <c r="I2324">
        <v>49.7</v>
      </c>
      <c r="J2324">
        <v>59.4</v>
      </c>
      <c r="K2324">
        <v>611</v>
      </c>
      <c r="L2324">
        <v>316</v>
      </c>
      <c r="M2324">
        <v>905</v>
      </c>
      <c r="N2324">
        <v>4.5999999999999996</v>
      </c>
      <c r="O2324">
        <v>3.1</v>
      </c>
      <c r="P2324">
        <v>6.1</v>
      </c>
      <c r="Q2324">
        <f t="shared" si="70"/>
        <v>5706398</v>
      </c>
      <c r="R2324">
        <f t="shared" si="71"/>
        <v>10.707279793663183</v>
      </c>
      <c r="U2324">
        <v>1149</v>
      </c>
      <c r="V2324">
        <v>616</v>
      </c>
      <c r="W2324">
        <v>1683</v>
      </c>
      <c r="X2324">
        <v>664</v>
      </c>
      <c r="Y2324">
        <v>63.4</v>
      </c>
      <c r="Z2324">
        <v>57.3</v>
      </c>
      <c r="AA2324">
        <v>69.5</v>
      </c>
    </row>
    <row r="2325" spans="1:27" x14ac:dyDescent="0.25">
      <c r="A2325" t="s">
        <v>247</v>
      </c>
      <c r="B2325" t="s">
        <v>193</v>
      </c>
      <c r="C2325" s="76">
        <v>43997</v>
      </c>
      <c r="D2325">
        <v>7317</v>
      </c>
      <c r="E2325">
        <v>4337</v>
      </c>
      <c r="F2325">
        <v>10296</v>
      </c>
      <c r="G2325">
        <v>5832</v>
      </c>
      <c r="H2325">
        <v>55.6</v>
      </c>
      <c r="I2325">
        <v>50.6</v>
      </c>
      <c r="J2325">
        <v>60.7</v>
      </c>
      <c r="K2325">
        <v>555</v>
      </c>
      <c r="L2325">
        <v>277</v>
      </c>
      <c r="M2325">
        <v>833</v>
      </c>
      <c r="N2325">
        <v>4.2</v>
      </c>
      <c r="O2325">
        <v>2.8</v>
      </c>
      <c r="P2325">
        <v>5.7</v>
      </c>
      <c r="Q2325">
        <f t="shared" si="70"/>
        <v>5706398</v>
      </c>
      <c r="R2325">
        <f t="shared" si="71"/>
        <v>9.7259251808233493</v>
      </c>
      <c r="U2325">
        <v>1139</v>
      </c>
      <c r="V2325">
        <v>612</v>
      </c>
      <c r="W2325">
        <v>1667</v>
      </c>
      <c r="X2325">
        <v>674</v>
      </c>
      <c r="Y2325">
        <v>62.8</v>
      </c>
      <c r="Z2325">
        <v>56.1</v>
      </c>
      <c r="AA2325">
        <v>69.5</v>
      </c>
    </row>
    <row r="2326" spans="1:27" x14ac:dyDescent="0.25">
      <c r="A2326" t="s">
        <v>247</v>
      </c>
      <c r="B2326" t="s">
        <v>193</v>
      </c>
      <c r="C2326" s="76">
        <v>43998</v>
      </c>
      <c r="D2326">
        <v>7805</v>
      </c>
      <c r="E2326">
        <v>4466</v>
      </c>
      <c r="F2326">
        <v>11144</v>
      </c>
      <c r="G2326">
        <v>5322</v>
      </c>
      <c r="H2326">
        <v>59.5</v>
      </c>
      <c r="I2326">
        <v>54.7</v>
      </c>
      <c r="J2326">
        <v>64.2</v>
      </c>
      <c r="K2326">
        <v>610</v>
      </c>
      <c r="L2326">
        <v>288</v>
      </c>
      <c r="M2326">
        <v>933</v>
      </c>
      <c r="N2326">
        <v>4.5999999999999996</v>
      </c>
      <c r="O2326">
        <v>3</v>
      </c>
      <c r="P2326">
        <v>6.3</v>
      </c>
      <c r="Q2326">
        <f t="shared" si="70"/>
        <v>5706398</v>
      </c>
      <c r="R2326">
        <f t="shared" si="71"/>
        <v>10.689755604148186</v>
      </c>
      <c r="U2326">
        <v>1256</v>
      </c>
      <c r="V2326">
        <v>629</v>
      </c>
      <c r="W2326">
        <v>1882</v>
      </c>
      <c r="X2326">
        <v>646</v>
      </c>
      <c r="Y2326">
        <v>66</v>
      </c>
      <c r="Z2326">
        <v>58.7</v>
      </c>
      <c r="AA2326">
        <v>73.400000000000006</v>
      </c>
    </row>
    <row r="2327" spans="1:27" x14ac:dyDescent="0.25">
      <c r="A2327" t="s">
        <v>247</v>
      </c>
      <c r="B2327" t="s">
        <v>193</v>
      </c>
      <c r="C2327" s="76">
        <v>43999</v>
      </c>
      <c r="D2327">
        <v>7985</v>
      </c>
      <c r="E2327">
        <v>4688</v>
      </c>
      <c r="F2327">
        <v>11283</v>
      </c>
      <c r="G2327">
        <v>4962</v>
      </c>
      <c r="H2327">
        <v>61.7</v>
      </c>
      <c r="I2327">
        <v>56.8</v>
      </c>
      <c r="J2327">
        <v>66.599999999999994</v>
      </c>
      <c r="K2327">
        <v>606</v>
      </c>
      <c r="L2327">
        <v>300</v>
      </c>
      <c r="M2327">
        <v>913</v>
      </c>
      <c r="N2327">
        <v>4.7</v>
      </c>
      <c r="O2327">
        <v>3.2</v>
      </c>
      <c r="P2327">
        <v>6.2</v>
      </c>
      <c r="Q2327">
        <f t="shared" si="70"/>
        <v>5706398</v>
      </c>
      <c r="R2327">
        <f t="shared" si="71"/>
        <v>10.619658846088198</v>
      </c>
      <c r="U2327">
        <v>1267</v>
      </c>
      <c r="V2327">
        <v>635</v>
      </c>
      <c r="W2327">
        <v>1900</v>
      </c>
      <c r="X2327">
        <v>635</v>
      </c>
      <c r="Y2327">
        <v>66.599999999999994</v>
      </c>
      <c r="Z2327">
        <v>60.7</v>
      </c>
      <c r="AA2327">
        <v>72.599999999999994</v>
      </c>
    </row>
    <row r="2328" spans="1:27" x14ac:dyDescent="0.25">
      <c r="A2328" t="s">
        <v>247</v>
      </c>
      <c r="B2328" t="s">
        <v>193</v>
      </c>
      <c r="C2328" s="76">
        <v>44000</v>
      </c>
      <c r="D2328">
        <v>8048</v>
      </c>
      <c r="E2328">
        <v>4756</v>
      </c>
      <c r="F2328">
        <v>11339</v>
      </c>
      <c r="G2328">
        <v>5164</v>
      </c>
      <c r="H2328">
        <v>60.9</v>
      </c>
      <c r="I2328">
        <v>55.5</v>
      </c>
      <c r="J2328">
        <v>66.3</v>
      </c>
      <c r="K2328">
        <v>565</v>
      </c>
      <c r="L2328">
        <v>294</v>
      </c>
      <c r="M2328">
        <v>836</v>
      </c>
      <c r="N2328">
        <v>4.3</v>
      </c>
      <c r="O2328">
        <v>3</v>
      </c>
      <c r="P2328">
        <v>5.6</v>
      </c>
      <c r="Q2328">
        <f t="shared" si="70"/>
        <v>5706398</v>
      </c>
      <c r="R2328">
        <f t="shared" si="71"/>
        <v>9.901167075973321</v>
      </c>
      <c r="U2328">
        <v>1213</v>
      </c>
      <c r="V2328">
        <v>628</v>
      </c>
      <c r="W2328">
        <v>1799</v>
      </c>
      <c r="X2328">
        <v>624</v>
      </c>
      <c r="Y2328">
        <v>66.099999999999994</v>
      </c>
      <c r="Z2328">
        <v>59.9</v>
      </c>
      <c r="AA2328">
        <v>72.2</v>
      </c>
    </row>
    <row r="2329" spans="1:27" x14ac:dyDescent="0.25">
      <c r="A2329" t="s">
        <v>247</v>
      </c>
      <c r="B2329" t="s">
        <v>193</v>
      </c>
      <c r="C2329" s="76">
        <v>44001</v>
      </c>
      <c r="D2329">
        <v>8111</v>
      </c>
      <c r="E2329">
        <v>4718</v>
      </c>
      <c r="F2329">
        <v>11504</v>
      </c>
      <c r="G2329">
        <v>5130</v>
      </c>
      <c r="H2329">
        <v>61.3</v>
      </c>
      <c r="I2329">
        <v>55.6</v>
      </c>
      <c r="J2329">
        <v>67</v>
      </c>
      <c r="K2329">
        <v>567</v>
      </c>
      <c r="L2329">
        <v>301</v>
      </c>
      <c r="M2329">
        <v>833</v>
      </c>
      <c r="N2329">
        <v>4.3</v>
      </c>
      <c r="O2329">
        <v>3.1</v>
      </c>
      <c r="P2329">
        <v>5.5</v>
      </c>
      <c r="Q2329">
        <f t="shared" si="70"/>
        <v>5706398</v>
      </c>
      <c r="R2329">
        <f t="shared" si="71"/>
        <v>9.9362154550033139</v>
      </c>
      <c r="U2329">
        <v>1200</v>
      </c>
      <c r="V2329">
        <v>613</v>
      </c>
      <c r="W2329">
        <v>1787</v>
      </c>
      <c r="X2329">
        <v>631</v>
      </c>
      <c r="Y2329">
        <v>65.5</v>
      </c>
      <c r="Z2329">
        <v>58.7</v>
      </c>
      <c r="AA2329">
        <v>72.400000000000006</v>
      </c>
    </row>
    <row r="2330" spans="1:27" x14ac:dyDescent="0.25">
      <c r="A2330" t="s">
        <v>247</v>
      </c>
      <c r="B2330" t="s">
        <v>193</v>
      </c>
      <c r="C2330" s="76">
        <v>44002</v>
      </c>
      <c r="D2330">
        <v>7577</v>
      </c>
      <c r="E2330">
        <v>4434</v>
      </c>
      <c r="F2330">
        <v>10720</v>
      </c>
      <c r="G2330">
        <v>5600</v>
      </c>
      <c r="H2330">
        <v>57.5</v>
      </c>
      <c r="I2330">
        <v>52.4</v>
      </c>
      <c r="J2330">
        <v>62.6</v>
      </c>
      <c r="K2330">
        <v>537</v>
      </c>
      <c r="L2330">
        <v>280</v>
      </c>
      <c r="M2330">
        <v>793</v>
      </c>
      <c r="N2330">
        <v>4.0999999999999996</v>
      </c>
      <c r="O2330">
        <v>2.7</v>
      </c>
      <c r="P2330">
        <v>5.4</v>
      </c>
      <c r="Q2330">
        <f t="shared" si="70"/>
        <v>5706398</v>
      </c>
      <c r="R2330">
        <f t="shared" si="71"/>
        <v>9.4104897695534024</v>
      </c>
      <c r="U2330">
        <v>1194</v>
      </c>
      <c r="V2330">
        <v>619</v>
      </c>
      <c r="W2330">
        <v>1770</v>
      </c>
      <c r="X2330">
        <v>618</v>
      </c>
      <c r="Y2330">
        <v>65.900000000000006</v>
      </c>
      <c r="Z2330">
        <v>58.4</v>
      </c>
      <c r="AA2330">
        <v>73.400000000000006</v>
      </c>
    </row>
    <row r="2331" spans="1:27" x14ac:dyDescent="0.25">
      <c r="A2331" t="s">
        <v>247</v>
      </c>
      <c r="B2331" t="s">
        <v>193</v>
      </c>
      <c r="C2331" s="76">
        <v>44003</v>
      </c>
      <c r="D2331">
        <v>7304</v>
      </c>
      <c r="E2331">
        <v>4287</v>
      </c>
      <c r="F2331">
        <v>10321</v>
      </c>
      <c r="G2331">
        <v>6098</v>
      </c>
      <c r="H2331">
        <v>54.5</v>
      </c>
      <c r="I2331">
        <v>48.6</v>
      </c>
      <c r="J2331">
        <v>60.4</v>
      </c>
      <c r="K2331">
        <v>540</v>
      </c>
      <c r="L2331">
        <v>258</v>
      </c>
      <c r="M2331">
        <v>823</v>
      </c>
      <c r="N2331">
        <v>4</v>
      </c>
      <c r="O2331">
        <v>2.5</v>
      </c>
      <c r="P2331">
        <v>5.6</v>
      </c>
      <c r="Q2331">
        <f t="shared" si="70"/>
        <v>5706398</v>
      </c>
      <c r="R2331">
        <f t="shared" si="71"/>
        <v>9.4630623380983945</v>
      </c>
      <c r="U2331">
        <v>1197</v>
      </c>
      <c r="V2331">
        <v>588</v>
      </c>
      <c r="W2331">
        <v>1806</v>
      </c>
      <c r="X2331">
        <v>681</v>
      </c>
      <c r="Y2331">
        <v>63.7</v>
      </c>
      <c r="Z2331">
        <v>55.2</v>
      </c>
      <c r="AA2331">
        <v>72.2</v>
      </c>
    </row>
    <row r="2332" spans="1:27" x14ac:dyDescent="0.25">
      <c r="A2332" t="s">
        <v>247</v>
      </c>
      <c r="B2332" t="s">
        <v>193</v>
      </c>
      <c r="C2332" s="76">
        <v>44004</v>
      </c>
      <c r="D2332">
        <v>7488</v>
      </c>
      <c r="E2332">
        <v>4485</v>
      </c>
      <c r="F2332">
        <v>10491</v>
      </c>
      <c r="G2332">
        <v>5714</v>
      </c>
      <c r="H2332">
        <v>56.7</v>
      </c>
      <c r="I2332">
        <v>51.6</v>
      </c>
      <c r="J2332">
        <v>61.8</v>
      </c>
      <c r="K2332">
        <v>543</v>
      </c>
      <c r="L2332">
        <v>276</v>
      </c>
      <c r="M2332">
        <v>811</v>
      </c>
      <c r="N2332">
        <v>4.0999999999999996</v>
      </c>
      <c r="O2332">
        <v>2.7</v>
      </c>
      <c r="P2332">
        <v>5.5</v>
      </c>
      <c r="Q2332">
        <f t="shared" si="70"/>
        <v>5706398</v>
      </c>
      <c r="R2332">
        <f t="shared" si="71"/>
        <v>9.5156349066433847</v>
      </c>
      <c r="U2332">
        <v>1135</v>
      </c>
      <c r="V2332">
        <v>591</v>
      </c>
      <c r="W2332">
        <v>1680</v>
      </c>
      <c r="X2332">
        <v>675</v>
      </c>
      <c r="Y2332">
        <v>62.7</v>
      </c>
      <c r="Z2332">
        <v>55.5</v>
      </c>
      <c r="AA2332">
        <v>69.900000000000006</v>
      </c>
    </row>
    <row r="2333" spans="1:27" x14ac:dyDescent="0.25">
      <c r="A2333" t="s">
        <v>247</v>
      </c>
      <c r="B2333" t="s">
        <v>193</v>
      </c>
      <c r="C2333" s="76">
        <v>44005</v>
      </c>
      <c r="D2333">
        <v>7935</v>
      </c>
      <c r="E2333">
        <v>4690</v>
      </c>
      <c r="F2333">
        <v>11179</v>
      </c>
      <c r="G2333">
        <v>5112</v>
      </c>
      <c r="H2333">
        <v>60.8</v>
      </c>
      <c r="I2333">
        <v>55.8</v>
      </c>
      <c r="J2333">
        <v>65.8</v>
      </c>
      <c r="K2333">
        <v>538</v>
      </c>
      <c r="L2333">
        <v>269</v>
      </c>
      <c r="M2333">
        <v>808</v>
      </c>
      <c r="N2333">
        <v>4.0999999999999996</v>
      </c>
      <c r="O2333">
        <v>2.8</v>
      </c>
      <c r="P2333">
        <v>5.5</v>
      </c>
      <c r="Q2333">
        <f t="shared" si="70"/>
        <v>5706398</v>
      </c>
      <c r="R2333">
        <f t="shared" si="71"/>
        <v>9.4280139590683998</v>
      </c>
      <c r="U2333">
        <v>1150</v>
      </c>
      <c r="V2333">
        <v>591</v>
      </c>
      <c r="W2333">
        <v>1708</v>
      </c>
      <c r="X2333">
        <v>658</v>
      </c>
      <c r="Y2333">
        <v>63.6</v>
      </c>
      <c r="Z2333">
        <v>56.6</v>
      </c>
      <c r="AA2333">
        <v>70.599999999999994</v>
      </c>
    </row>
    <row r="2334" spans="1:27" x14ac:dyDescent="0.25">
      <c r="A2334" t="s">
        <v>247</v>
      </c>
      <c r="B2334" t="s">
        <v>193</v>
      </c>
      <c r="C2334" s="76">
        <v>44006</v>
      </c>
      <c r="D2334">
        <v>8097</v>
      </c>
      <c r="E2334">
        <v>4631</v>
      </c>
      <c r="F2334">
        <v>11562</v>
      </c>
      <c r="G2334">
        <v>4931</v>
      </c>
      <c r="H2334">
        <v>62.2</v>
      </c>
      <c r="I2334">
        <v>57.5</v>
      </c>
      <c r="J2334">
        <v>66.8</v>
      </c>
      <c r="K2334">
        <v>582</v>
      </c>
      <c r="L2334">
        <v>283</v>
      </c>
      <c r="M2334">
        <v>882</v>
      </c>
      <c r="N2334">
        <v>4.5</v>
      </c>
      <c r="O2334">
        <v>2.8</v>
      </c>
      <c r="P2334">
        <v>6.1</v>
      </c>
      <c r="Q2334">
        <f t="shared" si="70"/>
        <v>5706398</v>
      </c>
      <c r="R2334">
        <f t="shared" si="71"/>
        <v>10.199078297728269</v>
      </c>
      <c r="U2334">
        <v>1245</v>
      </c>
      <c r="V2334">
        <v>614</v>
      </c>
      <c r="W2334">
        <v>1877</v>
      </c>
      <c r="X2334">
        <v>626</v>
      </c>
      <c r="Y2334">
        <v>66.5</v>
      </c>
      <c r="Z2334">
        <v>60.5</v>
      </c>
      <c r="AA2334">
        <v>72.599999999999994</v>
      </c>
    </row>
    <row r="2335" spans="1:27" x14ac:dyDescent="0.25">
      <c r="A2335" t="s">
        <v>247</v>
      </c>
      <c r="B2335" t="s">
        <v>193</v>
      </c>
      <c r="C2335" s="76">
        <v>44007</v>
      </c>
      <c r="D2335">
        <v>8206</v>
      </c>
      <c r="E2335">
        <v>4855</v>
      </c>
      <c r="F2335">
        <v>11556</v>
      </c>
      <c r="G2335">
        <v>5008</v>
      </c>
      <c r="H2335">
        <v>62.1</v>
      </c>
      <c r="I2335">
        <v>56.9</v>
      </c>
      <c r="J2335">
        <v>67.3</v>
      </c>
      <c r="K2335">
        <v>541</v>
      </c>
      <c r="L2335">
        <v>284</v>
      </c>
      <c r="M2335">
        <v>797</v>
      </c>
      <c r="N2335">
        <v>4.0999999999999996</v>
      </c>
      <c r="O2335">
        <v>2.8</v>
      </c>
      <c r="P2335">
        <v>5.4</v>
      </c>
      <c r="Q2335">
        <f t="shared" si="70"/>
        <v>5706398</v>
      </c>
      <c r="R2335">
        <f t="shared" si="71"/>
        <v>9.4805865276133918</v>
      </c>
      <c r="U2335">
        <v>1194</v>
      </c>
      <c r="V2335">
        <v>615</v>
      </c>
      <c r="W2335">
        <v>1773</v>
      </c>
      <c r="X2335">
        <v>636</v>
      </c>
      <c r="Y2335">
        <v>65.3</v>
      </c>
      <c r="Z2335">
        <v>58.6</v>
      </c>
      <c r="AA2335">
        <v>71.900000000000006</v>
      </c>
    </row>
    <row r="2336" spans="1:27" x14ac:dyDescent="0.25">
      <c r="A2336" t="s">
        <v>247</v>
      </c>
      <c r="B2336" t="s">
        <v>193</v>
      </c>
      <c r="C2336" s="76">
        <v>44008</v>
      </c>
      <c r="D2336">
        <v>8145</v>
      </c>
      <c r="E2336">
        <v>4799</v>
      </c>
      <c r="F2336">
        <v>11491</v>
      </c>
      <c r="G2336">
        <v>4981</v>
      </c>
      <c r="H2336">
        <v>62.1</v>
      </c>
      <c r="I2336">
        <v>56.7</v>
      </c>
      <c r="J2336">
        <v>67.400000000000006</v>
      </c>
      <c r="K2336">
        <v>492</v>
      </c>
      <c r="L2336">
        <v>250</v>
      </c>
      <c r="M2336">
        <v>735</v>
      </c>
      <c r="N2336">
        <v>3.7</v>
      </c>
      <c r="O2336">
        <v>2.5</v>
      </c>
      <c r="P2336">
        <v>5</v>
      </c>
      <c r="Q2336">
        <f t="shared" si="70"/>
        <v>5706398</v>
      </c>
      <c r="R2336">
        <f t="shared" si="71"/>
        <v>8.6219012413785361</v>
      </c>
      <c r="U2336">
        <v>1222</v>
      </c>
      <c r="V2336">
        <v>635</v>
      </c>
      <c r="W2336">
        <v>1809</v>
      </c>
      <c r="X2336">
        <v>609</v>
      </c>
      <c r="Y2336">
        <v>66.7</v>
      </c>
      <c r="Z2336">
        <v>60.7</v>
      </c>
      <c r="AA2336">
        <v>72.8</v>
      </c>
    </row>
    <row r="2337" spans="1:27" x14ac:dyDescent="0.25">
      <c r="A2337" t="s">
        <v>247</v>
      </c>
      <c r="B2337" t="s">
        <v>193</v>
      </c>
      <c r="C2337" s="76">
        <v>44009</v>
      </c>
      <c r="D2337">
        <v>7831</v>
      </c>
      <c r="E2337">
        <v>4549</v>
      </c>
      <c r="F2337">
        <v>11112</v>
      </c>
      <c r="G2337">
        <v>5497</v>
      </c>
      <c r="H2337">
        <v>58.8</v>
      </c>
      <c r="I2337">
        <v>53.2</v>
      </c>
      <c r="J2337">
        <v>64.3</v>
      </c>
      <c r="K2337">
        <v>483</v>
      </c>
      <c r="L2337">
        <v>241</v>
      </c>
      <c r="M2337">
        <v>725</v>
      </c>
      <c r="N2337">
        <v>3.6</v>
      </c>
      <c r="O2337">
        <v>2.2999999999999998</v>
      </c>
      <c r="P2337">
        <v>4.9000000000000004</v>
      </c>
      <c r="Q2337">
        <f t="shared" si="70"/>
        <v>5706398</v>
      </c>
      <c r="R2337">
        <f t="shared" si="71"/>
        <v>8.4641835357435635</v>
      </c>
      <c r="U2337">
        <v>1216</v>
      </c>
      <c r="V2337">
        <v>610</v>
      </c>
      <c r="W2337">
        <v>1822</v>
      </c>
      <c r="X2337">
        <v>687</v>
      </c>
      <c r="Y2337">
        <v>63.9</v>
      </c>
      <c r="Z2337">
        <v>57.7</v>
      </c>
      <c r="AA2337">
        <v>70.099999999999994</v>
      </c>
    </row>
    <row r="2338" spans="1:27" x14ac:dyDescent="0.25">
      <c r="A2338" t="s">
        <v>247</v>
      </c>
      <c r="B2338" t="s">
        <v>193</v>
      </c>
      <c r="C2338" s="76">
        <v>44010</v>
      </c>
      <c r="D2338">
        <v>7312</v>
      </c>
      <c r="E2338">
        <v>4344</v>
      </c>
      <c r="F2338">
        <v>10280</v>
      </c>
      <c r="G2338">
        <v>5769</v>
      </c>
      <c r="H2338">
        <v>55.9</v>
      </c>
      <c r="I2338">
        <v>51</v>
      </c>
      <c r="J2338">
        <v>60.8</v>
      </c>
      <c r="K2338">
        <v>448</v>
      </c>
      <c r="L2338">
        <v>229</v>
      </c>
      <c r="M2338">
        <v>667</v>
      </c>
      <c r="N2338">
        <v>3.4</v>
      </c>
      <c r="O2338">
        <v>2.2999999999999998</v>
      </c>
      <c r="P2338">
        <v>4.5999999999999996</v>
      </c>
      <c r="Q2338">
        <f t="shared" si="70"/>
        <v>5706398</v>
      </c>
      <c r="R2338">
        <f t="shared" si="71"/>
        <v>7.8508369027186671</v>
      </c>
      <c r="U2338">
        <v>1103</v>
      </c>
      <c r="V2338">
        <v>571</v>
      </c>
      <c r="W2338">
        <v>1635</v>
      </c>
      <c r="X2338">
        <v>731</v>
      </c>
      <c r="Y2338">
        <v>60.1</v>
      </c>
      <c r="Z2338">
        <v>53</v>
      </c>
      <c r="AA2338">
        <v>67.3</v>
      </c>
    </row>
    <row r="2339" spans="1:27" x14ac:dyDescent="0.25">
      <c r="A2339" t="s">
        <v>247</v>
      </c>
      <c r="B2339" t="s">
        <v>193</v>
      </c>
      <c r="C2339" s="76">
        <v>44011</v>
      </c>
      <c r="D2339">
        <v>7402</v>
      </c>
      <c r="E2339">
        <v>4393</v>
      </c>
      <c r="F2339">
        <v>10410</v>
      </c>
      <c r="G2339">
        <v>5725</v>
      </c>
      <c r="H2339">
        <v>56.4</v>
      </c>
      <c r="I2339">
        <v>51.1</v>
      </c>
      <c r="J2339">
        <v>61.7</v>
      </c>
      <c r="K2339">
        <v>483</v>
      </c>
      <c r="L2339">
        <v>256</v>
      </c>
      <c r="M2339">
        <v>709</v>
      </c>
      <c r="N2339">
        <v>3.7</v>
      </c>
      <c r="O2339">
        <v>2.5</v>
      </c>
      <c r="P2339">
        <v>4.8</v>
      </c>
      <c r="Q2339">
        <f t="shared" si="70"/>
        <v>5706398</v>
      </c>
      <c r="R2339">
        <f t="shared" si="71"/>
        <v>8.4641835357435635</v>
      </c>
      <c r="U2339">
        <v>1065</v>
      </c>
      <c r="V2339">
        <v>554</v>
      </c>
      <c r="W2339">
        <v>1576</v>
      </c>
      <c r="X2339">
        <v>765</v>
      </c>
      <c r="Y2339">
        <v>58.2</v>
      </c>
      <c r="Z2339">
        <v>50.8</v>
      </c>
      <c r="AA2339">
        <v>65.599999999999994</v>
      </c>
    </row>
    <row r="2340" spans="1:27" x14ac:dyDescent="0.25">
      <c r="A2340" t="s">
        <v>247</v>
      </c>
      <c r="B2340" t="s">
        <v>193</v>
      </c>
      <c r="C2340" s="76">
        <v>44012</v>
      </c>
      <c r="D2340">
        <v>7780</v>
      </c>
      <c r="E2340">
        <v>4604</v>
      </c>
      <c r="F2340">
        <v>10956</v>
      </c>
      <c r="G2340">
        <v>5365</v>
      </c>
      <c r="H2340">
        <v>59.2</v>
      </c>
      <c r="I2340">
        <v>53.8</v>
      </c>
      <c r="J2340">
        <v>64.5</v>
      </c>
      <c r="K2340">
        <v>463</v>
      </c>
      <c r="L2340">
        <v>240</v>
      </c>
      <c r="M2340">
        <v>685</v>
      </c>
      <c r="N2340">
        <v>3.5</v>
      </c>
      <c r="O2340">
        <v>2.2999999999999998</v>
      </c>
      <c r="P2340">
        <v>4.7</v>
      </c>
      <c r="Q2340">
        <f t="shared" si="70"/>
        <v>5706398</v>
      </c>
      <c r="R2340">
        <f t="shared" si="71"/>
        <v>8.1136997454436237</v>
      </c>
      <c r="U2340">
        <v>1138</v>
      </c>
      <c r="V2340">
        <v>596</v>
      </c>
      <c r="W2340">
        <v>1680</v>
      </c>
      <c r="X2340">
        <v>714</v>
      </c>
      <c r="Y2340">
        <v>61.4</v>
      </c>
      <c r="Z2340">
        <v>54.5</v>
      </c>
      <c r="AA2340">
        <v>68.400000000000006</v>
      </c>
    </row>
    <row r="2341" spans="1:27" x14ac:dyDescent="0.25">
      <c r="A2341" t="s">
        <v>247</v>
      </c>
      <c r="B2341" t="s">
        <v>193</v>
      </c>
      <c r="C2341" s="76">
        <v>44013</v>
      </c>
      <c r="D2341">
        <v>8115</v>
      </c>
      <c r="E2341">
        <v>4839</v>
      </c>
      <c r="F2341">
        <v>11391</v>
      </c>
      <c r="G2341">
        <v>5075</v>
      </c>
      <c r="H2341">
        <v>61.5</v>
      </c>
      <c r="I2341">
        <v>55.9</v>
      </c>
      <c r="J2341">
        <v>67.099999999999994</v>
      </c>
      <c r="K2341">
        <v>459</v>
      </c>
      <c r="L2341">
        <v>232</v>
      </c>
      <c r="M2341">
        <v>686</v>
      </c>
      <c r="N2341">
        <v>3.5</v>
      </c>
      <c r="O2341">
        <v>2.2999999999999998</v>
      </c>
      <c r="P2341">
        <v>4.5999999999999996</v>
      </c>
      <c r="Q2341">
        <f t="shared" si="70"/>
        <v>5706398</v>
      </c>
      <c r="R2341">
        <f t="shared" si="71"/>
        <v>8.0436029873836361</v>
      </c>
      <c r="U2341">
        <v>1199</v>
      </c>
      <c r="V2341">
        <v>621</v>
      </c>
      <c r="W2341">
        <v>1776</v>
      </c>
      <c r="X2341">
        <v>660</v>
      </c>
      <c r="Y2341">
        <v>64.5</v>
      </c>
      <c r="Z2341">
        <v>55.8</v>
      </c>
      <c r="AA2341">
        <v>73.2</v>
      </c>
    </row>
    <row r="2342" spans="1:27" x14ac:dyDescent="0.25">
      <c r="A2342" t="s">
        <v>247</v>
      </c>
      <c r="B2342" t="s">
        <v>193</v>
      </c>
      <c r="C2342" s="76">
        <v>44014</v>
      </c>
      <c r="D2342">
        <v>8057</v>
      </c>
      <c r="E2342">
        <v>4794</v>
      </c>
      <c r="F2342">
        <v>11320</v>
      </c>
      <c r="G2342">
        <v>5002</v>
      </c>
      <c r="H2342">
        <v>61.7</v>
      </c>
      <c r="I2342">
        <v>56.6</v>
      </c>
      <c r="J2342">
        <v>66.8</v>
      </c>
      <c r="K2342">
        <v>476</v>
      </c>
      <c r="L2342">
        <v>246</v>
      </c>
      <c r="M2342">
        <v>706</v>
      </c>
      <c r="N2342">
        <v>3.6</v>
      </c>
      <c r="O2342">
        <v>2.5</v>
      </c>
      <c r="P2342">
        <v>4.8</v>
      </c>
      <c r="Q2342">
        <f t="shared" si="70"/>
        <v>5706398</v>
      </c>
      <c r="R2342">
        <f t="shared" si="71"/>
        <v>8.3415142091385839</v>
      </c>
      <c r="U2342">
        <v>1176</v>
      </c>
      <c r="V2342">
        <v>613</v>
      </c>
      <c r="W2342">
        <v>1740</v>
      </c>
      <c r="X2342">
        <v>659</v>
      </c>
      <c r="Y2342">
        <v>64.099999999999994</v>
      </c>
      <c r="Z2342">
        <v>57.4</v>
      </c>
      <c r="AA2342">
        <v>70.8</v>
      </c>
    </row>
    <row r="2343" spans="1:27" x14ac:dyDescent="0.25">
      <c r="A2343" t="s">
        <v>247</v>
      </c>
      <c r="B2343" t="s">
        <v>193</v>
      </c>
      <c r="C2343" s="76">
        <v>44015</v>
      </c>
      <c r="D2343">
        <v>7818</v>
      </c>
      <c r="E2343">
        <v>4687</v>
      </c>
      <c r="F2343">
        <v>10950</v>
      </c>
      <c r="G2343">
        <v>5157</v>
      </c>
      <c r="H2343">
        <v>60.3</v>
      </c>
      <c r="I2343">
        <v>55.3</v>
      </c>
      <c r="J2343">
        <v>65.2</v>
      </c>
      <c r="K2343">
        <v>448</v>
      </c>
      <c r="L2343">
        <v>230</v>
      </c>
      <c r="M2343">
        <v>665</v>
      </c>
      <c r="N2343">
        <v>3.5</v>
      </c>
      <c r="O2343">
        <v>2.2999999999999998</v>
      </c>
      <c r="P2343">
        <v>4.5999999999999996</v>
      </c>
      <c r="Q2343">
        <f t="shared" ref="Q2343:Q2406" si="72">VLOOKUP(B2343,$AE$4:$AF$55,2,FALSE)</f>
        <v>5706398</v>
      </c>
      <c r="R2343">
        <f t="shared" si="71"/>
        <v>7.8508369027186671</v>
      </c>
      <c r="U2343">
        <v>1197</v>
      </c>
      <c r="V2343">
        <v>628</v>
      </c>
      <c r="W2343">
        <v>1765</v>
      </c>
      <c r="X2343">
        <v>645</v>
      </c>
      <c r="Y2343">
        <v>65</v>
      </c>
      <c r="Z2343">
        <v>58.2</v>
      </c>
      <c r="AA2343">
        <v>71.7</v>
      </c>
    </row>
    <row r="2344" spans="1:27" x14ac:dyDescent="0.25">
      <c r="A2344" t="s">
        <v>247</v>
      </c>
      <c r="B2344" t="s">
        <v>193</v>
      </c>
      <c r="C2344" s="76">
        <v>44016</v>
      </c>
      <c r="D2344">
        <v>7193</v>
      </c>
      <c r="E2344">
        <v>4314</v>
      </c>
      <c r="F2344">
        <v>10072</v>
      </c>
      <c r="G2344">
        <v>5791</v>
      </c>
      <c r="H2344">
        <v>55.4</v>
      </c>
      <c r="I2344">
        <v>50.3</v>
      </c>
      <c r="J2344">
        <v>60.5</v>
      </c>
      <c r="K2344">
        <v>416</v>
      </c>
      <c r="L2344">
        <v>217</v>
      </c>
      <c r="M2344">
        <v>615</v>
      </c>
      <c r="N2344">
        <v>3.2</v>
      </c>
      <c r="O2344">
        <v>2.2000000000000002</v>
      </c>
      <c r="P2344">
        <v>4.2</v>
      </c>
      <c r="Q2344">
        <f t="shared" si="72"/>
        <v>5706398</v>
      </c>
      <c r="R2344">
        <f t="shared" si="71"/>
        <v>7.2900628382387627</v>
      </c>
      <c r="U2344">
        <v>1132</v>
      </c>
      <c r="V2344">
        <v>598</v>
      </c>
      <c r="W2344">
        <v>1667</v>
      </c>
      <c r="X2344">
        <v>691</v>
      </c>
      <c r="Y2344">
        <v>62.1</v>
      </c>
      <c r="Z2344">
        <v>55.1</v>
      </c>
      <c r="AA2344">
        <v>69.099999999999994</v>
      </c>
    </row>
    <row r="2345" spans="1:27" x14ac:dyDescent="0.25">
      <c r="A2345" t="s">
        <v>247</v>
      </c>
      <c r="B2345" t="s">
        <v>193</v>
      </c>
      <c r="C2345" s="76">
        <v>44017</v>
      </c>
      <c r="D2345">
        <v>7036</v>
      </c>
      <c r="E2345">
        <v>4209</v>
      </c>
      <c r="F2345">
        <v>9863</v>
      </c>
      <c r="G2345">
        <v>5917</v>
      </c>
      <c r="H2345">
        <v>54.3</v>
      </c>
      <c r="I2345">
        <v>49.2</v>
      </c>
      <c r="J2345">
        <v>59.5</v>
      </c>
      <c r="K2345">
        <v>426</v>
      </c>
      <c r="L2345">
        <v>218</v>
      </c>
      <c r="M2345">
        <v>635</v>
      </c>
      <c r="N2345">
        <v>3.3</v>
      </c>
      <c r="O2345">
        <v>2.2000000000000002</v>
      </c>
      <c r="P2345">
        <v>4.4000000000000004</v>
      </c>
      <c r="Q2345">
        <f t="shared" si="72"/>
        <v>5706398</v>
      </c>
      <c r="R2345">
        <f t="shared" si="71"/>
        <v>7.4653047333887326</v>
      </c>
      <c r="U2345">
        <v>1092</v>
      </c>
      <c r="V2345">
        <v>574</v>
      </c>
      <c r="W2345">
        <v>1611</v>
      </c>
      <c r="X2345">
        <v>745</v>
      </c>
      <c r="Y2345">
        <v>59.4</v>
      </c>
      <c r="Z2345">
        <v>51.9</v>
      </c>
      <c r="AA2345">
        <v>66.900000000000006</v>
      </c>
    </row>
    <row r="2346" spans="1:27" x14ac:dyDescent="0.25">
      <c r="A2346" t="s">
        <v>247</v>
      </c>
      <c r="B2346" t="s">
        <v>193</v>
      </c>
      <c r="C2346" s="76">
        <v>44018</v>
      </c>
      <c r="D2346">
        <v>7316</v>
      </c>
      <c r="E2346">
        <v>4402</v>
      </c>
      <c r="F2346">
        <v>10230</v>
      </c>
      <c r="G2346">
        <v>5642</v>
      </c>
      <c r="H2346">
        <v>56.5</v>
      </c>
      <c r="I2346">
        <v>51.1</v>
      </c>
      <c r="J2346">
        <v>61.8</v>
      </c>
      <c r="K2346">
        <v>457</v>
      </c>
      <c r="L2346">
        <v>241</v>
      </c>
      <c r="M2346">
        <v>673</v>
      </c>
      <c r="N2346">
        <v>3.5</v>
      </c>
      <c r="O2346">
        <v>2.4</v>
      </c>
      <c r="P2346">
        <v>4.5999999999999996</v>
      </c>
      <c r="Q2346">
        <f t="shared" si="72"/>
        <v>5706398</v>
      </c>
      <c r="R2346">
        <f t="shared" si="71"/>
        <v>8.0085546083536414</v>
      </c>
      <c r="U2346">
        <v>1093</v>
      </c>
      <c r="V2346">
        <v>589</v>
      </c>
      <c r="W2346">
        <v>1597</v>
      </c>
      <c r="X2346">
        <v>739</v>
      </c>
      <c r="Y2346">
        <v>59.7</v>
      </c>
      <c r="Z2346">
        <v>51.5</v>
      </c>
      <c r="AA2346">
        <v>67.8</v>
      </c>
    </row>
    <row r="2347" spans="1:27" x14ac:dyDescent="0.25">
      <c r="A2347" t="s">
        <v>247</v>
      </c>
      <c r="B2347" t="s">
        <v>193</v>
      </c>
      <c r="C2347" s="76">
        <v>44019</v>
      </c>
      <c r="D2347">
        <v>7948</v>
      </c>
      <c r="E2347">
        <v>4766</v>
      </c>
      <c r="F2347">
        <v>11130</v>
      </c>
      <c r="G2347">
        <v>5051</v>
      </c>
      <c r="H2347">
        <v>61.1</v>
      </c>
      <c r="I2347">
        <v>55.9</v>
      </c>
      <c r="J2347">
        <v>66.400000000000006</v>
      </c>
      <c r="K2347">
        <v>481</v>
      </c>
      <c r="L2347">
        <v>251</v>
      </c>
      <c r="M2347">
        <v>710</v>
      </c>
      <c r="N2347">
        <v>3.7</v>
      </c>
      <c r="O2347">
        <v>2.6</v>
      </c>
      <c r="P2347">
        <v>4.8</v>
      </c>
      <c r="Q2347">
        <f t="shared" si="72"/>
        <v>5706398</v>
      </c>
      <c r="R2347">
        <f t="shared" si="71"/>
        <v>8.4291351567135706</v>
      </c>
      <c r="U2347">
        <v>1125</v>
      </c>
      <c r="V2347">
        <v>601</v>
      </c>
      <c r="W2347">
        <v>1650</v>
      </c>
      <c r="X2347">
        <v>719</v>
      </c>
      <c r="Y2347">
        <v>61</v>
      </c>
      <c r="Z2347">
        <v>53.2</v>
      </c>
      <c r="AA2347">
        <v>68.8</v>
      </c>
    </row>
    <row r="2348" spans="1:27" x14ac:dyDescent="0.25">
      <c r="A2348" t="s">
        <v>248</v>
      </c>
      <c r="B2348" t="s">
        <v>189</v>
      </c>
      <c r="C2348" s="76">
        <v>43922</v>
      </c>
      <c r="D2348">
        <v>9790</v>
      </c>
      <c r="E2348">
        <v>2814</v>
      </c>
      <c r="F2348">
        <v>16766</v>
      </c>
      <c r="G2348">
        <v>7790</v>
      </c>
      <c r="H2348">
        <v>55.7</v>
      </c>
      <c r="I2348">
        <v>47.5</v>
      </c>
      <c r="J2348">
        <v>63.8</v>
      </c>
      <c r="K2348">
        <v>553</v>
      </c>
      <c r="L2348">
        <v>0</v>
      </c>
      <c r="M2348">
        <v>1107</v>
      </c>
      <c r="N2348">
        <v>3.1</v>
      </c>
      <c r="O2348">
        <v>1.2</v>
      </c>
      <c r="P2348">
        <v>5.0999999999999996</v>
      </c>
      <c r="Q2348">
        <f t="shared" si="72"/>
        <v>6169038</v>
      </c>
      <c r="R2348">
        <f t="shared" si="71"/>
        <v>8.9641204998250945</v>
      </c>
      <c r="U2348">
        <v>1541</v>
      </c>
      <c r="V2348">
        <v>0</v>
      </c>
      <c r="W2348">
        <v>3119</v>
      </c>
      <c r="X2348">
        <v>1201</v>
      </c>
      <c r="Y2348">
        <v>56.2</v>
      </c>
      <c r="Z2348">
        <v>27.3</v>
      </c>
      <c r="AA2348">
        <v>85.1</v>
      </c>
    </row>
    <row r="2349" spans="1:27" x14ac:dyDescent="0.25">
      <c r="A2349" t="s">
        <v>248</v>
      </c>
      <c r="B2349" t="s">
        <v>189</v>
      </c>
      <c r="C2349" s="76">
        <v>43923</v>
      </c>
      <c r="D2349">
        <v>9144</v>
      </c>
      <c r="E2349">
        <v>2818</v>
      </c>
      <c r="F2349">
        <v>15470</v>
      </c>
      <c r="G2349">
        <v>8459</v>
      </c>
      <c r="H2349">
        <v>51.9</v>
      </c>
      <c r="I2349">
        <v>43.4</v>
      </c>
      <c r="J2349">
        <v>60.5</v>
      </c>
      <c r="K2349">
        <v>497</v>
      </c>
      <c r="L2349">
        <v>107</v>
      </c>
      <c r="M2349">
        <v>886</v>
      </c>
      <c r="N2349">
        <v>2.8</v>
      </c>
      <c r="O2349">
        <v>1.4</v>
      </c>
      <c r="P2349">
        <v>4.2</v>
      </c>
      <c r="Q2349">
        <f t="shared" si="72"/>
        <v>6169038</v>
      </c>
      <c r="R2349">
        <f t="shared" si="71"/>
        <v>8.0563614618681214</v>
      </c>
      <c r="U2349">
        <v>1416</v>
      </c>
      <c r="V2349">
        <v>0</v>
      </c>
      <c r="W2349">
        <v>2834</v>
      </c>
      <c r="X2349">
        <v>1361</v>
      </c>
      <c r="Y2349">
        <v>51</v>
      </c>
      <c r="Z2349">
        <v>25.9</v>
      </c>
      <c r="AA2349">
        <v>76.2</v>
      </c>
    </row>
    <row r="2350" spans="1:27" x14ac:dyDescent="0.25">
      <c r="A2350" t="s">
        <v>248</v>
      </c>
      <c r="B2350" t="s">
        <v>189</v>
      </c>
      <c r="C2350" s="76">
        <v>43924</v>
      </c>
      <c r="D2350">
        <v>9475</v>
      </c>
      <c r="E2350">
        <v>3622</v>
      </c>
      <c r="F2350">
        <v>15328</v>
      </c>
      <c r="G2350">
        <v>8664</v>
      </c>
      <c r="H2350">
        <v>52.2</v>
      </c>
      <c r="I2350">
        <v>43.3</v>
      </c>
      <c r="J2350">
        <v>61.2</v>
      </c>
      <c r="K2350">
        <v>574</v>
      </c>
      <c r="L2350">
        <v>221</v>
      </c>
      <c r="M2350">
        <v>927</v>
      </c>
      <c r="N2350">
        <v>3.2</v>
      </c>
      <c r="O2350">
        <v>2.1</v>
      </c>
      <c r="P2350">
        <v>4.3</v>
      </c>
      <c r="Q2350">
        <f t="shared" si="72"/>
        <v>6169038</v>
      </c>
      <c r="R2350">
        <f t="shared" si="71"/>
        <v>9.3045301390589579</v>
      </c>
      <c r="U2350">
        <v>1718</v>
      </c>
      <c r="V2350">
        <v>79</v>
      </c>
      <c r="W2350">
        <v>3358</v>
      </c>
      <c r="X2350">
        <v>1491</v>
      </c>
      <c r="Y2350">
        <v>53.5</v>
      </c>
      <c r="Z2350">
        <v>36.4</v>
      </c>
      <c r="AA2350">
        <v>70.7</v>
      </c>
    </row>
    <row r="2351" spans="1:27" x14ac:dyDescent="0.25">
      <c r="A2351" t="s">
        <v>248</v>
      </c>
      <c r="B2351" t="s">
        <v>189</v>
      </c>
      <c r="C2351" s="76">
        <v>43925</v>
      </c>
      <c r="D2351">
        <v>9212</v>
      </c>
      <c r="E2351">
        <v>3386</v>
      </c>
      <c r="F2351">
        <v>15038</v>
      </c>
      <c r="G2351">
        <v>9295</v>
      </c>
      <c r="H2351">
        <v>49.8</v>
      </c>
      <c r="I2351">
        <v>41.7</v>
      </c>
      <c r="J2351">
        <v>57.8</v>
      </c>
      <c r="K2351">
        <v>506</v>
      </c>
      <c r="L2351">
        <v>167</v>
      </c>
      <c r="M2351">
        <v>846</v>
      </c>
      <c r="N2351">
        <v>2.7</v>
      </c>
      <c r="O2351">
        <v>1.8</v>
      </c>
      <c r="P2351">
        <v>3.7</v>
      </c>
      <c r="Q2351">
        <f t="shared" si="72"/>
        <v>6169038</v>
      </c>
      <c r="R2351">
        <f t="shared" si="71"/>
        <v>8.2022513072540644</v>
      </c>
      <c r="U2351">
        <v>1812</v>
      </c>
      <c r="V2351">
        <v>120</v>
      </c>
      <c r="W2351">
        <v>3503</v>
      </c>
      <c r="X2351">
        <v>1431</v>
      </c>
      <c r="Y2351">
        <v>55.9</v>
      </c>
      <c r="Z2351">
        <v>40.4</v>
      </c>
      <c r="AA2351">
        <v>71.400000000000006</v>
      </c>
    </row>
    <row r="2352" spans="1:27" x14ac:dyDescent="0.25">
      <c r="A2352" t="s">
        <v>248</v>
      </c>
      <c r="B2352" t="s">
        <v>189</v>
      </c>
      <c r="C2352" s="76">
        <v>43926</v>
      </c>
      <c r="D2352">
        <v>10100</v>
      </c>
      <c r="E2352">
        <v>3877</v>
      </c>
      <c r="F2352">
        <v>16323</v>
      </c>
      <c r="G2352">
        <v>11637</v>
      </c>
      <c r="H2352">
        <v>46.5</v>
      </c>
      <c r="I2352">
        <v>40.799999999999997</v>
      </c>
      <c r="J2352">
        <v>52.2</v>
      </c>
      <c r="K2352">
        <v>844</v>
      </c>
      <c r="L2352">
        <v>37</v>
      </c>
      <c r="M2352">
        <v>1652</v>
      </c>
      <c r="N2352">
        <v>3.9</v>
      </c>
      <c r="O2352">
        <v>1.8</v>
      </c>
      <c r="P2352">
        <v>6</v>
      </c>
      <c r="Q2352">
        <f t="shared" si="72"/>
        <v>6169038</v>
      </c>
      <c r="R2352">
        <f t="shared" si="71"/>
        <v>13.681225500637215</v>
      </c>
      <c r="U2352">
        <v>1972</v>
      </c>
      <c r="V2352">
        <v>344</v>
      </c>
      <c r="W2352">
        <v>3599</v>
      </c>
      <c r="X2352">
        <v>1358</v>
      </c>
      <c r="Y2352">
        <v>59.2</v>
      </c>
      <c r="Z2352">
        <v>47.2</v>
      </c>
      <c r="AA2352">
        <v>71.2</v>
      </c>
    </row>
    <row r="2353" spans="1:27" x14ac:dyDescent="0.25">
      <c r="A2353" t="s">
        <v>248</v>
      </c>
      <c r="B2353" t="s">
        <v>189</v>
      </c>
      <c r="C2353" s="76">
        <v>43927</v>
      </c>
      <c r="D2353">
        <v>9955</v>
      </c>
      <c r="E2353">
        <v>5403</v>
      </c>
      <c r="F2353">
        <v>14507</v>
      </c>
      <c r="G2353">
        <v>11337</v>
      </c>
      <c r="H2353">
        <v>46.8</v>
      </c>
      <c r="I2353">
        <v>41.4</v>
      </c>
      <c r="J2353">
        <v>52.1</v>
      </c>
      <c r="K2353">
        <v>1035</v>
      </c>
      <c r="L2353">
        <v>434</v>
      </c>
      <c r="M2353">
        <v>1636</v>
      </c>
      <c r="N2353">
        <v>4.9000000000000004</v>
      </c>
      <c r="O2353">
        <v>3.3</v>
      </c>
      <c r="P2353">
        <v>6.4</v>
      </c>
      <c r="Q2353">
        <f t="shared" si="72"/>
        <v>6169038</v>
      </c>
      <c r="R2353">
        <f t="shared" si="71"/>
        <v>16.777332219383315</v>
      </c>
      <c r="U2353">
        <v>1669</v>
      </c>
      <c r="V2353">
        <v>456</v>
      </c>
      <c r="W2353">
        <v>2882</v>
      </c>
      <c r="X2353">
        <v>1162</v>
      </c>
      <c r="Y2353">
        <v>59</v>
      </c>
      <c r="Z2353">
        <v>48.6</v>
      </c>
      <c r="AA2353">
        <v>69.3</v>
      </c>
    </row>
    <row r="2354" spans="1:27" x14ac:dyDescent="0.25">
      <c r="A2354" t="s">
        <v>248</v>
      </c>
      <c r="B2354" t="s">
        <v>189</v>
      </c>
      <c r="C2354" s="76">
        <v>43928</v>
      </c>
      <c r="D2354">
        <v>10020</v>
      </c>
      <c r="E2354">
        <v>5632</v>
      </c>
      <c r="F2354">
        <v>14409</v>
      </c>
      <c r="G2354">
        <v>10713</v>
      </c>
      <c r="H2354">
        <v>48.3</v>
      </c>
      <c r="I2354">
        <v>42.8</v>
      </c>
      <c r="J2354">
        <v>53.9</v>
      </c>
      <c r="K2354">
        <v>1039</v>
      </c>
      <c r="L2354">
        <v>437</v>
      </c>
      <c r="M2354">
        <v>1641</v>
      </c>
      <c r="N2354">
        <v>5</v>
      </c>
      <c r="O2354">
        <v>3.2</v>
      </c>
      <c r="P2354">
        <v>6.8</v>
      </c>
      <c r="Q2354">
        <f t="shared" si="72"/>
        <v>6169038</v>
      </c>
      <c r="R2354">
        <f t="shared" si="71"/>
        <v>16.842172150665956</v>
      </c>
      <c r="U2354">
        <v>1998</v>
      </c>
      <c r="V2354">
        <v>648</v>
      </c>
      <c r="W2354">
        <v>3348</v>
      </c>
      <c r="X2354">
        <v>1433</v>
      </c>
      <c r="Y2354">
        <v>58.2</v>
      </c>
      <c r="Z2354">
        <v>49</v>
      </c>
      <c r="AA2354">
        <v>67.5</v>
      </c>
    </row>
    <row r="2355" spans="1:27" x14ac:dyDescent="0.25">
      <c r="A2355" t="s">
        <v>248</v>
      </c>
      <c r="B2355" t="s">
        <v>189</v>
      </c>
      <c r="C2355" s="76">
        <v>43929</v>
      </c>
      <c r="D2355">
        <v>10333</v>
      </c>
      <c r="E2355">
        <v>5830</v>
      </c>
      <c r="F2355">
        <v>14836</v>
      </c>
      <c r="G2355">
        <v>10594</v>
      </c>
      <c r="H2355">
        <v>49.4</v>
      </c>
      <c r="I2355">
        <v>44.3</v>
      </c>
      <c r="J2355">
        <v>54.5</v>
      </c>
      <c r="K2355">
        <v>1133</v>
      </c>
      <c r="L2355">
        <v>486</v>
      </c>
      <c r="M2355">
        <v>1780</v>
      </c>
      <c r="N2355">
        <v>5.4</v>
      </c>
      <c r="O2355">
        <v>3.8</v>
      </c>
      <c r="P2355">
        <v>7</v>
      </c>
      <c r="Q2355">
        <f t="shared" si="72"/>
        <v>6169038</v>
      </c>
      <c r="R2355">
        <f t="shared" si="71"/>
        <v>18.365910535808013</v>
      </c>
      <c r="U2355">
        <v>1984</v>
      </c>
      <c r="V2355">
        <v>636</v>
      </c>
      <c r="W2355">
        <v>3331</v>
      </c>
      <c r="X2355">
        <v>1458</v>
      </c>
      <c r="Y2355">
        <v>57.6</v>
      </c>
      <c r="Z2355">
        <v>48.6</v>
      </c>
      <c r="AA2355">
        <v>66.7</v>
      </c>
    </row>
    <row r="2356" spans="1:27" x14ac:dyDescent="0.25">
      <c r="A2356" t="s">
        <v>248</v>
      </c>
      <c r="B2356" t="s">
        <v>189</v>
      </c>
      <c r="C2356" s="76">
        <v>43930</v>
      </c>
      <c r="D2356">
        <v>9810</v>
      </c>
      <c r="E2356">
        <v>5720</v>
      </c>
      <c r="F2356">
        <v>13901</v>
      </c>
      <c r="G2356">
        <v>10158</v>
      </c>
      <c r="H2356">
        <v>49.1</v>
      </c>
      <c r="I2356">
        <v>43.8</v>
      </c>
      <c r="J2356">
        <v>54.5</v>
      </c>
      <c r="K2356">
        <v>967</v>
      </c>
      <c r="L2356">
        <v>406</v>
      </c>
      <c r="M2356">
        <v>1527</v>
      </c>
      <c r="N2356">
        <v>4.8</v>
      </c>
      <c r="O2356">
        <v>3.3</v>
      </c>
      <c r="P2356">
        <v>6.4</v>
      </c>
      <c r="Q2356">
        <f t="shared" si="72"/>
        <v>6169038</v>
      </c>
      <c r="R2356">
        <f t="shared" si="71"/>
        <v>15.675053387578419</v>
      </c>
      <c r="U2356">
        <v>1703</v>
      </c>
      <c r="V2356">
        <v>635</v>
      </c>
      <c r="W2356">
        <v>2772</v>
      </c>
      <c r="X2356">
        <v>1325</v>
      </c>
      <c r="Y2356">
        <v>56.3</v>
      </c>
      <c r="Z2356">
        <v>47.5</v>
      </c>
      <c r="AA2356">
        <v>65</v>
      </c>
    </row>
    <row r="2357" spans="1:27" x14ac:dyDescent="0.25">
      <c r="A2357" t="s">
        <v>248</v>
      </c>
      <c r="B2357" t="s">
        <v>189</v>
      </c>
      <c r="C2357" s="76">
        <v>43931</v>
      </c>
      <c r="D2357">
        <v>9616</v>
      </c>
      <c r="E2357">
        <v>5578</v>
      </c>
      <c r="F2357">
        <v>13653</v>
      </c>
      <c r="G2357">
        <v>10551</v>
      </c>
      <c r="H2357">
        <v>47.7</v>
      </c>
      <c r="I2357">
        <v>42.7</v>
      </c>
      <c r="J2357">
        <v>52.7</v>
      </c>
      <c r="K2357">
        <v>985</v>
      </c>
      <c r="L2357">
        <v>411</v>
      </c>
      <c r="M2357">
        <v>1558</v>
      </c>
      <c r="N2357">
        <v>4.9000000000000004</v>
      </c>
      <c r="O2357">
        <v>3.3</v>
      </c>
      <c r="P2357">
        <v>6.5</v>
      </c>
      <c r="Q2357">
        <f t="shared" si="72"/>
        <v>6169038</v>
      </c>
      <c r="R2357">
        <f t="shared" si="71"/>
        <v>15.966833078350303</v>
      </c>
      <c r="U2357">
        <v>1729</v>
      </c>
      <c r="V2357">
        <v>659</v>
      </c>
      <c r="W2357">
        <v>2800</v>
      </c>
      <c r="X2357">
        <v>1291</v>
      </c>
      <c r="Y2357">
        <v>57.3</v>
      </c>
      <c r="Z2357">
        <v>48.5</v>
      </c>
      <c r="AA2357">
        <v>66</v>
      </c>
    </row>
    <row r="2358" spans="1:27" x14ac:dyDescent="0.25">
      <c r="A2358" t="s">
        <v>248</v>
      </c>
      <c r="B2358" t="s">
        <v>189</v>
      </c>
      <c r="C2358" s="76">
        <v>43932</v>
      </c>
      <c r="D2358">
        <v>9560</v>
      </c>
      <c r="E2358">
        <v>5375</v>
      </c>
      <c r="F2358">
        <v>13746</v>
      </c>
      <c r="G2358">
        <v>11462</v>
      </c>
      <c r="H2358">
        <v>45.5</v>
      </c>
      <c r="I2358">
        <v>40.4</v>
      </c>
      <c r="J2358">
        <v>50.5</v>
      </c>
      <c r="K2358">
        <v>978</v>
      </c>
      <c r="L2358">
        <v>361</v>
      </c>
      <c r="M2358">
        <v>1595</v>
      </c>
      <c r="N2358">
        <v>4.7</v>
      </c>
      <c r="O2358">
        <v>2.9</v>
      </c>
      <c r="P2358">
        <v>6.4</v>
      </c>
      <c r="Q2358">
        <f t="shared" si="72"/>
        <v>6169038</v>
      </c>
      <c r="R2358">
        <f t="shared" si="71"/>
        <v>15.853363198605681</v>
      </c>
      <c r="U2358">
        <v>1823</v>
      </c>
      <c r="V2358">
        <v>691</v>
      </c>
      <c r="W2358">
        <v>2956</v>
      </c>
      <c r="X2358">
        <v>1366</v>
      </c>
      <c r="Y2358">
        <v>57.2</v>
      </c>
      <c r="Z2358">
        <v>47</v>
      </c>
      <c r="AA2358">
        <v>67.400000000000006</v>
      </c>
    </row>
    <row r="2359" spans="1:27" x14ac:dyDescent="0.25">
      <c r="A2359" t="s">
        <v>248</v>
      </c>
      <c r="B2359" t="s">
        <v>189</v>
      </c>
      <c r="C2359" s="76">
        <v>43933</v>
      </c>
      <c r="D2359">
        <v>10023</v>
      </c>
      <c r="E2359">
        <v>5593</v>
      </c>
      <c r="F2359">
        <v>14454</v>
      </c>
      <c r="G2359">
        <v>11001</v>
      </c>
      <c r="H2359">
        <v>47.7</v>
      </c>
      <c r="I2359">
        <v>41</v>
      </c>
      <c r="J2359">
        <v>54.4</v>
      </c>
      <c r="K2359">
        <v>858</v>
      </c>
      <c r="L2359">
        <v>304</v>
      </c>
      <c r="M2359">
        <v>1411</v>
      </c>
      <c r="N2359">
        <v>4.0999999999999996</v>
      </c>
      <c r="O2359">
        <v>2.5</v>
      </c>
      <c r="P2359">
        <v>5.7</v>
      </c>
      <c r="Q2359">
        <f t="shared" si="72"/>
        <v>6169038</v>
      </c>
      <c r="R2359">
        <f t="shared" si="71"/>
        <v>13.908165260126458</v>
      </c>
      <c r="U2359">
        <v>1753</v>
      </c>
      <c r="V2359">
        <v>610</v>
      </c>
      <c r="W2359">
        <v>2896</v>
      </c>
      <c r="X2359">
        <v>1333</v>
      </c>
      <c r="Y2359">
        <v>56.8</v>
      </c>
      <c r="Z2359">
        <v>44.4</v>
      </c>
      <c r="AA2359">
        <v>69.2</v>
      </c>
    </row>
    <row r="2360" spans="1:27" x14ac:dyDescent="0.25">
      <c r="A2360" t="s">
        <v>248</v>
      </c>
      <c r="B2360" t="s">
        <v>189</v>
      </c>
      <c r="C2360" s="76">
        <v>43934</v>
      </c>
      <c r="D2360">
        <v>9623</v>
      </c>
      <c r="E2360">
        <v>5727</v>
      </c>
      <c r="F2360">
        <v>13519</v>
      </c>
      <c r="G2360">
        <v>10609</v>
      </c>
      <c r="H2360">
        <v>47.6</v>
      </c>
      <c r="I2360">
        <v>41.4</v>
      </c>
      <c r="J2360">
        <v>53.7</v>
      </c>
      <c r="K2360">
        <v>1005</v>
      </c>
      <c r="L2360">
        <v>461</v>
      </c>
      <c r="M2360">
        <v>1550</v>
      </c>
      <c r="N2360">
        <v>5</v>
      </c>
      <c r="O2360">
        <v>3.6</v>
      </c>
      <c r="P2360">
        <v>6.4</v>
      </c>
      <c r="Q2360">
        <f t="shared" si="72"/>
        <v>6169038</v>
      </c>
      <c r="R2360">
        <f t="shared" si="71"/>
        <v>16.291032734763508</v>
      </c>
      <c r="U2360">
        <v>1556</v>
      </c>
      <c r="V2360">
        <v>691</v>
      </c>
      <c r="W2360">
        <v>2421</v>
      </c>
      <c r="X2360">
        <v>1346</v>
      </c>
      <c r="Y2360">
        <v>53.6</v>
      </c>
      <c r="Z2360">
        <v>44.3</v>
      </c>
      <c r="AA2360">
        <v>63</v>
      </c>
    </row>
    <row r="2361" spans="1:27" x14ac:dyDescent="0.25">
      <c r="A2361" t="s">
        <v>248</v>
      </c>
      <c r="B2361" t="s">
        <v>189</v>
      </c>
      <c r="C2361" s="76">
        <v>43935</v>
      </c>
      <c r="D2361">
        <v>10080</v>
      </c>
      <c r="E2361">
        <v>6237</v>
      </c>
      <c r="F2361">
        <v>13923</v>
      </c>
      <c r="G2361">
        <v>10290</v>
      </c>
      <c r="H2361">
        <v>49.5</v>
      </c>
      <c r="I2361">
        <v>44.3</v>
      </c>
      <c r="J2361">
        <v>54.6</v>
      </c>
      <c r="K2361">
        <v>971</v>
      </c>
      <c r="L2361">
        <v>480</v>
      </c>
      <c r="M2361">
        <v>1462</v>
      </c>
      <c r="N2361">
        <v>4.8</v>
      </c>
      <c r="O2361">
        <v>3.5</v>
      </c>
      <c r="P2361">
        <v>6.1</v>
      </c>
      <c r="Q2361">
        <f t="shared" si="72"/>
        <v>6169038</v>
      </c>
      <c r="R2361">
        <f t="shared" si="71"/>
        <v>15.739893318861061</v>
      </c>
      <c r="U2361">
        <v>1650</v>
      </c>
      <c r="V2361">
        <v>785</v>
      </c>
      <c r="W2361">
        <v>2514</v>
      </c>
      <c r="X2361">
        <v>1206</v>
      </c>
      <c r="Y2361">
        <v>57.8</v>
      </c>
      <c r="Z2361">
        <v>49</v>
      </c>
      <c r="AA2361">
        <v>66.599999999999994</v>
      </c>
    </row>
    <row r="2362" spans="1:27" x14ac:dyDescent="0.25">
      <c r="A2362" t="s">
        <v>248</v>
      </c>
      <c r="B2362" t="s">
        <v>189</v>
      </c>
      <c r="C2362" s="76">
        <v>43936</v>
      </c>
      <c r="D2362">
        <v>9638</v>
      </c>
      <c r="E2362">
        <v>6320</v>
      </c>
      <c r="F2362">
        <v>12957</v>
      </c>
      <c r="G2362">
        <v>11800</v>
      </c>
      <c r="H2362">
        <v>45</v>
      </c>
      <c r="I2362">
        <v>40.6</v>
      </c>
      <c r="J2362">
        <v>49.3</v>
      </c>
      <c r="K2362">
        <v>930</v>
      </c>
      <c r="L2362">
        <v>505</v>
      </c>
      <c r="M2362">
        <v>1355</v>
      </c>
      <c r="N2362">
        <v>4.3</v>
      </c>
      <c r="O2362">
        <v>3.1</v>
      </c>
      <c r="P2362">
        <v>5.6</v>
      </c>
      <c r="Q2362">
        <f t="shared" si="72"/>
        <v>6169038</v>
      </c>
      <c r="R2362">
        <f t="shared" si="71"/>
        <v>15.075284023213992</v>
      </c>
      <c r="U2362">
        <v>1631</v>
      </c>
      <c r="V2362">
        <v>748</v>
      </c>
      <c r="W2362">
        <v>2514</v>
      </c>
      <c r="X2362">
        <v>1254</v>
      </c>
      <c r="Y2362">
        <v>56.5</v>
      </c>
      <c r="Z2362">
        <v>38.6</v>
      </c>
      <c r="AA2362">
        <v>74.400000000000006</v>
      </c>
    </row>
    <row r="2363" spans="1:27" x14ac:dyDescent="0.25">
      <c r="A2363" t="s">
        <v>248</v>
      </c>
      <c r="B2363" t="s">
        <v>189</v>
      </c>
      <c r="C2363" s="76">
        <v>43937</v>
      </c>
      <c r="D2363">
        <v>9573</v>
      </c>
      <c r="E2363">
        <v>6289</v>
      </c>
      <c r="F2363">
        <v>12856</v>
      </c>
      <c r="G2363">
        <v>11724</v>
      </c>
      <c r="H2363">
        <v>44.9</v>
      </c>
      <c r="I2363">
        <v>39.9</v>
      </c>
      <c r="J2363">
        <v>50</v>
      </c>
      <c r="K2363">
        <v>860</v>
      </c>
      <c r="L2363">
        <v>463</v>
      </c>
      <c r="M2363">
        <v>1258</v>
      </c>
      <c r="N2363">
        <v>4</v>
      </c>
      <c r="O2363">
        <v>2.9</v>
      </c>
      <c r="P2363">
        <v>5.2</v>
      </c>
      <c r="Q2363">
        <f t="shared" si="72"/>
        <v>6169038</v>
      </c>
      <c r="R2363">
        <f t="shared" si="71"/>
        <v>13.940585225767778</v>
      </c>
      <c r="U2363">
        <v>1622</v>
      </c>
      <c r="V2363">
        <v>768</v>
      </c>
      <c r="W2363">
        <v>2476</v>
      </c>
      <c r="X2363">
        <v>1253</v>
      </c>
      <c r="Y2363">
        <v>56.4</v>
      </c>
      <c r="Z2363">
        <v>39.5</v>
      </c>
      <c r="AA2363">
        <v>73.3</v>
      </c>
    </row>
    <row r="2364" spans="1:27" x14ac:dyDescent="0.25">
      <c r="A2364" t="s">
        <v>248</v>
      </c>
      <c r="B2364" t="s">
        <v>189</v>
      </c>
      <c r="C2364" s="76">
        <v>43938</v>
      </c>
      <c r="D2364">
        <v>9700</v>
      </c>
      <c r="E2364">
        <v>6322</v>
      </c>
      <c r="F2364">
        <v>13078</v>
      </c>
      <c r="G2364">
        <v>12067</v>
      </c>
      <c r="H2364">
        <v>44.6</v>
      </c>
      <c r="I2364">
        <v>39.5</v>
      </c>
      <c r="J2364">
        <v>49.6</v>
      </c>
      <c r="K2364">
        <v>919</v>
      </c>
      <c r="L2364">
        <v>489</v>
      </c>
      <c r="M2364">
        <v>1349</v>
      </c>
      <c r="N2364">
        <v>4.2</v>
      </c>
      <c r="O2364">
        <v>3</v>
      </c>
      <c r="P2364">
        <v>5.4</v>
      </c>
      <c r="Q2364">
        <f t="shared" si="72"/>
        <v>6169038</v>
      </c>
      <c r="R2364">
        <f t="shared" si="71"/>
        <v>14.896974212186731</v>
      </c>
      <c r="U2364">
        <v>1667</v>
      </c>
      <c r="V2364">
        <v>777</v>
      </c>
      <c r="W2364">
        <v>2557</v>
      </c>
      <c r="X2364">
        <v>1346</v>
      </c>
      <c r="Y2364">
        <v>55.3</v>
      </c>
      <c r="Z2364">
        <v>37.6</v>
      </c>
      <c r="AA2364">
        <v>73</v>
      </c>
    </row>
    <row r="2365" spans="1:27" x14ac:dyDescent="0.25">
      <c r="A2365" t="s">
        <v>248</v>
      </c>
      <c r="B2365" t="s">
        <v>189</v>
      </c>
      <c r="C2365" s="76">
        <v>43939</v>
      </c>
      <c r="D2365">
        <v>9485</v>
      </c>
      <c r="E2365">
        <v>6169</v>
      </c>
      <c r="F2365">
        <v>12802</v>
      </c>
      <c r="G2365">
        <v>12318</v>
      </c>
      <c r="H2365">
        <v>43.5</v>
      </c>
      <c r="I2365">
        <v>38.5</v>
      </c>
      <c r="J2365">
        <v>48.5</v>
      </c>
      <c r="K2365">
        <v>839</v>
      </c>
      <c r="L2365">
        <v>432</v>
      </c>
      <c r="M2365">
        <v>1246</v>
      </c>
      <c r="N2365">
        <v>3.8</v>
      </c>
      <c r="O2365">
        <v>2.7</v>
      </c>
      <c r="P2365">
        <v>5</v>
      </c>
      <c r="Q2365">
        <f t="shared" si="72"/>
        <v>6169038</v>
      </c>
      <c r="R2365">
        <f t="shared" si="71"/>
        <v>13.600175586533913</v>
      </c>
      <c r="U2365">
        <v>1630</v>
      </c>
      <c r="V2365">
        <v>746</v>
      </c>
      <c r="W2365">
        <v>2514</v>
      </c>
      <c r="X2365">
        <v>1343</v>
      </c>
      <c r="Y2365">
        <v>54.8</v>
      </c>
      <c r="Z2365">
        <v>37.299999999999997</v>
      </c>
      <c r="AA2365">
        <v>72.400000000000006</v>
      </c>
    </row>
    <row r="2366" spans="1:27" x14ac:dyDescent="0.25">
      <c r="A2366" t="s">
        <v>248</v>
      </c>
      <c r="B2366" t="s">
        <v>189</v>
      </c>
      <c r="C2366" s="76">
        <v>43940</v>
      </c>
      <c r="D2366">
        <v>9182</v>
      </c>
      <c r="E2366">
        <v>6007</v>
      </c>
      <c r="F2366">
        <v>12358</v>
      </c>
      <c r="G2366">
        <v>12521</v>
      </c>
      <c r="H2366">
        <v>42.3</v>
      </c>
      <c r="I2366">
        <v>38.1</v>
      </c>
      <c r="J2366">
        <v>46.5</v>
      </c>
      <c r="K2366">
        <v>854</v>
      </c>
      <c r="L2366">
        <v>443</v>
      </c>
      <c r="M2366">
        <v>1264</v>
      </c>
      <c r="N2366">
        <v>3.9</v>
      </c>
      <c r="O2366">
        <v>2.8</v>
      </c>
      <c r="P2366">
        <v>5.0999999999999996</v>
      </c>
      <c r="Q2366">
        <f t="shared" si="72"/>
        <v>6169038</v>
      </c>
      <c r="R2366">
        <f t="shared" si="71"/>
        <v>13.843325328843816</v>
      </c>
      <c r="U2366">
        <v>1618</v>
      </c>
      <c r="V2366">
        <v>746</v>
      </c>
      <c r="W2366">
        <v>2490</v>
      </c>
      <c r="X2366">
        <v>1316</v>
      </c>
      <c r="Y2366">
        <v>55.1</v>
      </c>
      <c r="Z2366">
        <v>37.5</v>
      </c>
      <c r="AA2366">
        <v>72.8</v>
      </c>
    </row>
    <row r="2367" spans="1:27" x14ac:dyDescent="0.25">
      <c r="A2367" t="s">
        <v>248</v>
      </c>
      <c r="B2367" t="s">
        <v>189</v>
      </c>
      <c r="C2367" s="76">
        <v>43941</v>
      </c>
      <c r="D2367">
        <v>9721</v>
      </c>
      <c r="E2367">
        <v>6372</v>
      </c>
      <c r="F2367">
        <v>13070</v>
      </c>
      <c r="G2367">
        <v>11722</v>
      </c>
      <c r="H2367">
        <v>45.3</v>
      </c>
      <c r="I2367">
        <v>41</v>
      </c>
      <c r="J2367">
        <v>49.7</v>
      </c>
      <c r="K2367">
        <v>942</v>
      </c>
      <c r="L2367">
        <v>480</v>
      </c>
      <c r="M2367">
        <v>1403</v>
      </c>
      <c r="N2367">
        <v>4.4000000000000004</v>
      </c>
      <c r="O2367">
        <v>3</v>
      </c>
      <c r="P2367">
        <v>5.8</v>
      </c>
      <c r="Q2367">
        <f t="shared" si="72"/>
        <v>6169038</v>
      </c>
      <c r="R2367">
        <f t="shared" si="71"/>
        <v>15.269803817061915</v>
      </c>
      <c r="U2367">
        <v>1640</v>
      </c>
      <c r="V2367">
        <v>784</v>
      </c>
      <c r="W2367">
        <v>2496</v>
      </c>
      <c r="X2367">
        <v>1290</v>
      </c>
      <c r="Y2367">
        <v>56</v>
      </c>
      <c r="Z2367">
        <v>38.700000000000003</v>
      </c>
      <c r="AA2367">
        <v>73.2</v>
      </c>
    </row>
    <row r="2368" spans="1:27" x14ac:dyDescent="0.25">
      <c r="A2368" t="s">
        <v>248</v>
      </c>
      <c r="B2368" t="s">
        <v>189</v>
      </c>
      <c r="C2368" s="76">
        <v>43942</v>
      </c>
      <c r="D2368">
        <v>10170</v>
      </c>
      <c r="E2368">
        <v>6888</v>
      </c>
      <c r="F2368">
        <v>13453</v>
      </c>
      <c r="G2368">
        <v>11668</v>
      </c>
      <c r="H2368">
        <v>46.6</v>
      </c>
      <c r="I2368">
        <v>42.7</v>
      </c>
      <c r="J2368">
        <v>50.4</v>
      </c>
      <c r="K2368">
        <v>1050</v>
      </c>
      <c r="L2368">
        <v>551</v>
      </c>
      <c r="M2368">
        <v>1549</v>
      </c>
      <c r="N2368">
        <v>4.8</v>
      </c>
      <c r="O2368">
        <v>3.4</v>
      </c>
      <c r="P2368">
        <v>6.2</v>
      </c>
      <c r="Q2368">
        <f t="shared" si="72"/>
        <v>6169038</v>
      </c>
      <c r="R2368">
        <f t="shared" si="71"/>
        <v>17.020481961693214</v>
      </c>
      <c r="U2368">
        <v>1676</v>
      </c>
      <c r="V2368">
        <v>839</v>
      </c>
      <c r="W2368">
        <v>2513</v>
      </c>
      <c r="X2368">
        <v>1353</v>
      </c>
      <c r="Y2368">
        <v>55.3</v>
      </c>
      <c r="Z2368">
        <v>41.8</v>
      </c>
      <c r="AA2368">
        <v>68.900000000000006</v>
      </c>
    </row>
    <row r="2369" spans="1:27" x14ac:dyDescent="0.25">
      <c r="A2369" t="s">
        <v>248</v>
      </c>
      <c r="B2369" t="s">
        <v>189</v>
      </c>
      <c r="C2369" s="76">
        <v>43943</v>
      </c>
      <c r="D2369">
        <v>10352</v>
      </c>
      <c r="E2369">
        <v>7134</v>
      </c>
      <c r="F2369">
        <v>13571</v>
      </c>
      <c r="G2369">
        <v>11530</v>
      </c>
      <c r="H2369">
        <v>47.3</v>
      </c>
      <c r="I2369">
        <v>43.6</v>
      </c>
      <c r="J2369">
        <v>51</v>
      </c>
      <c r="K2369">
        <v>1041</v>
      </c>
      <c r="L2369">
        <v>559</v>
      </c>
      <c r="M2369">
        <v>1524</v>
      </c>
      <c r="N2369">
        <v>4.8</v>
      </c>
      <c r="O2369">
        <v>3.3</v>
      </c>
      <c r="P2369">
        <v>6.2</v>
      </c>
      <c r="Q2369">
        <f t="shared" si="72"/>
        <v>6169038</v>
      </c>
      <c r="R2369">
        <f t="shared" si="71"/>
        <v>16.874592116307277</v>
      </c>
      <c r="U2369">
        <v>1718</v>
      </c>
      <c r="V2369">
        <v>897</v>
      </c>
      <c r="W2369">
        <v>2539</v>
      </c>
      <c r="X2369">
        <v>1397</v>
      </c>
      <c r="Y2369">
        <v>55.1</v>
      </c>
      <c r="Z2369">
        <v>42.4</v>
      </c>
      <c r="AA2369">
        <v>67.900000000000006</v>
      </c>
    </row>
    <row r="2370" spans="1:27" x14ac:dyDescent="0.25">
      <c r="A2370" t="s">
        <v>248</v>
      </c>
      <c r="B2370" t="s">
        <v>189</v>
      </c>
      <c r="C2370" s="76">
        <v>43944</v>
      </c>
      <c r="D2370">
        <v>10505</v>
      </c>
      <c r="E2370">
        <v>7221</v>
      </c>
      <c r="F2370">
        <v>13790</v>
      </c>
      <c r="G2370">
        <v>11388</v>
      </c>
      <c r="H2370">
        <v>48</v>
      </c>
      <c r="I2370">
        <v>44.4</v>
      </c>
      <c r="J2370">
        <v>51.5</v>
      </c>
      <c r="K2370">
        <v>1024</v>
      </c>
      <c r="L2370">
        <v>525</v>
      </c>
      <c r="M2370">
        <v>1522</v>
      </c>
      <c r="N2370">
        <v>4.7</v>
      </c>
      <c r="O2370">
        <v>3.2</v>
      </c>
      <c r="P2370">
        <v>6.2</v>
      </c>
      <c r="Q2370">
        <f t="shared" si="72"/>
        <v>6169038</v>
      </c>
      <c r="R2370">
        <f t="shared" si="71"/>
        <v>16.599022408356053</v>
      </c>
      <c r="U2370">
        <v>1689</v>
      </c>
      <c r="V2370">
        <v>887</v>
      </c>
      <c r="W2370">
        <v>2490</v>
      </c>
      <c r="X2370">
        <v>1412</v>
      </c>
      <c r="Y2370">
        <v>54.5</v>
      </c>
      <c r="Z2370">
        <v>45.4</v>
      </c>
      <c r="AA2370">
        <v>63.5</v>
      </c>
    </row>
    <row r="2371" spans="1:27" x14ac:dyDescent="0.25">
      <c r="A2371" t="s">
        <v>248</v>
      </c>
      <c r="B2371" t="s">
        <v>189</v>
      </c>
      <c r="C2371" s="76">
        <v>43945</v>
      </c>
      <c r="D2371">
        <v>10343</v>
      </c>
      <c r="E2371">
        <v>7076</v>
      </c>
      <c r="F2371">
        <v>13609</v>
      </c>
      <c r="G2371">
        <v>11558</v>
      </c>
      <c r="H2371">
        <v>47.2</v>
      </c>
      <c r="I2371">
        <v>43.4</v>
      </c>
      <c r="J2371">
        <v>51</v>
      </c>
      <c r="K2371">
        <v>1032</v>
      </c>
      <c r="L2371">
        <v>553</v>
      </c>
      <c r="M2371">
        <v>1511</v>
      </c>
      <c r="N2371">
        <v>4.7</v>
      </c>
      <c r="O2371">
        <v>3.3</v>
      </c>
      <c r="P2371">
        <v>6.2</v>
      </c>
      <c r="Q2371">
        <f t="shared" si="72"/>
        <v>6169038</v>
      </c>
      <c r="R2371">
        <f t="shared" si="71"/>
        <v>16.728702270921332</v>
      </c>
      <c r="U2371">
        <v>1599</v>
      </c>
      <c r="V2371">
        <v>831</v>
      </c>
      <c r="W2371">
        <v>2366</v>
      </c>
      <c r="X2371">
        <v>1502</v>
      </c>
      <c r="Y2371">
        <v>51.6</v>
      </c>
      <c r="Z2371">
        <v>43.7</v>
      </c>
      <c r="AA2371">
        <v>59.4</v>
      </c>
    </row>
    <row r="2372" spans="1:27" x14ac:dyDescent="0.25">
      <c r="A2372" t="s">
        <v>248</v>
      </c>
      <c r="B2372" t="s">
        <v>189</v>
      </c>
      <c r="C2372" s="76">
        <v>43946</v>
      </c>
      <c r="D2372">
        <v>9938</v>
      </c>
      <c r="E2372">
        <v>6744</v>
      </c>
      <c r="F2372">
        <v>13133</v>
      </c>
      <c r="G2372">
        <v>11915</v>
      </c>
      <c r="H2372">
        <v>45.5</v>
      </c>
      <c r="I2372">
        <v>41.4</v>
      </c>
      <c r="J2372">
        <v>49.5</v>
      </c>
      <c r="K2372">
        <v>1004</v>
      </c>
      <c r="L2372">
        <v>532</v>
      </c>
      <c r="M2372">
        <v>1476</v>
      </c>
      <c r="N2372">
        <v>4.5999999999999996</v>
      </c>
      <c r="O2372">
        <v>3.1</v>
      </c>
      <c r="P2372">
        <v>6</v>
      </c>
      <c r="Q2372">
        <f t="shared" si="72"/>
        <v>6169038</v>
      </c>
      <c r="R2372">
        <f t="shared" si="71"/>
        <v>16.274822751942846</v>
      </c>
      <c r="U2372">
        <v>1647</v>
      </c>
      <c r="V2372">
        <v>838</v>
      </c>
      <c r="W2372">
        <v>2455</v>
      </c>
      <c r="X2372">
        <v>1471</v>
      </c>
      <c r="Y2372">
        <v>52.8</v>
      </c>
      <c r="Z2372">
        <v>44.5</v>
      </c>
      <c r="AA2372">
        <v>61.1</v>
      </c>
    </row>
    <row r="2373" spans="1:27" x14ac:dyDescent="0.25">
      <c r="A2373" t="s">
        <v>248</v>
      </c>
      <c r="B2373" t="s">
        <v>189</v>
      </c>
      <c r="C2373" s="76">
        <v>43947</v>
      </c>
      <c r="D2373">
        <v>9818</v>
      </c>
      <c r="E2373">
        <v>6663</v>
      </c>
      <c r="F2373">
        <v>12974</v>
      </c>
      <c r="G2373">
        <v>11954</v>
      </c>
      <c r="H2373">
        <v>45.1</v>
      </c>
      <c r="I2373">
        <v>41.2</v>
      </c>
      <c r="J2373">
        <v>49</v>
      </c>
      <c r="K2373">
        <v>1021</v>
      </c>
      <c r="L2373">
        <v>543</v>
      </c>
      <c r="M2373">
        <v>1498</v>
      </c>
      <c r="N2373">
        <v>4.7</v>
      </c>
      <c r="O2373">
        <v>3.2</v>
      </c>
      <c r="P2373">
        <v>6.1</v>
      </c>
      <c r="Q2373">
        <f t="shared" si="72"/>
        <v>6169038</v>
      </c>
      <c r="R2373">
        <f t="shared" ref="R2373:R2436" si="73">K2373/(Q2373)*100000</f>
        <v>16.55039245989407</v>
      </c>
      <c r="U2373">
        <v>1590</v>
      </c>
      <c r="V2373">
        <v>821</v>
      </c>
      <c r="W2373">
        <v>2359</v>
      </c>
      <c r="X2373">
        <v>1508</v>
      </c>
      <c r="Y2373">
        <v>51.3</v>
      </c>
      <c r="Z2373">
        <v>43.4</v>
      </c>
      <c r="AA2373">
        <v>59.3</v>
      </c>
    </row>
    <row r="2374" spans="1:27" x14ac:dyDescent="0.25">
      <c r="A2374" t="s">
        <v>248</v>
      </c>
      <c r="B2374" t="s">
        <v>189</v>
      </c>
      <c r="C2374" s="76">
        <v>43948</v>
      </c>
      <c r="D2374">
        <v>10130</v>
      </c>
      <c r="E2374">
        <v>6910</v>
      </c>
      <c r="F2374">
        <v>13350</v>
      </c>
      <c r="G2374">
        <v>11463</v>
      </c>
      <c r="H2374">
        <v>46.9</v>
      </c>
      <c r="I2374">
        <v>42.9</v>
      </c>
      <c r="J2374">
        <v>50.9</v>
      </c>
      <c r="K2374">
        <v>1045</v>
      </c>
      <c r="L2374">
        <v>567</v>
      </c>
      <c r="M2374">
        <v>1523</v>
      </c>
      <c r="N2374">
        <v>4.8</v>
      </c>
      <c r="O2374">
        <v>3.4</v>
      </c>
      <c r="P2374">
        <v>6.3</v>
      </c>
      <c r="Q2374">
        <f t="shared" si="72"/>
        <v>6169038</v>
      </c>
      <c r="R2374">
        <f t="shared" si="73"/>
        <v>16.939432047589918</v>
      </c>
      <c r="U2374">
        <v>1611</v>
      </c>
      <c r="V2374">
        <v>861</v>
      </c>
      <c r="W2374">
        <v>2361</v>
      </c>
      <c r="X2374">
        <v>1455</v>
      </c>
      <c r="Y2374">
        <v>52.5</v>
      </c>
      <c r="Z2374">
        <v>45.4</v>
      </c>
      <c r="AA2374">
        <v>59.7</v>
      </c>
    </row>
    <row r="2375" spans="1:27" x14ac:dyDescent="0.25">
      <c r="A2375" t="s">
        <v>248</v>
      </c>
      <c r="B2375" t="s">
        <v>189</v>
      </c>
      <c r="C2375" s="76">
        <v>43949</v>
      </c>
      <c r="D2375">
        <v>10608</v>
      </c>
      <c r="E2375">
        <v>7294</v>
      </c>
      <c r="F2375">
        <v>13921</v>
      </c>
      <c r="G2375">
        <v>11145</v>
      </c>
      <c r="H2375">
        <v>48.8</v>
      </c>
      <c r="I2375">
        <v>44.4</v>
      </c>
      <c r="J2375">
        <v>53.1</v>
      </c>
      <c r="K2375">
        <v>1044</v>
      </c>
      <c r="L2375">
        <v>559</v>
      </c>
      <c r="M2375">
        <v>1529</v>
      </c>
      <c r="N2375">
        <v>4.8</v>
      </c>
      <c r="O2375">
        <v>3.3</v>
      </c>
      <c r="P2375">
        <v>6.3</v>
      </c>
      <c r="Q2375">
        <f t="shared" si="72"/>
        <v>6169038</v>
      </c>
      <c r="R2375">
        <f t="shared" si="73"/>
        <v>16.923222064769256</v>
      </c>
      <c r="U2375">
        <v>1698</v>
      </c>
      <c r="V2375">
        <v>965</v>
      </c>
      <c r="W2375">
        <v>2430</v>
      </c>
      <c r="X2375">
        <v>1385</v>
      </c>
      <c r="Y2375">
        <v>55.1</v>
      </c>
      <c r="Z2375">
        <v>48.1</v>
      </c>
      <c r="AA2375">
        <v>62</v>
      </c>
    </row>
    <row r="2376" spans="1:27" x14ac:dyDescent="0.25">
      <c r="A2376" t="s">
        <v>248</v>
      </c>
      <c r="B2376" t="s">
        <v>189</v>
      </c>
      <c r="C2376" s="76">
        <v>43950</v>
      </c>
      <c r="D2376">
        <v>10714</v>
      </c>
      <c r="E2376">
        <v>7340</v>
      </c>
      <c r="F2376">
        <v>14088</v>
      </c>
      <c r="G2376">
        <v>11225</v>
      </c>
      <c r="H2376">
        <v>48.8</v>
      </c>
      <c r="I2376">
        <v>44.5</v>
      </c>
      <c r="J2376">
        <v>53.2</v>
      </c>
      <c r="K2376">
        <v>1134</v>
      </c>
      <c r="L2376">
        <v>618</v>
      </c>
      <c r="M2376">
        <v>1649</v>
      </c>
      <c r="N2376">
        <v>5.2</v>
      </c>
      <c r="O2376">
        <v>3.7</v>
      </c>
      <c r="P2376">
        <v>6.6</v>
      </c>
      <c r="Q2376">
        <f t="shared" si="72"/>
        <v>6169038</v>
      </c>
      <c r="R2376">
        <f t="shared" si="73"/>
        <v>18.382120518628675</v>
      </c>
      <c r="U2376">
        <v>1745</v>
      </c>
      <c r="V2376">
        <v>984</v>
      </c>
      <c r="W2376">
        <v>2507</v>
      </c>
      <c r="X2376">
        <v>1399</v>
      </c>
      <c r="Y2376">
        <v>55.5</v>
      </c>
      <c r="Z2376">
        <v>48.5</v>
      </c>
      <c r="AA2376">
        <v>62.5</v>
      </c>
    </row>
    <row r="2377" spans="1:27" x14ac:dyDescent="0.25">
      <c r="A2377" t="s">
        <v>248</v>
      </c>
      <c r="B2377" t="s">
        <v>189</v>
      </c>
      <c r="C2377" s="76">
        <v>43951</v>
      </c>
      <c r="D2377">
        <v>10749</v>
      </c>
      <c r="E2377">
        <v>7430</v>
      </c>
      <c r="F2377">
        <v>14067</v>
      </c>
      <c r="G2377">
        <v>11277</v>
      </c>
      <c r="H2377">
        <v>48.8</v>
      </c>
      <c r="I2377">
        <v>44.7</v>
      </c>
      <c r="J2377">
        <v>52.9</v>
      </c>
      <c r="K2377">
        <v>1082</v>
      </c>
      <c r="L2377">
        <v>593</v>
      </c>
      <c r="M2377">
        <v>1571</v>
      </c>
      <c r="N2377">
        <v>4.9000000000000004</v>
      </c>
      <c r="O2377">
        <v>3.5</v>
      </c>
      <c r="P2377">
        <v>6.3</v>
      </c>
      <c r="Q2377">
        <f t="shared" si="72"/>
        <v>6169038</v>
      </c>
      <c r="R2377">
        <f t="shared" si="73"/>
        <v>17.539201411954345</v>
      </c>
      <c r="U2377">
        <v>1749</v>
      </c>
      <c r="V2377">
        <v>1001</v>
      </c>
      <c r="W2377">
        <v>2497</v>
      </c>
      <c r="X2377">
        <v>1484</v>
      </c>
      <c r="Y2377">
        <v>54.1</v>
      </c>
      <c r="Z2377">
        <v>47.4</v>
      </c>
      <c r="AA2377">
        <v>60.8</v>
      </c>
    </row>
    <row r="2378" spans="1:27" x14ac:dyDescent="0.25">
      <c r="A2378" t="s">
        <v>248</v>
      </c>
      <c r="B2378" t="s">
        <v>189</v>
      </c>
      <c r="C2378" s="76">
        <v>43952</v>
      </c>
      <c r="D2378">
        <v>10672</v>
      </c>
      <c r="E2378">
        <v>7329</v>
      </c>
      <c r="F2378">
        <v>14015</v>
      </c>
      <c r="G2378">
        <v>11371</v>
      </c>
      <c r="H2378">
        <v>48.4</v>
      </c>
      <c r="I2378">
        <v>44.4</v>
      </c>
      <c r="J2378">
        <v>52.4</v>
      </c>
      <c r="K2378">
        <v>1100</v>
      </c>
      <c r="L2378">
        <v>600</v>
      </c>
      <c r="M2378">
        <v>1601</v>
      </c>
      <c r="N2378">
        <v>5</v>
      </c>
      <c r="O2378">
        <v>3.6</v>
      </c>
      <c r="P2378">
        <v>6.4</v>
      </c>
      <c r="Q2378">
        <f t="shared" si="72"/>
        <v>6169038</v>
      </c>
      <c r="R2378">
        <f t="shared" si="73"/>
        <v>17.830981102726227</v>
      </c>
      <c r="U2378">
        <v>1805</v>
      </c>
      <c r="V2378">
        <v>1041</v>
      </c>
      <c r="W2378">
        <v>2569</v>
      </c>
      <c r="X2378">
        <v>1416</v>
      </c>
      <c r="Y2378">
        <v>56</v>
      </c>
      <c r="Z2378">
        <v>49.7</v>
      </c>
      <c r="AA2378">
        <v>62.3</v>
      </c>
    </row>
    <row r="2379" spans="1:27" x14ac:dyDescent="0.25">
      <c r="A2379" t="s">
        <v>248</v>
      </c>
      <c r="B2379" t="s">
        <v>189</v>
      </c>
      <c r="C2379" s="76">
        <v>43953</v>
      </c>
      <c r="D2379">
        <v>10179</v>
      </c>
      <c r="E2379">
        <v>7001</v>
      </c>
      <c r="F2379">
        <v>13357</v>
      </c>
      <c r="G2379">
        <v>11772</v>
      </c>
      <c r="H2379">
        <v>46.4</v>
      </c>
      <c r="I2379">
        <v>42.4</v>
      </c>
      <c r="J2379">
        <v>50.3</v>
      </c>
      <c r="K2379">
        <v>1032</v>
      </c>
      <c r="L2379">
        <v>568</v>
      </c>
      <c r="M2379">
        <v>1497</v>
      </c>
      <c r="N2379">
        <v>4.7</v>
      </c>
      <c r="O2379">
        <v>3.4</v>
      </c>
      <c r="P2379">
        <v>6</v>
      </c>
      <c r="Q2379">
        <f t="shared" si="72"/>
        <v>6169038</v>
      </c>
      <c r="R2379">
        <f t="shared" si="73"/>
        <v>16.728702270921332</v>
      </c>
      <c r="U2379">
        <v>1725</v>
      </c>
      <c r="V2379">
        <v>982</v>
      </c>
      <c r="W2379">
        <v>2467</v>
      </c>
      <c r="X2379">
        <v>1454</v>
      </c>
      <c r="Y2379">
        <v>54.3</v>
      </c>
      <c r="Z2379">
        <v>47.8</v>
      </c>
      <c r="AA2379">
        <v>60.8</v>
      </c>
    </row>
    <row r="2380" spans="1:27" x14ac:dyDescent="0.25">
      <c r="A2380" t="s">
        <v>248</v>
      </c>
      <c r="B2380" t="s">
        <v>189</v>
      </c>
      <c r="C2380" s="76">
        <v>43954</v>
      </c>
      <c r="D2380">
        <v>10641</v>
      </c>
      <c r="E2380">
        <v>7288</v>
      </c>
      <c r="F2380">
        <v>13993</v>
      </c>
      <c r="G2380">
        <v>11830</v>
      </c>
      <c r="H2380">
        <v>47.4</v>
      </c>
      <c r="I2380">
        <v>43</v>
      </c>
      <c r="J2380">
        <v>51.7</v>
      </c>
      <c r="K2380">
        <v>1031</v>
      </c>
      <c r="L2380">
        <v>561</v>
      </c>
      <c r="M2380">
        <v>1500</v>
      </c>
      <c r="N2380">
        <v>4.5999999999999996</v>
      </c>
      <c r="O2380">
        <v>3.2</v>
      </c>
      <c r="P2380">
        <v>5.9</v>
      </c>
      <c r="Q2380">
        <f t="shared" si="72"/>
        <v>6169038</v>
      </c>
      <c r="R2380">
        <f t="shared" si="73"/>
        <v>16.712492288100673</v>
      </c>
      <c r="U2380">
        <v>1731</v>
      </c>
      <c r="V2380">
        <v>983</v>
      </c>
      <c r="W2380">
        <v>2479</v>
      </c>
      <c r="X2380">
        <v>1425</v>
      </c>
      <c r="Y2380">
        <v>54.8</v>
      </c>
      <c r="Z2380">
        <v>47.8</v>
      </c>
      <c r="AA2380">
        <v>61.9</v>
      </c>
    </row>
    <row r="2381" spans="1:27" x14ac:dyDescent="0.25">
      <c r="A2381" t="s">
        <v>248</v>
      </c>
      <c r="B2381" t="s">
        <v>189</v>
      </c>
      <c r="C2381" s="76">
        <v>43955</v>
      </c>
      <c r="D2381">
        <v>10903</v>
      </c>
      <c r="E2381">
        <v>7579</v>
      </c>
      <c r="F2381">
        <v>14227</v>
      </c>
      <c r="G2381">
        <v>10837</v>
      </c>
      <c r="H2381">
        <v>50.2</v>
      </c>
      <c r="I2381">
        <v>46</v>
      </c>
      <c r="J2381">
        <v>54.3</v>
      </c>
      <c r="K2381">
        <v>1029</v>
      </c>
      <c r="L2381">
        <v>571</v>
      </c>
      <c r="M2381">
        <v>1487</v>
      </c>
      <c r="N2381">
        <v>4.7</v>
      </c>
      <c r="O2381">
        <v>3.4</v>
      </c>
      <c r="P2381">
        <v>6</v>
      </c>
      <c r="Q2381">
        <f t="shared" si="72"/>
        <v>6169038</v>
      </c>
      <c r="R2381">
        <f t="shared" si="73"/>
        <v>16.680072322459353</v>
      </c>
      <c r="U2381">
        <v>1766</v>
      </c>
      <c r="V2381">
        <v>1015</v>
      </c>
      <c r="W2381">
        <v>2518</v>
      </c>
      <c r="X2381">
        <v>1434</v>
      </c>
      <c r="Y2381">
        <v>55.2</v>
      </c>
      <c r="Z2381">
        <v>47.5</v>
      </c>
      <c r="AA2381">
        <v>62.9</v>
      </c>
    </row>
    <row r="2382" spans="1:27" x14ac:dyDescent="0.25">
      <c r="A2382" t="s">
        <v>248</v>
      </c>
      <c r="B2382" t="s">
        <v>189</v>
      </c>
      <c r="C2382" s="76">
        <v>43956</v>
      </c>
      <c r="D2382">
        <v>11460</v>
      </c>
      <c r="E2382">
        <v>7980</v>
      </c>
      <c r="F2382">
        <v>14939</v>
      </c>
      <c r="G2382">
        <v>10248</v>
      </c>
      <c r="H2382">
        <v>52.8</v>
      </c>
      <c r="I2382">
        <v>49</v>
      </c>
      <c r="J2382">
        <v>56.6</v>
      </c>
      <c r="K2382">
        <v>1089</v>
      </c>
      <c r="L2382">
        <v>616</v>
      </c>
      <c r="M2382">
        <v>1563</v>
      </c>
      <c r="N2382">
        <v>5</v>
      </c>
      <c r="O2382">
        <v>3.7</v>
      </c>
      <c r="P2382">
        <v>6.4</v>
      </c>
      <c r="Q2382">
        <f t="shared" si="72"/>
        <v>6169038</v>
      </c>
      <c r="R2382">
        <f t="shared" si="73"/>
        <v>17.652671291698965</v>
      </c>
      <c r="U2382">
        <v>1817</v>
      </c>
      <c r="V2382">
        <v>1054</v>
      </c>
      <c r="W2382">
        <v>2579</v>
      </c>
      <c r="X2382">
        <v>1284</v>
      </c>
      <c r="Y2382">
        <v>58.6</v>
      </c>
      <c r="Z2382">
        <v>52</v>
      </c>
      <c r="AA2382">
        <v>65.2</v>
      </c>
    </row>
    <row r="2383" spans="1:27" x14ac:dyDescent="0.25">
      <c r="A2383" t="s">
        <v>248</v>
      </c>
      <c r="B2383" t="s">
        <v>189</v>
      </c>
      <c r="C2383" s="76">
        <v>43957</v>
      </c>
      <c r="D2383">
        <v>11517</v>
      </c>
      <c r="E2383">
        <v>8024</v>
      </c>
      <c r="F2383">
        <v>15010</v>
      </c>
      <c r="G2383">
        <v>10235</v>
      </c>
      <c r="H2383">
        <v>52.9</v>
      </c>
      <c r="I2383">
        <v>49</v>
      </c>
      <c r="J2383">
        <v>56.9</v>
      </c>
      <c r="K2383">
        <v>1008</v>
      </c>
      <c r="L2383">
        <v>565</v>
      </c>
      <c r="M2383">
        <v>1451</v>
      </c>
      <c r="N2383">
        <v>4.5999999999999996</v>
      </c>
      <c r="O2383">
        <v>3.4</v>
      </c>
      <c r="P2383">
        <v>5.9</v>
      </c>
      <c r="Q2383">
        <f t="shared" si="72"/>
        <v>6169038</v>
      </c>
      <c r="R2383">
        <f t="shared" si="73"/>
        <v>16.339662683225487</v>
      </c>
      <c r="U2383">
        <v>1794</v>
      </c>
      <c r="V2383">
        <v>1041</v>
      </c>
      <c r="W2383">
        <v>2548</v>
      </c>
      <c r="X2383">
        <v>1302</v>
      </c>
      <c r="Y2383">
        <v>58</v>
      </c>
      <c r="Z2383">
        <v>52</v>
      </c>
      <c r="AA2383">
        <v>63.9</v>
      </c>
    </row>
    <row r="2384" spans="1:27" x14ac:dyDescent="0.25">
      <c r="A2384" t="s">
        <v>248</v>
      </c>
      <c r="B2384" t="s">
        <v>189</v>
      </c>
      <c r="C2384" s="76">
        <v>43958</v>
      </c>
      <c r="D2384">
        <v>11263</v>
      </c>
      <c r="E2384">
        <v>7944</v>
      </c>
      <c r="F2384">
        <v>14583</v>
      </c>
      <c r="G2384">
        <v>10174</v>
      </c>
      <c r="H2384">
        <v>52.5</v>
      </c>
      <c r="I2384">
        <v>48.6</v>
      </c>
      <c r="J2384">
        <v>56.4</v>
      </c>
      <c r="K2384">
        <v>937</v>
      </c>
      <c r="L2384">
        <v>538</v>
      </c>
      <c r="M2384">
        <v>1336</v>
      </c>
      <c r="N2384">
        <v>4.4000000000000004</v>
      </c>
      <c r="O2384">
        <v>3.3</v>
      </c>
      <c r="P2384">
        <v>5.5</v>
      </c>
      <c r="Q2384">
        <f t="shared" si="72"/>
        <v>6169038</v>
      </c>
      <c r="R2384">
        <f t="shared" si="73"/>
        <v>15.188753902958615</v>
      </c>
      <c r="U2384">
        <v>1750</v>
      </c>
      <c r="V2384">
        <v>1029</v>
      </c>
      <c r="W2384">
        <v>2470</v>
      </c>
      <c r="X2384">
        <v>1297</v>
      </c>
      <c r="Y2384">
        <v>57.4</v>
      </c>
      <c r="Z2384">
        <v>51.9</v>
      </c>
      <c r="AA2384">
        <v>62.9</v>
      </c>
    </row>
    <row r="2385" spans="1:27" x14ac:dyDescent="0.25">
      <c r="A2385" t="s">
        <v>248</v>
      </c>
      <c r="B2385" t="s">
        <v>189</v>
      </c>
      <c r="C2385" s="76">
        <v>43959</v>
      </c>
      <c r="D2385">
        <v>11003</v>
      </c>
      <c r="E2385">
        <v>7775</v>
      </c>
      <c r="F2385">
        <v>14231</v>
      </c>
      <c r="G2385">
        <v>10461</v>
      </c>
      <c r="H2385">
        <v>51.3</v>
      </c>
      <c r="I2385">
        <v>47.5</v>
      </c>
      <c r="J2385">
        <v>55</v>
      </c>
      <c r="K2385">
        <v>852</v>
      </c>
      <c r="L2385">
        <v>490</v>
      </c>
      <c r="M2385">
        <v>1215</v>
      </c>
      <c r="N2385">
        <v>4</v>
      </c>
      <c r="O2385">
        <v>2.9</v>
      </c>
      <c r="P2385">
        <v>5</v>
      </c>
      <c r="Q2385">
        <f t="shared" si="72"/>
        <v>6169038</v>
      </c>
      <c r="R2385">
        <f t="shared" si="73"/>
        <v>13.810905363202496</v>
      </c>
      <c r="U2385">
        <v>1707</v>
      </c>
      <c r="V2385">
        <v>990</v>
      </c>
      <c r="W2385">
        <v>2424</v>
      </c>
      <c r="X2385">
        <v>1347</v>
      </c>
      <c r="Y2385">
        <v>55.9</v>
      </c>
      <c r="Z2385">
        <v>49.9</v>
      </c>
      <c r="AA2385">
        <v>61.9</v>
      </c>
    </row>
    <row r="2386" spans="1:27" x14ac:dyDescent="0.25">
      <c r="A2386" t="s">
        <v>248</v>
      </c>
      <c r="B2386" t="s">
        <v>189</v>
      </c>
      <c r="C2386" s="76">
        <v>43960</v>
      </c>
      <c r="D2386">
        <v>10494</v>
      </c>
      <c r="E2386">
        <v>7398</v>
      </c>
      <c r="F2386">
        <v>13590</v>
      </c>
      <c r="G2386">
        <v>10902</v>
      </c>
      <c r="H2386">
        <v>49</v>
      </c>
      <c r="I2386">
        <v>45.2</v>
      </c>
      <c r="J2386">
        <v>52.9</v>
      </c>
      <c r="K2386">
        <v>859</v>
      </c>
      <c r="L2386">
        <v>494</v>
      </c>
      <c r="M2386">
        <v>1225</v>
      </c>
      <c r="N2386">
        <v>4</v>
      </c>
      <c r="O2386">
        <v>3</v>
      </c>
      <c r="P2386">
        <v>5</v>
      </c>
      <c r="Q2386">
        <f t="shared" si="72"/>
        <v>6169038</v>
      </c>
      <c r="R2386">
        <f t="shared" si="73"/>
        <v>13.924375242947118</v>
      </c>
      <c r="U2386">
        <v>1652</v>
      </c>
      <c r="V2386">
        <v>953</v>
      </c>
      <c r="W2386">
        <v>2352</v>
      </c>
      <c r="X2386">
        <v>1377</v>
      </c>
      <c r="Y2386">
        <v>54.6</v>
      </c>
      <c r="Z2386">
        <v>48.5</v>
      </c>
      <c r="AA2386">
        <v>60.6</v>
      </c>
    </row>
    <row r="2387" spans="1:27" x14ac:dyDescent="0.25">
      <c r="A2387" t="s">
        <v>248</v>
      </c>
      <c r="B2387" t="s">
        <v>189</v>
      </c>
      <c r="C2387" s="76">
        <v>43961</v>
      </c>
      <c r="D2387">
        <v>10377</v>
      </c>
      <c r="E2387">
        <v>7289</v>
      </c>
      <c r="F2387">
        <v>13466</v>
      </c>
      <c r="G2387">
        <v>11004</v>
      </c>
      <c r="H2387">
        <v>48.5</v>
      </c>
      <c r="I2387">
        <v>44.5</v>
      </c>
      <c r="J2387">
        <v>52.5</v>
      </c>
      <c r="K2387">
        <v>833</v>
      </c>
      <c r="L2387">
        <v>487</v>
      </c>
      <c r="M2387">
        <v>1179</v>
      </c>
      <c r="N2387">
        <v>3.9</v>
      </c>
      <c r="O2387">
        <v>2.9</v>
      </c>
      <c r="P2387">
        <v>4.9000000000000004</v>
      </c>
      <c r="Q2387">
        <f t="shared" si="72"/>
        <v>6169038</v>
      </c>
      <c r="R2387">
        <f t="shared" si="73"/>
        <v>13.502915689609951</v>
      </c>
      <c r="U2387">
        <v>1626</v>
      </c>
      <c r="V2387">
        <v>939</v>
      </c>
      <c r="W2387">
        <v>2313</v>
      </c>
      <c r="X2387">
        <v>1402</v>
      </c>
      <c r="Y2387">
        <v>53.7</v>
      </c>
      <c r="Z2387">
        <v>47.6</v>
      </c>
      <c r="AA2387">
        <v>59.8</v>
      </c>
    </row>
    <row r="2388" spans="1:27" x14ac:dyDescent="0.25">
      <c r="A2388" t="s">
        <v>248</v>
      </c>
      <c r="B2388" t="s">
        <v>189</v>
      </c>
      <c r="C2388" s="76">
        <v>43962</v>
      </c>
      <c r="D2388">
        <v>11358</v>
      </c>
      <c r="E2388">
        <v>7960</v>
      </c>
      <c r="F2388">
        <v>14756</v>
      </c>
      <c r="G2388">
        <v>10560</v>
      </c>
      <c r="H2388">
        <v>51.8</v>
      </c>
      <c r="I2388">
        <v>47.3</v>
      </c>
      <c r="J2388">
        <v>56.3</v>
      </c>
      <c r="K2388">
        <v>835</v>
      </c>
      <c r="L2388">
        <v>490</v>
      </c>
      <c r="M2388">
        <v>1179</v>
      </c>
      <c r="N2388">
        <v>3.8</v>
      </c>
      <c r="O2388">
        <v>2.8</v>
      </c>
      <c r="P2388">
        <v>4.8</v>
      </c>
      <c r="Q2388">
        <f t="shared" si="72"/>
        <v>6169038</v>
      </c>
      <c r="R2388">
        <f t="shared" si="73"/>
        <v>13.535335655251272</v>
      </c>
      <c r="U2388">
        <v>1664</v>
      </c>
      <c r="V2388">
        <v>986</v>
      </c>
      <c r="W2388">
        <v>2343</v>
      </c>
      <c r="X2388">
        <v>1323</v>
      </c>
      <c r="Y2388">
        <v>55.7</v>
      </c>
      <c r="Z2388">
        <v>49.7</v>
      </c>
      <c r="AA2388">
        <v>61.7</v>
      </c>
    </row>
    <row r="2389" spans="1:27" x14ac:dyDescent="0.25">
      <c r="A2389" t="s">
        <v>248</v>
      </c>
      <c r="B2389" t="s">
        <v>189</v>
      </c>
      <c r="C2389" s="76">
        <v>43963</v>
      </c>
      <c r="D2389">
        <v>11921</v>
      </c>
      <c r="E2389">
        <v>8406</v>
      </c>
      <c r="F2389">
        <v>15436</v>
      </c>
      <c r="G2389">
        <v>10015</v>
      </c>
      <c r="H2389">
        <v>54.3</v>
      </c>
      <c r="I2389">
        <v>50</v>
      </c>
      <c r="J2389">
        <v>58.7</v>
      </c>
      <c r="K2389">
        <v>871</v>
      </c>
      <c r="L2389">
        <v>503</v>
      </c>
      <c r="M2389">
        <v>1239</v>
      </c>
      <c r="N2389">
        <v>4</v>
      </c>
      <c r="O2389">
        <v>2.9</v>
      </c>
      <c r="P2389">
        <v>5</v>
      </c>
      <c r="Q2389">
        <f t="shared" si="72"/>
        <v>6169038</v>
      </c>
      <c r="R2389">
        <f t="shared" si="73"/>
        <v>14.11889503679504</v>
      </c>
      <c r="U2389">
        <v>1705</v>
      </c>
      <c r="V2389">
        <v>1005</v>
      </c>
      <c r="W2389">
        <v>2404</v>
      </c>
      <c r="X2389">
        <v>1285</v>
      </c>
      <c r="Y2389">
        <v>57</v>
      </c>
      <c r="Z2389">
        <v>50.8</v>
      </c>
      <c r="AA2389">
        <v>63.2</v>
      </c>
    </row>
    <row r="2390" spans="1:27" x14ac:dyDescent="0.25">
      <c r="A2390" t="s">
        <v>248</v>
      </c>
      <c r="B2390" t="s">
        <v>189</v>
      </c>
      <c r="C2390" s="76">
        <v>43964</v>
      </c>
      <c r="D2390">
        <v>12183</v>
      </c>
      <c r="E2390">
        <v>8578</v>
      </c>
      <c r="F2390">
        <v>15787</v>
      </c>
      <c r="G2390">
        <v>9747</v>
      </c>
      <c r="H2390">
        <v>55.6</v>
      </c>
      <c r="I2390">
        <v>51</v>
      </c>
      <c r="J2390">
        <v>60.1</v>
      </c>
      <c r="K2390">
        <v>879</v>
      </c>
      <c r="L2390">
        <v>505</v>
      </c>
      <c r="M2390">
        <v>1253</v>
      </c>
      <c r="N2390">
        <v>4</v>
      </c>
      <c r="O2390">
        <v>2.9</v>
      </c>
      <c r="P2390">
        <v>5.0999999999999996</v>
      </c>
      <c r="Q2390">
        <f t="shared" si="72"/>
        <v>6169038</v>
      </c>
      <c r="R2390">
        <f t="shared" si="73"/>
        <v>14.248574899360323</v>
      </c>
      <c r="U2390">
        <v>1705</v>
      </c>
      <c r="V2390">
        <v>1004</v>
      </c>
      <c r="W2390">
        <v>2406</v>
      </c>
      <c r="X2390">
        <v>1284</v>
      </c>
      <c r="Y2390">
        <v>57</v>
      </c>
      <c r="Z2390">
        <v>50.6</v>
      </c>
      <c r="AA2390">
        <v>63.4</v>
      </c>
    </row>
    <row r="2391" spans="1:27" x14ac:dyDescent="0.25">
      <c r="A2391" t="s">
        <v>248</v>
      </c>
      <c r="B2391" t="s">
        <v>189</v>
      </c>
      <c r="C2391" s="76">
        <v>43965</v>
      </c>
      <c r="D2391">
        <v>12173</v>
      </c>
      <c r="E2391">
        <v>8543</v>
      </c>
      <c r="F2391">
        <v>15802</v>
      </c>
      <c r="G2391">
        <v>9795</v>
      </c>
      <c r="H2391">
        <v>55.4</v>
      </c>
      <c r="I2391">
        <v>50.8</v>
      </c>
      <c r="J2391">
        <v>60</v>
      </c>
      <c r="K2391">
        <v>861</v>
      </c>
      <c r="L2391">
        <v>498</v>
      </c>
      <c r="M2391">
        <v>1224</v>
      </c>
      <c r="N2391">
        <v>3.9</v>
      </c>
      <c r="O2391">
        <v>2.9</v>
      </c>
      <c r="P2391">
        <v>4.9000000000000004</v>
      </c>
      <c r="Q2391">
        <f t="shared" si="72"/>
        <v>6169038</v>
      </c>
      <c r="R2391">
        <f t="shared" si="73"/>
        <v>13.956795208588439</v>
      </c>
      <c r="U2391">
        <v>1619</v>
      </c>
      <c r="V2391">
        <v>953</v>
      </c>
      <c r="W2391">
        <v>2284</v>
      </c>
      <c r="X2391">
        <v>1506</v>
      </c>
      <c r="Y2391">
        <v>51.8</v>
      </c>
      <c r="Z2391">
        <v>45.6</v>
      </c>
      <c r="AA2391">
        <v>58</v>
      </c>
    </row>
    <row r="2392" spans="1:27" x14ac:dyDescent="0.25">
      <c r="A2392" t="s">
        <v>248</v>
      </c>
      <c r="B2392" t="s">
        <v>189</v>
      </c>
      <c r="C2392" s="76">
        <v>43966</v>
      </c>
      <c r="D2392">
        <v>12019</v>
      </c>
      <c r="E2392">
        <v>8390</v>
      </c>
      <c r="F2392">
        <v>15648</v>
      </c>
      <c r="G2392">
        <v>9936</v>
      </c>
      <c r="H2392">
        <v>54.7</v>
      </c>
      <c r="I2392">
        <v>50.3</v>
      </c>
      <c r="J2392">
        <v>59.1</v>
      </c>
      <c r="K2392">
        <v>829</v>
      </c>
      <c r="L2392">
        <v>481</v>
      </c>
      <c r="M2392">
        <v>1176</v>
      </c>
      <c r="N2392">
        <v>3.8</v>
      </c>
      <c r="O2392">
        <v>2.8</v>
      </c>
      <c r="P2392">
        <v>4.8</v>
      </c>
      <c r="Q2392">
        <f t="shared" si="72"/>
        <v>6169038</v>
      </c>
      <c r="R2392">
        <f t="shared" si="73"/>
        <v>13.43807575832731</v>
      </c>
      <c r="U2392">
        <v>1655</v>
      </c>
      <c r="V2392">
        <v>978</v>
      </c>
      <c r="W2392">
        <v>2333</v>
      </c>
      <c r="X2392">
        <v>1489</v>
      </c>
      <c r="Y2392">
        <v>52.6</v>
      </c>
      <c r="Z2392">
        <v>47</v>
      </c>
      <c r="AA2392">
        <v>58.3</v>
      </c>
    </row>
    <row r="2393" spans="1:27" x14ac:dyDescent="0.25">
      <c r="A2393" t="s">
        <v>248</v>
      </c>
      <c r="B2393" t="s">
        <v>189</v>
      </c>
      <c r="C2393" s="76">
        <v>43967</v>
      </c>
      <c r="D2393">
        <v>11674</v>
      </c>
      <c r="E2393">
        <v>8167</v>
      </c>
      <c r="F2393">
        <v>15181</v>
      </c>
      <c r="G2393">
        <v>10113</v>
      </c>
      <c r="H2393">
        <v>53.6</v>
      </c>
      <c r="I2393">
        <v>49.1</v>
      </c>
      <c r="J2393">
        <v>58.1</v>
      </c>
      <c r="K2393">
        <v>796</v>
      </c>
      <c r="L2393">
        <v>455</v>
      </c>
      <c r="M2393">
        <v>1137</v>
      </c>
      <c r="N2393">
        <v>3.7</v>
      </c>
      <c r="O2393">
        <v>2.7</v>
      </c>
      <c r="P2393">
        <v>4.5999999999999996</v>
      </c>
      <c r="Q2393">
        <f t="shared" si="72"/>
        <v>6169038</v>
      </c>
      <c r="R2393">
        <f t="shared" si="73"/>
        <v>12.903146325245524</v>
      </c>
      <c r="U2393">
        <v>1609</v>
      </c>
      <c r="V2393">
        <v>933</v>
      </c>
      <c r="W2393">
        <v>2285</v>
      </c>
      <c r="X2393">
        <v>1512</v>
      </c>
      <c r="Y2393">
        <v>51.6</v>
      </c>
      <c r="Z2393">
        <v>45.4</v>
      </c>
      <c r="AA2393">
        <v>57.8</v>
      </c>
    </row>
    <row r="2394" spans="1:27" x14ac:dyDescent="0.25">
      <c r="A2394" t="s">
        <v>248</v>
      </c>
      <c r="B2394" t="s">
        <v>189</v>
      </c>
      <c r="C2394" s="76">
        <v>43968</v>
      </c>
      <c r="D2394">
        <v>11471</v>
      </c>
      <c r="E2394">
        <v>8034</v>
      </c>
      <c r="F2394">
        <v>14908</v>
      </c>
      <c r="G2394">
        <v>10433</v>
      </c>
      <c r="H2394">
        <v>52.4</v>
      </c>
      <c r="I2394">
        <v>48</v>
      </c>
      <c r="J2394">
        <v>56.8</v>
      </c>
      <c r="K2394">
        <v>787</v>
      </c>
      <c r="L2394">
        <v>444</v>
      </c>
      <c r="M2394">
        <v>1130</v>
      </c>
      <c r="N2394">
        <v>3.6</v>
      </c>
      <c r="O2394">
        <v>2.6</v>
      </c>
      <c r="P2394">
        <v>4.5999999999999996</v>
      </c>
      <c r="Q2394">
        <f t="shared" si="72"/>
        <v>6169038</v>
      </c>
      <c r="R2394">
        <f t="shared" si="73"/>
        <v>12.757256479859583</v>
      </c>
      <c r="U2394">
        <v>1571</v>
      </c>
      <c r="V2394">
        <v>904</v>
      </c>
      <c r="W2394">
        <v>2237</v>
      </c>
      <c r="X2394">
        <v>1578</v>
      </c>
      <c r="Y2394">
        <v>49.9</v>
      </c>
      <c r="Z2394">
        <v>43.5</v>
      </c>
      <c r="AA2394">
        <v>56.3</v>
      </c>
    </row>
    <row r="2395" spans="1:27" x14ac:dyDescent="0.25">
      <c r="A2395" t="s">
        <v>248</v>
      </c>
      <c r="B2395" t="s">
        <v>189</v>
      </c>
      <c r="C2395" s="76">
        <v>43969</v>
      </c>
      <c r="D2395">
        <v>11883</v>
      </c>
      <c r="E2395">
        <v>8319</v>
      </c>
      <c r="F2395">
        <v>15447</v>
      </c>
      <c r="G2395">
        <v>10052</v>
      </c>
      <c r="H2395">
        <v>54.2</v>
      </c>
      <c r="I2395">
        <v>49.7</v>
      </c>
      <c r="J2395">
        <v>58.6</v>
      </c>
      <c r="K2395">
        <v>847</v>
      </c>
      <c r="L2395">
        <v>479</v>
      </c>
      <c r="M2395">
        <v>1215</v>
      </c>
      <c r="N2395">
        <v>3.9</v>
      </c>
      <c r="O2395">
        <v>2.8</v>
      </c>
      <c r="P2395">
        <v>4.9000000000000004</v>
      </c>
      <c r="Q2395">
        <f t="shared" si="72"/>
        <v>6169038</v>
      </c>
      <c r="R2395">
        <f t="shared" si="73"/>
        <v>13.729855449099194</v>
      </c>
      <c r="U2395">
        <v>1629</v>
      </c>
      <c r="V2395">
        <v>956</v>
      </c>
      <c r="W2395">
        <v>2302</v>
      </c>
      <c r="X2395">
        <v>1376</v>
      </c>
      <c r="Y2395">
        <v>54.2</v>
      </c>
      <c r="Z2395">
        <v>48.5</v>
      </c>
      <c r="AA2395">
        <v>59.9</v>
      </c>
    </row>
    <row r="2396" spans="1:27" x14ac:dyDescent="0.25">
      <c r="A2396" t="s">
        <v>248</v>
      </c>
      <c r="B2396" t="s">
        <v>189</v>
      </c>
      <c r="C2396" s="76">
        <v>43970</v>
      </c>
      <c r="D2396">
        <v>12367</v>
      </c>
      <c r="E2396">
        <v>8701</v>
      </c>
      <c r="F2396">
        <v>16034</v>
      </c>
      <c r="G2396">
        <v>9545</v>
      </c>
      <c r="H2396">
        <v>56.4</v>
      </c>
      <c r="I2396">
        <v>51.8</v>
      </c>
      <c r="J2396">
        <v>61.1</v>
      </c>
      <c r="K2396">
        <v>787</v>
      </c>
      <c r="L2396">
        <v>438</v>
      </c>
      <c r="M2396">
        <v>1136</v>
      </c>
      <c r="N2396">
        <v>3.6</v>
      </c>
      <c r="O2396">
        <v>2.6</v>
      </c>
      <c r="P2396">
        <v>4.5999999999999996</v>
      </c>
      <c r="Q2396">
        <f t="shared" si="72"/>
        <v>6169038</v>
      </c>
      <c r="R2396">
        <f t="shared" si="73"/>
        <v>12.757256479859583</v>
      </c>
      <c r="U2396">
        <v>1689</v>
      </c>
      <c r="V2396">
        <v>1006</v>
      </c>
      <c r="W2396">
        <v>2372</v>
      </c>
      <c r="X2396">
        <v>1329</v>
      </c>
      <c r="Y2396">
        <v>56</v>
      </c>
      <c r="Z2396">
        <v>50.6</v>
      </c>
      <c r="AA2396">
        <v>61.4</v>
      </c>
    </row>
    <row r="2397" spans="1:27" x14ac:dyDescent="0.25">
      <c r="A2397" t="s">
        <v>248</v>
      </c>
      <c r="B2397" t="s">
        <v>189</v>
      </c>
      <c r="C2397" s="76">
        <v>43971</v>
      </c>
      <c r="D2397">
        <v>12559</v>
      </c>
      <c r="E2397">
        <v>8843</v>
      </c>
      <c r="F2397">
        <v>16275</v>
      </c>
      <c r="G2397">
        <v>9400</v>
      </c>
      <c r="H2397">
        <v>57.2</v>
      </c>
      <c r="I2397">
        <v>52.6</v>
      </c>
      <c r="J2397">
        <v>61.8</v>
      </c>
      <c r="K2397">
        <v>799</v>
      </c>
      <c r="L2397">
        <v>471</v>
      </c>
      <c r="M2397">
        <v>1127</v>
      </c>
      <c r="N2397">
        <v>3.6</v>
      </c>
      <c r="O2397">
        <v>2.8</v>
      </c>
      <c r="P2397">
        <v>4.5</v>
      </c>
      <c r="Q2397">
        <f t="shared" si="72"/>
        <v>6169038</v>
      </c>
      <c r="R2397">
        <f t="shared" si="73"/>
        <v>12.951776273707505</v>
      </c>
      <c r="U2397">
        <v>1637</v>
      </c>
      <c r="V2397">
        <v>969</v>
      </c>
      <c r="W2397">
        <v>2306</v>
      </c>
      <c r="X2397">
        <v>1386</v>
      </c>
      <c r="Y2397">
        <v>54.2</v>
      </c>
      <c r="Z2397">
        <v>48.5</v>
      </c>
      <c r="AA2397">
        <v>59.8</v>
      </c>
    </row>
    <row r="2398" spans="1:27" x14ac:dyDescent="0.25">
      <c r="A2398" t="s">
        <v>248</v>
      </c>
      <c r="B2398" t="s">
        <v>189</v>
      </c>
      <c r="C2398" s="76">
        <v>43972</v>
      </c>
      <c r="D2398">
        <v>12103</v>
      </c>
      <c r="E2398">
        <v>8360</v>
      </c>
      <c r="F2398">
        <v>15845</v>
      </c>
      <c r="G2398">
        <v>9538</v>
      </c>
      <c r="H2398">
        <v>55.9</v>
      </c>
      <c r="I2398">
        <v>51.7</v>
      </c>
      <c r="J2398">
        <v>60.1</v>
      </c>
      <c r="K2398">
        <v>836</v>
      </c>
      <c r="L2398">
        <v>471</v>
      </c>
      <c r="M2398">
        <v>1200</v>
      </c>
      <c r="N2398">
        <v>3.9</v>
      </c>
      <c r="O2398">
        <v>3</v>
      </c>
      <c r="P2398">
        <v>4.7</v>
      </c>
      <c r="Q2398">
        <f t="shared" si="72"/>
        <v>6169038</v>
      </c>
      <c r="R2398">
        <f t="shared" si="73"/>
        <v>13.551545638071932</v>
      </c>
      <c r="U2398">
        <v>1646</v>
      </c>
      <c r="V2398">
        <v>950</v>
      </c>
      <c r="W2398">
        <v>2341</v>
      </c>
      <c r="X2398">
        <v>1398</v>
      </c>
      <c r="Y2398">
        <v>54.1</v>
      </c>
      <c r="Z2398">
        <v>48.1</v>
      </c>
      <c r="AA2398">
        <v>60.1</v>
      </c>
    </row>
    <row r="2399" spans="1:27" x14ac:dyDescent="0.25">
      <c r="A2399" t="s">
        <v>248</v>
      </c>
      <c r="B2399" t="s">
        <v>189</v>
      </c>
      <c r="C2399" s="76">
        <v>43973</v>
      </c>
      <c r="D2399">
        <v>11797</v>
      </c>
      <c r="E2399">
        <v>8112</v>
      </c>
      <c r="F2399">
        <v>15481</v>
      </c>
      <c r="G2399">
        <v>9754</v>
      </c>
      <c r="H2399">
        <v>54.7</v>
      </c>
      <c r="I2399">
        <v>50.3</v>
      </c>
      <c r="J2399">
        <v>59.1</v>
      </c>
      <c r="K2399">
        <v>782</v>
      </c>
      <c r="L2399">
        <v>434</v>
      </c>
      <c r="M2399">
        <v>1130</v>
      </c>
      <c r="N2399">
        <v>3.6</v>
      </c>
      <c r="O2399">
        <v>2.8</v>
      </c>
      <c r="P2399">
        <v>4.5</v>
      </c>
      <c r="Q2399">
        <f t="shared" si="72"/>
        <v>6169038</v>
      </c>
      <c r="R2399">
        <f t="shared" si="73"/>
        <v>12.676206565756281</v>
      </c>
      <c r="U2399">
        <v>1673</v>
      </c>
      <c r="V2399">
        <v>948</v>
      </c>
      <c r="W2399">
        <v>2398</v>
      </c>
      <c r="X2399">
        <v>1361</v>
      </c>
      <c r="Y2399">
        <v>55.1</v>
      </c>
      <c r="Z2399">
        <v>49.1</v>
      </c>
      <c r="AA2399">
        <v>61.2</v>
      </c>
    </row>
    <row r="2400" spans="1:27" x14ac:dyDescent="0.25">
      <c r="A2400" t="s">
        <v>248</v>
      </c>
      <c r="B2400" t="s">
        <v>189</v>
      </c>
      <c r="C2400" s="76">
        <v>43974</v>
      </c>
      <c r="D2400">
        <v>11257</v>
      </c>
      <c r="E2400">
        <v>7675</v>
      </c>
      <c r="F2400">
        <v>14839</v>
      </c>
      <c r="G2400">
        <v>10332</v>
      </c>
      <c r="H2400">
        <v>52.1</v>
      </c>
      <c r="I2400">
        <v>47.6</v>
      </c>
      <c r="J2400">
        <v>56.7</v>
      </c>
      <c r="K2400">
        <v>755</v>
      </c>
      <c r="L2400">
        <v>413</v>
      </c>
      <c r="M2400">
        <v>1097</v>
      </c>
      <c r="N2400">
        <v>3.5</v>
      </c>
      <c r="O2400">
        <v>2.6</v>
      </c>
      <c r="P2400">
        <v>4.3</v>
      </c>
      <c r="Q2400">
        <f t="shared" si="72"/>
        <v>6169038</v>
      </c>
      <c r="R2400">
        <f t="shared" si="73"/>
        <v>12.238537029598454</v>
      </c>
      <c r="U2400">
        <v>1700</v>
      </c>
      <c r="V2400">
        <v>962</v>
      </c>
      <c r="W2400">
        <v>2438</v>
      </c>
      <c r="X2400">
        <v>1331</v>
      </c>
      <c r="Y2400">
        <v>56.1</v>
      </c>
      <c r="Z2400">
        <v>49.7</v>
      </c>
      <c r="AA2400">
        <v>62.5</v>
      </c>
    </row>
    <row r="2401" spans="1:27" x14ac:dyDescent="0.25">
      <c r="A2401" t="s">
        <v>248</v>
      </c>
      <c r="B2401" t="s">
        <v>189</v>
      </c>
      <c r="C2401" s="76">
        <v>43975</v>
      </c>
      <c r="D2401">
        <v>10922</v>
      </c>
      <c r="E2401">
        <v>7486</v>
      </c>
      <c r="F2401">
        <v>14357</v>
      </c>
      <c r="G2401">
        <v>10646</v>
      </c>
      <c r="H2401">
        <v>50.6</v>
      </c>
      <c r="I2401">
        <v>46.2</v>
      </c>
      <c r="J2401">
        <v>55.1</v>
      </c>
      <c r="K2401">
        <v>745</v>
      </c>
      <c r="L2401">
        <v>405</v>
      </c>
      <c r="M2401">
        <v>1085</v>
      </c>
      <c r="N2401">
        <v>3.5</v>
      </c>
      <c r="O2401">
        <v>2.6</v>
      </c>
      <c r="P2401">
        <v>4.3</v>
      </c>
      <c r="Q2401">
        <f t="shared" si="72"/>
        <v>6169038</v>
      </c>
      <c r="R2401">
        <f t="shared" si="73"/>
        <v>12.076437201391855</v>
      </c>
      <c r="U2401">
        <v>1594</v>
      </c>
      <c r="V2401">
        <v>887</v>
      </c>
      <c r="W2401">
        <v>2301</v>
      </c>
      <c r="X2401">
        <v>1415</v>
      </c>
      <c r="Y2401">
        <v>53</v>
      </c>
      <c r="Z2401">
        <v>46</v>
      </c>
      <c r="AA2401">
        <v>59.9</v>
      </c>
    </row>
    <row r="2402" spans="1:27" x14ac:dyDescent="0.25">
      <c r="A2402" t="s">
        <v>248</v>
      </c>
      <c r="B2402" t="s">
        <v>189</v>
      </c>
      <c r="C2402" s="76">
        <v>43976</v>
      </c>
      <c r="D2402">
        <v>11168</v>
      </c>
      <c r="E2402">
        <v>7661</v>
      </c>
      <c r="F2402">
        <v>14675</v>
      </c>
      <c r="G2402">
        <v>10525</v>
      </c>
      <c r="H2402">
        <v>51.5</v>
      </c>
      <c r="I2402">
        <v>46.9</v>
      </c>
      <c r="J2402">
        <v>56.1</v>
      </c>
      <c r="K2402">
        <v>740</v>
      </c>
      <c r="L2402">
        <v>407</v>
      </c>
      <c r="M2402">
        <v>1073</v>
      </c>
      <c r="N2402">
        <v>3.4</v>
      </c>
      <c r="O2402">
        <v>2.6</v>
      </c>
      <c r="P2402">
        <v>4.2</v>
      </c>
      <c r="Q2402">
        <f t="shared" si="72"/>
        <v>6169038</v>
      </c>
      <c r="R2402">
        <f t="shared" si="73"/>
        <v>11.995387287288553</v>
      </c>
      <c r="U2402">
        <v>1648</v>
      </c>
      <c r="V2402">
        <v>889</v>
      </c>
      <c r="W2402">
        <v>2406</v>
      </c>
      <c r="X2402">
        <v>1416</v>
      </c>
      <c r="Y2402">
        <v>53.8</v>
      </c>
      <c r="Z2402">
        <v>46.5</v>
      </c>
      <c r="AA2402">
        <v>61</v>
      </c>
    </row>
    <row r="2403" spans="1:27" x14ac:dyDescent="0.25">
      <c r="A2403" t="s">
        <v>248</v>
      </c>
      <c r="B2403" t="s">
        <v>189</v>
      </c>
      <c r="C2403" s="76">
        <v>43977</v>
      </c>
      <c r="D2403">
        <v>11865</v>
      </c>
      <c r="E2403">
        <v>8174</v>
      </c>
      <c r="F2403">
        <v>15555</v>
      </c>
      <c r="G2403">
        <v>9934</v>
      </c>
      <c r="H2403">
        <v>54.4</v>
      </c>
      <c r="I2403">
        <v>50</v>
      </c>
      <c r="J2403">
        <v>58.8</v>
      </c>
      <c r="K2403">
        <v>765</v>
      </c>
      <c r="L2403">
        <v>445</v>
      </c>
      <c r="M2403">
        <v>1085</v>
      </c>
      <c r="N2403">
        <v>3.5</v>
      </c>
      <c r="O2403">
        <v>2.8</v>
      </c>
      <c r="P2403">
        <v>4.2</v>
      </c>
      <c r="Q2403">
        <f t="shared" si="72"/>
        <v>6169038</v>
      </c>
      <c r="R2403">
        <f t="shared" si="73"/>
        <v>12.400636857805059</v>
      </c>
      <c r="U2403">
        <v>1678</v>
      </c>
      <c r="V2403">
        <v>916</v>
      </c>
      <c r="W2403">
        <v>2439</v>
      </c>
      <c r="X2403">
        <v>1394</v>
      </c>
      <c r="Y2403">
        <v>54.6</v>
      </c>
      <c r="Z2403">
        <v>48.3</v>
      </c>
      <c r="AA2403">
        <v>60.9</v>
      </c>
    </row>
    <row r="2404" spans="1:27" x14ac:dyDescent="0.25">
      <c r="A2404" t="s">
        <v>248</v>
      </c>
      <c r="B2404" t="s">
        <v>189</v>
      </c>
      <c r="C2404" s="76">
        <v>43978</v>
      </c>
      <c r="D2404">
        <v>12656</v>
      </c>
      <c r="E2404">
        <v>8723</v>
      </c>
      <c r="F2404">
        <v>16588</v>
      </c>
      <c r="G2404">
        <v>9178</v>
      </c>
      <c r="H2404">
        <v>58</v>
      </c>
      <c r="I2404">
        <v>53.3</v>
      </c>
      <c r="J2404">
        <v>62.6</v>
      </c>
      <c r="K2404">
        <v>822</v>
      </c>
      <c r="L2404">
        <v>474</v>
      </c>
      <c r="M2404">
        <v>1170</v>
      </c>
      <c r="N2404">
        <v>3.8</v>
      </c>
      <c r="O2404">
        <v>3</v>
      </c>
      <c r="P2404">
        <v>4.5999999999999996</v>
      </c>
      <c r="Q2404">
        <f t="shared" si="72"/>
        <v>6169038</v>
      </c>
      <c r="R2404">
        <f t="shared" si="73"/>
        <v>13.324605878582691</v>
      </c>
      <c r="U2404">
        <v>1704</v>
      </c>
      <c r="V2404">
        <v>945</v>
      </c>
      <c r="W2404">
        <v>2463</v>
      </c>
      <c r="X2404">
        <v>1341</v>
      </c>
      <c r="Y2404">
        <v>56</v>
      </c>
      <c r="Z2404">
        <v>49.2</v>
      </c>
      <c r="AA2404">
        <v>62.7</v>
      </c>
    </row>
    <row r="2405" spans="1:27" x14ac:dyDescent="0.25">
      <c r="A2405" t="s">
        <v>248</v>
      </c>
      <c r="B2405" t="s">
        <v>189</v>
      </c>
      <c r="C2405" s="76">
        <v>43979</v>
      </c>
      <c r="D2405">
        <v>13751</v>
      </c>
      <c r="E2405">
        <v>9540</v>
      </c>
      <c r="F2405">
        <v>17961</v>
      </c>
      <c r="G2405">
        <v>8955</v>
      </c>
      <c r="H2405">
        <v>60.6</v>
      </c>
      <c r="I2405">
        <v>55.5</v>
      </c>
      <c r="J2405">
        <v>65.599999999999994</v>
      </c>
      <c r="K2405">
        <v>728</v>
      </c>
      <c r="L2405">
        <v>414</v>
      </c>
      <c r="M2405">
        <v>1042</v>
      </c>
      <c r="N2405">
        <v>3.2</v>
      </c>
      <c r="O2405">
        <v>2.4</v>
      </c>
      <c r="P2405">
        <v>4</v>
      </c>
      <c r="Q2405">
        <f t="shared" si="72"/>
        <v>6169038</v>
      </c>
      <c r="R2405">
        <f t="shared" si="73"/>
        <v>11.800867493440631</v>
      </c>
      <c r="U2405">
        <v>1782</v>
      </c>
      <c r="V2405">
        <v>996</v>
      </c>
      <c r="W2405">
        <v>2569</v>
      </c>
      <c r="X2405">
        <v>1332</v>
      </c>
      <c r="Y2405">
        <v>57.2</v>
      </c>
      <c r="Z2405">
        <v>50.8</v>
      </c>
      <c r="AA2405">
        <v>63.7</v>
      </c>
    </row>
    <row r="2406" spans="1:27" x14ac:dyDescent="0.25">
      <c r="A2406" t="s">
        <v>248</v>
      </c>
      <c r="B2406" t="s">
        <v>189</v>
      </c>
      <c r="C2406" s="76">
        <v>43980</v>
      </c>
      <c r="D2406">
        <v>13165</v>
      </c>
      <c r="E2406">
        <v>9231</v>
      </c>
      <c r="F2406">
        <v>17099</v>
      </c>
      <c r="G2406">
        <v>9160</v>
      </c>
      <c r="H2406">
        <v>59</v>
      </c>
      <c r="I2406">
        <v>54.1</v>
      </c>
      <c r="J2406">
        <v>63.8</v>
      </c>
      <c r="K2406">
        <v>709</v>
      </c>
      <c r="L2406">
        <v>416</v>
      </c>
      <c r="M2406">
        <v>1002</v>
      </c>
      <c r="N2406">
        <v>3.2</v>
      </c>
      <c r="O2406">
        <v>2.4</v>
      </c>
      <c r="P2406">
        <v>3.9</v>
      </c>
      <c r="Q2406">
        <f t="shared" si="72"/>
        <v>6169038</v>
      </c>
      <c r="R2406">
        <f t="shared" si="73"/>
        <v>11.492877819848086</v>
      </c>
      <c r="U2406">
        <v>1777</v>
      </c>
      <c r="V2406">
        <v>1042</v>
      </c>
      <c r="W2406">
        <v>2513</v>
      </c>
      <c r="X2406">
        <v>1313</v>
      </c>
      <c r="Y2406">
        <v>57.5</v>
      </c>
      <c r="Z2406">
        <v>51.3</v>
      </c>
      <c r="AA2406">
        <v>63.7</v>
      </c>
    </row>
    <row r="2407" spans="1:27" x14ac:dyDescent="0.25">
      <c r="A2407" t="s">
        <v>248</v>
      </c>
      <c r="B2407" t="s">
        <v>189</v>
      </c>
      <c r="C2407" s="76">
        <v>43981</v>
      </c>
      <c r="D2407">
        <v>12270</v>
      </c>
      <c r="E2407">
        <v>8568</v>
      </c>
      <c r="F2407">
        <v>15971</v>
      </c>
      <c r="G2407">
        <v>9726</v>
      </c>
      <c r="H2407">
        <v>55.8</v>
      </c>
      <c r="I2407">
        <v>50.7</v>
      </c>
      <c r="J2407">
        <v>60.8</v>
      </c>
      <c r="K2407">
        <v>641</v>
      </c>
      <c r="L2407">
        <v>396</v>
      </c>
      <c r="M2407">
        <v>886</v>
      </c>
      <c r="N2407">
        <v>2.9</v>
      </c>
      <c r="O2407">
        <v>2.2999999999999998</v>
      </c>
      <c r="P2407">
        <v>3.5</v>
      </c>
      <c r="Q2407">
        <f t="shared" ref="Q2407:Q2470" si="74">VLOOKUP(B2407,$AE$4:$AF$55,2,FALSE)</f>
        <v>6169038</v>
      </c>
      <c r="R2407">
        <f t="shared" si="73"/>
        <v>10.390598988043193</v>
      </c>
      <c r="U2407">
        <v>1724</v>
      </c>
      <c r="V2407">
        <v>1006</v>
      </c>
      <c r="W2407">
        <v>2442</v>
      </c>
      <c r="X2407">
        <v>1321</v>
      </c>
      <c r="Y2407">
        <v>56.6</v>
      </c>
      <c r="Z2407">
        <v>50</v>
      </c>
      <c r="AA2407">
        <v>63.3</v>
      </c>
    </row>
    <row r="2408" spans="1:27" x14ac:dyDescent="0.25">
      <c r="A2408" t="s">
        <v>248</v>
      </c>
      <c r="B2408" t="s">
        <v>189</v>
      </c>
      <c r="C2408" s="76">
        <v>43982</v>
      </c>
      <c r="D2408">
        <v>12000</v>
      </c>
      <c r="E2408">
        <v>8301</v>
      </c>
      <c r="F2408">
        <v>15699</v>
      </c>
      <c r="G2408">
        <v>10202</v>
      </c>
      <c r="H2408">
        <v>54.1</v>
      </c>
      <c r="I2408">
        <v>49</v>
      </c>
      <c r="J2408">
        <v>59.1</v>
      </c>
      <c r="K2408">
        <v>610</v>
      </c>
      <c r="L2408">
        <v>377</v>
      </c>
      <c r="M2408">
        <v>842</v>
      </c>
      <c r="N2408">
        <v>2.7</v>
      </c>
      <c r="O2408">
        <v>2.2000000000000002</v>
      </c>
      <c r="P2408">
        <v>3.3</v>
      </c>
      <c r="Q2408">
        <f t="shared" si="74"/>
        <v>6169038</v>
      </c>
      <c r="R2408">
        <f t="shared" si="73"/>
        <v>9.8880895206027262</v>
      </c>
      <c r="U2408">
        <v>1720</v>
      </c>
      <c r="V2408">
        <v>954</v>
      </c>
      <c r="W2408">
        <v>2486</v>
      </c>
      <c r="X2408">
        <v>1336</v>
      </c>
      <c r="Y2408">
        <v>56.3</v>
      </c>
      <c r="Z2408">
        <v>49.3</v>
      </c>
      <c r="AA2408">
        <v>63.3</v>
      </c>
    </row>
    <row r="2409" spans="1:27" x14ac:dyDescent="0.25">
      <c r="A2409" t="s">
        <v>248</v>
      </c>
      <c r="B2409" t="s">
        <v>189</v>
      </c>
      <c r="C2409" s="76">
        <v>43983</v>
      </c>
      <c r="D2409">
        <v>11774</v>
      </c>
      <c r="E2409">
        <v>8235</v>
      </c>
      <c r="F2409">
        <v>15312</v>
      </c>
      <c r="G2409">
        <v>9746</v>
      </c>
      <c r="H2409">
        <v>54.7</v>
      </c>
      <c r="I2409">
        <v>50.6</v>
      </c>
      <c r="J2409">
        <v>58.8</v>
      </c>
      <c r="K2409">
        <v>644</v>
      </c>
      <c r="L2409">
        <v>371</v>
      </c>
      <c r="M2409">
        <v>916</v>
      </c>
      <c r="N2409">
        <v>3</v>
      </c>
      <c r="O2409">
        <v>2.2999999999999998</v>
      </c>
      <c r="P2409">
        <v>3.7</v>
      </c>
      <c r="Q2409">
        <f t="shared" si="74"/>
        <v>6169038</v>
      </c>
      <c r="R2409">
        <f t="shared" si="73"/>
        <v>10.439228936505174</v>
      </c>
      <c r="U2409">
        <v>1754</v>
      </c>
      <c r="V2409">
        <v>969</v>
      </c>
      <c r="W2409">
        <v>2538</v>
      </c>
      <c r="X2409">
        <v>1330</v>
      </c>
      <c r="Y2409">
        <v>56.9</v>
      </c>
      <c r="Z2409">
        <v>50.2</v>
      </c>
      <c r="AA2409">
        <v>63.5</v>
      </c>
    </row>
    <row r="2410" spans="1:27" x14ac:dyDescent="0.25">
      <c r="A2410" t="s">
        <v>248</v>
      </c>
      <c r="B2410" t="s">
        <v>189</v>
      </c>
      <c r="C2410" s="76">
        <v>43984</v>
      </c>
      <c r="D2410">
        <v>12453</v>
      </c>
      <c r="E2410">
        <v>8733</v>
      </c>
      <c r="F2410">
        <v>16173</v>
      </c>
      <c r="G2410">
        <v>9138</v>
      </c>
      <c r="H2410">
        <v>57.7</v>
      </c>
      <c r="I2410">
        <v>53.4</v>
      </c>
      <c r="J2410">
        <v>62</v>
      </c>
      <c r="K2410">
        <v>711</v>
      </c>
      <c r="L2410">
        <v>423</v>
      </c>
      <c r="M2410">
        <v>1000</v>
      </c>
      <c r="N2410">
        <v>3.3</v>
      </c>
      <c r="O2410">
        <v>2.6</v>
      </c>
      <c r="P2410">
        <v>4</v>
      </c>
      <c r="Q2410">
        <f t="shared" si="74"/>
        <v>6169038</v>
      </c>
      <c r="R2410">
        <f t="shared" si="73"/>
        <v>11.525297785489407</v>
      </c>
      <c r="U2410">
        <v>1797</v>
      </c>
      <c r="V2410">
        <v>1003</v>
      </c>
      <c r="W2410">
        <v>2590</v>
      </c>
      <c r="X2410">
        <v>1289</v>
      </c>
      <c r="Y2410">
        <v>58.2</v>
      </c>
      <c r="Z2410">
        <v>51.7</v>
      </c>
      <c r="AA2410">
        <v>64.7</v>
      </c>
    </row>
    <row r="2411" spans="1:27" x14ac:dyDescent="0.25">
      <c r="A2411" t="s">
        <v>248</v>
      </c>
      <c r="B2411" t="s">
        <v>189</v>
      </c>
      <c r="C2411" s="76">
        <v>43985</v>
      </c>
      <c r="D2411">
        <v>12989</v>
      </c>
      <c r="E2411">
        <v>8442</v>
      </c>
      <c r="F2411">
        <v>17535</v>
      </c>
      <c r="G2411">
        <v>7657</v>
      </c>
      <c r="H2411">
        <v>62.9</v>
      </c>
      <c r="I2411">
        <v>58.2</v>
      </c>
      <c r="J2411">
        <v>67.599999999999994</v>
      </c>
      <c r="K2411">
        <v>622</v>
      </c>
      <c r="L2411">
        <v>335</v>
      </c>
      <c r="M2411">
        <v>910</v>
      </c>
      <c r="N2411">
        <v>3</v>
      </c>
      <c r="O2411">
        <v>2.2000000000000002</v>
      </c>
      <c r="P2411">
        <v>3.8</v>
      </c>
      <c r="Q2411">
        <f t="shared" si="74"/>
        <v>6169038</v>
      </c>
      <c r="R2411">
        <f t="shared" si="73"/>
        <v>10.082609314450648</v>
      </c>
      <c r="U2411">
        <v>1812</v>
      </c>
      <c r="V2411">
        <v>851</v>
      </c>
      <c r="W2411">
        <v>2773</v>
      </c>
      <c r="X2411">
        <v>1200</v>
      </c>
      <c r="Y2411">
        <v>60.2</v>
      </c>
      <c r="Z2411">
        <v>51.1</v>
      </c>
      <c r="AA2411">
        <v>69.3</v>
      </c>
    </row>
    <row r="2412" spans="1:27" x14ac:dyDescent="0.25">
      <c r="A2412" t="s">
        <v>248</v>
      </c>
      <c r="B2412" t="s">
        <v>189</v>
      </c>
      <c r="C2412" s="76">
        <v>43986</v>
      </c>
      <c r="D2412">
        <v>13673</v>
      </c>
      <c r="E2412">
        <v>9525</v>
      </c>
      <c r="F2412">
        <v>17822</v>
      </c>
      <c r="G2412">
        <v>8836</v>
      </c>
      <c r="H2412">
        <v>60.7</v>
      </c>
      <c r="I2412">
        <v>55.6</v>
      </c>
      <c r="J2412">
        <v>65.900000000000006</v>
      </c>
      <c r="K2412">
        <v>651</v>
      </c>
      <c r="L2412">
        <v>391</v>
      </c>
      <c r="M2412">
        <v>911</v>
      </c>
      <c r="N2412">
        <v>2.9</v>
      </c>
      <c r="O2412">
        <v>2.2999999999999998</v>
      </c>
      <c r="P2412">
        <v>3.5</v>
      </c>
      <c r="Q2412">
        <f t="shared" si="74"/>
        <v>6169038</v>
      </c>
      <c r="R2412">
        <f t="shared" si="73"/>
        <v>10.552698816249794</v>
      </c>
      <c r="U2412">
        <v>1814</v>
      </c>
      <c r="V2412">
        <v>1008</v>
      </c>
      <c r="W2412">
        <v>2621</v>
      </c>
      <c r="X2412">
        <v>1238</v>
      </c>
      <c r="Y2412">
        <v>59.4</v>
      </c>
      <c r="Z2412">
        <v>52.5</v>
      </c>
      <c r="AA2412">
        <v>66.3</v>
      </c>
    </row>
    <row r="2413" spans="1:27" x14ac:dyDescent="0.25">
      <c r="A2413" t="s">
        <v>248</v>
      </c>
      <c r="B2413" t="s">
        <v>189</v>
      </c>
      <c r="C2413" s="76">
        <v>43987</v>
      </c>
      <c r="D2413">
        <v>12320</v>
      </c>
      <c r="E2413">
        <v>8689</v>
      </c>
      <c r="F2413">
        <v>15952</v>
      </c>
      <c r="G2413">
        <v>9203</v>
      </c>
      <c r="H2413">
        <v>57.2</v>
      </c>
      <c r="I2413">
        <v>52.7</v>
      </c>
      <c r="J2413">
        <v>61.8</v>
      </c>
      <c r="K2413">
        <v>653</v>
      </c>
      <c r="L2413">
        <v>404</v>
      </c>
      <c r="M2413">
        <v>902</v>
      </c>
      <c r="N2413">
        <v>3</v>
      </c>
      <c r="O2413">
        <v>2.5</v>
      </c>
      <c r="P2413">
        <v>3.6</v>
      </c>
      <c r="Q2413">
        <f t="shared" si="74"/>
        <v>6169038</v>
      </c>
      <c r="R2413">
        <f t="shared" si="73"/>
        <v>10.585118781891115</v>
      </c>
      <c r="U2413">
        <v>1752</v>
      </c>
      <c r="V2413">
        <v>1024</v>
      </c>
      <c r="W2413">
        <v>2481</v>
      </c>
      <c r="X2413">
        <v>1375</v>
      </c>
      <c r="Y2413">
        <v>56</v>
      </c>
      <c r="Z2413">
        <v>48.9</v>
      </c>
      <c r="AA2413">
        <v>63.2</v>
      </c>
    </row>
    <row r="2414" spans="1:27" x14ac:dyDescent="0.25">
      <c r="A2414" t="s">
        <v>248</v>
      </c>
      <c r="B2414" t="s">
        <v>189</v>
      </c>
      <c r="C2414" s="76">
        <v>43988</v>
      </c>
      <c r="D2414">
        <v>12598</v>
      </c>
      <c r="E2414">
        <v>8836</v>
      </c>
      <c r="F2414">
        <v>16361</v>
      </c>
      <c r="G2414">
        <v>9496</v>
      </c>
      <c r="H2414">
        <v>57</v>
      </c>
      <c r="I2414">
        <v>52.1</v>
      </c>
      <c r="J2414">
        <v>61.9</v>
      </c>
      <c r="K2414">
        <v>580</v>
      </c>
      <c r="L2414">
        <v>358</v>
      </c>
      <c r="M2414">
        <v>802</v>
      </c>
      <c r="N2414">
        <v>2.6</v>
      </c>
      <c r="O2414">
        <v>2.1</v>
      </c>
      <c r="P2414">
        <v>3.2</v>
      </c>
      <c r="Q2414">
        <f t="shared" si="74"/>
        <v>6169038</v>
      </c>
      <c r="R2414">
        <f t="shared" si="73"/>
        <v>9.4017900359829198</v>
      </c>
      <c r="U2414">
        <v>1731</v>
      </c>
      <c r="V2414">
        <v>1010</v>
      </c>
      <c r="W2414">
        <v>2452</v>
      </c>
      <c r="X2414">
        <v>1369</v>
      </c>
      <c r="Y2414">
        <v>55.8</v>
      </c>
      <c r="Z2414">
        <v>49.4</v>
      </c>
      <c r="AA2414">
        <v>62.3</v>
      </c>
    </row>
    <row r="2415" spans="1:27" x14ac:dyDescent="0.25">
      <c r="A2415" t="s">
        <v>248</v>
      </c>
      <c r="B2415" t="s">
        <v>189</v>
      </c>
      <c r="C2415" s="76">
        <v>43989</v>
      </c>
      <c r="D2415">
        <v>12248</v>
      </c>
      <c r="E2415">
        <v>8589</v>
      </c>
      <c r="F2415">
        <v>15907</v>
      </c>
      <c r="G2415">
        <v>9863</v>
      </c>
      <c r="H2415">
        <v>55.4</v>
      </c>
      <c r="I2415">
        <v>50.8</v>
      </c>
      <c r="J2415">
        <v>60</v>
      </c>
      <c r="K2415">
        <v>599</v>
      </c>
      <c r="L2415">
        <v>370</v>
      </c>
      <c r="M2415">
        <v>827</v>
      </c>
      <c r="N2415">
        <v>2.7</v>
      </c>
      <c r="O2415">
        <v>2.1</v>
      </c>
      <c r="P2415">
        <v>3.3</v>
      </c>
      <c r="Q2415">
        <f t="shared" si="74"/>
        <v>6169038</v>
      </c>
      <c r="R2415">
        <f t="shared" si="73"/>
        <v>9.7097797095754643</v>
      </c>
      <c r="U2415">
        <v>1715</v>
      </c>
      <c r="V2415">
        <v>1000</v>
      </c>
      <c r="W2415">
        <v>2431</v>
      </c>
      <c r="X2415">
        <v>1381</v>
      </c>
      <c r="Y2415">
        <v>55.4</v>
      </c>
      <c r="Z2415">
        <v>49.1</v>
      </c>
      <c r="AA2415">
        <v>61.7</v>
      </c>
    </row>
    <row r="2416" spans="1:27" x14ac:dyDescent="0.25">
      <c r="A2416" t="s">
        <v>248</v>
      </c>
      <c r="B2416" t="s">
        <v>189</v>
      </c>
      <c r="C2416" s="76">
        <v>43990</v>
      </c>
      <c r="D2416">
        <v>12259</v>
      </c>
      <c r="E2416">
        <v>8664</v>
      </c>
      <c r="F2416">
        <v>15855</v>
      </c>
      <c r="G2416">
        <v>9285</v>
      </c>
      <c r="H2416">
        <v>56.9</v>
      </c>
      <c r="I2416">
        <v>52.7</v>
      </c>
      <c r="J2416">
        <v>61.1</v>
      </c>
      <c r="K2416">
        <v>630</v>
      </c>
      <c r="L2416">
        <v>387</v>
      </c>
      <c r="M2416">
        <v>872</v>
      </c>
      <c r="N2416">
        <v>2.9</v>
      </c>
      <c r="O2416">
        <v>2.4</v>
      </c>
      <c r="P2416">
        <v>3.5</v>
      </c>
      <c r="Q2416">
        <f t="shared" si="74"/>
        <v>6169038</v>
      </c>
      <c r="R2416">
        <f t="shared" si="73"/>
        <v>10.212289177015929</v>
      </c>
      <c r="U2416">
        <v>1740</v>
      </c>
      <c r="V2416">
        <v>1028</v>
      </c>
      <c r="W2416">
        <v>2452</v>
      </c>
      <c r="X2416">
        <v>1338</v>
      </c>
      <c r="Y2416">
        <v>56.5</v>
      </c>
      <c r="Z2416">
        <v>50.7</v>
      </c>
      <c r="AA2416">
        <v>62.3</v>
      </c>
    </row>
    <row r="2417" spans="1:27" x14ac:dyDescent="0.25">
      <c r="A2417" t="s">
        <v>248</v>
      </c>
      <c r="B2417" t="s">
        <v>189</v>
      </c>
      <c r="C2417" s="76">
        <v>43991</v>
      </c>
      <c r="D2417">
        <v>12972</v>
      </c>
      <c r="E2417">
        <v>9182</v>
      </c>
      <c r="F2417">
        <v>16761</v>
      </c>
      <c r="G2417">
        <v>8731</v>
      </c>
      <c r="H2417">
        <v>59.8</v>
      </c>
      <c r="I2417">
        <v>55.5</v>
      </c>
      <c r="J2417">
        <v>64.099999999999994</v>
      </c>
      <c r="K2417">
        <v>643</v>
      </c>
      <c r="L2417">
        <v>399</v>
      </c>
      <c r="M2417">
        <v>888</v>
      </c>
      <c r="N2417">
        <v>3</v>
      </c>
      <c r="O2417">
        <v>2.4</v>
      </c>
      <c r="P2417">
        <v>3.5</v>
      </c>
      <c r="Q2417">
        <f t="shared" si="74"/>
        <v>6169038</v>
      </c>
      <c r="R2417">
        <f t="shared" si="73"/>
        <v>10.423018953684513</v>
      </c>
      <c r="U2417">
        <v>1799</v>
      </c>
      <c r="V2417">
        <v>1061</v>
      </c>
      <c r="W2417">
        <v>2536</v>
      </c>
      <c r="X2417">
        <v>1317</v>
      </c>
      <c r="Y2417">
        <v>57.7</v>
      </c>
      <c r="Z2417">
        <v>51.8</v>
      </c>
      <c r="AA2417">
        <v>63.6</v>
      </c>
    </row>
    <row r="2418" spans="1:27" x14ac:dyDescent="0.25">
      <c r="A2418" t="s">
        <v>248</v>
      </c>
      <c r="B2418" t="s">
        <v>189</v>
      </c>
      <c r="C2418" s="76">
        <v>43992</v>
      </c>
      <c r="D2418">
        <v>13891</v>
      </c>
      <c r="E2418">
        <v>9124</v>
      </c>
      <c r="F2418">
        <v>18658</v>
      </c>
      <c r="G2418">
        <v>7329</v>
      </c>
      <c r="H2418">
        <v>65.5</v>
      </c>
      <c r="I2418">
        <v>60.7</v>
      </c>
      <c r="J2418">
        <v>70.2</v>
      </c>
      <c r="K2418">
        <v>592</v>
      </c>
      <c r="L2418">
        <v>326</v>
      </c>
      <c r="M2418">
        <v>859</v>
      </c>
      <c r="N2418">
        <v>2.8</v>
      </c>
      <c r="O2418">
        <v>2.1</v>
      </c>
      <c r="P2418">
        <v>3.4</v>
      </c>
      <c r="Q2418">
        <f t="shared" si="74"/>
        <v>6169038</v>
      </c>
      <c r="R2418">
        <f t="shared" si="73"/>
        <v>9.596309829830842</v>
      </c>
      <c r="U2418">
        <v>2078</v>
      </c>
      <c r="V2418">
        <v>1009</v>
      </c>
      <c r="W2418">
        <v>3147</v>
      </c>
      <c r="X2418">
        <v>1144</v>
      </c>
      <c r="Y2418">
        <v>64.5</v>
      </c>
      <c r="Z2418">
        <v>55.2</v>
      </c>
      <c r="AA2418">
        <v>73.8</v>
      </c>
    </row>
    <row r="2419" spans="1:27" x14ac:dyDescent="0.25">
      <c r="A2419" t="s">
        <v>248</v>
      </c>
      <c r="B2419" t="s">
        <v>189</v>
      </c>
      <c r="C2419" s="76">
        <v>43993</v>
      </c>
      <c r="D2419">
        <v>13886</v>
      </c>
      <c r="E2419">
        <v>9749</v>
      </c>
      <c r="F2419">
        <v>18022</v>
      </c>
      <c r="G2419">
        <v>8838</v>
      </c>
      <c r="H2419">
        <v>61.1</v>
      </c>
      <c r="I2419">
        <v>56.2</v>
      </c>
      <c r="J2419">
        <v>66</v>
      </c>
      <c r="K2419">
        <v>667</v>
      </c>
      <c r="L2419">
        <v>403</v>
      </c>
      <c r="M2419">
        <v>931</v>
      </c>
      <c r="N2419">
        <v>2.9</v>
      </c>
      <c r="O2419">
        <v>2.2999999999999998</v>
      </c>
      <c r="P2419">
        <v>3.6</v>
      </c>
      <c r="Q2419">
        <f t="shared" si="74"/>
        <v>6169038</v>
      </c>
      <c r="R2419">
        <f t="shared" si="73"/>
        <v>10.812058541380358</v>
      </c>
      <c r="U2419">
        <v>1939</v>
      </c>
      <c r="V2419">
        <v>1129</v>
      </c>
      <c r="W2419">
        <v>2748</v>
      </c>
      <c r="X2419">
        <v>1229</v>
      </c>
      <c r="Y2419">
        <v>61.2</v>
      </c>
      <c r="Z2419">
        <v>53.8</v>
      </c>
      <c r="AA2419">
        <v>68.599999999999994</v>
      </c>
    </row>
    <row r="2420" spans="1:27" x14ac:dyDescent="0.25">
      <c r="A2420" t="s">
        <v>248</v>
      </c>
      <c r="B2420" t="s">
        <v>189</v>
      </c>
      <c r="C2420" s="76">
        <v>43994</v>
      </c>
      <c r="D2420">
        <v>13376</v>
      </c>
      <c r="E2420">
        <v>9345</v>
      </c>
      <c r="F2420">
        <v>17407</v>
      </c>
      <c r="G2420">
        <v>9056</v>
      </c>
      <c r="H2420">
        <v>59.6</v>
      </c>
      <c r="I2420">
        <v>54.7</v>
      </c>
      <c r="J2420">
        <v>64.599999999999994</v>
      </c>
      <c r="K2420">
        <v>641</v>
      </c>
      <c r="L2420">
        <v>388</v>
      </c>
      <c r="M2420">
        <v>893</v>
      </c>
      <c r="N2420">
        <v>2.9</v>
      </c>
      <c r="O2420">
        <v>2.2000000000000002</v>
      </c>
      <c r="P2420">
        <v>3.5</v>
      </c>
      <c r="Q2420">
        <f t="shared" si="74"/>
        <v>6169038</v>
      </c>
      <c r="R2420">
        <f t="shared" si="73"/>
        <v>10.390598988043193</v>
      </c>
      <c r="U2420">
        <v>1949</v>
      </c>
      <c r="V2420">
        <v>1136</v>
      </c>
      <c r="W2420">
        <v>2763</v>
      </c>
      <c r="X2420">
        <v>1223</v>
      </c>
      <c r="Y2420">
        <v>61.4</v>
      </c>
      <c r="Z2420">
        <v>53.8</v>
      </c>
      <c r="AA2420">
        <v>69.099999999999994</v>
      </c>
    </row>
    <row r="2421" spans="1:27" x14ac:dyDescent="0.25">
      <c r="A2421" t="s">
        <v>248</v>
      </c>
      <c r="B2421" t="s">
        <v>189</v>
      </c>
      <c r="C2421" s="76">
        <v>43995</v>
      </c>
      <c r="D2421">
        <v>12714</v>
      </c>
      <c r="E2421">
        <v>8898</v>
      </c>
      <c r="F2421">
        <v>16531</v>
      </c>
      <c r="G2421">
        <v>9497</v>
      </c>
      <c r="H2421">
        <v>57.2</v>
      </c>
      <c r="I2421">
        <v>52.2</v>
      </c>
      <c r="J2421">
        <v>62.3</v>
      </c>
      <c r="K2421">
        <v>560</v>
      </c>
      <c r="L2421">
        <v>348</v>
      </c>
      <c r="M2421">
        <v>773</v>
      </c>
      <c r="N2421">
        <v>2.5</v>
      </c>
      <c r="O2421">
        <v>2</v>
      </c>
      <c r="P2421">
        <v>3</v>
      </c>
      <c r="Q2421">
        <f t="shared" si="74"/>
        <v>6169038</v>
      </c>
      <c r="R2421">
        <f t="shared" si="73"/>
        <v>9.0775903795697168</v>
      </c>
      <c r="U2421">
        <v>1896</v>
      </c>
      <c r="V2421">
        <v>1111</v>
      </c>
      <c r="W2421">
        <v>2682</v>
      </c>
      <c r="X2421">
        <v>1244</v>
      </c>
      <c r="Y2421">
        <v>60.4</v>
      </c>
      <c r="Z2421">
        <v>52.8</v>
      </c>
      <c r="AA2421">
        <v>68</v>
      </c>
    </row>
    <row r="2422" spans="1:27" x14ac:dyDescent="0.25">
      <c r="A2422" t="s">
        <v>248</v>
      </c>
      <c r="B2422" t="s">
        <v>189</v>
      </c>
      <c r="C2422" s="76">
        <v>43996</v>
      </c>
      <c r="D2422">
        <v>12148</v>
      </c>
      <c r="E2422">
        <v>8511</v>
      </c>
      <c r="F2422">
        <v>15785</v>
      </c>
      <c r="G2422">
        <v>9968</v>
      </c>
      <c r="H2422">
        <v>54.9</v>
      </c>
      <c r="I2422">
        <v>50.1</v>
      </c>
      <c r="J2422">
        <v>59.8</v>
      </c>
      <c r="K2422">
        <v>561</v>
      </c>
      <c r="L2422">
        <v>342</v>
      </c>
      <c r="M2422">
        <v>780</v>
      </c>
      <c r="N2422">
        <v>2.5</v>
      </c>
      <c r="O2422">
        <v>2</v>
      </c>
      <c r="P2422">
        <v>3.1</v>
      </c>
      <c r="Q2422">
        <f t="shared" si="74"/>
        <v>6169038</v>
      </c>
      <c r="R2422">
        <f t="shared" si="73"/>
        <v>9.0938003623903771</v>
      </c>
      <c r="U2422">
        <v>1873</v>
      </c>
      <c r="V2422">
        <v>1102</v>
      </c>
      <c r="W2422">
        <v>2643</v>
      </c>
      <c r="X2422">
        <v>1258</v>
      </c>
      <c r="Y2422">
        <v>59.8</v>
      </c>
      <c r="Z2422">
        <v>51.3</v>
      </c>
      <c r="AA2422">
        <v>68.3</v>
      </c>
    </row>
    <row r="2423" spans="1:27" x14ac:dyDescent="0.25">
      <c r="A2423" t="s">
        <v>248</v>
      </c>
      <c r="B2423" t="s">
        <v>189</v>
      </c>
      <c r="C2423" s="76">
        <v>43997</v>
      </c>
      <c r="D2423">
        <v>12564</v>
      </c>
      <c r="E2423">
        <v>8328</v>
      </c>
      <c r="F2423">
        <v>16799</v>
      </c>
      <c r="G2423">
        <v>8229</v>
      </c>
      <c r="H2423">
        <v>60.4</v>
      </c>
      <c r="I2423">
        <v>55.6</v>
      </c>
      <c r="J2423">
        <v>65.2</v>
      </c>
      <c r="K2423">
        <v>515</v>
      </c>
      <c r="L2423">
        <v>314</v>
      </c>
      <c r="M2423">
        <v>716</v>
      </c>
      <c r="N2423">
        <v>2.5</v>
      </c>
      <c r="O2423">
        <v>1.9</v>
      </c>
      <c r="P2423">
        <v>3</v>
      </c>
      <c r="Q2423">
        <f t="shared" si="74"/>
        <v>6169038</v>
      </c>
      <c r="R2423">
        <f t="shared" si="73"/>
        <v>8.3481411526400073</v>
      </c>
      <c r="U2423">
        <v>1907</v>
      </c>
      <c r="V2423">
        <v>1046</v>
      </c>
      <c r="W2423">
        <v>2768</v>
      </c>
      <c r="X2423">
        <v>1159</v>
      </c>
      <c r="Y2423">
        <v>62.2</v>
      </c>
      <c r="Z2423">
        <v>52.1</v>
      </c>
      <c r="AA2423">
        <v>72.3</v>
      </c>
    </row>
    <row r="2424" spans="1:27" x14ac:dyDescent="0.25">
      <c r="A2424" t="s">
        <v>248</v>
      </c>
      <c r="B2424" t="s">
        <v>189</v>
      </c>
      <c r="C2424" s="76">
        <v>43998</v>
      </c>
      <c r="D2424">
        <v>13717</v>
      </c>
      <c r="E2424">
        <v>9063</v>
      </c>
      <c r="F2424">
        <v>18370</v>
      </c>
      <c r="G2424">
        <v>7581</v>
      </c>
      <c r="H2424">
        <v>64.400000000000006</v>
      </c>
      <c r="I2424">
        <v>59.7</v>
      </c>
      <c r="J2424">
        <v>69.099999999999994</v>
      </c>
      <c r="K2424">
        <v>525</v>
      </c>
      <c r="L2424">
        <v>327</v>
      </c>
      <c r="M2424">
        <v>722</v>
      </c>
      <c r="N2424">
        <v>2.5</v>
      </c>
      <c r="O2424">
        <v>1.9</v>
      </c>
      <c r="P2424">
        <v>3</v>
      </c>
      <c r="Q2424">
        <f t="shared" si="74"/>
        <v>6169038</v>
      </c>
      <c r="R2424">
        <f t="shared" si="73"/>
        <v>8.5102409808466071</v>
      </c>
      <c r="U2424">
        <v>1994</v>
      </c>
      <c r="V2424">
        <v>1052</v>
      </c>
      <c r="W2424">
        <v>2936</v>
      </c>
      <c r="X2424">
        <v>1141</v>
      </c>
      <c r="Y2424">
        <v>63.6</v>
      </c>
      <c r="Z2424">
        <v>54.3</v>
      </c>
      <c r="AA2424">
        <v>72.8</v>
      </c>
    </row>
    <row r="2425" spans="1:27" x14ac:dyDescent="0.25">
      <c r="A2425" t="s">
        <v>248</v>
      </c>
      <c r="B2425" t="s">
        <v>189</v>
      </c>
      <c r="C2425" s="76">
        <v>43999</v>
      </c>
      <c r="D2425">
        <v>14485</v>
      </c>
      <c r="E2425">
        <v>9075</v>
      </c>
      <c r="F2425">
        <v>19895</v>
      </c>
      <c r="G2425">
        <v>7702</v>
      </c>
      <c r="H2425">
        <v>65.3</v>
      </c>
      <c r="I2425">
        <v>59.9</v>
      </c>
      <c r="J2425">
        <v>70.7</v>
      </c>
      <c r="K2425">
        <v>570</v>
      </c>
      <c r="L2425">
        <v>339</v>
      </c>
      <c r="M2425">
        <v>802</v>
      </c>
      <c r="N2425">
        <v>2.6</v>
      </c>
      <c r="O2425">
        <v>2</v>
      </c>
      <c r="P2425">
        <v>3.2</v>
      </c>
      <c r="Q2425">
        <f t="shared" si="74"/>
        <v>6169038</v>
      </c>
      <c r="R2425">
        <f t="shared" si="73"/>
        <v>9.2396902077763183</v>
      </c>
      <c r="U2425">
        <v>2196</v>
      </c>
      <c r="V2425">
        <v>1053</v>
      </c>
      <c r="W2425">
        <v>3339</v>
      </c>
      <c r="X2425">
        <v>1106</v>
      </c>
      <c r="Y2425">
        <v>66.5</v>
      </c>
      <c r="Z2425">
        <v>57</v>
      </c>
      <c r="AA2425">
        <v>76</v>
      </c>
    </row>
    <row r="2426" spans="1:27" x14ac:dyDescent="0.25">
      <c r="A2426" t="s">
        <v>248</v>
      </c>
      <c r="B2426" t="s">
        <v>189</v>
      </c>
      <c r="C2426" s="76">
        <v>44000</v>
      </c>
      <c r="D2426">
        <v>13802</v>
      </c>
      <c r="E2426">
        <v>9611</v>
      </c>
      <c r="F2426">
        <v>17992</v>
      </c>
      <c r="G2426">
        <v>8798</v>
      </c>
      <c r="H2426">
        <v>61.1</v>
      </c>
      <c r="I2426">
        <v>56.1</v>
      </c>
      <c r="J2426">
        <v>66</v>
      </c>
      <c r="K2426">
        <v>646</v>
      </c>
      <c r="L2426">
        <v>388</v>
      </c>
      <c r="M2426">
        <v>904</v>
      </c>
      <c r="N2426">
        <v>2.9</v>
      </c>
      <c r="O2426">
        <v>2.2000000000000002</v>
      </c>
      <c r="P2426">
        <v>3.5</v>
      </c>
      <c r="Q2426">
        <f t="shared" si="74"/>
        <v>6169038</v>
      </c>
      <c r="R2426">
        <f t="shared" si="73"/>
        <v>10.471648902146493</v>
      </c>
      <c r="U2426">
        <v>2075</v>
      </c>
      <c r="V2426">
        <v>1245</v>
      </c>
      <c r="W2426">
        <v>2905</v>
      </c>
      <c r="X2426">
        <v>1296</v>
      </c>
      <c r="Y2426">
        <v>61.6</v>
      </c>
      <c r="Z2426">
        <v>53.6</v>
      </c>
      <c r="AA2426">
        <v>69.5</v>
      </c>
    </row>
    <row r="2427" spans="1:27" x14ac:dyDescent="0.25">
      <c r="A2427" t="s">
        <v>248</v>
      </c>
      <c r="B2427" t="s">
        <v>189</v>
      </c>
      <c r="C2427" s="76">
        <v>44001</v>
      </c>
      <c r="D2427">
        <v>13274</v>
      </c>
      <c r="E2427">
        <v>9296</v>
      </c>
      <c r="F2427">
        <v>17251</v>
      </c>
      <c r="G2427">
        <v>9317</v>
      </c>
      <c r="H2427">
        <v>58.8</v>
      </c>
      <c r="I2427">
        <v>53.8</v>
      </c>
      <c r="J2427">
        <v>63.8</v>
      </c>
      <c r="K2427">
        <v>614</v>
      </c>
      <c r="L2427">
        <v>366</v>
      </c>
      <c r="M2427">
        <v>862</v>
      </c>
      <c r="N2427">
        <v>2.7</v>
      </c>
      <c r="O2427">
        <v>2.1</v>
      </c>
      <c r="P2427">
        <v>3.3</v>
      </c>
      <c r="Q2427">
        <f t="shared" si="74"/>
        <v>6169038</v>
      </c>
      <c r="R2427">
        <f t="shared" si="73"/>
        <v>9.9529294518853675</v>
      </c>
      <c r="U2427">
        <v>1911</v>
      </c>
      <c r="V2427">
        <v>1143</v>
      </c>
      <c r="W2427">
        <v>2679</v>
      </c>
      <c r="X2427">
        <v>1381</v>
      </c>
      <c r="Y2427">
        <v>58</v>
      </c>
      <c r="Z2427">
        <v>51.6</v>
      </c>
      <c r="AA2427">
        <v>64.5</v>
      </c>
    </row>
    <row r="2428" spans="1:27" x14ac:dyDescent="0.25">
      <c r="A2428" t="s">
        <v>248</v>
      </c>
      <c r="B2428" t="s">
        <v>189</v>
      </c>
      <c r="C2428" s="76">
        <v>44002</v>
      </c>
      <c r="D2428">
        <v>12656</v>
      </c>
      <c r="E2428">
        <v>8878</v>
      </c>
      <c r="F2428">
        <v>16434</v>
      </c>
      <c r="G2428">
        <v>9797</v>
      </c>
      <c r="H2428">
        <v>56.4</v>
      </c>
      <c r="I2428">
        <v>51.3</v>
      </c>
      <c r="J2428">
        <v>61.4</v>
      </c>
      <c r="K2428">
        <v>622</v>
      </c>
      <c r="L2428">
        <v>383</v>
      </c>
      <c r="M2428">
        <v>861</v>
      </c>
      <c r="N2428">
        <v>2.8</v>
      </c>
      <c r="O2428">
        <v>2.2000000000000002</v>
      </c>
      <c r="P2428">
        <v>3.3</v>
      </c>
      <c r="Q2428">
        <f t="shared" si="74"/>
        <v>6169038</v>
      </c>
      <c r="R2428">
        <f t="shared" si="73"/>
        <v>10.082609314450648</v>
      </c>
      <c r="U2428">
        <v>1835</v>
      </c>
      <c r="V2428">
        <v>1094</v>
      </c>
      <c r="W2428">
        <v>2576</v>
      </c>
      <c r="X2428">
        <v>1405</v>
      </c>
      <c r="Y2428">
        <v>56.6</v>
      </c>
      <c r="Z2428">
        <v>50</v>
      </c>
      <c r="AA2428">
        <v>63.2</v>
      </c>
    </row>
    <row r="2429" spans="1:27" x14ac:dyDescent="0.25">
      <c r="A2429" t="s">
        <v>248</v>
      </c>
      <c r="B2429" t="s">
        <v>189</v>
      </c>
      <c r="C2429" s="76">
        <v>44003</v>
      </c>
      <c r="D2429">
        <v>12187</v>
      </c>
      <c r="E2429">
        <v>8536</v>
      </c>
      <c r="F2429">
        <v>15838</v>
      </c>
      <c r="G2429">
        <v>10303</v>
      </c>
      <c r="H2429">
        <v>54.2</v>
      </c>
      <c r="I2429">
        <v>49.5</v>
      </c>
      <c r="J2429">
        <v>58.9</v>
      </c>
      <c r="K2429">
        <v>579</v>
      </c>
      <c r="L2429">
        <v>350</v>
      </c>
      <c r="M2429">
        <v>809</v>
      </c>
      <c r="N2429">
        <v>2.6</v>
      </c>
      <c r="O2429">
        <v>2</v>
      </c>
      <c r="P2429">
        <v>3.1</v>
      </c>
      <c r="Q2429">
        <f t="shared" si="74"/>
        <v>6169038</v>
      </c>
      <c r="R2429">
        <f t="shared" si="73"/>
        <v>9.3855800531622595</v>
      </c>
      <c r="U2429">
        <v>1770</v>
      </c>
      <c r="V2429">
        <v>1052</v>
      </c>
      <c r="W2429">
        <v>2488</v>
      </c>
      <c r="X2429">
        <v>1461</v>
      </c>
      <c r="Y2429">
        <v>54.8</v>
      </c>
      <c r="Z2429">
        <v>49.1</v>
      </c>
      <c r="AA2429">
        <v>60.4</v>
      </c>
    </row>
    <row r="2430" spans="1:27" x14ac:dyDescent="0.25">
      <c r="A2430" t="s">
        <v>248</v>
      </c>
      <c r="B2430" t="s">
        <v>189</v>
      </c>
      <c r="C2430" s="76">
        <v>44004</v>
      </c>
      <c r="D2430">
        <v>12122</v>
      </c>
      <c r="E2430">
        <v>8522</v>
      </c>
      <c r="F2430">
        <v>15721</v>
      </c>
      <c r="G2430">
        <v>9844</v>
      </c>
      <c r="H2430">
        <v>55.2</v>
      </c>
      <c r="I2430">
        <v>51</v>
      </c>
      <c r="J2430">
        <v>59.4</v>
      </c>
      <c r="K2430">
        <v>625</v>
      </c>
      <c r="L2430">
        <v>379</v>
      </c>
      <c r="M2430">
        <v>872</v>
      </c>
      <c r="N2430">
        <v>2.8</v>
      </c>
      <c r="O2430">
        <v>2.2999999999999998</v>
      </c>
      <c r="P2430">
        <v>3.4</v>
      </c>
      <c r="Q2430">
        <f t="shared" si="74"/>
        <v>6169038</v>
      </c>
      <c r="R2430">
        <f t="shared" si="73"/>
        <v>10.131239262912629</v>
      </c>
      <c r="U2430">
        <v>1830</v>
      </c>
      <c r="V2430">
        <v>1089</v>
      </c>
      <c r="W2430">
        <v>2570</v>
      </c>
      <c r="X2430">
        <v>1296</v>
      </c>
      <c r="Y2430">
        <v>58.5</v>
      </c>
      <c r="Z2430">
        <v>53</v>
      </c>
      <c r="AA2430">
        <v>64.099999999999994</v>
      </c>
    </row>
    <row r="2431" spans="1:27" x14ac:dyDescent="0.25">
      <c r="A2431" t="s">
        <v>248</v>
      </c>
      <c r="B2431" t="s">
        <v>189</v>
      </c>
      <c r="C2431" s="76">
        <v>44005</v>
      </c>
      <c r="D2431">
        <v>13431</v>
      </c>
      <c r="E2431">
        <v>8848</v>
      </c>
      <c r="F2431">
        <v>18015</v>
      </c>
      <c r="G2431">
        <v>7880</v>
      </c>
      <c r="H2431">
        <v>63</v>
      </c>
      <c r="I2431">
        <v>58.2</v>
      </c>
      <c r="J2431">
        <v>67.8</v>
      </c>
      <c r="K2431">
        <v>569</v>
      </c>
      <c r="L2431">
        <v>326</v>
      </c>
      <c r="M2431">
        <v>813</v>
      </c>
      <c r="N2431">
        <v>2.7</v>
      </c>
      <c r="O2431">
        <v>2.1</v>
      </c>
      <c r="P2431">
        <v>3.3</v>
      </c>
      <c r="Q2431">
        <f t="shared" si="74"/>
        <v>6169038</v>
      </c>
      <c r="R2431">
        <f t="shared" si="73"/>
        <v>9.223480224955658</v>
      </c>
      <c r="U2431">
        <v>1972</v>
      </c>
      <c r="V2431">
        <v>1094</v>
      </c>
      <c r="W2431">
        <v>2850</v>
      </c>
      <c r="X2431">
        <v>1203</v>
      </c>
      <c r="Y2431">
        <v>62.1</v>
      </c>
      <c r="Z2431">
        <v>55.4</v>
      </c>
      <c r="AA2431">
        <v>68.8</v>
      </c>
    </row>
    <row r="2432" spans="1:27" x14ac:dyDescent="0.25">
      <c r="A2432" t="s">
        <v>248</v>
      </c>
      <c r="B2432" t="s">
        <v>189</v>
      </c>
      <c r="C2432" s="76">
        <v>44006</v>
      </c>
      <c r="D2432">
        <v>14192</v>
      </c>
      <c r="E2432">
        <v>9195</v>
      </c>
      <c r="F2432">
        <v>19189</v>
      </c>
      <c r="G2432">
        <v>7728</v>
      </c>
      <c r="H2432">
        <v>64.7</v>
      </c>
      <c r="I2432">
        <v>59.9</v>
      </c>
      <c r="J2432">
        <v>69.5</v>
      </c>
      <c r="K2432">
        <v>650</v>
      </c>
      <c r="L2432">
        <v>379</v>
      </c>
      <c r="M2432">
        <v>922</v>
      </c>
      <c r="N2432">
        <v>3</v>
      </c>
      <c r="O2432">
        <v>2.4</v>
      </c>
      <c r="P2432">
        <v>3.6</v>
      </c>
      <c r="Q2432">
        <f t="shared" si="74"/>
        <v>6169038</v>
      </c>
      <c r="R2432">
        <f t="shared" si="73"/>
        <v>10.536488833429134</v>
      </c>
      <c r="U2432">
        <v>2077</v>
      </c>
      <c r="V2432">
        <v>1016</v>
      </c>
      <c r="W2432">
        <v>3139</v>
      </c>
      <c r="X2432">
        <v>1199</v>
      </c>
      <c r="Y2432">
        <v>63.4</v>
      </c>
      <c r="Z2432">
        <v>56.4</v>
      </c>
      <c r="AA2432">
        <v>70.400000000000006</v>
      </c>
    </row>
    <row r="2433" spans="1:27" x14ac:dyDescent="0.25">
      <c r="A2433" t="s">
        <v>248</v>
      </c>
      <c r="B2433" t="s">
        <v>189</v>
      </c>
      <c r="C2433" s="76">
        <v>44007</v>
      </c>
      <c r="D2433">
        <v>14186</v>
      </c>
      <c r="E2433">
        <v>9896</v>
      </c>
      <c r="F2433">
        <v>18476</v>
      </c>
      <c r="G2433">
        <v>8924</v>
      </c>
      <c r="H2433">
        <v>61.4</v>
      </c>
      <c r="I2433">
        <v>56.8</v>
      </c>
      <c r="J2433">
        <v>66</v>
      </c>
      <c r="K2433">
        <v>671</v>
      </c>
      <c r="L2433">
        <v>410</v>
      </c>
      <c r="M2433">
        <v>931</v>
      </c>
      <c r="N2433">
        <v>2.9</v>
      </c>
      <c r="O2433">
        <v>2.2999999999999998</v>
      </c>
      <c r="P2433">
        <v>3.5</v>
      </c>
      <c r="Q2433">
        <f t="shared" si="74"/>
        <v>6169038</v>
      </c>
      <c r="R2433">
        <f t="shared" si="73"/>
        <v>10.876898472662999</v>
      </c>
      <c r="U2433">
        <v>1954</v>
      </c>
      <c r="V2433">
        <v>1151</v>
      </c>
      <c r="W2433">
        <v>2757</v>
      </c>
      <c r="X2433">
        <v>1225</v>
      </c>
      <c r="Y2433">
        <v>61.5</v>
      </c>
      <c r="Z2433">
        <v>55.3</v>
      </c>
      <c r="AA2433">
        <v>67.7</v>
      </c>
    </row>
    <row r="2434" spans="1:27" x14ac:dyDescent="0.25">
      <c r="A2434" t="s">
        <v>248</v>
      </c>
      <c r="B2434" t="s">
        <v>189</v>
      </c>
      <c r="C2434" s="76">
        <v>44008</v>
      </c>
      <c r="D2434">
        <v>13947</v>
      </c>
      <c r="E2434">
        <v>9680</v>
      </c>
      <c r="F2434">
        <v>18213</v>
      </c>
      <c r="G2434">
        <v>9346</v>
      </c>
      <c r="H2434">
        <v>59.9</v>
      </c>
      <c r="I2434">
        <v>54.9</v>
      </c>
      <c r="J2434">
        <v>64.8</v>
      </c>
      <c r="K2434">
        <v>669</v>
      </c>
      <c r="L2434">
        <v>407</v>
      </c>
      <c r="M2434">
        <v>932</v>
      </c>
      <c r="N2434">
        <v>2.9</v>
      </c>
      <c r="O2434">
        <v>2.2999999999999998</v>
      </c>
      <c r="P2434">
        <v>3.5</v>
      </c>
      <c r="Q2434">
        <f t="shared" si="74"/>
        <v>6169038</v>
      </c>
      <c r="R2434">
        <f t="shared" si="73"/>
        <v>10.844478507021678</v>
      </c>
      <c r="U2434">
        <v>1916</v>
      </c>
      <c r="V2434">
        <v>1111</v>
      </c>
      <c r="W2434">
        <v>2720</v>
      </c>
      <c r="X2434">
        <v>1265</v>
      </c>
      <c r="Y2434">
        <v>60.2</v>
      </c>
      <c r="Z2434">
        <v>54.3</v>
      </c>
      <c r="AA2434">
        <v>66.2</v>
      </c>
    </row>
    <row r="2435" spans="1:27" x14ac:dyDescent="0.25">
      <c r="A2435" t="s">
        <v>248</v>
      </c>
      <c r="B2435" t="s">
        <v>189</v>
      </c>
      <c r="C2435" s="76">
        <v>44009</v>
      </c>
      <c r="D2435">
        <v>13285</v>
      </c>
      <c r="E2435">
        <v>9256</v>
      </c>
      <c r="F2435">
        <v>17314</v>
      </c>
      <c r="G2435">
        <v>9755</v>
      </c>
      <c r="H2435">
        <v>57.7</v>
      </c>
      <c r="I2435">
        <v>52.7</v>
      </c>
      <c r="J2435">
        <v>62.7</v>
      </c>
      <c r="K2435">
        <v>656</v>
      </c>
      <c r="L2435">
        <v>405</v>
      </c>
      <c r="M2435">
        <v>907</v>
      </c>
      <c r="N2435">
        <v>2.8</v>
      </c>
      <c r="O2435">
        <v>2.2999999999999998</v>
      </c>
      <c r="P2435">
        <v>3.4</v>
      </c>
      <c r="Q2435">
        <f t="shared" si="74"/>
        <v>6169038</v>
      </c>
      <c r="R2435">
        <f t="shared" si="73"/>
        <v>10.633748730353094</v>
      </c>
      <c r="U2435">
        <v>1811</v>
      </c>
      <c r="V2435">
        <v>1053</v>
      </c>
      <c r="W2435">
        <v>2568</v>
      </c>
      <c r="X2435">
        <v>1190</v>
      </c>
      <c r="Y2435">
        <v>60.3</v>
      </c>
      <c r="Z2435">
        <v>54.2</v>
      </c>
      <c r="AA2435">
        <v>66.5</v>
      </c>
    </row>
    <row r="2436" spans="1:27" x14ac:dyDescent="0.25">
      <c r="A2436" t="s">
        <v>248</v>
      </c>
      <c r="B2436" t="s">
        <v>189</v>
      </c>
      <c r="C2436" s="76">
        <v>44010</v>
      </c>
      <c r="D2436">
        <v>12583</v>
      </c>
      <c r="E2436">
        <v>8813</v>
      </c>
      <c r="F2436">
        <v>16354</v>
      </c>
      <c r="G2436">
        <v>9909</v>
      </c>
      <c r="H2436">
        <v>55.9</v>
      </c>
      <c r="I2436">
        <v>50.9</v>
      </c>
      <c r="J2436">
        <v>60.9</v>
      </c>
      <c r="K2436">
        <v>655</v>
      </c>
      <c r="L2436">
        <v>424</v>
      </c>
      <c r="M2436">
        <v>885</v>
      </c>
      <c r="N2436">
        <v>2.9</v>
      </c>
      <c r="O2436">
        <v>2.4</v>
      </c>
      <c r="P2436">
        <v>3.4</v>
      </c>
      <c r="Q2436">
        <f t="shared" si="74"/>
        <v>6169038</v>
      </c>
      <c r="R2436">
        <f t="shared" si="73"/>
        <v>10.617538747532434</v>
      </c>
      <c r="U2436">
        <v>1726</v>
      </c>
      <c r="V2436">
        <v>1022</v>
      </c>
      <c r="W2436">
        <v>2431</v>
      </c>
      <c r="X2436">
        <v>1241</v>
      </c>
      <c r="Y2436">
        <v>58.2</v>
      </c>
      <c r="Z2436">
        <v>52.6</v>
      </c>
      <c r="AA2436">
        <v>63.7</v>
      </c>
    </row>
    <row r="2437" spans="1:27" x14ac:dyDescent="0.25">
      <c r="A2437" t="s">
        <v>248</v>
      </c>
      <c r="B2437" t="s">
        <v>189</v>
      </c>
      <c r="C2437" s="76">
        <v>44011</v>
      </c>
      <c r="D2437">
        <v>12819</v>
      </c>
      <c r="E2437">
        <v>8992</v>
      </c>
      <c r="F2437">
        <v>16646</v>
      </c>
      <c r="G2437">
        <v>9478</v>
      </c>
      <c r="H2437">
        <v>57.5</v>
      </c>
      <c r="I2437">
        <v>52.9</v>
      </c>
      <c r="J2437">
        <v>62.1</v>
      </c>
      <c r="K2437">
        <v>757</v>
      </c>
      <c r="L2437">
        <v>489</v>
      </c>
      <c r="M2437">
        <v>1026</v>
      </c>
      <c r="N2437">
        <v>3.4</v>
      </c>
      <c r="O2437">
        <v>2.8</v>
      </c>
      <c r="P2437">
        <v>4</v>
      </c>
      <c r="Q2437">
        <f t="shared" si="74"/>
        <v>6169038</v>
      </c>
      <c r="R2437">
        <f t="shared" ref="R2437:R2500" si="75">K2437/(Q2437)*100000</f>
        <v>12.270956995239775</v>
      </c>
      <c r="U2437">
        <v>1783</v>
      </c>
      <c r="V2437">
        <v>1068</v>
      </c>
      <c r="W2437">
        <v>2497</v>
      </c>
      <c r="X2437">
        <v>1202</v>
      </c>
      <c r="Y2437">
        <v>59.7</v>
      </c>
      <c r="Z2437">
        <v>53.7</v>
      </c>
      <c r="AA2437">
        <v>65.7</v>
      </c>
    </row>
    <row r="2438" spans="1:27" x14ac:dyDescent="0.25">
      <c r="A2438" t="s">
        <v>248</v>
      </c>
      <c r="B2438" t="s">
        <v>189</v>
      </c>
      <c r="C2438" s="76">
        <v>44012</v>
      </c>
      <c r="D2438">
        <v>13913</v>
      </c>
      <c r="E2438">
        <v>9787</v>
      </c>
      <c r="F2438">
        <v>18039</v>
      </c>
      <c r="G2438">
        <v>8773</v>
      </c>
      <c r="H2438">
        <v>61.3</v>
      </c>
      <c r="I2438">
        <v>56.6</v>
      </c>
      <c r="J2438">
        <v>66.099999999999994</v>
      </c>
      <c r="K2438">
        <v>795</v>
      </c>
      <c r="L2438">
        <v>510</v>
      </c>
      <c r="M2438">
        <v>1079</v>
      </c>
      <c r="N2438">
        <v>3.5</v>
      </c>
      <c r="O2438">
        <v>2.8</v>
      </c>
      <c r="P2438">
        <v>4.2</v>
      </c>
      <c r="Q2438">
        <f t="shared" si="74"/>
        <v>6169038</v>
      </c>
      <c r="R2438">
        <f t="shared" si="75"/>
        <v>12.886936342424864</v>
      </c>
      <c r="U2438">
        <v>1848</v>
      </c>
      <c r="V2438">
        <v>1094</v>
      </c>
      <c r="W2438">
        <v>2603</v>
      </c>
      <c r="X2438">
        <v>1197</v>
      </c>
      <c r="Y2438">
        <v>60.7</v>
      </c>
      <c r="Z2438">
        <v>54.5</v>
      </c>
      <c r="AA2438">
        <v>66.900000000000006</v>
      </c>
    </row>
    <row r="2439" spans="1:27" x14ac:dyDescent="0.25">
      <c r="A2439" t="s">
        <v>248</v>
      </c>
      <c r="B2439" t="s">
        <v>189</v>
      </c>
      <c r="C2439" s="76">
        <v>44013</v>
      </c>
      <c r="D2439">
        <v>14091</v>
      </c>
      <c r="E2439">
        <v>9903</v>
      </c>
      <c r="F2439">
        <v>18279</v>
      </c>
      <c r="G2439">
        <v>8657</v>
      </c>
      <c r="H2439">
        <v>61.9</v>
      </c>
      <c r="I2439">
        <v>57.1</v>
      </c>
      <c r="J2439">
        <v>66.8</v>
      </c>
      <c r="K2439">
        <v>792</v>
      </c>
      <c r="L2439">
        <v>497</v>
      </c>
      <c r="M2439">
        <v>1086</v>
      </c>
      <c r="N2439">
        <v>3.5</v>
      </c>
      <c r="O2439">
        <v>2.7</v>
      </c>
      <c r="P2439">
        <v>4.2</v>
      </c>
      <c r="Q2439">
        <f t="shared" si="74"/>
        <v>6169038</v>
      </c>
      <c r="R2439">
        <f t="shared" si="75"/>
        <v>12.838306393962883</v>
      </c>
      <c r="U2439">
        <v>1864</v>
      </c>
      <c r="V2439">
        <v>1107</v>
      </c>
      <c r="W2439">
        <v>2621</v>
      </c>
      <c r="X2439">
        <v>1221</v>
      </c>
      <c r="Y2439">
        <v>60.4</v>
      </c>
      <c r="Z2439">
        <v>54.4</v>
      </c>
      <c r="AA2439">
        <v>66.5</v>
      </c>
    </row>
    <row r="2440" spans="1:27" x14ac:dyDescent="0.25">
      <c r="A2440" t="s">
        <v>248</v>
      </c>
      <c r="B2440" t="s">
        <v>189</v>
      </c>
      <c r="C2440" s="76">
        <v>44014</v>
      </c>
      <c r="D2440">
        <v>14544</v>
      </c>
      <c r="E2440">
        <v>9971</v>
      </c>
      <c r="F2440">
        <v>19116</v>
      </c>
      <c r="G2440">
        <v>8864</v>
      </c>
      <c r="H2440">
        <v>62.1</v>
      </c>
      <c r="I2440">
        <v>57.2</v>
      </c>
      <c r="J2440">
        <v>67.099999999999994</v>
      </c>
      <c r="K2440">
        <v>893</v>
      </c>
      <c r="L2440">
        <v>548</v>
      </c>
      <c r="M2440">
        <v>1238</v>
      </c>
      <c r="N2440">
        <v>3.8</v>
      </c>
      <c r="O2440">
        <v>3</v>
      </c>
      <c r="P2440">
        <v>4.5999999999999996</v>
      </c>
      <c r="Q2440">
        <f t="shared" si="74"/>
        <v>6169038</v>
      </c>
      <c r="R2440">
        <f t="shared" si="75"/>
        <v>14.475514658849566</v>
      </c>
      <c r="U2440">
        <v>2011</v>
      </c>
      <c r="V2440">
        <v>1167</v>
      </c>
      <c r="W2440">
        <v>2856</v>
      </c>
      <c r="X2440">
        <v>1251</v>
      </c>
      <c r="Y2440">
        <v>61.6</v>
      </c>
      <c r="Z2440">
        <v>55.4</v>
      </c>
      <c r="AA2440">
        <v>67.900000000000006</v>
      </c>
    </row>
    <row r="2441" spans="1:27" x14ac:dyDescent="0.25">
      <c r="A2441" t="s">
        <v>248</v>
      </c>
      <c r="B2441" t="s">
        <v>189</v>
      </c>
      <c r="C2441" s="76">
        <v>44015</v>
      </c>
      <c r="D2441">
        <v>13018</v>
      </c>
      <c r="E2441">
        <v>8940</v>
      </c>
      <c r="F2441">
        <v>17096</v>
      </c>
      <c r="G2441">
        <v>9278</v>
      </c>
      <c r="H2441">
        <v>58.4</v>
      </c>
      <c r="I2441">
        <v>53.5</v>
      </c>
      <c r="J2441">
        <v>63.3</v>
      </c>
      <c r="K2441">
        <v>842</v>
      </c>
      <c r="L2441">
        <v>521</v>
      </c>
      <c r="M2441">
        <v>1162</v>
      </c>
      <c r="N2441">
        <v>3.8</v>
      </c>
      <c r="O2441">
        <v>3.1</v>
      </c>
      <c r="P2441">
        <v>4.4000000000000004</v>
      </c>
      <c r="Q2441">
        <f t="shared" si="74"/>
        <v>6169038</v>
      </c>
      <c r="R2441">
        <f t="shared" si="75"/>
        <v>13.648805534995894</v>
      </c>
      <c r="U2441">
        <v>1944</v>
      </c>
      <c r="V2441">
        <v>1135</v>
      </c>
      <c r="W2441">
        <v>2753</v>
      </c>
      <c r="X2441">
        <v>1413</v>
      </c>
      <c r="Y2441">
        <v>57.9</v>
      </c>
      <c r="Z2441">
        <v>51.5</v>
      </c>
      <c r="AA2441">
        <v>64.3</v>
      </c>
    </row>
    <row r="2442" spans="1:27" x14ac:dyDescent="0.25">
      <c r="A2442" t="s">
        <v>248</v>
      </c>
      <c r="B2442" t="s">
        <v>189</v>
      </c>
      <c r="C2442" s="76">
        <v>44016</v>
      </c>
      <c r="D2442">
        <v>12075</v>
      </c>
      <c r="E2442">
        <v>8272</v>
      </c>
      <c r="F2442">
        <v>15878</v>
      </c>
      <c r="G2442">
        <v>10226</v>
      </c>
      <c r="H2442">
        <v>54.1</v>
      </c>
      <c r="I2442">
        <v>49.5</v>
      </c>
      <c r="J2442">
        <v>58.8</v>
      </c>
      <c r="K2442">
        <v>776</v>
      </c>
      <c r="L2442">
        <v>490</v>
      </c>
      <c r="M2442">
        <v>1063</v>
      </c>
      <c r="N2442">
        <v>3.5</v>
      </c>
      <c r="O2442">
        <v>2.9</v>
      </c>
      <c r="P2442">
        <v>4.0999999999999996</v>
      </c>
      <c r="Q2442">
        <f t="shared" si="74"/>
        <v>6169038</v>
      </c>
      <c r="R2442">
        <f t="shared" si="75"/>
        <v>12.578946668832319</v>
      </c>
      <c r="U2442">
        <v>1904</v>
      </c>
      <c r="V2442">
        <v>1108</v>
      </c>
      <c r="W2442">
        <v>2700</v>
      </c>
      <c r="X2442">
        <v>1457</v>
      </c>
      <c r="Y2442">
        <v>56.7</v>
      </c>
      <c r="Z2442">
        <v>50</v>
      </c>
      <c r="AA2442">
        <v>63.3</v>
      </c>
    </row>
    <row r="2443" spans="1:27" x14ac:dyDescent="0.25">
      <c r="A2443" t="s">
        <v>248</v>
      </c>
      <c r="B2443" t="s">
        <v>189</v>
      </c>
      <c r="C2443" s="76">
        <v>44017</v>
      </c>
      <c r="D2443">
        <v>12041</v>
      </c>
      <c r="E2443">
        <v>8287</v>
      </c>
      <c r="F2443">
        <v>15795</v>
      </c>
      <c r="G2443">
        <v>10237</v>
      </c>
      <c r="H2443">
        <v>54</v>
      </c>
      <c r="I2443">
        <v>49.5</v>
      </c>
      <c r="J2443">
        <v>58.6</v>
      </c>
      <c r="K2443">
        <v>800</v>
      </c>
      <c r="L2443">
        <v>499</v>
      </c>
      <c r="M2443">
        <v>1102</v>
      </c>
      <c r="N2443">
        <v>3.6</v>
      </c>
      <c r="O2443">
        <v>3</v>
      </c>
      <c r="P2443">
        <v>4.2</v>
      </c>
      <c r="Q2443">
        <f t="shared" si="74"/>
        <v>6169038</v>
      </c>
      <c r="R2443">
        <f t="shared" si="75"/>
        <v>12.967986256528166</v>
      </c>
      <c r="U2443">
        <v>1908</v>
      </c>
      <c r="V2443">
        <v>1107</v>
      </c>
      <c r="W2443">
        <v>2709</v>
      </c>
      <c r="X2443">
        <v>1451</v>
      </c>
      <c r="Y2443">
        <v>56.8</v>
      </c>
      <c r="Z2443">
        <v>50.4</v>
      </c>
      <c r="AA2443">
        <v>63.2</v>
      </c>
    </row>
    <row r="2444" spans="1:27" x14ac:dyDescent="0.25">
      <c r="A2444" t="s">
        <v>248</v>
      </c>
      <c r="B2444" t="s">
        <v>189</v>
      </c>
      <c r="C2444" s="76">
        <v>44018</v>
      </c>
      <c r="D2444">
        <v>12692</v>
      </c>
      <c r="E2444">
        <v>8722</v>
      </c>
      <c r="F2444">
        <v>16663</v>
      </c>
      <c r="G2444">
        <v>9553</v>
      </c>
      <c r="H2444">
        <v>57.1</v>
      </c>
      <c r="I2444">
        <v>52.6</v>
      </c>
      <c r="J2444">
        <v>61.5</v>
      </c>
      <c r="K2444">
        <v>894</v>
      </c>
      <c r="L2444">
        <v>551</v>
      </c>
      <c r="M2444">
        <v>1237</v>
      </c>
      <c r="N2444">
        <v>4</v>
      </c>
      <c r="O2444">
        <v>3.3</v>
      </c>
      <c r="P2444">
        <v>4.8</v>
      </c>
      <c r="Q2444">
        <f t="shared" si="74"/>
        <v>6169038</v>
      </c>
      <c r="R2444">
        <f t="shared" si="75"/>
        <v>14.491724641670226</v>
      </c>
      <c r="U2444">
        <v>1906</v>
      </c>
      <c r="V2444">
        <v>1105</v>
      </c>
      <c r="W2444">
        <v>2708</v>
      </c>
      <c r="X2444">
        <v>1461</v>
      </c>
      <c r="Y2444">
        <v>56.6</v>
      </c>
      <c r="Z2444">
        <v>50.8</v>
      </c>
      <c r="AA2444">
        <v>62.4</v>
      </c>
    </row>
    <row r="2445" spans="1:27" x14ac:dyDescent="0.25">
      <c r="A2445" t="s">
        <v>248</v>
      </c>
      <c r="B2445" t="s">
        <v>189</v>
      </c>
      <c r="C2445" s="76">
        <v>44019</v>
      </c>
      <c r="D2445">
        <v>13715</v>
      </c>
      <c r="E2445">
        <v>9450</v>
      </c>
      <c r="F2445">
        <v>17980</v>
      </c>
      <c r="G2445">
        <v>8553</v>
      </c>
      <c r="H2445">
        <v>61.6</v>
      </c>
      <c r="I2445">
        <v>56.9</v>
      </c>
      <c r="J2445">
        <v>66.2</v>
      </c>
      <c r="K2445">
        <v>975</v>
      </c>
      <c r="L2445">
        <v>604</v>
      </c>
      <c r="M2445">
        <v>1346</v>
      </c>
      <c r="N2445">
        <v>4.4000000000000004</v>
      </c>
      <c r="O2445">
        <v>3.6</v>
      </c>
      <c r="P2445">
        <v>5.2</v>
      </c>
      <c r="Q2445">
        <f t="shared" si="74"/>
        <v>6169038</v>
      </c>
      <c r="R2445">
        <f t="shared" si="75"/>
        <v>15.804733250143704</v>
      </c>
      <c r="U2445">
        <v>2076</v>
      </c>
      <c r="V2445">
        <v>1212</v>
      </c>
      <c r="W2445">
        <v>2939</v>
      </c>
      <c r="X2445">
        <v>1286</v>
      </c>
      <c r="Y2445">
        <v>61.8</v>
      </c>
      <c r="Z2445">
        <v>55.3</v>
      </c>
      <c r="AA2445">
        <v>68.2</v>
      </c>
    </row>
    <row r="2446" spans="1:27" x14ac:dyDescent="0.25">
      <c r="A2446" t="s">
        <v>249</v>
      </c>
      <c r="B2446" t="s">
        <v>206</v>
      </c>
      <c r="C2446" s="76">
        <v>43922</v>
      </c>
      <c r="D2446">
        <v>4524</v>
      </c>
      <c r="E2446">
        <v>1812</v>
      </c>
      <c r="F2446">
        <v>7236</v>
      </c>
      <c r="G2446">
        <v>4261</v>
      </c>
      <c r="H2446">
        <v>51.5</v>
      </c>
      <c r="I2446">
        <v>45.8</v>
      </c>
      <c r="J2446">
        <v>57.2</v>
      </c>
      <c r="K2446">
        <v>605</v>
      </c>
      <c r="L2446">
        <v>192</v>
      </c>
      <c r="M2446">
        <v>1018</v>
      </c>
      <c r="N2446">
        <v>6.9</v>
      </c>
      <c r="O2446">
        <v>4.2</v>
      </c>
      <c r="P2446">
        <v>9.6</v>
      </c>
      <c r="Q2446">
        <f t="shared" si="74"/>
        <v>2966407</v>
      </c>
      <c r="R2446">
        <f t="shared" si="75"/>
        <v>20.395043566172816</v>
      </c>
      <c r="U2446">
        <v>702</v>
      </c>
      <c r="V2446">
        <v>234</v>
      </c>
      <c r="W2446">
        <v>1169</v>
      </c>
      <c r="X2446">
        <v>360</v>
      </c>
      <c r="Y2446">
        <v>66.099999999999994</v>
      </c>
      <c r="Z2446">
        <v>54.8</v>
      </c>
      <c r="AA2446">
        <v>77.400000000000006</v>
      </c>
    </row>
    <row r="2447" spans="1:27" x14ac:dyDescent="0.25">
      <c r="A2447" t="s">
        <v>249</v>
      </c>
      <c r="B2447" t="s">
        <v>206</v>
      </c>
      <c r="C2447" s="76">
        <v>43923</v>
      </c>
      <c r="D2447">
        <v>4453</v>
      </c>
      <c r="E2447">
        <v>2022</v>
      </c>
      <c r="F2447">
        <v>6883</v>
      </c>
      <c r="G2447">
        <v>3980</v>
      </c>
      <c r="H2447">
        <v>52.8</v>
      </c>
      <c r="I2447">
        <v>46.1</v>
      </c>
      <c r="J2447">
        <v>59.5</v>
      </c>
      <c r="K2447">
        <v>566</v>
      </c>
      <c r="L2447">
        <v>212</v>
      </c>
      <c r="M2447">
        <v>920</v>
      </c>
      <c r="N2447">
        <v>6.7</v>
      </c>
      <c r="O2447">
        <v>4.0999999999999996</v>
      </c>
      <c r="P2447">
        <v>9.3000000000000007</v>
      </c>
      <c r="Q2447">
        <f t="shared" si="74"/>
        <v>2966407</v>
      </c>
      <c r="R2447">
        <f t="shared" si="75"/>
        <v>19.080321749510432</v>
      </c>
      <c r="U2447">
        <v>837</v>
      </c>
      <c r="V2447">
        <v>285</v>
      </c>
      <c r="W2447">
        <v>1390</v>
      </c>
      <c r="X2447">
        <v>336</v>
      </c>
      <c r="Y2447">
        <v>71.3</v>
      </c>
      <c r="Z2447">
        <v>60.1</v>
      </c>
      <c r="AA2447">
        <v>82.6</v>
      </c>
    </row>
    <row r="2448" spans="1:27" x14ac:dyDescent="0.25">
      <c r="A2448" t="s">
        <v>249</v>
      </c>
      <c r="B2448" t="s">
        <v>206</v>
      </c>
      <c r="C2448" s="76">
        <v>43924</v>
      </c>
      <c r="D2448">
        <v>4189</v>
      </c>
      <c r="E2448">
        <v>1941</v>
      </c>
      <c r="F2448">
        <v>6436</v>
      </c>
      <c r="G2448">
        <v>4165</v>
      </c>
      <c r="H2448">
        <v>50.1</v>
      </c>
      <c r="I2448">
        <v>43.7</v>
      </c>
      <c r="J2448">
        <v>56.5</v>
      </c>
      <c r="K2448">
        <v>548</v>
      </c>
      <c r="L2448">
        <v>205</v>
      </c>
      <c r="M2448">
        <v>890</v>
      </c>
      <c r="N2448">
        <v>6.6</v>
      </c>
      <c r="O2448">
        <v>3.9</v>
      </c>
      <c r="P2448">
        <v>9.1999999999999993</v>
      </c>
      <c r="Q2448">
        <f t="shared" si="74"/>
        <v>2966407</v>
      </c>
      <c r="R2448">
        <f t="shared" si="75"/>
        <v>18.473527064897027</v>
      </c>
      <c r="U2448">
        <v>794</v>
      </c>
      <c r="V2448">
        <v>271</v>
      </c>
      <c r="W2448">
        <v>1316</v>
      </c>
      <c r="X2448">
        <v>414</v>
      </c>
      <c r="Y2448">
        <v>65.7</v>
      </c>
      <c r="Z2448">
        <v>54.3</v>
      </c>
      <c r="AA2448">
        <v>77.099999999999994</v>
      </c>
    </row>
    <row r="2449" spans="1:27" x14ac:dyDescent="0.25">
      <c r="A2449" t="s">
        <v>249</v>
      </c>
      <c r="B2449" t="s">
        <v>206</v>
      </c>
      <c r="C2449" s="76">
        <v>43925</v>
      </c>
      <c r="D2449">
        <v>3978</v>
      </c>
      <c r="E2449">
        <v>1832</v>
      </c>
      <c r="F2449">
        <v>6124</v>
      </c>
      <c r="G2449">
        <v>4435</v>
      </c>
      <c r="H2449">
        <v>47.3</v>
      </c>
      <c r="I2449">
        <v>41.2</v>
      </c>
      <c r="J2449">
        <v>53.4</v>
      </c>
      <c r="K2449">
        <v>593</v>
      </c>
      <c r="L2449">
        <v>203</v>
      </c>
      <c r="M2449">
        <v>983</v>
      </c>
      <c r="N2449">
        <v>7</v>
      </c>
      <c r="O2449">
        <v>4</v>
      </c>
      <c r="P2449">
        <v>10</v>
      </c>
      <c r="Q2449">
        <f t="shared" si="74"/>
        <v>2966407</v>
      </c>
      <c r="R2449">
        <f t="shared" si="75"/>
        <v>19.990513776430546</v>
      </c>
      <c r="U2449">
        <v>758</v>
      </c>
      <c r="V2449">
        <v>274</v>
      </c>
      <c r="W2449">
        <v>1242</v>
      </c>
      <c r="X2449">
        <v>461</v>
      </c>
      <c r="Y2449">
        <v>62.2</v>
      </c>
      <c r="Z2449">
        <v>52.2</v>
      </c>
      <c r="AA2449">
        <v>72.2</v>
      </c>
    </row>
    <row r="2450" spans="1:27" x14ac:dyDescent="0.25">
      <c r="A2450" t="s">
        <v>249</v>
      </c>
      <c r="B2450" t="s">
        <v>206</v>
      </c>
      <c r="C2450" s="76">
        <v>43926</v>
      </c>
      <c r="D2450">
        <v>4009</v>
      </c>
      <c r="E2450">
        <v>1850</v>
      </c>
      <c r="F2450">
        <v>6167</v>
      </c>
      <c r="G2450">
        <v>4334</v>
      </c>
      <c r="H2450">
        <v>48</v>
      </c>
      <c r="I2450">
        <v>42.1</v>
      </c>
      <c r="J2450">
        <v>54</v>
      </c>
      <c r="K2450">
        <v>649</v>
      </c>
      <c r="L2450">
        <v>232</v>
      </c>
      <c r="M2450">
        <v>1066</v>
      </c>
      <c r="N2450">
        <v>7.8</v>
      </c>
      <c r="O2450">
        <v>4.7</v>
      </c>
      <c r="P2450">
        <v>10.9</v>
      </c>
      <c r="Q2450">
        <f t="shared" si="74"/>
        <v>2966407</v>
      </c>
      <c r="R2450">
        <f t="shared" si="75"/>
        <v>21.878319461894474</v>
      </c>
      <c r="U2450">
        <v>806</v>
      </c>
      <c r="V2450">
        <v>293</v>
      </c>
      <c r="W2450">
        <v>1319</v>
      </c>
      <c r="X2450">
        <v>396</v>
      </c>
      <c r="Y2450">
        <v>67.099999999999994</v>
      </c>
      <c r="Z2450">
        <v>60.5</v>
      </c>
      <c r="AA2450">
        <v>73.7</v>
      </c>
    </row>
    <row r="2451" spans="1:27" x14ac:dyDescent="0.25">
      <c r="A2451" t="s">
        <v>249</v>
      </c>
      <c r="B2451" t="s">
        <v>206</v>
      </c>
      <c r="C2451" s="76">
        <v>43927</v>
      </c>
      <c r="D2451">
        <v>4109</v>
      </c>
      <c r="E2451">
        <v>1930</v>
      </c>
      <c r="F2451">
        <v>6287</v>
      </c>
      <c r="G2451">
        <v>4394</v>
      </c>
      <c r="H2451">
        <v>48.3</v>
      </c>
      <c r="I2451">
        <v>42.7</v>
      </c>
      <c r="J2451">
        <v>53.9</v>
      </c>
      <c r="K2451">
        <v>645</v>
      </c>
      <c r="L2451">
        <v>271</v>
      </c>
      <c r="M2451">
        <v>1019</v>
      </c>
      <c r="N2451">
        <v>7.6</v>
      </c>
      <c r="O2451">
        <v>5</v>
      </c>
      <c r="P2451">
        <v>10.1</v>
      </c>
      <c r="Q2451">
        <f t="shared" si="74"/>
        <v>2966407</v>
      </c>
      <c r="R2451">
        <f t="shared" si="75"/>
        <v>21.743476198647048</v>
      </c>
      <c r="U2451">
        <v>832</v>
      </c>
      <c r="V2451">
        <v>315</v>
      </c>
      <c r="W2451">
        <v>1349</v>
      </c>
      <c r="X2451">
        <v>411</v>
      </c>
      <c r="Y2451">
        <v>67</v>
      </c>
      <c r="Z2451">
        <v>58</v>
      </c>
      <c r="AA2451">
        <v>75.900000000000006</v>
      </c>
    </row>
    <row r="2452" spans="1:27" x14ac:dyDescent="0.25">
      <c r="A2452" t="s">
        <v>249</v>
      </c>
      <c r="B2452" t="s">
        <v>206</v>
      </c>
      <c r="C2452" s="76">
        <v>43928</v>
      </c>
      <c r="D2452">
        <v>4213</v>
      </c>
      <c r="E2452">
        <v>1963</v>
      </c>
      <c r="F2452">
        <v>6464</v>
      </c>
      <c r="G2452">
        <v>4254</v>
      </c>
      <c r="H2452">
        <v>49.8</v>
      </c>
      <c r="I2452">
        <v>43.4</v>
      </c>
      <c r="J2452">
        <v>56.1</v>
      </c>
      <c r="K2452">
        <v>658</v>
      </c>
      <c r="L2452">
        <v>280</v>
      </c>
      <c r="M2452">
        <v>1037</v>
      </c>
      <c r="N2452">
        <v>7.8</v>
      </c>
      <c r="O2452">
        <v>4.9000000000000004</v>
      </c>
      <c r="P2452">
        <v>10.6</v>
      </c>
      <c r="Q2452">
        <f t="shared" si="74"/>
        <v>2966407</v>
      </c>
      <c r="R2452">
        <f t="shared" si="75"/>
        <v>22.181716804201177</v>
      </c>
      <c r="U2452">
        <v>821</v>
      </c>
      <c r="V2452">
        <v>313</v>
      </c>
      <c r="W2452">
        <v>1329</v>
      </c>
      <c r="X2452">
        <v>430</v>
      </c>
      <c r="Y2452">
        <v>65.599999999999994</v>
      </c>
      <c r="Z2452">
        <v>56.2</v>
      </c>
      <c r="AA2452">
        <v>75</v>
      </c>
    </row>
    <row r="2453" spans="1:27" x14ac:dyDescent="0.25">
      <c r="A2453" t="s">
        <v>249</v>
      </c>
      <c r="B2453" t="s">
        <v>206</v>
      </c>
      <c r="C2453" s="76">
        <v>43929</v>
      </c>
      <c r="D2453">
        <v>4376</v>
      </c>
      <c r="E2453">
        <v>2061</v>
      </c>
      <c r="F2453">
        <v>6691</v>
      </c>
      <c r="G2453">
        <v>4217</v>
      </c>
      <c r="H2453">
        <v>50.9</v>
      </c>
      <c r="I2453">
        <v>45</v>
      </c>
      <c r="J2453">
        <v>56.8</v>
      </c>
      <c r="K2453">
        <v>694</v>
      </c>
      <c r="L2453">
        <v>294</v>
      </c>
      <c r="M2453">
        <v>1095</v>
      </c>
      <c r="N2453">
        <v>8.1</v>
      </c>
      <c r="O2453">
        <v>5.4</v>
      </c>
      <c r="P2453">
        <v>10.8</v>
      </c>
      <c r="Q2453">
        <f t="shared" si="74"/>
        <v>2966407</v>
      </c>
      <c r="R2453">
        <f t="shared" si="75"/>
        <v>23.39530617342799</v>
      </c>
      <c r="U2453">
        <v>867</v>
      </c>
      <c r="V2453">
        <v>342</v>
      </c>
      <c r="W2453">
        <v>1391</v>
      </c>
      <c r="X2453">
        <v>387</v>
      </c>
      <c r="Y2453">
        <v>69.099999999999994</v>
      </c>
      <c r="Z2453">
        <v>61.9</v>
      </c>
      <c r="AA2453">
        <v>76.3</v>
      </c>
    </row>
    <row r="2454" spans="1:27" x14ac:dyDescent="0.25">
      <c r="A2454" t="s">
        <v>249</v>
      </c>
      <c r="B2454" t="s">
        <v>206</v>
      </c>
      <c r="C2454" s="76">
        <v>43930</v>
      </c>
      <c r="D2454">
        <v>4360</v>
      </c>
      <c r="E2454">
        <v>2052</v>
      </c>
      <c r="F2454">
        <v>6669</v>
      </c>
      <c r="G2454">
        <v>4124</v>
      </c>
      <c r="H2454">
        <v>51.4</v>
      </c>
      <c r="I2454">
        <v>44.8</v>
      </c>
      <c r="J2454">
        <v>58</v>
      </c>
      <c r="K2454">
        <v>710</v>
      </c>
      <c r="L2454">
        <v>296</v>
      </c>
      <c r="M2454">
        <v>1124</v>
      </c>
      <c r="N2454">
        <v>8.4</v>
      </c>
      <c r="O2454">
        <v>5.4</v>
      </c>
      <c r="P2454">
        <v>11.3</v>
      </c>
      <c r="Q2454">
        <f t="shared" si="74"/>
        <v>2966407</v>
      </c>
      <c r="R2454">
        <f t="shared" si="75"/>
        <v>23.934679226417682</v>
      </c>
      <c r="U2454">
        <v>864</v>
      </c>
      <c r="V2454">
        <v>345</v>
      </c>
      <c r="W2454">
        <v>1384</v>
      </c>
      <c r="X2454">
        <v>385</v>
      </c>
      <c r="Y2454">
        <v>69.2</v>
      </c>
      <c r="Z2454">
        <v>59.8</v>
      </c>
      <c r="AA2454">
        <v>78.599999999999994</v>
      </c>
    </row>
    <row r="2455" spans="1:27" x14ac:dyDescent="0.25">
      <c r="A2455" t="s">
        <v>249</v>
      </c>
      <c r="B2455" t="s">
        <v>206</v>
      </c>
      <c r="C2455" s="76">
        <v>43931</v>
      </c>
      <c r="D2455">
        <v>4169</v>
      </c>
      <c r="E2455">
        <v>1980</v>
      </c>
      <c r="F2455">
        <v>6357</v>
      </c>
      <c r="G2455">
        <v>4366</v>
      </c>
      <c r="H2455">
        <v>48.8</v>
      </c>
      <c r="I2455">
        <v>42.4</v>
      </c>
      <c r="J2455">
        <v>55.3</v>
      </c>
      <c r="K2455">
        <v>670</v>
      </c>
      <c r="L2455">
        <v>288</v>
      </c>
      <c r="M2455">
        <v>1051</v>
      </c>
      <c r="N2455">
        <v>7.8</v>
      </c>
      <c r="O2455">
        <v>5.2</v>
      </c>
      <c r="P2455">
        <v>10.4</v>
      </c>
      <c r="Q2455">
        <f t="shared" si="74"/>
        <v>2966407</v>
      </c>
      <c r="R2455">
        <f t="shared" si="75"/>
        <v>22.58624659394345</v>
      </c>
      <c r="U2455">
        <v>800</v>
      </c>
      <c r="V2455">
        <v>313</v>
      </c>
      <c r="W2455">
        <v>1287</v>
      </c>
      <c r="X2455">
        <v>463</v>
      </c>
      <c r="Y2455">
        <v>63.3</v>
      </c>
      <c r="Z2455">
        <v>55.3</v>
      </c>
      <c r="AA2455">
        <v>71.400000000000006</v>
      </c>
    </row>
    <row r="2456" spans="1:27" x14ac:dyDescent="0.25">
      <c r="A2456" t="s">
        <v>249</v>
      </c>
      <c r="B2456" t="s">
        <v>206</v>
      </c>
      <c r="C2456" s="76">
        <v>43932</v>
      </c>
      <c r="D2456">
        <v>4079</v>
      </c>
      <c r="E2456">
        <v>1927</v>
      </c>
      <c r="F2456">
        <v>6232</v>
      </c>
      <c r="G2456">
        <v>4430</v>
      </c>
      <c r="H2456">
        <v>47.9</v>
      </c>
      <c r="I2456">
        <v>41.6</v>
      </c>
      <c r="J2456">
        <v>54.2</v>
      </c>
      <c r="K2456">
        <v>654</v>
      </c>
      <c r="L2456">
        <v>258</v>
      </c>
      <c r="M2456">
        <v>1050</v>
      </c>
      <c r="N2456">
        <v>7.7</v>
      </c>
      <c r="O2456">
        <v>4.5999999999999996</v>
      </c>
      <c r="P2456">
        <v>10.8</v>
      </c>
      <c r="Q2456">
        <f t="shared" si="74"/>
        <v>2966407</v>
      </c>
      <c r="R2456">
        <f t="shared" si="75"/>
        <v>22.046873540953751</v>
      </c>
      <c r="U2456">
        <v>818</v>
      </c>
      <c r="V2456">
        <v>321</v>
      </c>
      <c r="W2456">
        <v>1314</v>
      </c>
      <c r="X2456">
        <v>446</v>
      </c>
      <c r="Y2456">
        <v>64.7</v>
      </c>
      <c r="Z2456">
        <v>56.5</v>
      </c>
      <c r="AA2456">
        <v>72.900000000000006</v>
      </c>
    </row>
    <row r="2457" spans="1:27" x14ac:dyDescent="0.25">
      <c r="A2457" t="s">
        <v>249</v>
      </c>
      <c r="B2457" t="s">
        <v>206</v>
      </c>
      <c r="C2457" s="76">
        <v>43933</v>
      </c>
      <c r="D2457">
        <v>4120</v>
      </c>
      <c r="E2457">
        <v>1918</v>
      </c>
      <c r="F2457">
        <v>6321</v>
      </c>
      <c r="G2457">
        <v>4334</v>
      </c>
      <c r="H2457">
        <v>48.7</v>
      </c>
      <c r="I2457">
        <v>42</v>
      </c>
      <c r="J2457">
        <v>55.5</v>
      </c>
      <c r="K2457">
        <v>659</v>
      </c>
      <c r="L2457">
        <v>268</v>
      </c>
      <c r="M2457">
        <v>1049</v>
      </c>
      <c r="N2457">
        <v>7.8</v>
      </c>
      <c r="O2457">
        <v>5</v>
      </c>
      <c r="P2457">
        <v>10.6</v>
      </c>
      <c r="Q2457">
        <f t="shared" si="74"/>
        <v>2966407</v>
      </c>
      <c r="R2457">
        <f t="shared" si="75"/>
        <v>22.215427620013031</v>
      </c>
      <c r="U2457">
        <v>796</v>
      </c>
      <c r="V2457">
        <v>302</v>
      </c>
      <c r="W2457">
        <v>1289</v>
      </c>
      <c r="X2457">
        <v>420</v>
      </c>
      <c r="Y2457">
        <v>65.400000000000006</v>
      </c>
      <c r="Z2457">
        <v>57.2</v>
      </c>
      <c r="AA2457">
        <v>73.7</v>
      </c>
    </row>
    <row r="2458" spans="1:27" x14ac:dyDescent="0.25">
      <c r="A2458" t="s">
        <v>249</v>
      </c>
      <c r="B2458" t="s">
        <v>206</v>
      </c>
      <c r="C2458" s="76">
        <v>43934</v>
      </c>
      <c r="D2458">
        <v>4303</v>
      </c>
      <c r="E2458">
        <v>2144</v>
      </c>
      <c r="F2458">
        <v>6463</v>
      </c>
      <c r="G2458">
        <v>4193</v>
      </c>
      <c r="H2458">
        <v>50.6</v>
      </c>
      <c r="I2458">
        <v>45</v>
      </c>
      <c r="J2458">
        <v>56.3</v>
      </c>
      <c r="K2458">
        <v>635</v>
      </c>
      <c r="L2458">
        <v>293</v>
      </c>
      <c r="M2458">
        <v>976</v>
      </c>
      <c r="N2458">
        <v>7.5</v>
      </c>
      <c r="O2458">
        <v>5.0999999999999996</v>
      </c>
      <c r="P2458">
        <v>9.8000000000000007</v>
      </c>
      <c r="Q2458">
        <f t="shared" si="74"/>
        <v>2966407</v>
      </c>
      <c r="R2458">
        <f t="shared" si="75"/>
        <v>21.406368040528491</v>
      </c>
      <c r="U2458">
        <v>787</v>
      </c>
      <c r="V2458">
        <v>321</v>
      </c>
      <c r="W2458">
        <v>1253</v>
      </c>
      <c r="X2458">
        <v>404</v>
      </c>
      <c r="Y2458">
        <v>66.099999999999994</v>
      </c>
      <c r="Z2458">
        <v>56.7</v>
      </c>
      <c r="AA2458">
        <v>75.400000000000006</v>
      </c>
    </row>
    <row r="2459" spans="1:27" x14ac:dyDescent="0.25">
      <c r="A2459" t="s">
        <v>249</v>
      </c>
      <c r="B2459" t="s">
        <v>206</v>
      </c>
      <c r="C2459" s="76">
        <v>43935</v>
      </c>
      <c r="D2459">
        <v>4713</v>
      </c>
      <c r="E2459">
        <v>2269</v>
      </c>
      <c r="F2459">
        <v>7158</v>
      </c>
      <c r="G2459">
        <v>3903</v>
      </c>
      <c r="H2459">
        <v>54.7</v>
      </c>
      <c r="I2459">
        <v>48.6</v>
      </c>
      <c r="J2459">
        <v>60.8</v>
      </c>
      <c r="K2459">
        <v>630</v>
      </c>
      <c r="L2459">
        <v>291</v>
      </c>
      <c r="M2459">
        <v>968</v>
      </c>
      <c r="N2459">
        <v>7.3</v>
      </c>
      <c r="O2459">
        <v>5.0999999999999996</v>
      </c>
      <c r="P2459">
        <v>9.5</v>
      </c>
      <c r="Q2459">
        <f t="shared" si="74"/>
        <v>2966407</v>
      </c>
      <c r="R2459">
        <f t="shared" si="75"/>
        <v>21.237813961469211</v>
      </c>
      <c r="U2459">
        <v>804</v>
      </c>
      <c r="V2459">
        <v>344</v>
      </c>
      <c r="W2459">
        <v>1263</v>
      </c>
      <c r="X2459">
        <v>406</v>
      </c>
      <c r="Y2459">
        <v>66.400000000000006</v>
      </c>
      <c r="Z2459">
        <v>57.5</v>
      </c>
      <c r="AA2459">
        <v>75.400000000000006</v>
      </c>
    </row>
    <row r="2460" spans="1:27" x14ac:dyDescent="0.25">
      <c r="A2460" t="s">
        <v>249</v>
      </c>
      <c r="B2460" t="s">
        <v>206</v>
      </c>
      <c r="C2460" s="76">
        <v>43936</v>
      </c>
      <c r="D2460">
        <v>4568</v>
      </c>
      <c r="E2460">
        <v>2235</v>
      </c>
      <c r="F2460">
        <v>6901</v>
      </c>
      <c r="G2460">
        <v>4004</v>
      </c>
      <c r="H2460">
        <v>53.3</v>
      </c>
      <c r="I2460">
        <v>47</v>
      </c>
      <c r="J2460">
        <v>59.6</v>
      </c>
      <c r="K2460">
        <v>601</v>
      </c>
      <c r="L2460">
        <v>292</v>
      </c>
      <c r="M2460">
        <v>911</v>
      </c>
      <c r="N2460">
        <v>7</v>
      </c>
      <c r="O2460">
        <v>4.8</v>
      </c>
      <c r="P2460">
        <v>9.1999999999999993</v>
      </c>
      <c r="Q2460">
        <f t="shared" si="74"/>
        <v>2966407</v>
      </c>
      <c r="R2460">
        <f t="shared" si="75"/>
        <v>20.260200302925391</v>
      </c>
      <c r="U2460">
        <v>800</v>
      </c>
      <c r="V2460">
        <v>339</v>
      </c>
      <c r="W2460">
        <v>1260</v>
      </c>
      <c r="X2460">
        <v>397</v>
      </c>
      <c r="Y2460">
        <v>66.8</v>
      </c>
      <c r="Z2460">
        <v>58</v>
      </c>
      <c r="AA2460">
        <v>75.7</v>
      </c>
    </row>
    <row r="2461" spans="1:27" x14ac:dyDescent="0.25">
      <c r="A2461" t="s">
        <v>249</v>
      </c>
      <c r="B2461" t="s">
        <v>206</v>
      </c>
      <c r="C2461" s="76">
        <v>43937</v>
      </c>
      <c r="D2461">
        <v>4414</v>
      </c>
      <c r="E2461">
        <v>2120</v>
      </c>
      <c r="F2461">
        <v>6707</v>
      </c>
      <c r="G2461">
        <v>3733</v>
      </c>
      <c r="H2461">
        <v>54.2</v>
      </c>
      <c r="I2461">
        <v>47.2</v>
      </c>
      <c r="J2461">
        <v>61.2</v>
      </c>
      <c r="K2461">
        <v>643</v>
      </c>
      <c r="L2461">
        <v>307</v>
      </c>
      <c r="M2461">
        <v>980</v>
      </c>
      <c r="N2461">
        <v>7.9</v>
      </c>
      <c r="O2461">
        <v>5.8</v>
      </c>
      <c r="P2461">
        <v>10</v>
      </c>
      <c r="Q2461">
        <f t="shared" si="74"/>
        <v>2966407</v>
      </c>
      <c r="R2461">
        <f t="shared" si="75"/>
        <v>21.676054567023339</v>
      </c>
      <c r="U2461">
        <v>732</v>
      </c>
      <c r="V2461">
        <v>308</v>
      </c>
      <c r="W2461">
        <v>1157</v>
      </c>
      <c r="X2461">
        <v>349</v>
      </c>
      <c r="Y2461">
        <v>67.7</v>
      </c>
      <c r="Z2461">
        <v>57.3</v>
      </c>
      <c r="AA2461">
        <v>78.099999999999994</v>
      </c>
    </row>
    <row r="2462" spans="1:27" x14ac:dyDescent="0.25">
      <c r="A2462" t="s">
        <v>249</v>
      </c>
      <c r="B2462" t="s">
        <v>206</v>
      </c>
      <c r="C2462" s="76">
        <v>43938</v>
      </c>
      <c r="D2462">
        <v>4240</v>
      </c>
      <c r="E2462">
        <v>2060</v>
      </c>
      <c r="F2462">
        <v>6419</v>
      </c>
      <c r="G2462">
        <v>3818</v>
      </c>
      <c r="H2462">
        <v>52.6</v>
      </c>
      <c r="I2462">
        <v>45.4</v>
      </c>
      <c r="J2462">
        <v>59.8</v>
      </c>
      <c r="K2462">
        <v>661</v>
      </c>
      <c r="L2462">
        <v>311</v>
      </c>
      <c r="M2462">
        <v>1011</v>
      </c>
      <c r="N2462">
        <v>8.1999999999999993</v>
      </c>
      <c r="O2462">
        <v>6.1</v>
      </c>
      <c r="P2462">
        <v>10.3</v>
      </c>
      <c r="Q2462">
        <f t="shared" si="74"/>
        <v>2966407</v>
      </c>
      <c r="R2462">
        <f t="shared" si="75"/>
        <v>22.282849251636744</v>
      </c>
      <c r="U2462">
        <v>721</v>
      </c>
      <c r="V2462">
        <v>307</v>
      </c>
      <c r="W2462">
        <v>1134</v>
      </c>
      <c r="X2462">
        <v>351</v>
      </c>
      <c r="Y2462">
        <v>67.2</v>
      </c>
      <c r="Z2462">
        <v>57.5</v>
      </c>
      <c r="AA2462">
        <v>77</v>
      </c>
    </row>
    <row r="2463" spans="1:27" x14ac:dyDescent="0.25">
      <c r="A2463" t="s">
        <v>249</v>
      </c>
      <c r="B2463" t="s">
        <v>206</v>
      </c>
      <c r="C2463" s="76">
        <v>43939</v>
      </c>
      <c r="D2463">
        <v>4095</v>
      </c>
      <c r="E2463">
        <v>1988</v>
      </c>
      <c r="F2463">
        <v>6202</v>
      </c>
      <c r="G2463">
        <v>3793</v>
      </c>
      <c r="H2463">
        <v>51.9</v>
      </c>
      <c r="I2463">
        <v>43.8</v>
      </c>
      <c r="J2463">
        <v>60</v>
      </c>
      <c r="K2463">
        <v>591</v>
      </c>
      <c r="L2463">
        <v>296</v>
      </c>
      <c r="M2463">
        <v>886</v>
      </c>
      <c r="N2463">
        <v>7.5</v>
      </c>
      <c r="O2463">
        <v>5.6</v>
      </c>
      <c r="P2463">
        <v>9.3000000000000007</v>
      </c>
      <c r="Q2463">
        <f t="shared" si="74"/>
        <v>2966407</v>
      </c>
      <c r="R2463">
        <f t="shared" si="75"/>
        <v>19.923092144806834</v>
      </c>
      <c r="U2463">
        <v>723</v>
      </c>
      <c r="V2463">
        <v>307</v>
      </c>
      <c r="W2463">
        <v>1140</v>
      </c>
      <c r="X2463">
        <v>357</v>
      </c>
      <c r="Y2463">
        <v>66.900000000000006</v>
      </c>
      <c r="Z2463">
        <v>57.1</v>
      </c>
      <c r="AA2463">
        <v>76.7</v>
      </c>
    </row>
    <row r="2464" spans="1:27" x14ac:dyDescent="0.25">
      <c r="A2464" t="s">
        <v>249</v>
      </c>
      <c r="B2464" t="s">
        <v>206</v>
      </c>
      <c r="C2464" s="76">
        <v>43940</v>
      </c>
      <c r="D2464">
        <v>4241</v>
      </c>
      <c r="E2464">
        <v>2006</v>
      </c>
      <c r="F2464">
        <v>6475</v>
      </c>
      <c r="G2464">
        <v>3582</v>
      </c>
      <c r="H2464">
        <v>54.2</v>
      </c>
      <c r="I2464">
        <v>45.6</v>
      </c>
      <c r="J2464">
        <v>62.8</v>
      </c>
      <c r="K2464">
        <v>654</v>
      </c>
      <c r="L2464">
        <v>311</v>
      </c>
      <c r="M2464">
        <v>997</v>
      </c>
      <c r="N2464">
        <v>8.4</v>
      </c>
      <c r="O2464">
        <v>5.9</v>
      </c>
      <c r="P2464">
        <v>10.8</v>
      </c>
      <c r="Q2464">
        <f t="shared" si="74"/>
        <v>2966407</v>
      </c>
      <c r="R2464">
        <f t="shared" si="75"/>
        <v>22.046873540953751</v>
      </c>
      <c r="U2464">
        <v>682</v>
      </c>
      <c r="V2464">
        <v>277</v>
      </c>
      <c r="W2464">
        <v>1086</v>
      </c>
      <c r="X2464">
        <v>349</v>
      </c>
      <c r="Y2464">
        <v>66.099999999999994</v>
      </c>
      <c r="Z2464">
        <v>55</v>
      </c>
      <c r="AA2464">
        <v>77.2</v>
      </c>
    </row>
    <row r="2465" spans="1:27" x14ac:dyDescent="0.25">
      <c r="A2465" t="s">
        <v>249</v>
      </c>
      <c r="B2465" t="s">
        <v>206</v>
      </c>
      <c r="C2465" s="76">
        <v>43941</v>
      </c>
      <c r="D2465">
        <v>4127</v>
      </c>
      <c r="E2465">
        <v>2181</v>
      </c>
      <c r="F2465">
        <v>6073</v>
      </c>
      <c r="G2465">
        <v>3863</v>
      </c>
      <c r="H2465">
        <v>51.7</v>
      </c>
      <c r="I2465">
        <v>45.5</v>
      </c>
      <c r="J2465">
        <v>57.8</v>
      </c>
      <c r="K2465">
        <v>672</v>
      </c>
      <c r="L2465">
        <v>339</v>
      </c>
      <c r="M2465">
        <v>1005</v>
      </c>
      <c r="N2465">
        <v>8.4</v>
      </c>
      <c r="O2465">
        <v>6.2</v>
      </c>
      <c r="P2465">
        <v>10.6</v>
      </c>
      <c r="Q2465">
        <f t="shared" si="74"/>
        <v>2966407</v>
      </c>
      <c r="R2465">
        <f t="shared" si="75"/>
        <v>22.653668225567159</v>
      </c>
      <c r="U2465">
        <v>726</v>
      </c>
      <c r="V2465">
        <v>335</v>
      </c>
      <c r="W2465">
        <v>1117</v>
      </c>
      <c r="X2465">
        <v>336</v>
      </c>
      <c r="Y2465">
        <v>68.400000000000006</v>
      </c>
      <c r="Z2465">
        <v>59.6</v>
      </c>
      <c r="AA2465">
        <v>77.2</v>
      </c>
    </row>
    <row r="2466" spans="1:27" x14ac:dyDescent="0.25">
      <c r="A2466" t="s">
        <v>249</v>
      </c>
      <c r="B2466" t="s">
        <v>206</v>
      </c>
      <c r="C2466" s="76">
        <v>43942</v>
      </c>
      <c r="D2466">
        <v>4504</v>
      </c>
      <c r="E2466">
        <v>2429</v>
      </c>
      <c r="F2466">
        <v>6579</v>
      </c>
      <c r="G2466">
        <v>3571</v>
      </c>
      <c r="H2466">
        <v>55.8</v>
      </c>
      <c r="I2466">
        <v>49.6</v>
      </c>
      <c r="J2466">
        <v>61.9</v>
      </c>
      <c r="K2466">
        <v>694</v>
      </c>
      <c r="L2466">
        <v>350</v>
      </c>
      <c r="M2466">
        <v>1038</v>
      </c>
      <c r="N2466">
        <v>8.6</v>
      </c>
      <c r="O2466">
        <v>6.3</v>
      </c>
      <c r="P2466">
        <v>10.9</v>
      </c>
      <c r="Q2466">
        <f t="shared" si="74"/>
        <v>2966407</v>
      </c>
      <c r="R2466">
        <f t="shared" si="75"/>
        <v>23.39530617342799</v>
      </c>
      <c r="U2466">
        <v>760</v>
      </c>
      <c r="V2466">
        <v>356</v>
      </c>
      <c r="W2466">
        <v>1164</v>
      </c>
      <c r="X2466">
        <v>347</v>
      </c>
      <c r="Y2466">
        <v>68.7</v>
      </c>
      <c r="Z2466">
        <v>60.7</v>
      </c>
      <c r="AA2466">
        <v>76.7</v>
      </c>
    </row>
    <row r="2467" spans="1:27" x14ac:dyDescent="0.25">
      <c r="A2467" t="s">
        <v>249</v>
      </c>
      <c r="B2467" t="s">
        <v>206</v>
      </c>
      <c r="C2467" s="76">
        <v>43943</v>
      </c>
      <c r="D2467">
        <v>4642</v>
      </c>
      <c r="E2467">
        <v>2468</v>
      </c>
      <c r="F2467">
        <v>6815</v>
      </c>
      <c r="G2467">
        <v>3387</v>
      </c>
      <c r="H2467">
        <v>57.8</v>
      </c>
      <c r="I2467">
        <v>51.5</v>
      </c>
      <c r="J2467">
        <v>64.099999999999994</v>
      </c>
      <c r="K2467">
        <v>651</v>
      </c>
      <c r="L2467">
        <v>330</v>
      </c>
      <c r="M2467">
        <v>972</v>
      </c>
      <c r="N2467">
        <v>8.1</v>
      </c>
      <c r="O2467">
        <v>6</v>
      </c>
      <c r="P2467">
        <v>10.199999999999999</v>
      </c>
      <c r="Q2467">
        <f t="shared" si="74"/>
        <v>2966407</v>
      </c>
      <c r="R2467">
        <f t="shared" si="75"/>
        <v>21.945741093518183</v>
      </c>
      <c r="U2467">
        <v>783</v>
      </c>
      <c r="V2467">
        <v>374</v>
      </c>
      <c r="W2467">
        <v>1193</v>
      </c>
      <c r="X2467">
        <v>280</v>
      </c>
      <c r="Y2467">
        <v>73.7</v>
      </c>
      <c r="Z2467">
        <v>66.5</v>
      </c>
      <c r="AA2467">
        <v>80.900000000000006</v>
      </c>
    </row>
    <row r="2468" spans="1:27" x14ac:dyDescent="0.25">
      <c r="A2468" t="s">
        <v>249</v>
      </c>
      <c r="B2468" t="s">
        <v>206</v>
      </c>
      <c r="C2468" s="76">
        <v>43944</v>
      </c>
      <c r="D2468">
        <v>4573</v>
      </c>
      <c r="E2468">
        <v>2426</v>
      </c>
      <c r="F2468">
        <v>6720</v>
      </c>
      <c r="G2468">
        <v>3431</v>
      </c>
      <c r="H2468">
        <v>57.1</v>
      </c>
      <c r="I2468">
        <v>50.9</v>
      </c>
      <c r="J2468">
        <v>63.3</v>
      </c>
      <c r="K2468">
        <v>672</v>
      </c>
      <c r="L2468">
        <v>320</v>
      </c>
      <c r="M2468">
        <v>1024</v>
      </c>
      <c r="N2468">
        <v>8.4</v>
      </c>
      <c r="O2468">
        <v>6</v>
      </c>
      <c r="P2468">
        <v>10.8</v>
      </c>
      <c r="Q2468">
        <f t="shared" si="74"/>
        <v>2966407</v>
      </c>
      <c r="R2468">
        <f t="shared" si="75"/>
        <v>22.653668225567159</v>
      </c>
      <c r="U2468">
        <v>717</v>
      </c>
      <c r="V2468">
        <v>312</v>
      </c>
      <c r="W2468">
        <v>1122</v>
      </c>
      <c r="X2468">
        <v>334</v>
      </c>
      <c r="Y2468">
        <v>68.2</v>
      </c>
      <c r="Z2468">
        <v>59</v>
      </c>
      <c r="AA2468">
        <v>77.400000000000006</v>
      </c>
    </row>
    <row r="2469" spans="1:27" x14ac:dyDescent="0.25">
      <c r="A2469" t="s">
        <v>249</v>
      </c>
      <c r="B2469" t="s">
        <v>206</v>
      </c>
      <c r="C2469" s="76">
        <v>43945</v>
      </c>
      <c r="D2469">
        <v>4497</v>
      </c>
      <c r="E2469">
        <v>2374</v>
      </c>
      <c r="F2469">
        <v>6621</v>
      </c>
      <c r="G2469">
        <v>3558</v>
      </c>
      <c r="H2469">
        <v>55.8</v>
      </c>
      <c r="I2469">
        <v>49.7</v>
      </c>
      <c r="J2469">
        <v>62</v>
      </c>
      <c r="K2469">
        <v>701</v>
      </c>
      <c r="L2469">
        <v>342</v>
      </c>
      <c r="M2469">
        <v>1061</v>
      </c>
      <c r="N2469">
        <v>8.6999999999999993</v>
      </c>
      <c r="O2469">
        <v>6.4</v>
      </c>
      <c r="P2469">
        <v>11</v>
      </c>
      <c r="Q2469">
        <f t="shared" si="74"/>
        <v>2966407</v>
      </c>
      <c r="R2469">
        <f t="shared" si="75"/>
        <v>23.63128188411098</v>
      </c>
      <c r="U2469">
        <v>585</v>
      </c>
      <c r="V2469">
        <v>267</v>
      </c>
      <c r="W2469">
        <v>904</v>
      </c>
      <c r="X2469">
        <v>474</v>
      </c>
      <c r="Y2469">
        <v>55.2</v>
      </c>
      <c r="Z2469">
        <v>35.4</v>
      </c>
      <c r="AA2469">
        <v>75</v>
      </c>
    </row>
    <row r="2470" spans="1:27" x14ac:dyDescent="0.25">
      <c r="A2470" t="s">
        <v>249</v>
      </c>
      <c r="B2470" t="s">
        <v>206</v>
      </c>
      <c r="C2470" s="76">
        <v>43946</v>
      </c>
      <c r="D2470">
        <v>4302</v>
      </c>
      <c r="E2470">
        <v>2261</v>
      </c>
      <c r="F2470">
        <v>6344</v>
      </c>
      <c r="G2470">
        <v>3793</v>
      </c>
      <c r="H2470">
        <v>53.1</v>
      </c>
      <c r="I2470">
        <v>46.8</v>
      </c>
      <c r="J2470">
        <v>59.5</v>
      </c>
      <c r="K2470">
        <v>631</v>
      </c>
      <c r="L2470">
        <v>315</v>
      </c>
      <c r="M2470">
        <v>946</v>
      </c>
      <c r="N2470">
        <v>7.8</v>
      </c>
      <c r="O2470">
        <v>5.6</v>
      </c>
      <c r="P2470">
        <v>10</v>
      </c>
      <c r="Q2470">
        <f t="shared" si="74"/>
        <v>2966407</v>
      </c>
      <c r="R2470">
        <f t="shared" si="75"/>
        <v>21.271524777281066</v>
      </c>
      <c r="U2470">
        <v>678</v>
      </c>
      <c r="V2470">
        <v>287</v>
      </c>
      <c r="W2470">
        <v>1069</v>
      </c>
      <c r="X2470">
        <v>394</v>
      </c>
      <c r="Y2470">
        <v>63.3</v>
      </c>
      <c r="Z2470">
        <v>53.4</v>
      </c>
      <c r="AA2470">
        <v>73.099999999999994</v>
      </c>
    </row>
    <row r="2471" spans="1:27" x14ac:dyDescent="0.25">
      <c r="A2471" t="s">
        <v>249</v>
      </c>
      <c r="B2471" t="s">
        <v>206</v>
      </c>
      <c r="C2471" s="76">
        <v>43947</v>
      </c>
      <c r="D2471">
        <v>4303</v>
      </c>
      <c r="E2471">
        <v>2238</v>
      </c>
      <c r="F2471">
        <v>6367</v>
      </c>
      <c r="G2471">
        <v>3793</v>
      </c>
      <c r="H2471">
        <v>53.1</v>
      </c>
      <c r="I2471">
        <v>46.5</v>
      </c>
      <c r="J2471">
        <v>59.8</v>
      </c>
      <c r="K2471">
        <v>652</v>
      </c>
      <c r="L2471">
        <v>303</v>
      </c>
      <c r="M2471">
        <v>1001</v>
      </c>
      <c r="N2471">
        <v>8</v>
      </c>
      <c r="O2471">
        <v>5.6</v>
      </c>
      <c r="P2471">
        <v>10.5</v>
      </c>
      <c r="Q2471">
        <f t="shared" ref="Q2471:Q2534" si="76">VLOOKUP(B2471,$AE$4:$AF$55,2,FALSE)</f>
        <v>2966407</v>
      </c>
      <c r="R2471">
        <f t="shared" si="75"/>
        <v>21.979451909330042</v>
      </c>
      <c r="U2471">
        <v>666</v>
      </c>
      <c r="V2471">
        <v>264</v>
      </c>
      <c r="W2471">
        <v>1069</v>
      </c>
      <c r="X2471">
        <v>401</v>
      </c>
      <c r="Y2471">
        <v>62.4</v>
      </c>
      <c r="Z2471">
        <v>51.4</v>
      </c>
      <c r="AA2471">
        <v>73.400000000000006</v>
      </c>
    </row>
    <row r="2472" spans="1:27" x14ac:dyDescent="0.25">
      <c r="A2472" t="s">
        <v>249</v>
      </c>
      <c r="B2472" t="s">
        <v>206</v>
      </c>
      <c r="C2472" s="76">
        <v>43948</v>
      </c>
      <c r="D2472">
        <v>4409</v>
      </c>
      <c r="E2472">
        <v>2288</v>
      </c>
      <c r="F2472">
        <v>6530</v>
      </c>
      <c r="G2472">
        <v>3704</v>
      </c>
      <c r="H2472">
        <v>54.3</v>
      </c>
      <c r="I2472">
        <v>47.6</v>
      </c>
      <c r="J2472">
        <v>61.1</v>
      </c>
      <c r="K2472">
        <v>690</v>
      </c>
      <c r="L2472">
        <v>300</v>
      </c>
      <c r="M2472">
        <v>1081</v>
      </c>
      <c r="N2472">
        <v>8.5</v>
      </c>
      <c r="O2472">
        <v>5.7</v>
      </c>
      <c r="P2472">
        <v>11.3</v>
      </c>
      <c r="Q2472">
        <f t="shared" si="76"/>
        <v>2966407</v>
      </c>
      <c r="R2472">
        <f t="shared" si="75"/>
        <v>23.260462910180564</v>
      </c>
      <c r="U2472">
        <v>681</v>
      </c>
      <c r="V2472">
        <v>285</v>
      </c>
      <c r="W2472">
        <v>1076</v>
      </c>
      <c r="X2472">
        <v>381</v>
      </c>
      <c r="Y2472">
        <v>64.099999999999994</v>
      </c>
      <c r="Z2472">
        <v>53.8</v>
      </c>
      <c r="AA2472">
        <v>74.400000000000006</v>
      </c>
    </row>
    <row r="2473" spans="1:27" x14ac:dyDescent="0.25">
      <c r="A2473" t="s">
        <v>249</v>
      </c>
      <c r="B2473" t="s">
        <v>206</v>
      </c>
      <c r="C2473" s="76">
        <v>43949</v>
      </c>
      <c r="D2473">
        <v>4763</v>
      </c>
      <c r="E2473">
        <v>2500</v>
      </c>
      <c r="F2473">
        <v>7027</v>
      </c>
      <c r="G2473">
        <v>3534</v>
      </c>
      <c r="H2473">
        <v>57.4</v>
      </c>
      <c r="I2473">
        <v>50.8</v>
      </c>
      <c r="J2473">
        <v>64</v>
      </c>
      <c r="K2473">
        <v>765</v>
      </c>
      <c r="L2473">
        <v>351</v>
      </c>
      <c r="M2473">
        <v>1178</v>
      </c>
      <c r="N2473">
        <v>9.1999999999999993</v>
      </c>
      <c r="O2473">
        <v>6.7</v>
      </c>
      <c r="P2473">
        <v>11.7</v>
      </c>
      <c r="Q2473">
        <f t="shared" si="76"/>
        <v>2966407</v>
      </c>
      <c r="R2473">
        <f t="shared" si="75"/>
        <v>25.788774096069758</v>
      </c>
      <c r="U2473">
        <v>726</v>
      </c>
      <c r="V2473">
        <v>320</v>
      </c>
      <c r="W2473">
        <v>1132</v>
      </c>
      <c r="X2473">
        <v>371</v>
      </c>
      <c r="Y2473">
        <v>66.2</v>
      </c>
      <c r="Z2473">
        <v>56.4</v>
      </c>
      <c r="AA2473">
        <v>76</v>
      </c>
    </row>
    <row r="2474" spans="1:27" x14ac:dyDescent="0.25">
      <c r="A2474" t="s">
        <v>249</v>
      </c>
      <c r="B2474" t="s">
        <v>206</v>
      </c>
      <c r="C2474" s="76">
        <v>43950</v>
      </c>
      <c r="D2474">
        <v>4842</v>
      </c>
      <c r="E2474">
        <v>2561</v>
      </c>
      <c r="F2474">
        <v>7123</v>
      </c>
      <c r="G2474">
        <v>3353</v>
      </c>
      <c r="H2474">
        <v>59.1</v>
      </c>
      <c r="I2474">
        <v>52.7</v>
      </c>
      <c r="J2474">
        <v>65.5</v>
      </c>
      <c r="K2474">
        <v>661</v>
      </c>
      <c r="L2474">
        <v>280</v>
      </c>
      <c r="M2474">
        <v>1042</v>
      </c>
      <c r="N2474">
        <v>8.1</v>
      </c>
      <c r="O2474">
        <v>5.5</v>
      </c>
      <c r="P2474">
        <v>10.6</v>
      </c>
      <c r="Q2474">
        <f t="shared" si="76"/>
        <v>2966407</v>
      </c>
      <c r="R2474">
        <f t="shared" si="75"/>
        <v>22.282849251636744</v>
      </c>
      <c r="U2474">
        <v>708</v>
      </c>
      <c r="V2474">
        <v>308</v>
      </c>
      <c r="W2474">
        <v>1109</v>
      </c>
      <c r="X2474">
        <v>379</v>
      </c>
      <c r="Y2474">
        <v>65.099999999999994</v>
      </c>
      <c r="Z2474">
        <v>55.5</v>
      </c>
      <c r="AA2474">
        <v>74.8</v>
      </c>
    </row>
    <row r="2475" spans="1:27" x14ac:dyDescent="0.25">
      <c r="A2475" t="s">
        <v>249</v>
      </c>
      <c r="B2475" t="s">
        <v>206</v>
      </c>
      <c r="C2475" s="76">
        <v>43951</v>
      </c>
      <c r="D2475">
        <v>4534</v>
      </c>
      <c r="E2475">
        <v>2441</v>
      </c>
      <c r="F2475">
        <v>6626</v>
      </c>
      <c r="G2475">
        <v>3631</v>
      </c>
      <c r="H2475">
        <v>55.5</v>
      </c>
      <c r="I2475">
        <v>48.3</v>
      </c>
      <c r="J2475">
        <v>62.7</v>
      </c>
      <c r="K2475">
        <v>655</v>
      </c>
      <c r="L2475">
        <v>281</v>
      </c>
      <c r="M2475">
        <v>1029</v>
      </c>
      <c r="N2475">
        <v>8</v>
      </c>
      <c r="O2475">
        <v>5.4</v>
      </c>
      <c r="P2475">
        <v>10.6</v>
      </c>
      <c r="Q2475">
        <f t="shared" si="76"/>
        <v>2966407</v>
      </c>
      <c r="R2475">
        <f t="shared" si="75"/>
        <v>22.080584356765609</v>
      </c>
      <c r="U2475">
        <v>718</v>
      </c>
      <c r="V2475">
        <v>324</v>
      </c>
      <c r="W2475">
        <v>1113</v>
      </c>
      <c r="X2475">
        <v>371</v>
      </c>
      <c r="Y2475">
        <v>65.900000000000006</v>
      </c>
      <c r="Z2475">
        <v>56.6</v>
      </c>
      <c r="AA2475">
        <v>75.3</v>
      </c>
    </row>
    <row r="2476" spans="1:27" x14ac:dyDescent="0.25">
      <c r="A2476" t="s">
        <v>249</v>
      </c>
      <c r="B2476" t="s">
        <v>206</v>
      </c>
      <c r="C2476" s="76">
        <v>43952</v>
      </c>
      <c r="D2476">
        <v>4711</v>
      </c>
      <c r="E2476">
        <v>2467</v>
      </c>
      <c r="F2476">
        <v>6954</v>
      </c>
      <c r="G2476">
        <v>3497</v>
      </c>
      <c r="H2476">
        <v>57.4</v>
      </c>
      <c r="I2476">
        <v>50.5</v>
      </c>
      <c r="J2476">
        <v>64.3</v>
      </c>
      <c r="K2476">
        <v>667</v>
      </c>
      <c r="L2476">
        <v>290</v>
      </c>
      <c r="M2476">
        <v>1043</v>
      </c>
      <c r="N2476">
        <v>8.1</v>
      </c>
      <c r="O2476">
        <v>5.5</v>
      </c>
      <c r="P2476">
        <v>10.7</v>
      </c>
      <c r="Q2476">
        <f t="shared" si="76"/>
        <v>2966407</v>
      </c>
      <c r="R2476">
        <f t="shared" si="75"/>
        <v>22.485114146507879</v>
      </c>
      <c r="U2476">
        <v>690</v>
      </c>
      <c r="V2476">
        <v>299</v>
      </c>
      <c r="W2476">
        <v>1081</v>
      </c>
      <c r="X2476">
        <v>398</v>
      </c>
      <c r="Y2476">
        <v>63.4</v>
      </c>
      <c r="Z2476">
        <v>53</v>
      </c>
      <c r="AA2476">
        <v>73.900000000000006</v>
      </c>
    </row>
    <row r="2477" spans="1:27" x14ac:dyDescent="0.25">
      <c r="A2477" t="s">
        <v>249</v>
      </c>
      <c r="B2477" t="s">
        <v>206</v>
      </c>
      <c r="C2477" s="76">
        <v>43953</v>
      </c>
      <c r="D2477">
        <v>4423</v>
      </c>
      <c r="E2477">
        <v>2362</v>
      </c>
      <c r="F2477">
        <v>6483</v>
      </c>
      <c r="G2477">
        <v>3634</v>
      </c>
      <c r="H2477">
        <v>54.9</v>
      </c>
      <c r="I2477">
        <v>47.8</v>
      </c>
      <c r="J2477">
        <v>62</v>
      </c>
      <c r="K2477">
        <v>651</v>
      </c>
      <c r="L2477">
        <v>304</v>
      </c>
      <c r="M2477">
        <v>999</v>
      </c>
      <c r="N2477">
        <v>8.1</v>
      </c>
      <c r="O2477">
        <v>5.7</v>
      </c>
      <c r="P2477">
        <v>10.4</v>
      </c>
      <c r="Q2477">
        <f t="shared" si="76"/>
        <v>2966407</v>
      </c>
      <c r="R2477">
        <f t="shared" si="75"/>
        <v>21.945741093518183</v>
      </c>
      <c r="U2477">
        <v>717</v>
      </c>
      <c r="V2477">
        <v>324</v>
      </c>
      <c r="W2477">
        <v>1109</v>
      </c>
      <c r="X2477">
        <v>360</v>
      </c>
      <c r="Y2477">
        <v>66.599999999999994</v>
      </c>
      <c r="Z2477">
        <v>57.8</v>
      </c>
      <c r="AA2477">
        <v>75.3</v>
      </c>
    </row>
    <row r="2478" spans="1:27" x14ac:dyDescent="0.25">
      <c r="A2478" t="s">
        <v>249</v>
      </c>
      <c r="B2478" t="s">
        <v>206</v>
      </c>
      <c r="C2478" s="76">
        <v>43954</v>
      </c>
      <c r="D2478">
        <v>4254</v>
      </c>
      <c r="E2478">
        <v>2212</v>
      </c>
      <c r="F2478">
        <v>6296</v>
      </c>
      <c r="G2478">
        <v>3849</v>
      </c>
      <c r="H2478">
        <v>52.5</v>
      </c>
      <c r="I2478">
        <v>45.4</v>
      </c>
      <c r="J2478">
        <v>59.6</v>
      </c>
      <c r="K2478">
        <v>665</v>
      </c>
      <c r="L2478">
        <v>295</v>
      </c>
      <c r="M2478">
        <v>1035</v>
      </c>
      <c r="N2478">
        <v>8.1999999999999993</v>
      </c>
      <c r="O2478">
        <v>5.7</v>
      </c>
      <c r="P2478">
        <v>10.7</v>
      </c>
      <c r="Q2478">
        <f t="shared" si="76"/>
        <v>2966407</v>
      </c>
      <c r="R2478">
        <f t="shared" si="75"/>
        <v>22.41769251488417</v>
      </c>
      <c r="U2478">
        <v>713</v>
      </c>
      <c r="V2478">
        <v>319</v>
      </c>
      <c r="W2478">
        <v>1107</v>
      </c>
      <c r="X2478">
        <v>380</v>
      </c>
      <c r="Y2478">
        <v>65.2</v>
      </c>
      <c r="Z2478">
        <v>55.7</v>
      </c>
      <c r="AA2478">
        <v>74.7</v>
      </c>
    </row>
    <row r="2479" spans="1:27" x14ac:dyDescent="0.25">
      <c r="A2479" t="s">
        <v>249</v>
      </c>
      <c r="B2479" t="s">
        <v>206</v>
      </c>
      <c r="C2479" s="76">
        <v>43955</v>
      </c>
      <c r="D2479">
        <v>4396</v>
      </c>
      <c r="E2479">
        <v>2302</v>
      </c>
      <c r="F2479">
        <v>6489</v>
      </c>
      <c r="G2479">
        <v>3814</v>
      </c>
      <c r="H2479">
        <v>53.5</v>
      </c>
      <c r="I2479">
        <v>45.9</v>
      </c>
      <c r="J2479">
        <v>61.2</v>
      </c>
      <c r="K2479">
        <v>732</v>
      </c>
      <c r="L2479">
        <v>315</v>
      </c>
      <c r="M2479">
        <v>1149</v>
      </c>
      <c r="N2479">
        <v>8.9</v>
      </c>
      <c r="O2479">
        <v>6</v>
      </c>
      <c r="P2479">
        <v>11.8</v>
      </c>
      <c r="Q2479">
        <f t="shared" si="76"/>
        <v>2966407</v>
      </c>
      <c r="R2479">
        <f t="shared" si="75"/>
        <v>24.676317174278513</v>
      </c>
      <c r="U2479">
        <v>736</v>
      </c>
      <c r="V2479">
        <v>337</v>
      </c>
      <c r="W2479">
        <v>1134</v>
      </c>
      <c r="X2479">
        <v>355</v>
      </c>
      <c r="Y2479">
        <v>67.400000000000006</v>
      </c>
      <c r="Z2479">
        <v>58</v>
      </c>
      <c r="AA2479">
        <v>76.8</v>
      </c>
    </row>
    <row r="2480" spans="1:27" x14ac:dyDescent="0.25">
      <c r="A2480" t="s">
        <v>249</v>
      </c>
      <c r="B2480" t="s">
        <v>206</v>
      </c>
      <c r="C2480" s="76">
        <v>43956</v>
      </c>
      <c r="D2480">
        <v>4877</v>
      </c>
      <c r="E2480">
        <v>2555</v>
      </c>
      <c r="F2480">
        <v>7199</v>
      </c>
      <c r="G2480">
        <v>3354</v>
      </c>
      <c r="H2480">
        <v>59.3</v>
      </c>
      <c r="I2480">
        <v>51.8</v>
      </c>
      <c r="J2480">
        <v>66.7</v>
      </c>
      <c r="K2480">
        <v>664</v>
      </c>
      <c r="L2480">
        <v>287</v>
      </c>
      <c r="M2480">
        <v>1041</v>
      </c>
      <c r="N2480">
        <v>8.1</v>
      </c>
      <c r="O2480">
        <v>5.6</v>
      </c>
      <c r="P2480">
        <v>10.5</v>
      </c>
      <c r="Q2480">
        <f t="shared" si="76"/>
        <v>2966407</v>
      </c>
      <c r="R2480">
        <f t="shared" si="75"/>
        <v>22.383981699072311</v>
      </c>
      <c r="U2480">
        <v>718</v>
      </c>
      <c r="V2480">
        <v>321</v>
      </c>
      <c r="W2480">
        <v>1116</v>
      </c>
      <c r="X2480">
        <v>371</v>
      </c>
      <c r="Y2480">
        <v>66</v>
      </c>
      <c r="Z2480">
        <v>56.5</v>
      </c>
      <c r="AA2480">
        <v>75.400000000000006</v>
      </c>
    </row>
    <row r="2481" spans="1:27" x14ac:dyDescent="0.25">
      <c r="A2481" t="s">
        <v>249</v>
      </c>
      <c r="B2481" t="s">
        <v>206</v>
      </c>
      <c r="C2481" s="76">
        <v>43957</v>
      </c>
      <c r="D2481">
        <v>4857</v>
      </c>
      <c r="E2481">
        <v>2613</v>
      </c>
      <c r="F2481">
        <v>7102</v>
      </c>
      <c r="G2481">
        <v>3352</v>
      </c>
      <c r="H2481">
        <v>59.2</v>
      </c>
      <c r="I2481">
        <v>52.9</v>
      </c>
      <c r="J2481">
        <v>65.400000000000006</v>
      </c>
      <c r="K2481">
        <v>662</v>
      </c>
      <c r="L2481">
        <v>280</v>
      </c>
      <c r="M2481">
        <v>1044</v>
      </c>
      <c r="N2481">
        <v>8.1</v>
      </c>
      <c r="O2481">
        <v>5.5</v>
      </c>
      <c r="P2481">
        <v>10.6</v>
      </c>
      <c r="Q2481">
        <f t="shared" si="76"/>
        <v>2966407</v>
      </c>
      <c r="R2481">
        <f t="shared" si="75"/>
        <v>22.316560067448599</v>
      </c>
      <c r="U2481">
        <v>714</v>
      </c>
      <c r="V2481">
        <v>332</v>
      </c>
      <c r="W2481">
        <v>1095</v>
      </c>
      <c r="X2481">
        <v>365</v>
      </c>
      <c r="Y2481">
        <v>66.2</v>
      </c>
      <c r="Z2481">
        <v>56.9</v>
      </c>
      <c r="AA2481">
        <v>75.5</v>
      </c>
    </row>
    <row r="2482" spans="1:27" x14ac:dyDescent="0.25">
      <c r="A2482" t="s">
        <v>249</v>
      </c>
      <c r="B2482" t="s">
        <v>206</v>
      </c>
      <c r="C2482" s="76">
        <v>43958</v>
      </c>
      <c r="D2482">
        <v>4776</v>
      </c>
      <c r="E2482">
        <v>2563</v>
      </c>
      <c r="F2482">
        <v>6990</v>
      </c>
      <c r="G2482">
        <v>3463</v>
      </c>
      <c r="H2482">
        <v>58</v>
      </c>
      <c r="I2482">
        <v>51.9</v>
      </c>
      <c r="J2482">
        <v>64</v>
      </c>
      <c r="K2482">
        <v>638</v>
      </c>
      <c r="L2482">
        <v>281</v>
      </c>
      <c r="M2482">
        <v>995</v>
      </c>
      <c r="N2482">
        <v>7.7</v>
      </c>
      <c r="O2482">
        <v>5.4</v>
      </c>
      <c r="P2482">
        <v>10</v>
      </c>
      <c r="Q2482">
        <f t="shared" si="76"/>
        <v>2966407</v>
      </c>
      <c r="R2482">
        <f t="shared" si="75"/>
        <v>21.507500487964059</v>
      </c>
      <c r="U2482">
        <v>712</v>
      </c>
      <c r="V2482">
        <v>320</v>
      </c>
      <c r="W2482">
        <v>1104</v>
      </c>
      <c r="X2482">
        <v>361</v>
      </c>
      <c r="Y2482">
        <v>66.400000000000006</v>
      </c>
      <c r="Z2482">
        <v>57</v>
      </c>
      <c r="AA2482">
        <v>75.7</v>
      </c>
    </row>
    <row r="2483" spans="1:27" x14ac:dyDescent="0.25">
      <c r="A2483" t="s">
        <v>249</v>
      </c>
      <c r="B2483" t="s">
        <v>206</v>
      </c>
      <c r="C2483" s="76">
        <v>43959</v>
      </c>
      <c r="D2483">
        <v>4642</v>
      </c>
      <c r="E2483">
        <v>2467</v>
      </c>
      <c r="F2483">
        <v>6817</v>
      </c>
      <c r="G2483">
        <v>3590</v>
      </c>
      <c r="H2483">
        <v>56.4</v>
      </c>
      <c r="I2483">
        <v>50.4</v>
      </c>
      <c r="J2483">
        <v>62.4</v>
      </c>
      <c r="K2483">
        <v>635</v>
      </c>
      <c r="L2483">
        <v>269</v>
      </c>
      <c r="M2483">
        <v>1001</v>
      </c>
      <c r="N2483">
        <v>7.7</v>
      </c>
      <c r="O2483">
        <v>5.3</v>
      </c>
      <c r="P2483">
        <v>10.1</v>
      </c>
      <c r="Q2483">
        <f t="shared" si="76"/>
        <v>2966407</v>
      </c>
      <c r="R2483">
        <f t="shared" si="75"/>
        <v>21.406368040528491</v>
      </c>
      <c r="U2483">
        <v>731</v>
      </c>
      <c r="V2483">
        <v>330</v>
      </c>
      <c r="W2483">
        <v>1132</v>
      </c>
      <c r="X2483">
        <v>346</v>
      </c>
      <c r="Y2483">
        <v>67.900000000000006</v>
      </c>
      <c r="Z2483">
        <v>58.4</v>
      </c>
      <c r="AA2483">
        <v>77.3</v>
      </c>
    </row>
    <row r="2484" spans="1:27" x14ac:dyDescent="0.25">
      <c r="A2484" t="s">
        <v>249</v>
      </c>
      <c r="B2484" t="s">
        <v>206</v>
      </c>
      <c r="C2484" s="76">
        <v>43960</v>
      </c>
      <c r="D2484">
        <v>4507</v>
      </c>
      <c r="E2484">
        <v>2343</v>
      </c>
      <c r="F2484">
        <v>6671</v>
      </c>
      <c r="G2484">
        <v>3689</v>
      </c>
      <c r="H2484">
        <v>55</v>
      </c>
      <c r="I2484">
        <v>48.1</v>
      </c>
      <c r="J2484">
        <v>61.9</v>
      </c>
      <c r="K2484">
        <v>623</v>
      </c>
      <c r="L2484">
        <v>272</v>
      </c>
      <c r="M2484">
        <v>973</v>
      </c>
      <c r="N2484">
        <v>7.6</v>
      </c>
      <c r="O2484">
        <v>5.3</v>
      </c>
      <c r="P2484">
        <v>9.9</v>
      </c>
      <c r="Q2484">
        <f t="shared" si="76"/>
        <v>2966407</v>
      </c>
      <c r="R2484">
        <f t="shared" si="75"/>
        <v>21.001838250786221</v>
      </c>
      <c r="U2484">
        <v>744</v>
      </c>
      <c r="V2484">
        <v>338</v>
      </c>
      <c r="W2484">
        <v>1150</v>
      </c>
      <c r="X2484">
        <v>336</v>
      </c>
      <c r="Y2484">
        <v>68.900000000000006</v>
      </c>
      <c r="Z2484">
        <v>59.4</v>
      </c>
      <c r="AA2484">
        <v>78.400000000000006</v>
      </c>
    </row>
    <row r="2485" spans="1:27" x14ac:dyDescent="0.25">
      <c r="A2485" t="s">
        <v>249</v>
      </c>
      <c r="B2485" t="s">
        <v>206</v>
      </c>
      <c r="C2485" s="76">
        <v>43961</v>
      </c>
      <c r="D2485">
        <v>4403</v>
      </c>
      <c r="E2485">
        <v>2289</v>
      </c>
      <c r="F2485">
        <v>6518</v>
      </c>
      <c r="G2485">
        <v>3791</v>
      </c>
      <c r="H2485">
        <v>53.7</v>
      </c>
      <c r="I2485">
        <v>47.2</v>
      </c>
      <c r="J2485">
        <v>60.3</v>
      </c>
      <c r="K2485">
        <v>639</v>
      </c>
      <c r="L2485">
        <v>270</v>
      </c>
      <c r="M2485">
        <v>1007</v>
      </c>
      <c r="N2485">
        <v>7.8</v>
      </c>
      <c r="O2485">
        <v>5.4</v>
      </c>
      <c r="P2485">
        <v>10.199999999999999</v>
      </c>
      <c r="Q2485">
        <f t="shared" si="76"/>
        <v>2966407</v>
      </c>
      <c r="R2485">
        <f t="shared" si="75"/>
        <v>21.541211303775913</v>
      </c>
      <c r="U2485">
        <v>732</v>
      </c>
      <c r="V2485">
        <v>329</v>
      </c>
      <c r="W2485">
        <v>1135</v>
      </c>
      <c r="X2485">
        <v>342</v>
      </c>
      <c r="Y2485">
        <v>68.099999999999994</v>
      </c>
      <c r="Z2485">
        <v>58.7</v>
      </c>
      <c r="AA2485">
        <v>77.599999999999994</v>
      </c>
    </row>
    <row r="2486" spans="1:27" x14ac:dyDescent="0.25">
      <c r="A2486" t="s">
        <v>249</v>
      </c>
      <c r="B2486" t="s">
        <v>206</v>
      </c>
      <c r="C2486" s="76">
        <v>43962</v>
      </c>
      <c r="D2486">
        <v>4538</v>
      </c>
      <c r="E2486">
        <v>2325</v>
      </c>
      <c r="F2486">
        <v>6752</v>
      </c>
      <c r="G2486">
        <v>3633</v>
      </c>
      <c r="H2486">
        <v>55.5</v>
      </c>
      <c r="I2486">
        <v>48.5</v>
      </c>
      <c r="J2486">
        <v>62.6</v>
      </c>
      <c r="K2486">
        <v>647</v>
      </c>
      <c r="L2486">
        <v>247</v>
      </c>
      <c r="M2486">
        <v>1047</v>
      </c>
      <c r="N2486">
        <v>7.9</v>
      </c>
      <c r="O2486">
        <v>5.0999999999999996</v>
      </c>
      <c r="P2486">
        <v>10.8</v>
      </c>
      <c r="Q2486">
        <f t="shared" si="76"/>
        <v>2966407</v>
      </c>
      <c r="R2486">
        <f t="shared" si="75"/>
        <v>21.810897830270761</v>
      </c>
      <c r="U2486">
        <v>745</v>
      </c>
      <c r="V2486">
        <v>322</v>
      </c>
      <c r="W2486">
        <v>1167</v>
      </c>
      <c r="X2486">
        <v>333</v>
      </c>
      <c r="Y2486">
        <v>69.099999999999994</v>
      </c>
      <c r="Z2486">
        <v>59.1</v>
      </c>
      <c r="AA2486">
        <v>79.2</v>
      </c>
    </row>
    <row r="2487" spans="1:27" x14ac:dyDescent="0.25">
      <c r="A2487" t="s">
        <v>249</v>
      </c>
      <c r="B2487" t="s">
        <v>206</v>
      </c>
      <c r="C2487" s="76">
        <v>43963</v>
      </c>
      <c r="D2487">
        <v>4905</v>
      </c>
      <c r="E2487">
        <v>2589</v>
      </c>
      <c r="F2487">
        <v>7222</v>
      </c>
      <c r="G2487">
        <v>3300</v>
      </c>
      <c r="H2487">
        <v>59.8</v>
      </c>
      <c r="I2487">
        <v>53.6</v>
      </c>
      <c r="J2487">
        <v>66</v>
      </c>
      <c r="K2487">
        <v>685</v>
      </c>
      <c r="L2487">
        <v>288</v>
      </c>
      <c r="M2487">
        <v>1083</v>
      </c>
      <c r="N2487">
        <v>8.3000000000000007</v>
      </c>
      <c r="O2487">
        <v>5.7</v>
      </c>
      <c r="P2487">
        <v>11</v>
      </c>
      <c r="Q2487">
        <f t="shared" si="76"/>
        <v>2966407</v>
      </c>
      <c r="R2487">
        <f t="shared" si="75"/>
        <v>23.091908831121287</v>
      </c>
      <c r="U2487">
        <v>757</v>
      </c>
      <c r="V2487">
        <v>342</v>
      </c>
      <c r="W2487">
        <v>1171</v>
      </c>
      <c r="X2487">
        <v>317</v>
      </c>
      <c r="Y2487">
        <v>70.5</v>
      </c>
      <c r="Z2487">
        <v>61.3</v>
      </c>
      <c r="AA2487">
        <v>79.599999999999994</v>
      </c>
    </row>
    <row r="2488" spans="1:27" x14ac:dyDescent="0.25">
      <c r="A2488" t="s">
        <v>249</v>
      </c>
      <c r="B2488" t="s">
        <v>206</v>
      </c>
      <c r="C2488" s="76">
        <v>43964</v>
      </c>
      <c r="D2488">
        <v>5109</v>
      </c>
      <c r="E2488">
        <v>2685</v>
      </c>
      <c r="F2488">
        <v>7533</v>
      </c>
      <c r="G2488">
        <v>3064</v>
      </c>
      <c r="H2488">
        <v>62.5</v>
      </c>
      <c r="I2488">
        <v>55.7</v>
      </c>
      <c r="J2488">
        <v>69.3</v>
      </c>
      <c r="K2488">
        <v>666</v>
      </c>
      <c r="L2488">
        <v>258</v>
      </c>
      <c r="M2488">
        <v>1073</v>
      </c>
      <c r="N2488">
        <v>8.1</v>
      </c>
      <c r="O2488">
        <v>5.2</v>
      </c>
      <c r="P2488">
        <v>11.1</v>
      </c>
      <c r="Q2488">
        <f t="shared" si="76"/>
        <v>2966407</v>
      </c>
      <c r="R2488">
        <f t="shared" si="75"/>
        <v>22.451403330696024</v>
      </c>
      <c r="U2488">
        <v>782</v>
      </c>
      <c r="V2488">
        <v>354</v>
      </c>
      <c r="W2488">
        <v>1210</v>
      </c>
      <c r="X2488">
        <v>297</v>
      </c>
      <c r="Y2488">
        <v>72.5</v>
      </c>
      <c r="Z2488">
        <v>63</v>
      </c>
      <c r="AA2488">
        <v>82</v>
      </c>
    </row>
    <row r="2489" spans="1:27" x14ac:dyDescent="0.25">
      <c r="A2489" t="s">
        <v>249</v>
      </c>
      <c r="B2489" t="s">
        <v>206</v>
      </c>
      <c r="C2489" s="76">
        <v>43965</v>
      </c>
      <c r="D2489">
        <v>5014</v>
      </c>
      <c r="E2489">
        <v>2631</v>
      </c>
      <c r="F2489">
        <v>7397</v>
      </c>
      <c r="G2489">
        <v>3083</v>
      </c>
      <c r="H2489">
        <v>61.9</v>
      </c>
      <c r="I2489">
        <v>55.1</v>
      </c>
      <c r="J2489">
        <v>68.8</v>
      </c>
      <c r="K2489">
        <v>691</v>
      </c>
      <c r="L2489">
        <v>248</v>
      </c>
      <c r="M2489">
        <v>1134</v>
      </c>
      <c r="N2489">
        <v>8.5</v>
      </c>
      <c r="O2489">
        <v>5.2</v>
      </c>
      <c r="P2489">
        <v>11.9</v>
      </c>
      <c r="Q2489">
        <f t="shared" si="76"/>
        <v>2966407</v>
      </c>
      <c r="R2489">
        <f t="shared" si="75"/>
        <v>23.294173725992422</v>
      </c>
      <c r="U2489">
        <v>760</v>
      </c>
      <c r="V2489">
        <v>343</v>
      </c>
      <c r="W2489">
        <v>1177</v>
      </c>
      <c r="X2489">
        <v>312</v>
      </c>
      <c r="Y2489">
        <v>70.900000000000006</v>
      </c>
      <c r="Z2489">
        <v>61.2</v>
      </c>
      <c r="AA2489">
        <v>80.599999999999994</v>
      </c>
    </row>
    <row r="2490" spans="1:27" x14ac:dyDescent="0.25">
      <c r="A2490" t="s">
        <v>249</v>
      </c>
      <c r="B2490" t="s">
        <v>206</v>
      </c>
      <c r="C2490" s="76">
        <v>43966</v>
      </c>
      <c r="D2490">
        <v>4993</v>
      </c>
      <c r="E2490">
        <v>2635</v>
      </c>
      <c r="F2490">
        <v>7351</v>
      </c>
      <c r="G2490">
        <v>3146</v>
      </c>
      <c r="H2490">
        <v>61.4</v>
      </c>
      <c r="I2490">
        <v>54.6</v>
      </c>
      <c r="J2490">
        <v>68.099999999999994</v>
      </c>
      <c r="K2490">
        <v>687</v>
      </c>
      <c r="L2490">
        <v>276</v>
      </c>
      <c r="M2490">
        <v>1099</v>
      </c>
      <c r="N2490">
        <v>8.4</v>
      </c>
      <c r="O2490">
        <v>5.7</v>
      </c>
      <c r="P2490">
        <v>11.2</v>
      </c>
      <c r="Q2490">
        <f t="shared" si="76"/>
        <v>2966407</v>
      </c>
      <c r="R2490">
        <f t="shared" si="75"/>
        <v>23.159330462744997</v>
      </c>
      <c r="U2490">
        <v>795</v>
      </c>
      <c r="V2490">
        <v>371</v>
      </c>
      <c r="W2490">
        <v>1218</v>
      </c>
      <c r="X2490">
        <v>283</v>
      </c>
      <c r="Y2490">
        <v>73.8</v>
      </c>
      <c r="Z2490">
        <v>65</v>
      </c>
      <c r="AA2490">
        <v>82.5</v>
      </c>
    </row>
    <row r="2491" spans="1:27" x14ac:dyDescent="0.25">
      <c r="A2491" t="s">
        <v>249</v>
      </c>
      <c r="B2491" t="s">
        <v>206</v>
      </c>
      <c r="C2491" s="76">
        <v>43967</v>
      </c>
      <c r="D2491">
        <v>4687</v>
      </c>
      <c r="E2491">
        <v>2436</v>
      </c>
      <c r="F2491">
        <v>6939</v>
      </c>
      <c r="G2491">
        <v>3278</v>
      </c>
      <c r="H2491">
        <v>58.8</v>
      </c>
      <c r="I2491">
        <v>51.5</v>
      </c>
      <c r="J2491">
        <v>66.2</v>
      </c>
      <c r="K2491">
        <v>651</v>
      </c>
      <c r="L2491">
        <v>276</v>
      </c>
      <c r="M2491">
        <v>1027</v>
      </c>
      <c r="N2491">
        <v>8.1999999999999993</v>
      </c>
      <c r="O2491">
        <v>5.6</v>
      </c>
      <c r="P2491">
        <v>10.8</v>
      </c>
      <c r="Q2491">
        <f t="shared" si="76"/>
        <v>2966407</v>
      </c>
      <c r="R2491">
        <f t="shared" si="75"/>
        <v>21.945741093518183</v>
      </c>
      <c r="U2491">
        <v>760</v>
      </c>
      <c r="V2491">
        <v>350</v>
      </c>
      <c r="W2491">
        <v>1170</v>
      </c>
      <c r="X2491">
        <v>316</v>
      </c>
      <c r="Y2491">
        <v>70.7</v>
      </c>
      <c r="Z2491">
        <v>61.4</v>
      </c>
      <c r="AA2491">
        <v>80</v>
      </c>
    </row>
    <row r="2492" spans="1:27" x14ac:dyDescent="0.25">
      <c r="A2492" t="s">
        <v>249</v>
      </c>
      <c r="B2492" t="s">
        <v>206</v>
      </c>
      <c r="C2492" s="76">
        <v>43968</v>
      </c>
      <c r="D2492">
        <v>4482</v>
      </c>
      <c r="E2492">
        <v>2300</v>
      </c>
      <c r="F2492">
        <v>6665</v>
      </c>
      <c r="G2492">
        <v>3480</v>
      </c>
      <c r="H2492">
        <v>56.3</v>
      </c>
      <c r="I2492">
        <v>49.1</v>
      </c>
      <c r="J2492">
        <v>63.5</v>
      </c>
      <c r="K2492">
        <v>668</v>
      </c>
      <c r="L2492">
        <v>305</v>
      </c>
      <c r="M2492">
        <v>1032</v>
      </c>
      <c r="N2492">
        <v>8.4</v>
      </c>
      <c r="O2492">
        <v>6.1</v>
      </c>
      <c r="P2492">
        <v>10.7</v>
      </c>
      <c r="Q2492">
        <f t="shared" si="76"/>
        <v>2966407</v>
      </c>
      <c r="R2492">
        <f t="shared" si="75"/>
        <v>22.518824962319737</v>
      </c>
      <c r="U2492">
        <v>726</v>
      </c>
      <c r="V2492">
        <v>322</v>
      </c>
      <c r="W2492">
        <v>1130</v>
      </c>
      <c r="X2492">
        <v>340</v>
      </c>
      <c r="Y2492">
        <v>68.099999999999994</v>
      </c>
      <c r="Z2492">
        <v>57.9</v>
      </c>
      <c r="AA2492">
        <v>78.400000000000006</v>
      </c>
    </row>
    <row r="2493" spans="1:27" x14ac:dyDescent="0.25">
      <c r="A2493" t="s">
        <v>249</v>
      </c>
      <c r="B2493" t="s">
        <v>206</v>
      </c>
      <c r="C2493" s="76">
        <v>43969</v>
      </c>
      <c r="D2493">
        <v>4835</v>
      </c>
      <c r="E2493">
        <v>2472</v>
      </c>
      <c r="F2493">
        <v>7198</v>
      </c>
      <c r="G2493">
        <v>3261</v>
      </c>
      <c r="H2493">
        <v>59.7</v>
      </c>
      <c r="I2493">
        <v>52.3</v>
      </c>
      <c r="J2493">
        <v>67.099999999999994</v>
      </c>
      <c r="K2493">
        <v>661</v>
      </c>
      <c r="L2493">
        <v>292</v>
      </c>
      <c r="M2493">
        <v>1030</v>
      </c>
      <c r="N2493">
        <v>8.1999999999999993</v>
      </c>
      <c r="O2493">
        <v>5.8</v>
      </c>
      <c r="P2493">
        <v>10.5</v>
      </c>
      <c r="Q2493">
        <f t="shared" si="76"/>
        <v>2966407</v>
      </c>
      <c r="R2493">
        <f t="shared" si="75"/>
        <v>22.282849251636744</v>
      </c>
      <c r="U2493">
        <v>735</v>
      </c>
      <c r="V2493">
        <v>324</v>
      </c>
      <c r="W2493">
        <v>1146</v>
      </c>
      <c r="X2493">
        <v>331</v>
      </c>
      <c r="Y2493">
        <v>69</v>
      </c>
      <c r="Z2493">
        <v>58.4</v>
      </c>
      <c r="AA2493">
        <v>79.599999999999994</v>
      </c>
    </row>
    <row r="2494" spans="1:27" x14ac:dyDescent="0.25">
      <c r="A2494" t="s">
        <v>249</v>
      </c>
      <c r="B2494" t="s">
        <v>206</v>
      </c>
      <c r="C2494" s="76">
        <v>43970</v>
      </c>
      <c r="D2494">
        <v>5055</v>
      </c>
      <c r="E2494">
        <v>2592</v>
      </c>
      <c r="F2494">
        <v>7518</v>
      </c>
      <c r="G2494">
        <v>3067</v>
      </c>
      <c r="H2494">
        <v>62.2</v>
      </c>
      <c r="I2494">
        <v>54.6</v>
      </c>
      <c r="J2494">
        <v>69.900000000000006</v>
      </c>
      <c r="K2494">
        <v>634</v>
      </c>
      <c r="L2494">
        <v>258</v>
      </c>
      <c r="M2494">
        <v>1010</v>
      </c>
      <c r="N2494">
        <v>7.8</v>
      </c>
      <c r="O2494">
        <v>5.3</v>
      </c>
      <c r="P2494">
        <v>10.3</v>
      </c>
      <c r="Q2494">
        <f t="shared" si="76"/>
        <v>2966407</v>
      </c>
      <c r="R2494">
        <f t="shared" si="75"/>
        <v>21.372657224716633</v>
      </c>
      <c r="U2494">
        <v>790</v>
      </c>
      <c r="V2494">
        <v>367</v>
      </c>
      <c r="W2494">
        <v>1214</v>
      </c>
      <c r="X2494">
        <v>303</v>
      </c>
      <c r="Y2494">
        <v>72.3</v>
      </c>
      <c r="Z2494">
        <v>62.9</v>
      </c>
      <c r="AA2494">
        <v>81.7</v>
      </c>
    </row>
    <row r="2495" spans="1:27" x14ac:dyDescent="0.25">
      <c r="A2495" t="s">
        <v>249</v>
      </c>
      <c r="B2495" t="s">
        <v>206</v>
      </c>
      <c r="C2495" s="76">
        <v>43971</v>
      </c>
      <c r="D2495">
        <v>5126</v>
      </c>
      <c r="E2495">
        <v>2694</v>
      </c>
      <c r="F2495">
        <v>7558</v>
      </c>
      <c r="G2495">
        <v>2999</v>
      </c>
      <c r="H2495">
        <v>63.1</v>
      </c>
      <c r="I2495">
        <v>56.1</v>
      </c>
      <c r="J2495">
        <v>70.099999999999994</v>
      </c>
      <c r="K2495">
        <v>650</v>
      </c>
      <c r="L2495">
        <v>275</v>
      </c>
      <c r="M2495">
        <v>1025</v>
      </c>
      <c r="N2495">
        <v>8</v>
      </c>
      <c r="O2495">
        <v>5.5</v>
      </c>
      <c r="P2495">
        <v>10.4</v>
      </c>
      <c r="Q2495">
        <f t="shared" si="76"/>
        <v>2966407</v>
      </c>
      <c r="R2495">
        <f t="shared" si="75"/>
        <v>21.912030277706329</v>
      </c>
      <c r="U2495">
        <v>815</v>
      </c>
      <c r="V2495">
        <v>387</v>
      </c>
      <c r="W2495">
        <v>1243</v>
      </c>
      <c r="X2495">
        <v>297</v>
      </c>
      <c r="Y2495">
        <v>73.3</v>
      </c>
      <c r="Z2495">
        <v>64.8</v>
      </c>
      <c r="AA2495">
        <v>81.8</v>
      </c>
    </row>
    <row r="2496" spans="1:27" x14ac:dyDescent="0.25">
      <c r="A2496" t="s">
        <v>249</v>
      </c>
      <c r="B2496" t="s">
        <v>206</v>
      </c>
      <c r="C2496" s="76">
        <v>43972</v>
      </c>
      <c r="D2496">
        <v>5169</v>
      </c>
      <c r="E2496">
        <v>2177</v>
      </c>
      <c r="F2496">
        <v>8160</v>
      </c>
      <c r="G2496">
        <v>3231</v>
      </c>
      <c r="H2496">
        <v>61.5</v>
      </c>
      <c r="I2496">
        <v>53.2</v>
      </c>
      <c r="J2496">
        <v>69.900000000000006</v>
      </c>
      <c r="K2496">
        <v>625</v>
      </c>
      <c r="L2496">
        <v>159</v>
      </c>
      <c r="M2496">
        <v>1091</v>
      </c>
      <c r="N2496">
        <v>7.4</v>
      </c>
      <c r="O2496">
        <v>4</v>
      </c>
      <c r="P2496">
        <v>10.9</v>
      </c>
      <c r="Q2496">
        <f t="shared" si="76"/>
        <v>2966407</v>
      </c>
      <c r="R2496">
        <f t="shared" si="75"/>
        <v>21.069259882409931</v>
      </c>
      <c r="U2496">
        <v>883</v>
      </c>
      <c r="V2496">
        <v>341</v>
      </c>
      <c r="W2496">
        <v>1426</v>
      </c>
      <c r="X2496">
        <v>323</v>
      </c>
      <c r="Y2496">
        <v>73.2</v>
      </c>
      <c r="Z2496">
        <v>64</v>
      </c>
      <c r="AA2496">
        <v>82.4</v>
      </c>
    </row>
    <row r="2497" spans="1:27" x14ac:dyDescent="0.25">
      <c r="A2497" t="s">
        <v>249</v>
      </c>
      <c r="B2497" t="s">
        <v>206</v>
      </c>
      <c r="C2497" s="76">
        <v>43973</v>
      </c>
      <c r="D2497">
        <v>5134</v>
      </c>
      <c r="E2497">
        <v>2190</v>
      </c>
      <c r="F2497">
        <v>8077</v>
      </c>
      <c r="G2497">
        <v>3275</v>
      </c>
      <c r="H2497">
        <v>61.1</v>
      </c>
      <c r="I2497">
        <v>53.2</v>
      </c>
      <c r="J2497">
        <v>68.900000000000006</v>
      </c>
      <c r="K2497">
        <v>678</v>
      </c>
      <c r="L2497">
        <v>215</v>
      </c>
      <c r="M2497">
        <v>1141</v>
      </c>
      <c r="N2497">
        <v>8.1</v>
      </c>
      <c r="O2497">
        <v>4.9000000000000004</v>
      </c>
      <c r="P2497">
        <v>11.3</v>
      </c>
      <c r="Q2497">
        <f t="shared" si="76"/>
        <v>2966407</v>
      </c>
      <c r="R2497">
        <f t="shared" si="75"/>
        <v>22.855933120438294</v>
      </c>
      <c r="U2497">
        <v>847</v>
      </c>
      <c r="V2497">
        <v>337</v>
      </c>
      <c r="W2497">
        <v>1357</v>
      </c>
      <c r="X2497">
        <v>334</v>
      </c>
      <c r="Y2497">
        <v>71.7</v>
      </c>
      <c r="Z2497">
        <v>63.2</v>
      </c>
      <c r="AA2497">
        <v>80.2</v>
      </c>
    </row>
    <row r="2498" spans="1:27" x14ac:dyDescent="0.25">
      <c r="A2498" t="s">
        <v>249</v>
      </c>
      <c r="B2498" t="s">
        <v>206</v>
      </c>
      <c r="C2498" s="76">
        <v>43974</v>
      </c>
      <c r="D2498">
        <v>4849</v>
      </c>
      <c r="E2498">
        <v>2010</v>
      </c>
      <c r="F2498">
        <v>7688</v>
      </c>
      <c r="G2498">
        <v>3520</v>
      </c>
      <c r="H2498">
        <v>57.9</v>
      </c>
      <c r="I2498">
        <v>49.4</v>
      </c>
      <c r="J2498">
        <v>66.5</v>
      </c>
      <c r="K2498">
        <v>630</v>
      </c>
      <c r="L2498">
        <v>233</v>
      </c>
      <c r="M2498">
        <v>1027</v>
      </c>
      <c r="N2498">
        <v>7.5</v>
      </c>
      <c r="O2498">
        <v>5</v>
      </c>
      <c r="P2498">
        <v>10</v>
      </c>
      <c r="Q2498">
        <f t="shared" si="76"/>
        <v>2966407</v>
      </c>
      <c r="R2498">
        <f t="shared" si="75"/>
        <v>21.237813961469211</v>
      </c>
      <c r="U2498">
        <v>812</v>
      </c>
      <c r="V2498">
        <v>297</v>
      </c>
      <c r="W2498">
        <v>1328</v>
      </c>
      <c r="X2498">
        <v>324</v>
      </c>
      <c r="Y2498">
        <v>71.5</v>
      </c>
      <c r="Z2498">
        <v>61.3</v>
      </c>
      <c r="AA2498">
        <v>81.7</v>
      </c>
    </row>
    <row r="2499" spans="1:27" x14ac:dyDescent="0.25">
      <c r="A2499" t="s">
        <v>249</v>
      </c>
      <c r="B2499" t="s">
        <v>206</v>
      </c>
      <c r="C2499" s="76">
        <v>43975</v>
      </c>
      <c r="D2499">
        <v>4541</v>
      </c>
      <c r="E2499">
        <v>2164</v>
      </c>
      <c r="F2499">
        <v>6919</v>
      </c>
      <c r="G2499">
        <v>3509</v>
      </c>
      <c r="H2499">
        <v>56.4</v>
      </c>
      <c r="I2499">
        <v>48.1</v>
      </c>
      <c r="J2499">
        <v>64.8</v>
      </c>
      <c r="K2499">
        <v>609</v>
      </c>
      <c r="L2499">
        <v>208</v>
      </c>
      <c r="M2499">
        <v>1010</v>
      </c>
      <c r="N2499">
        <v>7.6</v>
      </c>
      <c r="O2499">
        <v>4.5999999999999996</v>
      </c>
      <c r="P2499">
        <v>10.6</v>
      </c>
      <c r="Q2499">
        <f t="shared" si="76"/>
        <v>2966407</v>
      </c>
      <c r="R2499">
        <f t="shared" si="75"/>
        <v>20.529886829420239</v>
      </c>
      <c r="U2499">
        <v>756</v>
      </c>
      <c r="V2499">
        <v>302</v>
      </c>
      <c r="W2499">
        <v>1211</v>
      </c>
      <c r="X2499">
        <v>353</v>
      </c>
      <c r="Y2499">
        <v>68.2</v>
      </c>
      <c r="Z2499">
        <v>57</v>
      </c>
      <c r="AA2499">
        <v>79.400000000000006</v>
      </c>
    </row>
    <row r="2500" spans="1:27" x14ac:dyDescent="0.25">
      <c r="A2500" t="s">
        <v>249</v>
      </c>
      <c r="B2500" t="s">
        <v>206</v>
      </c>
      <c r="C2500" s="76">
        <v>43976</v>
      </c>
      <c r="D2500">
        <v>4695</v>
      </c>
      <c r="E2500">
        <v>2016</v>
      </c>
      <c r="F2500">
        <v>7374</v>
      </c>
      <c r="G2500">
        <v>3388</v>
      </c>
      <c r="H2500">
        <v>58.1</v>
      </c>
      <c r="I2500">
        <v>48.4</v>
      </c>
      <c r="J2500">
        <v>67.8</v>
      </c>
      <c r="K2500">
        <v>623</v>
      </c>
      <c r="L2500">
        <v>177</v>
      </c>
      <c r="M2500">
        <v>1069</v>
      </c>
      <c r="N2500">
        <v>7.7</v>
      </c>
      <c r="O2500">
        <v>4.4000000000000004</v>
      </c>
      <c r="P2500">
        <v>11</v>
      </c>
      <c r="Q2500">
        <f t="shared" si="76"/>
        <v>2966407</v>
      </c>
      <c r="R2500">
        <f t="shared" si="75"/>
        <v>21.001838250786221</v>
      </c>
      <c r="U2500">
        <v>719</v>
      </c>
      <c r="V2500">
        <v>203</v>
      </c>
      <c r="W2500">
        <v>1235</v>
      </c>
      <c r="X2500">
        <v>323</v>
      </c>
      <c r="Y2500">
        <v>69</v>
      </c>
      <c r="Z2500">
        <v>56.2</v>
      </c>
      <c r="AA2500">
        <v>81.8</v>
      </c>
    </row>
    <row r="2501" spans="1:27" x14ac:dyDescent="0.25">
      <c r="A2501" t="s">
        <v>249</v>
      </c>
      <c r="B2501" t="s">
        <v>206</v>
      </c>
      <c r="C2501" s="76">
        <v>43977</v>
      </c>
      <c r="D2501">
        <v>4878</v>
      </c>
      <c r="E2501">
        <v>1606</v>
      </c>
      <c r="F2501">
        <v>8150</v>
      </c>
      <c r="G2501">
        <v>3422</v>
      </c>
      <c r="H2501">
        <v>58.8</v>
      </c>
      <c r="I2501">
        <v>48.2</v>
      </c>
      <c r="J2501">
        <v>69.3</v>
      </c>
      <c r="K2501">
        <v>724</v>
      </c>
      <c r="L2501">
        <v>88</v>
      </c>
      <c r="M2501">
        <v>1360</v>
      </c>
      <c r="N2501">
        <v>8.6999999999999993</v>
      </c>
      <c r="O2501">
        <v>3.8</v>
      </c>
      <c r="P2501">
        <v>13.6</v>
      </c>
      <c r="Q2501">
        <f t="shared" si="76"/>
        <v>2966407</v>
      </c>
      <c r="R2501">
        <f t="shared" ref="R2501:R2564" si="77">K2501/(Q2501)*100000</f>
        <v>24.406630647783665</v>
      </c>
      <c r="U2501">
        <v>825</v>
      </c>
      <c r="V2501">
        <v>181</v>
      </c>
      <c r="W2501">
        <v>1469</v>
      </c>
      <c r="X2501">
        <v>343</v>
      </c>
      <c r="Y2501">
        <v>70.599999999999994</v>
      </c>
      <c r="Z2501">
        <v>60</v>
      </c>
      <c r="AA2501">
        <v>81.2</v>
      </c>
    </row>
    <row r="2502" spans="1:27" x14ac:dyDescent="0.25">
      <c r="A2502" t="s">
        <v>249</v>
      </c>
      <c r="B2502" t="s">
        <v>206</v>
      </c>
      <c r="C2502" s="76">
        <v>43978</v>
      </c>
      <c r="D2502">
        <v>5125</v>
      </c>
      <c r="E2502">
        <v>680</v>
      </c>
      <c r="F2502">
        <v>9571</v>
      </c>
      <c r="G2502">
        <v>3044</v>
      </c>
      <c r="H2502">
        <v>62.7</v>
      </c>
      <c r="I2502">
        <v>50</v>
      </c>
      <c r="J2502">
        <v>75.5</v>
      </c>
      <c r="K2502">
        <v>1024</v>
      </c>
      <c r="L2502">
        <v>0</v>
      </c>
      <c r="M2502">
        <v>2377</v>
      </c>
      <c r="N2502">
        <v>12.5</v>
      </c>
      <c r="O2502">
        <v>3.9</v>
      </c>
      <c r="P2502">
        <v>21.2</v>
      </c>
      <c r="Q2502">
        <f t="shared" si="76"/>
        <v>2966407</v>
      </c>
      <c r="R2502">
        <f t="shared" si="77"/>
        <v>34.519875391340435</v>
      </c>
      <c r="U2502">
        <v>986</v>
      </c>
      <c r="V2502">
        <v>0</v>
      </c>
      <c r="W2502">
        <v>2113</v>
      </c>
      <c r="X2502">
        <v>345</v>
      </c>
      <c r="Y2502">
        <v>74.099999999999994</v>
      </c>
      <c r="Z2502">
        <v>63.2</v>
      </c>
      <c r="AA2502">
        <v>85</v>
      </c>
    </row>
    <row r="2503" spans="1:27" x14ac:dyDescent="0.25">
      <c r="A2503" t="s">
        <v>249</v>
      </c>
      <c r="B2503" t="s">
        <v>206</v>
      </c>
      <c r="C2503" s="76">
        <v>43979</v>
      </c>
      <c r="D2503">
        <v>5168</v>
      </c>
      <c r="E2503">
        <v>517</v>
      </c>
      <c r="F2503">
        <v>9819</v>
      </c>
      <c r="G2503">
        <v>3089</v>
      </c>
      <c r="H2503">
        <v>62.6</v>
      </c>
      <c r="I2503">
        <v>47.6</v>
      </c>
      <c r="J2503">
        <v>77.5</v>
      </c>
      <c r="K2503">
        <v>1036</v>
      </c>
      <c r="L2503">
        <v>0</v>
      </c>
      <c r="M2503">
        <v>2322</v>
      </c>
      <c r="N2503">
        <v>12.5</v>
      </c>
      <c r="O2503">
        <v>4.7</v>
      </c>
      <c r="P2503">
        <v>20.399999999999999</v>
      </c>
      <c r="Q2503">
        <f t="shared" si="76"/>
        <v>2966407</v>
      </c>
      <c r="R2503">
        <f t="shared" si="77"/>
        <v>34.924405181082705</v>
      </c>
      <c r="U2503">
        <v>1006</v>
      </c>
      <c r="V2503">
        <v>0</v>
      </c>
      <c r="W2503">
        <v>2184</v>
      </c>
      <c r="X2503">
        <v>385</v>
      </c>
      <c r="Y2503">
        <v>72.3</v>
      </c>
      <c r="Z2503">
        <v>56.1</v>
      </c>
      <c r="AA2503">
        <v>88.6</v>
      </c>
    </row>
    <row r="2504" spans="1:27" x14ac:dyDescent="0.25">
      <c r="A2504" t="s">
        <v>249</v>
      </c>
      <c r="B2504" t="s">
        <v>206</v>
      </c>
      <c r="C2504" s="76">
        <v>43980</v>
      </c>
      <c r="D2504">
        <v>5166</v>
      </c>
      <c r="E2504">
        <v>649</v>
      </c>
      <c r="F2504">
        <v>9683</v>
      </c>
      <c r="G2504">
        <v>2957</v>
      </c>
      <c r="H2504">
        <v>63.6</v>
      </c>
      <c r="I2504">
        <v>50.3</v>
      </c>
      <c r="J2504">
        <v>76.900000000000006</v>
      </c>
      <c r="K2504">
        <v>996</v>
      </c>
      <c r="L2504">
        <v>0</v>
      </c>
      <c r="M2504">
        <v>2266</v>
      </c>
      <c r="N2504">
        <v>12.3</v>
      </c>
      <c r="O2504">
        <v>4.5</v>
      </c>
      <c r="P2504">
        <v>20.100000000000001</v>
      </c>
      <c r="Q2504">
        <f t="shared" si="76"/>
        <v>2966407</v>
      </c>
      <c r="R2504">
        <f t="shared" si="77"/>
        <v>33.575972548608462</v>
      </c>
      <c r="U2504">
        <v>988</v>
      </c>
      <c r="V2504">
        <v>0</v>
      </c>
      <c r="W2504">
        <v>2069</v>
      </c>
      <c r="X2504">
        <v>412</v>
      </c>
      <c r="Y2504">
        <v>70.599999999999994</v>
      </c>
      <c r="Z2504">
        <v>59.3</v>
      </c>
      <c r="AA2504">
        <v>81.8</v>
      </c>
    </row>
    <row r="2505" spans="1:27" x14ac:dyDescent="0.25">
      <c r="A2505" t="s">
        <v>249</v>
      </c>
      <c r="B2505" t="s">
        <v>206</v>
      </c>
      <c r="C2505" s="76">
        <v>43981</v>
      </c>
      <c r="D2505">
        <v>4867</v>
      </c>
      <c r="E2505">
        <v>2209</v>
      </c>
      <c r="F2505">
        <v>7526</v>
      </c>
      <c r="G2505">
        <v>3371</v>
      </c>
      <c r="H2505">
        <v>59.1</v>
      </c>
      <c r="I2505">
        <v>51.2</v>
      </c>
      <c r="J2505">
        <v>66.900000000000006</v>
      </c>
      <c r="K2505">
        <v>683</v>
      </c>
      <c r="L2505">
        <v>207</v>
      </c>
      <c r="M2505">
        <v>1159</v>
      </c>
      <c r="N2505">
        <v>8.3000000000000007</v>
      </c>
      <c r="O2505">
        <v>4.7</v>
      </c>
      <c r="P2505">
        <v>11.9</v>
      </c>
      <c r="Q2505">
        <f t="shared" si="76"/>
        <v>2966407</v>
      </c>
      <c r="R2505">
        <f t="shared" si="77"/>
        <v>23.024487199497575</v>
      </c>
      <c r="U2505">
        <v>752</v>
      </c>
      <c r="V2505">
        <v>242</v>
      </c>
      <c r="W2505">
        <v>1262</v>
      </c>
      <c r="X2505">
        <v>388</v>
      </c>
      <c r="Y2505">
        <v>66</v>
      </c>
      <c r="Z2505">
        <v>53.4</v>
      </c>
      <c r="AA2505">
        <v>78.5</v>
      </c>
    </row>
    <row r="2506" spans="1:27" x14ac:dyDescent="0.25">
      <c r="A2506" t="s">
        <v>249</v>
      </c>
      <c r="B2506" t="s">
        <v>206</v>
      </c>
      <c r="C2506" s="76">
        <v>43982</v>
      </c>
      <c r="D2506">
        <v>4653</v>
      </c>
      <c r="E2506">
        <v>1999</v>
      </c>
      <c r="F2506">
        <v>7307</v>
      </c>
      <c r="G2506">
        <v>3469</v>
      </c>
      <c r="H2506">
        <v>57.3</v>
      </c>
      <c r="I2506">
        <v>48.5</v>
      </c>
      <c r="J2506">
        <v>66</v>
      </c>
      <c r="K2506">
        <v>659</v>
      </c>
      <c r="L2506">
        <v>171</v>
      </c>
      <c r="M2506">
        <v>1147</v>
      </c>
      <c r="N2506">
        <v>8.1</v>
      </c>
      <c r="O2506">
        <v>4.3</v>
      </c>
      <c r="P2506">
        <v>12</v>
      </c>
      <c r="Q2506">
        <f t="shared" si="76"/>
        <v>2966407</v>
      </c>
      <c r="R2506">
        <f t="shared" si="77"/>
        <v>22.215427620013031</v>
      </c>
      <c r="U2506">
        <v>789</v>
      </c>
      <c r="V2506">
        <v>262</v>
      </c>
      <c r="W2506">
        <v>1316</v>
      </c>
      <c r="X2506">
        <v>303</v>
      </c>
      <c r="Y2506">
        <v>72.3</v>
      </c>
      <c r="Z2506">
        <v>61</v>
      </c>
      <c r="AA2506">
        <v>83.5</v>
      </c>
    </row>
    <row r="2507" spans="1:27" x14ac:dyDescent="0.25">
      <c r="A2507" t="s">
        <v>249</v>
      </c>
      <c r="B2507" t="s">
        <v>206</v>
      </c>
      <c r="C2507" s="76">
        <v>43983</v>
      </c>
      <c r="D2507">
        <v>4963</v>
      </c>
      <c r="E2507">
        <v>1603</v>
      </c>
      <c r="F2507">
        <v>8323</v>
      </c>
      <c r="G2507">
        <v>3275</v>
      </c>
      <c r="H2507">
        <v>60.2</v>
      </c>
      <c r="I2507">
        <v>49.3</v>
      </c>
      <c r="J2507">
        <v>71.2</v>
      </c>
      <c r="K2507">
        <v>718</v>
      </c>
      <c r="L2507">
        <v>50</v>
      </c>
      <c r="M2507">
        <v>1386</v>
      </c>
      <c r="N2507">
        <v>8.6999999999999993</v>
      </c>
      <c r="O2507">
        <v>3.4</v>
      </c>
      <c r="P2507">
        <v>14.1</v>
      </c>
      <c r="Q2507">
        <f t="shared" si="76"/>
        <v>2966407</v>
      </c>
      <c r="R2507">
        <f t="shared" si="77"/>
        <v>24.20436575291253</v>
      </c>
      <c r="U2507">
        <v>812</v>
      </c>
      <c r="V2507">
        <v>158</v>
      </c>
      <c r="W2507">
        <v>1465</v>
      </c>
      <c r="X2507">
        <v>357</v>
      </c>
      <c r="Y2507">
        <v>69.400000000000006</v>
      </c>
      <c r="Z2507">
        <v>57.7</v>
      </c>
      <c r="AA2507">
        <v>81.2</v>
      </c>
    </row>
    <row r="2508" spans="1:27" x14ac:dyDescent="0.25">
      <c r="A2508" t="s">
        <v>249</v>
      </c>
      <c r="B2508" t="s">
        <v>206</v>
      </c>
      <c r="C2508" s="76">
        <v>43984</v>
      </c>
      <c r="D2508">
        <v>5186</v>
      </c>
      <c r="E2508">
        <v>636</v>
      </c>
      <c r="F2508">
        <v>9736</v>
      </c>
      <c r="G2508">
        <v>2948</v>
      </c>
      <c r="H2508">
        <v>63.8</v>
      </c>
      <c r="I2508">
        <v>50.4</v>
      </c>
      <c r="J2508">
        <v>77.099999999999994</v>
      </c>
      <c r="K2508">
        <v>945</v>
      </c>
      <c r="L2508">
        <v>0</v>
      </c>
      <c r="M2508">
        <v>2121</v>
      </c>
      <c r="N2508">
        <v>11.6</v>
      </c>
      <c r="O2508">
        <v>4.5</v>
      </c>
      <c r="P2508">
        <v>18.7</v>
      </c>
      <c r="Q2508">
        <f t="shared" si="76"/>
        <v>2966407</v>
      </c>
      <c r="R2508">
        <f t="shared" si="77"/>
        <v>31.856720942203815</v>
      </c>
      <c r="U2508">
        <v>941</v>
      </c>
      <c r="V2508">
        <v>0</v>
      </c>
      <c r="W2508">
        <v>2021</v>
      </c>
      <c r="X2508">
        <v>396</v>
      </c>
      <c r="Y2508">
        <v>70.400000000000006</v>
      </c>
      <c r="Z2508">
        <v>58.3</v>
      </c>
      <c r="AA2508">
        <v>82.5</v>
      </c>
    </row>
    <row r="2509" spans="1:27" x14ac:dyDescent="0.25">
      <c r="A2509" t="s">
        <v>249</v>
      </c>
      <c r="B2509" t="s">
        <v>206</v>
      </c>
      <c r="C2509" s="76">
        <v>43985</v>
      </c>
      <c r="D2509">
        <v>4857</v>
      </c>
      <c r="E2509">
        <v>308</v>
      </c>
      <c r="F2509">
        <v>9406</v>
      </c>
      <c r="G2509">
        <v>2962</v>
      </c>
      <c r="H2509">
        <v>62.1</v>
      </c>
      <c r="I2509">
        <v>47.2</v>
      </c>
      <c r="J2509">
        <v>77</v>
      </c>
      <c r="K2509">
        <v>857</v>
      </c>
      <c r="L2509">
        <v>0</v>
      </c>
      <c r="M2509">
        <v>2015</v>
      </c>
      <c r="N2509">
        <v>11</v>
      </c>
      <c r="O2509">
        <v>3.3</v>
      </c>
      <c r="P2509">
        <v>18.600000000000001</v>
      </c>
      <c r="Q2509">
        <f t="shared" si="76"/>
        <v>2966407</v>
      </c>
      <c r="R2509">
        <f t="shared" si="77"/>
        <v>28.890169150760496</v>
      </c>
      <c r="U2509">
        <v>906</v>
      </c>
      <c r="V2509">
        <v>0</v>
      </c>
      <c r="W2509">
        <v>2014</v>
      </c>
      <c r="X2509">
        <v>403</v>
      </c>
      <c r="Y2509">
        <v>69.2</v>
      </c>
      <c r="Z2509">
        <v>54.4</v>
      </c>
      <c r="AA2509">
        <v>84</v>
      </c>
    </row>
    <row r="2510" spans="1:27" x14ac:dyDescent="0.25">
      <c r="A2510" t="s">
        <v>249</v>
      </c>
      <c r="B2510" t="s">
        <v>206</v>
      </c>
      <c r="C2510" s="76">
        <v>43986</v>
      </c>
      <c r="D2510">
        <v>4926</v>
      </c>
      <c r="E2510">
        <v>767</v>
      </c>
      <c r="F2510">
        <v>9085</v>
      </c>
      <c r="G2510">
        <v>3051</v>
      </c>
      <c r="H2510">
        <v>61.7</v>
      </c>
      <c r="I2510">
        <v>51.4</v>
      </c>
      <c r="J2510">
        <v>72.099999999999994</v>
      </c>
      <c r="K2510">
        <v>900</v>
      </c>
      <c r="L2510">
        <v>0</v>
      </c>
      <c r="M2510">
        <v>2053</v>
      </c>
      <c r="N2510">
        <v>11.3</v>
      </c>
      <c r="O2510">
        <v>4.0999999999999996</v>
      </c>
      <c r="P2510">
        <v>18.5</v>
      </c>
      <c r="Q2510">
        <f t="shared" si="76"/>
        <v>2966407</v>
      </c>
      <c r="R2510">
        <f t="shared" si="77"/>
        <v>30.339734230670302</v>
      </c>
      <c r="U2510">
        <v>1019</v>
      </c>
      <c r="V2510">
        <v>0</v>
      </c>
      <c r="W2510">
        <v>2216</v>
      </c>
      <c r="X2510">
        <v>324</v>
      </c>
      <c r="Y2510">
        <v>75.900000000000006</v>
      </c>
      <c r="Z2510">
        <v>61.6</v>
      </c>
      <c r="AA2510">
        <v>90.2</v>
      </c>
    </row>
    <row r="2511" spans="1:27" x14ac:dyDescent="0.25">
      <c r="A2511" t="s">
        <v>249</v>
      </c>
      <c r="B2511" t="s">
        <v>206</v>
      </c>
      <c r="C2511" s="76">
        <v>43987</v>
      </c>
      <c r="D2511">
        <v>5282</v>
      </c>
      <c r="E2511">
        <v>1510</v>
      </c>
      <c r="F2511">
        <v>9054</v>
      </c>
      <c r="G2511">
        <v>3470</v>
      </c>
      <c r="H2511">
        <v>60.4</v>
      </c>
      <c r="I2511">
        <v>49.1</v>
      </c>
      <c r="J2511">
        <v>71.599999999999994</v>
      </c>
      <c r="K2511">
        <v>749</v>
      </c>
      <c r="L2511">
        <v>48</v>
      </c>
      <c r="M2511">
        <v>1451</v>
      </c>
      <c r="N2511">
        <v>8.6</v>
      </c>
      <c r="O2511">
        <v>3.8</v>
      </c>
      <c r="P2511">
        <v>13.3</v>
      </c>
      <c r="Q2511">
        <f t="shared" si="76"/>
        <v>2966407</v>
      </c>
      <c r="R2511">
        <f t="shared" si="77"/>
        <v>25.249401043080063</v>
      </c>
      <c r="U2511">
        <v>949</v>
      </c>
      <c r="V2511">
        <v>122</v>
      </c>
      <c r="W2511">
        <v>1776</v>
      </c>
      <c r="X2511">
        <v>389</v>
      </c>
      <c r="Y2511">
        <v>70.900000000000006</v>
      </c>
      <c r="Z2511">
        <v>58.8</v>
      </c>
      <c r="AA2511">
        <v>83</v>
      </c>
    </row>
    <row r="2512" spans="1:27" x14ac:dyDescent="0.25">
      <c r="A2512" t="s">
        <v>249</v>
      </c>
      <c r="B2512" t="s">
        <v>206</v>
      </c>
      <c r="C2512" s="76">
        <v>43988</v>
      </c>
      <c r="D2512">
        <v>5102</v>
      </c>
      <c r="E2512">
        <v>1959</v>
      </c>
      <c r="F2512">
        <v>8244</v>
      </c>
      <c r="G2512">
        <v>3669</v>
      </c>
      <c r="H2512">
        <v>58.2</v>
      </c>
      <c r="I2512">
        <v>46.9</v>
      </c>
      <c r="J2512">
        <v>69.400000000000006</v>
      </c>
      <c r="K2512">
        <v>696</v>
      </c>
      <c r="L2512">
        <v>190</v>
      </c>
      <c r="M2512">
        <v>1201</v>
      </c>
      <c r="N2512">
        <v>7.9</v>
      </c>
      <c r="O2512">
        <v>4.8</v>
      </c>
      <c r="P2512">
        <v>11.1</v>
      </c>
      <c r="Q2512">
        <f t="shared" si="76"/>
        <v>2966407</v>
      </c>
      <c r="R2512">
        <f t="shared" si="77"/>
        <v>23.462727805051699</v>
      </c>
      <c r="U2512">
        <v>841</v>
      </c>
      <c r="V2512">
        <v>240</v>
      </c>
      <c r="W2512">
        <v>1443</v>
      </c>
      <c r="X2512">
        <v>443</v>
      </c>
      <c r="Y2512">
        <v>65.5</v>
      </c>
      <c r="Z2512">
        <v>50.7</v>
      </c>
      <c r="AA2512">
        <v>80.3</v>
      </c>
    </row>
    <row r="2513" spans="1:27" x14ac:dyDescent="0.25">
      <c r="A2513" t="s">
        <v>249</v>
      </c>
      <c r="B2513" t="s">
        <v>206</v>
      </c>
      <c r="C2513" s="76">
        <v>43989</v>
      </c>
      <c r="D2513">
        <v>5083</v>
      </c>
      <c r="E2513">
        <v>2017</v>
      </c>
      <c r="F2513">
        <v>8149</v>
      </c>
      <c r="G2513">
        <v>3947</v>
      </c>
      <c r="H2513">
        <v>56.3</v>
      </c>
      <c r="I2513">
        <v>46.3</v>
      </c>
      <c r="J2513">
        <v>66.3</v>
      </c>
      <c r="K2513">
        <v>755</v>
      </c>
      <c r="L2513">
        <v>190</v>
      </c>
      <c r="M2513">
        <v>1320</v>
      </c>
      <c r="N2513">
        <v>8.4</v>
      </c>
      <c r="O2513">
        <v>5</v>
      </c>
      <c r="P2513">
        <v>11.7</v>
      </c>
      <c r="Q2513">
        <f t="shared" si="76"/>
        <v>2966407</v>
      </c>
      <c r="R2513">
        <f t="shared" si="77"/>
        <v>25.451665937951198</v>
      </c>
      <c r="U2513">
        <v>845</v>
      </c>
      <c r="V2513">
        <v>239</v>
      </c>
      <c r="W2513">
        <v>1451</v>
      </c>
      <c r="X2513">
        <v>410</v>
      </c>
      <c r="Y2513">
        <v>67.400000000000006</v>
      </c>
      <c r="Z2513">
        <v>51.1</v>
      </c>
      <c r="AA2513">
        <v>83.6</v>
      </c>
    </row>
    <row r="2514" spans="1:27" x14ac:dyDescent="0.25">
      <c r="A2514" t="s">
        <v>249</v>
      </c>
      <c r="B2514" t="s">
        <v>206</v>
      </c>
      <c r="C2514" s="76">
        <v>43990</v>
      </c>
      <c r="D2514">
        <v>5334</v>
      </c>
      <c r="E2514">
        <v>1536</v>
      </c>
      <c r="F2514">
        <v>9132</v>
      </c>
      <c r="G2514">
        <v>3461</v>
      </c>
      <c r="H2514">
        <v>60.6</v>
      </c>
      <c r="I2514">
        <v>49.3</v>
      </c>
      <c r="J2514">
        <v>72</v>
      </c>
      <c r="K2514">
        <v>901</v>
      </c>
      <c r="L2514">
        <v>47</v>
      </c>
      <c r="M2514">
        <v>1754</v>
      </c>
      <c r="N2514">
        <v>10.199999999999999</v>
      </c>
      <c r="O2514">
        <v>5.3</v>
      </c>
      <c r="P2514">
        <v>15.2</v>
      </c>
      <c r="Q2514">
        <f t="shared" si="76"/>
        <v>2966407</v>
      </c>
      <c r="R2514">
        <f t="shared" si="77"/>
        <v>30.373445046482161</v>
      </c>
      <c r="U2514">
        <v>860</v>
      </c>
      <c r="V2514">
        <v>104</v>
      </c>
      <c r="W2514">
        <v>1616</v>
      </c>
      <c r="X2514">
        <v>346</v>
      </c>
      <c r="Y2514">
        <v>71.3</v>
      </c>
      <c r="Z2514">
        <v>56.7</v>
      </c>
      <c r="AA2514">
        <v>85.9</v>
      </c>
    </row>
    <row r="2515" spans="1:27" x14ac:dyDescent="0.25">
      <c r="A2515" t="s">
        <v>249</v>
      </c>
      <c r="B2515" t="s">
        <v>206</v>
      </c>
      <c r="C2515" s="76">
        <v>43991</v>
      </c>
      <c r="D2515">
        <v>5629</v>
      </c>
      <c r="E2515">
        <v>345</v>
      </c>
      <c r="F2515">
        <v>10913</v>
      </c>
      <c r="G2515">
        <v>2807</v>
      </c>
      <c r="H2515">
        <v>66.7</v>
      </c>
      <c r="I2515">
        <v>55</v>
      </c>
      <c r="J2515">
        <v>78.5</v>
      </c>
      <c r="K2515">
        <v>907</v>
      </c>
      <c r="L2515">
        <v>0</v>
      </c>
      <c r="M2515">
        <v>2038</v>
      </c>
      <c r="N2515">
        <v>10.8</v>
      </c>
      <c r="O2515">
        <v>4.9000000000000004</v>
      </c>
      <c r="P2515">
        <v>16.600000000000001</v>
      </c>
      <c r="Q2515">
        <f t="shared" si="76"/>
        <v>2966407</v>
      </c>
      <c r="R2515">
        <f t="shared" si="77"/>
        <v>30.575709941353296</v>
      </c>
      <c r="U2515">
        <v>1144</v>
      </c>
      <c r="V2515">
        <v>0</v>
      </c>
      <c r="W2515">
        <v>2487</v>
      </c>
      <c r="X2515">
        <v>343</v>
      </c>
      <c r="Y2515">
        <v>76.900000000000006</v>
      </c>
      <c r="Z2515">
        <v>65.900000000000006</v>
      </c>
      <c r="AA2515">
        <v>87.9</v>
      </c>
    </row>
    <row r="2516" spans="1:27" x14ac:dyDescent="0.25">
      <c r="A2516" t="s">
        <v>249</v>
      </c>
      <c r="B2516" t="s">
        <v>206</v>
      </c>
      <c r="C2516" s="76">
        <v>43992</v>
      </c>
      <c r="D2516">
        <v>4975</v>
      </c>
      <c r="E2516">
        <v>0</v>
      </c>
      <c r="F2516">
        <v>10180</v>
      </c>
      <c r="G2516">
        <v>3286</v>
      </c>
      <c r="H2516">
        <v>60.2</v>
      </c>
      <c r="I2516">
        <v>43.1</v>
      </c>
      <c r="J2516">
        <v>77.3</v>
      </c>
      <c r="K2516">
        <v>869</v>
      </c>
      <c r="L2516">
        <v>0</v>
      </c>
      <c r="M2516">
        <v>1963</v>
      </c>
      <c r="N2516">
        <v>10.5</v>
      </c>
      <c r="O2516">
        <v>4.8</v>
      </c>
      <c r="P2516">
        <v>16.2</v>
      </c>
      <c r="Q2516">
        <f t="shared" si="76"/>
        <v>2966407</v>
      </c>
      <c r="R2516">
        <f t="shared" si="77"/>
        <v>29.294698940502773</v>
      </c>
      <c r="U2516">
        <v>981</v>
      </c>
      <c r="V2516">
        <v>0</v>
      </c>
      <c r="W2516">
        <v>2337</v>
      </c>
      <c r="X2516">
        <v>336</v>
      </c>
      <c r="Y2516">
        <v>74.5</v>
      </c>
      <c r="Z2516">
        <v>57.7</v>
      </c>
      <c r="AA2516">
        <v>91.2</v>
      </c>
    </row>
    <row r="2517" spans="1:27" x14ac:dyDescent="0.25">
      <c r="A2517" t="s">
        <v>249</v>
      </c>
      <c r="B2517" t="s">
        <v>206</v>
      </c>
      <c r="C2517" s="76">
        <v>43993</v>
      </c>
      <c r="D2517">
        <v>5690</v>
      </c>
      <c r="E2517">
        <v>2683</v>
      </c>
      <c r="F2517">
        <v>8698</v>
      </c>
      <c r="G2517">
        <v>2820</v>
      </c>
      <c r="H2517">
        <v>66.900000000000006</v>
      </c>
      <c r="I2517">
        <v>59.2</v>
      </c>
      <c r="J2517">
        <v>74.599999999999994</v>
      </c>
      <c r="K2517">
        <v>684</v>
      </c>
      <c r="L2517">
        <v>251</v>
      </c>
      <c r="M2517">
        <v>1117</v>
      </c>
      <c r="N2517">
        <v>8</v>
      </c>
      <c r="O2517">
        <v>5.7</v>
      </c>
      <c r="P2517">
        <v>10.4</v>
      </c>
      <c r="Q2517">
        <f t="shared" si="76"/>
        <v>2966407</v>
      </c>
      <c r="R2517">
        <f t="shared" si="77"/>
        <v>23.058198015309429</v>
      </c>
      <c r="U2517">
        <v>939</v>
      </c>
      <c r="V2517">
        <v>387</v>
      </c>
      <c r="W2517">
        <v>1490</v>
      </c>
      <c r="X2517">
        <v>330</v>
      </c>
      <c r="Y2517">
        <v>74</v>
      </c>
      <c r="Z2517">
        <v>64.3</v>
      </c>
      <c r="AA2517">
        <v>83.6</v>
      </c>
    </row>
    <row r="2518" spans="1:27" x14ac:dyDescent="0.25">
      <c r="A2518" t="s">
        <v>249</v>
      </c>
      <c r="B2518" t="s">
        <v>206</v>
      </c>
      <c r="C2518" s="76">
        <v>43994</v>
      </c>
      <c r="D2518">
        <v>5260</v>
      </c>
      <c r="E2518">
        <v>2343</v>
      </c>
      <c r="F2518">
        <v>8177</v>
      </c>
      <c r="G2518">
        <v>3262</v>
      </c>
      <c r="H2518">
        <v>61.7</v>
      </c>
      <c r="I2518">
        <v>53.1</v>
      </c>
      <c r="J2518">
        <v>70.3</v>
      </c>
      <c r="K2518">
        <v>649</v>
      </c>
      <c r="L2518">
        <v>225</v>
      </c>
      <c r="M2518">
        <v>1073</v>
      </c>
      <c r="N2518">
        <v>7.6</v>
      </c>
      <c r="O2518">
        <v>5.2</v>
      </c>
      <c r="P2518">
        <v>10.1</v>
      </c>
      <c r="Q2518">
        <f t="shared" si="76"/>
        <v>2966407</v>
      </c>
      <c r="R2518">
        <f t="shared" si="77"/>
        <v>21.878319461894474</v>
      </c>
      <c r="U2518">
        <v>845</v>
      </c>
      <c r="V2518">
        <v>340</v>
      </c>
      <c r="W2518">
        <v>1350</v>
      </c>
      <c r="X2518">
        <v>407</v>
      </c>
      <c r="Y2518">
        <v>67.5</v>
      </c>
      <c r="Z2518">
        <v>57.9</v>
      </c>
      <c r="AA2518">
        <v>77</v>
      </c>
    </row>
    <row r="2519" spans="1:27" x14ac:dyDescent="0.25">
      <c r="A2519" t="s">
        <v>249</v>
      </c>
      <c r="B2519" t="s">
        <v>206</v>
      </c>
      <c r="C2519" s="76">
        <v>43995</v>
      </c>
      <c r="D2519">
        <v>5185</v>
      </c>
      <c r="E2519">
        <v>2566</v>
      </c>
      <c r="F2519">
        <v>7803</v>
      </c>
      <c r="G2519">
        <v>3342</v>
      </c>
      <c r="H2519">
        <v>60.8</v>
      </c>
      <c r="I2519">
        <v>53.7</v>
      </c>
      <c r="J2519">
        <v>67.900000000000006</v>
      </c>
      <c r="K2519">
        <v>665</v>
      </c>
      <c r="L2519">
        <v>266</v>
      </c>
      <c r="M2519">
        <v>1063</v>
      </c>
      <c r="N2519">
        <v>7.8</v>
      </c>
      <c r="O2519">
        <v>5.9</v>
      </c>
      <c r="P2519">
        <v>9.6999999999999993</v>
      </c>
      <c r="Q2519">
        <f t="shared" si="76"/>
        <v>2966407</v>
      </c>
      <c r="R2519">
        <f t="shared" si="77"/>
        <v>22.41769251488417</v>
      </c>
      <c r="U2519">
        <v>779</v>
      </c>
      <c r="V2519">
        <v>353</v>
      </c>
      <c r="W2519">
        <v>1205</v>
      </c>
      <c r="X2519">
        <v>375</v>
      </c>
      <c r="Y2519">
        <v>67.5</v>
      </c>
      <c r="Z2519">
        <v>57.6</v>
      </c>
      <c r="AA2519">
        <v>77.400000000000006</v>
      </c>
    </row>
    <row r="2520" spans="1:27" x14ac:dyDescent="0.25">
      <c r="A2520" t="s">
        <v>249</v>
      </c>
      <c r="B2520" t="s">
        <v>206</v>
      </c>
      <c r="C2520" s="76">
        <v>43996</v>
      </c>
      <c r="D2520">
        <v>5095</v>
      </c>
      <c r="E2520">
        <v>2315</v>
      </c>
      <c r="F2520">
        <v>7875</v>
      </c>
      <c r="G2520">
        <v>3292</v>
      </c>
      <c r="H2520">
        <v>60.8</v>
      </c>
      <c r="I2520">
        <v>52.5</v>
      </c>
      <c r="J2520">
        <v>69.099999999999994</v>
      </c>
      <c r="K2520">
        <v>637</v>
      </c>
      <c r="L2520">
        <v>245</v>
      </c>
      <c r="M2520">
        <v>1030</v>
      </c>
      <c r="N2520">
        <v>7.6</v>
      </c>
      <c r="O2520">
        <v>5.4</v>
      </c>
      <c r="P2520">
        <v>9.8000000000000007</v>
      </c>
      <c r="Q2520">
        <f t="shared" si="76"/>
        <v>2966407</v>
      </c>
      <c r="R2520">
        <f t="shared" si="77"/>
        <v>21.473789672152204</v>
      </c>
      <c r="U2520">
        <v>826</v>
      </c>
      <c r="V2520">
        <v>324</v>
      </c>
      <c r="W2520">
        <v>1329</v>
      </c>
      <c r="X2520">
        <v>401</v>
      </c>
      <c r="Y2520">
        <v>67.3</v>
      </c>
      <c r="Z2520">
        <v>57.5</v>
      </c>
      <c r="AA2520">
        <v>77.2</v>
      </c>
    </row>
    <row r="2521" spans="1:27" x14ac:dyDescent="0.25">
      <c r="A2521" t="s">
        <v>249</v>
      </c>
      <c r="B2521" t="s">
        <v>206</v>
      </c>
      <c r="C2521" s="76">
        <v>43997</v>
      </c>
      <c r="D2521">
        <v>5294</v>
      </c>
      <c r="E2521">
        <v>2914</v>
      </c>
      <c r="F2521">
        <v>7674</v>
      </c>
      <c r="G2521">
        <v>3373</v>
      </c>
      <c r="H2521">
        <v>61.1</v>
      </c>
      <c r="I2521">
        <v>53.9</v>
      </c>
      <c r="J2521">
        <v>68.3</v>
      </c>
      <c r="K2521">
        <v>675</v>
      </c>
      <c r="L2521">
        <v>325</v>
      </c>
      <c r="M2521">
        <v>1024</v>
      </c>
      <c r="N2521">
        <v>7.8</v>
      </c>
      <c r="O2521">
        <v>6</v>
      </c>
      <c r="P2521">
        <v>9.6</v>
      </c>
      <c r="Q2521">
        <f t="shared" si="76"/>
        <v>2966407</v>
      </c>
      <c r="R2521">
        <f t="shared" si="77"/>
        <v>22.754800673002727</v>
      </c>
      <c r="U2521">
        <v>826</v>
      </c>
      <c r="V2521">
        <v>424</v>
      </c>
      <c r="W2521">
        <v>1228</v>
      </c>
      <c r="X2521">
        <v>308</v>
      </c>
      <c r="Y2521">
        <v>72.8</v>
      </c>
      <c r="Z2521">
        <v>64.599999999999994</v>
      </c>
      <c r="AA2521">
        <v>81</v>
      </c>
    </row>
    <row r="2522" spans="1:27" x14ac:dyDescent="0.25">
      <c r="A2522" t="s">
        <v>249</v>
      </c>
      <c r="B2522" t="s">
        <v>206</v>
      </c>
      <c r="C2522" s="76">
        <v>43998</v>
      </c>
      <c r="D2522">
        <v>5641</v>
      </c>
      <c r="E2522">
        <v>2919</v>
      </c>
      <c r="F2522">
        <v>8363</v>
      </c>
      <c r="G2522">
        <v>3290</v>
      </c>
      <c r="H2522">
        <v>63.2</v>
      </c>
      <c r="I2522">
        <v>55.7</v>
      </c>
      <c r="J2522">
        <v>70.599999999999994</v>
      </c>
      <c r="K2522">
        <v>684</v>
      </c>
      <c r="L2522">
        <v>291</v>
      </c>
      <c r="M2522">
        <v>1078</v>
      </c>
      <c r="N2522">
        <v>7.7</v>
      </c>
      <c r="O2522">
        <v>5.0999999999999996</v>
      </c>
      <c r="P2522">
        <v>10.199999999999999</v>
      </c>
      <c r="Q2522">
        <f t="shared" si="76"/>
        <v>2966407</v>
      </c>
      <c r="R2522">
        <f t="shared" si="77"/>
        <v>23.058198015309429</v>
      </c>
      <c r="U2522">
        <v>823</v>
      </c>
      <c r="V2522">
        <v>380</v>
      </c>
      <c r="W2522">
        <v>1266</v>
      </c>
      <c r="X2522">
        <v>416</v>
      </c>
      <c r="Y2522">
        <v>66.400000000000006</v>
      </c>
      <c r="Z2522">
        <v>53.5</v>
      </c>
      <c r="AA2522">
        <v>79.2</v>
      </c>
    </row>
    <row r="2523" spans="1:27" x14ac:dyDescent="0.25">
      <c r="A2523" t="s">
        <v>249</v>
      </c>
      <c r="B2523" t="s">
        <v>206</v>
      </c>
      <c r="C2523" s="76">
        <v>43999</v>
      </c>
      <c r="D2523">
        <v>2775</v>
      </c>
      <c r="E2523">
        <v>623</v>
      </c>
      <c r="F2523">
        <v>4928</v>
      </c>
      <c r="G2523">
        <v>1759</v>
      </c>
      <c r="H2523">
        <v>61.2</v>
      </c>
      <c r="I2523">
        <v>49.3</v>
      </c>
      <c r="J2523">
        <v>73.099999999999994</v>
      </c>
      <c r="K2523">
        <v>244</v>
      </c>
      <c r="L2523">
        <v>78</v>
      </c>
      <c r="M2523">
        <v>410</v>
      </c>
      <c r="N2523">
        <v>5.4</v>
      </c>
      <c r="O2523">
        <v>1.9</v>
      </c>
      <c r="P2523">
        <v>8.9</v>
      </c>
      <c r="Q2523">
        <f t="shared" si="76"/>
        <v>2966407</v>
      </c>
      <c r="R2523">
        <f t="shared" si="77"/>
        <v>8.2254390580928369</v>
      </c>
      <c r="U2523">
        <v>427</v>
      </c>
      <c r="V2523">
        <v>122</v>
      </c>
      <c r="W2523">
        <v>733</v>
      </c>
      <c r="X2523">
        <v>306</v>
      </c>
      <c r="Y2523">
        <v>58.3</v>
      </c>
      <c r="Z2523">
        <v>45</v>
      </c>
      <c r="AA2523">
        <v>71.599999999999994</v>
      </c>
    </row>
    <row r="2524" spans="1:27" x14ac:dyDescent="0.25">
      <c r="A2524" t="s">
        <v>249</v>
      </c>
      <c r="B2524" t="s">
        <v>206</v>
      </c>
      <c r="C2524" s="76">
        <v>44000</v>
      </c>
      <c r="D2524">
        <v>5645</v>
      </c>
      <c r="E2524">
        <v>2491</v>
      </c>
      <c r="F2524">
        <v>8798</v>
      </c>
      <c r="G2524">
        <v>3102</v>
      </c>
      <c r="H2524">
        <v>64.5</v>
      </c>
      <c r="I2524">
        <v>54.9</v>
      </c>
      <c r="J2524">
        <v>74.099999999999994</v>
      </c>
      <c r="K2524">
        <v>600</v>
      </c>
      <c r="L2524">
        <v>238</v>
      </c>
      <c r="M2524">
        <v>961</v>
      </c>
      <c r="N2524">
        <v>6.9</v>
      </c>
      <c r="O2524">
        <v>4.5999999999999996</v>
      </c>
      <c r="P2524">
        <v>9.1</v>
      </c>
      <c r="Q2524">
        <f t="shared" si="76"/>
        <v>2966407</v>
      </c>
      <c r="R2524">
        <f t="shared" si="77"/>
        <v>20.226489487113536</v>
      </c>
      <c r="U2524">
        <v>859</v>
      </c>
      <c r="V2524">
        <v>341</v>
      </c>
      <c r="W2524">
        <v>1376</v>
      </c>
      <c r="X2524">
        <v>413</v>
      </c>
      <c r="Y2524">
        <v>67.5</v>
      </c>
      <c r="Z2524">
        <v>55.8</v>
      </c>
      <c r="AA2524">
        <v>79.3</v>
      </c>
    </row>
    <row r="2525" spans="1:27" x14ac:dyDescent="0.25">
      <c r="A2525" t="s">
        <v>249</v>
      </c>
      <c r="B2525" t="s">
        <v>206</v>
      </c>
      <c r="C2525" s="76">
        <v>44001</v>
      </c>
      <c r="D2525">
        <v>5548</v>
      </c>
      <c r="E2525">
        <v>2134</v>
      </c>
      <c r="F2525">
        <v>8961</v>
      </c>
      <c r="G2525">
        <v>3083</v>
      </c>
      <c r="H2525">
        <v>64.3</v>
      </c>
      <c r="I2525">
        <v>55.5</v>
      </c>
      <c r="J2525">
        <v>73</v>
      </c>
      <c r="K2525">
        <v>644</v>
      </c>
      <c r="L2525">
        <v>175</v>
      </c>
      <c r="M2525">
        <v>1113</v>
      </c>
      <c r="N2525">
        <v>7.5</v>
      </c>
      <c r="O2525">
        <v>4.8</v>
      </c>
      <c r="P2525">
        <v>10.1</v>
      </c>
      <c r="Q2525">
        <f t="shared" si="76"/>
        <v>2966407</v>
      </c>
      <c r="R2525">
        <f t="shared" si="77"/>
        <v>21.709765382835194</v>
      </c>
      <c r="U2525">
        <v>942</v>
      </c>
      <c r="V2525">
        <v>301</v>
      </c>
      <c r="W2525">
        <v>1582</v>
      </c>
      <c r="X2525">
        <v>399</v>
      </c>
      <c r="Y2525">
        <v>70.3</v>
      </c>
      <c r="Z2525">
        <v>59.9</v>
      </c>
      <c r="AA2525">
        <v>80.7</v>
      </c>
    </row>
    <row r="2526" spans="1:27" x14ac:dyDescent="0.25">
      <c r="A2526" t="s">
        <v>249</v>
      </c>
      <c r="B2526" t="s">
        <v>206</v>
      </c>
      <c r="C2526" s="76">
        <v>44002</v>
      </c>
      <c r="D2526">
        <v>4959</v>
      </c>
      <c r="E2526">
        <v>2228</v>
      </c>
      <c r="F2526">
        <v>7691</v>
      </c>
      <c r="G2526">
        <v>3556</v>
      </c>
      <c r="H2526">
        <v>58.2</v>
      </c>
      <c r="I2526">
        <v>49.8</v>
      </c>
      <c r="J2526">
        <v>66.7</v>
      </c>
      <c r="K2526">
        <v>650</v>
      </c>
      <c r="L2526">
        <v>223</v>
      </c>
      <c r="M2526">
        <v>1076</v>
      </c>
      <c r="N2526">
        <v>7.6</v>
      </c>
      <c r="O2526">
        <v>5</v>
      </c>
      <c r="P2526">
        <v>10.199999999999999</v>
      </c>
      <c r="Q2526">
        <f t="shared" si="76"/>
        <v>2966407</v>
      </c>
      <c r="R2526">
        <f t="shared" si="77"/>
        <v>21.912030277706329</v>
      </c>
      <c r="U2526">
        <v>825</v>
      </c>
      <c r="V2526">
        <v>315</v>
      </c>
      <c r="W2526">
        <v>1336</v>
      </c>
      <c r="X2526">
        <v>423</v>
      </c>
      <c r="Y2526">
        <v>66.099999999999994</v>
      </c>
      <c r="Z2526">
        <v>54</v>
      </c>
      <c r="AA2526">
        <v>78.2</v>
      </c>
    </row>
    <row r="2527" spans="1:27" x14ac:dyDescent="0.25">
      <c r="A2527" t="s">
        <v>249</v>
      </c>
      <c r="B2527" t="s">
        <v>206</v>
      </c>
      <c r="C2527" s="76">
        <v>44003</v>
      </c>
      <c r="D2527">
        <v>4851</v>
      </c>
      <c r="E2527">
        <v>2283</v>
      </c>
      <c r="F2527">
        <v>7420</v>
      </c>
      <c r="G2527">
        <v>3938</v>
      </c>
      <c r="H2527">
        <v>55.2</v>
      </c>
      <c r="I2527">
        <v>45.9</v>
      </c>
      <c r="J2527">
        <v>64.5</v>
      </c>
      <c r="K2527">
        <v>635</v>
      </c>
      <c r="L2527">
        <v>282</v>
      </c>
      <c r="M2527">
        <v>987</v>
      </c>
      <c r="N2527">
        <v>7.2</v>
      </c>
      <c r="O2527">
        <v>5.0999999999999996</v>
      </c>
      <c r="P2527">
        <v>9.3000000000000007</v>
      </c>
      <c r="Q2527">
        <f t="shared" si="76"/>
        <v>2966407</v>
      </c>
      <c r="R2527">
        <f t="shared" si="77"/>
        <v>21.406368040528491</v>
      </c>
      <c r="U2527">
        <v>795</v>
      </c>
      <c r="V2527">
        <v>285</v>
      </c>
      <c r="W2527">
        <v>1305</v>
      </c>
      <c r="X2527">
        <v>458</v>
      </c>
      <c r="Y2527">
        <v>63.4</v>
      </c>
      <c r="Z2527">
        <v>49.3</v>
      </c>
      <c r="AA2527">
        <v>77.599999999999994</v>
      </c>
    </row>
    <row r="2528" spans="1:27" x14ac:dyDescent="0.25">
      <c r="A2528" t="s">
        <v>249</v>
      </c>
      <c r="B2528" t="s">
        <v>206</v>
      </c>
      <c r="C2528" s="76">
        <v>44004</v>
      </c>
      <c r="D2528">
        <v>5070</v>
      </c>
      <c r="E2528">
        <v>2256</v>
      </c>
      <c r="F2528">
        <v>7885</v>
      </c>
      <c r="G2528">
        <v>3435</v>
      </c>
      <c r="H2528">
        <v>59.6</v>
      </c>
      <c r="I2528">
        <v>51.1</v>
      </c>
      <c r="J2528">
        <v>68.099999999999994</v>
      </c>
      <c r="K2528">
        <v>678</v>
      </c>
      <c r="L2528">
        <v>271</v>
      </c>
      <c r="M2528">
        <v>1086</v>
      </c>
      <c r="N2528">
        <v>8</v>
      </c>
      <c r="O2528">
        <v>5.3</v>
      </c>
      <c r="P2528">
        <v>10.6</v>
      </c>
      <c r="Q2528">
        <f t="shared" si="76"/>
        <v>2966407</v>
      </c>
      <c r="R2528">
        <f t="shared" si="77"/>
        <v>22.855933120438294</v>
      </c>
      <c r="U2528">
        <v>823</v>
      </c>
      <c r="V2528">
        <v>311</v>
      </c>
      <c r="W2528">
        <v>1336</v>
      </c>
      <c r="X2528">
        <v>479</v>
      </c>
      <c r="Y2528">
        <v>63.2</v>
      </c>
      <c r="Z2528">
        <v>48.6</v>
      </c>
      <c r="AA2528">
        <v>77.8</v>
      </c>
    </row>
    <row r="2529" spans="1:27" x14ac:dyDescent="0.25">
      <c r="A2529" t="s">
        <v>249</v>
      </c>
      <c r="B2529" t="s">
        <v>206</v>
      </c>
      <c r="C2529" s="76">
        <v>44005</v>
      </c>
      <c r="D2529">
        <v>5555</v>
      </c>
      <c r="E2529">
        <v>2241</v>
      </c>
      <c r="F2529">
        <v>8869</v>
      </c>
      <c r="G2529">
        <v>3155</v>
      </c>
      <c r="H2529">
        <v>63.8</v>
      </c>
      <c r="I2529">
        <v>54.9</v>
      </c>
      <c r="J2529">
        <v>72.599999999999994</v>
      </c>
      <c r="K2529">
        <v>632</v>
      </c>
      <c r="L2529">
        <v>264</v>
      </c>
      <c r="M2529">
        <v>1000</v>
      </c>
      <c r="N2529">
        <v>7.3</v>
      </c>
      <c r="O2529">
        <v>5.7</v>
      </c>
      <c r="P2529">
        <v>8.8000000000000007</v>
      </c>
      <c r="Q2529">
        <f t="shared" si="76"/>
        <v>2966407</v>
      </c>
      <c r="R2529">
        <f t="shared" si="77"/>
        <v>21.305235593092924</v>
      </c>
      <c r="U2529">
        <v>817</v>
      </c>
      <c r="V2529">
        <v>313</v>
      </c>
      <c r="W2529">
        <v>1322</v>
      </c>
      <c r="X2529">
        <v>372</v>
      </c>
      <c r="Y2529">
        <v>68.7</v>
      </c>
      <c r="Z2529">
        <v>57.6</v>
      </c>
      <c r="AA2529">
        <v>79.8</v>
      </c>
    </row>
    <row r="2530" spans="1:27" x14ac:dyDescent="0.25">
      <c r="A2530" t="s">
        <v>249</v>
      </c>
      <c r="B2530" t="s">
        <v>206</v>
      </c>
      <c r="C2530" s="76">
        <v>44006</v>
      </c>
      <c r="D2530">
        <v>5707</v>
      </c>
      <c r="E2530">
        <v>226</v>
      </c>
      <c r="F2530">
        <v>11188</v>
      </c>
      <c r="G2530">
        <v>3016</v>
      </c>
      <c r="H2530">
        <v>65.400000000000006</v>
      </c>
      <c r="I2530">
        <v>52.8</v>
      </c>
      <c r="J2530">
        <v>78.099999999999994</v>
      </c>
      <c r="K2530">
        <v>771</v>
      </c>
      <c r="L2530">
        <v>0</v>
      </c>
      <c r="M2530">
        <v>1546</v>
      </c>
      <c r="N2530">
        <v>8.8000000000000007</v>
      </c>
      <c r="O2530">
        <v>6</v>
      </c>
      <c r="P2530">
        <v>11.7</v>
      </c>
      <c r="Q2530">
        <f t="shared" si="76"/>
        <v>2966407</v>
      </c>
      <c r="R2530">
        <f t="shared" si="77"/>
        <v>25.991038990940893</v>
      </c>
      <c r="U2530">
        <v>825</v>
      </c>
      <c r="V2530">
        <v>17</v>
      </c>
      <c r="W2530">
        <v>1633</v>
      </c>
      <c r="X2530">
        <v>364</v>
      </c>
      <c r="Y2530">
        <v>69.400000000000006</v>
      </c>
      <c r="Z2530">
        <v>55.4</v>
      </c>
      <c r="AA2530">
        <v>83.4</v>
      </c>
    </row>
    <row r="2531" spans="1:27" x14ac:dyDescent="0.25">
      <c r="A2531" t="s">
        <v>249</v>
      </c>
      <c r="B2531" t="s">
        <v>206</v>
      </c>
      <c r="C2531" s="76">
        <v>44007</v>
      </c>
      <c r="D2531">
        <v>5683</v>
      </c>
      <c r="E2531">
        <v>2832</v>
      </c>
      <c r="F2531">
        <v>8535</v>
      </c>
      <c r="G2531">
        <v>3373</v>
      </c>
      <c r="H2531">
        <v>62.8</v>
      </c>
      <c r="I2531">
        <v>51.7</v>
      </c>
      <c r="J2531">
        <v>73.8</v>
      </c>
      <c r="K2531">
        <v>783</v>
      </c>
      <c r="L2531">
        <v>306</v>
      </c>
      <c r="M2531">
        <v>1260</v>
      </c>
      <c r="N2531">
        <v>8.6</v>
      </c>
      <c r="O2531">
        <v>5.8</v>
      </c>
      <c r="P2531">
        <v>11.5</v>
      </c>
      <c r="Q2531">
        <f t="shared" si="76"/>
        <v>2966407</v>
      </c>
      <c r="R2531">
        <f t="shared" si="77"/>
        <v>26.395568780683163</v>
      </c>
      <c r="U2531">
        <v>849</v>
      </c>
      <c r="V2531">
        <v>371</v>
      </c>
      <c r="W2531">
        <v>1328</v>
      </c>
      <c r="X2531">
        <v>374</v>
      </c>
      <c r="Y2531">
        <v>69.400000000000006</v>
      </c>
      <c r="Z2531">
        <v>58.3</v>
      </c>
      <c r="AA2531">
        <v>80.599999999999994</v>
      </c>
    </row>
    <row r="2532" spans="1:27" x14ac:dyDescent="0.25">
      <c r="A2532" t="s">
        <v>249</v>
      </c>
      <c r="B2532" t="s">
        <v>206</v>
      </c>
      <c r="C2532" s="76">
        <v>44008</v>
      </c>
      <c r="D2532">
        <v>5614</v>
      </c>
      <c r="E2532">
        <v>2689</v>
      </c>
      <c r="F2532">
        <v>8539</v>
      </c>
      <c r="G2532">
        <v>3074</v>
      </c>
      <c r="H2532">
        <v>64.599999999999994</v>
      </c>
      <c r="I2532">
        <v>56.1</v>
      </c>
      <c r="J2532">
        <v>73.099999999999994</v>
      </c>
      <c r="K2532">
        <v>843</v>
      </c>
      <c r="L2532">
        <v>367</v>
      </c>
      <c r="M2532">
        <v>1319</v>
      </c>
      <c r="N2532">
        <v>9.6999999999999993</v>
      </c>
      <c r="O2532">
        <v>7</v>
      </c>
      <c r="P2532">
        <v>12.4</v>
      </c>
      <c r="Q2532">
        <f t="shared" si="76"/>
        <v>2966407</v>
      </c>
      <c r="R2532">
        <f t="shared" si="77"/>
        <v>28.418217729394517</v>
      </c>
      <c r="U2532">
        <v>904</v>
      </c>
      <c r="V2532">
        <v>376</v>
      </c>
      <c r="W2532">
        <v>1433</v>
      </c>
      <c r="X2532">
        <v>379</v>
      </c>
      <c r="Y2532">
        <v>70.5</v>
      </c>
      <c r="Z2532">
        <v>58.5</v>
      </c>
      <c r="AA2532">
        <v>82.4</v>
      </c>
    </row>
    <row r="2533" spans="1:27" x14ac:dyDescent="0.25">
      <c r="A2533" t="s">
        <v>249</v>
      </c>
      <c r="B2533" t="s">
        <v>206</v>
      </c>
      <c r="C2533" s="76">
        <v>44009</v>
      </c>
      <c r="D2533">
        <v>5215</v>
      </c>
      <c r="E2533">
        <v>2528</v>
      </c>
      <c r="F2533">
        <v>7902</v>
      </c>
      <c r="G2533">
        <v>3622</v>
      </c>
      <c r="H2533">
        <v>59</v>
      </c>
      <c r="I2533">
        <v>50.5</v>
      </c>
      <c r="J2533">
        <v>67.5</v>
      </c>
      <c r="K2533">
        <v>711</v>
      </c>
      <c r="L2533">
        <v>315</v>
      </c>
      <c r="M2533">
        <v>1107</v>
      </c>
      <c r="N2533">
        <v>8</v>
      </c>
      <c r="O2533">
        <v>5.7</v>
      </c>
      <c r="P2533">
        <v>10.4</v>
      </c>
      <c r="Q2533">
        <f t="shared" si="76"/>
        <v>2966407</v>
      </c>
      <c r="R2533">
        <f t="shared" si="77"/>
        <v>23.96839004222954</v>
      </c>
      <c r="U2533">
        <v>877</v>
      </c>
      <c r="V2533">
        <v>365</v>
      </c>
      <c r="W2533">
        <v>1388</v>
      </c>
      <c r="X2533">
        <v>432</v>
      </c>
      <c r="Y2533">
        <v>67</v>
      </c>
      <c r="Z2533">
        <v>54.5</v>
      </c>
      <c r="AA2533">
        <v>79.400000000000006</v>
      </c>
    </row>
    <row r="2534" spans="1:27" x14ac:dyDescent="0.25">
      <c r="A2534" t="s">
        <v>249</v>
      </c>
      <c r="B2534" t="s">
        <v>206</v>
      </c>
      <c r="C2534" s="76">
        <v>44010</v>
      </c>
      <c r="D2534">
        <v>5055</v>
      </c>
      <c r="E2534">
        <v>2170</v>
      </c>
      <c r="F2534">
        <v>7940</v>
      </c>
      <c r="G2534">
        <v>3657</v>
      </c>
      <c r="H2534">
        <v>58</v>
      </c>
      <c r="I2534">
        <v>48.8</v>
      </c>
      <c r="J2534">
        <v>67.3</v>
      </c>
      <c r="K2534">
        <v>815</v>
      </c>
      <c r="L2534">
        <v>301</v>
      </c>
      <c r="M2534">
        <v>1329</v>
      </c>
      <c r="N2534">
        <v>9.3000000000000007</v>
      </c>
      <c r="O2534">
        <v>6.3</v>
      </c>
      <c r="P2534">
        <v>12.4</v>
      </c>
      <c r="Q2534">
        <f t="shared" si="76"/>
        <v>2966407</v>
      </c>
      <c r="R2534">
        <f t="shared" si="77"/>
        <v>27.474314886662551</v>
      </c>
      <c r="U2534">
        <v>846</v>
      </c>
      <c r="V2534">
        <v>296</v>
      </c>
      <c r="W2534">
        <v>1396</v>
      </c>
      <c r="X2534">
        <v>434</v>
      </c>
      <c r="Y2534">
        <v>66.099999999999994</v>
      </c>
      <c r="Z2534">
        <v>54.7</v>
      </c>
      <c r="AA2534">
        <v>77.5</v>
      </c>
    </row>
    <row r="2535" spans="1:27" x14ac:dyDescent="0.25">
      <c r="A2535" t="s">
        <v>249</v>
      </c>
      <c r="B2535" t="s">
        <v>206</v>
      </c>
      <c r="C2535" s="76">
        <v>44011</v>
      </c>
      <c r="D2535">
        <v>4859</v>
      </c>
      <c r="E2535">
        <v>1971</v>
      </c>
      <c r="F2535">
        <v>7746</v>
      </c>
      <c r="G2535">
        <v>3481</v>
      </c>
      <c r="H2535">
        <v>58.3</v>
      </c>
      <c r="I2535">
        <v>49.9</v>
      </c>
      <c r="J2535">
        <v>66.599999999999994</v>
      </c>
      <c r="K2535">
        <v>774</v>
      </c>
      <c r="L2535">
        <v>253</v>
      </c>
      <c r="M2535">
        <v>1294</v>
      </c>
      <c r="N2535">
        <v>9.3000000000000007</v>
      </c>
      <c r="O2535">
        <v>6.4</v>
      </c>
      <c r="P2535">
        <v>12.2</v>
      </c>
      <c r="Q2535">
        <f t="shared" ref="Q2535:Q2598" si="78">VLOOKUP(B2535,$AE$4:$AF$55,2,FALSE)</f>
        <v>2966407</v>
      </c>
      <c r="R2535">
        <f t="shared" si="77"/>
        <v>26.092171438376461</v>
      </c>
      <c r="U2535">
        <v>821</v>
      </c>
      <c r="V2535">
        <v>257</v>
      </c>
      <c r="W2535">
        <v>1385</v>
      </c>
      <c r="X2535">
        <v>392</v>
      </c>
      <c r="Y2535">
        <v>67.7</v>
      </c>
      <c r="Z2535">
        <v>56.3</v>
      </c>
      <c r="AA2535">
        <v>79</v>
      </c>
    </row>
    <row r="2536" spans="1:27" x14ac:dyDescent="0.25">
      <c r="A2536" t="s">
        <v>249</v>
      </c>
      <c r="B2536" t="s">
        <v>206</v>
      </c>
      <c r="C2536" s="76">
        <v>44012</v>
      </c>
      <c r="D2536">
        <v>5217</v>
      </c>
      <c r="E2536">
        <v>2095</v>
      </c>
      <c r="F2536">
        <v>8339</v>
      </c>
      <c r="G2536">
        <v>3213</v>
      </c>
      <c r="H2536">
        <v>61.9</v>
      </c>
      <c r="I2536">
        <v>53.1</v>
      </c>
      <c r="J2536">
        <v>70.599999999999994</v>
      </c>
      <c r="K2536">
        <v>788</v>
      </c>
      <c r="L2536">
        <v>233</v>
      </c>
      <c r="M2536">
        <v>1343</v>
      </c>
      <c r="N2536">
        <v>9.3000000000000007</v>
      </c>
      <c r="O2536">
        <v>6.2</v>
      </c>
      <c r="P2536">
        <v>12.5</v>
      </c>
      <c r="Q2536">
        <f t="shared" si="78"/>
        <v>2966407</v>
      </c>
      <c r="R2536">
        <f t="shared" si="77"/>
        <v>26.56412285974244</v>
      </c>
      <c r="U2536">
        <v>853</v>
      </c>
      <c r="V2536">
        <v>270</v>
      </c>
      <c r="W2536">
        <v>1435</v>
      </c>
      <c r="X2536">
        <v>319</v>
      </c>
      <c r="Y2536">
        <v>72.8</v>
      </c>
      <c r="Z2536">
        <v>62.9</v>
      </c>
      <c r="AA2536">
        <v>82.7</v>
      </c>
    </row>
    <row r="2537" spans="1:27" x14ac:dyDescent="0.25">
      <c r="A2537" t="s">
        <v>249</v>
      </c>
      <c r="B2537" t="s">
        <v>206</v>
      </c>
      <c r="C2537" s="76">
        <v>44013</v>
      </c>
      <c r="D2537">
        <v>5564</v>
      </c>
      <c r="E2537">
        <v>2353</v>
      </c>
      <c r="F2537">
        <v>8774</v>
      </c>
      <c r="G2537">
        <v>3089</v>
      </c>
      <c r="H2537">
        <v>64.3</v>
      </c>
      <c r="I2537">
        <v>55.8</v>
      </c>
      <c r="J2537">
        <v>72.8</v>
      </c>
      <c r="K2537">
        <v>755</v>
      </c>
      <c r="L2537">
        <v>214</v>
      </c>
      <c r="M2537">
        <v>1296</v>
      </c>
      <c r="N2537">
        <v>8.6999999999999993</v>
      </c>
      <c r="O2537">
        <v>5.5</v>
      </c>
      <c r="P2537">
        <v>12</v>
      </c>
      <c r="Q2537">
        <f t="shared" si="78"/>
        <v>2966407</v>
      </c>
      <c r="R2537">
        <f t="shared" si="77"/>
        <v>25.451665937951198</v>
      </c>
      <c r="U2537">
        <v>841</v>
      </c>
      <c r="V2537">
        <v>263</v>
      </c>
      <c r="W2537">
        <v>1420</v>
      </c>
      <c r="X2537">
        <v>375</v>
      </c>
      <c r="Y2537">
        <v>69.2</v>
      </c>
      <c r="Z2537">
        <v>58.2</v>
      </c>
      <c r="AA2537">
        <v>80.2</v>
      </c>
    </row>
    <row r="2538" spans="1:27" x14ac:dyDescent="0.25">
      <c r="A2538" t="s">
        <v>249</v>
      </c>
      <c r="B2538" t="s">
        <v>206</v>
      </c>
      <c r="C2538" s="76">
        <v>44014</v>
      </c>
      <c r="D2538">
        <v>5467</v>
      </c>
      <c r="E2538">
        <v>2333</v>
      </c>
      <c r="F2538">
        <v>8601</v>
      </c>
      <c r="G2538">
        <v>3200</v>
      </c>
      <c r="H2538">
        <v>63.1</v>
      </c>
      <c r="I2538">
        <v>54.4</v>
      </c>
      <c r="J2538">
        <v>71.8</v>
      </c>
      <c r="K2538">
        <v>845</v>
      </c>
      <c r="L2538">
        <v>249</v>
      </c>
      <c r="M2538">
        <v>1442</v>
      </c>
      <c r="N2538">
        <v>9.8000000000000007</v>
      </c>
      <c r="O2538">
        <v>5.8</v>
      </c>
      <c r="P2538">
        <v>13.7</v>
      </c>
      <c r="Q2538">
        <f t="shared" si="78"/>
        <v>2966407</v>
      </c>
      <c r="R2538">
        <f t="shared" si="77"/>
        <v>28.485639361018226</v>
      </c>
      <c r="U2538">
        <v>868</v>
      </c>
      <c r="V2538">
        <v>276</v>
      </c>
      <c r="W2538">
        <v>1460</v>
      </c>
      <c r="X2538">
        <v>353</v>
      </c>
      <c r="Y2538">
        <v>71.099999999999994</v>
      </c>
      <c r="Z2538">
        <v>59.1</v>
      </c>
      <c r="AA2538">
        <v>83.1</v>
      </c>
    </row>
    <row r="2539" spans="1:27" x14ac:dyDescent="0.25">
      <c r="A2539" t="s">
        <v>249</v>
      </c>
      <c r="B2539" t="s">
        <v>206</v>
      </c>
      <c r="C2539" s="76">
        <v>44015</v>
      </c>
      <c r="D2539">
        <v>5043</v>
      </c>
      <c r="E2539">
        <v>2187</v>
      </c>
      <c r="F2539">
        <v>7900</v>
      </c>
      <c r="G2539">
        <v>3831</v>
      </c>
      <c r="H2539">
        <v>56.8</v>
      </c>
      <c r="I2539">
        <v>47.5</v>
      </c>
      <c r="J2539">
        <v>66.2</v>
      </c>
      <c r="K2539">
        <v>724</v>
      </c>
      <c r="L2539">
        <v>343</v>
      </c>
      <c r="M2539">
        <v>1105</v>
      </c>
      <c r="N2539">
        <v>8.1999999999999993</v>
      </c>
      <c r="O2539">
        <v>6.7</v>
      </c>
      <c r="P2539">
        <v>9.6</v>
      </c>
      <c r="Q2539">
        <f t="shared" si="78"/>
        <v>2966407</v>
      </c>
      <c r="R2539">
        <f t="shared" si="77"/>
        <v>24.406630647783665</v>
      </c>
      <c r="U2539">
        <v>752</v>
      </c>
      <c r="V2539">
        <v>310</v>
      </c>
      <c r="W2539">
        <v>1194</v>
      </c>
      <c r="X2539">
        <v>353</v>
      </c>
      <c r="Y2539">
        <v>68.099999999999994</v>
      </c>
      <c r="Z2539">
        <v>57.3</v>
      </c>
      <c r="AA2539">
        <v>78.900000000000006</v>
      </c>
    </row>
    <row r="2540" spans="1:27" x14ac:dyDescent="0.25">
      <c r="A2540" t="s">
        <v>249</v>
      </c>
      <c r="B2540" t="s">
        <v>206</v>
      </c>
      <c r="C2540" s="76">
        <v>44016</v>
      </c>
      <c r="D2540">
        <v>4770</v>
      </c>
      <c r="E2540">
        <v>2016</v>
      </c>
      <c r="F2540">
        <v>7525</v>
      </c>
      <c r="G2540">
        <v>4084</v>
      </c>
      <c r="H2540">
        <v>53.9</v>
      </c>
      <c r="I2540">
        <v>44.9</v>
      </c>
      <c r="J2540">
        <v>62.8</v>
      </c>
      <c r="K2540">
        <v>697</v>
      </c>
      <c r="L2540">
        <v>305</v>
      </c>
      <c r="M2540">
        <v>1088</v>
      </c>
      <c r="N2540">
        <v>7.9</v>
      </c>
      <c r="O2540">
        <v>6.2</v>
      </c>
      <c r="P2540">
        <v>9.5</v>
      </c>
      <c r="Q2540">
        <f t="shared" si="78"/>
        <v>2966407</v>
      </c>
      <c r="R2540">
        <f t="shared" si="77"/>
        <v>23.496438620863557</v>
      </c>
      <c r="U2540">
        <v>733</v>
      </c>
      <c r="V2540">
        <v>300</v>
      </c>
      <c r="W2540">
        <v>1167</v>
      </c>
      <c r="X2540">
        <v>402</v>
      </c>
      <c r="Y2540">
        <v>64.599999999999994</v>
      </c>
      <c r="Z2540">
        <v>52.2</v>
      </c>
      <c r="AA2540">
        <v>76.900000000000006</v>
      </c>
    </row>
    <row r="2541" spans="1:27" x14ac:dyDescent="0.25">
      <c r="A2541" t="s">
        <v>249</v>
      </c>
      <c r="B2541" t="s">
        <v>206</v>
      </c>
      <c r="C2541" s="76">
        <v>44017</v>
      </c>
      <c r="D2541">
        <v>4917</v>
      </c>
      <c r="E2541">
        <v>2078</v>
      </c>
      <c r="F2541">
        <v>7755</v>
      </c>
      <c r="G2541">
        <v>4028</v>
      </c>
      <c r="H2541">
        <v>55</v>
      </c>
      <c r="I2541">
        <v>45.9</v>
      </c>
      <c r="J2541">
        <v>64.099999999999994</v>
      </c>
      <c r="K2541">
        <v>764</v>
      </c>
      <c r="L2541">
        <v>324</v>
      </c>
      <c r="M2541">
        <v>1203</v>
      </c>
      <c r="N2541">
        <v>8.5</v>
      </c>
      <c r="O2541">
        <v>6.7</v>
      </c>
      <c r="P2541">
        <v>10.3</v>
      </c>
      <c r="Q2541">
        <f t="shared" si="78"/>
        <v>2966407</v>
      </c>
      <c r="R2541">
        <f t="shared" si="77"/>
        <v>25.7550632802579</v>
      </c>
      <c r="U2541">
        <v>713</v>
      </c>
      <c r="V2541">
        <v>270</v>
      </c>
      <c r="W2541">
        <v>1157</v>
      </c>
      <c r="X2541">
        <v>399</v>
      </c>
      <c r="Y2541">
        <v>64.099999999999994</v>
      </c>
      <c r="Z2541">
        <v>51</v>
      </c>
      <c r="AA2541">
        <v>77.3</v>
      </c>
    </row>
    <row r="2542" spans="1:27" x14ac:dyDescent="0.25">
      <c r="A2542" t="s">
        <v>249</v>
      </c>
      <c r="B2542" t="s">
        <v>206</v>
      </c>
      <c r="C2542" s="76">
        <v>44018</v>
      </c>
      <c r="D2542">
        <v>4971</v>
      </c>
      <c r="E2542">
        <v>2200</v>
      </c>
      <c r="F2542">
        <v>7742</v>
      </c>
      <c r="G2542">
        <v>3863</v>
      </c>
      <c r="H2542">
        <v>56.3</v>
      </c>
      <c r="I2542">
        <v>48.1</v>
      </c>
      <c r="J2542">
        <v>64.5</v>
      </c>
      <c r="K2542">
        <v>787</v>
      </c>
      <c r="L2542">
        <v>331</v>
      </c>
      <c r="M2542">
        <v>1244</v>
      </c>
      <c r="N2542">
        <v>8.9</v>
      </c>
      <c r="O2542">
        <v>7.1</v>
      </c>
      <c r="P2542">
        <v>10.7</v>
      </c>
      <c r="Q2542">
        <f t="shared" si="78"/>
        <v>2966407</v>
      </c>
      <c r="R2542">
        <f t="shared" si="77"/>
        <v>26.530412043930589</v>
      </c>
      <c r="U2542">
        <v>711</v>
      </c>
      <c r="V2542">
        <v>280</v>
      </c>
      <c r="W2542">
        <v>1142</v>
      </c>
      <c r="X2542">
        <v>427</v>
      </c>
      <c r="Y2542">
        <v>62.5</v>
      </c>
      <c r="Z2542">
        <v>49.6</v>
      </c>
      <c r="AA2542">
        <v>75.400000000000006</v>
      </c>
    </row>
    <row r="2543" spans="1:27" x14ac:dyDescent="0.25">
      <c r="A2543" t="s">
        <v>249</v>
      </c>
      <c r="B2543" t="s">
        <v>206</v>
      </c>
      <c r="C2543" s="76">
        <v>44019</v>
      </c>
      <c r="D2543">
        <v>5346</v>
      </c>
      <c r="E2543">
        <v>2335</v>
      </c>
      <c r="F2543">
        <v>8357</v>
      </c>
      <c r="G2543">
        <v>3583</v>
      </c>
      <c r="H2543">
        <v>59.9</v>
      </c>
      <c r="I2543">
        <v>50.2</v>
      </c>
      <c r="J2543">
        <v>69.599999999999994</v>
      </c>
      <c r="K2543">
        <v>800</v>
      </c>
      <c r="L2543">
        <v>338</v>
      </c>
      <c r="M2543">
        <v>1263</v>
      </c>
      <c r="N2543">
        <v>9</v>
      </c>
      <c r="O2543">
        <v>7.1</v>
      </c>
      <c r="P2543">
        <v>10.9</v>
      </c>
      <c r="Q2543">
        <f t="shared" si="78"/>
        <v>2966407</v>
      </c>
      <c r="R2543">
        <f t="shared" si="77"/>
        <v>26.96865264948471</v>
      </c>
      <c r="U2543">
        <v>727</v>
      </c>
      <c r="V2543">
        <v>278</v>
      </c>
      <c r="W2543">
        <v>1177</v>
      </c>
      <c r="X2543">
        <v>382</v>
      </c>
      <c r="Y2543">
        <v>65.599999999999994</v>
      </c>
      <c r="Z2543">
        <v>51.5</v>
      </c>
      <c r="AA2543">
        <v>79.599999999999994</v>
      </c>
    </row>
    <row r="2544" spans="1:27" x14ac:dyDescent="0.25">
      <c r="A2544" t="s">
        <v>250</v>
      </c>
      <c r="B2544" t="s">
        <v>215</v>
      </c>
      <c r="C2544" s="76">
        <v>43922</v>
      </c>
      <c r="D2544">
        <v>1105</v>
      </c>
      <c r="E2544">
        <v>133</v>
      </c>
      <c r="F2544">
        <v>2078</v>
      </c>
      <c r="G2544">
        <v>1358</v>
      </c>
      <c r="H2544">
        <v>44.9</v>
      </c>
      <c r="I2544">
        <v>33.5</v>
      </c>
      <c r="J2544">
        <v>56.2</v>
      </c>
      <c r="K2544">
        <v>97</v>
      </c>
      <c r="L2544">
        <v>0</v>
      </c>
      <c r="M2544">
        <v>213</v>
      </c>
      <c r="N2544">
        <v>3.9</v>
      </c>
      <c r="O2544">
        <v>1.4</v>
      </c>
      <c r="P2544">
        <v>6.5</v>
      </c>
      <c r="Q2544">
        <f t="shared" si="78"/>
        <v>1085004</v>
      </c>
      <c r="R2544">
        <f t="shared" si="77"/>
        <v>8.9400592071549969</v>
      </c>
      <c r="U2544">
        <v>94</v>
      </c>
      <c r="V2544">
        <v>0</v>
      </c>
      <c r="W2544">
        <v>193</v>
      </c>
      <c r="X2544">
        <v>95</v>
      </c>
      <c r="Y2544">
        <v>49.8</v>
      </c>
      <c r="Z2544">
        <v>29</v>
      </c>
      <c r="AA2544">
        <v>70.599999999999994</v>
      </c>
    </row>
    <row r="2545" spans="1:27" x14ac:dyDescent="0.25">
      <c r="A2545" t="s">
        <v>250</v>
      </c>
      <c r="B2545" t="s">
        <v>215</v>
      </c>
      <c r="C2545" s="76">
        <v>43923</v>
      </c>
      <c r="D2545">
        <v>1146</v>
      </c>
      <c r="E2545">
        <v>150</v>
      </c>
      <c r="F2545">
        <v>2142</v>
      </c>
      <c r="G2545">
        <v>1369</v>
      </c>
      <c r="H2545">
        <v>45.6</v>
      </c>
      <c r="I2545">
        <v>33.200000000000003</v>
      </c>
      <c r="J2545">
        <v>57.9</v>
      </c>
      <c r="K2545">
        <v>134</v>
      </c>
      <c r="L2545">
        <v>0</v>
      </c>
      <c r="M2545">
        <v>301</v>
      </c>
      <c r="N2545">
        <v>5.3</v>
      </c>
      <c r="O2545">
        <v>1.7</v>
      </c>
      <c r="P2545">
        <v>9</v>
      </c>
      <c r="Q2545">
        <f t="shared" si="78"/>
        <v>1085004</v>
      </c>
      <c r="R2545">
        <f t="shared" si="77"/>
        <v>12.350184884111025</v>
      </c>
      <c r="U2545">
        <v>103</v>
      </c>
      <c r="V2545">
        <v>0</v>
      </c>
      <c r="W2545">
        <v>225</v>
      </c>
      <c r="X2545">
        <v>104</v>
      </c>
      <c r="Y2545">
        <v>49.8</v>
      </c>
      <c r="Z2545">
        <v>17.2</v>
      </c>
      <c r="AA2545">
        <v>82.5</v>
      </c>
    </row>
    <row r="2546" spans="1:27" x14ac:dyDescent="0.25">
      <c r="A2546" t="s">
        <v>250</v>
      </c>
      <c r="B2546" t="s">
        <v>215</v>
      </c>
      <c r="C2546" s="76">
        <v>43924</v>
      </c>
      <c r="D2546">
        <v>1145</v>
      </c>
      <c r="E2546">
        <v>176</v>
      </c>
      <c r="F2546">
        <v>2114</v>
      </c>
      <c r="G2546">
        <v>1399</v>
      </c>
      <c r="H2546">
        <v>45</v>
      </c>
      <c r="I2546">
        <v>34</v>
      </c>
      <c r="J2546">
        <v>56</v>
      </c>
      <c r="K2546">
        <v>112</v>
      </c>
      <c r="L2546">
        <v>0</v>
      </c>
      <c r="M2546">
        <v>258</v>
      </c>
      <c r="N2546">
        <v>4.4000000000000004</v>
      </c>
      <c r="O2546">
        <v>1.1000000000000001</v>
      </c>
      <c r="P2546">
        <v>7.7</v>
      </c>
      <c r="Q2546">
        <f t="shared" si="78"/>
        <v>1085004</v>
      </c>
      <c r="R2546">
        <f t="shared" si="77"/>
        <v>10.322542589704739</v>
      </c>
      <c r="U2546">
        <v>94</v>
      </c>
      <c r="V2546">
        <v>0</v>
      </c>
      <c r="W2546">
        <v>212</v>
      </c>
      <c r="X2546">
        <v>88</v>
      </c>
      <c r="Y2546">
        <v>51.7</v>
      </c>
      <c r="Z2546">
        <v>18.399999999999999</v>
      </c>
      <c r="AA2546">
        <v>85</v>
      </c>
    </row>
    <row r="2547" spans="1:27" x14ac:dyDescent="0.25">
      <c r="A2547" t="s">
        <v>250</v>
      </c>
      <c r="B2547" t="s">
        <v>215</v>
      </c>
      <c r="C2547" s="76">
        <v>43925</v>
      </c>
      <c r="D2547">
        <v>1095</v>
      </c>
      <c r="E2547">
        <v>152</v>
      </c>
      <c r="F2547">
        <v>2038</v>
      </c>
      <c r="G2547">
        <v>1409</v>
      </c>
      <c r="H2547">
        <v>43.7</v>
      </c>
      <c r="I2547">
        <v>32.799999999999997</v>
      </c>
      <c r="J2547">
        <v>54.7</v>
      </c>
      <c r="K2547">
        <v>112</v>
      </c>
      <c r="L2547">
        <v>0</v>
      </c>
      <c r="M2547">
        <v>241</v>
      </c>
      <c r="N2547">
        <v>4.4000000000000004</v>
      </c>
      <c r="O2547">
        <v>1.7</v>
      </c>
      <c r="P2547">
        <v>7.2</v>
      </c>
      <c r="Q2547">
        <f t="shared" si="78"/>
        <v>1085004</v>
      </c>
      <c r="R2547">
        <f t="shared" si="77"/>
        <v>10.322542589704739</v>
      </c>
      <c r="U2547">
        <v>86</v>
      </c>
      <c r="V2547">
        <v>0</v>
      </c>
      <c r="W2547">
        <v>207</v>
      </c>
      <c r="X2547">
        <v>80</v>
      </c>
      <c r="Y2547">
        <v>51.8</v>
      </c>
      <c r="Z2547">
        <v>12.9</v>
      </c>
      <c r="AA2547">
        <v>90.7</v>
      </c>
    </row>
    <row r="2548" spans="1:27" x14ac:dyDescent="0.25">
      <c r="A2548" t="s">
        <v>250</v>
      </c>
      <c r="B2548" t="s">
        <v>215</v>
      </c>
      <c r="C2548" s="76">
        <v>43926</v>
      </c>
      <c r="D2548">
        <v>1088</v>
      </c>
      <c r="E2548">
        <v>107</v>
      </c>
      <c r="F2548">
        <v>2070</v>
      </c>
      <c r="G2548">
        <v>1416</v>
      </c>
      <c r="H2548">
        <v>43.5</v>
      </c>
      <c r="I2548">
        <v>30.7</v>
      </c>
      <c r="J2548">
        <v>56.2</v>
      </c>
      <c r="K2548">
        <v>92</v>
      </c>
      <c r="L2548">
        <v>0</v>
      </c>
      <c r="M2548">
        <v>192</v>
      </c>
      <c r="N2548">
        <v>3.6</v>
      </c>
      <c r="O2548">
        <v>1.3</v>
      </c>
      <c r="P2548">
        <v>5.9</v>
      </c>
      <c r="Q2548">
        <f t="shared" si="78"/>
        <v>1085004</v>
      </c>
      <c r="R2548">
        <f t="shared" si="77"/>
        <v>8.4792314129717496</v>
      </c>
      <c r="U2548">
        <v>91</v>
      </c>
      <c r="V2548">
        <v>0</v>
      </c>
      <c r="W2548">
        <v>229</v>
      </c>
      <c r="X2548">
        <v>75</v>
      </c>
      <c r="Y2548">
        <v>54.8</v>
      </c>
      <c r="Z2548">
        <v>0</v>
      </c>
      <c r="AA2548">
        <v>100</v>
      </c>
    </row>
    <row r="2549" spans="1:27" x14ac:dyDescent="0.25">
      <c r="A2549" t="s">
        <v>250</v>
      </c>
      <c r="B2549" t="s">
        <v>215</v>
      </c>
      <c r="C2549" s="76">
        <v>43927</v>
      </c>
      <c r="D2549">
        <v>1131</v>
      </c>
      <c r="E2549">
        <v>163</v>
      </c>
      <c r="F2549">
        <v>2100</v>
      </c>
      <c r="G2549">
        <v>1372</v>
      </c>
      <c r="H2549">
        <v>45.2</v>
      </c>
      <c r="I2549">
        <v>34.799999999999997</v>
      </c>
      <c r="J2549">
        <v>55.5</v>
      </c>
      <c r="K2549">
        <v>84</v>
      </c>
      <c r="L2549">
        <v>0</v>
      </c>
      <c r="M2549">
        <v>175</v>
      </c>
      <c r="N2549">
        <v>3.4</v>
      </c>
      <c r="O2549">
        <v>1.4</v>
      </c>
      <c r="P2549">
        <v>5.3</v>
      </c>
      <c r="Q2549">
        <f t="shared" si="78"/>
        <v>1085004</v>
      </c>
      <c r="R2549">
        <f t="shared" si="77"/>
        <v>7.741906942278554</v>
      </c>
      <c r="U2549">
        <v>83</v>
      </c>
      <c r="V2549">
        <v>0</v>
      </c>
      <c r="W2549">
        <v>187</v>
      </c>
      <c r="X2549">
        <v>82</v>
      </c>
      <c r="Y2549">
        <v>50.1</v>
      </c>
      <c r="Z2549">
        <v>19.600000000000001</v>
      </c>
      <c r="AA2549">
        <v>80.599999999999994</v>
      </c>
    </row>
    <row r="2550" spans="1:27" x14ac:dyDescent="0.25">
      <c r="A2550" t="s">
        <v>250</v>
      </c>
      <c r="B2550" t="s">
        <v>215</v>
      </c>
      <c r="C2550" s="76">
        <v>43928</v>
      </c>
      <c r="D2550">
        <v>1147</v>
      </c>
      <c r="E2550">
        <v>168</v>
      </c>
      <c r="F2550">
        <v>2126</v>
      </c>
      <c r="G2550">
        <v>1357</v>
      </c>
      <c r="H2550">
        <v>45.8</v>
      </c>
      <c r="I2550">
        <v>34.299999999999997</v>
      </c>
      <c r="J2550">
        <v>57.3</v>
      </c>
      <c r="K2550">
        <v>93</v>
      </c>
      <c r="L2550">
        <v>0</v>
      </c>
      <c r="M2550">
        <v>216</v>
      </c>
      <c r="N2550">
        <v>3.7</v>
      </c>
      <c r="O2550">
        <v>1</v>
      </c>
      <c r="P2550">
        <v>6.4</v>
      </c>
      <c r="Q2550">
        <f t="shared" si="78"/>
        <v>1085004</v>
      </c>
      <c r="R2550">
        <f t="shared" si="77"/>
        <v>8.5713969718083991</v>
      </c>
      <c r="U2550">
        <v>91</v>
      </c>
      <c r="V2550">
        <v>0</v>
      </c>
      <c r="W2550">
        <v>203</v>
      </c>
      <c r="X2550">
        <v>74</v>
      </c>
      <c r="Y2550">
        <v>55.3</v>
      </c>
      <c r="Z2550">
        <v>16.7</v>
      </c>
      <c r="AA2550">
        <v>93.9</v>
      </c>
    </row>
    <row r="2551" spans="1:27" x14ac:dyDescent="0.25">
      <c r="A2551" t="s">
        <v>250</v>
      </c>
      <c r="B2551" t="s">
        <v>215</v>
      </c>
      <c r="C2551" s="76">
        <v>43929</v>
      </c>
      <c r="D2551">
        <v>1121</v>
      </c>
      <c r="E2551">
        <v>197</v>
      </c>
      <c r="F2551">
        <v>2046</v>
      </c>
      <c r="G2551">
        <v>1383</v>
      </c>
      <c r="H2551">
        <v>44.8</v>
      </c>
      <c r="I2551">
        <v>35.6</v>
      </c>
      <c r="J2551">
        <v>54</v>
      </c>
      <c r="K2551">
        <v>98</v>
      </c>
      <c r="L2551">
        <v>0</v>
      </c>
      <c r="M2551">
        <v>227</v>
      </c>
      <c r="N2551">
        <v>3.9</v>
      </c>
      <c r="O2551">
        <v>1.1000000000000001</v>
      </c>
      <c r="P2551">
        <v>6.8</v>
      </c>
      <c r="Q2551">
        <f t="shared" si="78"/>
        <v>1085004</v>
      </c>
      <c r="R2551">
        <f t="shared" si="77"/>
        <v>9.0322247659916464</v>
      </c>
      <c r="U2551">
        <v>87</v>
      </c>
      <c r="V2551">
        <v>0</v>
      </c>
      <c r="W2551">
        <v>186</v>
      </c>
      <c r="X2551">
        <v>78</v>
      </c>
      <c r="Y2551">
        <v>52.6</v>
      </c>
      <c r="Z2551">
        <v>28</v>
      </c>
      <c r="AA2551">
        <v>77.2</v>
      </c>
    </row>
    <row r="2552" spans="1:27" x14ac:dyDescent="0.25">
      <c r="A2552" t="s">
        <v>250</v>
      </c>
      <c r="B2552" t="s">
        <v>215</v>
      </c>
      <c r="C2552" s="76">
        <v>43930</v>
      </c>
      <c r="D2552">
        <v>1107</v>
      </c>
      <c r="E2552">
        <v>170</v>
      </c>
      <c r="F2552">
        <v>2045</v>
      </c>
      <c r="G2552">
        <v>1397</v>
      </c>
      <c r="H2552">
        <v>44.2</v>
      </c>
      <c r="I2552">
        <v>34.4</v>
      </c>
      <c r="J2552">
        <v>54</v>
      </c>
      <c r="K2552">
        <v>78</v>
      </c>
      <c r="L2552">
        <v>0</v>
      </c>
      <c r="M2552">
        <v>190</v>
      </c>
      <c r="N2552">
        <v>3.1</v>
      </c>
      <c r="O2552">
        <v>0.4</v>
      </c>
      <c r="P2552">
        <v>5.9</v>
      </c>
      <c r="Q2552">
        <f t="shared" si="78"/>
        <v>1085004</v>
      </c>
      <c r="R2552">
        <f t="shared" si="77"/>
        <v>7.1889135892586573</v>
      </c>
      <c r="U2552">
        <v>87</v>
      </c>
      <c r="V2552">
        <v>0</v>
      </c>
      <c r="W2552">
        <v>188</v>
      </c>
      <c r="X2552">
        <v>78</v>
      </c>
      <c r="Y2552">
        <v>52.6</v>
      </c>
      <c r="Z2552">
        <v>26.3</v>
      </c>
      <c r="AA2552">
        <v>78.900000000000006</v>
      </c>
    </row>
    <row r="2553" spans="1:27" x14ac:dyDescent="0.25">
      <c r="A2553" t="s">
        <v>250</v>
      </c>
      <c r="B2553" t="s">
        <v>215</v>
      </c>
      <c r="C2553" s="76">
        <v>43931</v>
      </c>
      <c r="D2553">
        <v>1147</v>
      </c>
      <c r="E2553">
        <v>154</v>
      </c>
      <c r="F2553">
        <v>2139</v>
      </c>
      <c r="G2553">
        <v>1357</v>
      </c>
      <c r="H2553">
        <v>45.8</v>
      </c>
      <c r="I2553">
        <v>34.9</v>
      </c>
      <c r="J2553">
        <v>56.7</v>
      </c>
      <c r="K2553">
        <v>75</v>
      </c>
      <c r="L2553">
        <v>0</v>
      </c>
      <c r="M2553">
        <v>177</v>
      </c>
      <c r="N2553">
        <v>3</v>
      </c>
      <c r="O2553">
        <v>0.5</v>
      </c>
      <c r="P2553">
        <v>5.5</v>
      </c>
      <c r="Q2553">
        <f t="shared" si="78"/>
        <v>1085004</v>
      </c>
      <c r="R2553">
        <f t="shared" si="77"/>
        <v>6.912416912748709</v>
      </c>
      <c r="U2553">
        <v>77</v>
      </c>
      <c r="V2553">
        <v>0</v>
      </c>
      <c r="W2553">
        <v>165</v>
      </c>
      <c r="X2553">
        <v>89</v>
      </c>
      <c r="Y2553">
        <v>46.4</v>
      </c>
      <c r="Z2553">
        <v>23.9</v>
      </c>
      <c r="AA2553">
        <v>68.8</v>
      </c>
    </row>
    <row r="2554" spans="1:27" x14ac:dyDescent="0.25">
      <c r="A2554" t="s">
        <v>250</v>
      </c>
      <c r="B2554" t="s">
        <v>215</v>
      </c>
      <c r="C2554" s="76">
        <v>43932</v>
      </c>
      <c r="D2554">
        <v>1120</v>
      </c>
      <c r="E2554">
        <v>106</v>
      </c>
      <c r="F2554">
        <v>2134</v>
      </c>
      <c r="G2554">
        <v>1384</v>
      </c>
      <c r="H2554">
        <v>44.7</v>
      </c>
      <c r="I2554">
        <v>31.8</v>
      </c>
      <c r="J2554">
        <v>57.6</v>
      </c>
      <c r="K2554">
        <v>116</v>
      </c>
      <c r="L2554">
        <v>0</v>
      </c>
      <c r="M2554">
        <v>257</v>
      </c>
      <c r="N2554">
        <v>4.5999999999999996</v>
      </c>
      <c r="O2554">
        <v>1.4</v>
      </c>
      <c r="P2554">
        <v>7.8</v>
      </c>
      <c r="Q2554">
        <f t="shared" si="78"/>
        <v>1085004</v>
      </c>
      <c r="R2554">
        <f t="shared" si="77"/>
        <v>10.691204825051337</v>
      </c>
      <c r="U2554">
        <v>94</v>
      </c>
      <c r="V2554">
        <v>0</v>
      </c>
      <c r="W2554">
        <v>205</v>
      </c>
      <c r="X2554">
        <v>71</v>
      </c>
      <c r="Y2554">
        <v>56.7</v>
      </c>
      <c r="Z2554">
        <v>26.2</v>
      </c>
      <c r="AA2554">
        <v>87.3</v>
      </c>
    </row>
    <row r="2555" spans="1:27" x14ac:dyDescent="0.25">
      <c r="A2555" t="s">
        <v>250</v>
      </c>
      <c r="B2555" t="s">
        <v>215</v>
      </c>
      <c r="C2555" s="76">
        <v>43933</v>
      </c>
      <c r="D2555">
        <v>1088</v>
      </c>
      <c r="E2555">
        <v>98</v>
      </c>
      <c r="F2555">
        <v>2078</v>
      </c>
      <c r="G2555">
        <v>1416</v>
      </c>
      <c r="H2555">
        <v>43.4</v>
      </c>
      <c r="I2555">
        <v>30.3</v>
      </c>
      <c r="J2555">
        <v>56.6</v>
      </c>
      <c r="K2555">
        <v>112</v>
      </c>
      <c r="L2555">
        <v>0</v>
      </c>
      <c r="M2555">
        <v>266</v>
      </c>
      <c r="N2555">
        <v>4.4000000000000004</v>
      </c>
      <c r="O2555">
        <v>0.8</v>
      </c>
      <c r="P2555">
        <v>8</v>
      </c>
      <c r="Q2555">
        <f t="shared" si="78"/>
        <v>1085004</v>
      </c>
      <c r="R2555">
        <f t="shared" si="77"/>
        <v>10.322542589704739</v>
      </c>
      <c r="U2555">
        <v>75</v>
      </c>
      <c r="V2555">
        <v>0</v>
      </c>
      <c r="W2555">
        <v>160</v>
      </c>
      <c r="X2555">
        <v>90</v>
      </c>
      <c r="Y2555">
        <v>45.5</v>
      </c>
      <c r="Z2555">
        <v>23.4</v>
      </c>
      <c r="AA2555">
        <v>67.599999999999994</v>
      </c>
    </row>
    <row r="2556" spans="1:27" x14ac:dyDescent="0.25">
      <c r="A2556" t="s">
        <v>250</v>
      </c>
      <c r="B2556" t="s">
        <v>215</v>
      </c>
      <c r="C2556" s="76">
        <v>43934</v>
      </c>
      <c r="D2556">
        <v>1153</v>
      </c>
      <c r="E2556">
        <v>126</v>
      </c>
      <c r="F2556">
        <v>2181</v>
      </c>
      <c r="G2556">
        <v>1386</v>
      </c>
      <c r="H2556">
        <v>45.4</v>
      </c>
      <c r="I2556">
        <v>32.1</v>
      </c>
      <c r="J2556">
        <v>58.7</v>
      </c>
      <c r="K2556">
        <v>107</v>
      </c>
      <c r="L2556">
        <v>0</v>
      </c>
      <c r="M2556">
        <v>259</v>
      </c>
      <c r="N2556">
        <v>4.2</v>
      </c>
      <c r="O2556">
        <v>0.7</v>
      </c>
      <c r="P2556">
        <v>7.8</v>
      </c>
      <c r="Q2556">
        <f t="shared" si="78"/>
        <v>1085004</v>
      </c>
      <c r="R2556">
        <f t="shared" si="77"/>
        <v>9.8617147955214914</v>
      </c>
      <c r="U2556">
        <v>87</v>
      </c>
      <c r="V2556">
        <v>0</v>
      </c>
      <c r="W2556">
        <v>193</v>
      </c>
      <c r="X2556">
        <v>82</v>
      </c>
      <c r="Y2556">
        <v>51.4</v>
      </c>
      <c r="Z2556">
        <v>19.7</v>
      </c>
      <c r="AA2556">
        <v>83.1</v>
      </c>
    </row>
    <row r="2557" spans="1:27" x14ac:dyDescent="0.25">
      <c r="A2557" t="s">
        <v>250</v>
      </c>
      <c r="B2557" t="s">
        <v>215</v>
      </c>
      <c r="C2557" s="76">
        <v>43935</v>
      </c>
      <c r="D2557">
        <v>1210</v>
      </c>
      <c r="E2557">
        <v>142</v>
      </c>
      <c r="F2557">
        <v>2278</v>
      </c>
      <c r="G2557">
        <v>1324</v>
      </c>
      <c r="H2557">
        <v>47.7</v>
      </c>
      <c r="I2557">
        <v>35.299999999999997</v>
      </c>
      <c r="J2557">
        <v>60.2</v>
      </c>
      <c r="K2557">
        <v>115</v>
      </c>
      <c r="L2557">
        <v>0</v>
      </c>
      <c r="M2557">
        <v>278</v>
      </c>
      <c r="N2557">
        <v>4.5</v>
      </c>
      <c r="O2557">
        <v>0.7</v>
      </c>
      <c r="P2557">
        <v>8.4</v>
      </c>
      <c r="Q2557">
        <f t="shared" si="78"/>
        <v>1085004</v>
      </c>
      <c r="R2557">
        <f t="shared" si="77"/>
        <v>10.599039266214687</v>
      </c>
      <c r="U2557">
        <v>85</v>
      </c>
      <c r="V2557">
        <v>0</v>
      </c>
      <c r="W2557">
        <v>196</v>
      </c>
      <c r="X2557">
        <v>88</v>
      </c>
      <c r="Y2557">
        <v>49.2</v>
      </c>
      <c r="Z2557">
        <v>17.2</v>
      </c>
      <c r="AA2557">
        <v>81.2</v>
      </c>
    </row>
    <row r="2558" spans="1:27" x14ac:dyDescent="0.25">
      <c r="A2558" t="s">
        <v>250</v>
      </c>
      <c r="B2558" t="s">
        <v>215</v>
      </c>
      <c r="C2558" s="76">
        <v>43936</v>
      </c>
      <c r="D2558">
        <v>969</v>
      </c>
      <c r="E2558">
        <v>355</v>
      </c>
      <c r="F2558">
        <v>1583</v>
      </c>
      <c r="G2558">
        <v>1587</v>
      </c>
      <c r="H2558">
        <v>37.9</v>
      </c>
      <c r="I2558">
        <v>25.4</v>
      </c>
      <c r="J2558">
        <v>50.4</v>
      </c>
      <c r="K2558">
        <v>66</v>
      </c>
      <c r="L2558">
        <v>0</v>
      </c>
      <c r="M2558">
        <v>136</v>
      </c>
      <c r="N2558">
        <v>2.6</v>
      </c>
      <c r="O2558">
        <v>0.6</v>
      </c>
      <c r="P2558">
        <v>4.5999999999999996</v>
      </c>
      <c r="Q2558">
        <f t="shared" si="78"/>
        <v>1085004</v>
      </c>
      <c r="R2558">
        <f t="shared" si="77"/>
        <v>6.0829268832188639</v>
      </c>
      <c r="U2558">
        <v>74</v>
      </c>
      <c r="V2558">
        <v>6</v>
      </c>
      <c r="W2558">
        <v>142</v>
      </c>
      <c r="X2558">
        <v>99</v>
      </c>
      <c r="Y2558">
        <v>42.9</v>
      </c>
      <c r="Z2558">
        <v>20.2</v>
      </c>
      <c r="AA2558">
        <v>65.599999999999994</v>
      </c>
    </row>
    <row r="2559" spans="1:27" x14ac:dyDescent="0.25">
      <c r="A2559" t="s">
        <v>250</v>
      </c>
      <c r="B2559" t="s">
        <v>215</v>
      </c>
      <c r="C2559" s="76">
        <v>43937</v>
      </c>
      <c r="D2559">
        <v>939</v>
      </c>
      <c r="E2559">
        <v>338</v>
      </c>
      <c r="F2559">
        <v>1540</v>
      </c>
      <c r="G2559">
        <v>1604</v>
      </c>
      <c r="H2559">
        <v>36.9</v>
      </c>
      <c r="I2559">
        <v>24.6</v>
      </c>
      <c r="J2559">
        <v>49.3</v>
      </c>
      <c r="K2559">
        <v>49</v>
      </c>
      <c r="L2559">
        <v>0</v>
      </c>
      <c r="M2559">
        <v>101</v>
      </c>
      <c r="N2559">
        <v>1.9</v>
      </c>
      <c r="O2559">
        <v>0.4</v>
      </c>
      <c r="P2559">
        <v>3.4</v>
      </c>
      <c r="Q2559">
        <f t="shared" si="78"/>
        <v>1085004</v>
      </c>
      <c r="R2559">
        <f t="shared" si="77"/>
        <v>4.5161123829958232</v>
      </c>
      <c r="U2559">
        <v>77</v>
      </c>
      <c r="V2559">
        <v>13</v>
      </c>
      <c r="W2559">
        <v>141</v>
      </c>
      <c r="X2559">
        <v>107</v>
      </c>
      <c r="Y2559">
        <v>41.7</v>
      </c>
      <c r="Z2559">
        <v>21.5</v>
      </c>
      <c r="AA2559">
        <v>61.9</v>
      </c>
    </row>
    <row r="2560" spans="1:27" x14ac:dyDescent="0.25">
      <c r="A2560" t="s">
        <v>250</v>
      </c>
      <c r="B2560" t="s">
        <v>215</v>
      </c>
      <c r="C2560" s="76">
        <v>43938</v>
      </c>
      <c r="D2560">
        <v>1001</v>
      </c>
      <c r="E2560">
        <v>392</v>
      </c>
      <c r="F2560">
        <v>1611</v>
      </c>
      <c r="G2560">
        <v>1545</v>
      </c>
      <c r="H2560">
        <v>39.299999999999997</v>
      </c>
      <c r="I2560">
        <v>27.1</v>
      </c>
      <c r="J2560">
        <v>51.6</v>
      </c>
      <c r="K2560">
        <v>51</v>
      </c>
      <c r="L2560">
        <v>1</v>
      </c>
      <c r="M2560">
        <v>101</v>
      </c>
      <c r="N2560">
        <v>2</v>
      </c>
      <c r="O2560">
        <v>0.6</v>
      </c>
      <c r="P2560">
        <v>3.4</v>
      </c>
      <c r="Q2560">
        <f t="shared" si="78"/>
        <v>1085004</v>
      </c>
      <c r="R2560">
        <f t="shared" si="77"/>
        <v>4.7004435006691221</v>
      </c>
      <c r="U2560">
        <v>63</v>
      </c>
      <c r="V2560">
        <v>15</v>
      </c>
      <c r="W2560">
        <v>112</v>
      </c>
      <c r="X2560">
        <v>120</v>
      </c>
      <c r="Y2560">
        <v>34.4</v>
      </c>
      <c r="Z2560">
        <v>21.3</v>
      </c>
      <c r="AA2560">
        <v>47.6</v>
      </c>
    </row>
    <row r="2561" spans="1:27" x14ac:dyDescent="0.25">
      <c r="A2561" t="s">
        <v>250</v>
      </c>
      <c r="B2561" t="s">
        <v>215</v>
      </c>
      <c r="C2561" s="76">
        <v>43939</v>
      </c>
      <c r="D2561">
        <v>1146</v>
      </c>
      <c r="E2561">
        <v>437</v>
      </c>
      <c r="F2561">
        <v>1855</v>
      </c>
      <c r="G2561">
        <v>1821</v>
      </c>
      <c r="H2561">
        <v>38.6</v>
      </c>
      <c r="I2561">
        <v>26.8</v>
      </c>
      <c r="J2561">
        <v>50.5</v>
      </c>
      <c r="K2561">
        <v>57</v>
      </c>
      <c r="L2561">
        <v>2</v>
      </c>
      <c r="M2561">
        <v>112</v>
      </c>
      <c r="N2561">
        <v>1.9</v>
      </c>
      <c r="O2561">
        <v>0.5</v>
      </c>
      <c r="P2561">
        <v>3.3</v>
      </c>
      <c r="Q2561">
        <f t="shared" si="78"/>
        <v>1085004</v>
      </c>
      <c r="R2561">
        <f t="shared" si="77"/>
        <v>5.2534368536890188</v>
      </c>
      <c r="U2561">
        <v>92</v>
      </c>
      <c r="V2561">
        <v>4</v>
      </c>
      <c r="W2561">
        <v>180</v>
      </c>
      <c r="X2561">
        <v>137</v>
      </c>
      <c r="Y2561">
        <v>40.200000000000003</v>
      </c>
      <c r="Z2561">
        <v>13.7</v>
      </c>
      <c r="AA2561">
        <v>66.599999999999994</v>
      </c>
    </row>
    <row r="2562" spans="1:27" x14ac:dyDescent="0.25">
      <c r="A2562" t="s">
        <v>250</v>
      </c>
      <c r="B2562" t="s">
        <v>215</v>
      </c>
      <c r="C2562" s="76">
        <v>43940</v>
      </c>
      <c r="D2562">
        <v>980</v>
      </c>
      <c r="E2562">
        <v>373</v>
      </c>
      <c r="F2562">
        <v>1587</v>
      </c>
      <c r="G2562">
        <v>1805</v>
      </c>
      <c r="H2562">
        <v>35.200000000000003</v>
      </c>
      <c r="I2562">
        <v>23.3</v>
      </c>
      <c r="J2562">
        <v>47.1</v>
      </c>
      <c r="K2562">
        <v>75</v>
      </c>
      <c r="L2562">
        <v>3</v>
      </c>
      <c r="M2562">
        <v>148</v>
      </c>
      <c r="N2562">
        <v>2.7</v>
      </c>
      <c r="O2562">
        <v>0.7</v>
      </c>
      <c r="P2562">
        <v>4.5999999999999996</v>
      </c>
      <c r="Q2562">
        <f t="shared" si="78"/>
        <v>1085004</v>
      </c>
      <c r="R2562">
        <f t="shared" si="77"/>
        <v>6.912416912748709</v>
      </c>
      <c r="U2562">
        <v>79</v>
      </c>
      <c r="V2562">
        <v>16</v>
      </c>
      <c r="W2562">
        <v>143</v>
      </c>
      <c r="X2562">
        <v>142</v>
      </c>
      <c r="Y2562">
        <v>35.799999999999997</v>
      </c>
      <c r="Z2562">
        <v>19.399999999999999</v>
      </c>
      <c r="AA2562">
        <v>52.2</v>
      </c>
    </row>
    <row r="2563" spans="1:27" x14ac:dyDescent="0.25">
      <c r="A2563" t="s">
        <v>250</v>
      </c>
      <c r="B2563" t="s">
        <v>215</v>
      </c>
      <c r="C2563" s="76">
        <v>43941</v>
      </c>
      <c r="D2563">
        <v>1121</v>
      </c>
      <c r="E2563">
        <v>448</v>
      </c>
      <c r="F2563">
        <v>1794</v>
      </c>
      <c r="G2563">
        <v>1846</v>
      </c>
      <c r="H2563">
        <v>37.799999999999997</v>
      </c>
      <c r="I2563">
        <v>25.9</v>
      </c>
      <c r="J2563">
        <v>49.6</v>
      </c>
      <c r="K2563">
        <v>52</v>
      </c>
      <c r="L2563">
        <v>0</v>
      </c>
      <c r="M2563">
        <v>118</v>
      </c>
      <c r="N2563">
        <v>1.8</v>
      </c>
      <c r="O2563">
        <v>0</v>
      </c>
      <c r="P2563">
        <v>3.6</v>
      </c>
      <c r="Q2563">
        <f t="shared" si="78"/>
        <v>1085004</v>
      </c>
      <c r="R2563">
        <f t="shared" si="77"/>
        <v>4.7926090595057715</v>
      </c>
      <c r="U2563">
        <v>73</v>
      </c>
      <c r="V2563">
        <v>16</v>
      </c>
      <c r="W2563">
        <v>130</v>
      </c>
      <c r="X2563">
        <v>156</v>
      </c>
      <c r="Y2563">
        <v>31.9</v>
      </c>
      <c r="Z2563">
        <v>18</v>
      </c>
      <c r="AA2563">
        <v>45.8</v>
      </c>
    </row>
    <row r="2564" spans="1:27" x14ac:dyDescent="0.25">
      <c r="A2564" t="s">
        <v>250</v>
      </c>
      <c r="B2564" t="s">
        <v>215</v>
      </c>
      <c r="C2564" s="76">
        <v>43942</v>
      </c>
      <c r="D2564">
        <v>1162</v>
      </c>
      <c r="E2564">
        <v>452</v>
      </c>
      <c r="F2564">
        <v>1871</v>
      </c>
      <c r="G2564">
        <v>1809</v>
      </c>
      <c r="H2564">
        <v>39.1</v>
      </c>
      <c r="I2564">
        <v>26.1</v>
      </c>
      <c r="J2564">
        <v>52.1</v>
      </c>
      <c r="K2564">
        <v>65</v>
      </c>
      <c r="L2564">
        <v>0</v>
      </c>
      <c r="M2564">
        <v>156</v>
      </c>
      <c r="N2564">
        <v>2.2000000000000002</v>
      </c>
      <c r="O2564">
        <v>0</v>
      </c>
      <c r="P2564">
        <v>4.8</v>
      </c>
      <c r="Q2564">
        <f t="shared" si="78"/>
        <v>1085004</v>
      </c>
      <c r="R2564">
        <f t="shared" si="77"/>
        <v>5.9907613243822144</v>
      </c>
      <c r="U2564">
        <v>68</v>
      </c>
      <c r="V2564">
        <v>8</v>
      </c>
      <c r="W2564">
        <v>128</v>
      </c>
      <c r="X2564">
        <v>158</v>
      </c>
      <c r="Y2564">
        <v>30.2</v>
      </c>
      <c r="Z2564">
        <v>12</v>
      </c>
      <c r="AA2564">
        <v>48.4</v>
      </c>
    </row>
    <row r="2565" spans="1:27" x14ac:dyDescent="0.25">
      <c r="A2565" t="s">
        <v>250</v>
      </c>
      <c r="B2565" t="s">
        <v>215</v>
      </c>
      <c r="C2565" s="76">
        <v>43943</v>
      </c>
      <c r="D2565">
        <v>1158</v>
      </c>
      <c r="E2565">
        <v>455</v>
      </c>
      <c r="F2565">
        <v>1861</v>
      </c>
      <c r="G2565">
        <v>1813</v>
      </c>
      <c r="H2565">
        <v>39</v>
      </c>
      <c r="I2565">
        <v>26.4</v>
      </c>
      <c r="J2565">
        <v>51.6</v>
      </c>
      <c r="K2565">
        <v>44</v>
      </c>
      <c r="L2565">
        <v>0</v>
      </c>
      <c r="M2565">
        <v>105</v>
      </c>
      <c r="N2565">
        <v>1.5</v>
      </c>
      <c r="O2565">
        <v>0</v>
      </c>
      <c r="P2565">
        <v>3.2</v>
      </c>
      <c r="Q2565">
        <f t="shared" si="78"/>
        <v>1085004</v>
      </c>
      <c r="R2565">
        <f t="shared" ref="R2565:R2628" si="79">K2565/(Q2565)*100000</f>
        <v>4.0552845888125759</v>
      </c>
      <c r="U2565">
        <v>59</v>
      </c>
      <c r="V2565">
        <v>11</v>
      </c>
      <c r="W2565">
        <v>108</v>
      </c>
      <c r="X2565">
        <v>166</v>
      </c>
      <c r="Y2565">
        <v>26.3</v>
      </c>
      <c r="Z2565">
        <v>13.8</v>
      </c>
      <c r="AA2565">
        <v>38.799999999999997</v>
      </c>
    </row>
    <row r="2566" spans="1:27" x14ac:dyDescent="0.25">
      <c r="A2566" t="s">
        <v>250</v>
      </c>
      <c r="B2566" t="s">
        <v>215</v>
      </c>
      <c r="C2566" s="76">
        <v>43944</v>
      </c>
      <c r="D2566">
        <v>1173</v>
      </c>
      <c r="E2566">
        <v>456</v>
      </c>
      <c r="F2566">
        <v>1890</v>
      </c>
      <c r="G2566">
        <v>1500</v>
      </c>
      <c r="H2566">
        <v>43.9</v>
      </c>
      <c r="I2566">
        <v>29</v>
      </c>
      <c r="J2566">
        <v>58.8</v>
      </c>
      <c r="K2566">
        <v>42</v>
      </c>
      <c r="L2566">
        <v>0</v>
      </c>
      <c r="M2566">
        <v>84</v>
      </c>
      <c r="N2566">
        <v>1.6</v>
      </c>
      <c r="O2566">
        <v>0.3</v>
      </c>
      <c r="P2566">
        <v>2.8</v>
      </c>
      <c r="Q2566">
        <f t="shared" si="78"/>
        <v>1085004</v>
      </c>
      <c r="R2566">
        <f t="shared" si="79"/>
        <v>3.870953471139277</v>
      </c>
      <c r="U2566">
        <v>64</v>
      </c>
      <c r="V2566">
        <v>10</v>
      </c>
      <c r="W2566">
        <v>119</v>
      </c>
      <c r="X2566">
        <v>147</v>
      </c>
      <c r="Y2566">
        <v>30.3</v>
      </c>
      <c r="Z2566">
        <v>13.9</v>
      </c>
      <c r="AA2566">
        <v>46.8</v>
      </c>
    </row>
    <row r="2567" spans="1:27" x14ac:dyDescent="0.25">
      <c r="A2567" t="s">
        <v>250</v>
      </c>
      <c r="B2567" t="s">
        <v>215</v>
      </c>
      <c r="C2567" s="76">
        <v>43945</v>
      </c>
      <c r="D2567">
        <v>1127</v>
      </c>
      <c r="E2567">
        <v>465</v>
      </c>
      <c r="F2567">
        <v>1790</v>
      </c>
      <c r="G2567">
        <v>1812</v>
      </c>
      <c r="H2567">
        <v>38.4</v>
      </c>
      <c r="I2567">
        <v>27.6</v>
      </c>
      <c r="J2567">
        <v>49.2</v>
      </c>
      <c r="K2567">
        <v>30</v>
      </c>
      <c r="L2567">
        <v>2</v>
      </c>
      <c r="M2567">
        <v>58</v>
      </c>
      <c r="N2567">
        <v>1</v>
      </c>
      <c r="O2567">
        <v>0.3</v>
      </c>
      <c r="P2567">
        <v>1.8</v>
      </c>
      <c r="Q2567">
        <f t="shared" si="78"/>
        <v>1085004</v>
      </c>
      <c r="R2567">
        <f t="shared" si="79"/>
        <v>2.7649667650994836</v>
      </c>
      <c r="U2567">
        <v>73</v>
      </c>
      <c r="V2567">
        <v>11</v>
      </c>
      <c r="W2567">
        <v>135</v>
      </c>
      <c r="X2567">
        <v>138</v>
      </c>
      <c r="Y2567">
        <v>34.5</v>
      </c>
      <c r="Z2567">
        <v>17.5</v>
      </c>
      <c r="AA2567">
        <v>51.6</v>
      </c>
    </row>
    <row r="2568" spans="1:27" x14ac:dyDescent="0.25">
      <c r="A2568" t="s">
        <v>250</v>
      </c>
      <c r="B2568" t="s">
        <v>215</v>
      </c>
      <c r="C2568" s="76">
        <v>43946</v>
      </c>
      <c r="D2568">
        <v>1017</v>
      </c>
      <c r="E2568">
        <v>368</v>
      </c>
      <c r="F2568">
        <v>1665</v>
      </c>
      <c r="G2568">
        <v>1923</v>
      </c>
      <c r="H2568">
        <v>34.6</v>
      </c>
      <c r="I2568">
        <v>22.8</v>
      </c>
      <c r="J2568">
        <v>46.4</v>
      </c>
      <c r="K2568">
        <v>36</v>
      </c>
      <c r="L2568">
        <v>0</v>
      </c>
      <c r="M2568">
        <v>73</v>
      </c>
      <c r="N2568">
        <v>1.2</v>
      </c>
      <c r="O2568">
        <v>0.2</v>
      </c>
      <c r="P2568">
        <v>2.2000000000000002</v>
      </c>
      <c r="Q2568">
        <f t="shared" si="78"/>
        <v>1085004</v>
      </c>
      <c r="R2568">
        <f t="shared" si="79"/>
        <v>3.3179601181193803</v>
      </c>
      <c r="U2568">
        <v>75</v>
      </c>
      <c r="V2568">
        <v>14</v>
      </c>
      <c r="W2568">
        <v>136</v>
      </c>
      <c r="X2568">
        <v>136</v>
      </c>
      <c r="Y2568">
        <v>35.5</v>
      </c>
      <c r="Z2568">
        <v>21.3</v>
      </c>
      <c r="AA2568">
        <v>49.7</v>
      </c>
    </row>
    <row r="2569" spans="1:27" x14ac:dyDescent="0.25">
      <c r="A2569" t="s">
        <v>250</v>
      </c>
      <c r="B2569" t="s">
        <v>215</v>
      </c>
      <c r="C2569" s="76">
        <v>43947</v>
      </c>
      <c r="D2569">
        <v>1137</v>
      </c>
      <c r="E2569">
        <v>449</v>
      </c>
      <c r="F2569">
        <v>1826</v>
      </c>
      <c r="G2569">
        <v>1802</v>
      </c>
      <c r="H2569">
        <v>38.700000000000003</v>
      </c>
      <c r="I2569">
        <v>27.7</v>
      </c>
      <c r="J2569">
        <v>49.7</v>
      </c>
      <c r="K2569">
        <v>56</v>
      </c>
      <c r="L2569">
        <v>0</v>
      </c>
      <c r="M2569">
        <v>122</v>
      </c>
      <c r="N2569">
        <v>1.9</v>
      </c>
      <c r="O2569">
        <v>0.1</v>
      </c>
      <c r="P2569">
        <v>3.7</v>
      </c>
      <c r="Q2569">
        <f t="shared" si="78"/>
        <v>1085004</v>
      </c>
      <c r="R2569">
        <f t="shared" si="79"/>
        <v>5.1612712948523694</v>
      </c>
      <c r="U2569">
        <v>87</v>
      </c>
      <c r="V2569">
        <v>15</v>
      </c>
      <c r="W2569">
        <v>159</v>
      </c>
      <c r="X2569">
        <v>124</v>
      </c>
      <c r="Y2569">
        <v>41.2</v>
      </c>
      <c r="Z2569">
        <v>21.1</v>
      </c>
      <c r="AA2569">
        <v>61.3</v>
      </c>
    </row>
    <row r="2570" spans="1:27" x14ac:dyDescent="0.25">
      <c r="A2570" t="s">
        <v>250</v>
      </c>
      <c r="B2570" t="s">
        <v>215</v>
      </c>
      <c r="C2570" s="76">
        <v>43948</v>
      </c>
      <c r="D2570">
        <v>1242</v>
      </c>
      <c r="E2570">
        <v>515</v>
      </c>
      <c r="F2570">
        <v>1969</v>
      </c>
      <c r="G2570">
        <v>1687</v>
      </c>
      <c r="H2570">
        <v>42.4</v>
      </c>
      <c r="I2570">
        <v>31.2</v>
      </c>
      <c r="J2570">
        <v>53.6</v>
      </c>
      <c r="K2570">
        <v>58</v>
      </c>
      <c r="L2570">
        <v>0</v>
      </c>
      <c r="M2570">
        <v>122</v>
      </c>
      <c r="N2570">
        <v>2</v>
      </c>
      <c r="O2570">
        <v>0.2</v>
      </c>
      <c r="P2570">
        <v>3.7</v>
      </c>
      <c r="Q2570">
        <f t="shared" si="78"/>
        <v>1085004</v>
      </c>
      <c r="R2570">
        <f t="shared" si="79"/>
        <v>5.3456024125256683</v>
      </c>
      <c r="U2570">
        <v>97</v>
      </c>
      <c r="V2570">
        <v>18</v>
      </c>
      <c r="W2570">
        <v>176</v>
      </c>
      <c r="X2570">
        <v>113</v>
      </c>
      <c r="Y2570">
        <v>46.2</v>
      </c>
      <c r="Z2570">
        <v>22.8</v>
      </c>
      <c r="AA2570">
        <v>69.599999999999994</v>
      </c>
    </row>
    <row r="2571" spans="1:27" x14ac:dyDescent="0.25">
      <c r="A2571" t="s">
        <v>250</v>
      </c>
      <c r="B2571" t="s">
        <v>215</v>
      </c>
      <c r="C2571" s="76">
        <v>43949</v>
      </c>
      <c r="D2571">
        <v>1251</v>
      </c>
      <c r="E2571">
        <v>553</v>
      </c>
      <c r="F2571">
        <v>1949</v>
      </c>
      <c r="G2571">
        <v>1706</v>
      </c>
      <c r="H2571">
        <v>42.3</v>
      </c>
      <c r="I2571">
        <v>31.9</v>
      </c>
      <c r="J2571">
        <v>52.7</v>
      </c>
      <c r="K2571">
        <v>62</v>
      </c>
      <c r="L2571">
        <v>0</v>
      </c>
      <c r="M2571">
        <v>130</v>
      </c>
      <c r="N2571">
        <v>2.1</v>
      </c>
      <c r="O2571">
        <v>0.3</v>
      </c>
      <c r="P2571">
        <v>3.9</v>
      </c>
      <c r="Q2571">
        <f t="shared" si="78"/>
        <v>1085004</v>
      </c>
      <c r="R2571">
        <f t="shared" si="79"/>
        <v>5.7142646478722661</v>
      </c>
      <c r="U2571">
        <v>92</v>
      </c>
      <c r="V2571">
        <v>17</v>
      </c>
      <c r="W2571">
        <v>167</v>
      </c>
      <c r="X2571">
        <v>124</v>
      </c>
      <c r="Y2571">
        <v>42.6</v>
      </c>
      <c r="Z2571">
        <v>21.1</v>
      </c>
      <c r="AA2571">
        <v>64.099999999999994</v>
      </c>
    </row>
    <row r="2572" spans="1:27" x14ac:dyDescent="0.25">
      <c r="A2572" t="s">
        <v>250</v>
      </c>
      <c r="B2572" t="s">
        <v>215</v>
      </c>
      <c r="C2572" s="76">
        <v>43950</v>
      </c>
      <c r="D2572">
        <v>1330</v>
      </c>
      <c r="E2572">
        <v>561</v>
      </c>
      <c r="F2572">
        <v>2099</v>
      </c>
      <c r="G2572">
        <v>1627</v>
      </c>
      <c r="H2572">
        <v>45</v>
      </c>
      <c r="I2572">
        <v>31.9</v>
      </c>
      <c r="J2572">
        <v>58.1</v>
      </c>
      <c r="K2572">
        <v>53</v>
      </c>
      <c r="L2572">
        <v>4</v>
      </c>
      <c r="M2572">
        <v>102</v>
      </c>
      <c r="N2572">
        <v>1.8</v>
      </c>
      <c r="O2572">
        <v>0.5</v>
      </c>
      <c r="P2572">
        <v>3.1</v>
      </c>
      <c r="Q2572">
        <f t="shared" si="78"/>
        <v>1085004</v>
      </c>
      <c r="R2572">
        <f t="shared" si="79"/>
        <v>4.884774618342421</v>
      </c>
      <c r="U2572">
        <v>88</v>
      </c>
      <c r="V2572">
        <v>16</v>
      </c>
      <c r="W2572">
        <v>160</v>
      </c>
      <c r="X2572">
        <v>128</v>
      </c>
      <c r="Y2572">
        <v>40.799999999999997</v>
      </c>
      <c r="Z2572">
        <v>21.7</v>
      </c>
      <c r="AA2572">
        <v>59.9</v>
      </c>
    </row>
    <row r="2573" spans="1:27" x14ac:dyDescent="0.25">
      <c r="A2573" t="s">
        <v>250</v>
      </c>
      <c r="B2573" t="s">
        <v>215</v>
      </c>
      <c r="C2573" s="76">
        <v>43951</v>
      </c>
      <c r="D2573">
        <v>1205</v>
      </c>
      <c r="E2573">
        <v>477</v>
      </c>
      <c r="F2573">
        <v>1934</v>
      </c>
      <c r="G2573">
        <v>1773</v>
      </c>
      <c r="H2573">
        <v>40.5</v>
      </c>
      <c r="I2573">
        <v>27.5</v>
      </c>
      <c r="J2573">
        <v>53.5</v>
      </c>
      <c r="K2573">
        <v>29</v>
      </c>
      <c r="L2573">
        <v>0</v>
      </c>
      <c r="M2573">
        <v>60</v>
      </c>
      <c r="N2573">
        <v>1</v>
      </c>
      <c r="O2573">
        <v>0.2</v>
      </c>
      <c r="P2573">
        <v>1.8</v>
      </c>
      <c r="Q2573">
        <f t="shared" si="78"/>
        <v>1085004</v>
      </c>
      <c r="R2573">
        <f t="shared" si="79"/>
        <v>2.6728012062628341</v>
      </c>
      <c r="U2573">
        <v>85</v>
      </c>
      <c r="V2573">
        <v>15</v>
      </c>
      <c r="W2573">
        <v>154</v>
      </c>
      <c r="X2573">
        <v>137</v>
      </c>
      <c r="Y2573">
        <v>38.200000000000003</v>
      </c>
      <c r="Z2573">
        <v>20.7</v>
      </c>
      <c r="AA2573">
        <v>55.7</v>
      </c>
    </row>
    <row r="2574" spans="1:27" x14ac:dyDescent="0.25">
      <c r="A2574" t="s">
        <v>250</v>
      </c>
      <c r="B2574" t="s">
        <v>215</v>
      </c>
      <c r="C2574" s="76">
        <v>43952</v>
      </c>
      <c r="D2574">
        <v>1218</v>
      </c>
      <c r="E2574">
        <v>536</v>
      </c>
      <c r="F2574">
        <v>1899</v>
      </c>
      <c r="G2574">
        <v>1813</v>
      </c>
      <c r="H2574">
        <v>40.200000000000003</v>
      </c>
      <c r="I2574">
        <v>30.1</v>
      </c>
      <c r="J2574">
        <v>50.2</v>
      </c>
      <c r="K2574">
        <v>21</v>
      </c>
      <c r="L2574">
        <v>0</v>
      </c>
      <c r="M2574">
        <v>44</v>
      </c>
      <c r="N2574">
        <v>0.7</v>
      </c>
      <c r="O2574">
        <v>0.1</v>
      </c>
      <c r="P2574">
        <v>1.3</v>
      </c>
      <c r="Q2574">
        <f t="shared" si="78"/>
        <v>1085004</v>
      </c>
      <c r="R2574">
        <f t="shared" si="79"/>
        <v>1.9354767355696385</v>
      </c>
      <c r="U2574">
        <v>78</v>
      </c>
      <c r="V2574">
        <v>18</v>
      </c>
      <c r="W2574">
        <v>139</v>
      </c>
      <c r="X2574">
        <v>143</v>
      </c>
      <c r="Y2574">
        <v>35.299999999999997</v>
      </c>
      <c r="Z2574">
        <v>18.8</v>
      </c>
      <c r="AA2574">
        <v>51.9</v>
      </c>
    </row>
    <row r="2575" spans="1:27" x14ac:dyDescent="0.25">
      <c r="A2575" t="s">
        <v>250</v>
      </c>
      <c r="B2575" t="s">
        <v>215</v>
      </c>
      <c r="C2575" s="76">
        <v>43953</v>
      </c>
      <c r="D2575">
        <v>1146</v>
      </c>
      <c r="E2575">
        <v>497</v>
      </c>
      <c r="F2575">
        <v>1794</v>
      </c>
      <c r="G2575">
        <v>1885</v>
      </c>
      <c r="H2575">
        <v>37.799999999999997</v>
      </c>
      <c r="I2575">
        <v>27.2</v>
      </c>
      <c r="J2575">
        <v>48.4</v>
      </c>
      <c r="K2575">
        <v>27</v>
      </c>
      <c r="L2575">
        <v>2</v>
      </c>
      <c r="M2575">
        <v>51</v>
      </c>
      <c r="N2575">
        <v>0.9</v>
      </c>
      <c r="O2575">
        <v>0.3</v>
      </c>
      <c r="P2575">
        <v>1.5</v>
      </c>
      <c r="Q2575">
        <f t="shared" si="78"/>
        <v>1085004</v>
      </c>
      <c r="R2575">
        <f t="shared" si="79"/>
        <v>2.4884700885895348</v>
      </c>
      <c r="U2575">
        <v>83</v>
      </c>
      <c r="V2575">
        <v>18</v>
      </c>
      <c r="W2575">
        <v>148</v>
      </c>
      <c r="X2575">
        <v>139</v>
      </c>
      <c r="Y2575">
        <v>37.4</v>
      </c>
      <c r="Z2575">
        <v>20.2</v>
      </c>
      <c r="AA2575">
        <v>54.7</v>
      </c>
    </row>
    <row r="2576" spans="1:27" x14ac:dyDescent="0.25">
      <c r="A2576" t="s">
        <v>250</v>
      </c>
      <c r="B2576" t="s">
        <v>215</v>
      </c>
      <c r="C2576" s="76">
        <v>43954</v>
      </c>
      <c r="D2576">
        <v>1097</v>
      </c>
      <c r="E2576">
        <v>442</v>
      </c>
      <c r="F2576">
        <v>1753</v>
      </c>
      <c r="G2576">
        <v>1917</v>
      </c>
      <c r="H2576">
        <v>36.4</v>
      </c>
      <c r="I2576">
        <v>24.8</v>
      </c>
      <c r="J2576">
        <v>48</v>
      </c>
      <c r="K2576">
        <v>28</v>
      </c>
      <c r="L2576">
        <v>0</v>
      </c>
      <c r="M2576">
        <v>56</v>
      </c>
      <c r="N2576">
        <v>0.9</v>
      </c>
      <c r="O2576">
        <v>0.2</v>
      </c>
      <c r="P2576">
        <v>1.7</v>
      </c>
      <c r="Q2576">
        <f t="shared" si="78"/>
        <v>1085004</v>
      </c>
      <c r="R2576">
        <f t="shared" si="79"/>
        <v>2.5806356474261847</v>
      </c>
      <c r="U2576">
        <v>84</v>
      </c>
      <c r="V2576">
        <v>14</v>
      </c>
      <c r="W2576">
        <v>154</v>
      </c>
      <c r="X2576">
        <v>137</v>
      </c>
      <c r="Y2576">
        <v>38</v>
      </c>
      <c r="Z2576">
        <v>18.2</v>
      </c>
      <c r="AA2576">
        <v>57.8</v>
      </c>
    </row>
    <row r="2577" spans="1:27" x14ac:dyDescent="0.25">
      <c r="A2577" t="s">
        <v>250</v>
      </c>
      <c r="B2577" t="s">
        <v>215</v>
      </c>
      <c r="C2577" s="76">
        <v>43955</v>
      </c>
      <c r="D2577">
        <v>1135</v>
      </c>
      <c r="E2577">
        <v>481</v>
      </c>
      <c r="F2577">
        <v>1790</v>
      </c>
      <c r="G2577">
        <v>1874</v>
      </c>
      <c r="H2577">
        <v>37.700000000000003</v>
      </c>
      <c r="I2577">
        <v>26.3</v>
      </c>
      <c r="J2577">
        <v>49.1</v>
      </c>
      <c r="K2577">
        <v>28</v>
      </c>
      <c r="L2577">
        <v>0</v>
      </c>
      <c r="M2577">
        <v>56</v>
      </c>
      <c r="N2577">
        <v>0.9</v>
      </c>
      <c r="O2577">
        <v>0.2</v>
      </c>
      <c r="P2577">
        <v>1.7</v>
      </c>
      <c r="Q2577">
        <f t="shared" si="78"/>
        <v>1085004</v>
      </c>
      <c r="R2577">
        <f t="shared" si="79"/>
        <v>2.5806356474261847</v>
      </c>
      <c r="U2577">
        <v>94</v>
      </c>
      <c r="V2577">
        <v>23</v>
      </c>
      <c r="W2577">
        <v>165</v>
      </c>
      <c r="X2577">
        <v>122</v>
      </c>
      <c r="Y2577">
        <v>43.4</v>
      </c>
      <c r="Z2577">
        <v>23.5</v>
      </c>
      <c r="AA2577">
        <v>63.3</v>
      </c>
    </row>
    <row r="2578" spans="1:27" x14ac:dyDescent="0.25">
      <c r="A2578" t="s">
        <v>250</v>
      </c>
      <c r="B2578" t="s">
        <v>215</v>
      </c>
      <c r="C2578" s="76">
        <v>43956</v>
      </c>
      <c r="D2578">
        <v>1260</v>
      </c>
      <c r="E2578">
        <v>549</v>
      </c>
      <c r="F2578">
        <v>1970</v>
      </c>
      <c r="G2578">
        <v>1750</v>
      </c>
      <c r="H2578">
        <v>41.9</v>
      </c>
      <c r="I2578">
        <v>29.8</v>
      </c>
      <c r="J2578">
        <v>53.9</v>
      </c>
      <c r="K2578">
        <v>32</v>
      </c>
      <c r="L2578">
        <v>2</v>
      </c>
      <c r="M2578">
        <v>62</v>
      </c>
      <c r="N2578">
        <v>1.1000000000000001</v>
      </c>
      <c r="O2578">
        <v>0.3</v>
      </c>
      <c r="P2578">
        <v>1.9</v>
      </c>
      <c r="Q2578">
        <f t="shared" si="78"/>
        <v>1085004</v>
      </c>
      <c r="R2578">
        <f t="shared" si="79"/>
        <v>2.9492978827727825</v>
      </c>
      <c r="U2578">
        <v>92</v>
      </c>
      <c r="V2578">
        <v>24</v>
      </c>
      <c r="W2578">
        <v>161</v>
      </c>
      <c r="X2578">
        <v>124</v>
      </c>
      <c r="Y2578">
        <v>42.8</v>
      </c>
      <c r="Z2578">
        <v>26.6</v>
      </c>
      <c r="AA2578">
        <v>59</v>
      </c>
    </row>
    <row r="2579" spans="1:27" x14ac:dyDescent="0.25">
      <c r="A2579" t="s">
        <v>250</v>
      </c>
      <c r="B2579" t="s">
        <v>215</v>
      </c>
      <c r="C2579" s="76">
        <v>43957</v>
      </c>
      <c r="D2579">
        <v>1252</v>
      </c>
      <c r="E2579">
        <v>544</v>
      </c>
      <c r="F2579">
        <v>1959</v>
      </c>
      <c r="G2579">
        <v>1758</v>
      </c>
      <c r="H2579">
        <v>41.6</v>
      </c>
      <c r="I2579">
        <v>29.4</v>
      </c>
      <c r="J2579">
        <v>53.7</v>
      </c>
      <c r="K2579">
        <v>29</v>
      </c>
      <c r="L2579">
        <v>3</v>
      </c>
      <c r="M2579">
        <v>55</v>
      </c>
      <c r="N2579">
        <v>1</v>
      </c>
      <c r="O2579">
        <v>0.3</v>
      </c>
      <c r="P2579">
        <v>1.6</v>
      </c>
      <c r="Q2579">
        <f t="shared" si="78"/>
        <v>1085004</v>
      </c>
      <c r="R2579">
        <f t="shared" si="79"/>
        <v>2.6728012062628341</v>
      </c>
      <c r="U2579">
        <v>85</v>
      </c>
      <c r="V2579">
        <v>10</v>
      </c>
      <c r="W2579">
        <v>159</v>
      </c>
      <c r="X2579">
        <v>133</v>
      </c>
      <c r="Y2579">
        <v>38.9</v>
      </c>
      <c r="Z2579">
        <v>18.2</v>
      </c>
      <c r="AA2579">
        <v>59.6</v>
      </c>
    </row>
    <row r="2580" spans="1:27" x14ac:dyDescent="0.25">
      <c r="A2580" t="s">
        <v>250</v>
      </c>
      <c r="B2580" t="s">
        <v>215</v>
      </c>
      <c r="C2580" s="76">
        <v>43958</v>
      </c>
      <c r="D2580">
        <v>1347</v>
      </c>
      <c r="E2580">
        <v>601</v>
      </c>
      <c r="F2580">
        <v>2092</v>
      </c>
      <c r="G2580">
        <v>1666</v>
      </c>
      <c r="H2580">
        <v>44.7</v>
      </c>
      <c r="I2580">
        <v>32.6</v>
      </c>
      <c r="J2580">
        <v>56.8</v>
      </c>
      <c r="K2580">
        <v>31</v>
      </c>
      <c r="L2580">
        <v>5</v>
      </c>
      <c r="M2580">
        <v>57</v>
      </c>
      <c r="N2580">
        <v>1</v>
      </c>
      <c r="O2580">
        <v>0.4</v>
      </c>
      <c r="P2580">
        <v>1.6</v>
      </c>
      <c r="Q2580">
        <f t="shared" si="78"/>
        <v>1085004</v>
      </c>
      <c r="R2580">
        <f t="shared" si="79"/>
        <v>2.857132323936133</v>
      </c>
      <c r="U2580">
        <v>99</v>
      </c>
      <c r="V2580">
        <v>16</v>
      </c>
      <c r="W2580">
        <v>181</v>
      </c>
      <c r="X2580">
        <v>123</v>
      </c>
      <c r="Y2580">
        <v>44.4</v>
      </c>
      <c r="Z2580">
        <v>25.6</v>
      </c>
      <c r="AA2580">
        <v>63.1</v>
      </c>
    </row>
    <row r="2581" spans="1:27" x14ac:dyDescent="0.25">
      <c r="A2581" t="s">
        <v>250</v>
      </c>
      <c r="B2581" t="s">
        <v>215</v>
      </c>
      <c r="C2581" s="76">
        <v>43959</v>
      </c>
      <c r="D2581">
        <v>1311</v>
      </c>
      <c r="E2581">
        <v>573</v>
      </c>
      <c r="F2581">
        <v>2048</v>
      </c>
      <c r="G2581">
        <v>1702</v>
      </c>
      <c r="H2581">
        <v>43.5</v>
      </c>
      <c r="I2581">
        <v>31.4</v>
      </c>
      <c r="J2581">
        <v>55.6</v>
      </c>
      <c r="K2581">
        <v>33</v>
      </c>
      <c r="L2581">
        <v>5</v>
      </c>
      <c r="M2581">
        <v>60</v>
      </c>
      <c r="N2581">
        <v>1.1000000000000001</v>
      </c>
      <c r="O2581">
        <v>0.4</v>
      </c>
      <c r="P2581">
        <v>1.8</v>
      </c>
      <c r="Q2581">
        <f t="shared" si="78"/>
        <v>1085004</v>
      </c>
      <c r="R2581">
        <f t="shared" si="79"/>
        <v>3.0414634416094319</v>
      </c>
      <c r="U2581">
        <v>98</v>
      </c>
      <c r="V2581">
        <v>17</v>
      </c>
      <c r="W2581">
        <v>180</v>
      </c>
      <c r="X2581">
        <v>122</v>
      </c>
      <c r="Y2581">
        <v>44.6</v>
      </c>
      <c r="Z2581">
        <v>24.7</v>
      </c>
      <c r="AA2581">
        <v>64.400000000000006</v>
      </c>
    </row>
    <row r="2582" spans="1:27" x14ac:dyDescent="0.25">
      <c r="A2582" t="s">
        <v>250</v>
      </c>
      <c r="B2582" t="s">
        <v>215</v>
      </c>
      <c r="C2582" s="76">
        <v>43960</v>
      </c>
      <c r="D2582">
        <v>1371</v>
      </c>
      <c r="E2582">
        <v>616</v>
      </c>
      <c r="F2582">
        <v>2127</v>
      </c>
      <c r="G2582">
        <v>1670</v>
      </c>
      <c r="H2582">
        <v>45.1</v>
      </c>
      <c r="I2582">
        <v>37.4</v>
      </c>
      <c r="J2582">
        <v>52.8</v>
      </c>
      <c r="K2582">
        <v>21</v>
      </c>
      <c r="L2582">
        <v>0</v>
      </c>
      <c r="M2582">
        <v>42</v>
      </c>
      <c r="N2582">
        <v>0.7</v>
      </c>
      <c r="O2582">
        <v>0.1</v>
      </c>
      <c r="P2582">
        <v>1.3</v>
      </c>
      <c r="Q2582">
        <f t="shared" si="78"/>
        <v>1085004</v>
      </c>
      <c r="R2582">
        <f t="shared" si="79"/>
        <v>1.9354767355696385</v>
      </c>
      <c r="U2582">
        <v>132</v>
      </c>
      <c r="V2582">
        <v>0</v>
      </c>
      <c r="W2582">
        <v>268</v>
      </c>
      <c r="X2582">
        <v>88</v>
      </c>
      <c r="Y2582">
        <v>59.9</v>
      </c>
      <c r="Z2582">
        <v>11.5</v>
      </c>
      <c r="AA2582">
        <v>100</v>
      </c>
    </row>
    <row r="2583" spans="1:27" x14ac:dyDescent="0.25">
      <c r="A2583" t="s">
        <v>250</v>
      </c>
      <c r="B2583" t="s">
        <v>215</v>
      </c>
      <c r="C2583" s="76">
        <v>43961</v>
      </c>
      <c r="D2583">
        <v>1334</v>
      </c>
      <c r="E2583">
        <v>619</v>
      </c>
      <c r="F2583">
        <v>2049</v>
      </c>
      <c r="G2583">
        <v>1700</v>
      </c>
      <c r="H2583">
        <v>44</v>
      </c>
      <c r="I2583">
        <v>37.299999999999997</v>
      </c>
      <c r="J2583">
        <v>50.7</v>
      </c>
      <c r="K2583">
        <v>28</v>
      </c>
      <c r="L2583">
        <v>0</v>
      </c>
      <c r="M2583">
        <v>66</v>
      </c>
      <c r="N2583">
        <v>0.9</v>
      </c>
      <c r="O2583">
        <v>0</v>
      </c>
      <c r="P2583">
        <v>2.1</v>
      </c>
      <c r="Q2583">
        <f t="shared" si="78"/>
        <v>1085004</v>
      </c>
      <c r="R2583">
        <f t="shared" si="79"/>
        <v>2.5806356474261847</v>
      </c>
      <c r="U2583">
        <v>86</v>
      </c>
      <c r="V2583">
        <v>18</v>
      </c>
      <c r="W2583">
        <v>155</v>
      </c>
      <c r="X2583">
        <v>133</v>
      </c>
      <c r="Y2583">
        <v>39.4</v>
      </c>
      <c r="Z2583">
        <v>25.4</v>
      </c>
      <c r="AA2583">
        <v>53.4</v>
      </c>
    </row>
    <row r="2584" spans="1:27" x14ac:dyDescent="0.25">
      <c r="A2584" t="s">
        <v>250</v>
      </c>
      <c r="B2584" t="s">
        <v>215</v>
      </c>
      <c r="C2584" s="76">
        <v>43962</v>
      </c>
      <c r="D2584">
        <v>1387</v>
      </c>
      <c r="E2584">
        <v>649</v>
      </c>
      <c r="F2584">
        <v>2125</v>
      </c>
      <c r="G2584">
        <v>1647</v>
      </c>
      <c r="H2584">
        <v>45.7</v>
      </c>
      <c r="I2584">
        <v>38.799999999999997</v>
      </c>
      <c r="J2584">
        <v>52.6</v>
      </c>
      <c r="K2584">
        <v>25</v>
      </c>
      <c r="L2584">
        <v>2</v>
      </c>
      <c r="M2584">
        <v>48</v>
      </c>
      <c r="N2584">
        <v>0.8</v>
      </c>
      <c r="O2584">
        <v>0.3</v>
      </c>
      <c r="P2584">
        <v>1.4</v>
      </c>
      <c r="Q2584">
        <f t="shared" si="78"/>
        <v>1085004</v>
      </c>
      <c r="R2584">
        <f t="shared" si="79"/>
        <v>2.3041389709162363</v>
      </c>
      <c r="U2584">
        <v>99</v>
      </c>
      <c r="V2584">
        <v>21</v>
      </c>
      <c r="W2584">
        <v>177</v>
      </c>
      <c r="X2584">
        <v>120</v>
      </c>
      <c r="Y2584">
        <v>45.2</v>
      </c>
      <c r="Z2584">
        <v>28</v>
      </c>
      <c r="AA2584">
        <v>62.4</v>
      </c>
    </row>
    <row r="2585" spans="1:27" x14ac:dyDescent="0.25">
      <c r="A2585" t="s">
        <v>250</v>
      </c>
      <c r="B2585" t="s">
        <v>215</v>
      </c>
      <c r="C2585" s="76">
        <v>43963</v>
      </c>
      <c r="D2585">
        <v>1462</v>
      </c>
      <c r="E2585">
        <v>658</v>
      </c>
      <c r="F2585">
        <v>2265</v>
      </c>
      <c r="G2585">
        <v>1558</v>
      </c>
      <c r="H2585">
        <v>48.4</v>
      </c>
      <c r="I2585">
        <v>40.4</v>
      </c>
      <c r="J2585">
        <v>56.4</v>
      </c>
      <c r="K2585">
        <v>19</v>
      </c>
      <c r="L2585">
        <v>0</v>
      </c>
      <c r="M2585">
        <v>40</v>
      </c>
      <c r="N2585">
        <v>0.6</v>
      </c>
      <c r="O2585">
        <v>0.1</v>
      </c>
      <c r="P2585">
        <v>1.2</v>
      </c>
      <c r="Q2585">
        <f t="shared" si="78"/>
        <v>1085004</v>
      </c>
      <c r="R2585">
        <f t="shared" si="79"/>
        <v>1.7511456178963394</v>
      </c>
      <c r="U2585">
        <v>111</v>
      </c>
      <c r="V2585">
        <v>20</v>
      </c>
      <c r="W2585">
        <v>201</v>
      </c>
      <c r="X2585">
        <v>120</v>
      </c>
      <c r="Y2585">
        <v>48</v>
      </c>
      <c r="Z2585">
        <v>26.2</v>
      </c>
      <c r="AA2585">
        <v>69.900000000000006</v>
      </c>
    </row>
    <row r="2586" spans="1:27" x14ac:dyDescent="0.25">
      <c r="A2586" t="s">
        <v>250</v>
      </c>
      <c r="B2586" t="s">
        <v>215</v>
      </c>
      <c r="C2586" s="76">
        <v>43964</v>
      </c>
      <c r="D2586">
        <v>1542</v>
      </c>
      <c r="E2586">
        <v>689</v>
      </c>
      <c r="F2586">
        <v>2394</v>
      </c>
      <c r="G2586">
        <v>1431</v>
      </c>
      <c r="H2586">
        <v>51.9</v>
      </c>
      <c r="I2586">
        <v>43.3</v>
      </c>
      <c r="J2586">
        <v>60.4</v>
      </c>
      <c r="K2586">
        <v>24</v>
      </c>
      <c r="L2586">
        <v>1</v>
      </c>
      <c r="M2586">
        <v>47</v>
      </c>
      <c r="N2586">
        <v>0.8</v>
      </c>
      <c r="O2586">
        <v>0.1</v>
      </c>
      <c r="P2586">
        <v>1.5</v>
      </c>
      <c r="Q2586">
        <f t="shared" si="78"/>
        <v>1085004</v>
      </c>
      <c r="R2586">
        <f t="shared" si="79"/>
        <v>2.2119734120795869</v>
      </c>
      <c r="U2586">
        <v>139</v>
      </c>
      <c r="V2586">
        <v>30</v>
      </c>
      <c r="W2586">
        <v>248</v>
      </c>
      <c r="X2586">
        <v>92</v>
      </c>
      <c r="Y2586">
        <v>60.2</v>
      </c>
      <c r="Z2586">
        <v>37.200000000000003</v>
      </c>
      <c r="AA2586">
        <v>83.2</v>
      </c>
    </row>
    <row r="2587" spans="1:27" x14ac:dyDescent="0.25">
      <c r="A2587" t="s">
        <v>250</v>
      </c>
      <c r="B2587" t="s">
        <v>215</v>
      </c>
      <c r="C2587" s="76">
        <v>43965</v>
      </c>
      <c r="D2587">
        <v>1547</v>
      </c>
      <c r="E2587">
        <v>689</v>
      </c>
      <c r="F2587">
        <v>2405</v>
      </c>
      <c r="G2587">
        <v>1426</v>
      </c>
      <c r="H2587">
        <v>52</v>
      </c>
      <c r="I2587">
        <v>43</v>
      </c>
      <c r="J2587">
        <v>61.1</v>
      </c>
      <c r="K2587">
        <v>39</v>
      </c>
      <c r="L2587">
        <v>7</v>
      </c>
      <c r="M2587">
        <v>70</v>
      </c>
      <c r="N2587">
        <v>1.3</v>
      </c>
      <c r="O2587">
        <v>0.4</v>
      </c>
      <c r="P2587">
        <v>2.2000000000000002</v>
      </c>
      <c r="Q2587">
        <f t="shared" si="78"/>
        <v>1085004</v>
      </c>
      <c r="R2587">
        <f t="shared" si="79"/>
        <v>3.5944567946293287</v>
      </c>
      <c r="U2587">
        <v>126</v>
      </c>
      <c r="V2587">
        <v>33</v>
      </c>
      <c r="W2587">
        <v>219</v>
      </c>
      <c r="X2587">
        <v>102</v>
      </c>
      <c r="Y2587">
        <v>55.4</v>
      </c>
      <c r="Z2587">
        <v>35.700000000000003</v>
      </c>
      <c r="AA2587">
        <v>75.099999999999994</v>
      </c>
    </row>
    <row r="2588" spans="1:27" x14ac:dyDescent="0.25">
      <c r="A2588" t="s">
        <v>250</v>
      </c>
      <c r="B2588" t="s">
        <v>215</v>
      </c>
      <c r="C2588" s="76">
        <v>43966</v>
      </c>
      <c r="D2588">
        <v>1530</v>
      </c>
      <c r="E2588">
        <v>671</v>
      </c>
      <c r="F2588">
        <v>2389</v>
      </c>
      <c r="G2588">
        <v>1448</v>
      </c>
      <c r="H2588">
        <v>51.4</v>
      </c>
      <c r="I2588">
        <v>42.2</v>
      </c>
      <c r="J2588">
        <v>60.5</v>
      </c>
      <c r="K2588">
        <v>27</v>
      </c>
      <c r="L2588">
        <v>5</v>
      </c>
      <c r="M2588">
        <v>48</v>
      </c>
      <c r="N2588">
        <v>0.9</v>
      </c>
      <c r="O2588">
        <v>0.3</v>
      </c>
      <c r="P2588">
        <v>1.5</v>
      </c>
      <c r="Q2588">
        <f t="shared" si="78"/>
        <v>1085004</v>
      </c>
      <c r="R2588">
        <f t="shared" si="79"/>
        <v>2.4884700885895348</v>
      </c>
      <c r="U2588">
        <v>100</v>
      </c>
      <c r="V2588">
        <v>23</v>
      </c>
      <c r="W2588">
        <v>177</v>
      </c>
      <c r="X2588">
        <v>122</v>
      </c>
      <c r="Y2588">
        <v>45</v>
      </c>
      <c r="Z2588">
        <v>29.3</v>
      </c>
      <c r="AA2588">
        <v>60.8</v>
      </c>
    </row>
    <row r="2589" spans="1:27" x14ac:dyDescent="0.25">
      <c r="A2589" t="s">
        <v>250</v>
      </c>
      <c r="B2589" t="s">
        <v>215</v>
      </c>
      <c r="C2589" s="76">
        <v>43967</v>
      </c>
      <c r="D2589">
        <v>1598</v>
      </c>
      <c r="E2589">
        <v>332</v>
      </c>
      <c r="F2589">
        <v>2864</v>
      </c>
      <c r="G2589">
        <v>1324</v>
      </c>
      <c r="H2589">
        <v>54.7</v>
      </c>
      <c r="I2589">
        <v>41.8</v>
      </c>
      <c r="J2589">
        <v>67.5</v>
      </c>
      <c r="K2589">
        <v>19</v>
      </c>
      <c r="L2589">
        <v>0</v>
      </c>
      <c r="M2589">
        <v>43</v>
      </c>
      <c r="N2589">
        <v>0.6</v>
      </c>
      <c r="O2589">
        <v>0</v>
      </c>
      <c r="P2589">
        <v>1.4</v>
      </c>
      <c r="Q2589">
        <f t="shared" si="78"/>
        <v>1085004</v>
      </c>
      <c r="R2589">
        <f t="shared" si="79"/>
        <v>1.7511456178963394</v>
      </c>
      <c r="U2589">
        <v>88</v>
      </c>
      <c r="V2589">
        <v>2</v>
      </c>
      <c r="W2589">
        <v>174</v>
      </c>
      <c r="X2589">
        <v>130</v>
      </c>
      <c r="Y2589">
        <v>40.4</v>
      </c>
      <c r="Z2589">
        <v>22.2</v>
      </c>
      <c r="AA2589">
        <v>58.5</v>
      </c>
    </row>
    <row r="2590" spans="1:27" x14ac:dyDescent="0.25">
      <c r="A2590" t="s">
        <v>250</v>
      </c>
      <c r="B2590" t="s">
        <v>215</v>
      </c>
      <c r="C2590" s="76">
        <v>43968</v>
      </c>
      <c r="D2590">
        <v>1579</v>
      </c>
      <c r="E2590">
        <v>313</v>
      </c>
      <c r="F2590">
        <v>2844</v>
      </c>
      <c r="G2590">
        <v>1336</v>
      </c>
      <c r="H2590">
        <v>54.2</v>
      </c>
      <c r="I2590">
        <v>40.799999999999997</v>
      </c>
      <c r="J2590">
        <v>67.5</v>
      </c>
      <c r="K2590">
        <v>21</v>
      </c>
      <c r="L2590">
        <v>0</v>
      </c>
      <c r="M2590">
        <v>48</v>
      </c>
      <c r="N2590">
        <v>0.7</v>
      </c>
      <c r="O2590">
        <v>0</v>
      </c>
      <c r="P2590">
        <v>1.6</v>
      </c>
      <c r="Q2590">
        <f t="shared" si="78"/>
        <v>1085004</v>
      </c>
      <c r="R2590">
        <f t="shared" si="79"/>
        <v>1.9354767355696385</v>
      </c>
      <c r="U2590">
        <v>121</v>
      </c>
      <c r="V2590">
        <v>0</v>
      </c>
      <c r="W2590">
        <v>253</v>
      </c>
      <c r="X2590">
        <v>104</v>
      </c>
      <c r="Y2590">
        <v>53.7</v>
      </c>
      <c r="Z2590">
        <v>24</v>
      </c>
      <c r="AA2590">
        <v>83.5</v>
      </c>
    </row>
    <row r="2591" spans="1:27" x14ac:dyDescent="0.25">
      <c r="A2591" t="s">
        <v>250</v>
      </c>
      <c r="B2591" t="s">
        <v>215</v>
      </c>
      <c r="C2591" s="76">
        <v>43969</v>
      </c>
      <c r="D2591">
        <v>1641</v>
      </c>
      <c r="E2591">
        <v>270</v>
      </c>
      <c r="F2591">
        <v>3011</v>
      </c>
      <c r="G2591">
        <v>1296</v>
      </c>
      <c r="H2591">
        <v>55.9</v>
      </c>
      <c r="I2591">
        <v>40.1</v>
      </c>
      <c r="J2591">
        <v>71.599999999999994</v>
      </c>
      <c r="K2591">
        <v>29</v>
      </c>
      <c r="L2591">
        <v>0</v>
      </c>
      <c r="M2591">
        <v>61</v>
      </c>
      <c r="N2591">
        <v>1</v>
      </c>
      <c r="O2591">
        <v>0</v>
      </c>
      <c r="P2591">
        <v>2</v>
      </c>
      <c r="Q2591">
        <f t="shared" si="78"/>
        <v>1085004</v>
      </c>
      <c r="R2591">
        <f t="shared" si="79"/>
        <v>2.6728012062628341</v>
      </c>
      <c r="U2591">
        <v>118</v>
      </c>
      <c r="V2591">
        <v>0</v>
      </c>
      <c r="W2591">
        <v>249</v>
      </c>
      <c r="X2591">
        <v>107</v>
      </c>
      <c r="Y2591">
        <v>52.5</v>
      </c>
      <c r="Z2591">
        <v>23.5</v>
      </c>
      <c r="AA2591">
        <v>81.400000000000006</v>
      </c>
    </row>
    <row r="2592" spans="1:27" x14ac:dyDescent="0.25">
      <c r="A2592" t="s">
        <v>250</v>
      </c>
      <c r="B2592" t="s">
        <v>215</v>
      </c>
      <c r="C2592" s="76">
        <v>43970</v>
      </c>
      <c r="D2592">
        <v>1653</v>
      </c>
      <c r="E2592">
        <v>268</v>
      </c>
      <c r="F2592">
        <v>3039</v>
      </c>
      <c r="G2592">
        <v>1274</v>
      </c>
      <c r="H2592">
        <v>56.5</v>
      </c>
      <c r="I2592">
        <v>40.799999999999997</v>
      </c>
      <c r="J2592">
        <v>72.099999999999994</v>
      </c>
      <c r="K2592">
        <v>24</v>
      </c>
      <c r="L2592">
        <v>0</v>
      </c>
      <c r="M2592">
        <v>50</v>
      </c>
      <c r="N2592">
        <v>0.8</v>
      </c>
      <c r="O2592">
        <v>0.2</v>
      </c>
      <c r="P2592">
        <v>1.5</v>
      </c>
      <c r="Q2592">
        <f t="shared" si="78"/>
        <v>1085004</v>
      </c>
      <c r="R2592">
        <f t="shared" si="79"/>
        <v>2.2119734120795869</v>
      </c>
      <c r="U2592">
        <v>106</v>
      </c>
      <c r="V2592">
        <v>0</v>
      </c>
      <c r="W2592">
        <v>226</v>
      </c>
      <c r="X2592">
        <v>115</v>
      </c>
      <c r="Y2592">
        <v>47.9</v>
      </c>
      <c r="Z2592">
        <v>21.1</v>
      </c>
      <c r="AA2592">
        <v>74.8</v>
      </c>
    </row>
    <row r="2593" spans="1:27" x14ac:dyDescent="0.25">
      <c r="A2593" t="s">
        <v>250</v>
      </c>
      <c r="B2593" t="s">
        <v>215</v>
      </c>
      <c r="C2593" s="76">
        <v>43971</v>
      </c>
      <c r="D2593">
        <v>1667</v>
      </c>
      <c r="E2593">
        <v>359</v>
      </c>
      <c r="F2593">
        <v>2975</v>
      </c>
      <c r="G2593">
        <v>1268</v>
      </c>
      <c r="H2593">
        <v>56.8</v>
      </c>
      <c r="I2593">
        <v>44.1</v>
      </c>
      <c r="J2593">
        <v>69.5</v>
      </c>
      <c r="K2593">
        <v>18</v>
      </c>
      <c r="L2593">
        <v>0</v>
      </c>
      <c r="M2593">
        <v>37</v>
      </c>
      <c r="N2593">
        <v>0.6</v>
      </c>
      <c r="O2593">
        <v>0</v>
      </c>
      <c r="P2593">
        <v>1.3</v>
      </c>
      <c r="Q2593">
        <f t="shared" si="78"/>
        <v>1085004</v>
      </c>
      <c r="R2593">
        <f t="shared" si="79"/>
        <v>1.6589800590596901</v>
      </c>
      <c r="U2593">
        <v>96</v>
      </c>
      <c r="V2593">
        <v>1</v>
      </c>
      <c r="W2593">
        <v>190</v>
      </c>
      <c r="X2593">
        <v>126</v>
      </c>
      <c r="Y2593">
        <v>43.2</v>
      </c>
      <c r="Z2593">
        <v>25.8</v>
      </c>
      <c r="AA2593">
        <v>60.6</v>
      </c>
    </row>
    <row r="2594" spans="1:27" x14ac:dyDescent="0.25">
      <c r="A2594" t="s">
        <v>250</v>
      </c>
      <c r="B2594" t="s">
        <v>215</v>
      </c>
      <c r="C2594" s="76">
        <v>43972</v>
      </c>
      <c r="D2594">
        <v>1544</v>
      </c>
      <c r="E2594">
        <v>199</v>
      </c>
      <c r="F2594">
        <v>2890</v>
      </c>
      <c r="G2594">
        <v>1354</v>
      </c>
      <c r="H2594">
        <v>53.3</v>
      </c>
      <c r="I2594">
        <v>36.700000000000003</v>
      </c>
      <c r="J2594">
        <v>69.900000000000006</v>
      </c>
      <c r="K2594">
        <v>24</v>
      </c>
      <c r="L2594">
        <v>0</v>
      </c>
      <c r="M2594">
        <v>47</v>
      </c>
      <c r="N2594">
        <v>0.8</v>
      </c>
      <c r="O2594">
        <v>0.1</v>
      </c>
      <c r="P2594">
        <v>1.6</v>
      </c>
      <c r="Q2594">
        <f t="shared" si="78"/>
        <v>1085004</v>
      </c>
      <c r="R2594">
        <f t="shared" si="79"/>
        <v>2.2119734120795869</v>
      </c>
      <c r="U2594">
        <v>129</v>
      </c>
      <c r="V2594">
        <v>0</v>
      </c>
      <c r="W2594">
        <v>260</v>
      </c>
      <c r="X2594">
        <v>109</v>
      </c>
      <c r="Y2594">
        <v>54.2</v>
      </c>
      <c r="Z2594">
        <v>27.7</v>
      </c>
      <c r="AA2594">
        <v>80.599999999999994</v>
      </c>
    </row>
    <row r="2595" spans="1:27" x14ac:dyDescent="0.25">
      <c r="A2595" t="s">
        <v>250</v>
      </c>
      <c r="B2595" t="s">
        <v>215</v>
      </c>
      <c r="C2595" s="76">
        <v>43973</v>
      </c>
      <c r="D2595">
        <v>1547</v>
      </c>
      <c r="E2595">
        <v>205</v>
      </c>
      <c r="F2595">
        <v>2890</v>
      </c>
      <c r="G2595">
        <v>1323</v>
      </c>
      <c r="H2595">
        <v>53.9</v>
      </c>
      <c r="I2595">
        <v>37</v>
      </c>
      <c r="J2595">
        <v>70.8</v>
      </c>
      <c r="K2595">
        <v>27</v>
      </c>
      <c r="L2595">
        <v>1</v>
      </c>
      <c r="M2595">
        <v>52</v>
      </c>
      <c r="N2595">
        <v>0.9</v>
      </c>
      <c r="O2595">
        <v>0</v>
      </c>
      <c r="P2595">
        <v>1.8</v>
      </c>
      <c r="Q2595">
        <f t="shared" si="78"/>
        <v>1085004</v>
      </c>
      <c r="R2595">
        <f t="shared" si="79"/>
        <v>2.4884700885895348</v>
      </c>
      <c r="U2595">
        <v>109</v>
      </c>
      <c r="V2595">
        <v>6</v>
      </c>
      <c r="W2595">
        <v>212</v>
      </c>
      <c r="X2595">
        <v>129</v>
      </c>
      <c r="Y2595">
        <v>45.7</v>
      </c>
      <c r="Z2595">
        <v>24.2</v>
      </c>
      <c r="AA2595">
        <v>67.3</v>
      </c>
    </row>
    <row r="2596" spans="1:27" x14ac:dyDescent="0.25">
      <c r="A2596" t="s">
        <v>250</v>
      </c>
      <c r="B2596" t="s">
        <v>215</v>
      </c>
      <c r="C2596" s="76">
        <v>43974</v>
      </c>
      <c r="D2596">
        <v>1444</v>
      </c>
      <c r="E2596">
        <v>171</v>
      </c>
      <c r="F2596">
        <v>2718</v>
      </c>
      <c r="G2596">
        <v>1429</v>
      </c>
      <c r="H2596">
        <v>50.3</v>
      </c>
      <c r="I2596">
        <v>33.700000000000003</v>
      </c>
      <c r="J2596">
        <v>66.900000000000006</v>
      </c>
      <c r="K2596">
        <v>32</v>
      </c>
      <c r="L2596">
        <v>0</v>
      </c>
      <c r="M2596">
        <v>64</v>
      </c>
      <c r="N2596">
        <v>1.1000000000000001</v>
      </c>
      <c r="O2596">
        <v>0.2</v>
      </c>
      <c r="P2596">
        <v>2</v>
      </c>
      <c r="Q2596">
        <f t="shared" si="78"/>
        <v>1085004</v>
      </c>
      <c r="R2596">
        <f t="shared" si="79"/>
        <v>2.9492978827727825</v>
      </c>
      <c r="U2596">
        <v>112</v>
      </c>
      <c r="V2596">
        <v>0</v>
      </c>
      <c r="W2596">
        <v>224</v>
      </c>
      <c r="X2596">
        <v>127</v>
      </c>
      <c r="Y2596">
        <v>46.9</v>
      </c>
      <c r="Z2596">
        <v>24.2</v>
      </c>
      <c r="AA2596">
        <v>69.599999999999994</v>
      </c>
    </row>
    <row r="2597" spans="1:27" x14ac:dyDescent="0.25">
      <c r="A2597" t="s">
        <v>250</v>
      </c>
      <c r="B2597" t="s">
        <v>215</v>
      </c>
      <c r="C2597" s="76">
        <v>43975</v>
      </c>
      <c r="D2597">
        <v>1394</v>
      </c>
      <c r="E2597">
        <v>210</v>
      </c>
      <c r="F2597">
        <v>2578</v>
      </c>
      <c r="G2597">
        <v>1504</v>
      </c>
      <c r="H2597">
        <v>48.1</v>
      </c>
      <c r="I2597">
        <v>33.6</v>
      </c>
      <c r="J2597">
        <v>62.6</v>
      </c>
      <c r="K2597">
        <v>28</v>
      </c>
      <c r="L2597">
        <v>0</v>
      </c>
      <c r="M2597">
        <v>65</v>
      </c>
      <c r="N2597">
        <v>0.9</v>
      </c>
      <c r="O2597">
        <v>0</v>
      </c>
      <c r="P2597">
        <v>2</v>
      </c>
      <c r="Q2597">
        <f t="shared" si="78"/>
        <v>1085004</v>
      </c>
      <c r="R2597">
        <f t="shared" si="79"/>
        <v>2.5806356474261847</v>
      </c>
      <c r="U2597">
        <v>110</v>
      </c>
      <c r="V2597">
        <v>0</v>
      </c>
      <c r="W2597">
        <v>228</v>
      </c>
      <c r="X2597">
        <v>128</v>
      </c>
      <c r="Y2597">
        <v>46.3</v>
      </c>
      <c r="Z2597">
        <v>18.600000000000001</v>
      </c>
      <c r="AA2597">
        <v>74</v>
      </c>
    </row>
    <row r="2598" spans="1:27" x14ac:dyDescent="0.25">
      <c r="A2598" t="s">
        <v>250</v>
      </c>
      <c r="B2598" t="s">
        <v>215</v>
      </c>
      <c r="C2598" s="76">
        <v>43976</v>
      </c>
      <c r="D2598">
        <v>1322</v>
      </c>
      <c r="E2598">
        <v>160</v>
      </c>
      <c r="F2598">
        <v>2484</v>
      </c>
      <c r="G2598">
        <v>1595</v>
      </c>
      <c r="H2598">
        <v>45.3</v>
      </c>
      <c r="I2598">
        <v>30.4</v>
      </c>
      <c r="J2598">
        <v>60.2</v>
      </c>
      <c r="K2598">
        <v>26</v>
      </c>
      <c r="L2598">
        <v>1</v>
      </c>
      <c r="M2598">
        <v>51</v>
      </c>
      <c r="N2598">
        <v>0.9</v>
      </c>
      <c r="O2598">
        <v>0.2</v>
      </c>
      <c r="P2598">
        <v>1.6</v>
      </c>
      <c r="Q2598">
        <f t="shared" si="78"/>
        <v>1085004</v>
      </c>
      <c r="R2598">
        <f t="shared" si="79"/>
        <v>2.3963045297528858</v>
      </c>
      <c r="U2598">
        <v>107</v>
      </c>
      <c r="V2598">
        <v>0</v>
      </c>
      <c r="W2598">
        <v>226</v>
      </c>
      <c r="X2598">
        <v>118</v>
      </c>
      <c r="Y2598">
        <v>47.5</v>
      </c>
      <c r="Z2598">
        <v>20.5</v>
      </c>
      <c r="AA2598">
        <v>74.599999999999994</v>
      </c>
    </row>
    <row r="2599" spans="1:27" x14ac:dyDescent="0.25">
      <c r="A2599" t="s">
        <v>250</v>
      </c>
      <c r="B2599" t="s">
        <v>215</v>
      </c>
      <c r="C2599" s="76">
        <v>43977</v>
      </c>
      <c r="D2599">
        <v>1316</v>
      </c>
      <c r="E2599">
        <v>150</v>
      </c>
      <c r="F2599">
        <v>2483</v>
      </c>
      <c r="G2599">
        <v>1587</v>
      </c>
      <c r="H2599">
        <v>45.3</v>
      </c>
      <c r="I2599">
        <v>30.1</v>
      </c>
      <c r="J2599">
        <v>60.6</v>
      </c>
      <c r="K2599">
        <v>20</v>
      </c>
      <c r="L2599">
        <v>0</v>
      </c>
      <c r="M2599">
        <v>41</v>
      </c>
      <c r="N2599">
        <v>0.7</v>
      </c>
      <c r="O2599">
        <v>0.1</v>
      </c>
      <c r="P2599">
        <v>1.2</v>
      </c>
      <c r="Q2599">
        <f t="shared" ref="Q2599:Q2662" si="80">VLOOKUP(B2599,$AE$4:$AF$55,2,FALSE)</f>
        <v>1085004</v>
      </c>
      <c r="R2599">
        <f t="shared" si="79"/>
        <v>1.8433111767329891</v>
      </c>
      <c r="U2599">
        <v>104</v>
      </c>
      <c r="V2599">
        <v>0</v>
      </c>
      <c r="W2599">
        <v>215</v>
      </c>
      <c r="X2599">
        <v>127</v>
      </c>
      <c r="Y2599">
        <v>45.2</v>
      </c>
      <c r="Z2599">
        <v>22</v>
      </c>
      <c r="AA2599">
        <v>68.400000000000006</v>
      </c>
    </row>
    <row r="2600" spans="1:27" x14ac:dyDescent="0.25">
      <c r="A2600" t="s">
        <v>250</v>
      </c>
      <c r="B2600" t="s">
        <v>215</v>
      </c>
      <c r="C2600" s="76">
        <v>43978</v>
      </c>
      <c r="D2600">
        <v>1429</v>
      </c>
      <c r="E2600">
        <v>173</v>
      </c>
      <c r="F2600">
        <v>2684</v>
      </c>
      <c r="G2600">
        <v>1422</v>
      </c>
      <c r="H2600">
        <v>50.1</v>
      </c>
      <c r="I2600">
        <v>34.6</v>
      </c>
      <c r="J2600">
        <v>65.599999999999994</v>
      </c>
      <c r="K2600">
        <v>27</v>
      </c>
      <c r="L2600">
        <v>1</v>
      </c>
      <c r="M2600">
        <v>53</v>
      </c>
      <c r="N2600">
        <v>0.9</v>
      </c>
      <c r="O2600">
        <v>0.3</v>
      </c>
      <c r="P2600">
        <v>1.6</v>
      </c>
      <c r="Q2600">
        <f t="shared" si="80"/>
        <v>1085004</v>
      </c>
      <c r="R2600">
        <f t="shared" si="79"/>
        <v>2.4884700885895348</v>
      </c>
      <c r="U2600">
        <v>117</v>
      </c>
      <c r="V2600">
        <v>0</v>
      </c>
      <c r="W2600">
        <v>250</v>
      </c>
      <c r="X2600">
        <v>117</v>
      </c>
      <c r="Y2600">
        <v>50.2</v>
      </c>
      <c r="Z2600">
        <v>22.4</v>
      </c>
      <c r="AA2600">
        <v>77.900000000000006</v>
      </c>
    </row>
    <row r="2601" spans="1:27" x14ac:dyDescent="0.25">
      <c r="A2601" t="s">
        <v>250</v>
      </c>
      <c r="B2601" t="s">
        <v>215</v>
      </c>
      <c r="C2601" s="76">
        <v>43979</v>
      </c>
      <c r="D2601">
        <v>1515</v>
      </c>
      <c r="E2601">
        <v>233</v>
      </c>
      <c r="F2601">
        <v>2797</v>
      </c>
      <c r="G2601">
        <v>1440</v>
      </c>
      <c r="H2601">
        <v>51.3</v>
      </c>
      <c r="I2601">
        <v>34.9</v>
      </c>
      <c r="J2601">
        <v>67.599999999999994</v>
      </c>
      <c r="K2601">
        <v>20</v>
      </c>
      <c r="L2601">
        <v>0</v>
      </c>
      <c r="M2601">
        <v>44</v>
      </c>
      <c r="N2601">
        <v>0.7</v>
      </c>
      <c r="O2601">
        <v>0</v>
      </c>
      <c r="P2601">
        <v>1.4</v>
      </c>
      <c r="Q2601">
        <f t="shared" si="80"/>
        <v>1085004</v>
      </c>
      <c r="R2601">
        <f t="shared" si="79"/>
        <v>1.8433111767329891</v>
      </c>
      <c r="U2601">
        <v>96</v>
      </c>
      <c r="V2601">
        <v>0</v>
      </c>
      <c r="W2601">
        <v>221</v>
      </c>
      <c r="X2601">
        <v>155</v>
      </c>
      <c r="Y2601">
        <v>38.200000000000003</v>
      </c>
      <c r="Z2601">
        <v>5.6</v>
      </c>
      <c r="AA2601">
        <v>70.8</v>
      </c>
    </row>
    <row r="2602" spans="1:27" x14ac:dyDescent="0.25">
      <c r="A2602" t="s">
        <v>250</v>
      </c>
      <c r="B2602" t="s">
        <v>215</v>
      </c>
      <c r="C2602" s="76">
        <v>43980</v>
      </c>
      <c r="D2602">
        <v>1560</v>
      </c>
      <c r="E2602">
        <v>193</v>
      </c>
      <c r="F2602">
        <v>2928</v>
      </c>
      <c r="G2602">
        <v>1317</v>
      </c>
      <c r="H2602">
        <v>54.2</v>
      </c>
      <c r="I2602">
        <v>36.6</v>
      </c>
      <c r="J2602">
        <v>71.900000000000006</v>
      </c>
      <c r="K2602">
        <v>13</v>
      </c>
      <c r="L2602">
        <v>0</v>
      </c>
      <c r="M2602">
        <v>25</v>
      </c>
      <c r="N2602">
        <v>0.4</v>
      </c>
      <c r="O2602">
        <v>0.1</v>
      </c>
      <c r="P2602">
        <v>0.8</v>
      </c>
      <c r="Q2602">
        <f t="shared" si="80"/>
        <v>1085004</v>
      </c>
      <c r="R2602">
        <f t="shared" si="79"/>
        <v>1.1981522648764429</v>
      </c>
      <c r="U2602">
        <v>109</v>
      </c>
      <c r="V2602">
        <v>0</v>
      </c>
      <c r="W2602">
        <v>231</v>
      </c>
      <c r="X2602">
        <v>128</v>
      </c>
      <c r="Y2602">
        <v>46</v>
      </c>
      <c r="Z2602">
        <v>17.3</v>
      </c>
      <c r="AA2602">
        <v>74.7</v>
      </c>
    </row>
    <row r="2603" spans="1:27" x14ac:dyDescent="0.25">
      <c r="A2603" t="s">
        <v>250</v>
      </c>
      <c r="B2603" t="s">
        <v>215</v>
      </c>
      <c r="C2603" s="76">
        <v>43981</v>
      </c>
      <c r="D2603">
        <v>1457</v>
      </c>
      <c r="E2603">
        <v>178</v>
      </c>
      <c r="F2603">
        <v>2736</v>
      </c>
      <c r="G2603">
        <v>1339</v>
      </c>
      <c r="H2603">
        <v>52.1</v>
      </c>
      <c r="I2603">
        <v>35.799999999999997</v>
      </c>
      <c r="J2603">
        <v>68.400000000000006</v>
      </c>
      <c r="K2603">
        <v>24</v>
      </c>
      <c r="L2603">
        <v>0</v>
      </c>
      <c r="M2603">
        <v>49</v>
      </c>
      <c r="N2603">
        <v>0.9</v>
      </c>
      <c r="O2603">
        <v>0</v>
      </c>
      <c r="P2603">
        <v>1.7</v>
      </c>
      <c r="Q2603">
        <f t="shared" si="80"/>
        <v>1085004</v>
      </c>
      <c r="R2603">
        <f t="shared" si="79"/>
        <v>2.2119734120795869</v>
      </c>
      <c r="U2603">
        <v>99</v>
      </c>
      <c r="V2603">
        <v>11</v>
      </c>
      <c r="W2603">
        <v>186</v>
      </c>
      <c r="X2603">
        <v>133</v>
      </c>
      <c r="Y2603">
        <v>42.6</v>
      </c>
      <c r="Z2603">
        <v>30</v>
      </c>
      <c r="AA2603">
        <v>55.2</v>
      </c>
    </row>
    <row r="2604" spans="1:27" x14ac:dyDescent="0.25">
      <c r="A2604" t="s">
        <v>250</v>
      </c>
      <c r="B2604" t="s">
        <v>215</v>
      </c>
      <c r="C2604" s="76">
        <v>43982</v>
      </c>
      <c r="D2604">
        <v>1466</v>
      </c>
      <c r="E2604">
        <v>193</v>
      </c>
      <c r="F2604">
        <v>2738</v>
      </c>
      <c r="G2604">
        <v>1339</v>
      </c>
      <c r="H2604">
        <v>52.3</v>
      </c>
      <c r="I2604">
        <v>36.6</v>
      </c>
      <c r="J2604">
        <v>67.900000000000006</v>
      </c>
      <c r="K2604">
        <v>42</v>
      </c>
      <c r="L2604">
        <v>0</v>
      </c>
      <c r="M2604">
        <v>90</v>
      </c>
      <c r="N2604">
        <v>1.5</v>
      </c>
      <c r="O2604">
        <v>0</v>
      </c>
      <c r="P2604">
        <v>3</v>
      </c>
      <c r="Q2604">
        <f t="shared" si="80"/>
        <v>1085004</v>
      </c>
      <c r="R2604">
        <f t="shared" si="79"/>
        <v>3.870953471139277</v>
      </c>
      <c r="U2604">
        <v>96</v>
      </c>
      <c r="V2604">
        <v>5</v>
      </c>
      <c r="W2604">
        <v>187</v>
      </c>
      <c r="X2604">
        <v>128</v>
      </c>
      <c r="Y2604">
        <v>42.7</v>
      </c>
      <c r="Z2604">
        <v>28.3</v>
      </c>
      <c r="AA2604">
        <v>57.1</v>
      </c>
    </row>
    <row r="2605" spans="1:27" x14ac:dyDescent="0.25">
      <c r="A2605" t="s">
        <v>250</v>
      </c>
      <c r="B2605" t="s">
        <v>215</v>
      </c>
      <c r="C2605" s="76">
        <v>43983</v>
      </c>
      <c r="D2605">
        <v>902</v>
      </c>
      <c r="E2605">
        <v>365</v>
      </c>
      <c r="F2605">
        <v>1438</v>
      </c>
      <c r="G2605">
        <v>1152</v>
      </c>
      <c r="H2605">
        <v>43.9</v>
      </c>
      <c r="I2605">
        <v>34.9</v>
      </c>
      <c r="J2605">
        <v>53</v>
      </c>
      <c r="K2605">
        <v>20</v>
      </c>
      <c r="L2605">
        <v>0</v>
      </c>
      <c r="M2605">
        <v>48</v>
      </c>
      <c r="N2605">
        <v>1</v>
      </c>
      <c r="O2605">
        <v>0</v>
      </c>
      <c r="P2605">
        <v>2.2999999999999998</v>
      </c>
      <c r="Q2605">
        <f t="shared" si="80"/>
        <v>1085004</v>
      </c>
      <c r="R2605">
        <f t="shared" si="79"/>
        <v>1.8433111767329891</v>
      </c>
      <c r="U2605">
        <v>67</v>
      </c>
      <c r="V2605">
        <v>12</v>
      </c>
      <c r="W2605">
        <v>122</v>
      </c>
      <c r="X2605">
        <v>93</v>
      </c>
      <c r="Y2605">
        <v>41.8</v>
      </c>
      <c r="Z2605">
        <v>30.1</v>
      </c>
      <c r="AA2605">
        <v>53.6</v>
      </c>
    </row>
    <row r="2606" spans="1:27" x14ac:dyDescent="0.25">
      <c r="A2606" t="s">
        <v>250</v>
      </c>
      <c r="B2606" t="s">
        <v>215</v>
      </c>
      <c r="C2606" s="76">
        <v>43984</v>
      </c>
      <c r="D2606">
        <v>1032</v>
      </c>
      <c r="E2606">
        <v>192</v>
      </c>
      <c r="F2606">
        <v>1873</v>
      </c>
      <c r="G2606">
        <v>1063</v>
      </c>
      <c r="H2606">
        <v>49.3</v>
      </c>
      <c r="I2606">
        <v>40.5</v>
      </c>
      <c r="J2606">
        <v>58</v>
      </c>
      <c r="K2606">
        <v>20</v>
      </c>
      <c r="L2606">
        <v>0</v>
      </c>
      <c r="M2606">
        <v>43</v>
      </c>
      <c r="N2606">
        <v>0.9</v>
      </c>
      <c r="O2606">
        <v>0</v>
      </c>
      <c r="P2606">
        <v>2</v>
      </c>
      <c r="Q2606">
        <f t="shared" si="80"/>
        <v>1085004</v>
      </c>
      <c r="R2606">
        <f t="shared" si="79"/>
        <v>1.8433111767329891</v>
      </c>
      <c r="U2606">
        <v>78</v>
      </c>
      <c r="V2606">
        <v>0</v>
      </c>
      <c r="W2606">
        <v>164</v>
      </c>
      <c r="X2606">
        <v>91</v>
      </c>
      <c r="Y2606">
        <v>46</v>
      </c>
      <c r="Z2606">
        <v>28.9</v>
      </c>
      <c r="AA2606">
        <v>63.1</v>
      </c>
    </row>
    <row r="2607" spans="1:27" x14ac:dyDescent="0.25">
      <c r="A2607" t="s">
        <v>250</v>
      </c>
      <c r="B2607" t="s">
        <v>215</v>
      </c>
      <c r="C2607" s="76">
        <v>43985</v>
      </c>
      <c r="D2607">
        <v>1078</v>
      </c>
      <c r="E2607">
        <v>264</v>
      </c>
      <c r="F2607">
        <v>1893</v>
      </c>
      <c r="G2607">
        <v>1061</v>
      </c>
      <c r="H2607">
        <v>50.4</v>
      </c>
      <c r="I2607">
        <v>42.3</v>
      </c>
      <c r="J2607">
        <v>58.5</v>
      </c>
      <c r="K2607">
        <v>17</v>
      </c>
      <c r="L2607">
        <v>0</v>
      </c>
      <c r="M2607">
        <v>35</v>
      </c>
      <c r="N2607">
        <v>0.8</v>
      </c>
      <c r="O2607">
        <v>0.1</v>
      </c>
      <c r="P2607">
        <v>1.6</v>
      </c>
      <c r="Q2607">
        <f t="shared" si="80"/>
        <v>1085004</v>
      </c>
      <c r="R2607">
        <f t="shared" si="79"/>
        <v>1.5668145002230407</v>
      </c>
      <c r="U2607">
        <v>85</v>
      </c>
      <c r="V2607">
        <v>0</v>
      </c>
      <c r="W2607">
        <v>176</v>
      </c>
      <c r="X2607">
        <v>85</v>
      </c>
      <c r="Y2607">
        <v>50.1</v>
      </c>
      <c r="Z2607">
        <v>32.700000000000003</v>
      </c>
      <c r="AA2607">
        <v>67.599999999999994</v>
      </c>
    </row>
    <row r="2608" spans="1:27" x14ac:dyDescent="0.25">
      <c r="A2608" t="s">
        <v>250</v>
      </c>
      <c r="B2608" t="s">
        <v>215</v>
      </c>
      <c r="C2608" s="76">
        <v>43986</v>
      </c>
      <c r="D2608">
        <v>936</v>
      </c>
      <c r="E2608">
        <v>324</v>
      </c>
      <c r="F2608">
        <v>1548</v>
      </c>
      <c r="G2608">
        <v>1063</v>
      </c>
      <c r="H2608">
        <v>46.8</v>
      </c>
      <c r="I2608">
        <v>35.700000000000003</v>
      </c>
      <c r="J2608">
        <v>58</v>
      </c>
      <c r="K2608">
        <v>12</v>
      </c>
      <c r="L2608">
        <v>0</v>
      </c>
      <c r="M2608">
        <v>25</v>
      </c>
      <c r="N2608">
        <v>0.6</v>
      </c>
      <c r="O2608">
        <v>0</v>
      </c>
      <c r="P2608">
        <v>1.2</v>
      </c>
      <c r="Q2608">
        <f t="shared" si="80"/>
        <v>1085004</v>
      </c>
      <c r="R2608">
        <f t="shared" si="79"/>
        <v>1.1059867060397934</v>
      </c>
      <c r="U2608">
        <v>59</v>
      </c>
      <c r="V2608">
        <v>8</v>
      </c>
      <c r="W2608">
        <v>110</v>
      </c>
      <c r="X2608">
        <v>99</v>
      </c>
      <c r="Y2608">
        <v>37.200000000000003</v>
      </c>
      <c r="Z2608">
        <v>25.7</v>
      </c>
      <c r="AA2608">
        <v>48.8</v>
      </c>
    </row>
    <row r="2609" spans="1:27" x14ac:dyDescent="0.25">
      <c r="A2609" t="s">
        <v>250</v>
      </c>
      <c r="B2609" t="s">
        <v>215</v>
      </c>
      <c r="C2609" s="76">
        <v>43987</v>
      </c>
      <c r="D2609">
        <v>1061</v>
      </c>
      <c r="E2609">
        <v>419</v>
      </c>
      <c r="F2609">
        <v>1703</v>
      </c>
      <c r="G2609">
        <v>1023</v>
      </c>
      <c r="H2609">
        <v>50.9</v>
      </c>
      <c r="I2609">
        <v>38.700000000000003</v>
      </c>
      <c r="J2609">
        <v>63.1</v>
      </c>
      <c r="K2609">
        <v>5</v>
      </c>
      <c r="L2609">
        <v>0</v>
      </c>
      <c r="M2609">
        <v>10</v>
      </c>
      <c r="N2609">
        <v>0.2</v>
      </c>
      <c r="O2609">
        <v>0</v>
      </c>
      <c r="P2609">
        <v>0.5</v>
      </c>
      <c r="Q2609">
        <f t="shared" si="80"/>
        <v>1085004</v>
      </c>
      <c r="R2609">
        <f t="shared" si="79"/>
        <v>0.46082779418324726</v>
      </c>
      <c r="U2609">
        <v>95</v>
      </c>
      <c r="V2609">
        <v>13</v>
      </c>
      <c r="W2609">
        <v>178</v>
      </c>
      <c r="X2609">
        <v>116</v>
      </c>
      <c r="Y2609">
        <v>45</v>
      </c>
      <c r="Z2609">
        <v>32.9</v>
      </c>
      <c r="AA2609">
        <v>57.1</v>
      </c>
    </row>
    <row r="2610" spans="1:27" x14ac:dyDescent="0.25">
      <c r="A2610" t="s">
        <v>250</v>
      </c>
      <c r="B2610" t="s">
        <v>215</v>
      </c>
      <c r="C2610" s="76">
        <v>43988</v>
      </c>
      <c r="D2610">
        <v>1028</v>
      </c>
      <c r="E2610">
        <v>421</v>
      </c>
      <c r="F2610">
        <v>1634</v>
      </c>
      <c r="G2610">
        <v>1017</v>
      </c>
      <c r="H2610">
        <v>50.3</v>
      </c>
      <c r="I2610">
        <v>40.299999999999997</v>
      </c>
      <c r="J2610">
        <v>60.2</v>
      </c>
      <c r="K2610">
        <v>11</v>
      </c>
      <c r="L2610">
        <v>0</v>
      </c>
      <c r="M2610">
        <v>29</v>
      </c>
      <c r="N2610">
        <v>0.6</v>
      </c>
      <c r="O2610">
        <v>0</v>
      </c>
      <c r="P2610">
        <v>1.4</v>
      </c>
      <c r="Q2610">
        <f t="shared" si="80"/>
        <v>1085004</v>
      </c>
      <c r="R2610">
        <f t="shared" si="79"/>
        <v>1.013821147203144</v>
      </c>
      <c r="U2610">
        <v>86</v>
      </c>
      <c r="V2610">
        <v>13</v>
      </c>
      <c r="W2610">
        <v>159</v>
      </c>
      <c r="X2610">
        <v>117</v>
      </c>
      <c r="Y2610">
        <v>42.4</v>
      </c>
      <c r="Z2610">
        <v>24.5</v>
      </c>
      <c r="AA2610">
        <v>60.3</v>
      </c>
    </row>
    <row r="2611" spans="1:27" x14ac:dyDescent="0.25">
      <c r="A2611" t="s">
        <v>250</v>
      </c>
      <c r="B2611" t="s">
        <v>215</v>
      </c>
      <c r="C2611" s="76">
        <v>43989</v>
      </c>
      <c r="D2611">
        <v>1644</v>
      </c>
      <c r="E2611">
        <v>269</v>
      </c>
      <c r="F2611">
        <v>3019</v>
      </c>
      <c r="G2611">
        <v>1205</v>
      </c>
      <c r="H2611">
        <v>57.7</v>
      </c>
      <c r="I2611">
        <v>41.7</v>
      </c>
      <c r="J2611">
        <v>73.7</v>
      </c>
      <c r="K2611">
        <v>24</v>
      </c>
      <c r="L2611">
        <v>0</v>
      </c>
      <c r="M2611">
        <v>48</v>
      </c>
      <c r="N2611">
        <v>0.8</v>
      </c>
      <c r="O2611">
        <v>0.2</v>
      </c>
      <c r="P2611">
        <v>1.5</v>
      </c>
      <c r="Q2611">
        <f t="shared" si="80"/>
        <v>1085004</v>
      </c>
      <c r="R2611">
        <f t="shared" si="79"/>
        <v>2.2119734120795869</v>
      </c>
      <c r="U2611">
        <v>186</v>
      </c>
      <c r="V2611">
        <v>0</v>
      </c>
      <c r="W2611">
        <v>383</v>
      </c>
      <c r="X2611">
        <v>113</v>
      </c>
      <c r="Y2611">
        <v>62.2</v>
      </c>
      <c r="Z2611">
        <v>38.4</v>
      </c>
      <c r="AA2611">
        <v>86</v>
      </c>
    </row>
    <row r="2612" spans="1:27" x14ac:dyDescent="0.25">
      <c r="A2612" t="s">
        <v>250</v>
      </c>
      <c r="B2612" t="s">
        <v>215</v>
      </c>
      <c r="C2612" s="76">
        <v>43990</v>
      </c>
      <c r="D2612">
        <v>1328</v>
      </c>
      <c r="E2612">
        <v>0</v>
      </c>
      <c r="F2612">
        <v>2688</v>
      </c>
      <c r="G2612">
        <v>1009</v>
      </c>
      <c r="H2612">
        <v>56.8</v>
      </c>
      <c r="I2612">
        <v>36.4</v>
      </c>
      <c r="J2612">
        <v>77.2</v>
      </c>
      <c r="K2612">
        <v>29</v>
      </c>
      <c r="L2612">
        <v>0</v>
      </c>
      <c r="M2612">
        <v>58</v>
      </c>
      <c r="N2612">
        <v>1.2</v>
      </c>
      <c r="O2612">
        <v>0.5</v>
      </c>
      <c r="P2612">
        <v>1.9</v>
      </c>
      <c r="Q2612">
        <f t="shared" si="80"/>
        <v>1085004</v>
      </c>
      <c r="R2612">
        <f t="shared" si="79"/>
        <v>2.6728012062628341</v>
      </c>
      <c r="U2612">
        <v>140</v>
      </c>
      <c r="V2612">
        <v>0</v>
      </c>
      <c r="W2612">
        <v>303</v>
      </c>
      <c r="X2612">
        <v>97</v>
      </c>
      <c r="Y2612">
        <v>59.1</v>
      </c>
      <c r="Z2612">
        <v>38.700000000000003</v>
      </c>
      <c r="AA2612">
        <v>79.5</v>
      </c>
    </row>
    <row r="2613" spans="1:27" x14ac:dyDescent="0.25">
      <c r="A2613" t="s">
        <v>250</v>
      </c>
      <c r="B2613" t="s">
        <v>215</v>
      </c>
      <c r="C2613" s="76">
        <v>43991</v>
      </c>
      <c r="D2613">
        <v>1498</v>
      </c>
      <c r="E2613">
        <v>0</v>
      </c>
      <c r="F2613">
        <v>3000</v>
      </c>
      <c r="G2613">
        <v>875</v>
      </c>
      <c r="H2613">
        <v>63.1</v>
      </c>
      <c r="I2613">
        <v>42</v>
      </c>
      <c r="J2613">
        <v>84.3</v>
      </c>
      <c r="K2613">
        <v>33</v>
      </c>
      <c r="L2613">
        <v>1</v>
      </c>
      <c r="M2613">
        <v>65</v>
      </c>
      <c r="N2613">
        <v>1.4</v>
      </c>
      <c r="O2613">
        <v>0.4</v>
      </c>
      <c r="P2613">
        <v>2.4</v>
      </c>
      <c r="Q2613">
        <f t="shared" si="80"/>
        <v>1085004</v>
      </c>
      <c r="R2613">
        <f t="shared" si="79"/>
        <v>3.0414634416094319</v>
      </c>
      <c r="U2613">
        <v>152</v>
      </c>
      <c r="V2613">
        <v>0</v>
      </c>
      <c r="W2613">
        <v>344</v>
      </c>
      <c r="X2613">
        <v>102</v>
      </c>
      <c r="Y2613">
        <v>59.9</v>
      </c>
      <c r="Z2613">
        <v>31.8</v>
      </c>
      <c r="AA2613">
        <v>88</v>
      </c>
    </row>
    <row r="2614" spans="1:27" x14ac:dyDescent="0.25">
      <c r="A2614" t="s">
        <v>250</v>
      </c>
      <c r="B2614" t="s">
        <v>215</v>
      </c>
      <c r="C2614" s="76">
        <v>43992</v>
      </c>
      <c r="D2614">
        <v>769</v>
      </c>
      <c r="E2614">
        <v>192</v>
      </c>
      <c r="F2614">
        <v>1346</v>
      </c>
      <c r="G2614">
        <v>779</v>
      </c>
      <c r="H2614">
        <v>49.7</v>
      </c>
      <c r="I2614">
        <v>37.299999999999997</v>
      </c>
      <c r="J2614">
        <v>62.1</v>
      </c>
      <c r="K2614">
        <v>8</v>
      </c>
      <c r="L2614">
        <v>0</v>
      </c>
      <c r="M2614">
        <v>19</v>
      </c>
      <c r="N2614">
        <v>0.5</v>
      </c>
      <c r="O2614">
        <v>0</v>
      </c>
      <c r="P2614">
        <v>1.1000000000000001</v>
      </c>
      <c r="Q2614">
        <f t="shared" si="80"/>
        <v>1085004</v>
      </c>
      <c r="R2614">
        <f t="shared" si="79"/>
        <v>0.73732447069319562</v>
      </c>
      <c r="U2614">
        <v>84</v>
      </c>
      <c r="V2614">
        <v>0</v>
      </c>
      <c r="W2614">
        <v>202</v>
      </c>
      <c r="X2614">
        <v>73</v>
      </c>
      <c r="Y2614">
        <v>53.6</v>
      </c>
      <c r="Z2614">
        <v>31.9</v>
      </c>
      <c r="AA2614">
        <v>75.3</v>
      </c>
    </row>
    <row r="2615" spans="1:27" x14ac:dyDescent="0.25">
      <c r="A2615" t="s">
        <v>250</v>
      </c>
      <c r="B2615" t="s">
        <v>215</v>
      </c>
      <c r="C2615" s="76">
        <v>43993</v>
      </c>
      <c r="D2615">
        <v>1024</v>
      </c>
      <c r="E2615">
        <v>302</v>
      </c>
      <c r="F2615">
        <v>1746</v>
      </c>
      <c r="G2615">
        <v>934</v>
      </c>
      <c r="H2615">
        <v>52.3</v>
      </c>
      <c r="I2615">
        <v>33.4</v>
      </c>
      <c r="J2615">
        <v>71.099999999999994</v>
      </c>
      <c r="K2615">
        <v>20</v>
      </c>
      <c r="L2615">
        <v>0</v>
      </c>
      <c r="M2615">
        <v>52</v>
      </c>
      <c r="N2615">
        <v>1</v>
      </c>
      <c r="O2615">
        <v>0</v>
      </c>
      <c r="P2615">
        <v>2.6</v>
      </c>
      <c r="Q2615">
        <f t="shared" si="80"/>
        <v>1085004</v>
      </c>
      <c r="R2615">
        <f t="shared" si="79"/>
        <v>1.8433111767329891</v>
      </c>
      <c r="U2615">
        <v>97</v>
      </c>
      <c r="V2615">
        <v>0</v>
      </c>
      <c r="W2615">
        <v>202</v>
      </c>
      <c r="X2615">
        <v>106</v>
      </c>
      <c r="Y2615">
        <v>47.9</v>
      </c>
      <c r="Z2615">
        <v>19</v>
      </c>
      <c r="AA2615">
        <v>76.8</v>
      </c>
    </row>
    <row r="2616" spans="1:27" x14ac:dyDescent="0.25">
      <c r="A2616" t="s">
        <v>250</v>
      </c>
      <c r="B2616" t="s">
        <v>215</v>
      </c>
      <c r="C2616" s="76">
        <v>43994</v>
      </c>
      <c r="D2616">
        <v>1227</v>
      </c>
      <c r="E2616">
        <v>445</v>
      </c>
      <c r="F2616">
        <v>2009</v>
      </c>
      <c r="G2616">
        <v>933</v>
      </c>
      <c r="H2616">
        <v>56.8</v>
      </c>
      <c r="I2616">
        <v>44.6</v>
      </c>
      <c r="J2616">
        <v>69</v>
      </c>
      <c r="K2616">
        <v>27</v>
      </c>
      <c r="L2616">
        <v>0</v>
      </c>
      <c r="M2616">
        <v>63</v>
      </c>
      <c r="N2616">
        <v>1.3</v>
      </c>
      <c r="O2616">
        <v>0</v>
      </c>
      <c r="P2616">
        <v>2.8</v>
      </c>
      <c r="Q2616">
        <f t="shared" si="80"/>
        <v>1085004</v>
      </c>
      <c r="R2616">
        <f t="shared" si="79"/>
        <v>2.4884700885895348</v>
      </c>
      <c r="U2616">
        <v>92</v>
      </c>
      <c r="V2616">
        <v>6</v>
      </c>
      <c r="W2616">
        <v>177</v>
      </c>
      <c r="X2616">
        <v>136</v>
      </c>
      <c r="Y2616">
        <v>40.299999999999997</v>
      </c>
      <c r="Z2616">
        <v>22.2</v>
      </c>
      <c r="AA2616">
        <v>58.4</v>
      </c>
    </row>
    <row r="2617" spans="1:27" x14ac:dyDescent="0.25">
      <c r="A2617" t="s">
        <v>250</v>
      </c>
      <c r="B2617" t="s">
        <v>215</v>
      </c>
      <c r="C2617" s="76">
        <v>43995</v>
      </c>
      <c r="D2617">
        <v>1302</v>
      </c>
      <c r="E2617">
        <v>459</v>
      </c>
      <c r="F2617">
        <v>2146</v>
      </c>
      <c r="G2617">
        <v>1471</v>
      </c>
      <c r="H2617">
        <v>47</v>
      </c>
      <c r="I2617">
        <v>38.799999999999997</v>
      </c>
      <c r="J2617">
        <v>55.2</v>
      </c>
      <c r="K2617">
        <v>29</v>
      </c>
      <c r="L2617">
        <v>0</v>
      </c>
      <c r="M2617">
        <v>59</v>
      </c>
      <c r="N2617">
        <v>1</v>
      </c>
      <c r="O2617">
        <v>0</v>
      </c>
      <c r="P2617">
        <v>2.1</v>
      </c>
      <c r="Q2617">
        <f t="shared" si="80"/>
        <v>1085004</v>
      </c>
      <c r="R2617">
        <f t="shared" si="79"/>
        <v>2.6728012062628341</v>
      </c>
      <c r="U2617">
        <v>113</v>
      </c>
      <c r="V2617">
        <v>15</v>
      </c>
      <c r="W2617">
        <v>212</v>
      </c>
      <c r="X2617">
        <v>145</v>
      </c>
      <c r="Y2617">
        <v>43.9</v>
      </c>
      <c r="Z2617">
        <v>31.4</v>
      </c>
      <c r="AA2617">
        <v>56.5</v>
      </c>
    </row>
    <row r="2618" spans="1:27" x14ac:dyDescent="0.25">
      <c r="A2618" t="s">
        <v>250</v>
      </c>
      <c r="B2618" t="s">
        <v>215</v>
      </c>
      <c r="C2618" s="76">
        <v>43996</v>
      </c>
      <c r="D2618">
        <v>1345</v>
      </c>
      <c r="E2618">
        <v>472</v>
      </c>
      <c r="F2618">
        <v>2218</v>
      </c>
      <c r="G2618">
        <v>1518</v>
      </c>
      <c r="H2618">
        <v>47</v>
      </c>
      <c r="I2618">
        <v>39.4</v>
      </c>
      <c r="J2618">
        <v>54.5</v>
      </c>
      <c r="K2618">
        <v>25</v>
      </c>
      <c r="L2618">
        <v>0</v>
      </c>
      <c r="M2618">
        <v>55</v>
      </c>
      <c r="N2618">
        <v>0.9</v>
      </c>
      <c r="O2618">
        <v>0</v>
      </c>
      <c r="P2618">
        <v>1.8</v>
      </c>
      <c r="Q2618">
        <f t="shared" si="80"/>
        <v>1085004</v>
      </c>
      <c r="R2618">
        <f t="shared" si="79"/>
        <v>2.3041389709162363</v>
      </c>
      <c r="U2618">
        <v>93</v>
      </c>
      <c r="V2618">
        <v>18</v>
      </c>
      <c r="W2618">
        <v>169</v>
      </c>
      <c r="X2618">
        <v>177</v>
      </c>
      <c r="Y2618">
        <v>34.4</v>
      </c>
      <c r="Z2618">
        <v>22.9</v>
      </c>
      <c r="AA2618">
        <v>46</v>
      </c>
    </row>
    <row r="2619" spans="1:27" x14ac:dyDescent="0.25">
      <c r="A2619" t="s">
        <v>250</v>
      </c>
      <c r="B2619" t="s">
        <v>215</v>
      </c>
      <c r="C2619" s="76">
        <v>43997</v>
      </c>
      <c r="D2619">
        <v>1024</v>
      </c>
      <c r="E2619">
        <v>408</v>
      </c>
      <c r="F2619">
        <v>1639</v>
      </c>
      <c r="G2619">
        <v>1052</v>
      </c>
      <c r="H2619">
        <v>49.3</v>
      </c>
      <c r="I2619">
        <v>38.200000000000003</v>
      </c>
      <c r="J2619">
        <v>60.4</v>
      </c>
      <c r="K2619">
        <v>24</v>
      </c>
      <c r="L2619">
        <v>0</v>
      </c>
      <c r="M2619">
        <v>53</v>
      </c>
      <c r="N2619">
        <v>1.2</v>
      </c>
      <c r="O2619">
        <v>0</v>
      </c>
      <c r="P2619">
        <v>2.4</v>
      </c>
      <c r="Q2619">
        <f t="shared" si="80"/>
        <v>1085004</v>
      </c>
      <c r="R2619">
        <f t="shared" si="79"/>
        <v>2.2119734120795869</v>
      </c>
      <c r="U2619">
        <v>81</v>
      </c>
      <c r="V2619">
        <v>12</v>
      </c>
      <c r="W2619">
        <v>150</v>
      </c>
      <c r="X2619">
        <v>121</v>
      </c>
      <c r="Y2619">
        <v>40.1</v>
      </c>
      <c r="Z2619">
        <v>22.7</v>
      </c>
      <c r="AA2619">
        <v>57.5</v>
      </c>
    </row>
    <row r="2620" spans="1:27" x14ac:dyDescent="0.25">
      <c r="A2620" t="s">
        <v>250</v>
      </c>
      <c r="B2620" t="s">
        <v>215</v>
      </c>
      <c r="C2620" s="76">
        <v>43998</v>
      </c>
      <c r="D2620">
        <v>1085</v>
      </c>
      <c r="E2620">
        <v>427</v>
      </c>
      <c r="F2620">
        <v>1743</v>
      </c>
      <c r="G2620">
        <v>999</v>
      </c>
      <c r="H2620">
        <v>52.1</v>
      </c>
      <c r="I2620">
        <v>42</v>
      </c>
      <c r="J2620">
        <v>62.2</v>
      </c>
      <c r="K2620">
        <v>15</v>
      </c>
      <c r="L2620">
        <v>0</v>
      </c>
      <c r="M2620">
        <v>32</v>
      </c>
      <c r="N2620">
        <v>0.7</v>
      </c>
      <c r="O2620">
        <v>0</v>
      </c>
      <c r="P2620">
        <v>1.5</v>
      </c>
      <c r="Q2620">
        <f t="shared" si="80"/>
        <v>1085004</v>
      </c>
      <c r="R2620">
        <f t="shared" si="79"/>
        <v>1.3824833825497418</v>
      </c>
      <c r="U2620">
        <v>75</v>
      </c>
      <c r="V2620">
        <v>8</v>
      </c>
      <c r="W2620">
        <v>141</v>
      </c>
      <c r="X2620">
        <v>117</v>
      </c>
      <c r="Y2620">
        <v>38.9</v>
      </c>
      <c r="Z2620">
        <v>24.6</v>
      </c>
      <c r="AA2620">
        <v>53.2</v>
      </c>
    </row>
    <row r="2621" spans="1:27" x14ac:dyDescent="0.25">
      <c r="A2621" t="s">
        <v>250</v>
      </c>
      <c r="B2621" t="s">
        <v>215</v>
      </c>
      <c r="C2621" s="76">
        <v>43999</v>
      </c>
      <c r="D2621">
        <v>1071</v>
      </c>
      <c r="E2621">
        <v>390</v>
      </c>
      <c r="F2621">
        <v>1753</v>
      </c>
      <c r="G2621">
        <v>1023</v>
      </c>
      <c r="H2621">
        <v>51.2</v>
      </c>
      <c r="I2621">
        <v>40</v>
      </c>
      <c r="J2621">
        <v>62.3</v>
      </c>
      <c r="K2621">
        <v>14</v>
      </c>
      <c r="L2621">
        <v>0</v>
      </c>
      <c r="M2621">
        <v>31</v>
      </c>
      <c r="N2621">
        <v>0.6</v>
      </c>
      <c r="O2621">
        <v>0</v>
      </c>
      <c r="P2621">
        <v>1.4</v>
      </c>
      <c r="Q2621">
        <f t="shared" si="80"/>
        <v>1085004</v>
      </c>
      <c r="R2621">
        <f t="shared" si="79"/>
        <v>1.2903178237130923</v>
      </c>
      <c r="U2621">
        <v>80</v>
      </c>
      <c r="V2621">
        <v>13</v>
      </c>
      <c r="W2621">
        <v>147</v>
      </c>
      <c r="X2621">
        <v>126</v>
      </c>
      <c r="Y2621">
        <v>38.9</v>
      </c>
      <c r="Z2621">
        <v>24.7</v>
      </c>
      <c r="AA2621">
        <v>53.2</v>
      </c>
    </row>
    <row r="2622" spans="1:27" x14ac:dyDescent="0.25">
      <c r="A2622" t="s">
        <v>250</v>
      </c>
      <c r="B2622" t="s">
        <v>215</v>
      </c>
      <c r="C2622" s="76">
        <v>44000</v>
      </c>
      <c r="D2622">
        <v>1662</v>
      </c>
      <c r="E2622">
        <v>100</v>
      </c>
      <c r="F2622">
        <v>3224</v>
      </c>
      <c r="G2622">
        <v>967</v>
      </c>
      <c r="H2622">
        <v>63.2</v>
      </c>
      <c r="I2622">
        <v>43.7</v>
      </c>
      <c r="J2622">
        <v>82.7</v>
      </c>
      <c r="K2622">
        <v>25</v>
      </c>
      <c r="L2622">
        <v>0</v>
      </c>
      <c r="M2622">
        <v>57</v>
      </c>
      <c r="N2622">
        <v>1</v>
      </c>
      <c r="O2622">
        <v>0.2</v>
      </c>
      <c r="P2622">
        <v>1.7</v>
      </c>
      <c r="Q2622">
        <f t="shared" si="80"/>
        <v>1085004</v>
      </c>
      <c r="R2622">
        <f t="shared" si="79"/>
        <v>2.3041389709162363</v>
      </c>
      <c r="U2622">
        <v>203</v>
      </c>
      <c r="V2622">
        <v>0</v>
      </c>
      <c r="W2622">
        <v>435</v>
      </c>
      <c r="X2622">
        <v>119</v>
      </c>
      <c r="Y2622">
        <v>63</v>
      </c>
      <c r="Z2622">
        <v>36.1</v>
      </c>
      <c r="AA2622">
        <v>90</v>
      </c>
    </row>
    <row r="2623" spans="1:27" x14ac:dyDescent="0.25">
      <c r="A2623" t="s">
        <v>250</v>
      </c>
      <c r="B2623" t="s">
        <v>215</v>
      </c>
      <c r="C2623" s="76">
        <v>44001</v>
      </c>
      <c r="D2623">
        <v>1603</v>
      </c>
      <c r="E2623">
        <v>80</v>
      </c>
      <c r="F2623">
        <v>3126</v>
      </c>
      <c r="G2623">
        <v>1155</v>
      </c>
      <c r="H2623">
        <v>58.1</v>
      </c>
      <c r="I2623">
        <v>37.200000000000003</v>
      </c>
      <c r="J2623">
        <v>79.099999999999994</v>
      </c>
      <c r="K2623">
        <v>21</v>
      </c>
      <c r="L2623">
        <v>3</v>
      </c>
      <c r="M2623">
        <v>38</v>
      </c>
      <c r="N2623">
        <v>0.7</v>
      </c>
      <c r="O2623">
        <v>0.2</v>
      </c>
      <c r="P2623">
        <v>1.3</v>
      </c>
      <c r="Q2623">
        <f t="shared" si="80"/>
        <v>1085004</v>
      </c>
      <c r="R2623">
        <f t="shared" si="79"/>
        <v>1.9354767355696385</v>
      </c>
      <c r="U2623">
        <v>191</v>
      </c>
      <c r="V2623">
        <v>0</v>
      </c>
      <c r="W2623">
        <v>409</v>
      </c>
      <c r="X2623">
        <v>123</v>
      </c>
      <c r="Y2623">
        <v>60.9</v>
      </c>
      <c r="Z2623">
        <v>34.4</v>
      </c>
      <c r="AA2623">
        <v>87.5</v>
      </c>
    </row>
    <row r="2624" spans="1:27" x14ac:dyDescent="0.25">
      <c r="A2624" t="s">
        <v>250</v>
      </c>
      <c r="B2624" t="s">
        <v>215</v>
      </c>
      <c r="C2624" s="76">
        <v>44002</v>
      </c>
      <c r="D2624">
        <v>1377</v>
      </c>
      <c r="E2624">
        <v>453</v>
      </c>
      <c r="F2624">
        <v>2301</v>
      </c>
      <c r="G2624">
        <v>1334</v>
      </c>
      <c r="H2624">
        <v>50.8</v>
      </c>
      <c r="I2624">
        <v>38</v>
      </c>
      <c r="J2624">
        <v>63.6</v>
      </c>
      <c r="K2624">
        <v>19</v>
      </c>
      <c r="L2624">
        <v>2</v>
      </c>
      <c r="M2624">
        <v>35</v>
      </c>
      <c r="N2624">
        <v>0.7</v>
      </c>
      <c r="O2624">
        <v>0.3</v>
      </c>
      <c r="P2624">
        <v>1.1000000000000001</v>
      </c>
      <c r="Q2624">
        <f t="shared" si="80"/>
        <v>1085004</v>
      </c>
      <c r="R2624">
        <f t="shared" si="79"/>
        <v>1.7511456178963394</v>
      </c>
      <c r="U2624">
        <v>152</v>
      </c>
      <c r="V2624">
        <v>23</v>
      </c>
      <c r="W2624">
        <v>280</v>
      </c>
      <c r="X2624">
        <v>117</v>
      </c>
      <c r="Y2624">
        <v>56.5</v>
      </c>
      <c r="Z2624">
        <v>37.299999999999997</v>
      </c>
      <c r="AA2624">
        <v>75.7</v>
      </c>
    </row>
    <row r="2625" spans="1:27" x14ac:dyDescent="0.25">
      <c r="A2625" t="s">
        <v>250</v>
      </c>
      <c r="B2625" t="s">
        <v>215</v>
      </c>
      <c r="C2625" s="76">
        <v>44003</v>
      </c>
      <c r="D2625">
        <v>1282</v>
      </c>
      <c r="E2625">
        <v>422</v>
      </c>
      <c r="F2625">
        <v>2142</v>
      </c>
      <c r="G2625">
        <v>1369</v>
      </c>
      <c r="H2625">
        <v>48.4</v>
      </c>
      <c r="I2625">
        <v>37</v>
      </c>
      <c r="J2625">
        <v>59.7</v>
      </c>
      <c r="K2625">
        <v>31</v>
      </c>
      <c r="L2625">
        <v>0</v>
      </c>
      <c r="M2625">
        <v>65</v>
      </c>
      <c r="N2625">
        <v>1.2</v>
      </c>
      <c r="O2625">
        <v>0.2</v>
      </c>
      <c r="P2625">
        <v>2.2000000000000002</v>
      </c>
      <c r="Q2625">
        <f t="shared" si="80"/>
        <v>1085004</v>
      </c>
      <c r="R2625">
        <f t="shared" si="79"/>
        <v>2.857132323936133</v>
      </c>
      <c r="U2625">
        <v>151</v>
      </c>
      <c r="V2625">
        <v>18</v>
      </c>
      <c r="W2625">
        <v>283</v>
      </c>
      <c r="X2625">
        <v>106</v>
      </c>
      <c r="Y2625">
        <v>58.7</v>
      </c>
      <c r="Z2625">
        <v>39.9</v>
      </c>
      <c r="AA2625">
        <v>77.599999999999994</v>
      </c>
    </row>
    <row r="2626" spans="1:27" x14ac:dyDescent="0.25">
      <c r="A2626" t="s">
        <v>250</v>
      </c>
      <c r="B2626" t="s">
        <v>215</v>
      </c>
      <c r="C2626" s="76">
        <v>44004</v>
      </c>
      <c r="D2626">
        <v>1580</v>
      </c>
      <c r="E2626">
        <v>180</v>
      </c>
      <c r="F2626">
        <v>2980</v>
      </c>
      <c r="G2626">
        <v>1210</v>
      </c>
      <c r="H2626">
        <v>56.6</v>
      </c>
      <c r="I2626">
        <v>39.299999999999997</v>
      </c>
      <c r="J2626">
        <v>73.900000000000006</v>
      </c>
      <c r="K2626">
        <v>17</v>
      </c>
      <c r="L2626">
        <v>1</v>
      </c>
      <c r="M2626">
        <v>33</v>
      </c>
      <c r="N2626">
        <v>0.6</v>
      </c>
      <c r="O2626">
        <v>0.1</v>
      </c>
      <c r="P2626">
        <v>1.1000000000000001</v>
      </c>
      <c r="Q2626">
        <f t="shared" si="80"/>
        <v>1085004</v>
      </c>
      <c r="R2626">
        <f t="shared" si="79"/>
        <v>1.5668145002230407</v>
      </c>
      <c r="U2626">
        <v>194</v>
      </c>
      <c r="V2626">
        <v>0</v>
      </c>
      <c r="W2626">
        <v>405</v>
      </c>
      <c r="X2626">
        <v>92</v>
      </c>
      <c r="Y2626">
        <v>67.900000000000006</v>
      </c>
      <c r="Z2626">
        <v>41.8</v>
      </c>
      <c r="AA2626">
        <v>94</v>
      </c>
    </row>
    <row r="2627" spans="1:27" x14ac:dyDescent="0.25">
      <c r="A2627" t="s">
        <v>250</v>
      </c>
      <c r="B2627" t="s">
        <v>215</v>
      </c>
      <c r="C2627" s="76">
        <v>44005</v>
      </c>
      <c r="D2627">
        <v>957</v>
      </c>
      <c r="E2627">
        <v>296</v>
      </c>
      <c r="F2627">
        <v>1618</v>
      </c>
      <c r="G2627">
        <v>1097</v>
      </c>
      <c r="H2627">
        <v>46.6</v>
      </c>
      <c r="I2627">
        <v>33.6</v>
      </c>
      <c r="J2627">
        <v>59.6</v>
      </c>
      <c r="K2627">
        <v>12</v>
      </c>
      <c r="L2627">
        <v>0</v>
      </c>
      <c r="M2627">
        <v>26</v>
      </c>
      <c r="N2627">
        <v>0.6</v>
      </c>
      <c r="O2627">
        <v>0.1</v>
      </c>
      <c r="P2627">
        <v>1.1000000000000001</v>
      </c>
      <c r="Q2627">
        <f t="shared" si="80"/>
        <v>1085004</v>
      </c>
      <c r="R2627">
        <f t="shared" si="79"/>
        <v>1.1059867060397934</v>
      </c>
      <c r="U2627">
        <v>94</v>
      </c>
      <c r="V2627">
        <v>4</v>
      </c>
      <c r="W2627">
        <v>185</v>
      </c>
      <c r="X2627">
        <v>117</v>
      </c>
      <c r="Y2627">
        <v>44.5</v>
      </c>
      <c r="Z2627">
        <v>28.6</v>
      </c>
      <c r="AA2627">
        <v>60.5</v>
      </c>
    </row>
    <row r="2628" spans="1:27" x14ac:dyDescent="0.25">
      <c r="A2628" t="s">
        <v>250</v>
      </c>
      <c r="B2628" t="s">
        <v>215</v>
      </c>
      <c r="C2628" s="76">
        <v>44006</v>
      </c>
      <c r="D2628">
        <v>1176</v>
      </c>
      <c r="E2628">
        <v>298</v>
      </c>
      <c r="F2628">
        <v>2054</v>
      </c>
      <c r="G2628">
        <v>1069</v>
      </c>
      <c r="H2628">
        <v>52.4</v>
      </c>
      <c r="I2628">
        <v>38</v>
      </c>
      <c r="J2628">
        <v>66.7</v>
      </c>
      <c r="K2628">
        <v>9</v>
      </c>
      <c r="L2628">
        <v>0</v>
      </c>
      <c r="M2628">
        <v>22</v>
      </c>
      <c r="N2628">
        <v>0.4</v>
      </c>
      <c r="O2628">
        <v>0</v>
      </c>
      <c r="P2628">
        <v>0.9</v>
      </c>
      <c r="Q2628">
        <f t="shared" si="80"/>
        <v>1085004</v>
      </c>
      <c r="R2628">
        <f t="shared" si="79"/>
        <v>0.82949002952984507</v>
      </c>
      <c r="U2628">
        <v>76</v>
      </c>
      <c r="V2628">
        <v>5</v>
      </c>
      <c r="W2628">
        <v>148</v>
      </c>
      <c r="X2628">
        <v>119</v>
      </c>
      <c r="Y2628">
        <v>39.200000000000003</v>
      </c>
      <c r="Z2628">
        <v>31.6</v>
      </c>
      <c r="AA2628">
        <v>46.7</v>
      </c>
    </row>
    <row r="2629" spans="1:27" x14ac:dyDescent="0.25">
      <c r="A2629" t="s">
        <v>250</v>
      </c>
      <c r="B2629" t="s">
        <v>215</v>
      </c>
      <c r="C2629" s="76">
        <v>44007</v>
      </c>
      <c r="D2629">
        <v>981</v>
      </c>
      <c r="E2629">
        <v>202</v>
      </c>
      <c r="F2629">
        <v>1760</v>
      </c>
      <c r="G2629">
        <v>917</v>
      </c>
      <c r="H2629">
        <v>51.7</v>
      </c>
      <c r="I2629">
        <v>38.5</v>
      </c>
      <c r="J2629">
        <v>64.900000000000006</v>
      </c>
      <c r="K2629">
        <v>21</v>
      </c>
      <c r="L2629">
        <v>0</v>
      </c>
      <c r="M2629">
        <v>60</v>
      </c>
      <c r="N2629">
        <v>1.1000000000000001</v>
      </c>
      <c r="O2629">
        <v>0</v>
      </c>
      <c r="P2629">
        <v>2.7</v>
      </c>
      <c r="Q2629">
        <f t="shared" si="80"/>
        <v>1085004</v>
      </c>
      <c r="R2629">
        <f t="shared" ref="R2629:R2692" si="81">K2629/(Q2629)*100000</f>
        <v>1.9354767355696385</v>
      </c>
      <c r="U2629">
        <v>44</v>
      </c>
      <c r="V2629">
        <v>0</v>
      </c>
      <c r="W2629">
        <v>95</v>
      </c>
      <c r="X2629">
        <v>99</v>
      </c>
      <c r="Y2629">
        <v>30.9</v>
      </c>
      <c r="Z2629">
        <v>13.3</v>
      </c>
      <c r="AA2629">
        <v>48.5</v>
      </c>
    </row>
    <row r="2630" spans="1:27" x14ac:dyDescent="0.25">
      <c r="A2630" t="s">
        <v>250</v>
      </c>
      <c r="B2630" t="s">
        <v>215</v>
      </c>
      <c r="C2630" s="76">
        <v>44008</v>
      </c>
      <c r="D2630">
        <v>941</v>
      </c>
      <c r="E2630">
        <v>304</v>
      </c>
      <c r="F2630">
        <v>1578</v>
      </c>
      <c r="G2630">
        <v>996</v>
      </c>
      <c r="H2630">
        <v>48.6</v>
      </c>
      <c r="I2630">
        <v>39.4</v>
      </c>
      <c r="J2630">
        <v>57.8</v>
      </c>
      <c r="K2630">
        <v>9</v>
      </c>
      <c r="L2630">
        <v>0</v>
      </c>
      <c r="M2630">
        <v>22</v>
      </c>
      <c r="N2630">
        <v>0.5</v>
      </c>
      <c r="O2630">
        <v>0</v>
      </c>
      <c r="P2630">
        <v>1</v>
      </c>
      <c r="Q2630">
        <f t="shared" si="80"/>
        <v>1085004</v>
      </c>
      <c r="R2630">
        <f t="shared" si="81"/>
        <v>0.82949002952984507</v>
      </c>
      <c r="U2630">
        <v>99</v>
      </c>
      <c r="V2630">
        <v>0</v>
      </c>
      <c r="W2630">
        <v>213</v>
      </c>
      <c r="X2630">
        <v>108</v>
      </c>
      <c r="Y2630">
        <v>47.6</v>
      </c>
      <c r="Z2630">
        <v>26</v>
      </c>
      <c r="AA2630">
        <v>69.3</v>
      </c>
    </row>
    <row r="2631" spans="1:27" x14ac:dyDescent="0.25">
      <c r="A2631" t="s">
        <v>250</v>
      </c>
      <c r="B2631" t="s">
        <v>215</v>
      </c>
      <c r="C2631" s="76">
        <v>44009</v>
      </c>
      <c r="D2631">
        <v>1292</v>
      </c>
      <c r="E2631">
        <v>335</v>
      </c>
      <c r="F2631">
        <v>2249</v>
      </c>
      <c r="G2631">
        <v>1456</v>
      </c>
      <c r="H2631">
        <v>47</v>
      </c>
      <c r="I2631">
        <v>38.9</v>
      </c>
      <c r="J2631">
        <v>55.1</v>
      </c>
      <c r="K2631">
        <v>32</v>
      </c>
      <c r="L2631">
        <v>3</v>
      </c>
      <c r="M2631">
        <v>61</v>
      </c>
      <c r="N2631">
        <v>1.1000000000000001</v>
      </c>
      <c r="O2631">
        <v>0.4</v>
      </c>
      <c r="P2631">
        <v>1.9</v>
      </c>
      <c r="Q2631">
        <f t="shared" si="80"/>
        <v>1085004</v>
      </c>
      <c r="R2631">
        <f t="shared" si="81"/>
        <v>2.9492978827727825</v>
      </c>
      <c r="U2631">
        <v>130</v>
      </c>
      <c r="V2631">
        <v>0</v>
      </c>
      <c r="W2631">
        <v>263</v>
      </c>
      <c r="X2631">
        <v>119</v>
      </c>
      <c r="Y2631">
        <v>52.2</v>
      </c>
      <c r="Z2631">
        <v>33.5</v>
      </c>
      <c r="AA2631">
        <v>71</v>
      </c>
    </row>
    <row r="2632" spans="1:27" x14ac:dyDescent="0.25">
      <c r="A2632" t="s">
        <v>250</v>
      </c>
      <c r="B2632" t="s">
        <v>215</v>
      </c>
      <c r="C2632" s="76">
        <v>44010</v>
      </c>
      <c r="D2632">
        <v>1440</v>
      </c>
      <c r="E2632">
        <v>508</v>
      </c>
      <c r="F2632">
        <v>2373</v>
      </c>
      <c r="G2632">
        <v>1402</v>
      </c>
      <c r="H2632">
        <v>50.7</v>
      </c>
      <c r="I2632">
        <v>38.4</v>
      </c>
      <c r="J2632">
        <v>62.9</v>
      </c>
      <c r="K2632">
        <v>20</v>
      </c>
      <c r="L2632">
        <v>0</v>
      </c>
      <c r="M2632">
        <v>40</v>
      </c>
      <c r="N2632">
        <v>0.7</v>
      </c>
      <c r="O2632">
        <v>0.1</v>
      </c>
      <c r="P2632">
        <v>1.3</v>
      </c>
      <c r="Q2632">
        <f t="shared" si="80"/>
        <v>1085004</v>
      </c>
      <c r="R2632">
        <f t="shared" si="81"/>
        <v>1.8433111767329891</v>
      </c>
      <c r="U2632">
        <v>144</v>
      </c>
      <c r="V2632">
        <v>14</v>
      </c>
      <c r="W2632">
        <v>274</v>
      </c>
      <c r="X2632">
        <v>122</v>
      </c>
      <c r="Y2632">
        <v>54.2</v>
      </c>
      <c r="Z2632">
        <v>30.6</v>
      </c>
      <c r="AA2632">
        <v>77.8</v>
      </c>
    </row>
    <row r="2633" spans="1:27" x14ac:dyDescent="0.25">
      <c r="A2633" t="s">
        <v>250</v>
      </c>
      <c r="B2633" t="s">
        <v>215</v>
      </c>
      <c r="C2633" s="76">
        <v>44011</v>
      </c>
      <c r="D2633">
        <v>1514</v>
      </c>
      <c r="E2633">
        <v>30</v>
      </c>
      <c r="F2633">
        <v>2999</v>
      </c>
      <c r="G2633">
        <v>1015</v>
      </c>
      <c r="H2633">
        <v>59.9</v>
      </c>
      <c r="I2633">
        <v>38.1</v>
      </c>
      <c r="J2633">
        <v>81.7</v>
      </c>
      <c r="K2633">
        <v>24</v>
      </c>
      <c r="L2633">
        <v>0</v>
      </c>
      <c r="M2633">
        <v>48</v>
      </c>
      <c r="N2633">
        <v>0.9</v>
      </c>
      <c r="O2633">
        <v>0.2</v>
      </c>
      <c r="P2633">
        <v>1.7</v>
      </c>
      <c r="Q2633">
        <f t="shared" si="80"/>
        <v>1085004</v>
      </c>
      <c r="R2633">
        <f t="shared" si="81"/>
        <v>2.2119734120795869</v>
      </c>
      <c r="U2633">
        <v>185</v>
      </c>
      <c r="V2633">
        <v>0</v>
      </c>
      <c r="W2633">
        <v>414</v>
      </c>
      <c r="X2633">
        <v>65</v>
      </c>
      <c r="Y2633">
        <v>74</v>
      </c>
      <c r="Z2633">
        <v>47</v>
      </c>
      <c r="AA2633">
        <v>100</v>
      </c>
    </row>
    <row r="2634" spans="1:27" x14ac:dyDescent="0.25">
      <c r="A2634" t="s">
        <v>250</v>
      </c>
      <c r="B2634" t="s">
        <v>215</v>
      </c>
      <c r="C2634" s="76">
        <v>44012</v>
      </c>
      <c r="D2634">
        <v>1620</v>
      </c>
      <c r="E2634">
        <v>21</v>
      </c>
      <c r="F2634">
        <v>3220</v>
      </c>
      <c r="G2634">
        <v>801</v>
      </c>
      <c r="H2634">
        <v>66.900000000000006</v>
      </c>
      <c r="I2634">
        <v>45.7</v>
      </c>
      <c r="J2634">
        <v>88.2</v>
      </c>
      <c r="K2634">
        <v>27</v>
      </c>
      <c r="L2634">
        <v>0</v>
      </c>
      <c r="M2634">
        <v>55</v>
      </c>
      <c r="N2634">
        <v>1.1000000000000001</v>
      </c>
      <c r="O2634">
        <v>0.3</v>
      </c>
      <c r="P2634">
        <v>1.9</v>
      </c>
      <c r="Q2634">
        <f t="shared" si="80"/>
        <v>1085004</v>
      </c>
      <c r="R2634">
        <f t="shared" si="81"/>
        <v>2.4884700885895348</v>
      </c>
      <c r="U2634">
        <v>215</v>
      </c>
      <c r="V2634">
        <v>0</v>
      </c>
      <c r="W2634">
        <v>463</v>
      </c>
      <c r="X2634">
        <v>50</v>
      </c>
      <c r="Y2634">
        <v>81.099999999999994</v>
      </c>
      <c r="Z2634">
        <v>63.3</v>
      </c>
      <c r="AA2634">
        <v>99</v>
      </c>
    </row>
    <row r="2635" spans="1:27" x14ac:dyDescent="0.25">
      <c r="A2635" t="s">
        <v>250</v>
      </c>
      <c r="B2635" t="s">
        <v>215</v>
      </c>
      <c r="C2635" s="76">
        <v>44013</v>
      </c>
      <c r="D2635">
        <v>1696</v>
      </c>
      <c r="E2635">
        <v>68</v>
      </c>
      <c r="F2635">
        <v>3324</v>
      </c>
      <c r="G2635">
        <v>727</v>
      </c>
      <c r="H2635">
        <v>70</v>
      </c>
      <c r="I2635">
        <v>50.2</v>
      </c>
      <c r="J2635">
        <v>89.8</v>
      </c>
      <c r="K2635">
        <v>11</v>
      </c>
      <c r="L2635">
        <v>0</v>
      </c>
      <c r="M2635">
        <v>27</v>
      </c>
      <c r="N2635">
        <v>0.5</v>
      </c>
      <c r="O2635">
        <v>0</v>
      </c>
      <c r="P2635">
        <v>0.9</v>
      </c>
      <c r="Q2635">
        <f t="shared" si="80"/>
        <v>1085004</v>
      </c>
      <c r="R2635">
        <f t="shared" si="81"/>
        <v>1.013821147203144</v>
      </c>
      <c r="U2635">
        <v>207</v>
      </c>
      <c r="V2635">
        <v>0</v>
      </c>
      <c r="W2635">
        <v>453</v>
      </c>
      <c r="X2635">
        <v>61</v>
      </c>
      <c r="Y2635">
        <v>77.099999999999994</v>
      </c>
      <c r="Z2635">
        <v>56.4</v>
      </c>
      <c r="AA2635">
        <v>97.8</v>
      </c>
    </row>
    <row r="2636" spans="1:27" x14ac:dyDescent="0.25">
      <c r="A2636" t="s">
        <v>250</v>
      </c>
      <c r="B2636" t="s">
        <v>215</v>
      </c>
      <c r="C2636" s="76">
        <v>44014</v>
      </c>
      <c r="D2636">
        <v>1646</v>
      </c>
      <c r="E2636">
        <v>130</v>
      </c>
      <c r="F2636">
        <v>3162</v>
      </c>
      <c r="G2636">
        <v>775</v>
      </c>
      <c r="H2636">
        <v>68</v>
      </c>
      <c r="I2636">
        <v>52</v>
      </c>
      <c r="J2636">
        <v>84</v>
      </c>
      <c r="K2636">
        <v>27</v>
      </c>
      <c r="L2636">
        <v>1</v>
      </c>
      <c r="M2636">
        <v>52</v>
      </c>
      <c r="N2636">
        <v>1.1000000000000001</v>
      </c>
      <c r="O2636">
        <v>0.6</v>
      </c>
      <c r="P2636">
        <v>1.6</v>
      </c>
      <c r="Q2636">
        <f t="shared" si="80"/>
        <v>1085004</v>
      </c>
      <c r="R2636">
        <f t="shared" si="81"/>
        <v>2.4884700885895348</v>
      </c>
      <c r="U2636">
        <v>195</v>
      </c>
      <c r="V2636">
        <v>0</v>
      </c>
      <c r="W2636">
        <v>432</v>
      </c>
      <c r="X2636">
        <v>85</v>
      </c>
      <c r="Y2636">
        <v>69.5</v>
      </c>
      <c r="Z2636">
        <v>42.3</v>
      </c>
      <c r="AA2636">
        <v>96.8</v>
      </c>
    </row>
    <row r="2637" spans="1:27" x14ac:dyDescent="0.25">
      <c r="A2637" t="s">
        <v>250</v>
      </c>
      <c r="B2637" t="s">
        <v>215</v>
      </c>
      <c r="C2637" s="76">
        <v>44015</v>
      </c>
      <c r="D2637">
        <v>1655</v>
      </c>
      <c r="E2637">
        <v>139</v>
      </c>
      <c r="F2637">
        <v>3170</v>
      </c>
      <c r="G2637">
        <v>779</v>
      </c>
      <c r="H2637">
        <v>68</v>
      </c>
      <c r="I2637">
        <v>52.9</v>
      </c>
      <c r="J2637">
        <v>83.1</v>
      </c>
      <c r="K2637">
        <v>30</v>
      </c>
      <c r="L2637">
        <v>0</v>
      </c>
      <c r="M2637">
        <v>64</v>
      </c>
      <c r="N2637">
        <v>1.2</v>
      </c>
      <c r="O2637">
        <v>0.5</v>
      </c>
      <c r="P2637">
        <v>1.9</v>
      </c>
      <c r="Q2637">
        <f t="shared" si="80"/>
        <v>1085004</v>
      </c>
      <c r="R2637">
        <f t="shared" si="81"/>
        <v>2.7649667650994836</v>
      </c>
      <c r="U2637">
        <v>197</v>
      </c>
      <c r="V2637">
        <v>0</v>
      </c>
      <c r="W2637">
        <v>429</v>
      </c>
      <c r="X2637">
        <v>71</v>
      </c>
      <c r="Y2637">
        <v>73.400000000000006</v>
      </c>
      <c r="Z2637">
        <v>51.7</v>
      </c>
      <c r="AA2637">
        <v>95.1</v>
      </c>
    </row>
    <row r="2638" spans="1:27" x14ac:dyDescent="0.25">
      <c r="A2638" t="s">
        <v>250</v>
      </c>
      <c r="B2638" t="s">
        <v>215</v>
      </c>
      <c r="C2638" s="76">
        <v>44016</v>
      </c>
      <c r="D2638">
        <v>1552</v>
      </c>
      <c r="E2638">
        <v>107</v>
      </c>
      <c r="F2638">
        <v>2998</v>
      </c>
      <c r="G2638">
        <v>881</v>
      </c>
      <c r="H2638">
        <v>63.8</v>
      </c>
      <c r="I2638">
        <v>48.4</v>
      </c>
      <c r="J2638">
        <v>79.099999999999994</v>
      </c>
      <c r="K2638">
        <v>57</v>
      </c>
      <c r="L2638">
        <v>0</v>
      </c>
      <c r="M2638">
        <v>137</v>
      </c>
      <c r="N2638">
        <v>2.4</v>
      </c>
      <c r="O2638">
        <v>0.4</v>
      </c>
      <c r="P2638">
        <v>4.3</v>
      </c>
      <c r="Q2638">
        <f t="shared" si="80"/>
        <v>1085004</v>
      </c>
      <c r="R2638">
        <f t="shared" si="81"/>
        <v>5.2534368536890188</v>
      </c>
      <c r="U2638">
        <v>196</v>
      </c>
      <c r="V2638">
        <v>0</v>
      </c>
      <c r="W2638">
        <v>431</v>
      </c>
      <c r="X2638">
        <v>78</v>
      </c>
      <c r="Y2638">
        <v>71.400000000000006</v>
      </c>
      <c r="Z2638">
        <v>49.9</v>
      </c>
      <c r="AA2638">
        <v>93</v>
      </c>
    </row>
    <row r="2639" spans="1:27" x14ac:dyDescent="0.25">
      <c r="A2639" t="s">
        <v>250</v>
      </c>
      <c r="B2639" t="s">
        <v>215</v>
      </c>
      <c r="C2639" s="76">
        <v>44017</v>
      </c>
      <c r="D2639">
        <v>1485</v>
      </c>
      <c r="E2639">
        <v>88</v>
      </c>
      <c r="F2639">
        <v>2883</v>
      </c>
      <c r="G2639">
        <v>948</v>
      </c>
      <c r="H2639">
        <v>61</v>
      </c>
      <c r="I2639">
        <v>44.6</v>
      </c>
      <c r="J2639">
        <v>77.5</v>
      </c>
      <c r="K2639">
        <v>58</v>
      </c>
      <c r="L2639">
        <v>0</v>
      </c>
      <c r="M2639">
        <v>150</v>
      </c>
      <c r="N2639">
        <v>2.4</v>
      </c>
      <c r="O2639">
        <v>0</v>
      </c>
      <c r="P2639">
        <v>4.9000000000000004</v>
      </c>
      <c r="Q2639">
        <f t="shared" si="80"/>
        <v>1085004</v>
      </c>
      <c r="R2639">
        <f t="shared" si="81"/>
        <v>5.3456024125256683</v>
      </c>
      <c r="U2639">
        <v>178</v>
      </c>
      <c r="V2639">
        <v>0</v>
      </c>
      <c r="W2639">
        <v>399</v>
      </c>
      <c r="X2639">
        <v>87</v>
      </c>
      <c r="Y2639">
        <v>67.2</v>
      </c>
      <c r="Z2639">
        <v>42.4</v>
      </c>
      <c r="AA2639">
        <v>92</v>
      </c>
    </row>
    <row r="2640" spans="1:27" x14ac:dyDescent="0.25">
      <c r="A2640" t="s">
        <v>250</v>
      </c>
      <c r="B2640" t="s">
        <v>215</v>
      </c>
      <c r="C2640" s="76">
        <v>44018</v>
      </c>
      <c r="D2640">
        <v>1469</v>
      </c>
      <c r="E2640">
        <v>82</v>
      </c>
      <c r="F2640">
        <v>2857</v>
      </c>
      <c r="G2640">
        <v>964</v>
      </c>
      <c r="H2640">
        <v>60.4</v>
      </c>
      <c r="I2640">
        <v>44.1</v>
      </c>
      <c r="J2640">
        <v>76.599999999999994</v>
      </c>
      <c r="K2640">
        <v>57</v>
      </c>
      <c r="L2640">
        <v>0</v>
      </c>
      <c r="M2640">
        <v>157</v>
      </c>
      <c r="N2640">
        <v>2.2999999999999998</v>
      </c>
      <c r="O2640">
        <v>0</v>
      </c>
      <c r="P2640">
        <v>5.0999999999999996</v>
      </c>
      <c r="Q2640">
        <f t="shared" si="80"/>
        <v>1085004</v>
      </c>
      <c r="R2640">
        <f t="shared" si="81"/>
        <v>5.2534368536890188</v>
      </c>
      <c r="U2640">
        <v>173</v>
      </c>
      <c r="V2640">
        <v>0</v>
      </c>
      <c r="W2640">
        <v>389</v>
      </c>
      <c r="X2640">
        <v>92</v>
      </c>
      <c r="Y2640">
        <v>65.3</v>
      </c>
      <c r="Z2640">
        <v>41.1</v>
      </c>
      <c r="AA2640">
        <v>89.4</v>
      </c>
    </row>
    <row r="2641" spans="1:27" x14ac:dyDescent="0.25">
      <c r="A2641" t="s">
        <v>250</v>
      </c>
      <c r="B2641" t="s">
        <v>215</v>
      </c>
      <c r="C2641" s="76">
        <v>44019</v>
      </c>
      <c r="D2641">
        <v>1653</v>
      </c>
      <c r="E2641">
        <v>81</v>
      </c>
      <c r="F2641">
        <v>3225</v>
      </c>
      <c r="G2641">
        <v>781</v>
      </c>
      <c r="H2641">
        <v>67.900000000000006</v>
      </c>
      <c r="I2641">
        <v>49.3</v>
      </c>
      <c r="J2641">
        <v>86.5</v>
      </c>
      <c r="K2641">
        <v>88</v>
      </c>
      <c r="L2641">
        <v>0</v>
      </c>
      <c r="M2641">
        <v>243</v>
      </c>
      <c r="N2641">
        <v>3.6</v>
      </c>
      <c r="O2641">
        <v>0</v>
      </c>
      <c r="P2641">
        <v>8</v>
      </c>
      <c r="Q2641">
        <f t="shared" si="80"/>
        <v>1085004</v>
      </c>
      <c r="R2641">
        <f t="shared" si="81"/>
        <v>8.1105691776251518</v>
      </c>
      <c r="U2641">
        <v>173</v>
      </c>
      <c r="V2641">
        <v>0</v>
      </c>
      <c r="W2641">
        <v>410</v>
      </c>
      <c r="X2641">
        <v>95</v>
      </c>
      <c r="Y2641">
        <v>64.5</v>
      </c>
      <c r="Z2641">
        <v>29.4</v>
      </c>
      <c r="AA2641">
        <v>99.6</v>
      </c>
    </row>
    <row r="2642" spans="1:27" x14ac:dyDescent="0.25">
      <c r="A2642" t="s">
        <v>251</v>
      </c>
      <c r="B2642" t="s">
        <v>180</v>
      </c>
      <c r="C2642" s="76">
        <v>43922</v>
      </c>
      <c r="D2642">
        <v>14317</v>
      </c>
      <c r="E2642">
        <v>658</v>
      </c>
      <c r="F2642">
        <v>27975</v>
      </c>
      <c r="G2642">
        <v>9815</v>
      </c>
      <c r="H2642">
        <v>59.3</v>
      </c>
      <c r="I2642">
        <v>44</v>
      </c>
      <c r="J2642">
        <v>74.599999999999994</v>
      </c>
      <c r="K2642">
        <v>749</v>
      </c>
      <c r="L2642">
        <v>249</v>
      </c>
      <c r="M2642">
        <v>1249</v>
      </c>
      <c r="N2642">
        <v>3.1</v>
      </c>
      <c r="O2642">
        <v>1.1000000000000001</v>
      </c>
      <c r="P2642">
        <v>5.0999999999999996</v>
      </c>
      <c r="Q2642">
        <f t="shared" si="80"/>
        <v>10701022</v>
      </c>
      <c r="R2642">
        <f t="shared" si="81"/>
        <v>6.9993314657235546</v>
      </c>
      <c r="U2642">
        <v>805</v>
      </c>
      <c r="V2642">
        <v>263</v>
      </c>
      <c r="W2642">
        <v>1347</v>
      </c>
      <c r="X2642">
        <v>535</v>
      </c>
      <c r="Y2642">
        <v>60.1</v>
      </c>
      <c r="Z2642">
        <v>43.2</v>
      </c>
      <c r="AA2642">
        <v>76.900000000000006</v>
      </c>
    </row>
    <row r="2643" spans="1:27" x14ac:dyDescent="0.25">
      <c r="A2643" t="s">
        <v>251</v>
      </c>
      <c r="B2643" t="s">
        <v>180</v>
      </c>
      <c r="C2643" s="76">
        <v>43923</v>
      </c>
      <c r="D2643">
        <v>11324</v>
      </c>
      <c r="E2643">
        <v>3155</v>
      </c>
      <c r="F2643">
        <v>19493</v>
      </c>
      <c r="G2643">
        <v>9901</v>
      </c>
      <c r="H2643">
        <v>53.4</v>
      </c>
      <c r="I2643">
        <v>40.700000000000003</v>
      </c>
      <c r="J2643">
        <v>66</v>
      </c>
      <c r="K2643">
        <v>670</v>
      </c>
      <c r="L2643">
        <v>256</v>
      </c>
      <c r="M2643">
        <v>1084</v>
      </c>
      <c r="N2643">
        <v>3.2</v>
      </c>
      <c r="O2643">
        <v>1.8</v>
      </c>
      <c r="P2643">
        <v>4.5</v>
      </c>
      <c r="Q2643">
        <f t="shared" si="80"/>
        <v>10701022</v>
      </c>
      <c r="R2643">
        <f t="shared" si="81"/>
        <v>6.2610842216752758</v>
      </c>
      <c r="U2643">
        <v>790</v>
      </c>
      <c r="V2643">
        <v>261</v>
      </c>
      <c r="W2643">
        <v>1319</v>
      </c>
      <c r="X2643">
        <v>572</v>
      </c>
      <c r="Y2643">
        <v>58</v>
      </c>
      <c r="Z2643">
        <v>41.7</v>
      </c>
      <c r="AA2643">
        <v>74.3</v>
      </c>
    </row>
    <row r="2644" spans="1:27" x14ac:dyDescent="0.25">
      <c r="A2644" t="s">
        <v>251</v>
      </c>
      <c r="B2644" t="s">
        <v>180</v>
      </c>
      <c r="C2644" s="76">
        <v>43924</v>
      </c>
      <c r="D2644">
        <v>11401</v>
      </c>
      <c r="E2644">
        <v>4313</v>
      </c>
      <c r="F2644">
        <v>18489</v>
      </c>
      <c r="G2644">
        <v>10314</v>
      </c>
      <c r="H2644">
        <v>52.5</v>
      </c>
      <c r="I2644">
        <v>41</v>
      </c>
      <c r="J2644">
        <v>64</v>
      </c>
      <c r="K2644">
        <v>1003</v>
      </c>
      <c r="L2644">
        <v>0</v>
      </c>
      <c r="M2644">
        <v>2143</v>
      </c>
      <c r="N2644">
        <v>4.5999999999999996</v>
      </c>
      <c r="O2644">
        <v>0.3</v>
      </c>
      <c r="P2644">
        <v>8.9</v>
      </c>
      <c r="Q2644">
        <f t="shared" si="80"/>
        <v>10701022</v>
      </c>
      <c r="R2644">
        <f t="shared" si="81"/>
        <v>9.3729365288661217</v>
      </c>
      <c r="U2644">
        <v>1264</v>
      </c>
      <c r="V2644">
        <v>120</v>
      </c>
      <c r="W2644">
        <v>2407</v>
      </c>
      <c r="X2644">
        <v>779</v>
      </c>
      <c r="Y2644">
        <v>61.9</v>
      </c>
      <c r="Z2644">
        <v>49.1</v>
      </c>
      <c r="AA2644">
        <v>74.7</v>
      </c>
    </row>
    <row r="2645" spans="1:27" x14ac:dyDescent="0.25">
      <c r="A2645" t="s">
        <v>251</v>
      </c>
      <c r="B2645" t="s">
        <v>180</v>
      </c>
      <c r="C2645" s="76">
        <v>43925</v>
      </c>
      <c r="D2645">
        <v>11368</v>
      </c>
      <c r="E2645">
        <v>4321</v>
      </c>
      <c r="F2645">
        <v>18416</v>
      </c>
      <c r="G2645">
        <v>10088</v>
      </c>
      <c r="H2645">
        <v>53</v>
      </c>
      <c r="I2645">
        <v>42.2</v>
      </c>
      <c r="J2645">
        <v>63.8</v>
      </c>
      <c r="K2645">
        <v>1044</v>
      </c>
      <c r="L2645">
        <v>17</v>
      </c>
      <c r="M2645">
        <v>2072</v>
      </c>
      <c r="N2645">
        <v>4.9000000000000004</v>
      </c>
      <c r="O2645">
        <v>1</v>
      </c>
      <c r="P2645">
        <v>8.6999999999999993</v>
      </c>
      <c r="Q2645">
        <f t="shared" si="80"/>
        <v>10701022</v>
      </c>
      <c r="R2645">
        <f t="shared" si="81"/>
        <v>9.756077503625356</v>
      </c>
      <c r="U2645">
        <v>1284</v>
      </c>
      <c r="V2645">
        <v>135</v>
      </c>
      <c r="W2645">
        <v>2433</v>
      </c>
      <c r="X2645">
        <v>783</v>
      </c>
      <c r="Y2645">
        <v>62.1</v>
      </c>
      <c r="Z2645">
        <v>50.1</v>
      </c>
      <c r="AA2645">
        <v>74.2</v>
      </c>
    </row>
    <row r="2646" spans="1:27" x14ac:dyDescent="0.25">
      <c r="A2646" t="s">
        <v>251</v>
      </c>
      <c r="B2646" t="s">
        <v>180</v>
      </c>
      <c r="C2646" s="76">
        <v>43926</v>
      </c>
      <c r="D2646">
        <v>11310</v>
      </c>
      <c r="E2646">
        <v>4338</v>
      </c>
      <c r="F2646">
        <v>18282</v>
      </c>
      <c r="G2646">
        <v>10472</v>
      </c>
      <c r="H2646">
        <v>51.9</v>
      </c>
      <c r="I2646">
        <v>41.4</v>
      </c>
      <c r="J2646">
        <v>62.5</v>
      </c>
      <c r="K2646">
        <v>1029</v>
      </c>
      <c r="L2646">
        <v>228</v>
      </c>
      <c r="M2646">
        <v>1829</v>
      </c>
      <c r="N2646">
        <v>4.7</v>
      </c>
      <c r="O2646">
        <v>2.1</v>
      </c>
      <c r="P2646">
        <v>7.3</v>
      </c>
      <c r="Q2646">
        <f t="shared" si="80"/>
        <v>10701022</v>
      </c>
      <c r="R2646">
        <f t="shared" si="81"/>
        <v>9.6159039762744154</v>
      </c>
      <c r="U2646">
        <v>1285</v>
      </c>
      <c r="V2646">
        <v>192</v>
      </c>
      <c r="W2646">
        <v>2377</v>
      </c>
      <c r="X2646">
        <v>769</v>
      </c>
      <c r="Y2646">
        <v>62.6</v>
      </c>
      <c r="Z2646">
        <v>52</v>
      </c>
      <c r="AA2646">
        <v>73.099999999999994</v>
      </c>
    </row>
    <row r="2647" spans="1:27" x14ac:dyDescent="0.25">
      <c r="A2647" t="s">
        <v>251</v>
      </c>
      <c r="B2647" t="s">
        <v>180</v>
      </c>
      <c r="C2647" s="76">
        <v>43927</v>
      </c>
      <c r="D2647">
        <v>11557</v>
      </c>
      <c r="E2647">
        <v>4982</v>
      </c>
      <c r="F2647">
        <v>18132</v>
      </c>
      <c r="G2647">
        <v>9030</v>
      </c>
      <c r="H2647">
        <v>56.1</v>
      </c>
      <c r="I2647">
        <v>47</v>
      </c>
      <c r="J2647">
        <v>65.3</v>
      </c>
      <c r="K2647">
        <v>1074</v>
      </c>
      <c r="L2647">
        <v>210</v>
      </c>
      <c r="M2647">
        <v>1939</v>
      </c>
      <c r="N2647">
        <v>5.2</v>
      </c>
      <c r="O2647">
        <v>2</v>
      </c>
      <c r="P2647">
        <v>8.5</v>
      </c>
      <c r="Q2647">
        <f t="shared" si="80"/>
        <v>10701022</v>
      </c>
      <c r="R2647">
        <f t="shared" si="81"/>
        <v>10.036424558327232</v>
      </c>
      <c r="U2647">
        <v>1345</v>
      </c>
      <c r="V2647">
        <v>363</v>
      </c>
      <c r="W2647">
        <v>2328</v>
      </c>
      <c r="X2647">
        <v>741</v>
      </c>
      <c r="Y2647">
        <v>64.5</v>
      </c>
      <c r="Z2647">
        <v>49.5</v>
      </c>
      <c r="AA2647">
        <v>79.400000000000006</v>
      </c>
    </row>
    <row r="2648" spans="1:27" x14ac:dyDescent="0.25">
      <c r="A2648" t="s">
        <v>251</v>
      </c>
      <c r="B2648" t="s">
        <v>180</v>
      </c>
      <c r="C2648" s="76">
        <v>43928</v>
      </c>
      <c r="D2648">
        <v>11724</v>
      </c>
      <c r="E2648">
        <v>5155</v>
      </c>
      <c r="F2648">
        <v>18292</v>
      </c>
      <c r="G2648">
        <v>9918</v>
      </c>
      <c r="H2648">
        <v>54.2</v>
      </c>
      <c r="I2648">
        <v>44.8</v>
      </c>
      <c r="J2648">
        <v>63.5</v>
      </c>
      <c r="K2648">
        <v>882</v>
      </c>
      <c r="L2648">
        <v>406</v>
      </c>
      <c r="M2648">
        <v>1358</v>
      </c>
      <c r="N2648">
        <v>4.0999999999999996</v>
      </c>
      <c r="O2648">
        <v>2.5</v>
      </c>
      <c r="P2648">
        <v>5.7</v>
      </c>
      <c r="Q2648">
        <f t="shared" si="80"/>
        <v>10701022</v>
      </c>
      <c r="R2648">
        <f t="shared" si="81"/>
        <v>8.2422034082352145</v>
      </c>
      <c r="U2648">
        <v>1387</v>
      </c>
      <c r="V2648">
        <v>381</v>
      </c>
      <c r="W2648">
        <v>2393</v>
      </c>
      <c r="X2648">
        <v>714</v>
      </c>
      <c r="Y2648">
        <v>66</v>
      </c>
      <c r="Z2648">
        <v>55.7</v>
      </c>
      <c r="AA2648">
        <v>76.3</v>
      </c>
    </row>
    <row r="2649" spans="1:27" x14ac:dyDescent="0.25">
      <c r="A2649" t="s">
        <v>251</v>
      </c>
      <c r="B2649" t="s">
        <v>180</v>
      </c>
      <c r="C2649" s="76">
        <v>43929</v>
      </c>
      <c r="D2649">
        <v>12068</v>
      </c>
      <c r="E2649">
        <v>5399</v>
      </c>
      <c r="F2649">
        <v>18736</v>
      </c>
      <c r="G2649">
        <v>8936</v>
      </c>
      <c r="H2649">
        <v>57.5</v>
      </c>
      <c r="I2649">
        <v>48.2</v>
      </c>
      <c r="J2649">
        <v>66.7</v>
      </c>
      <c r="K2649">
        <v>935</v>
      </c>
      <c r="L2649">
        <v>502</v>
      </c>
      <c r="M2649">
        <v>1369</v>
      </c>
      <c r="N2649">
        <v>4.5</v>
      </c>
      <c r="O2649">
        <v>2.9</v>
      </c>
      <c r="P2649">
        <v>6</v>
      </c>
      <c r="Q2649">
        <f t="shared" si="80"/>
        <v>10701022</v>
      </c>
      <c r="R2649">
        <f t="shared" si="81"/>
        <v>8.7374832048751987</v>
      </c>
      <c r="U2649">
        <v>1360</v>
      </c>
      <c r="V2649">
        <v>352</v>
      </c>
      <c r="W2649">
        <v>2367</v>
      </c>
      <c r="X2649">
        <v>736</v>
      </c>
      <c r="Y2649">
        <v>64.900000000000006</v>
      </c>
      <c r="Z2649">
        <v>54.2</v>
      </c>
      <c r="AA2649">
        <v>75.5</v>
      </c>
    </row>
    <row r="2650" spans="1:27" x14ac:dyDescent="0.25">
      <c r="A2650" t="s">
        <v>251</v>
      </c>
      <c r="B2650" t="s">
        <v>180</v>
      </c>
      <c r="C2650" s="76">
        <v>43930</v>
      </c>
      <c r="D2650">
        <v>12561</v>
      </c>
      <c r="E2650">
        <v>6085</v>
      </c>
      <c r="F2650">
        <v>19037</v>
      </c>
      <c r="G2650">
        <v>9081</v>
      </c>
      <c r="H2650">
        <v>58</v>
      </c>
      <c r="I2650">
        <v>49.6</v>
      </c>
      <c r="J2650">
        <v>66.5</v>
      </c>
      <c r="K2650">
        <v>885</v>
      </c>
      <c r="L2650">
        <v>490</v>
      </c>
      <c r="M2650">
        <v>1280</v>
      </c>
      <c r="N2650">
        <v>4.0999999999999996</v>
      </c>
      <c r="O2650">
        <v>2.8</v>
      </c>
      <c r="P2650">
        <v>5.3</v>
      </c>
      <c r="Q2650">
        <f t="shared" si="80"/>
        <v>10701022</v>
      </c>
      <c r="R2650">
        <f t="shared" si="81"/>
        <v>8.2702381137054015</v>
      </c>
      <c r="U2650">
        <v>1640</v>
      </c>
      <c r="V2650">
        <v>525</v>
      </c>
      <c r="W2650">
        <v>2756</v>
      </c>
      <c r="X2650">
        <v>886</v>
      </c>
      <c r="Y2650">
        <v>64.900000000000006</v>
      </c>
      <c r="Z2650">
        <v>58.5</v>
      </c>
      <c r="AA2650">
        <v>71.3</v>
      </c>
    </row>
    <row r="2651" spans="1:27" x14ac:dyDescent="0.25">
      <c r="A2651" t="s">
        <v>251</v>
      </c>
      <c r="B2651" t="s">
        <v>180</v>
      </c>
      <c r="C2651" s="76">
        <v>43931</v>
      </c>
      <c r="D2651">
        <v>12371</v>
      </c>
      <c r="E2651">
        <v>5974</v>
      </c>
      <c r="F2651">
        <v>18768</v>
      </c>
      <c r="G2651">
        <v>9570</v>
      </c>
      <c r="H2651">
        <v>56.4</v>
      </c>
      <c r="I2651">
        <v>47.6</v>
      </c>
      <c r="J2651">
        <v>65.2</v>
      </c>
      <c r="K2651">
        <v>963</v>
      </c>
      <c r="L2651">
        <v>528</v>
      </c>
      <c r="M2651">
        <v>1399</v>
      </c>
      <c r="N2651">
        <v>4.4000000000000004</v>
      </c>
      <c r="O2651">
        <v>3.1</v>
      </c>
      <c r="P2651">
        <v>5.6</v>
      </c>
      <c r="Q2651">
        <f t="shared" si="80"/>
        <v>10701022</v>
      </c>
      <c r="R2651">
        <f t="shared" si="81"/>
        <v>8.9991404559302843</v>
      </c>
      <c r="U2651">
        <v>1591</v>
      </c>
      <c r="V2651">
        <v>481</v>
      </c>
      <c r="W2651">
        <v>2701</v>
      </c>
      <c r="X2651">
        <v>982</v>
      </c>
      <c r="Y2651">
        <v>61.8</v>
      </c>
      <c r="Z2651">
        <v>55.3</v>
      </c>
      <c r="AA2651">
        <v>68.400000000000006</v>
      </c>
    </row>
    <row r="2652" spans="1:27" x14ac:dyDescent="0.25">
      <c r="A2652" t="s">
        <v>251</v>
      </c>
      <c r="B2652" t="s">
        <v>180</v>
      </c>
      <c r="C2652" s="76">
        <v>43932</v>
      </c>
      <c r="D2652">
        <v>12062</v>
      </c>
      <c r="E2652">
        <v>5806</v>
      </c>
      <c r="F2652">
        <v>18318</v>
      </c>
      <c r="G2652">
        <v>9222</v>
      </c>
      <c r="H2652">
        <v>56.7</v>
      </c>
      <c r="I2652">
        <v>48.9</v>
      </c>
      <c r="J2652">
        <v>64.400000000000006</v>
      </c>
      <c r="K2652">
        <v>805</v>
      </c>
      <c r="L2652">
        <v>432</v>
      </c>
      <c r="M2652">
        <v>1178</v>
      </c>
      <c r="N2652">
        <v>3.8</v>
      </c>
      <c r="O2652">
        <v>2.6</v>
      </c>
      <c r="P2652">
        <v>4.9000000000000004</v>
      </c>
      <c r="Q2652">
        <f t="shared" si="80"/>
        <v>10701022</v>
      </c>
      <c r="R2652">
        <f t="shared" si="81"/>
        <v>7.5226459678337267</v>
      </c>
      <c r="U2652">
        <v>1660</v>
      </c>
      <c r="V2652">
        <v>459</v>
      </c>
      <c r="W2652">
        <v>2860</v>
      </c>
      <c r="X2652">
        <v>951</v>
      </c>
      <c r="Y2652">
        <v>63.5</v>
      </c>
      <c r="Z2652">
        <v>55.2</v>
      </c>
      <c r="AA2652">
        <v>71.8</v>
      </c>
    </row>
    <row r="2653" spans="1:27" x14ac:dyDescent="0.25">
      <c r="A2653" t="s">
        <v>251</v>
      </c>
      <c r="B2653" t="s">
        <v>180</v>
      </c>
      <c r="C2653" s="76">
        <v>43933</v>
      </c>
      <c r="D2653">
        <v>11849</v>
      </c>
      <c r="E2653">
        <v>5701</v>
      </c>
      <c r="F2653">
        <v>17997</v>
      </c>
      <c r="G2653">
        <v>9681</v>
      </c>
      <c r="H2653">
        <v>55</v>
      </c>
      <c r="I2653">
        <v>46.8</v>
      </c>
      <c r="J2653">
        <v>63.2</v>
      </c>
      <c r="K2653">
        <v>785</v>
      </c>
      <c r="L2653">
        <v>422</v>
      </c>
      <c r="M2653">
        <v>1148</v>
      </c>
      <c r="N2653">
        <v>3.6</v>
      </c>
      <c r="O2653">
        <v>2.5</v>
      </c>
      <c r="P2653">
        <v>4.7</v>
      </c>
      <c r="Q2653">
        <f t="shared" si="80"/>
        <v>10701022</v>
      </c>
      <c r="R2653">
        <f t="shared" si="81"/>
        <v>7.335747931365808</v>
      </c>
      <c r="U2653">
        <v>1626</v>
      </c>
      <c r="V2653">
        <v>487</v>
      </c>
      <c r="W2653">
        <v>2765</v>
      </c>
      <c r="X2653">
        <v>969</v>
      </c>
      <c r="Y2653">
        <v>62.7</v>
      </c>
      <c r="Z2653">
        <v>54.6</v>
      </c>
      <c r="AA2653">
        <v>70.7</v>
      </c>
    </row>
    <row r="2654" spans="1:27" x14ac:dyDescent="0.25">
      <c r="A2654" t="s">
        <v>251</v>
      </c>
      <c r="B2654" t="s">
        <v>180</v>
      </c>
      <c r="C2654" s="76">
        <v>43934</v>
      </c>
      <c r="D2654">
        <v>11682</v>
      </c>
      <c r="E2654">
        <v>6439</v>
      </c>
      <c r="F2654">
        <v>16925</v>
      </c>
      <c r="G2654">
        <v>10253</v>
      </c>
      <c r="H2654">
        <v>53.3</v>
      </c>
      <c r="I2654">
        <v>46.7</v>
      </c>
      <c r="J2654">
        <v>59.8</v>
      </c>
      <c r="K2654">
        <v>805</v>
      </c>
      <c r="L2654">
        <v>452</v>
      </c>
      <c r="M2654">
        <v>1158</v>
      </c>
      <c r="N2654">
        <v>3.7</v>
      </c>
      <c r="O2654">
        <v>2.7</v>
      </c>
      <c r="P2654">
        <v>4.5999999999999996</v>
      </c>
      <c r="Q2654">
        <f t="shared" si="80"/>
        <v>10701022</v>
      </c>
      <c r="R2654">
        <f t="shared" si="81"/>
        <v>7.5226459678337267</v>
      </c>
      <c r="U2654">
        <v>1656</v>
      </c>
      <c r="V2654">
        <v>631</v>
      </c>
      <c r="W2654">
        <v>2681</v>
      </c>
      <c r="X2654">
        <v>1116</v>
      </c>
      <c r="Y2654">
        <v>59.7</v>
      </c>
      <c r="Z2654">
        <v>52.8</v>
      </c>
      <c r="AA2654">
        <v>66.7</v>
      </c>
    </row>
    <row r="2655" spans="1:27" x14ac:dyDescent="0.25">
      <c r="A2655" t="s">
        <v>251</v>
      </c>
      <c r="B2655" t="s">
        <v>180</v>
      </c>
      <c r="C2655" s="76">
        <v>43935</v>
      </c>
      <c r="D2655">
        <v>12275</v>
      </c>
      <c r="E2655">
        <v>6639</v>
      </c>
      <c r="F2655">
        <v>17912</v>
      </c>
      <c r="G2655">
        <v>9310</v>
      </c>
      <c r="H2655">
        <v>56.9</v>
      </c>
      <c r="I2655">
        <v>50.1</v>
      </c>
      <c r="J2655">
        <v>63.7</v>
      </c>
      <c r="K2655">
        <v>803</v>
      </c>
      <c r="L2655">
        <v>480</v>
      </c>
      <c r="M2655">
        <v>1125</v>
      </c>
      <c r="N2655">
        <v>3.7</v>
      </c>
      <c r="O2655">
        <v>2.8</v>
      </c>
      <c r="P2655">
        <v>4.5999999999999996</v>
      </c>
      <c r="Q2655">
        <f t="shared" si="80"/>
        <v>10701022</v>
      </c>
      <c r="R2655">
        <f t="shared" si="81"/>
        <v>7.5039561641869348</v>
      </c>
      <c r="U2655">
        <v>1763</v>
      </c>
      <c r="V2655">
        <v>676</v>
      </c>
      <c r="W2655">
        <v>2850</v>
      </c>
      <c r="X2655">
        <v>1033</v>
      </c>
      <c r="Y2655">
        <v>63.1</v>
      </c>
      <c r="Z2655">
        <v>56.5</v>
      </c>
      <c r="AA2655">
        <v>69.599999999999994</v>
      </c>
    </row>
    <row r="2656" spans="1:27" x14ac:dyDescent="0.25">
      <c r="A2656" t="s">
        <v>251</v>
      </c>
      <c r="B2656" t="s">
        <v>180</v>
      </c>
      <c r="C2656" s="76">
        <v>43936</v>
      </c>
      <c r="D2656">
        <v>12408</v>
      </c>
      <c r="E2656">
        <v>6751</v>
      </c>
      <c r="F2656">
        <v>18065</v>
      </c>
      <c r="G2656">
        <v>9138</v>
      </c>
      <c r="H2656">
        <v>57.6</v>
      </c>
      <c r="I2656">
        <v>50.9</v>
      </c>
      <c r="J2656">
        <v>64.3</v>
      </c>
      <c r="K2656">
        <v>853</v>
      </c>
      <c r="L2656">
        <v>506</v>
      </c>
      <c r="M2656">
        <v>1199</v>
      </c>
      <c r="N2656">
        <v>4</v>
      </c>
      <c r="O2656">
        <v>3</v>
      </c>
      <c r="P2656">
        <v>4.9000000000000004</v>
      </c>
      <c r="Q2656">
        <f t="shared" si="80"/>
        <v>10701022</v>
      </c>
      <c r="R2656">
        <f t="shared" si="81"/>
        <v>7.9712012553567311</v>
      </c>
      <c r="U2656">
        <v>1753</v>
      </c>
      <c r="V2656">
        <v>647</v>
      </c>
      <c r="W2656">
        <v>2859</v>
      </c>
      <c r="X2656">
        <v>1046</v>
      </c>
      <c r="Y2656">
        <v>62.6</v>
      </c>
      <c r="Z2656">
        <v>55.2</v>
      </c>
      <c r="AA2656">
        <v>70</v>
      </c>
    </row>
    <row r="2657" spans="1:27" x14ac:dyDescent="0.25">
      <c r="A2657" t="s">
        <v>251</v>
      </c>
      <c r="B2657" t="s">
        <v>180</v>
      </c>
      <c r="C2657" s="76">
        <v>43937</v>
      </c>
      <c r="D2657">
        <v>12498</v>
      </c>
      <c r="E2657">
        <v>7103</v>
      </c>
      <c r="F2657">
        <v>17892</v>
      </c>
      <c r="G2657">
        <v>9144</v>
      </c>
      <c r="H2657">
        <v>57.7</v>
      </c>
      <c r="I2657">
        <v>50.8</v>
      </c>
      <c r="J2657">
        <v>64.7</v>
      </c>
      <c r="K2657">
        <v>680</v>
      </c>
      <c r="L2657">
        <v>395</v>
      </c>
      <c r="M2657">
        <v>964</v>
      </c>
      <c r="N2657">
        <v>3.1</v>
      </c>
      <c r="O2657">
        <v>2.4</v>
      </c>
      <c r="P2657">
        <v>3.9</v>
      </c>
      <c r="Q2657">
        <f t="shared" si="80"/>
        <v>10701022</v>
      </c>
      <c r="R2657">
        <f t="shared" si="81"/>
        <v>6.3545332399092347</v>
      </c>
      <c r="U2657">
        <v>1716</v>
      </c>
      <c r="V2657">
        <v>705</v>
      </c>
      <c r="W2657">
        <v>2727</v>
      </c>
      <c r="X2657">
        <v>1375</v>
      </c>
      <c r="Y2657">
        <v>55.5</v>
      </c>
      <c r="Z2657">
        <v>47</v>
      </c>
      <c r="AA2657">
        <v>64</v>
      </c>
    </row>
    <row r="2658" spans="1:27" x14ac:dyDescent="0.25">
      <c r="A2658" t="s">
        <v>251</v>
      </c>
      <c r="B2658" t="s">
        <v>180</v>
      </c>
      <c r="C2658" s="76">
        <v>43938</v>
      </c>
      <c r="D2658">
        <v>12432</v>
      </c>
      <c r="E2658">
        <v>7047</v>
      </c>
      <c r="F2658">
        <v>17817</v>
      </c>
      <c r="G2658">
        <v>9467</v>
      </c>
      <c r="H2658">
        <v>56.8</v>
      </c>
      <c r="I2658">
        <v>49.4</v>
      </c>
      <c r="J2658">
        <v>64.099999999999994</v>
      </c>
      <c r="K2658">
        <v>623</v>
      </c>
      <c r="L2658">
        <v>359</v>
      </c>
      <c r="M2658">
        <v>888</v>
      </c>
      <c r="N2658">
        <v>2.8</v>
      </c>
      <c r="O2658">
        <v>2.2000000000000002</v>
      </c>
      <c r="P2658">
        <v>3.4</v>
      </c>
      <c r="Q2658">
        <f t="shared" si="80"/>
        <v>10701022</v>
      </c>
      <c r="R2658">
        <f t="shared" si="81"/>
        <v>5.8218738359756665</v>
      </c>
      <c r="U2658">
        <v>1714</v>
      </c>
      <c r="V2658">
        <v>709</v>
      </c>
      <c r="W2658">
        <v>2719</v>
      </c>
      <c r="X2658">
        <v>1375</v>
      </c>
      <c r="Y2658">
        <v>55.5</v>
      </c>
      <c r="Z2658">
        <v>47</v>
      </c>
      <c r="AA2658">
        <v>64</v>
      </c>
    </row>
    <row r="2659" spans="1:27" x14ac:dyDescent="0.25">
      <c r="A2659" t="s">
        <v>251</v>
      </c>
      <c r="B2659" t="s">
        <v>180</v>
      </c>
      <c r="C2659" s="76">
        <v>43939</v>
      </c>
      <c r="D2659">
        <v>12416</v>
      </c>
      <c r="E2659">
        <v>7129</v>
      </c>
      <c r="F2659">
        <v>17703</v>
      </c>
      <c r="G2659">
        <v>9894</v>
      </c>
      <c r="H2659">
        <v>55.7</v>
      </c>
      <c r="I2659">
        <v>48.9</v>
      </c>
      <c r="J2659">
        <v>62.4</v>
      </c>
      <c r="K2659">
        <v>588</v>
      </c>
      <c r="L2659">
        <v>322</v>
      </c>
      <c r="M2659">
        <v>854</v>
      </c>
      <c r="N2659">
        <v>2.6</v>
      </c>
      <c r="O2659">
        <v>2</v>
      </c>
      <c r="P2659">
        <v>3.2</v>
      </c>
      <c r="Q2659">
        <f t="shared" si="80"/>
        <v>10701022</v>
      </c>
      <c r="R2659">
        <f t="shared" si="81"/>
        <v>5.4948022721568091</v>
      </c>
      <c r="U2659">
        <v>1650</v>
      </c>
      <c r="V2659">
        <v>649</v>
      </c>
      <c r="W2659">
        <v>2651</v>
      </c>
      <c r="X2659">
        <v>1411</v>
      </c>
      <c r="Y2659">
        <v>53.9</v>
      </c>
      <c r="Z2659">
        <v>45.7</v>
      </c>
      <c r="AA2659">
        <v>62.1</v>
      </c>
    </row>
    <row r="2660" spans="1:27" x14ac:dyDescent="0.25">
      <c r="A2660" t="s">
        <v>251</v>
      </c>
      <c r="B2660" t="s">
        <v>180</v>
      </c>
      <c r="C2660" s="76">
        <v>43940</v>
      </c>
      <c r="D2660">
        <v>12927</v>
      </c>
      <c r="E2660">
        <v>7502</v>
      </c>
      <c r="F2660">
        <v>18353</v>
      </c>
      <c r="G2660">
        <v>9954</v>
      </c>
      <c r="H2660">
        <v>56.5</v>
      </c>
      <c r="I2660">
        <v>49.8</v>
      </c>
      <c r="J2660">
        <v>63.2</v>
      </c>
      <c r="K2660">
        <v>671</v>
      </c>
      <c r="L2660">
        <v>366</v>
      </c>
      <c r="M2660">
        <v>976</v>
      </c>
      <c r="N2660">
        <v>2.9</v>
      </c>
      <c r="O2660">
        <v>2.2000000000000002</v>
      </c>
      <c r="P2660">
        <v>3.7</v>
      </c>
      <c r="Q2660">
        <f t="shared" si="80"/>
        <v>10701022</v>
      </c>
      <c r="R2660">
        <f t="shared" si="81"/>
        <v>6.2704291234986718</v>
      </c>
      <c r="U2660">
        <v>1660</v>
      </c>
      <c r="V2660">
        <v>663</v>
      </c>
      <c r="W2660">
        <v>2657</v>
      </c>
      <c r="X2660">
        <v>1408</v>
      </c>
      <c r="Y2660">
        <v>54.1</v>
      </c>
      <c r="Z2660">
        <v>45.9</v>
      </c>
      <c r="AA2660">
        <v>62.3</v>
      </c>
    </row>
    <row r="2661" spans="1:27" x14ac:dyDescent="0.25">
      <c r="A2661" t="s">
        <v>251</v>
      </c>
      <c r="B2661" t="s">
        <v>180</v>
      </c>
      <c r="C2661" s="76">
        <v>43941</v>
      </c>
      <c r="D2661">
        <v>13033</v>
      </c>
      <c r="E2661">
        <v>8111</v>
      </c>
      <c r="F2661">
        <v>17955</v>
      </c>
      <c r="G2661">
        <v>9435</v>
      </c>
      <c r="H2661">
        <v>58</v>
      </c>
      <c r="I2661">
        <v>51.8</v>
      </c>
      <c r="J2661">
        <v>64.2</v>
      </c>
      <c r="K2661">
        <v>682</v>
      </c>
      <c r="L2661">
        <v>419</v>
      </c>
      <c r="M2661">
        <v>945</v>
      </c>
      <c r="N2661">
        <v>3</v>
      </c>
      <c r="O2661">
        <v>2.4</v>
      </c>
      <c r="P2661">
        <v>3.7</v>
      </c>
      <c r="Q2661">
        <f t="shared" si="80"/>
        <v>10701022</v>
      </c>
      <c r="R2661">
        <f t="shared" si="81"/>
        <v>6.3732230435560258</v>
      </c>
      <c r="U2661">
        <v>1605</v>
      </c>
      <c r="V2661">
        <v>787</v>
      </c>
      <c r="W2661">
        <v>2423</v>
      </c>
      <c r="X2661">
        <v>1316</v>
      </c>
      <c r="Y2661">
        <v>55</v>
      </c>
      <c r="Z2661">
        <v>48.2</v>
      </c>
      <c r="AA2661">
        <v>61.7</v>
      </c>
    </row>
    <row r="2662" spans="1:27" x14ac:dyDescent="0.25">
      <c r="A2662" t="s">
        <v>251</v>
      </c>
      <c r="B2662" t="s">
        <v>180</v>
      </c>
      <c r="C2662" s="76">
        <v>43942</v>
      </c>
      <c r="D2662">
        <v>13644</v>
      </c>
      <c r="E2662">
        <v>8381</v>
      </c>
      <c r="F2662">
        <v>18906</v>
      </c>
      <c r="G2662">
        <v>8837</v>
      </c>
      <c r="H2662">
        <v>60.7</v>
      </c>
      <c r="I2662">
        <v>55.5</v>
      </c>
      <c r="J2662">
        <v>65.900000000000006</v>
      </c>
      <c r="K2662">
        <v>720</v>
      </c>
      <c r="L2662">
        <v>440</v>
      </c>
      <c r="M2662">
        <v>999</v>
      </c>
      <c r="N2662">
        <v>3.2</v>
      </c>
      <c r="O2662">
        <v>2.5</v>
      </c>
      <c r="P2662">
        <v>3.9</v>
      </c>
      <c r="Q2662">
        <f t="shared" si="80"/>
        <v>10701022</v>
      </c>
      <c r="R2662">
        <f t="shared" si="81"/>
        <v>6.7283293128450721</v>
      </c>
      <c r="U2662">
        <v>1589</v>
      </c>
      <c r="V2662">
        <v>746</v>
      </c>
      <c r="W2662">
        <v>2433</v>
      </c>
      <c r="X2662">
        <v>1171</v>
      </c>
      <c r="Y2662">
        <v>57.6</v>
      </c>
      <c r="Z2662">
        <v>50</v>
      </c>
      <c r="AA2662">
        <v>65.099999999999994</v>
      </c>
    </row>
    <row r="2663" spans="1:27" x14ac:dyDescent="0.25">
      <c r="A2663" t="s">
        <v>251</v>
      </c>
      <c r="B2663" t="s">
        <v>180</v>
      </c>
      <c r="C2663" s="76">
        <v>43943</v>
      </c>
      <c r="D2663">
        <v>14339</v>
      </c>
      <c r="E2663">
        <v>8653</v>
      </c>
      <c r="F2663">
        <v>20025</v>
      </c>
      <c r="G2663">
        <v>8663</v>
      </c>
      <c r="H2663">
        <v>62.3</v>
      </c>
      <c r="I2663">
        <v>57.7</v>
      </c>
      <c r="J2663">
        <v>67</v>
      </c>
      <c r="K2663">
        <v>716</v>
      </c>
      <c r="L2663">
        <v>415</v>
      </c>
      <c r="M2663">
        <v>1018</v>
      </c>
      <c r="N2663">
        <v>3.1</v>
      </c>
      <c r="O2663">
        <v>2.2999999999999998</v>
      </c>
      <c r="P2663">
        <v>3.9</v>
      </c>
      <c r="Q2663">
        <f t="shared" ref="Q2663:Q2726" si="82">VLOOKUP(B2663,$AE$4:$AF$55,2,FALSE)</f>
        <v>10701022</v>
      </c>
      <c r="R2663">
        <f t="shared" si="81"/>
        <v>6.690949705551489</v>
      </c>
      <c r="U2663">
        <v>1629</v>
      </c>
      <c r="V2663">
        <v>714</v>
      </c>
      <c r="W2663">
        <v>2543</v>
      </c>
      <c r="X2663">
        <v>1167</v>
      </c>
      <c r="Y2663">
        <v>58.3</v>
      </c>
      <c r="Z2663">
        <v>50.3</v>
      </c>
      <c r="AA2663">
        <v>66.2</v>
      </c>
    </row>
    <row r="2664" spans="1:27" x14ac:dyDescent="0.25">
      <c r="A2664" t="s">
        <v>251</v>
      </c>
      <c r="B2664" t="s">
        <v>180</v>
      </c>
      <c r="C2664" s="76">
        <v>43944</v>
      </c>
      <c r="D2664">
        <v>14432</v>
      </c>
      <c r="E2664">
        <v>8675</v>
      </c>
      <c r="F2664">
        <v>20188</v>
      </c>
      <c r="G2664">
        <v>8681</v>
      </c>
      <c r="H2664">
        <v>62.4</v>
      </c>
      <c r="I2664">
        <v>57.7</v>
      </c>
      <c r="J2664">
        <v>67.2</v>
      </c>
      <c r="K2664">
        <v>772</v>
      </c>
      <c r="L2664">
        <v>450</v>
      </c>
      <c r="M2664">
        <v>1093</v>
      </c>
      <c r="N2664">
        <v>3.3</v>
      </c>
      <c r="O2664">
        <v>2.5</v>
      </c>
      <c r="P2664">
        <v>4.2</v>
      </c>
      <c r="Q2664">
        <f t="shared" si="82"/>
        <v>10701022</v>
      </c>
      <c r="R2664">
        <f t="shared" si="81"/>
        <v>7.2142642076616612</v>
      </c>
      <c r="U2664">
        <v>1660</v>
      </c>
      <c r="V2664">
        <v>744</v>
      </c>
      <c r="W2664">
        <v>2576</v>
      </c>
      <c r="X2664">
        <v>1144</v>
      </c>
      <c r="Y2664">
        <v>59.2</v>
      </c>
      <c r="Z2664">
        <v>50.5</v>
      </c>
      <c r="AA2664">
        <v>67.900000000000006</v>
      </c>
    </row>
    <row r="2665" spans="1:27" x14ac:dyDescent="0.25">
      <c r="A2665" t="s">
        <v>251</v>
      </c>
      <c r="B2665" t="s">
        <v>180</v>
      </c>
      <c r="C2665" s="76">
        <v>43945</v>
      </c>
      <c r="D2665">
        <v>14182</v>
      </c>
      <c r="E2665">
        <v>8544</v>
      </c>
      <c r="F2665">
        <v>19819</v>
      </c>
      <c r="G2665">
        <v>8795</v>
      </c>
      <c r="H2665">
        <v>61.7</v>
      </c>
      <c r="I2665">
        <v>57.1</v>
      </c>
      <c r="J2665">
        <v>66.3</v>
      </c>
      <c r="K2665">
        <v>791</v>
      </c>
      <c r="L2665">
        <v>465</v>
      </c>
      <c r="M2665">
        <v>1117</v>
      </c>
      <c r="N2665">
        <v>3.4</v>
      </c>
      <c r="O2665">
        <v>2.5</v>
      </c>
      <c r="P2665">
        <v>4.3</v>
      </c>
      <c r="Q2665">
        <f t="shared" si="82"/>
        <v>10701022</v>
      </c>
      <c r="R2665">
        <f t="shared" si="81"/>
        <v>7.391817342306183</v>
      </c>
      <c r="U2665">
        <v>1568</v>
      </c>
      <c r="V2665">
        <v>658</v>
      </c>
      <c r="W2665">
        <v>2479</v>
      </c>
      <c r="X2665">
        <v>1197</v>
      </c>
      <c r="Y2665">
        <v>56.7</v>
      </c>
      <c r="Z2665">
        <v>47.2</v>
      </c>
      <c r="AA2665">
        <v>66.2</v>
      </c>
    </row>
    <row r="2666" spans="1:27" x14ac:dyDescent="0.25">
      <c r="A2666" t="s">
        <v>251</v>
      </c>
      <c r="B2666" t="s">
        <v>180</v>
      </c>
      <c r="C2666" s="76">
        <v>43946</v>
      </c>
      <c r="D2666">
        <v>13845</v>
      </c>
      <c r="E2666">
        <v>8328</v>
      </c>
      <c r="F2666">
        <v>19362</v>
      </c>
      <c r="G2666">
        <v>9127</v>
      </c>
      <c r="H2666">
        <v>60.3</v>
      </c>
      <c r="I2666">
        <v>55.6</v>
      </c>
      <c r="J2666">
        <v>65</v>
      </c>
      <c r="K2666">
        <v>761</v>
      </c>
      <c r="L2666">
        <v>440</v>
      </c>
      <c r="M2666">
        <v>1082</v>
      </c>
      <c r="N2666">
        <v>3.3</v>
      </c>
      <c r="O2666">
        <v>2.4</v>
      </c>
      <c r="P2666">
        <v>4.2</v>
      </c>
      <c r="Q2666">
        <f t="shared" si="82"/>
        <v>10701022</v>
      </c>
      <c r="R2666">
        <f t="shared" si="81"/>
        <v>7.1114702876043054</v>
      </c>
      <c r="U2666">
        <v>1613</v>
      </c>
      <c r="V2666">
        <v>698</v>
      </c>
      <c r="W2666">
        <v>2527</v>
      </c>
      <c r="X2666">
        <v>1154</v>
      </c>
      <c r="Y2666">
        <v>58.3</v>
      </c>
      <c r="Z2666">
        <v>49.3</v>
      </c>
      <c r="AA2666">
        <v>67.3</v>
      </c>
    </row>
    <row r="2667" spans="1:27" x14ac:dyDescent="0.25">
      <c r="A2667" t="s">
        <v>251</v>
      </c>
      <c r="B2667" t="s">
        <v>180</v>
      </c>
      <c r="C2667" s="76">
        <v>43947</v>
      </c>
      <c r="D2667">
        <v>13680</v>
      </c>
      <c r="E2667">
        <v>7928</v>
      </c>
      <c r="F2667">
        <v>19432</v>
      </c>
      <c r="G2667">
        <v>9148</v>
      </c>
      <c r="H2667">
        <v>59.9</v>
      </c>
      <c r="I2667">
        <v>54.8</v>
      </c>
      <c r="J2667">
        <v>65</v>
      </c>
      <c r="K2667">
        <v>793</v>
      </c>
      <c r="L2667">
        <v>457</v>
      </c>
      <c r="M2667">
        <v>1129</v>
      </c>
      <c r="N2667">
        <v>3.5</v>
      </c>
      <c r="O2667">
        <v>2.6</v>
      </c>
      <c r="P2667">
        <v>4.4000000000000004</v>
      </c>
      <c r="Q2667">
        <f t="shared" si="82"/>
        <v>10701022</v>
      </c>
      <c r="R2667">
        <f t="shared" si="81"/>
        <v>7.410507145952975</v>
      </c>
      <c r="U2667">
        <v>1515</v>
      </c>
      <c r="V2667">
        <v>604</v>
      </c>
      <c r="W2667">
        <v>2427</v>
      </c>
      <c r="X2667">
        <v>981</v>
      </c>
      <c r="Y2667">
        <v>60.7</v>
      </c>
      <c r="Z2667">
        <v>53.8</v>
      </c>
      <c r="AA2667">
        <v>67.599999999999994</v>
      </c>
    </row>
    <row r="2668" spans="1:27" x14ac:dyDescent="0.25">
      <c r="A2668" t="s">
        <v>251</v>
      </c>
      <c r="B2668" t="s">
        <v>180</v>
      </c>
      <c r="C2668" s="76">
        <v>43948</v>
      </c>
      <c r="D2668">
        <v>14783</v>
      </c>
      <c r="E2668">
        <v>8624</v>
      </c>
      <c r="F2668">
        <v>20943</v>
      </c>
      <c r="G2668">
        <v>8990</v>
      </c>
      <c r="H2668">
        <v>62.2</v>
      </c>
      <c r="I2668">
        <v>57.1</v>
      </c>
      <c r="J2668">
        <v>67.3</v>
      </c>
      <c r="K2668">
        <v>811</v>
      </c>
      <c r="L2668">
        <v>474</v>
      </c>
      <c r="M2668">
        <v>1148</v>
      </c>
      <c r="N2668">
        <v>3.4</v>
      </c>
      <c r="O2668">
        <v>2.5</v>
      </c>
      <c r="P2668">
        <v>4.3</v>
      </c>
      <c r="Q2668">
        <f t="shared" si="82"/>
        <v>10701022</v>
      </c>
      <c r="R2668">
        <f t="shared" si="81"/>
        <v>7.5787153787741017</v>
      </c>
      <c r="U2668">
        <v>1461</v>
      </c>
      <c r="V2668">
        <v>549</v>
      </c>
      <c r="W2668">
        <v>2372</v>
      </c>
      <c r="X2668">
        <v>1023</v>
      </c>
      <c r="Y2668">
        <v>58.8</v>
      </c>
      <c r="Z2668">
        <v>50.7</v>
      </c>
      <c r="AA2668">
        <v>66.900000000000006</v>
      </c>
    </row>
    <row r="2669" spans="1:27" x14ac:dyDescent="0.25">
      <c r="A2669" t="s">
        <v>251</v>
      </c>
      <c r="B2669" t="s">
        <v>180</v>
      </c>
      <c r="C2669" s="76">
        <v>43949</v>
      </c>
      <c r="D2669">
        <v>14524</v>
      </c>
      <c r="E2669">
        <v>8583</v>
      </c>
      <c r="F2669">
        <v>20465</v>
      </c>
      <c r="G2669">
        <v>8767</v>
      </c>
      <c r="H2669">
        <v>62.4</v>
      </c>
      <c r="I2669">
        <v>57.2</v>
      </c>
      <c r="J2669">
        <v>67.5</v>
      </c>
      <c r="K2669">
        <v>842</v>
      </c>
      <c r="L2669">
        <v>487</v>
      </c>
      <c r="M2669">
        <v>1197</v>
      </c>
      <c r="N2669">
        <v>3.6</v>
      </c>
      <c r="O2669">
        <v>2.8</v>
      </c>
      <c r="P2669">
        <v>4.4000000000000004</v>
      </c>
      <c r="Q2669">
        <f t="shared" si="82"/>
        <v>10701022</v>
      </c>
      <c r="R2669">
        <f t="shared" si="81"/>
        <v>7.8684073352993762</v>
      </c>
      <c r="U2669">
        <v>1586</v>
      </c>
      <c r="V2669">
        <v>643</v>
      </c>
      <c r="W2669">
        <v>2529</v>
      </c>
      <c r="X2669">
        <v>1034</v>
      </c>
      <c r="Y2669">
        <v>60.5</v>
      </c>
      <c r="Z2669">
        <v>52.8</v>
      </c>
      <c r="AA2669">
        <v>68.3</v>
      </c>
    </row>
    <row r="2670" spans="1:27" x14ac:dyDescent="0.25">
      <c r="A2670" t="s">
        <v>251</v>
      </c>
      <c r="B2670" t="s">
        <v>180</v>
      </c>
      <c r="C2670" s="76">
        <v>43950</v>
      </c>
      <c r="D2670">
        <v>14847</v>
      </c>
      <c r="E2670">
        <v>8650</v>
      </c>
      <c r="F2670">
        <v>21043</v>
      </c>
      <c r="G2670">
        <v>8739</v>
      </c>
      <c r="H2670">
        <v>62.9</v>
      </c>
      <c r="I2670">
        <v>57.6</v>
      </c>
      <c r="J2670">
        <v>68.3</v>
      </c>
      <c r="K2670">
        <v>831</v>
      </c>
      <c r="L2670">
        <v>467</v>
      </c>
      <c r="M2670">
        <v>1195</v>
      </c>
      <c r="N2670">
        <v>3.5</v>
      </c>
      <c r="O2670">
        <v>2.6</v>
      </c>
      <c r="P2670">
        <v>4.4000000000000004</v>
      </c>
      <c r="Q2670">
        <f t="shared" si="82"/>
        <v>10701022</v>
      </c>
      <c r="R2670">
        <f t="shared" si="81"/>
        <v>7.7656134152420213</v>
      </c>
      <c r="U2670">
        <v>1578</v>
      </c>
      <c r="V2670">
        <v>613</v>
      </c>
      <c r="W2670">
        <v>2543</v>
      </c>
      <c r="X2670">
        <v>1076</v>
      </c>
      <c r="Y2670">
        <v>59.5</v>
      </c>
      <c r="Z2670">
        <v>51.7</v>
      </c>
      <c r="AA2670">
        <v>67.2</v>
      </c>
    </row>
    <row r="2671" spans="1:27" x14ac:dyDescent="0.25">
      <c r="A2671" t="s">
        <v>251</v>
      </c>
      <c r="B2671" t="s">
        <v>180</v>
      </c>
      <c r="C2671" s="76">
        <v>43951</v>
      </c>
      <c r="D2671">
        <v>14606</v>
      </c>
      <c r="E2671">
        <v>8652</v>
      </c>
      <c r="F2671">
        <v>20560</v>
      </c>
      <c r="G2671">
        <v>8634</v>
      </c>
      <c r="H2671">
        <v>62.8</v>
      </c>
      <c r="I2671">
        <v>57.3</v>
      </c>
      <c r="J2671">
        <v>68.400000000000006</v>
      </c>
      <c r="K2671">
        <v>826</v>
      </c>
      <c r="L2671">
        <v>470</v>
      </c>
      <c r="M2671">
        <v>1183</v>
      </c>
      <c r="N2671">
        <v>3.6</v>
      </c>
      <c r="O2671">
        <v>2.7</v>
      </c>
      <c r="P2671">
        <v>4.5</v>
      </c>
      <c r="Q2671">
        <f t="shared" si="82"/>
        <v>10701022</v>
      </c>
      <c r="R2671">
        <f t="shared" si="81"/>
        <v>7.7188889061250405</v>
      </c>
      <c r="U2671">
        <v>1565</v>
      </c>
      <c r="V2671">
        <v>629</v>
      </c>
      <c r="W2671">
        <v>2502</v>
      </c>
      <c r="X2671">
        <v>1044</v>
      </c>
      <c r="Y2671">
        <v>60</v>
      </c>
      <c r="Z2671">
        <v>52</v>
      </c>
      <c r="AA2671">
        <v>67.900000000000006</v>
      </c>
    </row>
    <row r="2672" spans="1:27" x14ac:dyDescent="0.25">
      <c r="A2672" t="s">
        <v>251</v>
      </c>
      <c r="B2672" t="s">
        <v>180</v>
      </c>
      <c r="C2672" s="76">
        <v>43952</v>
      </c>
      <c r="D2672">
        <v>13641</v>
      </c>
      <c r="E2672">
        <v>8012</v>
      </c>
      <c r="F2672">
        <v>19270</v>
      </c>
      <c r="G2672">
        <v>8854</v>
      </c>
      <c r="H2672">
        <v>60.6</v>
      </c>
      <c r="I2672">
        <v>55.5</v>
      </c>
      <c r="J2672">
        <v>65.8</v>
      </c>
      <c r="K2672">
        <v>734</v>
      </c>
      <c r="L2672">
        <v>418</v>
      </c>
      <c r="M2672">
        <v>1050</v>
      </c>
      <c r="N2672">
        <v>3.3</v>
      </c>
      <c r="O2672">
        <v>2.4</v>
      </c>
      <c r="P2672">
        <v>4.0999999999999996</v>
      </c>
      <c r="Q2672">
        <f t="shared" si="82"/>
        <v>10701022</v>
      </c>
      <c r="R2672">
        <f t="shared" si="81"/>
        <v>6.8591579383726158</v>
      </c>
      <c r="U2672">
        <v>1354</v>
      </c>
      <c r="V2672">
        <v>576</v>
      </c>
      <c r="W2672">
        <v>2132</v>
      </c>
      <c r="X2672">
        <v>997</v>
      </c>
      <c r="Y2672">
        <v>57.6</v>
      </c>
      <c r="Z2672">
        <v>50.4</v>
      </c>
      <c r="AA2672">
        <v>64.8</v>
      </c>
    </row>
    <row r="2673" spans="1:27" x14ac:dyDescent="0.25">
      <c r="A2673" t="s">
        <v>251</v>
      </c>
      <c r="B2673" t="s">
        <v>180</v>
      </c>
      <c r="C2673" s="76">
        <v>43953</v>
      </c>
      <c r="D2673">
        <v>13458</v>
      </c>
      <c r="E2673">
        <v>7865</v>
      </c>
      <c r="F2673">
        <v>19051</v>
      </c>
      <c r="G2673">
        <v>8986</v>
      </c>
      <c r="H2673">
        <v>60</v>
      </c>
      <c r="I2673">
        <v>54.6</v>
      </c>
      <c r="J2673">
        <v>65.3</v>
      </c>
      <c r="K2673">
        <v>754</v>
      </c>
      <c r="L2673">
        <v>434</v>
      </c>
      <c r="M2673">
        <v>1074</v>
      </c>
      <c r="N2673">
        <v>3.4</v>
      </c>
      <c r="O2673">
        <v>2.5</v>
      </c>
      <c r="P2673">
        <v>4.2</v>
      </c>
      <c r="Q2673">
        <f t="shared" si="82"/>
        <v>10701022</v>
      </c>
      <c r="R2673">
        <f t="shared" si="81"/>
        <v>7.0460559748405345</v>
      </c>
      <c r="U2673">
        <v>1358</v>
      </c>
      <c r="V2673">
        <v>568</v>
      </c>
      <c r="W2673">
        <v>2148</v>
      </c>
      <c r="X2673">
        <v>960</v>
      </c>
      <c r="Y2673">
        <v>58.6</v>
      </c>
      <c r="Z2673">
        <v>51.1</v>
      </c>
      <c r="AA2673">
        <v>66.099999999999994</v>
      </c>
    </row>
    <row r="2674" spans="1:27" x14ac:dyDescent="0.25">
      <c r="A2674" t="s">
        <v>251</v>
      </c>
      <c r="B2674" t="s">
        <v>180</v>
      </c>
      <c r="C2674" s="76">
        <v>43954</v>
      </c>
      <c r="D2674">
        <v>13342</v>
      </c>
      <c r="E2674">
        <v>7838</v>
      </c>
      <c r="F2674">
        <v>18846</v>
      </c>
      <c r="G2674">
        <v>9055</v>
      </c>
      <c r="H2674">
        <v>59.6</v>
      </c>
      <c r="I2674">
        <v>54.4</v>
      </c>
      <c r="J2674">
        <v>64.7</v>
      </c>
      <c r="K2674">
        <v>789</v>
      </c>
      <c r="L2674">
        <v>453</v>
      </c>
      <c r="M2674">
        <v>1124</v>
      </c>
      <c r="N2674">
        <v>3.5</v>
      </c>
      <c r="O2674">
        <v>2.6</v>
      </c>
      <c r="P2674">
        <v>4.5</v>
      </c>
      <c r="Q2674">
        <f t="shared" si="82"/>
        <v>10701022</v>
      </c>
      <c r="R2674">
        <f t="shared" si="81"/>
        <v>7.373127538659392</v>
      </c>
      <c r="U2674">
        <v>1319</v>
      </c>
      <c r="V2674">
        <v>550</v>
      </c>
      <c r="W2674">
        <v>2088</v>
      </c>
      <c r="X2674">
        <v>997</v>
      </c>
      <c r="Y2674">
        <v>56.9</v>
      </c>
      <c r="Z2674">
        <v>49.7</v>
      </c>
      <c r="AA2674">
        <v>64.2</v>
      </c>
    </row>
    <row r="2675" spans="1:27" x14ac:dyDescent="0.25">
      <c r="A2675" t="s">
        <v>251</v>
      </c>
      <c r="B2675" t="s">
        <v>180</v>
      </c>
      <c r="C2675" s="76">
        <v>43955</v>
      </c>
      <c r="D2675">
        <v>13158</v>
      </c>
      <c r="E2675">
        <v>7138</v>
      </c>
      <c r="F2675">
        <v>19178</v>
      </c>
      <c r="G2675">
        <v>8348</v>
      </c>
      <c r="H2675">
        <v>61.2</v>
      </c>
      <c r="I2675">
        <v>54.7</v>
      </c>
      <c r="J2675">
        <v>67.599999999999994</v>
      </c>
      <c r="K2675">
        <v>878</v>
      </c>
      <c r="L2675">
        <v>450</v>
      </c>
      <c r="M2675">
        <v>1306</v>
      </c>
      <c r="N2675">
        <v>4.0999999999999996</v>
      </c>
      <c r="O2675">
        <v>3</v>
      </c>
      <c r="P2675">
        <v>5.0999999999999996</v>
      </c>
      <c r="Q2675">
        <f t="shared" si="82"/>
        <v>10701022</v>
      </c>
      <c r="R2675">
        <f t="shared" si="81"/>
        <v>8.2048238009416288</v>
      </c>
      <c r="U2675">
        <v>1352</v>
      </c>
      <c r="V2675">
        <v>422</v>
      </c>
      <c r="W2675">
        <v>2281</v>
      </c>
      <c r="X2675">
        <v>844</v>
      </c>
      <c r="Y2675">
        <v>61.6</v>
      </c>
      <c r="Z2675">
        <v>52.9</v>
      </c>
      <c r="AA2675">
        <v>70.2</v>
      </c>
    </row>
    <row r="2676" spans="1:27" x14ac:dyDescent="0.25">
      <c r="A2676" t="s">
        <v>251</v>
      </c>
      <c r="B2676" t="s">
        <v>180</v>
      </c>
      <c r="C2676" s="76">
        <v>43956</v>
      </c>
      <c r="D2676">
        <v>13596</v>
      </c>
      <c r="E2676">
        <v>7426</v>
      </c>
      <c r="F2676">
        <v>19767</v>
      </c>
      <c r="G2676">
        <v>7861</v>
      </c>
      <c r="H2676">
        <v>63.4</v>
      </c>
      <c r="I2676">
        <v>57</v>
      </c>
      <c r="J2676">
        <v>69.7</v>
      </c>
      <c r="K2676">
        <v>728</v>
      </c>
      <c r="L2676">
        <v>387</v>
      </c>
      <c r="M2676">
        <v>1069</v>
      </c>
      <c r="N2676">
        <v>3.4</v>
      </c>
      <c r="O2676">
        <v>2.6</v>
      </c>
      <c r="P2676">
        <v>4.2</v>
      </c>
      <c r="Q2676">
        <f t="shared" si="82"/>
        <v>10701022</v>
      </c>
      <c r="R2676">
        <f t="shared" si="81"/>
        <v>6.803088527432239</v>
      </c>
      <c r="U2676">
        <v>1394</v>
      </c>
      <c r="V2676">
        <v>446</v>
      </c>
      <c r="W2676">
        <v>2343</v>
      </c>
      <c r="X2676">
        <v>807</v>
      </c>
      <c r="Y2676">
        <v>63.3</v>
      </c>
      <c r="Z2676">
        <v>55.3</v>
      </c>
      <c r="AA2676">
        <v>71.400000000000006</v>
      </c>
    </row>
    <row r="2677" spans="1:27" x14ac:dyDescent="0.25">
      <c r="A2677" t="s">
        <v>251</v>
      </c>
      <c r="B2677" t="s">
        <v>180</v>
      </c>
      <c r="C2677" s="76">
        <v>43957</v>
      </c>
      <c r="D2677">
        <v>13579</v>
      </c>
      <c r="E2677">
        <v>7300</v>
      </c>
      <c r="F2677">
        <v>19859</v>
      </c>
      <c r="G2677">
        <v>8080</v>
      </c>
      <c r="H2677">
        <v>62.7</v>
      </c>
      <c r="I2677">
        <v>55.6</v>
      </c>
      <c r="J2677">
        <v>69.8</v>
      </c>
      <c r="K2677">
        <v>681</v>
      </c>
      <c r="L2677">
        <v>365</v>
      </c>
      <c r="M2677">
        <v>998</v>
      </c>
      <c r="N2677">
        <v>3.1</v>
      </c>
      <c r="O2677">
        <v>2.4</v>
      </c>
      <c r="P2677">
        <v>3.9</v>
      </c>
      <c r="Q2677">
        <f t="shared" si="82"/>
        <v>10701022</v>
      </c>
      <c r="R2677">
        <f t="shared" si="81"/>
        <v>6.3638781417326298</v>
      </c>
      <c r="U2677">
        <v>1396</v>
      </c>
      <c r="V2677">
        <v>485</v>
      </c>
      <c r="W2677">
        <v>2306</v>
      </c>
      <c r="X2677">
        <v>834</v>
      </c>
      <c r="Y2677">
        <v>62.6</v>
      </c>
      <c r="Z2677">
        <v>55.5</v>
      </c>
      <c r="AA2677">
        <v>69.7</v>
      </c>
    </row>
    <row r="2678" spans="1:27" x14ac:dyDescent="0.25">
      <c r="A2678" t="s">
        <v>251</v>
      </c>
      <c r="B2678" t="s">
        <v>180</v>
      </c>
      <c r="C2678" s="76">
        <v>43958</v>
      </c>
      <c r="D2678">
        <v>13444</v>
      </c>
      <c r="E2678">
        <v>7230</v>
      </c>
      <c r="F2678">
        <v>19658</v>
      </c>
      <c r="G2678">
        <v>8220</v>
      </c>
      <c r="H2678">
        <v>62.1</v>
      </c>
      <c r="I2678">
        <v>55</v>
      </c>
      <c r="J2678">
        <v>69.099999999999994</v>
      </c>
      <c r="K2678">
        <v>708</v>
      </c>
      <c r="L2678">
        <v>379</v>
      </c>
      <c r="M2678">
        <v>1036</v>
      </c>
      <c r="N2678">
        <v>3.3</v>
      </c>
      <c r="O2678">
        <v>2.5</v>
      </c>
      <c r="P2678">
        <v>4.0999999999999996</v>
      </c>
      <c r="Q2678">
        <f t="shared" si="82"/>
        <v>10701022</v>
      </c>
      <c r="R2678">
        <f t="shared" si="81"/>
        <v>6.6161904909643212</v>
      </c>
      <c r="U2678">
        <v>1416</v>
      </c>
      <c r="V2678">
        <v>484</v>
      </c>
      <c r="W2678">
        <v>2348</v>
      </c>
      <c r="X2678">
        <v>842</v>
      </c>
      <c r="Y2678">
        <v>62.7</v>
      </c>
      <c r="Z2678">
        <v>55.2</v>
      </c>
      <c r="AA2678">
        <v>70.3</v>
      </c>
    </row>
    <row r="2679" spans="1:27" x14ac:dyDescent="0.25">
      <c r="A2679" t="s">
        <v>251</v>
      </c>
      <c r="B2679" t="s">
        <v>180</v>
      </c>
      <c r="C2679" s="76">
        <v>43959</v>
      </c>
      <c r="D2679">
        <v>13709</v>
      </c>
      <c r="E2679">
        <v>7267</v>
      </c>
      <c r="F2679">
        <v>20150</v>
      </c>
      <c r="G2679">
        <v>8227</v>
      </c>
      <c r="H2679">
        <v>62.5</v>
      </c>
      <c r="I2679">
        <v>55.4</v>
      </c>
      <c r="J2679">
        <v>69.599999999999994</v>
      </c>
      <c r="K2679">
        <v>799</v>
      </c>
      <c r="L2679">
        <v>427</v>
      </c>
      <c r="M2679">
        <v>1171</v>
      </c>
      <c r="N2679">
        <v>3.6</v>
      </c>
      <c r="O2679">
        <v>2.9</v>
      </c>
      <c r="P2679">
        <v>4.4000000000000004</v>
      </c>
      <c r="Q2679">
        <f t="shared" si="82"/>
        <v>10701022</v>
      </c>
      <c r="R2679">
        <f t="shared" si="81"/>
        <v>7.4665765568933518</v>
      </c>
      <c r="U2679">
        <v>1643</v>
      </c>
      <c r="V2679">
        <v>552</v>
      </c>
      <c r="W2679">
        <v>2734</v>
      </c>
      <c r="X2679">
        <v>975</v>
      </c>
      <c r="Y2679">
        <v>62.8</v>
      </c>
      <c r="Z2679">
        <v>55.4</v>
      </c>
      <c r="AA2679">
        <v>70.2</v>
      </c>
    </row>
    <row r="2680" spans="1:27" x14ac:dyDescent="0.25">
      <c r="A2680" t="s">
        <v>251</v>
      </c>
      <c r="B2680" t="s">
        <v>180</v>
      </c>
      <c r="C2680" s="76">
        <v>43960</v>
      </c>
      <c r="D2680">
        <v>13255</v>
      </c>
      <c r="E2680">
        <v>7113</v>
      </c>
      <c r="F2680">
        <v>19398</v>
      </c>
      <c r="G2680">
        <v>8540</v>
      </c>
      <c r="H2680">
        <v>60.8</v>
      </c>
      <c r="I2680">
        <v>54.5</v>
      </c>
      <c r="J2680">
        <v>67.099999999999994</v>
      </c>
      <c r="K2680">
        <v>708</v>
      </c>
      <c r="L2680">
        <v>349</v>
      </c>
      <c r="M2680">
        <v>1067</v>
      </c>
      <c r="N2680">
        <v>3.2</v>
      </c>
      <c r="O2680">
        <v>2.5</v>
      </c>
      <c r="P2680">
        <v>4</v>
      </c>
      <c r="Q2680">
        <f t="shared" si="82"/>
        <v>10701022</v>
      </c>
      <c r="R2680">
        <f t="shared" si="81"/>
        <v>6.6161904909643212</v>
      </c>
      <c r="U2680">
        <v>1598</v>
      </c>
      <c r="V2680">
        <v>552</v>
      </c>
      <c r="W2680">
        <v>2645</v>
      </c>
      <c r="X2680">
        <v>979</v>
      </c>
      <c r="Y2680">
        <v>62</v>
      </c>
      <c r="Z2680">
        <v>55.1</v>
      </c>
      <c r="AA2680">
        <v>68.900000000000006</v>
      </c>
    </row>
    <row r="2681" spans="1:27" x14ac:dyDescent="0.25">
      <c r="A2681" t="s">
        <v>251</v>
      </c>
      <c r="B2681" t="s">
        <v>180</v>
      </c>
      <c r="C2681" s="76">
        <v>43961</v>
      </c>
      <c r="D2681">
        <v>12778</v>
      </c>
      <c r="E2681">
        <v>6827</v>
      </c>
      <c r="F2681">
        <v>18728</v>
      </c>
      <c r="G2681">
        <v>8995</v>
      </c>
      <c r="H2681">
        <v>58.7</v>
      </c>
      <c r="I2681">
        <v>52.3</v>
      </c>
      <c r="J2681">
        <v>65</v>
      </c>
      <c r="K2681">
        <v>710</v>
      </c>
      <c r="L2681">
        <v>340</v>
      </c>
      <c r="M2681">
        <v>1080</v>
      </c>
      <c r="N2681">
        <v>3.3</v>
      </c>
      <c r="O2681">
        <v>2.2999999999999998</v>
      </c>
      <c r="P2681">
        <v>4.2</v>
      </c>
      <c r="Q2681">
        <f t="shared" si="82"/>
        <v>10701022</v>
      </c>
      <c r="R2681">
        <f t="shared" si="81"/>
        <v>6.6348802946111123</v>
      </c>
      <c r="U2681">
        <v>1569</v>
      </c>
      <c r="V2681">
        <v>523</v>
      </c>
      <c r="W2681">
        <v>2615</v>
      </c>
      <c r="X2681">
        <v>1007</v>
      </c>
      <c r="Y2681">
        <v>60.9</v>
      </c>
      <c r="Z2681">
        <v>52.9</v>
      </c>
      <c r="AA2681">
        <v>68.900000000000006</v>
      </c>
    </row>
    <row r="2682" spans="1:27" x14ac:dyDescent="0.25">
      <c r="A2682" t="s">
        <v>251</v>
      </c>
      <c r="B2682" t="s">
        <v>180</v>
      </c>
      <c r="C2682" s="76">
        <v>43962</v>
      </c>
      <c r="D2682">
        <v>12395</v>
      </c>
      <c r="E2682">
        <v>6505</v>
      </c>
      <c r="F2682">
        <v>18286</v>
      </c>
      <c r="G2682">
        <v>8449</v>
      </c>
      <c r="H2682">
        <v>59.5</v>
      </c>
      <c r="I2682">
        <v>52.4</v>
      </c>
      <c r="J2682">
        <v>66.5</v>
      </c>
      <c r="K2682">
        <v>665</v>
      </c>
      <c r="L2682">
        <v>317</v>
      </c>
      <c r="M2682">
        <v>1012</v>
      </c>
      <c r="N2682">
        <v>3.2</v>
      </c>
      <c r="O2682">
        <v>2.2999999999999998</v>
      </c>
      <c r="P2682">
        <v>4.0999999999999996</v>
      </c>
      <c r="Q2682">
        <f t="shared" si="82"/>
        <v>10701022</v>
      </c>
      <c r="R2682">
        <f t="shared" si="81"/>
        <v>6.214359712558295</v>
      </c>
      <c r="U2682">
        <v>1364</v>
      </c>
      <c r="V2682">
        <v>389</v>
      </c>
      <c r="W2682">
        <v>2340</v>
      </c>
      <c r="X2682">
        <v>895</v>
      </c>
      <c r="Y2682">
        <v>60.4</v>
      </c>
      <c r="Z2682">
        <v>50</v>
      </c>
      <c r="AA2682">
        <v>70.7</v>
      </c>
    </row>
    <row r="2683" spans="1:27" x14ac:dyDescent="0.25">
      <c r="A2683" t="s">
        <v>251</v>
      </c>
      <c r="B2683" t="s">
        <v>180</v>
      </c>
      <c r="C2683" s="76">
        <v>43963</v>
      </c>
      <c r="D2683">
        <v>12975</v>
      </c>
      <c r="E2683">
        <v>6883</v>
      </c>
      <c r="F2683">
        <v>19068</v>
      </c>
      <c r="G2683">
        <v>7996</v>
      </c>
      <c r="H2683">
        <v>61.9</v>
      </c>
      <c r="I2683">
        <v>54.8</v>
      </c>
      <c r="J2683">
        <v>69</v>
      </c>
      <c r="K2683">
        <v>722</v>
      </c>
      <c r="L2683">
        <v>370</v>
      </c>
      <c r="M2683">
        <v>1074</v>
      </c>
      <c r="N2683">
        <v>3.4</v>
      </c>
      <c r="O2683">
        <v>2.6</v>
      </c>
      <c r="P2683">
        <v>4.3</v>
      </c>
      <c r="Q2683">
        <f t="shared" si="82"/>
        <v>10701022</v>
      </c>
      <c r="R2683">
        <f t="shared" si="81"/>
        <v>6.747019116491864</v>
      </c>
      <c r="U2683">
        <v>1358</v>
      </c>
      <c r="V2683">
        <v>395</v>
      </c>
      <c r="W2683">
        <v>2320</v>
      </c>
      <c r="X2683">
        <v>932</v>
      </c>
      <c r="Y2683">
        <v>59.3</v>
      </c>
      <c r="Z2683">
        <v>50</v>
      </c>
      <c r="AA2683">
        <v>68.599999999999994</v>
      </c>
    </row>
    <row r="2684" spans="1:27" x14ac:dyDescent="0.25">
      <c r="A2684" t="s">
        <v>251</v>
      </c>
      <c r="B2684" t="s">
        <v>180</v>
      </c>
      <c r="C2684" s="76">
        <v>43964</v>
      </c>
      <c r="D2684">
        <v>12876</v>
      </c>
      <c r="E2684">
        <v>6791</v>
      </c>
      <c r="F2684">
        <v>18961</v>
      </c>
      <c r="G2684">
        <v>7930</v>
      </c>
      <c r="H2684">
        <v>61.9</v>
      </c>
      <c r="I2684">
        <v>54.8</v>
      </c>
      <c r="J2684">
        <v>69</v>
      </c>
      <c r="K2684">
        <v>664</v>
      </c>
      <c r="L2684">
        <v>326</v>
      </c>
      <c r="M2684">
        <v>1002</v>
      </c>
      <c r="N2684">
        <v>3.2</v>
      </c>
      <c r="O2684">
        <v>2.4</v>
      </c>
      <c r="P2684">
        <v>4</v>
      </c>
      <c r="Q2684">
        <f t="shared" si="82"/>
        <v>10701022</v>
      </c>
      <c r="R2684">
        <f t="shared" si="81"/>
        <v>6.205014810734899</v>
      </c>
      <c r="U2684">
        <v>1355</v>
      </c>
      <c r="V2684">
        <v>394</v>
      </c>
      <c r="W2684">
        <v>2315</v>
      </c>
      <c r="X2684">
        <v>896</v>
      </c>
      <c r="Y2684">
        <v>60.2</v>
      </c>
      <c r="Z2684">
        <v>51.3</v>
      </c>
      <c r="AA2684">
        <v>69.099999999999994</v>
      </c>
    </row>
    <row r="2685" spans="1:27" x14ac:dyDescent="0.25">
      <c r="A2685" t="s">
        <v>251</v>
      </c>
      <c r="B2685" t="s">
        <v>180</v>
      </c>
      <c r="C2685" s="76">
        <v>43965</v>
      </c>
      <c r="D2685">
        <v>13299</v>
      </c>
      <c r="E2685">
        <v>7033</v>
      </c>
      <c r="F2685">
        <v>19565</v>
      </c>
      <c r="G2685">
        <v>7716</v>
      </c>
      <c r="H2685">
        <v>63.3</v>
      </c>
      <c r="I2685">
        <v>56</v>
      </c>
      <c r="J2685">
        <v>70.599999999999994</v>
      </c>
      <c r="K2685">
        <v>746</v>
      </c>
      <c r="L2685">
        <v>370</v>
      </c>
      <c r="M2685">
        <v>1122</v>
      </c>
      <c r="N2685">
        <v>3.6</v>
      </c>
      <c r="O2685">
        <v>2.7</v>
      </c>
      <c r="P2685">
        <v>4.4000000000000004</v>
      </c>
      <c r="Q2685">
        <f t="shared" si="82"/>
        <v>10701022</v>
      </c>
      <c r="R2685">
        <f t="shared" si="81"/>
        <v>6.9712967602533658</v>
      </c>
      <c r="U2685">
        <v>1400</v>
      </c>
      <c r="V2685">
        <v>401</v>
      </c>
      <c r="W2685">
        <v>2399</v>
      </c>
      <c r="X2685">
        <v>866</v>
      </c>
      <c r="Y2685">
        <v>61.8</v>
      </c>
      <c r="Z2685">
        <v>52</v>
      </c>
      <c r="AA2685">
        <v>71.5</v>
      </c>
    </row>
    <row r="2686" spans="1:27" x14ac:dyDescent="0.25">
      <c r="A2686" t="s">
        <v>251</v>
      </c>
      <c r="B2686" t="s">
        <v>180</v>
      </c>
      <c r="C2686" s="76">
        <v>43966</v>
      </c>
      <c r="D2686">
        <v>13086</v>
      </c>
      <c r="E2686">
        <v>6919</v>
      </c>
      <c r="F2686">
        <v>19252</v>
      </c>
      <c r="G2686">
        <v>7940</v>
      </c>
      <c r="H2686">
        <v>62.2</v>
      </c>
      <c r="I2686">
        <v>55</v>
      </c>
      <c r="J2686">
        <v>69.5</v>
      </c>
      <c r="K2686">
        <v>729</v>
      </c>
      <c r="L2686">
        <v>365</v>
      </c>
      <c r="M2686">
        <v>1093</v>
      </c>
      <c r="N2686">
        <v>3.5</v>
      </c>
      <c r="O2686">
        <v>2.7</v>
      </c>
      <c r="P2686">
        <v>4.3</v>
      </c>
      <c r="Q2686">
        <f t="shared" si="82"/>
        <v>10701022</v>
      </c>
      <c r="R2686">
        <f t="shared" si="81"/>
        <v>6.812433429255635</v>
      </c>
      <c r="U2686">
        <v>1370</v>
      </c>
      <c r="V2686">
        <v>397</v>
      </c>
      <c r="W2686">
        <v>2344</v>
      </c>
      <c r="X2686">
        <v>901</v>
      </c>
      <c r="Y2686">
        <v>60.3</v>
      </c>
      <c r="Z2686">
        <v>50.7</v>
      </c>
      <c r="AA2686">
        <v>70</v>
      </c>
    </row>
    <row r="2687" spans="1:27" x14ac:dyDescent="0.25">
      <c r="A2687" t="s">
        <v>251</v>
      </c>
      <c r="B2687" t="s">
        <v>180</v>
      </c>
      <c r="C2687" s="76">
        <v>43967</v>
      </c>
      <c r="D2687">
        <v>13114</v>
      </c>
      <c r="E2687">
        <v>6955</v>
      </c>
      <c r="F2687">
        <v>19274</v>
      </c>
      <c r="G2687">
        <v>7882</v>
      </c>
      <c r="H2687">
        <v>62.5</v>
      </c>
      <c r="I2687">
        <v>55.5</v>
      </c>
      <c r="J2687">
        <v>69.400000000000006</v>
      </c>
      <c r="K2687">
        <v>766</v>
      </c>
      <c r="L2687">
        <v>407</v>
      </c>
      <c r="M2687">
        <v>1125</v>
      </c>
      <c r="N2687">
        <v>3.6</v>
      </c>
      <c r="O2687">
        <v>2.8</v>
      </c>
      <c r="P2687">
        <v>4.5</v>
      </c>
      <c r="Q2687">
        <f t="shared" si="82"/>
        <v>10701022</v>
      </c>
      <c r="R2687">
        <f t="shared" si="81"/>
        <v>7.1581947967212853</v>
      </c>
      <c r="U2687">
        <v>1327</v>
      </c>
      <c r="V2687">
        <v>426</v>
      </c>
      <c r="W2687">
        <v>2229</v>
      </c>
      <c r="X2687">
        <v>936</v>
      </c>
      <c r="Y2687">
        <v>58.6</v>
      </c>
      <c r="Z2687">
        <v>51.1</v>
      </c>
      <c r="AA2687">
        <v>66.099999999999994</v>
      </c>
    </row>
    <row r="2688" spans="1:27" x14ac:dyDescent="0.25">
      <c r="A2688" t="s">
        <v>251</v>
      </c>
      <c r="B2688" t="s">
        <v>180</v>
      </c>
      <c r="C2688" s="76">
        <v>43968</v>
      </c>
      <c r="D2688">
        <v>13303</v>
      </c>
      <c r="E2688">
        <v>6575</v>
      </c>
      <c r="F2688">
        <v>20030</v>
      </c>
      <c r="G2688">
        <v>8154</v>
      </c>
      <c r="H2688">
        <v>62</v>
      </c>
      <c r="I2688">
        <v>55</v>
      </c>
      <c r="J2688">
        <v>69</v>
      </c>
      <c r="K2688">
        <v>776</v>
      </c>
      <c r="L2688">
        <v>390</v>
      </c>
      <c r="M2688">
        <v>1162</v>
      </c>
      <c r="N2688">
        <v>3.6</v>
      </c>
      <c r="O2688">
        <v>2.8</v>
      </c>
      <c r="P2688">
        <v>4.4000000000000004</v>
      </c>
      <c r="Q2688">
        <f t="shared" si="82"/>
        <v>10701022</v>
      </c>
      <c r="R2688">
        <f t="shared" si="81"/>
        <v>7.2516438149552442</v>
      </c>
      <c r="U2688">
        <v>1449</v>
      </c>
      <c r="V2688">
        <v>414</v>
      </c>
      <c r="W2688">
        <v>2484</v>
      </c>
      <c r="X2688">
        <v>938</v>
      </c>
      <c r="Y2688">
        <v>60.7</v>
      </c>
      <c r="Z2688">
        <v>52.9</v>
      </c>
      <c r="AA2688">
        <v>68.5</v>
      </c>
    </row>
    <row r="2689" spans="1:27" x14ac:dyDescent="0.25">
      <c r="A2689" t="s">
        <v>251</v>
      </c>
      <c r="B2689" t="s">
        <v>180</v>
      </c>
      <c r="C2689" s="76">
        <v>43969</v>
      </c>
      <c r="D2689">
        <v>13622</v>
      </c>
      <c r="E2689">
        <v>6727</v>
      </c>
      <c r="F2689">
        <v>20518</v>
      </c>
      <c r="G2689">
        <v>7909</v>
      </c>
      <c r="H2689">
        <v>63.3</v>
      </c>
      <c r="I2689">
        <v>56.1</v>
      </c>
      <c r="J2689">
        <v>70.5</v>
      </c>
      <c r="K2689">
        <v>789</v>
      </c>
      <c r="L2689">
        <v>384</v>
      </c>
      <c r="M2689">
        <v>1195</v>
      </c>
      <c r="N2689">
        <v>3.7</v>
      </c>
      <c r="O2689">
        <v>2.7</v>
      </c>
      <c r="P2689">
        <v>4.5999999999999996</v>
      </c>
      <c r="Q2689">
        <f t="shared" si="82"/>
        <v>10701022</v>
      </c>
      <c r="R2689">
        <f t="shared" si="81"/>
        <v>7.373127538659392</v>
      </c>
      <c r="U2689">
        <v>1480</v>
      </c>
      <c r="V2689">
        <v>367</v>
      </c>
      <c r="W2689">
        <v>2593</v>
      </c>
      <c r="X2689">
        <v>916</v>
      </c>
      <c r="Y2689">
        <v>61.8</v>
      </c>
      <c r="Z2689">
        <v>51.2</v>
      </c>
      <c r="AA2689">
        <v>72.3</v>
      </c>
    </row>
    <row r="2690" spans="1:27" x14ac:dyDescent="0.25">
      <c r="A2690" t="s">
        <v>251</v>
      </c>
      <c r="B2690" t="s">
        <v>180</v>
      </c>
      <c r="C2690" s="76">
        <v>43970</v>
      </c>
      <c r="D2690">
        <v>13615</v>
      </c>
      <c r="E2690">
        <v>7130</v>
      </c>
      <c r="F2690">
        <v>20101</v>
      </c>
      <c r="G2690">
        <v>7399</v>
      </c>
      <c r="H2690">
        <v>64.8</v>
      </c>
      <c r="I2690">
        <v>56.9</v>
      </c>
      <c r="J2690">
        <v>72.599999999999994</v>
      </c>
      <c r="K2690">
        <v>760</v>
      </c>
      <c r="L2690">
        <v>391</v>
      </c>
      <c r="M2690">
        <v>1130</v>
      </c>
      <c r="N2690">
        <v>3.6</v>
      </c>
      <c r="O2690">
        <v>2.8</v>
      </c>
      <c r="P2690">
        <v>4.5</v>
      </c>
      <c r="Q2690">
        <f t="shared" si="82"/>
        <v>10701022</v>
      </c>
      <c r="R2690">
        <f t="shared" si="81"/>
        <v>7.1021253857809095</v>
      </c>
      <c r="U2690">
        <v>1422</v>
      </c>
      <c r="V2690">
        <v>440</v>
      </c>
      <c r="W2690">
        <v>2405</v>
      </c>
      <c r="X2690">
        <v>844</v>
      </c>
      <c r="Y2690">
        <v>62.8</v>
      </c>
      <c r="Z2690">
        <v>53.6</v>
      </c>
      <c r="AA2690">
        <v>71.900000000000006</v>
      </c>
    </row>
    <row r="2691" spans="1:27" x14ac:dyDescent="0.25">
      <c r="A2691" t="s">
        <v>251</v>
      </c>
      <c r="B2691" t="s">
        <v>180</v>
      </c>
      <c r="C2691" s="76">
        <v>43971</v>
      </c>
      <c r="D2691">
        <v>14327</v>
      </c>
      <c r="E2691">
        <v>7330</v>
      </c>
      <c r="F2691">
        <v>21324</v>
      </c>
      <c r="G2691">
        <v>7081</v>
      </c>
      <c r="H2691">
        <v>66.900000000000006</v>
      </c>
      <c r="I2691">
        <v>59.1</v>
      </c>
      <c r="J2691">
        <v>74.7</v>
      </c>
      <c r="K2691">
        <v>799</v>
      </c>
      <c r="L2691">
        <v>400</v>
      </c>
      <c r="M2691">
        <v>1198</v>
      </c>
      <c r="N2691">
        <v>3.7</v>
      </c>
      <c r="O2691">
        <v>2.9</v>
      </c>
      <c r="P2691">
        <v>4.5999999999999996</v>
      </c>
      <c r="Q2691">
        <f t="shared" si="82"/>
        <v>10701022</v>
      </c>
      <c r="R2691">
        <f t="shared" si="81"/>
        <v>7.4665765568933518</v>
      </c>
      <c r="U2691">
        <v>1532</v>
      </c>
      <c r="V2691">
        <v>435</v>
      </c>
      <c r="W2691">
        <v>2629</v>
      </c>
      <c r="X2691">
        <v>804</v>
      </c>
      <c r="Y2691">
        <v>65.599999999999994</v>
      </c>
      <c r="Z2691">
        <v>56.2</v>
      </c>
      <c r="AA2691">
        <v>74.900000000000006</v>
      </c>
    </row>
    <row r="2692" spans="1:27" x14ac:dyDescent="0.25">
      <c r="A2692" t="s">
        <v>251</v>
      </c>
      <c r="B2692" t="s">
        <v>180</v>
      </c>
      <c r="C2692" s="76">
        <v>43972</v>
      </c>
      <c r="D2692">
        <v>14186</v>
      </c>
      <c r="E2692">
        <v>7502</v>
      </c>
      <c r="F2692">
        <v>20870</v>
      </c>
      <c r="G2692">
        <v>7004</v>
      </c>
      <c r="H2692">
        <v>66.900000000000006</v>
      </c>
      <c r="I2692">
        <v>59.1</v>
      </c>
      <c r="J2692">
        <v>74.8</v>
      </c>
      <c r="K2692">
        <v>833</v>
      </c>
      <c r="L2692">
        <v>432</v>
      </c>
      <c r="M2692">
        <v>1233</v>
      </c>
      <c r="N2692">
        <v>3.9</v>
      </c>
      <c r="O2692">
        <v>3</v>
      </c>
      <c r="P2692">
        <v>4.9000000000000004</v>
      </c>
      <c r="Q2692">
        <f t="shared" si="82"/>
        <v>10701022</v>
      </c>
      <c r="R2692">
        <f t="shared" si="81"/>
        <v>7.7843032188888133</v>
      </c>
      <c r="U2692">
        <v>1437</v>
      </c>
      <c r="V2692">
        <v>449</v>
      </c>
      <c r="W2692">
        <v>2424</v>
      </c>
      <c r="X2692">
        <v>849</v>
      </c>
      <c r="Y2692">
        <v>62.9</v>
      </c>
      <c r="Z2692">
        <v>53.5</v>
      </c>
      <c r="AA2692">
        <v>72.2</v>
      </c>
    </row>
    <row r="2693" spans="1:27" x14ac:dyDescent="0.25">
      <c r="A2693" t="s">
        <v>251</v>
      </c>
      <c r="B2693" t="s">
        <v>180</v>
      </c>
      <c r="C2693" s="76">
        <v>43973</v>
      </c>
      <c r="D2693">
        <v>14058</v>
      </c>
      <c r="E2693">
        <v>7452</v>
      </c>
      <c r="F2693">
        <v>20665</v>
      </c>
      <c r="G2693">
        <v>7061</v>
      </c>
      <c r="H2693">
        <v>66.599999999999994</v>
      </c>
      <c r="I2693">
        <v>59.1</v>
      </c>
      <c r="J2693">
        <v>74</v>
      </c>
      <c r="K2693">
        <v>853</v>
      </c>
      <c r="L2693">
        <v>440</v>
      </c>
      <c r="M2693">
        <v>1265</v>
      </c>
      <c r="N2693">
        <v>4</v>
      </c>
      <c r="O2693">
        <v>3</v>
      </c>
      <c r="P2693">
        <v>5</v>
      </c>
      <c r="Q2693">
        <f t="shared" si="82"/>
        <v>10701022</v>
      </c>
      <c r="R2693">
        <f t="shared" ref="R2693:R2756" si="83">K2693/(Q2693)*100000</f>
        <v>7.9712012553567311</v>
      </c>
      <c r="U2693">
        <v>1378</v>
      </c>
      <c r="V2693">
        <v>438</v>
      </c>
      <c r="W2693">
        <v>2318</v>
      </c>
      <c r="X2693">
        <v>902</v>
      </c>
      <c r="Y2693">
        <v>60.4</v>
      </c>
      <c r="Z2693">
        <v>52.6</v>
      </c>
      <c r="AA2693">
        <v>68.2</v>
      </c>
    </row>
    <row r="2694" spans="1:27" x14ac:dyDescent="0.25">
      <c r="A2694" t="s">
        <v>251</v>
      </c>
      <c r="B2694" t="s">
        <v>180</v>
      </c>
      <c r="C2694" s="76">
        <v>43974</v>
      </c>
      <c r="D2694">
        <v>13412</v>
      </c>
      <c r="E2694">
        <v>7051</v>
      </c>
      <c r="F2694">
        <v>19772</v>
      </c>
      <c r="G2694">
        <v>7651</v>
      </c>
      <c r="H2694">
        <v>63.7</v>
      </c>
      <c r="I2694">
        <v>56.2</v>
      </c>
      <c r="J2694">
        <v>71.2</v>
      </c>
      <c r="K2694">
        <v>857</v>
      </c>
      <c r="L2694">
        <v>432</v>
      </c>
      <c r="M2694">
        <v>1282</v>
      </c>
      <c r="N2694">
        <v>4.0999999999999996</v>
      </c>
      <c r="O2694">
        <v>3.1</v>
      </c>
      <c r="P2694">
        <v>5.0999999999999996</v>
      </c>
      <c r="Q2694">
        <f t="shared" si="82"/>
        <v>10701022</v>
      </c>
      <c r="R2694">
        <f t="shared" si="83"/>
        <v>8.0085808626503141</v>
      </c>
      <c r="U2694">
        <v>1404</v>
      </c>
      <c r="V2694">
        <v>478</v>
      </c>
      <c r="W2694">
        <v>2330</v>
      </c>
      <c r="X2694">
        <v>876</v>
      </c>
      <c r="Y2694">
        <v>61.6</v>
      </c>
      <c r="Z2694">
        <v>54.8</v>
      </c>
      <c r="AA2694">
        <v>68.400000000000006</v>
      </c>
    </row>
    <row r="2695" spans="1:27" x14ac:dyDescent="0.25">
      <c r="A2695" t="s">
        <v>251</v>
      </c>
      <c r="B2695" t="s">
        <v>180</v>
      </c>
      <c r="C2695" s="76">
        <v>43975</v>
      </c>
      <c r="D2695">
        <v>13284</v>
      </c>
      <c r="E2695">
        <v>6993</v>
      </c>
      <c r="F2695">
        <v>19574</v>
      </c>
      <c r="G2695">
        <v>7740</v>
      </c>
      <c r="H2695">
        <v>63.2</v>
      </c>
      <c r="I2695">
        <v>55.8</v>
      </c>
      <c r="J2695">
        <v>70.5</v>
      </c>
      <c r="K2695">
        <v>877</v>
      </c>
      <c r="L2695">
        <v>452</v>
      </c>
      <c r="M2695">
        <v>1302</v>
      </c>
      <c r="N2695">
        <v>4.2</v>
      </c>
      <c r="O2695">
        <v>3.1</v>
      </c>
      <c r="P2695">
        <v>5.2</v>
      </c>
      <c r="Q2695">
        <f t="shared" si="82"/>
        <v>10701022</v>
      </c>
      <c r="R2695">
        <f t="shared" si="83"/>
        <v>8.1954788991182337</v>
      </c>
      <c r="U2695">
        <v>1382</v>
      </c>
      <c r="V2695">
        <v>495</v>
      </c>
      <c r="W2695">
        <v>2268</v>
      </c>
      <c r="X2695">
        <v>891</v>
      </c>
      <c r="Y2695">
        <v>60.8</v>
      </c>
      <c r="Z2695">
        <v>54.5</v>
      </c>
      <c r="AA2695">
        <v>67.099999999999994</v>
      </c>
    </row>
    <row r="2696" spans="1:27" x14ac:dyDescent="0.25">
      <c r="A2696" t="s">
        <v>251</v>
      </c>
      <c r="B2696" t="s">
        <v>180</v>
      </c>
      <c r="C2696" s="76">
        <v>43976</v>
      </c>
      <c r="D2696">
        <v>13592</v>
      </c>
      <c r="E2696">
        <v>7014</v>
      </c>
      <c r="F2696">
        <v>20170</v>
      </c>
      <c r="G2696">
        <v>7961</v>
      </c>
      <c r="H2696">
        <v>63.1</v>
      </c>
      <c r="I2696">
        <v>55.4</v>
      </c>
      <c r="J2696">
        <v>70.7</v>
      </c>
      <c r="K2696">
        <v>799</v>
      </c>
      <c r="L2696">
        <v>351</v>
      </c>
      <c r="M2696">
        <v>1247</v>
      </c>
      <c r="N2696">
        <v>3.7</v>
      </c>
      <c r="O2696">
        <v>2.5</v>
      </c>
      <c r="P2696">
        <v>4.9000000000000004</v>
      </c>
      <c r="Q2696">
        <f t="shared" si="82"/>
        <v>10701022</v>
      </c>
      <c r="R2696">
        <f t="shared" si="83"/>
        <v>7.4665765568933518</v>
      </c>
      <c r="U2696">
        <v>1298</v>
      </c>
      <c r="V2696">
        <v>395</v>
      </c>
      <c r="W2696">
        <v>2201</v>
      </c>
      <c r="X2696">
        <v>797</v>
      </c>
      <c r="Y2696">
        <v>62</v>
      </c>
      <c r="Z2696">
        <v>55.6</v>
      </c>
      <c r="AA2696">
        <v>68.3</v>
      </c>
    </row>
    <row r="2697" spans="1:27" x14ac:dyDescent="0.25">
      <c r="A2697" t="s">
        <v>251</v>
      </c>
      <c r="B2697" t="s">
        <v>180</v>
      </c>
      <c r="C2697" s="76">
        <v>43977</v>
      </c>
      <c r="D2697">
        <v>14129</v>
      </c>
      <c r="E2697">
        <v>7192</v>
      </c>
      <c r="F2697">
        <v>21065</v>
      </c>
      <c r="G2697">
        <v>7620</v>
      </c>
      <c r="H2697">
        <v>65</v>
      </c>
      <c r="I2697">
        <v>56.7</v>
      </c>
      <c r="J2697">
        <v>73.2</v>
      </c>
      <c r="K2697">
        <v>812</v>
      </c>
      <c r="L2697">
        <v>372</v>
      </c>
      <c r="M2697">
        <v>1253</v>
      </c>
      <c r="N2697">
        <v>3.7</v>
      </c>
      <c r="O2697">
        <v>2.7</v>
      </c>
      <c r="P2697">
        <v>4.8</v>
      </c>
      <c r="Q2697">
        <f t="shared" si="82"/>
        <v>10701022</v>
      </c>
      <c r="R2697">
        <f t="shared" si="83"/>
        <v>7.5880602805974977</v>
      </c>
      <c r="U2697">
        <v>1333</v>
      </c>
      <c r="V2697">
        <v>414</v>
      </c>
      <c r="W2697">
        <v>2251</v>
      </c>
      <c r="X2697">
        <v>781</v>
      </c>
      <c r="Y2697">
        <v>63</v>
      </c>
      <c r="Z2697">
        <v>56.2</v>
      </c>
      <c r="AA2697">
        <v>69.900000000000006</v>
      </c>
    </row>
    <row r="2698" spans="1:27" x14ac:dyDescent="0.25">
      <c r="A2698" t="s">
        <v>251</v>
      </c>
      <c r="B2698" t="s">
        <v>180</v>
      </c>
      <c r="C2698" s="76">
        <v>43978</v>
      </c>
      <c r="D2698">
        <v>15224</v>
      </c>
      <c r="E2698">
        <v>6761</v>
      </c>
      <c r="F2698">
        <v>23687</v>
      </c>
      <c r="G2698">
        <v>6836</v>
      </c>
      <c r="H2698">
        <v>69</v>
      </c>
      <c r="I2698">
        <v>59.9</v>
      </c>
      <c r="J2698">
        <v>78.099999999999994</v>
      </c>
      <c r="K2698">
        <v>799</v>
      </c>
      <c r="L2698">
        <v>328</v>
      </c>
      <c r="M2698">
        <v>1270</v>
      </c>
      <c r="N2698">
        <v>3.6</v>
      </c>
      <c r="O2698">
        <v>2.4</v>
      </c>
      <c r="P2698">
        <v>4.8</v>
      </c>
      <c r="Q2698">
        <f t="shared" si="82"/>
        <v>10701022</v>
      </c>
      <c r="R2698">
        <f t="shared" si="83"/>
        <v>7.4665765568933518</v>
      </c>
      <c r="U2698">
        <v>1538</v>
      </c>
      <c r="V2698">
        <v>282</v>
      </c>
      <c r="W2698">
        <v>2794</v>
      </c>
      <c r="X2698">
        <v>838</v>
      </c>
      <c r="Y2698">
        <v>64.7</v>
      </c>
      <c r="Z2698">
        <v>57.2</v>
      </c>
      <c r="AA2698">
        <v>72.2</v>
      </c>
    </row>
    <row r="2699" spans="1:27" x14ac:dyDescent="0.25">
      <c r="A2699" t="s">
        <v>251</v>
      </c>
      <c r="B2699" t="s">
        <v>180</v>
      </c>
      <c r="C2699" s="76">
        <v>43979</v>
      </c>
      <c r="D2699">
        <v>14797</v>
      </c>
      <c r="E2699">
        <v>6278</v>
      </c>
      <c r="F2699">
        <v>23317</v>
      </c>
      <c r="G2699">
        <v>7633</v>
      </c>
      <c r="H2699">
        <v>66</v>
      </c>
      <c r="I2699">
        <v>54.7</v>
      </c>
      <c r="J2699">
        <v>77.2</v>
      </c>
      <c r="K2699">
        <v>710</v>
      </c>
      <c r="L2699">
        <v>291</v>
      </c>
      <c r="M2699">
        <v>1129</v>
      </c>
      <c r="N2699">
        <v>3.2</v>
      </c>
      <c r="O2699">
        <v>2.2999999999999998</v>
      </c>
      <c r="P2699">
        <v>4</v>
      </c>
      <c r="Q2699">
        <f t="shared" si="82"/>
        <v>10701022</v>
      </c>
      <c r="R2699">
        <f t="shared" si="83"/>
        <v>6.6348802946111123</v>
      </c>
      <c r="U2699">
        <v>1504</v>
      </c>
      <c r="V2699">
        <v>270</v>
      </c>
      <c r="W2699">
        <v>2737</v>
      </c>
      <c r="X2699">
        <v>811</v>
      </c>
      <c r="Y2699">
        <v>65</v>
      </c>
      <c r="Z2699">
        <v>58.3</v>
      </c>
      <c r="AA2699">
        <v>71.599999999999994</v>
      </c>
    </row>
    <row r="2700" spans="1:27" x14ac:dyDescent="0.25">
      <c r="A2700" t="s">
        <v>251</v>
      </c>
      <c r="B2700" t="s">
        <v>180</v>
      </c>
      <c r="C2700" s="76">
        <v>43980</v>
      </c>
      <c r="D2700">
        <v>14394</v>
      </c>
      <c r="E2700">
        <v>6952</v>
      </c>
      <c r="F2700">
        <v>21837</v>
      </c>
      <c r="G2700">
        <v>7599</v>
      </c>
      <c r="H2700">
        <v>65.400000000000006</v>
      </c>
      <c r="I2700">
        <v>55.2</v>
      </c>
      <c r="J2700">
        <v>75.7</v>
      </c>
      <c r="K2700">
        <v>892</v>
      </c>
      <c r="L2700">
        <v>428</v>
      </c>
      <c r="M2700">
        <v>1356</v>
      </c>
      <c r="N2700">
        <v>4.0999999999999996</v>
      </c>
      <c r="O2700">
        <v>3.1</v>
      </c>
      <c r="P2700">
        <v>5</v>
      </c>
      <c r="Q2700">
        <f t="shared" si="82"/>
        <v>10701022</v>
      </c>
      <c r="R2700">
        <f t="shared" si="83"/>
        <v>8.3356524264691725</v>
      </c>
      <c r="U2700">
        <v>1567</v>
      </c>
      <c r="V2700">
        <v>475</v>
      </c>
      <c r="W2700">
        <v>2660</v>
      </c>
      <c r="X2700">
        <v>793</v>
      </c>
      <c r="Y2700">
        <v>66.400000000000006</v>
      </c>
      <c r="Z2700">
        <v>60</v>
      </c>
      <c r="AA2700">
        <v>72.900000000000006</v>
      </c>
    </row>
    <row r="2701" spans="1:27" x14ac:dyDescent="0.25">
      <c r="A2701" t="s">
        <v>251</v>
      </c>
      <c r="B2701" t="s">
        <v>180</v>
      </c>
      <c r="C2701" s="76">
        <v>43981</v>
      </c>
      <c r="D2701">
        <v>14475</v>
      </c>
      <c r="E2701">
        <v>6389</v>
      </c>
      <c r="F2701">
        <v>22560</v>
      </c>
      <c r="G2701">
        <v>7280</v>
      </c>
      <c r="H2701">
        <v>66.5</v>
      </c>
      <c r="I2701">
        <v>58.8</v>
      </c>
      <c r="J2701">
        <v>74.3</v>
      </c>
      <c r="K2701">
        <v>971</v>
      </c>
      <c r="L2701">
        <v>449</v>
      </c>
      <c r="M2701">
        <v>1493</v>
      </c>
      <c r="N2701">
        <v>4.5</v>
      </c>
      <c r="O2701">
        <v>3.3</v>
      </c>
      <c r="P2701">
        <v>5.7</v>
      </c>
      <c r="Q2701">
        <f t="shared" si="82"/>
        <v>10701022</v>
      </c>
      <c r="R2701">
        <f t="shared" si="83"/>
        <v>9.0738996705174522</v>
      </c>
      <c r="U2701">
        <v>1599</v>
      </c>
      <c r="V2701">
        <v>422</v>
      </c>
      <c r="W2701">
        <v>2775</v>
      </c>
      <c r="X2701">
        <v>932</v>
      </c>
      <c r="Y2701">
        <v>63.2</v>
      </c>
      <c r="Z2701">
        <v>56.1</v>
      </c>
      <c r="AA2701">
        <v>70.2</v>
      </c>
    </row>
    <row r="2702" spans="1:27" x14ac:dyDescent="0.25">
      <c r="A2702" t="s">
        <v>251</v>
      </c>
      <c r="B2702" t="s">
        <v>180</v>
      </c>
      <c r="C2702" s="76">
        <v>43982</v>
      </c>
      <c r="D2702">
        <v>15446</v>
      </c>
      <c r="E2702">
        <v>7006</v>
      </c>
      <c r="F2702">
        <v>23887</v>
      </c>
      <c r="G2702">
        <v>7920</v>
      </c>
      <c r="H2702">
        <v>66.099999999999994</v>
      </c>
      <c r="I2702">
        <v>58.2</v>
      </c>
      <c r="J2702">
        <v>74</v>
      </c>
      <c r="K2702">
        <v>945</v>
      </c>
      <c r="L2702">
        <v>451</v>
      </c>
      <c r="M2702">
        <v>1439</v>
      </c>
      <c r="N2702">
        <v>4</v>
      </c>
      <c r="O2702">
        <v>2.9</v>
      </c>
      <c r="P2702">
        <v>5.2</v>
      </c>
      <c r="Q2702">
        <f t="shared" si="82"/>
        <v>10701022</v>
      </c>
      <c r="R2702">
        <f t="shared" si="83"/>
        <v>8.8309322231091567</v>
      </c>
      <c r="U2702">
        <v>1411</v>
      </c>
      <c r="V2702">
        <v>259</v>
      </c>
      <c r="W2702">
        <v>2562</v>
      </c>
      <c r="X2702">
        <v>963</v>
      </c>
      <c r="Y2702">
        <v>59.4</v>
      </c>
      <c r="Z2702">
        <v>52</v>
      </c>
      <c r="AA2702">
        <v>66.8</v>
      </c>
    </row>
    <row r="2703" spans="1:27" x14ac:dyDescent="0.25">
      <c r="A2703" t="s">
        <v>251</v>
      </c>
      <c r="B2703" t="s">
        <v>180</v>
      </c>
      <c r="C2703" s="76">
        <v>43983</v>
      </c>
      <c r="D2703">
        <v>15781</v>
      </c>
      <c r="E2703">
        <v>7173</v>
      </c>
      <c r="F2703">
        <v>24388</v>
      </c>
      <c r="G2703">
        <v>7403</v>
      </c>
      <c r="H2703">
        <v>68.099999999999994</v>
      </c>
      <c r="I2703">
        <v>59.9</v>
      </c>
      <c r="J2703">
        <v>76.2</v>
      </c>
      <c r="K2703">
        <v>963</v>
      </c>
      <c r="L2703">
        <v>435</v>
      </c>
      <c r="M2703">
        <v>1492</v>
      </c>
      <c r="N2703">
        <v>4.2</v>
      </c>
      <c r="O2703">
        <v>2.9</v>
      </c>
      <c r="P2703">
        <v>5.4</v>
      </c>
      <c r="Q2703">
        <f t="shared" si="82"/>
        <v>10701022</v>
      </c>
      <c r="R2703">
        <f t="shared" si="83"/>
        <v>8.9991404559302843</v>
      </c>
      <c r="U2703">
        <v>1505</v>
      </c>
      <c r="V2703">
        <v>308</v>
      </c>
      <c r="W2703">
        <v>2701</v>
      </c>
      <c r="X2703">
        <v>869</v>
      </c>
      <c r="Y2703">
        <v>63.4</v>
      </c>
      <c r="Z2703">
        <v>57.3</v>
      </c>
      <c r="AA2703">
        <v>69.400000000000006</v>
      </c>
    </row>
    <row r="2704" spans="1:27" x14ac:dyDescent="0.25">
      <c r="A2704" t="s">
        <v>251</v>
      </c>
      <c r="B2704" t="s">
        <v>180</v>
      </c>
      <c r="C2704" s="76">
        <v>43984</v>
      </c>
      <c r="D2704">
        <v>15973</v>
      </c>
      <c r="E2704">
        <v>7064</v>
      </c>
      <c r="F2704">
        <v>24882</v>
      </c>
      <c r="G2704">
        <v>6957</v>
      </c>
      <c r="H2704">
        <v>69.7</v>
      </c>
      <c r="I2704">
        <v>61.3</v>
      </c>
      <c r="J2704">
        <v>78</v>
      </c>
      <c r="K2704">
        <v>824</v>
      </c>
      <c r="L2704">
        <v>342</v>
      </c>
      <c r="M2704">
        <v>1307</v>
      </c>
      <c r="N2704">
        <v>3.6</v>
      </c>
      <c r="O2704">
        <v>2.6</v>
      </c>
      <c r="P2704">
        <v>4.5999999999999996</v>
      </c>
      <c r="Q2704">
        <f t="shared" si="82"/>
        <v>10701022</v>
      </c>
      <c r="R2704">
        <f t="shared" si="83"/>
        <v>7.7001991024782495</v>
      </c>
      <c r="U2704">
        <v>1566</v>
      </c>
      <c r="V2704">
        <v>315</v>
      </c>
      <c r="W2704">
        <v>2816</v>
      </c>
      <c r="X2704">
        <v>778</v>
      </c>
      <c r="Y2704">
        <v>66.8</v>
      </c>
      <c r="Z2704">
        <v>60</v>
      </c>
      <c r="AA2704">
        <v>73.599999999999994</v>
      </c>
    </row>
    <row r="2705" spans="1:27" x14ac:dyDescent="0.25">
      <c r="A2705" t="s">
        <v>251</v>
      </c>
      <c r="B2705" t="s">
        <v>180</v>
      </c>
      <c r="C2705" s="76">
        <v>43985</v>
      </c>
      <c r="D2705">
        <v>14553</v>
      </c>
      <c r="E2705">
        <v>5593</v>
      </c>
      <c r="F2705">
        <v>23513</v>
      </c>
      <c r="G2705">
        <v>7399</v>
      </c>
      <c r="H2705">
        <v>66.3</v>
      </c>
      <c r="I2705">
        <v>58.8</v>
      </c>
      <c r="J2705">
        <v>73.8</v>
      </c>
      <c r="K2705">
        <v>801</v>
      </c>
      <c r="L2705">
        <v>234</v>
      </c>
      <c r="M2705">
        <v>1367</v>
      </c>
      <c r="N2705">
        <v>3.6</v>
      </c>
      <c r="O2705">
        <v>2.2000000000000002</v>
      </c>
      <c r="P2705">
        <v>5.0999999999999996</v>
      </c>
      <c r="Q2705">
        <f t="shared" si="82"/>
        <v>10701022</v>
      </c>
      <c r="R2705">
        <f t="shared" si="83"/>
        <v>7.4852663605401428</v>
      </c>
      <c r="U2705">
        <v>1074</v>
      </c>
      <c r="V2705">
        <v>240</v>
      </c>
      <c r="W2705">
        <v>1907</v>
      </c>
      <c r="X2705">
        <v>612</v>
      </c>
      <c r="Y2705">
        <v>63.7</v>
      </c>
      <c r="Z2705">
        <v>52</v>
      </c>
      <c r="AA2705">
        <v>75.5</v>
      </c>
    </row>
    <row r="2706" spans="1:27" x14ac:dyDescent="0.25">
      <c r="A2706" t="s">
        <v>251</v>
      </c>
      <c r="B2706" t="s">
        <v>180</v>
      </c>
      <c r="C2706" s="76">
        <v>43986</v>
      </c>
      <c r="D2706">
        <v>17355</v>
      </c>
      <c r="E2706">
        <v>7398</v>
      </c>
      <c r="F2706">
        <v>27311</v>
      </c>
      <c r="G2706">
        <v>6768</v>
      </c>
      <c r="H2706">
        <v>71.900000000000006</v>
      </c>
      <c r="I2706">
        <v>63.8</v>
      </c>
      <c r="J2706">
        <v>80.099999999999994</v>
      </c>
      <c r="K2706">
        <v>999</v>
      </c>
      <c r="L2706">
        <v>409</v>
      </c>
      <c r="M2706">
        <v>1588</v>
      </c>
      <c r="N2706">
        <v>4.0999999999999996</v>
      </c>
      <c r="O2706">
        <v>3.1</v>
      </c>
      <c r="P2706">
        <v>5.2</v>
      </c>
      <c r="Q2706">
        <f t="shared" si="82"/>
        <v>10701022</v>
      </c>
      <c r="R2706">
        <f t="shared" si="83"/>
        <v>9.3355569215725378</v>
      </c>
      <c r="U2706">
        <v>1834</v>
      </c>
      <c r="V2706">
        <v>319</v>
      </c>
      <c r="W2706">
        <v>3350</v>
      </c>
      <c r="X2706">
        <v>768</v>
      </c>
      <c r="Y2706">
        <v>70.5</v>
      </c>
      <c r="Z2706">
        <v>63.6</v>
      </c>
      <c r="AA2706">
        <v>77.3</v>
      </c>
    </row>
    <row r="2707" spans="1:27" x14ac:dyDescent="0.25">
      <c r="A2707" t="s">
        <v>251</v>
      </c>
      <c r="B2707" t="s">
        <v>180</v>
      </c>
      <c r="C2707" s="76">
        <v>43987</v>
      </c>
      <c r="D2707">
        <v>16761</v>
      </c>
      <c r="E2707">
        <v>6865</v>
      </c>
      <c r="F2707">
        <v>26658</v>
      </c>
      <c r="G2707">
        <v>6403</v>
      </c>
      <c r="H2707">
        <v>72.400000000000006</v>
      </c>
      <c r="I2707">
        <v>63.9</v>
      </c>
      <c r="J2707">
        <v>80.8</v>
      </c>
      <c r="K2707">
        <v>1033</v>
      </c>
      <c r="L2707">
        <v>464</v>
      </c>
      <c r="M2707">
        <v>1602</v>
      </c>
      <c r="N2707">
        <v>4.5</v>
      </c>
      <c r="O2707">
        <v>3.5</v>
      </c>
      <c r="P2707">
        <v>5.5</v>
      </c>
      <c r="Q2707">
        <f t="shared" si="82"/>
        <v>10701022</v>
      </c>
      <c r="R2707">
        <f t="shared" si="83"/>
        <v>9.6532835835679993</v>
      </c>
      <c r="U2707">
        <v>2118</v>
      </c>
      <c r="V2707">
        <v>484</v>
      </c>
      <c r="W2707">
        <v>3752</v>
      </c>
      <c r="X2707">
        <v>833</v>
      </c>
      <c r="Y2707">
        <v>71.8</v>
      </c>
      <c r="Z2707">
        <v>65.7</v>
      </c>
      <c r="AA2707">
        <v>77.8</v>
      </c>
    </row>
    <row r="2708" spans="1:27" x14ac:dyDescent="0.25">
      <c r="A2708" t="s">
        <v>251</v>
      </c>
      <c r="B2708" t="s">
        <v>180</v>
      </c>
      <c r="C2708" s="76">
        <v>43988</v>
      </c>
      <c r="D2708">
        <v>15805</v>
      </c>
      <c r="E2708">
        <v>6096</v>
      </c>
      <c r="F2708">
        <v>25514</v>
      </c>
      <c r="G2708">
        <v>7194</v>
      </c>
      <c r="H2708">
        <v>68.7</v>
      </c>
      <c r="I2708">
        <v>59.8</v>
      </c>
      <c r="J2708">
        <v>77.7</v>
      </c>
      <c r="K2708">
        <v>1019</v>
      </c>
      <c r="L2708">
        <v>407</v>
      </c>
      <c r="M2708">
        <v>1631</v>
      </c>
      <c r="N2708">
        <v>4.4000000000000004</v>
      </c>
      <c r="O2708">
        <v>3.2</v>
      </c>
      <c r="P2708">
        <v>5.7</v>
      </c>
      <c r="Q2708">
        <f t="shared" si="82"/>
        <v>10701022</v>
      </c>
      <c r="R2708">
        <f t="shared" si="83"/>
        <v>9.5224549580404556</v>
      </c>
      <c r="U2708">
        <v>2039</v>
      </c>
      <c r="V2708">
        <v>370</v>
      </c>
      <c r="W2708">
        <v>3708</v>
      </c>
      <c r="X2708">
        <v>1018</v>
      </c>
      <c r="Y2708">
        <v>66.7</v>
      </c>
      <c r="Z2708">
        <v>59.7</v>
      </c>
      <c r="AA2708">
        <v>73.7</v>
      </c>
    </row>
    <row r="2709" spans="1:27" x14ac:dyDescent="0.25">
      <c r="A2709" t="s">
        <v>251</v>
      </c>
      <c r="B2709" t="s">
        <v>180</v>
      </c>
      <c r="C2709" s="76">
        <v>43989</v>
      </c>
      <c r="D2709">
        <v>14598</v>
      </c>
      <c r="E2709">
        <v>6528</v>
      </c>
      <c r="F2709">
        <v>22669</v>
      </c>
      <c r="G2709">
        <v>7680</v>
      </c>
      <c r="H2709">
        <v>65.5</v>
      </c>
      <c r="I2709">
        <v>57.2</v>
      </c>
      <c r="J2709">
        <v>73.900000000000006</v>
      </c>
      <c r="K2709">
        <v>1027</v>
      </c>
      <c r="L2709">
        <v>455</v>
      </c>
      <c r="M2709">
        <v>1599</v>
      </c>
      <c r="N2709">
        <v>4.5999999999999996</v>
      </c>
      <c r="O2709">
        <v>3.2</v>
      </c>
      <c r="P2709">
        <v>6</v>
      </c>
      <c r="Q2709">
        <f t="shared" si="82"/>
        <v>10701022</v>
      </c>
      <c r="R2709">
        <f t="shared" si="83"/>
        <v>9.5972141726276234</v>
      </c>
      <c r="U2709">
        <v>1782</v>
      </c>
      <c r="V2709">
        <v>478</v>
      </c>
      <c r="W2709">
        <v>3085</v>
      </c>
      <c r="X2709">
        <v>1066</v>
      </c>
      <c r="Y2709">
        <v>62.6</v>
      </c>
      <c r="Z2709">
        <v>56.3</v>
      </c>
      <c r="AA2709">
        <v>68.8</v>
      </c>
    </row>
    <row r="2710" spans="1:27" x14ac:dyDescent="0.25">
      <c r="A2710" t="s">
        <v>251</v>
      </c>
      <c r="B2710" t="s">
        <v>180</v>
      </c>
      <c r="C2710" s="76">
        <v>43990</v>
      </c>
      <c r="D2710">
        <v>15651</v>
      </c>
      <c r="E2710">
        <v>6067</v>
      </c>
      <c r="F2710">
        <v>25235</v>
      </c>
      <c r="G2710">
        <v>7509</v>
      </c>
      <c r="H2710">
        <v>67.599999999999994</v>
      </c>
      <c r="I2710">
        <v>58.1</v>
      </c>
      <c r="J2710">
        <v>77</v>
      </c>
      <c r="K2710">
        <v>1096</v>
      </c>
      <c r="L2710">
        <v>446</v>
      </c>
      <c r="M2710">
        <v>1745</v>
      </c>
      <c r="N2710">
        <v>4.7</v>
      </c>
      <c r="O2710">
        <v>3.5</v>
      </c>
      <c r="P2710">
        <v>6</v>
      </c>
      <c r="Q2710">
        <f t="shared" si="82"/>
        <v>10701022</v>
      </c>
      <c r="R2710">
        <f t="shared" si="83"/>
        <v>10.242012398441943</v>
      </c>
      <c r="U2710">
        <v>1997</v>
      </c>
      <c r="V2710">
        <v>429</v>
      </c>
      <c r="W2710">
        <v>3566</v>
      </c>
      <c r="X2710">
        <v>1091</v>
      </c>
      <c r="Y2710">
        <v>64.7</v>
      </c>
      <c r="Z2710">
        <v>58.4</v>
      </c>
      <c r="AA2710">
        <v>70.900000000000006</v>
      </c>
    </row>
    <row r="2711" spans="1:27" x14ac:dyDescent="0.25">
      <c r="A2711" t="s">
        <v>251</v>
      </c>
      <c r="B2711" t="s">
        <v>180</v>
      </c>
      <c r="C2711" s="76">
        <v>43991</v>
      </c>
      <c r="D2711">
        <v>15926</v>
      </c>
      <c r="E2711">
        <v>6206</v>
      </c>
      <c r="F2711">
        <v>25646</v>
      </c>
      <c r="G2711">
        <v>7453</v>
      </c>
      <c r="H2711">
        <v>68.099999999999994</v>
      </c>
      <c r="I2711">
        <v>57.9</v>
      </c>
      <c r="J2711">
        <v>78.400000000000006</v>
      </c>
      <c r="K2711">
        <v>1044</v>
      </c>
      <c r="L2711">
        <v>440</v>
      </c>
      <c r="M2711">
        <v>1648</v>
      </c>
      <c r="N2711">
        <v>4.5</v>
      </c>
      <c r="O2711">
        <v>3.4</v>
      </c>
      <c r="P2711">
        <v>5.5</v>
      </c>
      <c r="Q2711">
        <f t="shared" si="82"/>
        <v>10701022</v>
      </c>
      <c r="R2711">
        <f t="shared" si="83"/>
        <v>9.756077503625356</v>
      </c>
      <c r="U2711">
        <v>2035</v>
      </c>
      <c r="V2711">
        <v>405</v>
      </c>
      <c r="W2711">
        <v>3665</v>
      </c>
      <c r="X2711">
        <v>1001</v>
      </c>
      <c r="Y2711">
        <v>67</v>
      </c>
      <c r="Z2711">
        <v>60</v>
      </c>
      <c r="AA2711">
        <v>74</v>
      </c>
    </row>
    <row r="2712" spans="1:27" x14ac:dyDescent="0.25">
      <c r="A2712" t="s">
        <v>251</v>
      </c>
      <c r="B2712" t="s">
        <v>180</v>
      </c>
      <c r="C2712" s="76">
        <v>43992</v>
      </c>
      <c r="D2712">
        <v>17171</v>
      </c>
      <c r="E2712">
        <v>1434</v>
      </c>
      <c r="F2712">
        <v>32908</v>
      </c>
      <c r="G2712">
        <v>7694</v>
      </c>
      <c r="H2712">
        <v>69.099999999999994</v>
      </c>
      <c r="I2712">
        <v>60.5</v>
      </c>
      <c r="J2712">
        <v>77.599999999999994</v>
      </c>
      <c r="K2712">
        <v>1031</v>
      </c>
      <c r="L2712">
        <v>130</v>
      </c>
      <c r="M2712">
        <v>1931</v>
      </c>
      <c r="N2712">
        <v>4.0999999999999996</v>
      </c>
      <c r="O2712">
        <v>2.5</v>
      </c>
      <c r="P2712">
        <v>5.8</v>
      </c>
      <c r="Q2712">
        <f t="shared" si="82"/>
        <v>10701022</v>
      </c>
      <c r="R2712">
        <f t="shared" si="83"/>
        <v>9.6345937799212074</v>
      </c>
      <c r="U2712">
        <v>1866</v>
      </c>
      <c r="V2712">
        <v>0</v>
      </c>
      <c r="W2712">
        <v>4026</v>
      </c>
      <c r="X2712">
        <v>952</v>
      </c>
      <c r="Y2712">
        <v>66.2</v>
      </c>
      <c r="Z2712">
        <v>59.2</v>
      </c>
      <c r="AA2712">
        <v>73.2</v>
      </c>
    </row>
    <row r="2713" spans="1:27" x14ac:dyDescent="0.25">
      <c r="A2713" t="s">
        <v>251</v>
      </c>
      <c r="B2713" t="s">
        <v>180</v>
      </c>
      <c r="C2713" s="76">
        <v>43993</v>
      </c>
      <c r="D2713">
        <v>16243</v>
      </c>
      <c r="E2713">
        <v>6260</v>
      </c>
      <c r="F2713">
        <v>26226</v>
      </c>
      <c r="G2713">
        <v>6857</v>
      </c>
      <c r="H2713">
        <v>70.3</v>
      </c>
      <c r="I2713">
        <v>61.1</v>
      </c>
      <c r="J2713">
        <v>79.5</v>
      </c>
      <c r="K2713">
        <v>897</v>
      </c>
      <c r="L2713">
        <v>336</v>
      </c>
      <c r="M2713">
        <v>1457</v>
      </c>
      <c r="N2713">
        <v>3.9</v>
      </c>
      <c r="O2713">
        <v>2.9</v>
      </c>
      <c r="P2713">
        <v>4.9000000000000004</v>
      </c>
      <c r="Q2713">
        <f t="shared" si="82"/>
        <v>10701022</v>
      </c>
      <c r="R2713">
        <f t="shared" si="83"/>
        <v>8.3823769355861533</v>
      </c>
      <c r="U2713">
        <v>1937</v>
      </c>
      <c r="V2713">
        <v>319</v>
      </c>
      <c r="W2713">
        <v>3555</v>
      </c>
      <c r="X2713">
        <v>1011</v>
      </c>
      <c r="Y2713">
        <v>65.7</v>
      </c>
      <c r="Z2713">
        <v>59.4</v>
      </c>
      <c r="AA2713">
        <v>72</v>
      </c>
    </row>
    <row r="2714" spans="1:27" x14ac:dyDescent="0.25">
      <c r="A2714" t="s">
        <v>251</v>
      </c>
      <c r="B2714" t="s">
        <v>180</v>
      </c>
      <c r="C2714" s="76">
        <v>43994</v>
      </c>
      <c r="D2714">
        <v>14532</v>
      </c>
      <c r="E2714">
        <v>6242</v>
      </c>
      <c r="F2714">
        <v>22823</v>
      </c>
      <c r="G2714">
        <v>7588</v>
      </c>
      <c r="H2714">
        <v>65.7</v>
      </c>
      <c r="I2714">
        <v>55.9</v>
      </c>
      <c r="J2714">
        <v>75.5</v>
      </c>
      <c r="K2714">
        <v>930</v>
      </c>
      <c r="L2714">
        <v>424</v>
      </c>
      <c r="M2714">
        <v>1436</v>
      </c>
      <c r="N2714">
        <v>4.2</v>
      </c>
      <c r="O2714">
        <v>3.3</v>
      </c>
      <c r="P2714">
        <v>5.2</v>
      </c>
      <c r="Q2714">
        <f t="shared" si="82"/>
        <v>10701022</v>
      </c>
      <c r="R2714">
        <f t="shared" si="83"/>
        <v>8.6907586957582197</v>
      </c>
      <c r="U2714">
        <v>1729</v>
      </c>
      <c r="V2714">
        <v>366</v>
      </c>
      <c r="W2714">
        <v>3093</v>
      </c>
      <c r="X2714">
        <v>954</v>
      </c>
      <c r="Y2714">
        <v>64.400000000000006</v>
      </c>
      <c r="Z2714">
        <v>57</v>
      </c>
      <c r="AA2714">
        <v>71.900000000000006</v>
      </c>
    </row>
    <row r="2715" spans="1:27" x14ac:dyDescent="0.25">
      <c r="A2715" t="s">
        <v>251</v>
      </c>
      <c r="B2715" t="s">
        <v>180</v>
      </c>
      <c r="C2715" s="76">
        <v>43995</v>
      </c>
      <c r="D2715">
        <v>14629</v>
      </c>
      <c r="E2715">
        <v>6492</v>
      </c>
      <c r="F2715">
        <v>22766</v>
      </c>
      <c r="G2715">
        <v>7970</v>
      </c>
      <c r="H2715">
        <v>64.7</v>
      </c>
      <c r="I2715">
        <v>55.8</v>
      </c>
      <c r="J2715">
        <v>73.7</v>
      </c>
      <c r="K2715">
        <v>927</v>
      </c>
      <c r="L2715">
        <v>404</v>
      </c>
      <c r="M2715">
        <v>1451</v>
      </c>
      <c r="N2715">
        <v>4.0999999999999996</v>
      </c>
      <c r="O2715">
        <v>3</v>
      </c>
      <c r="P2715">
        <v>5.2</v>
      </c>
      <c r="Q2715">
        <f t="shared" si="82"/>
        <v>10701022</v>
      </c>
      <c r="R2715">
        <f t="shared" si="83"/>
        <v>8.6627239902880291</v>
      </c>
      <c r="U2715">
        <v>1759</v>
      </c>
      <c r="V2715">
        <v>436</v>
      </c>
      <c r="W2715">
        <v>3081</v>
      </c>
      <c r="X2715">
        <v>1020</v>
      </c>
      <c r="Y2715">
        <v>63.3</v>
      </c>
      <c r="Z2715">
        <v>56.8</v>
      </c>
      <c r="AA2715">
        <v>69.8</v>
      </c>
    </row>
    <row r="2716" spans="1:27" x14ac:dyDescent="0.25">
      <c r="A2716" t="s">
        <v>251</v>
      </c>
      <c r="B2716" t="s">
        <v>180</v>
      </c>
      <c r="C2716" s="76">
        <v>43996</v>
      </c>
      <c r="D2716">
        <v>14174</v>
      </c>
      <c r="E2716">
        <v>6221</v>
      </c>
      <c r="F2716">
        <v>22127</v>
      </c>
      <c r="G2716">
        <v>7788</v>
      </c>
      <c r="H2716">
        <v>64.5</v>
      </c>
      <c r="I2716">
        <v>56.8</v>
      </c>
      <c r="J2716">
        <v>72.3</v>
      </c>
      <c r="K2716">
        <v>912</v>
      </c>
      <c r="L2716">
        <v>381</v>
      </c>
      <c r="M2716">
        <v>1442</v>
      </c>
      <c r="N2716">
        <v>4.2</v>
      </c>
      <c r="O2716">
        <v>3</v>
      </c>
      <c r="P2716">
        <v>5.3</v>
      </c>
      <c r="Q2716">
        <f t="shared" si="82"/>
        <v>10701022</v>
      </c>
      <c r="R2716">
        <f t="shared" si="83"/>
        <v>8.5225504629370903</v>
      </c>
      <c r="U2716">
        <v>1657</v>
      </c>
      <c r="V2716">
        <v>383</v>
      </c>
      <c r="W2716">
        <v>2932</v>
      </c>
      <c r="X2716">
        <v>1080</v>
      </c>
      <c r="Y2716">
        <v>60.6</v>
      </c>
      <c r="Z2716">
        <v>53.3</v>
      </c>
      <c r="AA2716">
        <v>67.8</v>
      </c>
    </row>
    <row r="2717" spans="1:27" x14ac:dyDescent="0.25">
      <c r="A2717" t="s">
        <v>251</v>
      </c>
      <c r="B2717" t="s">
        <v>180</v>
      </c>
      <c r="C2717" s="76">
        <v>43997</v>
      </c>
      <c r="D2717">
        <v>15899</v>
      </c>
      <c r="E2717">
        <v>6302</v>
      </c>
      <c r="F2717">
        <v>25495</v>
      </c>
      <c r="G2717">
        <v>7124</v>
      </c>
      <c r="H2717">
        <v>69.099999999999994</v>
      </c>
      <c r="I2717">
        <v>61.3</v>
      </c>
      <c r="J2717">
        <v>76.900000000000006</v>
      </c>
      <c r="K2717">
        <v>988</v>
      </c>
      <c r="L2717">
        <v>366</v>
      </c>
      <c r="M2717">
        <v>1609</v>
      </c>
      <c r="N2717">
        <v>4.3</v>
      </c>
      <c r="O2717">
        <v>2.8</v>
      </c>
      <c r="P2717">
        <v>5.8</v>
      </c>
      <c r="Q2717">
        <f t="shared" si="82"/>
        <v>10701022</v>
      </c>
      <c r="R2717">
        <f t="shared" si="83"/>
        <v>9.2327630015151829</v>
      </c>
      <c r="U2717">
        <v>1971</v>
      </c>
      <c r="V2717">
        <v>372</v>
      </c>
      <c r="W2717">
        <v>3570</v>
      </c>
      <c r="X2717">
        <v>1036</v>
      </c>
      <c r="Y2717">
        <v>65.5</v>
      </c>
      <c r="Z2717">
        <v>57.7</v>
      </c>
      <c r="AA2717">
        <v>73.400000000000006</v>
      </c>
    </row>
    <row r="2718" spans="1:27" x14ac:dyDescent="0.25">
      <c r="A2718" t="s">
        <v>251</v>
      </c>
      <c r="B2718" t="s">
        <v>180</v>
      </c>
      <c r="C2718" s="76">
        <v>43998</v>
      </c>
      <c r="D2718">
        <v>17001</v>
      </c>
      <c r="E2718">
        <v>6779</v>
      </c>
      <c r="F2718">
        <v>27222</v>
      </c>
      <c r="G2718">
        <v>6943</v>
      </c>
      <c r="H2718">
        <v>71</v>
      </c>
      <c r="I2718">
        <v>62.8</v>
      </c>
      <c r="J2718">
        <v>79.2</v>
      </c>
      <c r="K2718">
        <v>978</v>
      </c>
      <c r="L2718">
        <v>332</v>
      </c>
      <c r="M2718">
        <v>1625</v>
      </c>
      <c r="N2718">
        <v>4.0999999999999996</v>
      </c>
      <c r="O2718">
        <v>2.4</v>
      </c>
      <c r="P2718">
        <v>5.7</v>
      </c>
      <c r="Q2718">
        <f t="shared" si="82"/>
        <v>10701022</v>
      </c>
      <c r="R2718">
        <f t="shared" si="83"/>
        <v>9.1393139832812231</v>
      </c>
      <c r="U2718">
        <v>1952</v>
      </c>
      <c r="V2718">
        <v>270</v>
      </c>
      <c r="W2718">
        <v>3634</v>
      </c>
      <c r="X2718">
        <v>885</v>
      </c>
      <c r="Y2718">
        <v>68.8</v>
      </c>
      <c r="Z2718">
        <v>61.2</v>
      </c>
      <c r="AA2718">
        <v>76.400000000000006</v>
      </c>
    </row>
    <row r="2719" spans="1:27" x14ac:dyDescent="0.25">
      <c r="A2719" t="s">
        <v>251</v>
      </c>
      <c r="B2719" t="s">
        <v>180</v>
      </c>
      <c r="C2719" s="76">
        <v>43999</v>
      </c>
      <c r="D2719">
        <v>17754</v>
      </c>
      <c r="E2719">
        <v>1991</v>
      </c>
      <c r="F2719">
        <v>33517</v>
      </c>
      <c r="G2719">
        <v>8546</v>
      </c>
      <c r="H2719">
        <v>67.5</v>
      </c>
      <c r="I2719">
        <v>58.5</v>
      </c>
      <c r="J2719">
        <v>76.5</v>
      </c>
      <c r="K2719">
        <v>920</v>
      </c>
      <c r="L2719">
        <v>153</v>
      </c>
      <c r="M2719">
        <v>1687</v>
      </c>
      <c r="N2719">
        <v>3.5</v>
      </c>
      <c r="O2719">
        <v>2</v>
      </c>
      <c r="P2719">
        <v>5</v>
      </c>
      <c r="Q2719">
        <f t="shared" si="82"/>
        <v>10701022</v>
      </c>
      <c r="R2719">
        <f t="shared" si="83"/>
        <v>8.5973096775242581</v>
      </c>
      <c r="U2719">
        <v>1872</v>
      </c>
      <c r="V2719">
        <v>0</v>
      </c>
      <c r="W2719">
        <v>4039</v>
      </c>
      <c r="X2719">
        <v>912</v>
      </c>
      <c r="Y2719">
        <v>67.2</v>
      </c>
      <c r="Z2719">
        <v>62.6</v>
      </c>
      <c r="AA2719">
        <v>71.900000000000006</v>
      </c>
    </row>
    <row r="2720" spans="1:27" x14ac:dyDescent="0.25">
      <c r="A2720" t="s">
        <v>251</v>
      </c>
      <c r="B2720" t="s">
        <v>180</v>
      </c>
      <c r="C2720" s="76">
        <v>44000</v>
      </c>
      <c r="D2720">
        <v>17308</v>
      </c>
      <c r="E2720">
        <v>5121</v>
      </c>
      <c r="F2720">
        <v>29496</v>
      </c>
      <c r="G2720">
        <v>6982</v>
      </c>
      <c r="H2720">
        <v>71.3</v>
      </c>
      <c r="I2720">
        <v>60.8</v>
      </c>
      <c r="J2720">
        <v>81.8</v>
      </c>
      <c r="K2720">
        <v>1126</v>
      </c>
      <c r="L2720">
        <v>407</v>
      </c>
      <c r="M2720">
        <v>1844</v>
      </c>
      <c r="N2720">
        <v>4.5999999999999996</v>
      </c>
      <c r="O2720">
        <v>3.1</v>
      </c>
      <c r="P2720">
        <v>6.1</v>
      </c>
      <c r="Q2720">
        <f t="shared" si="82"/>
        <v>10701022</v>
      </c>
      <c r="R2720">
        <f t="shared" si="83"/>
        <v>10.522359453143821</v>
      </c>
      <c r="U2720">
        <v>2342</v>
      </c>
      <c r="V2720">
        <v>272</v>
      </c>
      <c r="W2720">
        <v>4412</v>
      </c>
      <c r="X2720">
        <v>973</v>
      </c>
      <c r="Y2720">
        <v>70.599999999999994</v>
      </c>
      <c r="Z2720">
        <v>65.900000000000006</v>
      </c>
      <c r="AA2720">
        <v>75.400000000000006</v>
      </c>
    </row>
    <row r="2721" spans="1:27" x14ac:dyDescent="0.25">
      <c r="A2721" t="s">
        <v>251</v>
      </c>
      <c r="B2721" t="s">
        <v>180</v>
      </c>
      <c r="C2721" s="76">
        <v>44001</v>
      </c>
      <c r="D2721">
        <v>17874</v>
      </c>
      <c r="E2721">
        <v>5877</v>
      </c>
      <c r="F2721">
        <v>29872</v>
      </c>
      <c r="G2721">
        <v>7052</v>
      </c>
      <c r="H2721">
        <v>71.7</v>
      </c>
      <c r="I2721">
        <v>62.3</v>
      </c>
      <c r="J2721">
        <v>81.099999999999994</v>
      </c>
      <c r="K2721">
        <v>1153</v>
      </c>
      <c r="L2721">
        <v>468</v>
      </c>
      <c r="M2721">
        <v>1838</v>
      </c>
      <c r="N2721">
        <v>4.5999999999999996</v>
      </c>
      <c r="O2721">
        <v>3.3</v>
      </c>
      <c r="P2721">
        <v>6</v>
      </c>
      <c r="Q2721">
        <f t="shared" si="82"/>
        <v>10701022</v>
      </c>
      <c r="R2721">
        <f t="shared" si="83"/>
        <v>10.774671802375511</v>
      </c>
      <c r="U2721">
        <v>2444</v>
      </c>
      <c r="V2721">
        <v>308</v>
      </c>
      <c r="W2721">
        <v>4580</v>
      </c>
      <c r="X2721">
        <v>950</v>
      </c>
      <c r="Y2721">
        <v>72</v>
      </c>
      <c r="Z2721">
        <v>67</v>
      </c>
      <c r="AA2721">
        <v>77</v>
      </c>
    </row>
    <row r="2722" spans="1:27" x14ac:dyDescent="0.25">
      <c r="A2722" t="s">
        <v>251</v>
      </c>
      <c r="B2722" t="s">
        <v>180</v>
      </c>
      <c r="C2722" s="76">
        <v>44002</v>
      </c>
      <c r="D2722">
        <v>17302</v>
      </c>
      <c r="E2722">
        <v>5632</v>
      </c>
      <c r="F2722">
        <v>28972</v>
      </c>
      <c r="G2722">
        <v>7090</v>
      </c>
      <c r="H2722">
        <v>70.900000000000006</v>
      </c>
      <c r="I2722">
        <v>61.9</v>
      </c>
      <c r="J2722">
        <v>79.900000000000006</v>
      </c>
      <c r="K2722">
        <v>1111</v>
      </c>
      <c r="L2722">
        <v>405</v>
      </c>
      <c r="M2722">
        <v>1817</v>
      </c>
      <c r="N2722">
        <v>4.5999999999999996</v>
      </c>
      <c r="O2722">
        <v>3.3</v>
      </c>
      <c r="P2722">
        <v>5.8</v>
      </c>
      <c r="Q2722">
        <f t="shared" si="82"/>
        <v>10701022</v>
      </c>
      <c r="R2722">
        <f t="shared" si="83"/>
        <v>10.382185925792882</v>
      </c>
      <c r="U2722">
        <v>2432</v>
      </c>
      <c r="V2722">
        <v>311</v>
      </c>
      <c r="W2722">
        <v>4553</v>
      </c>
      <c r="X2722">
        <v>938</v>
      </c>
      <c r="Y2722">
        <v>72.2</v>
      </c>
      <c r="Z2722">
        <v>66.3</v>
      </c>
      <c r="AA2722">
        <v>78.099999999999994</v>
      </c>
    </row>
    <row r="2723" spans="1:27" x14ac:dyDescent="0.25">
      <c r="A2723" t="s">
        <v>251</v>
      </c>
      <c r="B2723" t="s">
        <v>180</v>
      </c>
      <c r="C2723" s="76">
        <v>44003</v>
      </c>
      <c r="D2723">
        <v>13714</v>
      </c>
      <c r="E2723">
        <v>5593</v>
      </c>
      <c r="F2723">
        <v>21835</v>
      </c>
      <c r="G2723">
        <v>7504</v>
      </c>
      <c r="H2723">
        <v>64.599999999999994</v>
      </c>
      <c r="I2723">
        <v>55.2</v>
      </c>
      <c r="J2723">
        <v>74.099999999999994</v>
      </c>
      <c r="K2723">
        <v>894</v>
      </c>
      <c r="L2723">
        <v>397</v>
      </c>
      <c r="M2723">
        <v>1391</v>
      </c>
      <c r="N2723">
        <v>4.2</v>
      </c>
      <c r="O2723">
        <v>3.2</v>
      </c>
      <c r="P2723">
        <v>5.2</v>
      </c>
      <c r="Q2723">
        <f t="shared" si="82"/>
        <v>10701022</v>
      </c>
      <c r="R2723">
        <f t="shared" si="83"/>
        <v>8.3543422301159644</v>
      </c>
      <c r="U2723">
        <v>1824</v>
      </c>
      <c r="V2723">
        <v>382</v>
      </c>
      <c r="W2723">
        <v>3267</v>
      </c>
      <c r="X2723">
        <v>889</v>
      </c>
      <c r="Y2723">
        <v>67.2</v>
      </c>
      <c r="Z2723">
        <v>58.2</v>
      </c>
      <c r="AA2723">
        <v>76.3</v>
      </c>
    </row>
    <row r="2724" spans="1:27" x14ac:dyDescent="0.25">
      <c r="A2724" t="s">
        <v>251</v>
      </c>
      <c r="B2724" t="s">
        <v>180</v>
      </c>
      <c r="C2724" s="76">
        <v>44004</v>
      </c>
      <c r="D2724">
        <v>14451</v>
      </c>
      <c r="E2724">
        <v>6197</v>
      </c>
      <c r="F2724">
        <v>22705</v>
      </c>
      <c r="G2724">
        <v>7388</v>
      </c>
      <c r="H2724">
        <v>66.2</v>
      </c>
      <c r="I2724">
        <v>57.3</v>
      </c>
      <c r="J2724">
        <v>75</v>
      </c>
      <c r="K2724">
        <v>910</v>
      </c>
      <c r="L2724">
        <v>387</v>
      </c>
      <c r="M2724">
        <v>1432</v>
      </c>
      <c r="N2724">
        <v>4.2</v>
      </c>
      <c r="O2724">
        <v>3.1</v>
      </c>
      <c r="P2724">
        <v>5.2</v>
      </c>
      <c r="Q2724">
        <f t="shared" si="82"/>
        <v>10701022</v>
      </c>
      <c r="R2724">
        <f t="shared" si="83"/>
        <v>8.5038606592902983</v>
      </c>
      <c r="U2724">
        <v>1849</v>
      </c>
      <c r="V2724">
        <v>407</v>
      </c>
      <c r="W2724">
        <v>3292</v>
      </c>
      <c r="X2724">
        <v>764</v>
      </c>
      <c r="Y2724">
        <v>70.8</v>
      </c>
      <c r="Z2724">
        <v>58.8</v>
      </c>
      <c r="AA2724">
        <v>82.8</v>
      </c>
    </row>
    <row r="2725" spans="1:27" x14ac:dyDescent="0.25">
      <c r="A2725" t="s">
        <v>251</v>
      </c>
      <c r="B2725" t="s">
        <v>180</v>
      </c>
      <c r="C2725" s="76">
        <v>44005</v>
      </c>
      <c r="D2725">
        <v>15053</v>
      </c>
      <c r="E2725">
        <v>6494</v>
      </c>
      <c r="F2725">
        <v>23612</v>
      </c>
      <c r="G2725">
        <v>6948</v>
      </c>
      <c r="H2725">
        <v>68.400000000000006</v>
      </c>
      <c r="I2725">
        <v>59.2</v>
      </c>
      <c r="J2725">
        <v>77.7</v>
      </c>
      <c r="K2725">
        <v>935</v>
      </c>
      <c r="L2725">
        <v>411</v>
      </c>
      <c r="M2725">
        <v>1459</v>
      </c>
      <c r="N2725">
        <v>4.2</v>
      </c>
      <c r="O2725">
        <v>3.2</v>
      </c>
      <c r="P2725">
        <v>5.3</v>
      </c>
      <c r="Q2725">
        <f t="shared" si="82"/>
        <v>10701022</v>
      </c>
      <c r="R2725">
        <f t="shared" si="83"/>
        <v>8.7374832048751987</v>
      </c>
      <c r="U2725">
        <v>1864</v>
      </c>
      <c r="V2725">
        <v>404</v>
      </c>
      <c r="W2725">
        <v>3324</v>
      </c>
      <c r="X2725">
        <v>758</v>
      </c>
      <c r="Y2725">
        <v>71.099999999999994</v>
      </c>
      <c r="Z2725">
        <v>60.6</v>
      </c>
      <c r="AA2725">
        <v>81.599999999999994</v>
      </c>
    </row>
    <row r="2726" spans="1:27" x14ac:dyDescent="0.25">
      <c r="A2726" t="s">
        <v>251</v>
      </c>
      <c r="B2726" t="s">
        <v>180</v>
      </c>
      <c r="C2726" s="76">
        <v>44006</v>
      </c>
      <c r="D2726">
        <v>13312</v>
      </c>
      <c r="E2726">
        <v>4434</v>
      </c>
      <c r="F2726">
        <v>22190</v>
      </c>
      <c r="G2726">
        <v>8145</v>
      </c>
      <c r="H2726">
        <v>62</v>
      </c>
      <c r="I2726">
        <v>51.8</v>
      </c>
      <c r="J2726">
        <v>72.3</v>
      </c>
      <c r="K2726">
        <v>606</v>
      </c>
      <c r="L2726">
        <v>124</v>
      </c>
      <c r="M2726">
        <v>1087</v>
      </c>
      <c r="N2726">
        <v>2.8</v>
      </c>
      <c r="O2726">
        <v>1.7</v>
      </c>
      <c r="P2726">
        <v>3.9</v>
      </c>
      <c r="Q2726">
        <f t="shared" si="82"/>
        <v>10701022</v>
      </c>
      <c r="R2726">
        <f t="shared" si="83"/>
        <v>5.6630105049779358</v>
      </c>
      <c r="U2726">
        <v>1195</v>
      </c>
      <c r="V2726">
        <v>7</v>
      </c>
      <c r="W2726">
        <v>2383</v>
      </c>
      <c r="X2726">
        <v>648</v>
      </c>
      <c r="Y2726">
        <v>64.8</v>
      </c>
      <c r="Z2726">
        <v>52.3</v>
      </c>
      <c r="AA2726">
        <v>77.400000000000006</v>
      </c>
    </row>
    <row r="2727" spans="1:27" x14ac:dyDescent="0.25">
      <c r="A2727" t="s">
        <v>251</v>
      </c>
      <c r="B2727" t="s">
        <v>180</v>
      </c>
      <c r="C2727" s="76">
        <v>44007</v>
      </c>
      <c r="D2727">
        <v>14551</v>
      </c>
      <c r="E2727">
        <v>5819</v>
      </c>
      <c r="F2727">
        <v>23283</v>
      </c>
      <c r="G2727">
        <v>6649</v>
      </c>
      <c r="H2727">
        <v>68.599999999999994</v>
      </c>
      <c r="I2727">
        <v>57.1</v>
      </c>
      <c r="J2727">
        <v>80.2</v>
      </c>
      <c r="K2727">
        <v>900</v>
      </c>
      <c r="L2727">
        <v>381</v>
      </c>
      <c r="M2727">
        <v>1418</v>
      </c>
      <c r="N2727">
        <v>4.2</v>
      </c>
      <c r="O2727">
        <v>3.3</v>
      </c>
      <c r="P2727">
        <v>5.2</v>
      </c>
      <c r="Q2727">
        <f t="shared" ref="Q2727:Q2790" si="84">VLOOKUP(B2727,$AE$4:$AF$55,2,FALSE)</f>
        <v>10701022</v>
      </c>
      <c r="R2727">
        <f t="shared" si="83"/>
        <v>8.4104116410563403</v>
      </c>
      <c r="U2727">
        <v>1893</v>
      </c>
      <c r="V2727">
        <v>362</v>
      </c>
      <c r="W2727">
        <v>3423</v>
      </c>
      <c r="X2727">
        <v>847</v>
      </c>
      <c r="Y2727">
        <v>69.099999999999994</v>
      </c>
      <c r="Z2727">
        <v>54.8</v>
      </c>
      <c r="AA2727">
        <v>83.3</v>
      </c>
    </row>
    <row r="2728" spans="1:27" x14ac:dyDescent="0.25">
      <c r="A2728" t="s">
        <v>251</v>
      </c>
      <c r="B2728" t="s">
        <v>180</v>
      </c>
      <c r="C2728" s="76">
        <v>44008</v>
      </c>
      <c r="D2728">
        <v>15005</v>
      </c>
      <c r="E2728">
        <v>6318</v>
      </c>
      <c r="F2728">
        <v>23692</v>
      </c>
      <c r="G2728">
        <v>6439</v>
      </c>
      <c r="H2728">
        <v>70</v>
      </c>
      <c r="I2728">
        <v>60.4</v>
      </c>
      <c r="J2728">
        <v>79.599999999999994</v>
      </c>
      <c r="K2728">
        <v>909</v>
      </c>
      <c r="L2728">
        <v>408</v>
      </c>
      <c r="M2728">
        <v>1409</v>
      </c>
      <c r="N2728">
        <v>4.2</v>
      </c>
      <c r="O2728">
        <v>3.2</v>
      </c>
      <c r="P2728">
        <v>5.3</v>
      </c>
      <c r="Q2728">
        <f t="shared" si="84"/>
        <v>10701022</v>
      </c>
      <c r="R2728">
        <f t="shared" si="83"/>
        <v>8.4945157574669032</v>
      </c>
      <c r="U2728">
        <v>1840</v>
      </c>
      <c r="V2728">
        <v>391</v>
      </c>
      <c r="W2728">
        <v>3289</v>
      </c>
      <c r="X2728">
        <v>799</v>
      </c>
      <c r="Y2728">
        <v>69.7</v>
      </c>
      <c r="Z2728">
        <v>58.7</v>
      </c>
      <c r="AA2728">
        <v>80.7</v>
      </c>
    </row>
    <row r="2729" spans="1:27" x14ac:dyDescent="0.25">
      <c r="A2729" t="s">
        <v>251</v>
      </c>
      <c r="B2729" t="s">
        <v>180</v>
      </c>
      <c r="C2729" s="76">
        <v>44009</v>
      </c>
      <c r="D2729">
        <v>14872</v>
      </c>
      <c r="E2729">
        <v>6537</v>
      </c>
      <c r="F2729">
        <v>23206</v>
      </c>
      <c r="G2729">
        <v>7018</v>
      </c>
      <c r="H2729">
        <v>67.900000000000006</v>
      </c>
      <c r="I2729">
        <v>59.4</v>
      </c>
      <c r="J2729">
        <v>76.5</v>
      </c>
      <c r="K2729">
        <v>935</v>
      </c>
      <c r="L2729">
        <v>433</v>
      </c>
      <c r="M2729">
        <v>1437</v>
      </c>
      <c r="N2729">
        <v>4.3</v>
      </c>
      <c r="O2729">
        <v>3.1</v>
      </c>
      <c r="P2729">
        <v>5.4</v>
      </c>
      <c r="Q2729">
        <f t="shared" si="84"/>
        <v>10701022</v>
      </c>
      <c r="R2729">
        <f t="shared" si="83"/>
        <v>8.7374832048751987</v>
      </c>
      <c r="U2729">
        <v>1780</v>
      </c>
      <c r="V2729">
        <v>398</v>
      </c>
      <c r="W2729">
        <v>3161</v>
      </c>
      <c r="X2729">
        <v>851</v>
      </c>
      <c r="Y2729">
        <v>67.7</v>
      </c>
      <c r="Z2729">
        <v>55.8</v>
      </c>
      <c r="AA2729">
        <v>79.5</v>
      </c>
    </row>
    <row r="2730" spans="1:27" x14ac:dyDescent="0.25">
      <c r="A2730" t="s">
        <v>251</v>
      </c>
      <c r="B2730" t="s">
        <v>180</v>
      </c>
      <c r="C2730" s="76">
        <v>44010</v>
      </c>
      <c r="D2730">
        <v>15263</v>
      </c>
      <c r="E2730">
        <v>6163</v>
      </c>
      <c r="F2730">
        <v>24363</v>
      </c>
      <c r="G2730">
        <v>7450</v>
      </c>
      <c r="H2730">
        <v>67.2</v>
      </c>
      <c r="I2730">
        <v>58.7</v>
      </c>
      <c r="J2730">
        <v>75.7</v>
      </c>
      <c r="K2730">
        <v>1013</v>
      </c>
      <c r="L2730">
        <v>454</v>
      </c>
      <c r="M2730">
        <v>1572</v>
      </c>
      <c r="N2730">
        <v>4.5</v>
      </c>
      <c r="O2730">
        <v>3.3</v>
      </c>
      <c r="P2730">
        <v>5.7</v>
      </c>
      <c r="Q2730">
        <f t="shared" si="84"/>
        <v>10701022</v>
      </c>
      <c r="R2730">
        <f t="shared" si="83"/>
        <v>9.4663855471000815</v>
      </c>
      <c r="U2730">
        <v>1882</v>
      </c>
      <c r="V2730">
        <v>370</v>
      </c>
      <c r="W2730">
        <v>3393</v>
      </c>
      <c r="X2730">
        <v>872</v>
      </c>
      <c r="Y2730">
        <v>68.3</v>
      </c>
      <c r="Z2730">
        <v>59.1</v>
      </c>
      <c r="AA2730">
        <v>77.599999999999994</v>
      </c>
    </row>
    <row r="2731" spans="1:27" x14ac:dyDescent="0.25">
      <c r="A2731" t="s">
        <v>251</v>
      </c>
      <c r="B2731" t="s">
        <v>180</v>
      </c>
      <c r="C2731" s="76">
        <v>44011</v>
      </c>
      <c r="D2731">
        <v>15110</v>
      </c>
      <c r="E2731">
        <v>6601</v>
      </c>
      <c r="F2731">
        <v>23619</v>
      </c>
      <c r="G2731">
        <v>6914</v>
      </c>
      <c r="H2731">
        <v>68.599999999999994</v>
      </c>
      <c r="I2731">
        <v>59.5</v>
      </c>
      <c r="J2731">
        <v>77.7</v>
      </c>
      <c r="K2731">
        <v>1057</v>
      </c>
      <c r="L2731">
        <v>508</v>
      </c>
      <c r="M2731">
        <v>1605</v>
      </c>
      <c r="N2731">
        <v>4.8</v>
      </c>
      <c r="O2731">
        <v>3.5</v>
      </c>
      <c r="P2731">
        <v>6.1</v>
      </c>
      <c r="Q2731">
        <f t="shared" si="84"/>
        <v>10701022</v>
      </c>
      <c r="R2731">
        <f t="shared" si="83"/>
        <v>9.877561227329501</v>
      </c>
      <c r="U2731">
        <v>1842</v>
      </c>
      <c r="V2731">
        <v>416</v>
      </c>
      <c r="W2731">
        <v>3267</v>
      </c>
      <c r="X2731">
        <v>802</v>
      </c>
      <c r="Y2731">
        <v>69.7</v>
      </c>
      <c r="Z2731">
        <v>58.1</v>
      </c>
      <c r="AA2731">
        <v>81.2</v>
      </c>
    </row>
    <row r="2732" spans="1:27" x14ac:dyDescent="0.25">
      <c r="A2732" t="s">
        <v>251</v>
      </c>
      <c r="B2732" t="s">
        <v>180</v>
      </c>
      <c r="C2732" s="76">
        <v>44012</v>
      </c>
      <c r="D2732">
        <v>16410</v>
      </c>
      <c r="E2732">
        <v>6706</v>
      </c>
      <c r="F2732">
        <v>26115</v>
      </c>
      <c r="G2732">
        <v>6414</v>
      </c>
      <c r="H2732">
        <v>71.900000000000006</v>
      </c>
      <c r="I2732">
        <v>62.7</v>
      </c>
      <c r="J2732">
        <v>81.099999999999994</v>
      </c>
      <c r="K2732">
        <v>1080</v>
      </c>
      <c r="L2732">
        <v>494</v>
      </c>
      <c r="M2732">
        <v>1665</v>
      </c>
      <c r="N2732">
        <v>4.7</v>
      </c>
      <c r="O2732">
        <v>3.6</v>
      </c>
      <c r="P2732">
        <v>5.8</v>
      </c>
      <c r="Q2732">
        <f t="shared" si="84"/>
        <v>10701022</v>
      </c>
      <c r="R2732">
        <f t="shared" si="83"/>
        <v>10.092493969267609</v>
      </c>
      <c r="U2732">
        <v>2036</v>
      </c>
      <c r="V2732">
        <v>381</v>
      </c>
      <c r="W2732">
        <v>3692</v>
      </c>
      <c r="X2732">
        <v>740</v>
      </c>
      <c r="Y2732">
        <v>73.400000000000006</v>
      </c>
      <c r="Z2732">
        <v>62.4</v>
      </c>
      <c r="AA2732">
        <v>84.3</v>
      </c>
    </row>
    <row r="2733" spans="1:27" x14ac:dyDescent="0.25">
      <c r="A2733" t="s">
        <v>251</v>
      </c>
      <c r="B2733" t="s">
        <v>180</v>
      </c>
      <c r="C2733" s="76">
        <v>44013</v>
      </c>
      <c r="D2733">
        <v>16522</v>
      </c>
      <c r="E2733">
        <v>6740</v>
      </c>
      <c r="F2733">
        <v>26303</v>
      </c>
      <c r="G2733">
        <v>6456</v>
      </c>
      <c r="H2733">
        <v>71.900000000000006</v>
      </c>
      <c r="I2733">
        <v>62.9</v>
      </c>
      <c r="J2733">
        <v>80.900000000000006</v>
      </c>
      <c r="K2733">
        <v>1079</v>
      </c>
      <c r="L2733">
        <v>478</v>
      </c>
      <c r="M2733">
        <v>1680</v>
      </c>
      <c r="N2733">
        <v>4.7</v>
      </c>
      <c r="O2733">
        <v>3.5</v>
      </c>
      <c r="P2733">
        <v>5.9</v>
      </c>
      <c r="Q2733">
        <f t="shared" si="84"/>
        <v>10701022</v>
      </c>
      <c r="R2733">
        <f t="shared" si="83"/>
        <v>10.083149067444213</v>
      </c>
      <c r="U2733">
        <v>2016</v>
      </c>
      <c r="V2733">
        <v>410</v>
      </c>
      <c r="W2733">
        <v>3623</v>
      </c>
      <c r="X2733">
        <v>751</v>
      </c>
      <c r="Y2733">
        <v>72.900000000000006</v>
      </c>
      <c r="Z2733">
        <v>64.2</v>
      </c>
      <c r="AA2733">
        <v>81.599999999999994</v>
      </c>
    </row>
    <row r="2734" spans="1:27" x14ac:dyDescent="0.25">
      <c r="A2734" t="s">
        <v>251</v>
      </c>
      <c r="B2734" t="s">
        <v>180</v>
      </c>
      <c r="C2734" s="76">
        <v>44014</v>
      </c>
      <c r="D2734">
        <v>16514</v>
      </c>
      <c r="E2734">
        <v>6650</v>
      </c>
      <c r="F2734">
        <v>26379</v>
      </c>
      <c r="G2734">
        <v>6935</v>
      </c>
      <c r="H2734">
        <v>70.400000000000006</v>
      </c>
      <c r="I2734">
        <v>60.8</v>
      </c>
      <c r="J2734">
        <v>80</v>
      </c>
      <c r="K2734">
        <v>1163</v>
      </c>
      <c r="L2734">
        <v>484</v>
      </c>
      <c r="M2734">
        <v>1843</v>
      </c>
      <c r="N2734">
        <v>5</v>
      </c>
      <c r="O2734">
        <v>3.3</v>
      </c>
      <c r="P2734">
        <v>6.6</v>
      </c>
      <c r="Q2734">
        <f t="shared" si="84"/>
        <v>10701022</v>
      </c>
      <c r="R2734">
        <f t="shared" si="83"/>
        <v>10.868120820609471</v>
      </c>
      <c r="U2734">
        <v>2074</v>
      </c>
      <c r="V2734">
        <v>394</v>
      </c>
      <c r="W2734">
        <v>3754</v>
      </c>
      <c r="X2734">
        <v>684</v>
      </c>
      <c r="Y2734">
        <v>75.2</v>
      </c>
      <c r="Z2734">
        <v>65.5</v>
      </c>
      <c r="AA2734">
        <v>84.9</v>
      </c>
    </row>
    <row r="2735" spans="1:27" x14ac:dyDescent="0.25">
      <c r="A2735" t="s">
        <v>251</v>
      </c>
      <c r="B2735" t="s">
        <v>180</v>
      </c>
      <c r="C2735" s="76">
        <v>44015</v>
      </c>
      <c r="D2735">
        <v>15466</v>
      </c>
      <c r="E2735">
        <v>6951</v>
      </c>
      <c r="F2735">
        <v>23981</v>
      </c>
      <c r="G2735">
        <v>7018</v>
      </c>
      <c r="H2735">
        <v>68.8</v>
      </c>
      <c r="I2735">
        <v>60.5</v>
      </c>
      <c r="J2735">
        <v>77.099999999999994</v>
      </c>
      <c r="K2735">
        <v>1061</v>
      </c>
      <c r="L2735">
        <v>477</v>
      </c>
      <c r="M2735">
        <v>1645</v>
      </c>
      <c r="N2735">
        <v>4.7</v>
      </c>
      <c r="O2735">
        <v>3.2</v>
      </c>
      <c r="P2735">
        <v>6.3</v>
      </c>
      <c r="Q2735">
        <f t="shared" si="84"/>
        <v>10701022</v>
      </c>
      <c r="R2735">
        <f t="shared" si="83"/>
        <v>9.9149408346230867</v>
      </c>
      <c r="U2735">
        <v>1833</v>
      </c>
      <c r="V2735">
        <v>411</v>
      </c>
      <c r="W2735">
        <v>3256</v>
      </c>
      <c r="X2735">
        <v>801</v>
      </c>
      <c r="Y2735">
        <v>69.599999999999994</v>
      </c>
      <c r="Z2735">
        <v>59.5</v>
      </c>
      <c r="AA2735">
        <v>79.7</v>
      </c>
    </row>
    <row r="2736" spans="1:27" x14ac:dyDescent="0.25">
      <c r="A2736" t="s">
        <v>251</v>
      </c>
      <c r="B2736" t="s">
        <v>180</v>
      </c>
      <c r="C2736" s="76">
        <v>44016</v>
      </c>
      <c r="D2736">
        <v>14726</v>
      </c>
      <c r="E2736">
        <v>6519</v>
      </c>
      <c r="F2736">
        <v>22933</v>
      </c>
      <c r="G2736">
        <v>7537</v>
      </c>
      <c r="H2736">
        <v>66.099999999999994</v>
      </c>
      <c r="I2736">
        <v>57.5</v>
      </c>
      <c r="J2736">
        <v>74.8</v>
      </c>
      <c r="K2736">
        <v>1085</v>
      </c>
      <c r="L2736">
        <v>487</v>
      </c>
      <c r="M2736">
        <v>1682</v>
      </c>
      <c r="N2736">
        <v>4.9000000000000004</v>
      </c>
      <c r="O2736">
        <v>3.3</v>
      </c>
      <c r="P2736">
        <v>6.5</v>
      </c>
      <c r="Q2736">
        <f t="shared" si="84"/>
        <v>10701022</v>
      </c>
      <c r="R2736">
        <f t="shared" si="83"/>
        <v>10.139218478384588</v>
      </c>
      <c r="U2736">
        <v>1761</v>
      </c>
      <c r="V2736">
        <v>376</v>
      </c>
      <c r="W2736">
        <v>3145</v>
      </c>
      <c r="X2736">
        <v>874</v>
      </c>
      <c r="Y2736">
        <v>66.8</v>
      </c>
      <c r="Z2736">
        <v>56.3</v>
      </c>
      <c r="AA2736">
        <v>77.400000000000006</v>
      </c>
    </row>
    <row r="2737" spans="1:27" x14ac:dyDescent="0.25">
      <c r="A2737" t="s">
        <v>251</v>
      </c>
      <c r="B2737" t="s">
        <v>180</v>
      </c>
      <c r="C2737" s="76">
        <v>44017</v>
      </c>
      <c r="D2737">
        <v>14582</v>
      </c>
      <c r="E2737">
        <v>6414</v>
      </c>
      <c r="F2737">
        <v>22751</v>
      </c>
      <c r="G2737">
        <v>7682</v>
      </c>
      <c r="H2737">
        <v>65.5</v>
      </c>
      <c r="I2737">
        <v>56.8</v>
      </c>
      <c r="J2737">
        <v>74.2</v>
      </c>
      <c r="K2737">
        <v>1160</v>
      </c>
      <c r="L2737">
        <v>522</v>
      </c>
      <c r="M2737">
        <v>1799</v>
      </c>
      <c r="N2737">
        <v>5.2</v>
      </c>
      <c r="O2737">
        <v>3.3</v>
      </c>
      <c r="P2737">
        <v>7.1</v>
      </c>
      <c r="Q2737">
        <f t="shared" si="84"/>
        <v>10701022</v>
      </c>
      <c r="R2737">
        <f t="shared" si="83"/>
        <v>10.840086115139284</v>
      </c>
      <c r="U2737">
        <v>1734</v>
      </c>
      <c r="V2737">
        <v>341</v>
      </c>
      <c r="W2737">
        <v>3128</v>
      </c>
      <c r="X2737">
        <v>884</v>
      </c>
      <c r="Y2737">
        <v>66.2</v>
      </c>
      <c r="Z2737">
        <v>53.3</v>
      </c>
      <c r="AA2737">
        <v>79.2</v>
      </c>
    </row>
    <row r="2738" spans="1:27" x14ac:dyDescent="0.25">
      <c r="A2738" t="s">
        <v>251</v>
      </c>
      <c r="B2738" t="s">
        <v>180</v>
      </c>
      <c r="C2738" s="76">
        <v>44018</v>
      </c>
      <c r="D2738">
        <v>15339</v>
      </c>
      <c r="E2738">
        <v>6911</v>
      </c>
      <c r="F2738">
        <v>23768</v>
      </c>
      <c r="G2738">
        <v>7083</v>
      </c>
      <c r="H2738">
        <v>68.400000000000006</v>
      </c>
      <c r="I2738">
        <v>60</v>
      </c>
      <c r="J2738">
        <v>76.8</v>
      </c>
      <c r="K2738">
        <v>1147</v>
      </c>
      <c r="L2738">
        <v>522</v>
      </c>
      <c r="M2738">
        <v>1772</v>
      </c>
      <c r="N2738">
        <v>5.0999999999999996</v>
      </c>
      <c r="O2738">
        <v>3.5</v>
      </c>
      <c r="P2738">
        <v>6.7</v>
      </c>
      <c r="Q2738">
        <f t="shared" si="84"/>
        <v>10701022</v>
      </c>
      <c r="R2738">
        <f t="shared" si="83"/>
        <v>10.718602391435136</v>
      </c>
      <c r="U2738">
        <v>1799</v>
      </c>
      <c r="V2738">
        <v>347</v>
      </c>
      <c r="W2738">
        <v>3252</v>
      </c>
      <c r="X2738">
        <v>825</v>
      </c>
      <c r="Y2738">
        <v>68.599999999999994</v>
      </c>
      <c r="Z2738">
        <v>54.7</v>
      </c>
      <c r="AA2738">
        <v>82.4</v>
      </c>
    </row>
    <row r="2739" spans="1:27" x14ac:dyDescent="0.25">
      <c r="A2739" t="s">
        <v>251</v>
      </c>
      <c r="B2739" t="s">
        <v>180</v>
      </c>
      <c r="C2739" s="76">
        <v>44019</v>
      </c>
      <c r="D2739">
        <v>15719</v>
      </c>
      <c r="E2739">
        <v>7171</v>
      </c>
      <c r="F2739">
        <v>24267</v>
      </c>
      <c r="G2739">
        <v>6774</v>
      </c>
      <c r="H2739">
        <v>69.900000000000006</v>
      </c>
      <c r="I2739">
        <v>61.4</v>
      </c>
      <c r="J2739">
        <v>78.3</v>
      </c>
      <c r="K2739">
        <v>1227</v>
      </c>
      <c r="L2739">
        <v>548</v>
      </c>
      <c r="M2739">
        <v>1906</v>
      </c>
      <c r="N2739">
        <v>5.5</v>
      </c>
      <c r="O2739">
        <v>3.9</v>
      </c>
      <c r="P2739">
        <v>7</v>
      </c>
      <c r="Q2739">
        <f t="shared" si="84"/>
        <v>10701022</v>
      </c>
      <c r="R2739">
        <f t="shared" si="83"/>
        <v>11.46619453730681</v>
      </c>
      <c r="U2739">
        <v>1762</v>
      </c>
      <c r="V2739">
        <v>397</v>
      </c>
      <c r="W2739">
        <v>3127</v>
      </c>
      <c r="X2739">
        <v>863</v>
      </c>
      <c r="Y2739">
        <v>67.099999999999994</v>
      </c>
      <c r="Z2739">
        <v>56.6</v>
      </c>
      <c r="AA2739">
        <v>77.599999999999994</v>
      </c>
    </row>
    <row r="2740" spans="1:27" x14ac:dyDescent="0.25">
      <c r="A2740" t="s">
        <v>252</v>
      </c>
      <c r="B2740" t="s">
        <v>219</v>
      </c>
      <c r="C2740" s="76">
        <v>43922</v>
      </c>
      <c r="D2740">
        <v>843</v>
      </c>
      <c r="E2740">
        <v>15</v>
      </c>
      <c r="F2740">
        <v>1672</v>
      </c>
      <c r="G2740">
        <v>1444</v>
      </c>
      <c r="H2740">
        <v>36.9</v>
      </c>
      <c r="I2740">
        <v>23.9</v>
      </c>
      <c r="J2740">
        <v>49.9</v>
      </c>
      <c r="K2740">
        <v>48</v>
      </c>
      <c r="L2740">
        <v>0</v>
      </c>
      <c r="M2740">
        <v>98</v>
      </c>
      <c r="N2740">
        <v>2.1</v>
      </c>
      <c r="O2740">
        <v>0.8</v>
      </c>
      <c r="P2740">
        <v>3.4</v>
      </c>
      <c r="Q2740">
        <f t="shared" si="84"/>
        <v>770026</v>
      </c>
      <c r="R2740">
        <f t="shared" si="83"/>
        <v>6.233555750065582</v>
      </c>
      <c r="U2740">
        <v>80</v>
      </c>
      <c r="V2740">
        <v>0</v>
      </c>
      <c r="W2740">
        <v>203</v>
      </c>
      <c r="X2740">
        <v>75</v>
      </c>
      <c r="Y2740">
        <v>51.5</v>
      </c>
      <c r="Z2740">
        <v>13.6</v>
      </c>
      <c r="AA2740">
        <v>89.3</v>
      </c>
    </row>
    <row r="2741" spans="1:27" x14ac:dyDescent="0.25">
      <c r="A2741" t="s">
        <v>252</v>
      </c>
      <c r="B2741" t="s">
        <v>219</v>
      </c>
      <c r="C2741" s="76">
        <v>43923</v>
      </c>
      <c r="D2741">
        <v>897</v>
      </c>
      <c r="E2741">
        <v>0</v>
      </c>
      <c r="F2741">
        <v>1833</v>
      </c>
      <c r="G2741">
        <v>1391</v>
      </c>
      <c r="H2741">
        <v>39.200000000000003</v>
      </c>
      <c r="I2741">
        <v>20.7</v>
      </c>
      <c r="J2741">
        <v>57.7</v>
      </c>
      <c r="K2741">
        <v>48</v>
      </c>
      <c r="L2741">
        <v>0</v>
      </c>
      <c r="M2741">
        <v>100</v>
      </c>
      <c r="N2741">
        <v>2.1</v>
      </c>
      <c r="O2741">
        <v>0.4</v>
      </c>
      <c r="P2741">
        <v>3.8</v>
      </c>
      <c r="Q2741">
        <f t="shared" si="84"/>
        <v>770026</v>
      </c>
      <c r="R2741">
        <f t="shared" si="83"/>
        <v>6.233555750065582</v>
      </c>
      <c r="U2741">
        <v>78</v>
      </c>
      <c r="V2741">
        <v>0</v>
      </c>
      <c r="W2741">
        <v>189</v>
      </c>
      <c r="X2741">
        <v>62</v>
      </c>
      <c r="Y2741">
        <v>56</v>
      </c>
      <c r="Z2741">
        <v>13.2</v>
      </c>
      <c r="AA2741">
        <v>98.8</v>
      </c>
    </row>
    <row r="2742" spans="1:27" x14ac:dyDescent="0.25">
      <c r="A2742" t="s">
        <v>252</v>
      </c>
      <c r="B2742" t="s">
        <v>219</v>
      </c>
      <c r="C2742" s="76">
        <v>43924</v>
      </c>
      <c r="D2742">
        <v>913</v>
      </c>
      <c r="E2742">
        <v>0</v>
      </c>
      <c r="F2742">
        <v>1831</v>
      </c>
      <c r="G2742">
        <v>1347</v>
      </c>
      <c r="H2742">
        <v>40.4</v>
      </c>
      <c r="I2742">
        <v>26</v>
      </c>
      <c r="J2742">
        <v>54.8</v>
      </c>
      <c r="K2742">
        <v>67</v>
      </c>
      <c r="L2742">
        <v>0</v>
      </c>
      <c r="M2742">
        <v>145</v>
      </c>
      <c r="N2742">
        <v>3</v>
      </c>
      <c r="O2742">
        <v>1.3</v>
      </c>
      <c r="P2742">
        <v>4.5999999999999996</v>
      </c>
      <c r="Q2742">
        <f t="shared" si="84"/>
        <v>770026</v>
      </c>
      <c r="R2742">
        <f t="shared" si="83"/>
        <v>8.7010049011332082</v>
      </c>
      <c r="U2742">
        <v>81</v>
      </c>
      <c r="V2742">
        <v>0</v>
      </c>
      <c r="W2742">
        <v>194</v>
      </c>
      <c r="X2742">
        <v>78</v>
      </c>
      <c r="Y2742">
        <v>50.8</v>
      </c>
      <c r="Z2742">
        <v>22.6</v>
      </c>
      <c r="AA2742">
        <v>79</v>
      </c>
    </row>
    <row r="2743" spans="1:27" x14ac:dyDescent="0.25">
      <c r="A2743" t="s">
        <v>252</v>
      </c>
      <c r="B2743" t="s">
        <v>219</v>
      </c>
      <c r="C2743" s="76">
        <v>43925</v>
      </c>
      <c r="D2743">
        <v>874</v>
      </c>
      <c r="E2743">
        <v>0</v>
      </c>
      <c r="F2743">
        <v>1755</v>
      </c>
      <c r="G2743">
        <v>1386</v>
      </c>
      <c r="H2743">
        <v>38.700000000000003</v>
      </c>
      <c r="I2743">
        <v>23.2</v>
      </c>
      <c r="J2743">
        <v>54.2</v>
      </c>
      <c r="K2743">
        <v>54</v>
      </c>
      <c r="L2743">
        <v>0</v>
      </c>
      <c r="M2743">
        <v>114</v>
      </c>
      <c r="N2743">
        <v>2.4</v>
      </c>
      <c r="O2743">
        <v>0.9</v>
      </c>
      <c r="P2743">
        <v>3.9</v>
      </c>
      <c r="Q2743">
        <f t="shared" si="84"/>
        <v>770026</v>
      </c>
      <c r="R2743">
        <f t="shared" si="83"/>
        <v>7.01275021882378</v>
      </c>
      <c r="U2743">
        <v>81</v>
      </c>
      <c r="V2743">
        <v>0</v>
      </c>
      <c r="W2743">
        <v>191</v>
      </c>
      <c r="X2743">
        <v>79</v>
      </c>
      <c r="Y2743">
        <v>50.6</v>
      </c>
      <c r="Z2743">
        <v>21.3</v>
      </c>
      <c r="AA2743">
        <v>80</v>
      </c>
    </row>
    <row r="2744" spans="1:27" x14ac:dyDescent="0.25">
      <c r="A2744" t="s">
        <v>252</v>
      </c>
      <c r="B2744" t="s">
        <v>219</v>
      </c>
      <c r="C2744" s="76">
        <v>43926</v>
      </c>
      <c r="D2744">
        <v>798</v>
      </c>
      <c r="E2744">
        <v>33</v>
      </c>
      <c r="F2744">
        <v>1563</v>
      </c>
      <c r="G2744">
        <v>1510</v>
      </c>
      <c r="H2744">
        <v>34.6</v>
      </c>
      <c r="I2744">
        <v>23</v>
      </c>
      <c r="J2744">
        <v>46.1</v>
      </c>
      <c r="K2744">
        <v>51</v>
      </c>
      <c r="L2744">
        <v>0</v>
      </c>
      <c r="M2744">
        <v>103</v>
      </c>
      <c r="N2744">
        <v>2.2000000000000002</v>
      </c>
      <c r="O2744">
        <v>0.8</v>
      </c>
      <c r="P2744">
        <v>3.6</v>
      </c>
      <c r="Q2744">
        <f t="shared" si="84"/>
        <v>770026</v>
      </c>
      <c r="R2744">
        <f t="shared" si="83"/>
        <v>6.6231529844446815</v>
      </c>
      <c r="U2744">
        <v>77</v>
      </c>
      <c r="V2744">
        <v>0</v>
      </c>
      <c r="W2744">
        <v>185</v>
      </c>
      <c r="X2744">
        <v>83</v>
      </c>
      <c r="Y2744">
        <v>48</v>
      </c>
      <c r="Z2744">
        <v>22.4</v>
      </c>
      <c r="AA2744">
        <v>73.7</v>
      </c>
    </row>
    <row r="2745" spans="1:27" x14ac:dyDescent="0.25">
      <c r="A2745" t="s">
        <v>252</v>
      </c>
      <c r="B2745" t="s">
        <v>219</v>
      </c>
      <c r="C2745" s="76">
        <v>43927</v>
      </c>
      <c r="D2745">
        <v>788</v>
      </c>
      <c r="E2745">
        <v>11</v>
      </c>
      <c r="F2745">
        <v>1565</v>
      </c>
      <c r="G2745">
        <v>1473</v>
      </c>
      <c r="H2745">
        <v>34.9</v>
      </c>
      <c r="I2745">
        <v>21.9</v>
      </c>
      <c r="J2745">
        <v>47.8</v>
      </c>
      <c r="K2745">
        <v>75</v>
      </c>
      <c r="L2745">
        <v>0</v>
      </c>
      <c r="M2745">
        <v>155</v>
      </c>
      <c r="N2745">
        <v>3.3</v>
      </c>
      <c r="O2745">
        <v>1.5</v>
      </c>
      <c r="P2745">
        <v>5.2</v>
      </c>
      <c r="Q2745">
        <f t="shared" si="84"/>
        <v>770026</v>
      </c>
      <c r="R2745">
        <f t="shared" si="83"/>
        <v>9.7399308594774734</v>
      </c>
      <c r="U2745">
        <v>69</v>
      </c>
      <c r="V2745">
        <v>0</v>
      </c>
      <c r="W2745">
        <v>164</v>
      </c>
      <c r="X2745">
        <v>90</v>
      </c>
      <c r="Y2745">
        <v>43.3</v>
      </c>
      <c r="Z2745">
        <v>15.4</v>
      </c>
      <c r="AA2745">
        <v>71.2</v>
      </c>
    </row>
    <row r="2746" spans="1:27" x14ac:dyDescent="0.25">
      <c r="A2746" t="s">
        <v>252</v>
      </c>
      <c r="B2746" t="s">
        <v>219</v>
      </c>
      <c r="C2746" s="76">
        <v>43928</v>
      </c>
      <c r="D2746">
        <v>864</v>
      </c>
      <c r="E2746">
        <v>0</v>
      </c>
      <c r="F2746">
        <v>1734</v>
      </c>
      <c r="G2746">
        <v>1402</v>
      </c>
      <c r="H2746">
        <v>38.1</v>
      </c>
      <c r="I2746">
        <v>24.5</v>
      </c>
      <c r="J2746">
        <v>51.7</v>
      </c>
      <c r="K2746">
        <v>69</v>
      </c>
      <c r="L2746">
        <v>0</v>
      </c>
      <c r="M2746">
        <v>147</v>
      </c>
      <c r="N2746">
        <v>3.1</v>
      </c>
      <c r="O2746">
        <v>0.9</v>
      </c>
      <c r="P2746">
        <v>5.2</v>
      </c>
      <c r="Q2746">
        <f t="shared" si="84"/>
        <v>770026</v>
      </c>
      <c r="R2746">
        <f t="shared" si="83"/>
        <v>8.9607363907192745</v>
      </c>
      <c r="U2746">
        <v>74</v>
      </c>
      <c r="V2746">
        <v>0</v>
      </c>
      <c r="W2746">
        <v>177</v>
      </c>
      <c r="X2746">
        <v>85</v>
      </c>
      <c r="Y2746">
        <v>46.6</v>
      </c>
      <c r="Z2746">
        <v>14</v>
      </c>
      <c r="AA2746">
        <v>79.2</v>
      </c>
    </row>
    <row r="2747" spans="1:27" x14ac:dyDescent="0.25">
      <c r="A2747" t="s">
        <v>252</v>
      </c>
      <c r="B2747" t="s">
        <v>219</v>
      </c>
      <c r="C2747" s="76">
        <v>43929</v>
      </c>
      <c r="D2747">
        <v>826</v>
      </c>
      <c r="E2747">
        <v>57</v>
      </c>
      <c r="F2747">
        <v>1596</v>
      </c>
      <c r="G2747">
        <v>1517</v>
      </c>
      <c r="H2747">
        <v>35.299999999999997</v>
      </c>
      <c r="I2747">
        <v>28.7</v>
      </c>
      <c r="J2747">
        <v>41.8</v>
      </c>
      <c r="K2747">
        <v>81</v>
      </c>
      <c r="L2747">
        <v>0</v>
      </c>
      <c r="M2747">
        <v>170</v>
      </c>
      <c r="N2747">
        <v>3.5</v>
      </c>
      <c r="O2747">
        <v>1.6</v>
      </c>
      <c r="P2747">
        <v>5.4</v>
      </c>
      <c r="Q2747">
        <f t="shared" si="84"/>
        <v>770026</v>
      </c>
      <c r="R2747">
        <f t="shared" si="83"/>
        <v>10.519125328235669</v>
      </c>
      <c r="U2747">
        <v>98</v>
      </c>
      <c r="V2747">
        <v>0</v>
      </c>
      <c r="W2747">
        <v>218</v>
      </c>
      <c r="X2747">
        <v>89</v>
      </c>
      <c r="Y2747">
        <v>52.4</v>
      </c>
      <c r="Z2747">
        <v>37.6</v>
      </c>
      <c r="AA2747">
        <v>67.099999999999994</v>
      </c>
    </row>
    <row r="2748" spans="1:27" x14ac:dyDescent="0.25">
      <c r="A2748" t="s">
        <v>252</v>
      </c>
      <c r="B2748" t="s">
        <v>219</v>
      </c>
      <c r="C2748" s="76">
        <v>43930</v>
      </c>
      <c r="D2748">
        <v>661</v>
      </c>
      <c r="E2748">
        <v>104</v>
      </c>
      <c r="F2748">
        <v>1218</v>
      </c>
      <c r="G2748">
        <v>1334</v>
      </c>
      <c r="H2748">
        <v>33.1</v>
      </c>
      <c r="I2748">
        <v>25.1</v>
      </c>
      <c r="J2748">
        <v>41.2</v>
      </c>
      <c r="K2748">
        <v>53</v>
      </c>
      <c r="L2748">
        <v>0</v>
      </c>
      <c r="M2748">
        <v>107</v>
      </c>
      <c r="N2748">
        <v>2.7</v>
      </c>
      <c r="O2748">
        <v>1.2</v>
      </c>
      <c r="P2748">
        <v>4.0999999999999996</v>
      </c>
      <c r="Q2748">
        <f t="shared" si="84"/>
        <v>770026</v>
      </c>
      <c r="R2748">
        <f t="shared" si="83"/>
        <v>6.8828844740307478</v>
      </c>
      <c r="U2748">
        <v>55</v>
      </c>
      <c r="V2748">
        <v>0</v>
      </c>
      <c r="W2748">
        <v>123</v>
      </c>
      <c r="X2748">
        <v>97</v>
      </c>
      <c r="Y2748">
        <v>36.200000000000003</v>
      </c>
      <c r="Z2748">
        <v>27.8</v>
      </c>
      <c r="AA2748">
        <v>44.6</v>
      </c>
    </row>
    <row r="2749" spans="1:27" x14ac:dyDescent="0.25">
      <c r="A2749" t="s">
        <v>252</v>
      </c>
      <c r="B2749" t="s">
        <v>219</v>
      </c>
      <c r="C2749" s="76">
        <v>43931</v>
      </c>
      <c r="D2749">
        <v>629</v>
      </c>
      <c r="E2749">
        <v>95</v>
      </c>
      <c r="F2749">
        <v>1163</v>
      </c>
      <c r="G2749">
        <v>1342</v>
      </c>
      <c r="H2749">
        <v>31.9</v>
      </c>
      <c r="I2749">
        <v>23.8</v>
      </c>
      <c r="J2749">
        <v>40</v>
      </c>
      <c r="K2749">
        <v>39</v>
      </c>
      <c r="L2749">
        <v>0</v>
      </c>
      <c r="M2749">
        <v>92</v>
      </c>
      <c r="N2749">
        <v>2</v>
      </c>
      <c r="O2749">
        <v>0.5</v>
      </c>
      <c r="P2749">
        <v>3.4</v>
      </c>
      <c r="Q2749">
        <f t="shared" si="84"/>
        <v>770026</v>
      </c>
      <c r="R2749">
        <f t="shared" si="83"/>
        <v>5.0647640469282855</v>
      </c>
      <c r="U2749">
        <v>62</v>
      </c>
      <c r="V2749">
        <v>0</v>
      </c>
      <c r="W2749">
        <v>132</v>
      </c>
      <c r="X2749">
        <v>85</v>
      </c>
      <c r="Y2749">
        <v>42.1</v>
      </c>
      <c r="Z2749">
        <v>5.4</v>
      </c>
      <c r="AA2749">
        <v>78.900000000000006</v>
      </c>
    </row>
    <row r="2750" spans="1:27" x14ac:dyDescent="0.25">
      <c r="A2750" t="s">
        <v>252</v>
      </c>
      <c r="B2750" t="s">
        <v>219</v>
      </c>
      <c r="C2750" s="76">
        <v>43932</v>
      </c>
      <c r="D2750">
        <v>739</v>
      </c>
      <c r="E2750">
        <v>7</v>
      </c>
      <c r="F2750">
        <v>1471</v>
      </c>
      <c r="G2750">
        <v>1669</v>
      </c>
      <c r="H2750">
        <v>30.7</v>
      </c>
      <c r="I2750">
        <v>23.5</v>
      </c>
      <c r="J2750">
        <v>37.9</v>
      </c>
      <c r="K2750">
        <v>73</v>
      </c>
      <c r="L2750">
        <v>0</v>
      </c>
      <c r="M2750">
        <v>151</v>
      </c>
      <c r="N2750">
        <v>3</v>
      </c>
      <c r="O2750">
        <v>1.3</v>
      </c>
      <c r="P2750">
        <v>4.7</v>
      </c>
      <c r="Q2750">
        <f t="shared" si="84"/>
        <v>770026</v>
      </c>
      <c r="R2750">
        <f t="shared" si="83"/>
        <v>9.4801993698914071</v>
      </c>
      <c r="U2750">
        <v>57</v>
      </c>
      <c r="V2750">
        <v>0</v>
      </c>
      <c r="W2750">
        <v>121</v>
      </c>
      <c r="X2750">
        <v>141</v>
      </c>
      <c r="Y2750">
        <v>28.8</v>
      </c>
      <c r="Z2750">
        <v>13.7</v>
      </c>
      <c r="AA2750">
        <v>43.9</v>
      </c>
    </row>
    <row r="2751" spans="1:27" x14ac:dyDescent="0.25">
      <c r="A2751" t="s">
        <v>252</v>
      </c>
      <c r="B2751" t="s">
        <v>219</v>
      </c>
      <c r="C2751" s="76">
        <v>43933</v>
      </c>
      <c r="D2751">
        <v>746</v>
      </c>
      <c r="E2751">
        <v>34</v>
      </c>
      <c r="F2751">
        <v>1457</v>
      </c>
      <c r="G2751">
        <v>1670</v>
      </c>
      <c r="H2751">
        <v>30.9</v>
      </c>
      <c r="I2751">
        <v>24.1</v>
      </c>
      <c r="J2751">
        <v>37.6</v>
      </c>
      <c r="K2751">
        <v>44</v>
      </c>
      <c r="L2751">
        <v>0</v>
      </c>
      <c r="M2751">
        <v>98</v>
      </c>
      <c r="N2751">
        <v>1.8</v>
      </c>
      <c r="O2751">
        <v>0.2</v>
      </c>
      <c r="P2751">
        <v>3.4</v>
      </c>
      <c r="Q2751">
        <f t="shared" si="84"/>
        <v>770026</v>
      </c>
      <c r="R2751">
        <f t="shared" si="83"/>
        <v>5.7140927708934504</v>
      </c>
      <c r="U2751">
        <v>64</v>
      </c>
      <c r="V2751">
        <v>0</v>
      </c>
      <c r="W2751">
        <v>136</v>
      </c>
      <c r="X2751">
        <v>137</v>
      </c>
      <c r="Y2751">
        <v>31.9</v>
      </c>
      <c r="Z2751">
        <v>16.2</v>
      </c>
      <c r="AA2751">
        <v>47.6</v>
      </c>
    </row>
    <row r="2752" spans="1:27" x14ac:dyDescent="0.25">
      <c r="A2752" t="s">
        <v>252</v>
      </c>
      <c r="B2752" t="s">
        <v>219</v>
      </c>
      <c r="C2752" s="76">
        <v>43934</v>
      </c>
      <c r="D2752">
        <v>794</v>
      </c>
      <c r="E2752">
        <v>39</v>
      </c>
      <c r="F2752">
        <v>1548</v>
      </c>
      <c r="G2752">
        <v>1250</v>
      </c>
      <c r="H2752">
        <v>38.799999999999997</v>
      </c>
      <c r="I2752">
        <v>17.100000000000001</v>
      </c>
      <c r="J2752">
        <v>60.5</v>
      </c>
      <c r="K2752">
        <v>58</v>
      </c>
      <c r="L2752">
        <v>2</v>
      </c>
      <c r="M2752">
        <v>113</v>
      </c>
      <c r="N2752">
        <v>2.8</v>
      </c>
      <c r="O2752">
        <v>1.4</v>
      </c>
      <c r="P2752">
        <v>4.3</v>
      </c>
      <c r="Q2752">
        <f t="shared" si="84"/>
        <v>770026</v>
      </c>
      <c r="R2752">
        <f t="shared" si="83"/>
        <v>7.5322131979959117</v>
      </c>
      <c r="U2752">
        <v>75</v>
      </c>
      <c r="V2752">
        <v>0</v>
      </c>
      <c r="W2752">
        <v>157</v>
      </c>
      <c r="X2752">
        <v>125</v>
      </c>
      <c r="Y2752">
        <v>37.5</v>
      </c>
      <c r="Z2752">
        <v>13.6</v>
      </c>
      <c r="AA2752">
        <v>61.5</v>
      </c>
    </row>
    <row r="2753" spans="1:27" x14ac:dyDescent="0.25">
      <c r="A2753" t="s">
        <v>252</v>
      </c>
      <c r="B2753" t="s">
        <v>219</v>
      </c>
      <c r="C2753" s="76">
        <v>43935</v>
      </c>
      <c r="D2753">
        <v>825</v>
      </c>
      <c r="E2753">
        <v>39</v>
      </c>
      <c r="F2753">
        <v>1610</v>
      </c>
      <c r="G2753">
        <v>1100</v>
      </c>
      <c r="H2753">
        <v>42.8</v>
      </c>
      <c r="I2753">
        <v>17.7</v>
      </c>
      <c r="J2753">
        <v>68</v>
      </c>
      <c r="K2753">
        <v>54</v>
      </c>
      <c r="L2753">
        <v>0</v>
      </c>
      <c r="M2753">
        <v>112</v>
      </c>
      <c r="N2753">
        <v>2.8</v>
      </c>
      <c r="O2753">
        <v>0.7</v>
      </c>
      <c r="P2753">
        <v>5</v>
      </c>
      <c r="Q2753">
        <f t="shared" si="84"/>
        <v>770026</v>
      </c>
      <c r="R2753">
        <f t="shared" si="83"/>
        <v>7.01275021882378</v>
      </c>
      <c r="U2753">
        <v>82</v>
      </c>
      <c r="V2753">
        <v>0</v>
      </c>
      <c r="W2753">
        <v>173</v>
      </c>
      <c r="X2753">
        <v>121</v>
      </c>
      <c r="Y2753">
        <v>40.4</v>
      </c>
      <c r="Z2753">
        <v>14.9</v>
      </c>
      <c r="AA2753">
        <v>65.8</v>
      </c>
    </row>
    <row r="2754" spans="1:27" x14ac:dyDescent="0.25">
      <c r="A2754" t="s">
        <v>252</v>
      </c>
      <c r="B2754" t="s">
        <v>219</v>
      </c>
      <c r="C2754" s="76">
        <v>43936</v>
      </c>
      <c r="D2754">
        <v>814</v>
      </c>
      <c r="E2754">
        <v>35</v>
      </c>
      <c r="F2754">
        <v>1593</v>
      </c>
      <c r="G2754">
        <v>1499</v>
      </c>
      <c r="H2754">
        <v>35.200000000000003</v>
      </c>
      <c r="I2754">
        <v>21.5</v>
      </c>
      <c r="J2754">
        <v>48.9</v>
      </c>
      <c r="K2754">
        <v>65</v>
      </c>
      <c r="L2754">
        <v>0</v>
      </c>
      <c r="M2754">
        <v>131</v>
      </c>
      <c r="N2754">
        <v>2.8</v>
      </c>
      <c r="O2754">
        <v>1.5</v>
      </c>
      <c r="P2754">
        <v>4.2</v>
      </c>
      <c r="Q2754">
        <f t="shared" si="84"/>
        <v>770026</v>
      </c>
      <c r="R2754">
        <f t="shared" si="83"/>
        <v>8.4412734115471419</v>
      </c>
      <c r="U2754">
        <v>79</v>
      </c>
      <c r="V2754">
        <v>0</v>
      </c>
      <c r="W2754">
        <v>168</v>
      </c>
      <c r="X2754">
        <v>133</v>
      </c>
      <c r="Y2754">
        <v>37.1</v>
      </c>
      <c r="Z2754">
        <v>13.9</v>
      </c>
      <c r="AA2754">
        <v>60.4</v>
      </c>
    </row>
    <row r="2755" spans="1:27" x14ac:dyDescent="0.25">
      <c r="A2755" t="s">
        <v>252</v>
      </c>
      <c r="B2755" t="s">
        <v>219</v>
      </c>
      <c r="C2755" s="76">
        <v>43937</v>
      </c>
      <c r="D2755">
        <v>872</v>
      </c>
      <c r="E2755">
        <v>74</v>
      </c>
      <c r="F2755">
        <v>1669</v>
      </c>
      <c r="G2755">
        <v>1377</v>
      </c>
      <c r="H2755">
        <v>38.799999999999997</v>
      </c>
      <c r="I2755">
        <v>25.5</v>
      </c>
      <c r="J2755">
        <v>52</v>
      </c>
      <c r="K2755">
        <v>68</v>
      </c>
      <c r="L2755">
        <v>2</v>
      </c>
      <c r="M2755">
        <v>134</v>
      </c>
      <c r="N2755">
        <v>3</v>
      </c>
      <c r="O2755">
        <v>1.9</v>
      </c>
      <c r="P2755">
        <v>4.0999999999999996</v>
      </c>
      <c r="Q2755">
        <f t="shared" si="84"/>
        <v>770026</v>
      </c>
      <c r="R2755">
        <f t="shared" si="83"/>
        <v>8.8308706459262414</v>
      </c>
      <c r="U2755">
        <v>90</v>
      </c>
      <c r="V2755">
        <v>0</v>
      </c>
      <c r="W2755">
        <v>209</v>
      </c>
      <c r="X2755">
        <v>119</v>
      </c>
      <c r="Y2755">
        <v>43.3</v>
      </c>
      <c r="Z2755">
        <v>5.6</v>
      </c>
      <c r="AA2755">
        <v>80.900000000000006</v>
      </c>
    </row>
    <row r="2756" spans="1:27" x14ac:dyDescent="0.25">
      <c r="A2756" t="s">
        <v>252</v>
      </c>
      <c r="B2756" t="s">
        <v>219</v>
      </c>
      <c r="C2756" s="76">
        <v>43938</v>
      </c>
      <c r="D2756">
        <v>905</v>
      </c>
      <c r="E2756">
        <v>115</v>
      </c>
      <c r="F2756">
        <v>1696</v>
      </c>
      <c r="G2756">
        <v>1344</v>
      </c>
      <c r="H2756">
        <v>40.299999999999997</v>
      </c>
      <c r="I2756">
        <v>28.4</v>
      </c>
      <c r="J2756">
        <v>52.1</v>
      </c>
      <c r="K2756">
        <v>102</v>
      </c>
      <c r="L2756">
        <v>0</v>
      </c>
      <c r="M2756">
        <v>220</v>
      </c>
      <c r="N2756">
        <v>4.5</v>
      </c>
      <c r="O2756">
        <v>2.2999999999999998</v>
      </c>
      <c r="P2756">
        <v>6.8</v>
      </c>
      <c r="Q2756">
        <f t="shared" si="84"/>
        <v>770026</v>
      </c>
      <c r="R2756">
        <f t="shared" si="83"/>
        <v>13.246305968889363</v>
      </c>
      <c r="U2756">
        <v>82</v>
      </c>
      <c r="V2756">
        <v>0</v>
      </c>
      <c r="W2756">
        <v>179</v>
      </c>
      <c r="X2756">
        <v>127</v>
      </c>
      <c r="Y2756">
        <v>39.200000000000003</v>
      </c>
      <c r="Z2756">
        <v>29</v>
      </c>
      <c r="AA2756">
        <v>49.4</v>
      </c>
    </row>
    <row r="2757" spans="1:27" x14ac:dyDescent="0.25">
      <c r="A2757" t="s">
        <v>252</v>
      </c>
      <c r="B2757" t="s">
        <v>219</v>
      </c>
      <c r="C2757" s="76">
        <v>43939</v>
      </c>
      <c r="D2757">
        <v>799</v>
      </c>
      <c r="E2757">
        <v>91</v>
      </c>
      <c r="F2757">
        <v>1507</v>
      </c>
      <c r="G2757">
        <v>1450</v>
      </c>
      <c r="H2757">
        <v>35.5</v>
      </c>
      <c r="I2757">
        <v>25.7</v>
      </c>
      <c r="J2757">
        <v>45.3</v>
      </c>
      <c r="K2757">
        <v>77</v>
      </c>
      <c r="L2757">
        <v>2</v>
      </c>
      <c r="M2757">
        <v>153</v>
      </c>
      <c r="N2757">
        <v>3.4</v>
      </c>
      <c r="O2757">
        <v>2.2000000000000002</v>
      </c>
      <c r="P2757">
        <v>4.7</v>
      </c>
      <c r="Q2757">
        <f t="shared" si="84"/>
        <v>770026</v>
      </c>
      <c r="R2757">
        <f t="shared" ref="R2757:R2820" si="85">K2757/(Q2757)*100000</f>
        <v>9.9996623490635379</v>
      </c>
      <c r="U2757">
        <v>76</v>
      </c>
      <c r="V2757">
        <v>0</v>
      </c>
      <c r="W2757">
        <v>170</v>
      </c>
      <c r="X2757">
        <v>133</v>
      </c>
      <c r="Y2757">
        <v>36.200000000000003</v>
      </c>
      <c r="Z2757">
        <v>14.3</v>
      </c>
      <c r="AA2757">
        <v>58.2</v>
      </c>
    </row>
    <row r="2758" spans="1:27" x14ac:dyDescent="0.25">
      <c r="A2758" t="s">
        <v>252</v>
      </c>
      <c r="B2758" t="s">
        <v>219</v>
      </c>
      <c r="C2758" s="76">
        <v>43940</v>
      </c>
      <c r="D2758">
        <v>796</v>
      </c>
      <c r="E2758">
        <v>93</v>
      </c>
      <c r="F2758">
        <v>1499</v>
      </c>
      <c r="G2758">
        <v>1453</v>
      </c>
      <c r="H2758">
        <v>35.4</v>
      </c>
      <c r="I2758">
        <v>26.4</v>
      </c>
      <c r="J2758">
        <v>44.4</v>
      </c>
      <c r="K2758">
        <v>72</v>
      </c>
      <c r="L2758">
        <v>0</v>
      </c>
      <c r="M2758">
        <v>149</v>
      </c>
      <c r="N2758">
        <v>3.2</v>
      </c>
      <c r="O2758">
        <v>1.8</v>
      </c>
      <c r="P2758">
        <v>4.5999999999999996</v>
      </c>
      <c r="Q2758">
        <f t="shared" si="84"/>
        <v>770026</v>
      </c>
      <c r="R2758">
        <f t="shared" si="85"/>
        <v>9.350333625098374</v>
      </c>
      <c r="U2758">
        <v>80</v>
      </c>
      <c r="V2758">
        <v>0</v>
      </c>
      <c r="W2758">
        <v>171</v>
      </c>
      <c r="X2758">
        <v>127</v>
      </c>
      <c r="Y2758">
        <v>38.5</v>
      </c>
      <c r="Z2758">
        <v>14.3</v>
      </c>
      <c r="AA2758">
        <v>62.8</v>
      </c>
    </row>
    <row r="2759" spans="1:27" x14ac:dyDescent="0.25">
      <c r="A2759" t="s">
        <v>252</v>
      </c>
      <c r="B2759" t="s">
        <v>219</v>
      </c>
      <c r="C2759" s="76">
        <v>43941</v>
      </c>
      <c r="D2759">
        <v>824</v>
      </c>
      <c r="E2759">
        <v>71</v>
      </c>
      <c r="F2759">
        <v>1577</v>
      </c>
      <c r="G2759">
        <v>1406</v>
      </c>
      <c r="H2759">
        <v>36.9</v>
      </c>
      <c r="I2759">
        <v>26.1</v>
      </c>
      <c r="J2759">
        <v>47.8</v>
      </c>
      <c r="K2759">
        <v>72</v>
      </c>
      <c r="L2759">
        <v>0</v>
      </c>
      <c r="M2759">
        <v>150</v>
      </c>
      <c r="N2759">
        <v>3.2</v>
      </c>
      <c r="O2759">
        <v>1.9</v>
      </c>
      <c r="P2759">
        <v>4.5999999999999996</v>
      </c>
      <c r="Q2759">
        <f t="shared" si="84"/>
        <v>770026</v>
      </c>
      <c r="R2759">
        <f t="shared" si="85"/>
        <v>9.350333625098374</v>
      </c>
      <c r="U2759">
        <v>78</v>
      </c>
      <c r="V2759">
        <v>0</v>
      </c>
      <c r="W2759">
        <v>172</v>
      </c>
      <c r="X2759">
        <v>127</v>
      </c>
      <c r="Y2759">
        <v>38</v>
      </c>
      <c r="Z2759">
        <v>12.8</v>
      </c>
      <c r="AA2759">
        <v>63.2</v>
      </c>
    </row>
    <row r="2760" spans="1:27" x14ac:dyDescent="0.25">
      <c r="A2760" t="s">
        <v>252</v>
      </c>
      <c r="B2760" t="s">
        <v>219</v>
      </c>
      <c r="C2760" s="76">
        <v>43942</v>
      </c>
      <c r="D2760">
        <v>836</v>
      </c>
      <c r="E2760">
        <v>48</v>
      </c>
      <c r="F2760">
        <v>1624</v>
      </c>
      <c r="G2760">
        <v>1322</v>
      </c>
      <c r="H2760">
        <v>38.700000000000003</v>
      </c>
      <c r="I2760">
        <v>28</v>
      </c>
      <c r="J2760">
        <v>49.5</v>
      </c>
      <c r="K2760">
        <v>81</v>
      </c>
      <c r="L2760">
        <v>0</v>
      </c>
      <c r="M2760">
        <v>177</v>
      </c>
      <c r="N2760">
        <v>3.7</v>
      </c>
      <c r="O2760">
        <v>1.5</v>
      </c>
      <c r="P2760">
        <v>6</v>
      </c>
      <c r="Q2760">
        <f t="shared" si="84"/>
        <v>770026</v>
      </c>
      <c r="R2760">
        <f t="shared" si="85"/>
        <v>10.519125328235669</v>
      </c>
      <c r="U2760">
        <v>78</v>
      </c>
      <c r="V2760">
        <v>0</v>
      </c>
      <c r="W2760">
        <v>175</v>
      </c>
      <c r="X2760">
        <v>119</v>
      </c>
      <c r="Y2760">
        <v>39.700000000000003</v>
      </c>
      <c r="Z2760">
        <v>23.7</v>
      </c>
      <c r="AA2760">
        <v>55.7</v>
      </c>
    </row>
    <row r="2761" spans="1:27" x14ac:dyDescent="0.25">
      <c r="A2761" t="s">
        <v>252</v>
      </c>
      <c r="B2761" t="s">
        <v>219</v>
      </c>
      <c r="C2761" s="76">
        <v>43943</v>
      </c>
      <c r="D2761">
        <v>859</v>
      </c>
      <c r="E2761">
        <v>53</v>
      </c>
      <c r="F2761">
        <v>1666</v>
      </c>
      <c r="G2761">
        <v>1289</v>
      </c>
      <c r="H2761">
        <v>40</v>
      </c>
      <c r="I2761">
        <v>27.6</v>
      </c>
      <c r="J2761">
        <v>52.4</v>
      </c>
      <c r="K2761">
        <v>53</v>
      </c>
      <c r="L2761">
        <v>0</v>
      </c>
      <c r="M2761">
        <v>120</v>
      </c>
      <c r="N2761">
        <v>2.4</v>
      </c>
      <c r="O2761">
        <v>0.9</v>
      </c>
      <c r="P2761">
        <v>4</v>
      </c>
      <c r="Q2761">
        <f t="shared" si="84"/>
        <v>770026</v>
      </c>
      <c r="R2761">
        <f t="shared" si="85"/>
        <v>6.8828844740307478</v>
      </c>
      <c r="U2761">
        <v>85</v>
      </c>
      <c r="V2761">
        <v>0</v>
      </c>
      <c r="W2761">
        <v>182</v>
      </c>
      <c r="X2761">
        <v>111</v>
      </c>
      <c r="Y2761">
        <v>43.3</v>
      </c>
      <c r="Z2761">
        <v>19.100000000000001</v>
      </c>
      <c r="AA2761">
        <v>67.5</v>
      </c>
    </row>
    <row r="2762" spans="1:27" x14ac:dyDescent="0.25">
      <c r="A2762" t="s">
        <v>252</v>
      </c>
      <c r="B2762" t="s">
        <v>219</v>
      </c>
      <c r="C2762" s="76">
        <v>43944</v>
      </c>
      <c r="D2762">
        <v>846</v>
      </c>
      <c r="E2762">
        <v>89</v>
      </c>
      <c r="F2762">
        <v>1603</v>
      </c>
      <c r="G2762">
        <v>1354</v>
      </c>
      <c r="H2762">
        <v>38.4</v>
      </c>
      <c r="I2762">
        <v>29.4</v>
      </c>
      <c r="J2762">
        <v>47.5</v>
      </c>
      <c r="K2762">
        <v>72</v>
      </c>
      <c r="L2762">
        <v>0</v>
      </c>
      <c r="M2762">
        <v>174</v>
      </c>
      <c r="N2762">
        <v>3.3</v>
      </c>
      <c r="O2762">
        <v>0.4</v>
      </c>
      <c r="P2762">
        <v>6.1</v>
      </c>
      <c r="Q2762">
        <f t="shared" si="84"/>
        <v>770026</v>
      </c>
      <c r="R2762">
        <f t="shared" si="85"/>
        <v>9.350333625098374</v>
      </c>
      <c r="U2762">
        <v>79</v>
      </c>
      <c r="V2762">
        <v>0</v>
      </c>
      <c r="W2762">
        <v>176</v>
      </c>
      <c r="X2762">
        <v>197</v>
      </c>
      <c r="Y2762">
        <v>28.6</v>
      </c>
      <c r="Z2762">
        <v>18.600000000000001</v>
      </c>
      <c r="AA2762">
        <v>38.5</v>
      </c>
    </row>
    <row r="2763" spans="1:27" x14ac:dyDescent="0.25">
      <c r="A2763" t="s">
        <v>252</v>
      </c>
      <c r="B2763" t="s">
        <v>219</v>
      </c>
      <c r="C2763" s="76">
        <v>43945</v>
      </c>
      <c r="D2763">
        <v>785</v>
      </c>
      <c r="E2763">
        <v>126</v>
      </c>
      <c r="F2763">
        <v>1445</v>
      </c>
      <c r="G2763">
        <v>1427</v>
      </c>
      <c r="H2763">
        <v>35.5</v>
      </c>
      <c r="I2763">
        <v>26.6</v>
      </c>
      <c r="J2763">
        <v>44.4</v>
      </c>
      <c r="K2763">
        <v>82</v>
      </c>
      <c r="L2763">
        <v>0</v>
      </c>
      <c r="M2763">
        <v>176</v>
      </c>
      <c r="N2763">
        <v>3.7</v>
      </c>
      <c r="O2763">
        <v>1.9</v>
      </c>
      <c r="P2763">
        <v>5.6</v>
      </c>
      <c r="Q2763">
        <f t="shared" si="84"/>
        <v>770026</v>
      </c>
      <c r="R2763">
        <f t="shared" si="85"/>
        <v>10.648991073028704</v>
      </c>
      <c r="U2763">
        <v>92</v>
      </c>
      <c r="V2763">
        <v>0</v>
      </c>
      <c r="W2763">
        <v>200</v>
      </c>
      <c r="X2763">
        <v>184</v>
      </c>
      <c r="Y2763">
        <v>33.4</v>
      </c>
      <c r="Z2763">
        <v>25.1</v>
      </c>
      <c r="AA2763">
        <v>41.7</v>
      </c>
    </row>
    <row r="2764" spans="1:27" x14ac:dyDescent="0.25">
      <c r="A2764" t="s">
        <v>252</v>
      </c>
      <c r="B2764" t="s">
        <v>219</v>
      </c>
      <c r="C2764" s="76">
        <v>43946</v>
      </c>
      <c r="D2764">
        <v>767</v>
      </c>
      <c r="E2764">
        <v>130</v>
      </c>
      <c r="F2764">
        <v>1404</v>
      </c>
      <c r="G2764">
        <v>1446</v>
      </c>
      <c r="H2764">
        <v>34.700000000000003</v>
      </c>
      <c r="I2764">
        <v>25.3</v>
      </c>
      <c r="J2764">
        <v>44</v>
      </c>
      <c r="K2764">
        <v>71</v>
      </c>
      <c r="L2764">
        <v>0</v>
      </c>
      <c r="M2764">
        <v>155</v>
      </c>
      <c r="N2764">
        <v>3.2</v>
      </c>
      <c r="O2764">
        <v>1.5</v>
      </c>
      <c r="P2764">
        <v>4.9000000000000004</v>
      </c>
      <c r="Q2764">
        <f t="shared" si="84"/>
        <v>770026</v>
      </c>
      <c r="R2764">
        <f t="shared" si="85"/>
        <v>9.220467880305339</v>
      </c>
      <c r="U2764">
        <v>79</v>
      </c>
      <c r="V2764">
        <v>0</v>
      </c>
      <c r="W2764">
        <v>171</v>
      </c>
      <c r="X2764">
        <v>197</v>
      </c>
      <c r="Y2764">
        <v>28.6</v>
      </c>
      <c r="Z2764">
        <v>19.8</v>
      </c>
      <c r="AA2764">
        <v>37.4</v>
      </c>
    </row>
    <row r="2765" spans="1:27" x14ac:dyDescent="0.25">
      <c r="A2765" t="s">
        <v>252</v>
      </c>
      <c r="B2765" t="s">
        <v>219</v>
      </c>
      <c r="C2765" s="76">
        <v>43947</v>
      </c>
      <c r="D2765">
        <v>745</v>
      </c>
      <c r="E2765">
        <v>109</v>
      </c>
      <c r="F2765">
        <v>1382</v>
      </c>
      <c r="G2765">
        <v>1467</v>
      </c>
      <c r="H2765">
        <v>33.700000000000003</v>
      </c>
      <c r="I2765">
        <v>25.2</v>
      </c>
      <c r="J2765">
        <v>42.2</v>
      </c>
      <c r="K2765">
        <v>79</v>
      </c>
      <c r="L2765">
        <v>0</v>
      </c>
      <c r="M2765">
        <v>174</v>
      </c>
      <c r="N2765">
        <v>3.6</v>
      </c>
      <c r="O2765">
        <v>1.6</v>
      </c>
      <c r="P2765">
        <v>5.6</v>
      </c>
      <c r="Q2765">
        <f t="shared" si="84"/>
        <v>770026</v>
      </c>
      <c r="R2765">
        <f t="shared" si="85"/>
        <v>10.259393838649604</v>
      </c>
      <c r="U2765">
        <v>69</v>
      </c>
      <c r="V2765">
        <v>0</v>
      </c>
      <c r="W2765">
        <v>151</v>
      </c>
      <c r="X2765">
        <v>207</v>
      </c>
      <c r="Y2765">
        <v>24.8</v>
      </c>
      <c r="Z2765">
        <v>15.6</v>
      </c>
      <c r="AA2765">
        <v>34.1</v>
      </c>
    </row>
    <row r="2766" spans="1:27" x14ac:dyDescent="0.25">
      <c r="A2766" t="s">
        <v>252</v>
      </c>
      <c r="B2766" t="s">
        <v>219</v>
      </c>
      <c r="C2766" s="76">
        <v>43948</v>
      </c>
      <c r="D2766">
        <v>757</v>
      </c>
      <c r="E2766">
        <v>112</v>
      </c>
      <c r="F2766">
        <v>1403</v>
      </c>
      <c r="G2766">
        <v>1455</v>
      </c>
      <c r="H2766">
        <v>34.200000000000003</v>
      </c>
      <c r="I2766">
        <v>26.6</v>
      </c>
      <c r="J2766">
        <v>41.8</v>
      </c>
      <c r="K2766">
        <v>107</v>
      </c>
      <c r="L2766">
        <v>0</v>
      </c>
      <c r="M2766">
        <v>247</v>
      </c>
      <c r="N2766">
        <v>4.8</v>
      </c>
      <c r="O2766">
        <v>1.4</v>
      </c>
      <c r="P2766">
        <v>8.1999999999999993</v>
      </c>
      <c r="Q2766">
        <f t="shared" si="84"/>
        <v>770026</v>
      </c>
      <c r="R2766">
        <f t="shared" si="85"/>
        <v>13.895634692854527</v>
      </c>
      <c r="U2766">
        <v>78</v>
      </c>
      <c r="V2766">
        <v>0</v>
      </c>
      <c r="W2766">
        <v>169</v>
      </c>
      <c r="X2766">
        <v>198</v>
      </c>
      <c r="Y2766">
        <v>28.4</v>
      </c>
      <c r="Z2766">
        <v>22.7</v>
      </c>
      <c r="AA2766">
        <v>34.200000000000003</v>
      </c>
    </row>
    <row r="2767" spans="1:27" x14ac:dyDescent="0.25">
      <c r="A2767" t="s">
        <v>252</v>
      </c>
      <c r="B2767" t="s">
        <v>219</v>
      </c>
      <c r="C2767" s="76">
        <v>43949</v>
      </c>
      <c r="D2767">
        <v>841</v>
      </c>
      <c r="E2767">
        <v>149</v>
      </c>
      <c r="F2767">
        <v>1533</v>
      </c>
      <c r="G2767">
        <v>1443</v>
      </c>
      <c r="H2767">
        <v>36.799999999999997</v>
      </c>
      <c r="I2767">
        <v>26.7</v>
      </c>
      <c r="J2767">
        <v>46.9</v>
      </c>
      <c r="K2767">
        <v>92</v>
      </c>
      <c r="L2767">
        <v>0</v>
      </c>
      <c r="M2767">
        <v>224</v>
      </c>
      <c r="N2767">
        <v>4</v>
      </c>
      <c r="O2767">
        <v>0.3</v>
      </c>
      <c r="P2767">
        <v>7.7</v>
      </c>
      <c r="Q2767">
        <f t="shared" si="84"/>
        <v>770026</v>
      </c>
      <c r="R2767">
        <f t="shared" si="85"/>
        <v>11.947648520959033</v>
      </c>
      <c r="U2767">
        <v>84</v>
      </c>
      <c r="V2767">
        <v>0</v>
      </c>
      <c r="W2767">
        <v>180</v>
      </c>
      <c r="X2767">
        <v>200</v>
      </c>
      <c r="Y2767">
        <v>29.7</v>
      </c>
      <c r="Z2767">
        <v>21.9</v>
      </c>
      <c r="AA2767">
        <v>37.5</v>
      </c>
    </row>
    <row r="2768" spans="1:27" x14ac:dyDescent="0.25">
      <c r="A2768" t="s">
        <v>252</v>
      </c>
      <c r="B2768" t="s">
        <v>219</v>
      </c>
      <c r="C2768" s="76">
        <v>43950</v>
      </c>
      <c r="D2768">
        <v>859</v>
      </c>
      <c r="E2768">
        <v>147</v>
      </c>
      <c r="F2768">
        <v>1570</v>
      </c>
      <c r="G2768">
        <v>1413</v>
      </c>
      <c r="H2768">
        <v>37.799999999999997</v>
      </c>
      <c r="I2768">
        <v>29.2</v>
      </c>
      <c r="J2768">
        <v>46.4</v>
      </c>
      <c r="K2768">
        <v>113</v>
      </c>
      <c r="L2768">
        <v>0</v>
      </c>
      <c r="M2768">
        <v>288</v>
      </c>
      <c r="N2768">
        <v>5</v>
      </c>
      <c r="O2768">
        <v>0</v>
      </c>
      <c r="P2768">
        <v>10.5</v>
      </c>
      <c r="Q2768">
        <f t="shared" si="84"/>
        <v>770026</v>
      </c>
      <c r="R2768">
        <f t="shared" si="85"/>
        <v>14.674829161612726</v>
      </c>
      <c r="U2768">
        <v>87</v>
      </c>
      <c r="V2768">
        <v>0</v>
      </c>
      <c r="W2768">
        <v>194</v>
      </c>
      <c r="X2768">
        <v>189</v>
      </c>
      <c r="Y2768">
        <v>31.7</v>
      </c>
      <c r="Z2768">
        <v>18.899999999999999</v>
      </c>
      <c r="AA2768">
        <v>44.4</v>
      </c>
    </row>
    <row r="2769" spans="1:27" x14ac:dyDescent="0.25">
      <c r="A2769" t="s">
        <v>252</v>
      </c>
      <c r="B2769" t="s">
        <v>219</v>
      </c>
      <c r="C2769" s="76">
        <v>43951</v>
      </c>
      <c r="D2769">
        <v>853</v>
      </c>
      <c r="E2769">
        <v>115</v>
      </c>
      <c r="F2769">
        <v>1591</v>
      </c>
      <c r="G2769">
        <v>1452</v>
      </c>
      <c r="H2769">
        <v>37</v>
      </c>
      <c r="I2769">
        <v>27.4</v>
      </c>
      <c r="J2769">
        <v>46.7</v>
      </c>
      <c r="K2769">
        <v>107</v>
      </c>
      <c r="L2769">
        <v>0</v>
      </c>
      <c r="M2769">
        <v>263</v>
      </c>
      <c r="N2769">
        <v>4.5999999999999996</v>
      </c>
      <c r="O2769">
        <v>0.2</v>
      </c>
      <c r="P2769">
        <v>9.1</v>
      </c>
      <c r="Q2769">
        <f t="shared" si="84"/>
        <v>770026</v>
      </c>
      <c r="R2769">
        <f t="shared" si="85"/>
        <v>13.895634692854527</v>
      </c>
      <c r="U2769">
        <v>72</v>
      </c>
      <c r="V2769">
        <v>0</v>
      </c>
      <c r="W2769">
        <v>161</v>
      </c>
      <c r="X2769">
        <v>212</v>
      </c>
      <c r="Y2769">
        <v>25.3</v>
      </c>
      <c r="Z2769">
        <v>14.2</v>
      </c>
      <c r="AA2769">
        <v>36.299999999999997</v>
      </c>
    </row>
    <row r="2770" spans="1:27" x14ac:dyDescent="0.25">
      <c r="A2770" t="s">
        <v>252</v>
      </c>
      <c r="B2770" t="s">
        <v>219</v>
      </c>
      <c r="C2770" s="76">
        <v>43952</v>
      </c>
      <c r="D2770">
        <v>795</v>
      </c>
      <c r="E2770">
        <v>142</v>
      </c>
      <c r="F2770">
        <v>1448</v>
      </c>
      <c r="G2770">
        <v>1510</v>
      </c>
      <c r="H2770">
        <v>34.5</v>
      </c>
      <c r="I2770">
        <v>26.4</v>
      </c>
      <c r="J2770">
        <v>42.6</v>
      </c>
      <c r="K2770">
        <v>81</v>
      </c>
      <c r="L2770">
        <v>0</v>
      </c>
      <c r="M2770">
        <v>197</v>
      </c>
      <c r="N2770">
        <v>3.5</v>
      </c>
      <c r="O2770">
        <v>0.3</v>
      </c>
      <c r="P2770">
        <v>6.7</v>
      </c>
      <c r="Q2770">
        <f t="shared" si="84"/>
        <v>770026</v>
      </c>
      <c r="R2770">
        <f t="shared" si="85"/>
        <v>10.519125328235669</v>
      </c>
      <c r="U2770">
        <v>84</v>
      </c>
      <c r="V2770">
        <v>0</v>
      </c>
      <c r="W2770">
        <v>176</v>
      </c>
      <c r="X2770">
        <v>200</v>
      </c>
      <c r="Y2770">
        <v>29.4</v>
      </c>
      <c r="Z2770">
        <v>19.100000000000001</v>
      </c>
      <c r="AA2770">
        <v>39.799999999999997</v>
      </c>
    </row>
    <row r="2771" spans="1:27" x14ac:dyDescent="0.25">
      <c r="A2771" t="s">
        <v>252</v>
      </c>
      <c r="B2771" t="s">
        <v>219</v>
      </c>
      <c r="C2771" s="76">
        <v>43953</v>
      </c>
      <c r="D2771">
        <v>792</v>
      </c>
      <c r="E2771">
        <v>164</v>
      </c>
      <c r="F2771">
        <v>1420</v>
      </c>
      <c r="G2771">
        <v>1490</v>
      </c>
      <c r="H2771">
        <v>34.700000000000003</v>
      </c>
      <c r="I2771">
        <v>27.4</v>
      </c>
      <c r="J2771">
        <v>42</v>
      </c>
      <c r="K2771">
        <v>62</v>
      </c>
      <c r="L2771">
        <v>0</v>
      </c>
      <c r="M2771">
        <v>150</v>
      </c>
      <c r="N2771">
        <v>2.7</v>
      </c>
      <c r="O2771">
        <v>0.2</v>
      </c>
      <c r="P2771">
        <v>5.2</v>
      </c>
      <c r="Q2771">
        <f t="shared" si="84"/>
        <v>770026</v>
      </c>
      <c r="R2771">
        <f t="shared" si="85"/>
        <v>8.0516761771680425</v>
      </c>
      <c r="U2771">
        <v>82</v>
      </c>
      <c r="V2771">
        <v>0</v>
      </c>
      <c r="W2771">
        <v>175</v>
      </c>
      <c r="X2771">
        <v>194</v>
      </c>
      <c r="Y2771">
        <v>29.7</v>
      </c>
      <c r="Z2771">
        <v>19</v>
      </c>
      <c r="AA2771">
        <v>40.5</v>
      </c>
    </row>
    <row r="2772" spans="1:27" x14ac:dyDescent="0.25">
      <c r="A2772" t="s">
        <v>252</v>
      </c>
      <c r="B2772" t="s">
        <v>219</v>
      </c>
      <c r="C2772" s="76">
        <v>43954</v>
      </c>
      <c r="D2772">
        <v>818</v>
      </c>
      <c r="E2772">
        <v>151</v>
      </c>
      <c r="F2772">
        <v>1485</v>
      </c>
      <c r="G2772">
        <v>1464</v>
      </c>
      <c r="H2772">
        <v>35.9</v>
      </c>
      <c r="I2772">
        <v>24.8</v>
      </c>
      <c r="J2772">
        <v>46.9</v>
      </c>
      <c r="K2772">
        <v>86</v>
      </c>
      <c r="L2772">
        <v>0</v>
      </c>
      <c r="M2772">
        <v>195</v>
      </c>
      <c r="N2772">
        <v>3.8</v>
      </c>
      <c r="O2772">
        <v>1.3</v>
      </c>
      <c r="P2772">
        <v>6.2</v>
      </c>
      <c r="Q2772">
        <f t="shared" si="84"/>
        <v>770026</v>
      </c>
      <c r="R2772">
        <f t="shared" si="85"/>
        <v>11.168454052200834</v>
      </c>
      <c r="U2772">
        <v>82</v>
      </c>
      <c r="V2772">
        <v>0</v>
      </c>
      <c r="W2772">
        <v>180</v>
      </c>
      <c r="X2772">
        <v>195</v>
      </c>
      <c r="Y2772">
        <v>29.6</v>
      </c>
      <c r="Z2772">
        <v>22.8</v>
      </c>
      <c r="AA2772">
        <v>36.4</v>
      </c>
    </row>
    <row r="2773" spans="1:27" x14ac:dyDescent="0.25">
      <c r="A2773" t="s">
        <v>252</v>
      </c>
      <c r="B2773" t="s">
        <v>219</v>
      </c>
      <c r="C2773" s="76">
        <v>43955</v>
      </c>
      <c r="D2773">
        <v>853</v>
      </c>
      <c r="E2773">
        <v>134</v>
      </c>
      <c r="F2773">
        <v>1573</v>
      </c>
      <c r="G2773">
        <v>1429</v>
      </c>
      <c r="H2773">
        <v>37.4</v>
      </c>
      <c r="I2773">
        <v>26.5</v>
      </c>
      <c r="J2773">
        <v>48.3</v>
      </c>
      <c r="K2773">
        <v>83</v>
      </c>
      <c r="L2773">
        <v>0</v>
      </c>
      <c r="M2773">
        <v>193</v>
      </c>
      <c r="N2773">
        <v>3.6</v>
      </c>
      <c r="O2773">
        <v>1.1000000000000001</v>
      </c>
      <c r="P2773">
        <v>6.2</v>
      </c>
      <c r="Q2773">
        <f t="shared" si="84"/>
        <v>770026</v>
      </c>
      <c r="R2773">
        <f t="shared" si="85"/>
        <v>10.778856817821735</v>
      </c>
      <c r="U2773">
        <v>92</v>
      </c>
      <c r="V2773">
        <v>0</v>
      </c>
      <c r="W2773">
        <v>207</v>
      </c>
      <c r="X2773">
        <v>184</v>
      </c>
      <c r="Y2773">
        <v>33.299999999999997</v>
      </c>
      <c r="Z2773">
        <v>19.8</v>
      </c>
      <c r="AA2773">
        <v>46.8</v>
      </c>
    </row>
    <row r="2774" spans="1:27" x14ac:dyDescent="0.25">
      <c r="A2774" t="s">
        <v>252</v>
      </c>
      <c r="B2774" t="s">
        <v>219</v>
      </c>
      <c r="C2774" s="76">
        <v>43956</v>
      </c>
      <c r="D2774">
        <v>911</v>
      </c>
      <c r="E2774">
        <v>161</v>
      </c>
      <c r="F2774">
        <v>1660</v>
      </c>
      <c r="G2774">
        <v>1372</v>
      </c>
      <c r="H2774">
        <v>39.9</v>
      </c>
      <c r="I2774">
        <v>30.8</v>
      </c>
      <c r="J2774">
        <v>49</v>
      </c>
      <c r="K2774">
        <v>125</v>
      </c>
      <c r="L2774">
        <v>0</v>
      </c>
      <c r="M2774">
        <v>299</v>
      </c>
      <c r="N2774">
        <v>5.5</v>
      </c>
      <c r="O2774">
        <v>0.9</v>
      </c>
      <c r="P2774">
        <v>10</v>
      </c>
      <c r="Q2774">
        <f t="shared" si="84"/>
        <v>770026</v>
      </c>
      <c r="R2774">
        <f t="shared" si="85"/>
        <v>16.233218099129122</v>
      </c>
      <c r="U2774">
        <v>93</v>
      </c>
      <c r="V2774">
        <v>0</v>
      </c>
      <c r="W2774">
        <v>213</v>
      </c>
      <c r="X2774">
        <v>185</v>
      </c>
      <c r="Y2774">
        <v>33.5</v>
      </c>
      <c r="Z2774">
        <v>19.3</v>
      </c>
      <c r="AA2774">
        <v>47.7</v>
      </c>
    </row>
    <row r="2775" spans="1:27" x14ac:dyDescent="0.25">
      <c r="A2775" t="s">
        <v>252</v>
      </c>
      <c r="B2775" t="s">
        <v>219</v>
      </c>
      <c r="C2775" s="76">
        <v>43957</v>
      </c>
      <c r="D2775">
        <v>980</v>
      </c>
      <c r="E2775">
        <v>187</v>
      </c>
      <c r="F2775">
        <v>1773</v>
      </c>
      <c r="G2775">
        <v>1303</v>
      </c>
      <c r="H2775">
        <v>42.9</v>
      </c>
      <c r="I2775">
        <v>36.1</v>
      </c>
      <c r="J2775">
        <v>49.7</v>
      </c>
      <c r="K2775">
        <v>146</v>
      </c>
      <c r="L2775">
        <v>0</v>
      </c>
      <c r="M2775">
        <v>356</v>
      </c>
      <c r="N2775">
        <v>6.4</v>
      </c>
      <c r="O2775">
        <v>0.7</v>
      </c>
      <c r="P2775">
        <v>12.1</v>
      </c>
      <c r="Q2775">
        <f t="shared" si="84"/>
        <v>770026</v>
      </c>
      <c r="R2775">
        <f t="shared" si="85"/>
        <v>18.960398739782814</v>
      </c>
      <c r="U2775">
        <v>87</v>
      </c>
      <c r="V2775">
        <v>0</v>
      </c>
      <c r="W2775">
        <v>199</v>
      </c>
      <c r="X2775">
        <v>192</v>
      </c>
      <c r="Y2775">
        <v>31.1</v>
      </c>
      <c r="Z2775">
        <v>16.3</v>
      </c>
      <c r="AA2775">
        <v>45.9</v>
      </c>
    </row>
    <row r="2776" spans="1:27" x14ac:dyDescent="0.25">
      <c r="A2776" t="s">
        <v>252</v>
      </c>
      <c r="B2776" t="s">
        <v>219</v>
      </c>
      <c r="C2776" s="76">
        <v>43958</v>
      </c>
      <c r="D2776">
        <v>1025</v>
      </c>
      <c r="E2776">
        <v>175</v>
      </c>
      <c r="F2776">
        <v>1875</v>
      </c>
      <c r="G2776">
        <v>1268</v>
      </c>
      <c r="H2776">
        <v>44.7</v>
      </c>
      <c r="I2776">
        <v>34.5</v>
      </c>
      <c r="J2776">
        <v>55</v>
      </c>
      <c r="K2776">
        <v>107</v>
      </c>
      <c r="L2776">
        <v>0</v>
      </c>
      <c r="M2776">
        <v>257</v>
      </c>
      <c r="N2776">
        <v>4.7</v>
      </c>
      <c r="O2776">
        <v>0.8</v>
      </c>
      <c r="P2776">
        <v>8.5</v>
      </c>
      <c r="Q2776">
        <f t="shared" si="84"/>
        <v>770026</v>
      </c>
      <c r="R2776">
        <f t="shared" si="85"/>
        <v>13.895634692854527</v>
      </c>
      <c r="U2776">
        <v>82</v>
      </c>
      <c r="V2776">
        <v>0</v>
      </c>
      <c r="W2776">
        <v>195</v>
      </c>
      <c r="X2776">
        <v>196</v>
      </c>
      <c r="Y2776">
        <v>29.6</v>
      </c>
      <c r="Z2776">
        <v>8.4</v>
      </c>
      <c r="AA2776">
        <v>50.7</v>
      </c>
    </row>
    <row r="2777" spans="1:27" x14ac:dyDescent="0.25">
      <c r="A2777" t="s">
        <v>252</v>
      </c>
      <c r="B2777" t="s">
        <v>219</v>
      </c>
      <c r="C2777" s="76">
        <v>43959</v>
      </c>
      <c r="D2777">
        <v>946</v>
      </c>
      <c r="E2777">
        <v>140</v>
      </c>
      <c r="F2777">
        <v>1751</v>
      </c>
      <c r="G2777">
        <v>1347</v>
      </c>
      <c r="H2777">
        <v>41.2</v>
      </c>
      <c r="I2777">
        <v>31.5</v>
      </c>
      <c r="J2777">
        <v>51</v>
      </c>
      <c r="K2777">
        <v>95</v>
      </c>
      <c r="L2777">
        <v>0</v>
      </c>
      <c r="M2777">
        <v>226</v>
      </c>
      <c r="N2777">
        <v>4.0999999999999996</v>
      </c>
      <c r="O2777">
        <v>1</v>
      </c>
      <c r="P2777">
        <v>7.3</v>
      </c>
      <c r="Q2777">
        <f t="shared" si="84"/>
        <v>770026</v>
      </c>
      <c r="R2777">
        <f t="shared" si="85"/>
        <v>12.337245755338131</v>
      </c>
      <c r="U2777">
        <v>78</v>
      </c>
      <c r="V2777">
        <v>0</v>
      </c>
      <c r="W2777">
        <v>185</v>
      </c>
      <c r="X2777">
        <v>201</v>
      </c>
      <c r="Y2777">
        <v>28</v>
      </c>
      <c r="Z2777">
        <v>8.3000000000000007</v>
      </c>
      <c r="AA2777">
        <v>47.6</v>
      </c>
    </row>
    <row r="2778" spans="1:27" x14ac:dyDescent="0.25">
      <c r="A2778" t="s">
        <v>252</v>
      </c>
      <c r="B2778" t="s">
        <v>219</v>
      </c>
      <c r="C2778" s="76">
        <v>43960</v>
      </c>
      <c r="D2778">
        <v>956</v>
      </c>
      <c r="E2778">
        <v>125</v>
      </c>
      <c r="F2778">
        <v>1788</v>
      </c>
      <c r="G2778">
        <v>1326</v>
      </c>
      <c r="H2778">
        <v>41.9</v>
      </c>
      <c r="I2778">
        <v>31.1</v>
      </c>
      <c r="J2778">
        <v>52.7</v>
      </c>
      <c r="K2778">
        <v>65</v>
      </c>
      <c r="L2778">
        <v>0</v>
      </c>
      <c r="M2778">
        <v>168</v>
      </c>
      <c r="N2778">
        <v>2.8</v>
      </c>
      <c r="O2778">
        <v>0</v>
      </c>
      <c r="P2778">
        <v>6.1</v>
      </c>
      <c r="Q2778">
        <f t="shared" si="84"/>
        <v>770026</v>
      </c>
      <c r="R2778">
        <f t="shared" si="85"/>
        <v>8.4412734115471419</v>
      </c>
      <c r="U2778">
        <v>90</v>
      </c>
      <c r="V2778">
        <v>0</v>
      </c>
      <c r="W2778">
        <v>224</v>
      </c>
      <c r="X2778">
        <v>189</v>
      </c>
      <c r="Y2778">
        <v>32.200000000000003</v>
      </c>
      <c r="Z2778">
        <v>6.1</v>
      </c>
      <c r="AA2778">
        <v>58.4</v>
      </c>
    </row>
    <row r="2779" spans="1:27" x14ac:dyDescent="0.25">
      <c r="A2779" t="s">
        <v>252</v>
      </c>
      <c r="B2779" t="s">
        <v>219</v>
      </c>
      <c r="C2779" s="76">
        <v>43961</v>
      </c>
      <c r="D2779">
        <v>929</v>
      </c>
      <c r="E2779">
        <v>122</v>
      </c>
      <c r="F2779">
        <v>1735</v>
      </c>
      <c r="G2779">
        <v>1376</v>
      </c>
      <c r="H2779">
        <v>40.299999999999997</v>
      </c>
      <c r="I2779">
        <v>28.3</v>
      </c>
      <c r="J2779">
        <v>52.3</v>
      </c>
      <c r="K2779">
        <v>51</v>
      </c>
      <c r="L2779">
        <v>0</v>
      </c>
      <c r="M2779">
        <v>126</v>
      </c>
      <c r="N2779">
        <v>2.2000000000000002</v>
      </c>
      <c r="O2779">
        <v>0.1</v>
      </c>
      <c r="P2779">
        <v>4.4000000000000004</v>
      </c>
      <c r="Q2779">
        <f t="shared" si="84"/>
        <v>770026</v>
      </c>
      <c r="R2779">
        <f t="shared" si="85"/>
        <v>6.6231529844446815</v>
      </c>
      <c r="U2779">
        <v>92</v>
      </c>
      <c r="V2779">
        <v>0</v>
      </c>
      <c r="W2779">
        <v>218</v>
      </c>
      <c r="X2779">
        <v>187</v>
      </c>
      <c r="Y2779">
        <v>33</v>
      </c>
      <c r="Z2779">
        <v>12.2</v>
      </c>
      <c r="AA2779">
        <v>53.8</v>
      </c>
    </row>
    <row r="2780" spans="1:27" x14ac:dyDescent="0.25">
      <c r="A2780" t="s">
        <v>252</v>
      </c>
      <c r="B2780" t="s">
        <v>219</v>
      </c>
      <c r="C2780" s="76">
        <v>43962</v>
      </c>
      <c r="D2780">
        <v>890</v>
      </c>
      <c r="E2780">
        <v>128</v>
      </c>
      <c r="F2780">
        <v>1652</v>
      </c>
      <c r="G2780">
        <v>1393</v>
      </c>
      <c r="H2780">
        <v>39</v>
      </c>
      <c r="I2780">
        <v>27.7</v>
      </c>
      <c r="J2780">
        <v>50.2</v>
      </c>
      <c r="K2780">
        <v>56</v>
      </c>
      <c r="L2780">
        <v>0</v>
      </c>
      <c r="M2780">
        <v>133</v>
      </c>
      <c r="N2780">
        <v>2.5</v>
      </c>
      <c r="O2780">
        <v>0.5</v>
      </c>
      <c r="P2780">
        <v>4.4000000000000004</v>
      </c>
      <c r="Q2780">
        <f t="shared" si="84"/>
        <v>770026</v>
      </c>
      <c r="R2780">
        <f t="shared" si="85"/>
        <v>7.2724817084098463</v>
      </c>
      <c r="U2780">
        <v>87</v>
      </c>
      <c r="V2780">
        <v>0</v>
      </c>
      <c r="W2780">
        <v>205</v>
      </c>
      <c r="X2780">
        <v>192</v>
      </c>
      <c r="Y2780">
        <v>31.1</v>
      </c>
      <c r="Z2780">
        <v>10.7</v>
      </c>
      <c r="AA2780">
        <v>51.6</v>
      </c>
    </row>
    <row r="2781" spans="1:27" x14ac:dyDescent="0.25">
      <c r="A2781" t="s">
        <v>252</v>
      </c>
      <c r="B2781" t="s">
        <v>219</v>
      </c>
      <c r="C2781" s="76">
        <v>43963</v>
      </c>
      <c r="D2781">
        <v>889</v>
      </c>
      <c r="E2781">
        <v>114</v>
      </c>
      <c r="F2781">
        <v>1663</v>
      </c>
      <c r="G2781">
        <v>1219</v>
      </c>
      <c r="H2781">
        <v>42.2</v>
      </c>
      <c r="I2781">
        <v>30</v>
      </c>
      <c r="J2781">
        <v>54.3</v>
      </c>
      <c r="K2781">
        <v>29</v>
      </c>
      <c r="L2781">
        <v>0</v>
      </c>
      <c r="M2781">
        <v>62</v>
      </c>
      <c r="N2781">
        <v>1.4</v>
      </c>
      <c r="O2781">
        <v>0.5</v>
      </c>
      <c r="P2781">
        <v>2.2000000000000002</v>
      </c>
      <c r="Q2781">
        <f t="shared" si="84"/>
        <v>770026</v>
      </c>
      <c r="R2781">
        <f t="shared" si="85"/>
        <v>3.7661065989979559</v>
      </c>
      <c r="U2781">
        <v>72</v>
      </c>
      <c r="V2781">
        <v>0</v>
      </c>
      <c r="W2781">
        <v>162</v>
      </c>
      <c r="X2781">
        <v>167</v>
      </c>
      <c r="Y2781">
        <v>30.1</v>
      </c>
      <c r="Z2781">
        <v>15.9</v>
      </c>
      <c r="AA2781">
        <v>44.3</v>
      </c>
    </row>
    <row r="2782" spans="1:27" x14ac:dyDescent="0.25">
      <c r="A2782" t="s">
        <v>252</v>
      </c>
      <c r="B2782" t="s">
        <v>219</v>
      </c>
      <c r="C2782" s="76">
        <v>43964</v>
      </c>
      <c r="D2782">
        <v>1041</v>
      </c>
      <c r="E2782">
        <v>165</v>
      </c>
      <c r="F2782">
        <v>1917</v>
      </c>
      <c r="G2782">
        <v>1241</v>
      </c>
      <c r="H2782">
        <v>45.6</v>
      </c>
      <c r="I2782">
        <v>34.4</v>
      </c>
      <c r="J2782">
        <v>56.8</v>
      </c>
      <c r="K2782">
        <v>53</v>
      </c>
      <c r="L2782">
        <v>0</v>
      </c>
      <c r="M2782">
        <v>110</v>
      </c>
      <c r="N2782">
        <v>2.2999999999999998</v>
      </c>
      <c r="O2782">
        <v>1.3</v>
      </c>
      <c r="P2782">
        <v>3.4</v>
      </c>
      <c r="Q2782">
        <f t="shared" si="84"/>
        <v>770026</v>
      </c>
      <c r="R2782">
        <f t="shared" si="85"/>
        <v>6.8828844740307478</v>
      </c>
      <c r="U2782">
        <v>96</v>
      </c>
      <c r="V2782">
        <v>0</v>
      </c>
      <c r="W2782">
        <v>204</v>
      </c>
      <c r="X2782">
        <v>183</v>
      </c>
      <c r="Y2782">
        <v>34.4</v>
      </c>
      <c r="Z2782">
        <v>25.1</v>
      </c>
      <c r="AA2782">
        <v>43.7</v>
      </c>
    </row>
    <row r="2783" spans="1:27" x14ac:dyDescent="0.25">
      <c r="A2783" t="s">
        <v>252</v>
      </c>
      <c r="B2783" t="s">
        <v>219</v>
      </c>
      <c r="C2783" s="76">
        <v>43965</v>
      </c>
      <c r="D2783">
        <v>1008</v>
      </c>
      <c r="E2783">
        <v>155</v>
      </c>
      <c r="F2783">
        <v>1862</v>
      </c>
      <c r="G2783">
        <v>1273</v>
      </c>
      <c r="H2783">
        <v>44.2</v>
      </c>
      <c r="I2783">
        <v>33.200000000000003</v>
      </c>
      <c r="J2783">
        <v>55.2</v>
      </c>
      <c r="K2783">
        <v>78</v>
      </c>
      <c r="L2783">
        <v>0</v>
      </c>
      <c r="M2783">
        <v>176</v>
      </c>
      <c r="N2783">
        <v>3.4</v>
      </c>
      <c r="O2783">
        <v>1.1000000000000001</v>
      </c>
      <c r="P2783">
        <v>5.7</v>
      </c>
      <c r="Q2783">
        <f t="shared" si="84"/>
        <v>770026</v>
      </c>
      <c r="R2783">
        <f t="shared" si="85"/>
        <v>10.129528093856571</v>
      </c>
      <c r="U2783">
        <v>80</v>
      </c>
      <c r="V2783">
        <v>0</v>
      </c>
      <c r="W2783">
        <v>174</v>
      </c>
      <c r="X2783">
        <v>197</v>
      </c>
      <c r="Y2783">
        <v>28.8</v>
      </c>
      <c r="Z2783">
        <v>16.3</v>
      </c>
      <c r="AA2783">
        <v>41.3</v>
      </c>
    </row>
    <row r="2784" spans="1:27" x14ac:dyDescent="0.25">
      <c r="A2784" t="s">
        <v>252</v>
      </c>
      <c r="B2784" t="s">
        <v>219</v>
      </c>
      <c r="C2784" s="76">
        <v>43966</v>
      </c>
      <c r="D2784">
        <v>1030</v>
      </c>
      <c r="E2784">
        <v>114</v>
      </c>
      <c r="F2784">
        <v>1947</v>
      </c>
      <c r="G2784">
        <v>1252</v>
      </c>
      <c r="H2784">
        <v>45.1</v>
      </c>
      <c r="I2784">
        <v>32.799999999999997</v>
      </c>
      <c r="J2784">
        <v>57.5</v>
      </c>
      <c r="K2784">
        <v>48</v>
      </c>
      <c r="L2784">
        <v>0</v>
      </c>
      <c r="M2784">
        <v>107</v>
      </c>
      <c r="N2784">
        <v>2.1</v>
      </c>
      <c r="O2784">
        <v>0.9</v>
      </c>
      <c r="P2784">
        <v>3.3</v>
      </c>
      <c r="Q2784">
        <f t="shared" si="84"/>
        <v>770026</v>
      </c>
      <c r="R2784">
        <f t="shared" si="85"/>
        <v>6.233555750065582</v>
      </c>
      <c r="U2784">
        <v>70</v>
      </c>
      <c r="V2784">
        <v>0</v>
      </c>
      <c r="W2784">
        <v>150</v>
      </c>
      <c r="X2784">
        <v>206</v>
      </c>
      <c r="Y2784">
        <v>25.4</v>
      </c>
      <c r="Z2784">
        <v>15.8</v>
      </c>
      <c r="AA2784">
        <v>35.1</v>
      </c>
    </row>
    <row r="2785" spans="1:27" x14ac:dyDescent="0.25">
      <c r="A2785" t="s">
        <v>252</v>
      </c>
      <c r="B2785" t="s">
        <v>219</v>
      </c>
      <c r="C2785" s="76">
        <v>43967</v>
      </c>
      <c r="D2785">
        <v>836</v>
      </c>
      <c r="E2785">
        <v>36</v>
      </c>
      <c r="F2785">
        <v>1635</v>
      </c>
      <c r="G2785">
        <v>1089</v>
      </c>
      <c r="H2785">
        <v>43.4</v>
      </c>
      <c r="I2785">
        <v>28.4</v>
      </c>
      <c r="J2785">
        <v>58.4</v>
      </c>
      <c r="K2785">
        <v>45</v>
      </c>
      <c r="L2785">
        <v>0</v>
      </c>
      <c r="M2785">
        <v>102</v>
      </c>
      <c r="N2785">
        <v>2.2999999999999998</v>
      </c>
      <c r="O2785">
        <v>0.7</v>
      </c>
      <c r="P2785">
        <v>4</v>
      </c>
      <c r="Q2785">
        <f t="shared" si="84"/>
        <v>770026</v>
      </c>
      <c r="R2785">
        <f t="shared" si="85"/>
        <v>5.8439585156864835</v>
      </c>
      <c r="U2785">
        <v>39</v>
      </c>
      <c r="V2785">
        <v>0</v>
      </c>
      <c r="W2785">
        <v>96</v>
      </c>
      <c r="X2785">
        <v>238</v>
      </c>
      <c r="Y2785">
        <v>14</v>
      </c>
      <c r="Z2785">
        <v>0</v>
      </c>
      <c r="AA2785">
        <v>29.9</v>
      </c>
    </row>
    <row r="2786" spans="1:27" x14ac:dyDescent="0.25">
      <c r="A2786" t="s">
        <v>252</v>
      </c>
      <c r="B2786" t="s">
        <v>219</v>
      </c>
      <c r="C2786" s="76">
        <v>43968</v>
      </c>
      <c r="D2786">
        <v>965</v>
      </c>
      <c r="E2786">
        <v>114</v>
      </c>
      <c r="F2786">
        <v>1816</v>
      </c>
      <c r="G2786">
        <v>1317</v>
      </c>
      <c r="H2786">
        <v>42.3</v>
      </c>
      <c r="I2786">
        <v>30.6</v>
      </c>
      <c r="J2786">
        <v>54</v>
      </c>
      <c r="K2786">
        <v>42</v>
      </c>
      <c r="L2786">
        <v>0</v>
      </c>
      <c r="M2786">
        <v>93</v>
      </c>
      <c r="N2786">
        <v>1.8</v>
      </c>
      <c r="O2786">
        <v>0.8</v>
      </c>
      <c r="P2786">
        <v>2.9</v>
      </c>
      <c r="Q2786">
        <f t="shared" si="84"/>
        <v>770026</v>
      </c>
      <c r="R2786">
        <f t="shared" si="85"/>
        <v>5.4543612813073841</v>
      </c>
      <c r="U2786">
        <v>84</v>
      </c>
      <c r="V2786">
        <v>0</v>
      </c>
      <c r="W2786">
        <v>184</v>
      </c>
      <c r="X2786">
        <v>192</v>
      </c>
      <c r="Y2786">
        <v>30.6</v>
      </c>
      <c r="Z2786">
        <v>21.8</v>
      </c>
      <c r="AA2786">
        <v>39.299999999999997</v>
      </c>
    </row>
    <row r="2787" spans="1:27" x14ac:dyDescent="0.25">
      <c r="A2787" t="s">
        <v>252</v>
      </c>
      <c r="B2787" t="s">
        <v>219</v>
      </c>
      <c r="C2787" s="76">
        <v>43969</v>
      </c>
      <c r="D2787">
        <v>904</v>
      </c>
      <c r="E2787">
        <v>102</v>
      </c>
      <c r="F2787">
        <v>1706</v>
      </c>
      <c r="G2787">
        <v>1378</v>
      </c>
      <c r="H2787">
        <v>39.6</v>
      </c>
      <c r="I2787">
        <v>29.3</v>
      </c>
      <c r="J2787">
        <v>49.9</v>
      </c>
      <c r="K2787">
        <v>54</v>
      </c>
      <c r="L2787">
        <v>0</v>
      </c>
      <c r="M2787">
        <v>124</v>
      </c>
      <c r="N2787">
        <v>2.4</v>
      </c>
      <c r="O2787">
        <v>0.7</v>
      </c>
      <c r="P2787">
        <v>4</v>
      </c>
      <c r="Q2787">
        <f t="shared" si="84"/>
        <v>770026</v>
      </c>
      <c r="R2787">
        <f t="shared" si="85"/>
        <v>7.01275021882378</v>
      </c>
      <c r="U2787">
        <v>89</v>
      </c>
      <c r="V2787">
        <v>0</v>
      </c>
      <c r="W2787">
        <v>194</v>
      </c>
      <c r="X2787">
        <v>187</v>
      </c>
      <c r="Y2787">
        <v>32.299999999999997</v>
      </c>
      <c r="Z2787">
        <v>21.9</v>
      </c>
      <c r="AA2787">
        <v>42.8</v>
      </c>
    </row>
    <row r="2788" spans="1:27" x14ac:dyDescent="0.25">
      <c r="A2788" t="s">
        <v>252</v>
      </c>
      <c r="B2788" t="s">
        <v>219</v>
      </c>
      <c r="C2788" s="76">
        <v>43970</v>
      </c>
      <c r="D2788">
        <v>1025</v>
      </c>
      <c r="E2788">
        <v>119</v>
      </c>
      <c r="F2788">
        <v>1931</v>
      </c>
      <c r="G2788">
        <v>1257</v>
      </c>
      <c r="H2788">
        <v>44.9</v>
      </c>
      <c r="I2788">
        <v>33.6</v>
      </c>
      <c r="J2788">
        <v>56.2</v>
      </c>
      <c r="K2788">
        <v>66</v>
      </c>
      <c r="L2788">
        <v>0</v>
      </c>
      <c r="M2788">
        <v>151</v>
      </c>
      <c r="N2788">
        <v>2.9</v>
      </c>
      <c r="O2788">
        <v>0.7</v>
      </c>
      <c r="P2788">
        <v>5.0999999999999996</v>
      </c>
      <c r="Q2788">
        <f t="shared" si="84"/>
        <v>770026</v>
      </c>
      <c r="R2788">
        <f t="shared" si="85"/>
        <v>8.5711391563401751</v>
      </c>
      <c r="U2788">
        <v>95</v>
      </c>
      <c r="V2788">
        <v>0</v>
      </c>
      <c r="W2788">
        <v>207</v>
      </c>
      <c r="X2788">
        <v>181</v>
      </c>
      <c r="Y2788">
        <v>34.5</v>
      </c>
      <c r="Z2788">
        <v>26.4</v>
      </c>
      <c r="AA2788">
        <v>42.6</v>
      </c>
    </row>
    <row r="2789" spans="1:27" x14ac:dyDescent="0.25">
      <c r="A2789" t="s">
        <v>252</v>
      </c>
      <c r="B2789" t="s">
        <v>219</v>
      </c>
      <c r="C2789" s="76">
        <v>43971</v>
      </c>
      <c r="D2789">
        <v>943</v>
      </c>
      <c r="E2789">
        <v>150</v>
      </c>
      <c r="F2789">
        <v>1736</v>
      </c>
      <c r="G2789">
        <v>1314</v>
      </c>
      <c r="H2789">
        <v>41.8</v>
      </c>
      <c r="I2789">
        <v>30.3</v>
      </c>
      <c r="J2789">
        <v>53.3</v>
      </c>
      <c r="K2789">
        <v>54</v>
      </c>
      <c r="L2789">
        <v>0</v>
      </c>
      <c r="M2789">
        <v>122</v>
      </c>
      <c r="N2789">
        <v>2.4</v>
      </c>
      <c r="O2789">
        <v>0.4</v>
      </c>
      <c r="P2789">
        <v>4.3</v>
      </c>
      <c r="Q2789">
        <f t="shared" si="84"/>
        <v>770026</v>
      </c>
      <c r="R2789">
        <f t="shared" si="85"/>
        <v>7.01275021882378</v>
      </c>
      <c r="U2789">
        <v>110</v>
      </c>
      <c r="V2789">
        <v>0</v>
      </c>
      <c r="W2789">
        <v>231</v>
      </c>
      <c r="X2789">
        <v>166</v>
      </c>
      <c r="Y2789">
        <v>39.9</v>
      </c>
      <c r="Z2789">
        <v>29.2</v>
      </c>
      <c r="AA2789">
        <v>50.6</v>
      </c>
    </row>
    <row r="2790" spans="1:27" x14ac:dyDescent="0.25">
      <c r="A2790" t="s">
        <v>252</v>
      </c>
      <c r="B2790" t="s">
        <v>219</v>
      </c>
      <c r="C2790" s="76">
        <v>43972</v>
      </c>
      <c r="D2790">
        <v>1047</v>
      </c>
      <c r="E2790">
        <v>116</v>
      </c>
      <c r="F2790">
        <v>1978</v>
      </c>
      <c r="G2790">
        <v>1206</v>
      </c>
      <c r="H2790">
        <v>46.5</v>
      </c>
      <c r="I2790">
        <v>35.200000000000003</v>
      </c>
      <c r="J2790">
        <v>57.8</v>
      </c>
      <c r="K2790">
        <v>68</v>
      </c>
      <c r="L2790">
        <v>0</v>
      </c>
      <c r="M2790">
        <v>165</v>
      </c>
      <c r="N2790">
        <v>3</v>
      </c>
      <c r="O2790">
        <v>0.1</v>
      </c>
      <c r="P2790">
        <v>5.9</v>
      </c>
      <c r="Q2790">
        <f t="shared" si="84"/>
        <v>770026</v>
      </c>
      <c r="R2790">
        <f t="shared" si="85"/>
        <v>8.8308706459262414</v>
      </c>
      <c r="U2790">
        <v>119</v>
      </c>
      <c r="V2790">
        <v>0</v>
      </c>
      <c r="W2790">
        <v>249</v>
      </c>
      <c r="X2790">
        <v>159</v>
      </c>
      <c r="Y2790">
        <v>42.9</v>
      </c>
      <c r="Z2790">
        <v>32.1</v>
      </c>
      <c r="AA2790">
        <v>53.7</v>
      </c>
    </row>
    <row r="2791" spans="1:27" x14ac:dyDescent="0.25">
      <c r="A2791" t="s">
        <v>252</v>
      </c>
      <c r="B2791" t="s">
        <v>219</v>
      </c>
      <c r="C2791" s="76">
        <v>43973</v>
      </c>
      <c r="D2791">
        <v>1078</v>
      </c>
      <c r="E2791">
        <v>153</v>
      </c>
      <c r="F2791">
        <v>2003</v>
      </c>
      <c r="G2791">
        <v>1205</v>
      </c>
      <c r="H2791">
        <v>47.2</v>
      </c>
      <c r="I2791">
        <v>37.1</v>
      </c>
      <c r="J2791">
        <v>57.4</v>
      </c>
      <c r="K2791">
        <v>47</v>
      </c>
      <c r="L2791">
        <v>0</v>
      </c>
      <c r="M2791">
        <v>120</v>
      </c>
      <c r="N2791">
        <v>2.1</v>
      </c>
      <c r="O2791">
        <v>0</v>
      </c>
      <c r="P2791">
        <v>4.3</v>
      </c>
      <c r="Q2791">
        <f t="shared" ref="Q2791:Q2854" si="86">VLOOKUP(B2791,$AE$4:$AF$55,2,FALSE)</f>
        <v>770026</v>
      </c>
      <c r="R2791">
        <f t="shared" si="85"/>
        <v>6.1036900052725498</v>
      </c>
      <c r="U2791">
        <v>94</v>
      </c>
      <c r="V2791">
        <v>0</v>
      </c>
      <c r="W2791">
        <v>192</v>
      </c>
      <c r="X2791">
        <v>184</v>
      </c>
      <c r="Y2791">
        <v>33.799999999999997</v>
      </c>
      <c r="Z2791">
        <v>21.9</v>
      </c>
      <c r="AA2791">
        <v>45.7</v>
      </c>
    </row>
    <row r="2792" spans="1:27" x14ac:dyDescent="0.25">
      <c r="A2792" t="s">
        <v>252</v>
      </c>
      <c r="B2792" t="s">
        <v>219</v>
      </c>
      <c r="C2792" s="76">
        <v>43974</v>
      </c>
      <c r="D2792">
        <v>1080</v>
      </c>
      <c r="E2792">
        <v>89</v>
      </c>
      <c r="F2792">
        <v>2071</v>
      </c>
      <c r="G2792">
        <v>1203</v>
      </c>
      <c r="H2792">
        <v>47.3</v>
      </c>
      <c r="I2792">
        <v>34.200000000000003</v>
      </c>
      <c r="J2792">
        <v>60.4</v>
      </c>
      <c r="K2792">
        <v>43</v>
      </c>
      <c r="L2792">
        <v>0</v>
      </c>
      <c r="M2792">
        <v>98</v>
      </c>
      <c r="N2792">
        <v>1.9</v>
      </c>
      <c r="O2792">
        <v>0.7</v>
      </c>
      <c r="P2792">
        <v>3.1</v>
      </c>
      <c r="Q2792">
        <f t="shared" si="86"/>
        <v>770026</v>
      </c>
      <c r="R2792">
        <f t="shared" si="85"/>
        <v>5.5842270261004172</v>
      </c>
      <c r="U2792">
        <v>112</v>
      </c>
      <c r="V2792">
        <v>0</v>
      </c>
      <c r="W2792">
        <v>243</v>
      </c>
      <c r="X2792">
        <v>167</v>
      </c>
      <c r="Y2792">
        <v>40.200000000000003</v>
      </c>
      <c r="Z2792">
        <v>34.1</v>
      </c>
      <c r="AA2792">
        <v>46.2</v>
      </c>
    </row>
    <row r="2793" spans="1:27" x14ac:dyDescent="0.25">
      <c r="A2793" t="s">
        <v>252</v>
      </c>
      <c r="B2793" t="s">
        <v>219</v>
      </c>
      <c r="C2793" s="76">
        <v>43975</v>
      </c>
      <c r="D2793">
        <v>955</v>
      </c>
      <c r="E2793">
        <v>104</v>
      </c>
      <c r="F2793">
        <v>1807</v>
      </c>
      <c r="G2793">
        <v>1327</v>
      </c>
      <c r="H2793">
        <v>41.9</v>
      </c>
      <c r="I2793">
        <v>31.4</v>
      </c>
      <c r="J2793">
        <v>52.3</v>
      </c>
      <c r="K2793">
        <v>31</v>
      </c>
      <c r="L2793">
        <v>0</v>
      </c>
      <c r="M2793">
        <v>71</v>
      </c>
      <c r="N2793">
        <v>1.4</v>
      </c>
      <c r="O2793">
        <v>0.3</v>
      </c>
      <c r="P2793">
        <v>2.4</v>
      </c>
      <c r="Q2793">
        <f t="shared" si="86"/>
        <v>770026</v>
      </c>
      <c r="R2793">
        <f t="shared" si="85"/>
        <v>4.0258380885840213</v>
      </c>
      <c r="U2793">
        <v>101</v>
      </c>
      <c r="V2793">
        <v>0</v>
      </c>
      <c r="W2793">
        <v>216</v>
      </c>
      <c r="X2793">
        <v>178</v>
      </c>
      <c r="Y2793">
        <v>36.200000000000003</v>
      </c>
      <c r="Z2793">
        <v>29</v>
      </c>
      <c r="AA2793">
        <v>43.5</v>
      </c>
    </row>
    <row r="2794" spans="1:27" x14ac:dyDescent="0.25">
      <c r="A2794" t="s">
        <v>252</v>
      </c>
      <c r="B2794" t="s">
        <v>219</v>
      </c>
      <c r="C2794" s="76">
        <v>43976</v>
      </c>
      <c r="D2794">
        <v>914</v>
      </c>
      <c r="E2794">
        <v>58</v>
      </c>
      <c r="F2794">
        <v>1769</v>
      </c>
      <c r="G2794">
        <v>1238</v>
      </c>
      <c r="H2794">
        <v>42.5</v>
      </c>
      <c r="I2794">
        <v>31.5</v>
      </c>
      <c r="J2794">
        <v>53.4</v>
      </c>
      <c r="K2794">
        <v>44</v>
      </c>
      <c r="L2794">
        <v>0</v>
      </c>
      <c r="M2794">
        <v>107</v>
      </c>
      <c r="N2794">
        <v>2</v>
      </c>
      <c r="O2794">
        <v>0</v>
      </c>
      <c r="P2794">
        <v>4.3</v>
      </c>
      <c r="Q2794">
        <f t="shared" si="86"/>
        <v>770026</v>
      </c>
      <c r="R2794">
        <f t="shared" si="85"/>
        <v>5.7140927708934504</v>
      </c>
      <c r="U2794">
        <v>95</v>
      </c>
      <c r="V2794">
        <v>0</v>
      </c>
      <c r="W2794">
        <v>209</v>
      </c>
      <c r="X2794">
        <v>176</v>
      </c>
      <c r="Y2794">
        <v>35.1</v>
      </c>
      <c r="Z2794">
        <v>30.5</v>
      </c>
      <c r="AA2794">
        <v>39.700000000000003</v>
      </c>
    </row>
    <row r="2795" spans="1:27" x14ac:dyDescent="0.25">
      <c r="A2795" t="s">
        <v>252</v>
      </c>
      <c r="B2795" t="s">
        <v>219</v>
      </c>
      <c r="C2795" s="76">
        <v>43977</v>
      </c>
      <c r="D2795">
        <v>925</v>
      </c>
      <c r="E2795">
        <v>38</v>
      </c>
      <c r="F2795">
        <v>1813</v>
      </c>
      <c r="G2795">
        <v>1179</v>
      </c>
      <c r="H2795">
        <v>44</v>
      </c>
      <c r="I2795">
        <v>33.1</v>
      </c>
      <c r="J2795">
        <v>54.9</v>
      </c>
      <c r="K2795">
        <v>47</v>
      </c>
      <c r="L2795">
        <v>0</v>
      </c>
      <c r="M2795">
        <v>110</v>
      </c>
      <c r="N2795">
        <v>2.2000000000000002</v>
      </c>
      <c r="O2795">
        <v>0</v>
      </c>
      <c r="P2795">
        <v>4.5</v>
      </c>
      <c r="Q2795">
        <f t="shared" si="86"/>
        <v>770026</v>
      </c>
      <c r="R2795">
        <f t="shared" si="85"/>
        <v>6.1036900052725498</v>
      </c>
      <c r="U2795">
        <v>92</v>
      </c>
      <c r="V2795">
        <v>0</v>
      </c>
      <c r="W2795">
        <v>210</v>
      </c>
      <c r="X2795">
        <v>178</v>
      </c>
      <c r="Y2795">
        <v>34.1</v>
      </c>
      <c r="Z2795">
        <v>30</v>
      </c>
      <c r="AA2795">
        <v>38.299999999999997</v>
      </c>
    </row>
    <row r="2796" spans="1:27" x14ac:dyDescent="0.25">
      <c r="A2796" t="s">
        <v>252</v>
      </c>
      <c r="B2796" t="s">
        <v>219</v>
      </c>
      <c r="C2796" s="76">
        <v>43978</v>
      </c>
      <c r="D2796">
        <v>960</v>
      </c>
      <c r="E2796">
        <v>72</v>
      </c>
      <c r="F2796">
        <v>1848</v>
      </c>
      <c r="G2796">
        <v>1145</v>
      </c>
      <c r="H2796">
        <v>45.6</v>
      </c>
      <c r="I2796">
        <v>35.6</v>
      </c>
      <c r="J2796">
        <v>55.6</v>
      </c>
      <c r="K2796">
        <v>58</v>
      </c>
      <c r="L2796">
        <v>0</v>
      </c>
      <c r="M2796">
        <v>134</v>
      </c>
      <c r="N2796">
        <v>2.8</v>
      </c>
      <c r="O2796">
        <v>0.1</v>
      </c>
      <c r="P2796">
        <v>5.5</v>
      </c>
      <c r="Q2796">
        <f t="shared" si="86"/>
        <v>770026</v>
      </c>
      <c r="R2796">
        <f t="shared" si="85"/>
        <v>7.5322131979959117</v>
      </c>
      <c r="U2796">
        <v>104</v>
      </c>
      <c r="V2796">
        <v>0</v>
      </c>
      <c r="W2796">
        <v>240</v>
      </c>
      <c r="X2796">
        <v>166</v>
      </c>
      <c r="Y2796">
        <v>38.6</v>
      </c>
      <c r="Z2796">
        <v>28.8</v>
      </c>
      <c r="AA2796">
        <v>48.3</v>
      </c>
    </row>
    <row r="2797" spans="1:27" x14ac:dyDescent="0.25">
      <c r="A2797" t="s">
        <v>252</v>
      </c>
      <c r="B2797" t="s">
        <v>219</v>
      </c>
      <c r="C2797" s="76">
        <v>43979</v>
      </c>
      <c r="D2797">
        <v>939</v>
      </c>
      <c r="E2797">
        <v>0</v>
      </c>
      <c r="F2797">
        <v>1903</v>
      </c>
      <c r="G2797">
        <v>1093</v>
      </c>
      <c r="H2797">
        <v>46.2</v>
      </c>
      <c r="I2797">
        <v>30.7</v>
      </c>
      <c r="J2797">
        <v>61.7</v>
      </c>
      <c r="K2797">
        <v>105</v>
      </c>
      <c r="L2797">
        <v>0</v>
      </c>
      <c r="M2797">
        <v>235</v>
      </c>
      <c r="N2797">
        <v>5.2</v>
      </c>
      <c r="O2797">
        <v>0.6</v>
      </c>
      <c r="P2797">
        <v>9.6999999999999993</v>
      </c>
      <c r="Q2797">
        <f t="shared" si="86"/>
        <v>770026</v>
      </c>
      <c r="R2797">
        <f t="shared" si="85"/>
        <v>13.635903203268462</v>
      </c>
      <c r="U2797">
        <v>81</v>
      </c>
      <c r="V2797">
        <v>0</v>
      </c>
      <c r="W2797">
        <v>190</v>
      </c>
      <c r="X2797">
        <v>190</v>
      </c>
      <c r="Y2797">
        <v>29.9</v>
      </c>
      <c r="Z2797">
        <v>22.3</v>
      </c>
      <c r="AA2797">
        <v>37.4</v>
      </c>
    </row>
    <row r="2798" spans="1:27" x14ac:dyDescent="0.25">
      <c r="A2798" t="s">
        <v>252</v>
      </c>
      <c r="B2798" t="s">
        <v>219</v>
      </c>
      <c r="C2798" s="76">
        <v>43980</v>
      </c>
      <c r="D2798">
        <v>974</v>
      </c>
      <c r="E2798">
        <v>93</v>
      </c>
      <c r="F2798">
        <v>1855</v>
      </c>
      <c r="G2798">
        <v>1282</v>
      </c>
      <c r="H2798">
        <v>43.2</v>
      </c>
      <c r="I2798">
        <v>31.4</v>
      </c>
      <c r="J2798">
        <v>55</v>
      </c>
      <c r="K2798">
        <v>103</v>
      </c>
      <c r="L2798">
        <v>0</v>
      </c>
      <c r="M2798">
        <v>234</v>
      </c>
      <c r="N2798">
        <v>4.5999999999999996</v>
      </c>
      <c r="O2798">
        <v>0</v>
      </c>
      <c r="P2798">
        <v>9.8000000000000007</v>
      </c>
      <c r="Q2798">
        <f t="shared" si="86"/>
        <v>770026</v>
      </c>
      <c r="R2798">
        <f t="shared" si="85"/>
        <v>13.376171713682394</v>
      </c>
      <c r="U2798">
        <v>89</v>
      </c>
      <c r="V2798">
        <v>0</v>
      </c>
      <c r="W2798">
        <v>192</v>
      </c>
      <c r="X2798">
        <v>190</v>
      </c>
      <c r="Y2798">
        <v>31.9</v>
      </c>
      <c r="Z2798">
        <v>19</v>
      </c>
      <c r="AA2798">
        <v>44.8</v>
      </c>
    </row>
    <row r="2799" spans="1:27" x14ac:dyDescent="0.25">
      <c r="A2799" t="s">
        <v>252</v>
      </c>
      <c r="B2799" t="s">
        <v>219</v>
      </c>
      <c r="C2799" s="76">
        <v>43981</v>
      </c>
      <c r="D2799">
        <v>908</v>
      </c>
      <c r="E2799">
        <v>114</v>
      </c>
      <c r="F2799">
        <v>1701</v>
      </c>
      <c r="G2799">
        <v>1374</v>
      </c>
      <c r="H2799">
        <v>39.799999999999997</v>
      </c>
      <c r="I2799">
        <v>28.9</v>
      </c>
      <c r="J2799">
        <v>50.7</v>
      </c>
      <c r="K2799">
        <v>191</v>
      </c>
      <c r="L2799">
        <v>0</v>
      </c>
      <c r="M2799">
        <v>511</v>
      </c>
      <c r="N2799">
        <v>8.4</v>
      </c>
      <c r="O2799">
        <v>0</v>
      </c>
      <c r="P2799">
        <v>22.6</v>
      </c>
      <c r="Q2799">
        <f t="shared" si="86"/>
        <v>770026</v>
      </c>
      <c r="R2799">
        <f t="shared" si="85"/>
        <v>24.804357255469299</v>
      </c>
      <c r="U2799">
        <v>80</v>
      </c>
      <c r="V2799">
        <v>0</v>
      </c>
      <c r="W2799">
        <v>176</v>
      </c>
      <c r="X2799">
        <v>196</v>
      </c>
      <c r="Y2799">
        <v>29</v>
      </c>
      <c r="Z2799">
        <v>15.3</v>
      </c>
      <c r="AA2799">
        <v>42.7</v>
      </c>
    </row>
    <row r="2800" spans="1:27" x14ac:dyDescent="0.25">
      <c r="A2800" t="s">
        <v>252</v>
      </c>
      <c r="B2800" t="s">
        <v>219</v>
      </c>
      <c r="C2800" s="76">
        <v>43982</v>
      </c>
      <c r="D2800">
        <v>791</v>
      </c>
      <c r="E2800">
        <v>50</v>
      </c>
      <c r="F2800">
        <v>1532</v>
      </c>
      <c r="G2800">
        <v>1399</v>
      </c>
      <c r="H2800">
        <v>36.1</v>
      </c>
      <c r="I2800">
        <v>24.6</v>
      </c>
      <c r="J2800">
        <v>47.6</v>
      </c>
      <c r="K2800">
        <v>143</v>
      </c>
      <c r="L2800">
        <v>0</v>
      </c>
      <c r="M2800">
        <v>401</v>
      </c>
      <c r="N2800">
        <v>6.5</v>
      </c>
      <c r="O2800">
        <v>0</v>
      </c>
      <c r="P2800">
        <v>18.399999999999999</v>
      </c>
      <c r="Q2800">
        <f t="shared" si="86"/>
        <v>770026</v>
      </c>
      <c r="R2800">
        <f t="shared" si="85"/>
        <v>18.570801505403711</v>
      </c>
      <c r="U2800">
        <v>69</v>
      </c>
      <c r="V2800">
        <v>0</v>
      </c>
      <c r="W2800">
        <v>154</v>
      </c>
      <c r="X2800">
        <v>200</v>
      </c>
      <c r="Y2800">
        <v>25.6</v>
      </c>
      <c r="Z2800">
        <v>13.6</v>
      </c>
      <c r="AA2800">
        <v>37.5</v>
      </c>
    </row>
    <row r="2801" spans="1:27" x14ac:dyDescent="0.25">
      <c r="A2801" t="s">
        <v>252</v>
      </c>
      <c r="B2801" t="s">
        <v>219</v>
      </c>
      <c r="C2801" s="76">
        <v>43983</v>
      </c>
      <c r="D2801">
        <v>757</v>
      </c>
      <c r="E2801">
        <v>0</v>
      </c>
      <c r="F2801">
        <v>1514</v>
      </c>
      <c r="G2801">
        <v>1295</v>
      </c>
      <c r="H2801">
        <v>36.9</v>
      </c>
      <c r="I2801">
        <v>24.1</v>
      </c>
      <c r="J2801">
        <v>49.7</v>
      </c>
      <c r="K2801">
        <v>45</v>
      </c>
      <c r="L2801">
        <v>0</v>
      </c>
      <c r="M2801">
        <v>112</v>
      </c>
      <c r="N2801">
        <v>2.2000000000000002</v>
      </c>
      <c r="O2801">
        <v>0</v>
      </c>
      <c r="P2801">
        <v>4.3</v>
      </c>
      <c r="Q2801">
        <f t="shared" si="86"/>
        <v>770026</v>
      </c>
      <c r="R2801">
        <f t="shared" si="85"/>
        <v>5.8439585156864835</v>
      </c>
      <c r="U2801">
        <v>65</v>
      </c>
      <c r="V2801">
        <v>0</v>
      </c>
      <c r="W2801">
        <v>150</v>
      </c>
      <c r="X2801">
        <v>205</v>
      </c>
      <c r="Y2801">
        <v>24.1</v>
      </c>
      <c r="Z2801">
        <v>13.1</v>
      </c>
      <c r="AA2801">
        <v>35.200000000000003</v>
      </c>
    </row>
    <row r="2802" spans="1:27" x14ac:dyDescent="0.25">
      <c r="A2802" t="s">
        <v>252</v>
      </c>
      <c r="B2802" t="s">
        <v>219</v>
      </c>
      <c r="C2802" s="76">
        <v>43984</v>
      </c>
      <c r="D2802">
        <v>930</v>
      </c>
      <c r="E2802">
        <v>6</v>
      </c>
      <c r="F2802">
        <v>1854</v>
      </c>
      <c r="G2802">
        <v>1164</v>
      </c>
      <c r="H2802">
        <v>44.4</v>
      </c>
      <c r="I2802">
        <v>31.3</v>
      </c>
      <c r="J2802">
        <v>57.5</v>
      </c>
      <c r="K2802">
        <v>54</v>
      </c>
      <c r="L2802">
        <v>0</v>
      </c>
      <c r="M2802">
        <v>134</v>
      </c>
      <c r="N2802">
        <v>2.6</v>
      </c>
      <c r="O2802">
        <v>0.1</v>
      </c>
      <c r="P2802">
        <v>5.0999999999999996</v>
      </c>
      <c r="Q2802">
        <f t="shared" si="86"/>
        <v>770026</v>
      </c>
      <c r="R2802">
        <f t="shared" si="85"/>
        <v>7.01275021882378</v>
      </c>
      <c r="U2802">
        <v>87</v>
      </c>
      <c r="V2802">
        <v>0</v>
      </c>
      <c r="W2802">
        <v>197</v>
      </c>
      <c r="X2802">
        <v>186</v>
      </c>
      <c r="Y2802">
        <v>31.9</v>
      </c>
      <c r="Z2802">
        <v>25.2</v>
      </c>
      <c r="AA2802">
        <v>38.6</v>
      </c>
    </row>
    <row r="2803" spans="1:27" x14ac:dyDescent="0.25">
      <c r="A2803" t="s">
        <v>252</v>
      </c>
      <c r="B2803" t="s">
        <v>219</v>
      </c>
      <c r="C2803" s="76">
        <v>43985</v>
      </c>
      <c r="D2803">
        <v>963</v>
      </c>
      <c r="E2803">
        <v>0</v>
      </c>
      <c r="F2803">
        <v>1934</v>
      </c>
      <c r="G2803">
        <v>1143</v>
      </c>
      <c r="H2803">
        <v>45.7</v>
      </c>
      <c r="I2803">
        <v>32</v>
      </c>
      <c r="J2803">
        <v>59.5</v>
      </c>
      <c r="K2803">
        <v>69</v>
      </c>
      <c r="L2803">
        <v>0</v>
      </c>
      <c r="M2803">
        <v>160</v>
      </c>
      <c r="N2803">
        <v>3.3</v>
      </c>
      <c r="O2803">
        <v>0.8</v>
      </c>
      <c r="P2803">
        <v>5.8</v>
      </c>
      <c r="Q2803">
        <f t="shared" si="86"/>
        <v>770026</v>
      </c>
      <c r="R2803">
        <f t="shared" si="85"/>
        <v>8.9607363907192745</v>
      </c>
      <c r="U2803">
        <v>90</v>
      </c>
      <c r="V2803">
        <v>0</v>
      </c>
      <c r="W2803">
        <v>208</v>
      </c>
      <c r="X2803">
        <v>183</v>
      </c>
      <c r="Y2803">
        <v>33</v>
      </c>
      <c r="Z2803">
        <v>26</v>
      </c>
      <c r="AA2803">
        <v>39.9</v>
      </c>
    </row>
    <row r="2804" spans="1:27" x14ac:dyDescent="0.25">
      <c r="A2804" t="s">
        <v>252</v>
      </c>
      <c r="B2804" t="s">
        <v>219</v>
      </c>
      <c r="C2804" s="76">
        <v>43986</v>
      </c>
      <c r="D2804">
        <v>930</v>
      </c>
      <c r="E2804">
        <v>0</v>
      </c>
      <c r="F2804">
        <v>1906</v>
      </c>
      <c r="G2804">
        <v>956</v>
      </c>
      <c r="H2804">
        <v>49.3</v>
      </c>
      <c r="I2804">
        <v>37.6</v>
      </c>
      <c r="J2804">
        <v>61.1</v>
      </c>
      <c r="K2804">
        <v>51</v>
      </c>
      <c r="L2804">
        <v>0</v>
      </c>
      <c r="M2804">
        <v>125</v>
      </c>
      <c r="N2804">
        <v>2.7</v>
      </c>
      <c r="O2804">
        <v>0.6</v>
      </c>
      <c r="P2804">
        <v>4.8</v>
      </c>
      <c r="Q2804">
        <f t="shared" si="86"/>
        <v>770026</v>
      </c>
      <c r="R2804">
        <f t="shared" si="85"/>
        <v>6.6231529844446815</v>
      </c>
      <c r="U2804">
        <v>90</v>
      </c>
      <c r="V2804">
        <v>0</v>
      </c>
      <c r="W2804">
        <v>212</v>
      </c>
      <c r="X2804">
        <v>176</v>
      </c>
      <c r="Y2804">
        <v>33.9</v>
      </c>
      <c r="Z2804">
        <v>27.4</v>
      </c>
      <c r="AA2804">
        <v>40.4</v>
      </c>
    </row>
    <row r="2805" spans="1:27" x14ac:dyDescent="0.25">
      <c r="A2805" t="s">
        <v>252</v>
      </c>
      <c r="B2805" t="s">
        <v>219</v>
      </c>
      <c r="C2805" s="76">
        <v>43987</v>
      </c>
      <c r="D2805">
        <v>1099</v>
      </c>
      <c r="E2805">
        <v>71</v>
      </c>
      <c r="F2805">
        <v>2127</v>
      </c>
      <c r="G2805">
        <v>1185</v>
      </c>
      <c r="H2805">
        <v>48.1</v>
      </c>
      <c r="I2805">
        <v>33.200000000000003</v>
      </c>
      <c r="J2805">
        <v>63</v>
      </c>
      <c r="K2805">
        <v>74</v>
      </c>
      <c r="L2805">
        <v>0</v>
      </c>
      <c r="M2805">
        <v>162</v>
      </c>
      <c r="N2805">
        <v>3.2</v>
      </c>
      <c r="O2805">
        <v>1.3</v>
      </c>
      <c r="P2805">
        <v>5.0999999999999996</v>
      </c>
      <c r="Q2805">
        <f t="shared" si="86"/>
        <v>770026</v>
      </c>
      <c r="R2805">
        <f t="shared" si="85"/>
        <v>9.6100651146844385</v>
      </c>
      <c r="U2805">
        <v>98</v>
      </c>
      <c r="V2805">
        <v>0</v>
      </c>
      <c r="W2805">
        <v>205</v>
      </c>
      <c r="X2805">
        <v>189</v>
      </c>
      <c r="Y2805">
        <v>34.200000000000003</v>
      </c>
      <c r="Z2805">
        <v>21.7</v>
      </c>
      <c r="AA2805">
        <v>46.6</v>
      </c>
    </row>
    <row r="2806" spans="1:27" x14ac:dyDescent="0.25">
      <c r="A2806" t="s">
        <v>252</v>
      </c>
      <c r="B2806" t="s">
        <v>219</v>
      </c>
      <c r="C2806" s="76">
        <v>43988</v>
      </c>
      <c r="D2806">
        <v>1054</v>
      </c>
      <c r="E2806">
        <v>60</v>
      </c>
      <c r="F2806">
        <v>2048</v>
      </c>
      <c r="G2806">
        <v>1226</v>
      </c>
      <c r="H2806">
        <v>46.2</v>
      </c>
      <c r="I2806">
        <v>32.5</v>
      </c>
      <c r="J2806">
        <v>60</v>
      </c>
      <c r="K2806">
        <v>48</v>
      </c>
      <c r="L2806">
        <v>0</v>
      </c>
      <c r="M2806">
        <v>111</v>
      </c>
      <c r="N2806">
        <v>2.1</v>
      </c>
      <c r="O2806">
        <v>0.8</v>
      </c>
      <c r="P2806">
        <v>3.4</v>
      </c>
      <c r="Q2806">
        <f t="shared" si="86"/>
        <v>770026</v>
      </c>
      <c r="R2806">
        <f t="shared" si="85"/>
        <v>6.233555750065582</v>
      </c>
      <c r="U2806">
        <v>126</v>
      </c>
      <c r="V2806">
        <v>0</v>
      </c>
      <c r="W2806">
        <v>290</v>
      </c>
      <c r="X2806">
        <v>261</v>
      </c>
      <c r="Y2806">
        <v>32.5</v>
      </c>
      <c r="Z2806">
        <v>28</v>
      </c>
      <c r="AA2806">
        <v>37</v>
      </c>
    </row>
    <row r="2807" spans="1:27" x14ac:dyDescent="0.25">
      <c r="A2807" t="s">
        <v>252</v>
      </c>
      <c r="B2807" t="s">
        <v>219</v>
      </c>
      <c r="C2807" s="76">
        <v>43989</v>
      </c>
      <c r="D2807">
        <v>987</v>
      </c>
      <c r="E2807">
        <v>77</v>
      </c>
      <c r="F2807">
        <v>1897</v>
      </c>
      <c r="G2807">
        <v>1293</v>
      </c>
      <c r="H2807">
        <v>43.3</v>
      </c>
      <c r="I2807">
        <v>30.1</v>
      </c>
      <c r="J2807">
        <v>56.5</v>
      </c>
      <c r="K2807">
        <v>24</v>
      </c>
      <c r="L2807">
        <v>0</v>
      </c>
      <c r="M2807">
        <v>60</v>
      </c>
      <c r="N2807">
        <v>1</v>
      </c>
      <c r="O2807">
        <v>0</v>
      </c>
      <c r="P2807">
        <v>2.2000000000000002</v>
      </c>
      <c r="Q2807">
        <f t="shared" si="86"/>
        <v>770026</v>
      </c>
      <c r="R2807">
        <f t="shared" si="85"/>
        <v>3.116777875032791</v>
      </c>
      <c r="U2807">
        <v>110</v>
      </c>
      <c r="V2807">
        <v>0</v>
      </c>
      <c r="W2807">
        <v>250</v>
      </c>
      <c r="X2807">
        <v>276</v>
      </c>
      <c r="Y2807">
        <v>28.5</v>
      </c>
      <c r="Z2807">
        <v>21.5</v>
      </c>
      <c r="AA2807">
        <v>35.6</v>
      </c>
    </row>
    <row r="2808" spans="1:27" x14ac:dyDescent="0.25">
      <c r="A2808" t="s">
        <v>252</v>
      </c>
      <c r="B2808" t="s">
        <v>219</v>
      </c>
      <c r="C2808" s="76">
        <v>43990</v>
      </c>
      <c r="D2808">
        <v>986</v>
      </c>
      <c r="E2808">
        <v>106</v>
      </c>
      <c r="F2808">
        <v>1867</v>
      </c>
      <c r="G2808">
        <v>1289</v>
      </c>
      <c r="H2808">
        <v>43.3</v>
      </c>
      <c r="I2808">
        <v>31.7</v>
      </c>
      <c r="J2808">
        <v>55</v>
      </c>
      <c r="K2808">
        <v>28</v>
      </c>
      <c r="L2808">
        <v>0</v>
      </c>
      <c r="M2808">
        <v>65</v>
      </c>
      <c r="N2808">
        <v>1.2</v>
      </c>
      <c r="O2808">
        <v>0.1</v>
      </c>
      <c r="P2808">
        <v>2.2999999999999998</v>
      </c>
      <c r="Q2808">
        <f t="shared" si="86"/>
        <v>770026</v>
      </c>
      <c r="R2808">
        <f t="shared" si="85"/>
        <v>3.6362408542049232</v>
      </c>
      <c r="U2808">
        <v>117</v>
      </c>
      <c r="V2808">
        <v>0</v>
      </c>
      <c r="W2808">
        <v>261</v>
      </c>
      <c r="X2808">
        <v>272</v>
      </c>
      <c r="Y2808">
        <v>30.1</v>
      </c>
      <c r="Z2808">
        <v>18.399999999999999</v>
      </c>
      <c r="AA2808">
        <v>41.8</v>
      </c>
    </row>
    <row r="2809" spans="1:27" x14ac:dyDescent="0.25">
      <c r="A2809" t="s">
        <v>252</v>
      </c>
      <c r="B2809" t="s">
        <v>219</v>
      </c>
      <c r="C2809" s="76">
        <v>43991</v>
      </c>
      <c r="D2809">
        <v>1107</v>
      </c>
      <c r="E2809">
        <v>168</v>
      </c>
      <c r="F2809">
        <v>2046</v>
      </c>
      <c r="G2809">
        <v>1218</v>
      </c>
      <c r="H2809">
        <v>47.6</v>
      </c>
      <c r="I2809">
        <v>37.299999999999997</v>
      </c>
      <c r="J2809">
        <v>58</v>
      </c>
      <c r="K2809">
        <v>24</v>
      </c>
      <c r="L2809">
        <v>0</v>
      </c>
      <c r="M2809">
        <v>61</v>
      </c>
      <c r="N2809">
        <v>1</v>
      </c>
      <c r="O2809">
        <v>0</v>
      </c>
      <c r="P2809">
        <v>2.1</v>
      </c>
      <c r="Q2809">
        <f t="shared" si="86"/>
        <v>770026</v>
      </c>
      <c r="R2809">
        <f t="shared" si="85"/>
        <v>3.116777875032791</v>
      </c>
      <c r="U2809">
        <v>125</v>
      </c>
      <c r="V2809">
        <v>0</v>
      </c>
      <c r="W2809">
        <v>282</v>
      </c>
      <c r="X2809">
        <v>272</v>
      </c>
      <c r="Y2809">
        <v>31.4</v>
      </c>
      <c r="Z2809">
        <v>22.9</v>
      </c>
      <c r="AA2809">
        <v>39.9</v>
      </c>
    </row>
    <row r="2810" spans="1:27" x14ac:dyDescent="0.25">
      <c r="A2810" t="s">
        <v>252</v>
      </c>
      <c r="B2810" t="s">
        <v>219</v>
      </c>
      <c r="C2810" s="76">
        <v>43992</v>
      </c>
      <c r="D2810">
        <v>984</v>
      </c>
      <c r="E2810">
        <v>0</v>
      </c>
      <c r="F2810">
        <v>1977</v>
      </c>
      <c r="G2810">
        <v>1149</v>
      </c>
      <c r="H2810">
        <v>46.1</v>
      </c>
      <c r="I2810">
        <v>32.200000000000003</v>
      </c>
      <c r="J2810">
        <v>60</v>
      </c>
      <c r="K2810">
        <v>21</v>
      </c>
      <c r="L2810">
        <v>0</v>
      </c>
      <c r="M2810">
        <v>52</v>
      </c>
      <c r="N2810">
        <v>1</v>
      </c>
      <c r="O2810">
        <v>0</v>
      </c>
      <c r="P2810">
        <v>1.9</v>
      </c>
      <c r="Q2810">
        <f t="shared" si="86"/>
        <v>770026</v>
      </c>
      <c r="R2810">
        <f t="shared" si="85"/>
        <v>2.727180640653692</v>
      </c>
      <c r="U2810">
        <v>114</v>
      </c>
      <c r="V2810">
        <v>0</v>
      </c>
      <c r="W2810">
        <v>273</v>
      </c>
      <c r="X2810">
        <v>267</v>
      </c>
      <c r="Y2810">
        <v>29.9</v>
      </c>
      <c r="Z2810">
        <v>26</v>
      </c>
      <c r="AA2810">
        <v>33.799999999999997</v>
      </c>
    </row>
    <row r="2811" spans="1:27" x14ac:dyDescent="0.25">
      <c r="A2811" t="s">
        <v>252</v>
      </c>
      <c r="B2811" t="s">
        <v>219</v>
      </c>
      <c r="C2811" s="76">
        <v>43993</v>
      </c>
      <c r="D2811">
        <v>1141</v>
      </c>
      <c r="E2811">
        <v>88</v>
      </c>
      <c r="F2811">
        <v>2194</v>
      </c>
      <c r="G2811">
        <v>1208</v>
      </c>
      <c r="H2811">
        <v>48.6</v>
      </c>
      <c r="I2811">
        <v>34.9</v>
      </c>
      <c r="J2811">
        <v>62.2</v>
      </c>
      <c r="K2811">
        <v>34</v>
      </c>
      <c r="L2811">
        <v>0</v>
      </c>
      <c r="M2811">
        <v>76</v>
      </c>
      <c r="N2811">
        <v>1.4</v>
      </c>
      <c r="O2811">
        <v>0.4</v>
      </c>
      <c r="P2811">
        <v>2.5</v>
      </c>
      <c r="Q2811">
        <f t="shared" si="86"/>
        <v>770026</v>
      </c>
      <c r="R2811">
        <f t="shared" si="85"/>
        <v>4.4154353229631207</v>
      </c>
      <c r="U2811">
        <v>132</v>
      </c>
      <c r="V2811">
        <v>0</v>
      </c>
      <c r="W2811">
        <v>298</v>
      </c>
      <c r="X2811">
        <v>268</v>
      </c>
      <c r="Y2811">
        <v>33</v>
      </c>
      <c r="Z2811">
        <v>23.6</v>
      </c>
      <c r="AA2811">
        <v>42.4</v>
      </c>
    </row>
    <row r="2812" spans="1:27" x14ac:dyDescent="0.25">
      <c r="A2812" t="s">
        <v>252</v>
      </c>
      <c r="B2812" t="s">
        <v>219</v>
      </c>
      <c r="C2812" s="76">
        <v>43994</v>
      </c>
      <c r="D2812">
        <v>1096</v>
      </c>
      <c r="E2812">
        <v>119</v>
      </c>
      <c r="F2812">
        <v>2074</v>
      </c>
      <c r="G2812">
        <v>1202</v>
      </c>
      <c r="H2812">
        <v>47.7</v>
      </c>
      <c r="I2812">
        <v>36.1</v>
      </c>
      <c r="J2812">
        <v>59.3</v>
      </c>
      <c r="K2812">
        <v>52</v>
      </c>
      <c r="L2812">
        <v>0</v>
      </c>
      <c r="M2812">
        <v>114</v>
      </c>
      <c r="N2812">
        <v>2.2999999999999998</v>
      </c>
      <c r="O2812">
        <v>1</v>
      </c>
      <c r="P2812">
        <v>3.5</v>
      </c>
      <c r="Q2812">
        <f t="shared" si="86"/>
        <v>770026</v>
      </c>
      <c r="R2812">
        <f t="shared" si="85"/>
        <v>6.7530187292377137</v>
      </c>
      <c r="U2812">
        <v>141</v>
      </c>
      <c r="V2812">
        <v>0</v>
      </c>
      <c r="W2812">
        <v>320</v>
      </c>
      <c r="X2812">
        <v>251</v>
      </c>
      <c r="Y2812">
        <v>36</v>
      </c>
      <c r="Z2812">
        <v>29.4</v>
      </c>
      <c r="AA2812">
        <v>42.6</v>
      </c>
    </row>
    <row r="2813" spans="1:27" x14ac:dyDescent="0.25">
      <c r="A2813" t="s">
        <v>252</v>
      </c>
      <c r="B2813" t="s">
        <v>219</v>
      </c>
      <c r="C2813" s="76">
        <v>43995</v>
      </c>
      <c r="D2813">
        <v>1048</v>
      </c>
      <c r="E2813">
        <v>103</v>
      </c>
      <c r="F2813">
        <v>1992</v>
      </c>
      <c r="G2813">
        <v>1251</v>
      </c>
      <c r="H2813">
        <v>45.6</v>
      </c>
      <c r="I2813">
        <v>33.4</v>
      </c>
      <c r="J2813">
        <v>57.7</v>
      </c>
      <c r="K2813">
        <v>43</v>
      </c>
      <c r="L2813">
        <v>0</v>
      </c>
      <c r="M2813">
        <v>97</v>
      </c>
      <c r="N2813">
        <v>1.9</v>
      </c>
      <c r="O2813">
        <v>0.5</v>
      </c>
      <c r="P2813">
        <v>3.2</v>
      </c>
      <c r="Q2813">
        <f t="shared" si="86"/>
        <v>770026</v>
      </c>
      <c r="R2813">
        <f t="shared" si="85"/>
        <v>5.5842270261004172</v>
      </c>
      <c r="U2813">
        <v>126</v>
      </c>
      <c r="V2813">
        <v>0</v>
      </c>
      <c r="W2813">
        <v>290</v>
      </c>
      <c r="X2813">
        <v>266</v>
      </c>
      <c r="Y2813">
        <v>32.1</v>
      </c>
      <c r="Z2813">
        <v>28</v>
      </c>
      <c r="AA2813">
        <v>36.200000000000003</v>
      </c>
    </row>
    <row r="2814" spans="1:27" x14ac:dyDescent="0.25">
      <c r="A2814" t="s">
        <v>252</v>
      </c>
      <c r="B2814" t="s">
        <v>219</v>
      </c>
      <c r="C2814" s="76">
        <v>43996</v>
      </c>
      <c r="D2814">
        <v>971</v>
      </c>
      <c r="E2814">
        <v>118</v>
      </c>
      <c r="F2814">
        <v>1823</v>
      </c>
      <c r="G2814">
        <v>1328</v>
      </c>
      <c r="H2814">
        <v>42.2</v>
      </c>
      <c r="I2814">
        <v>31.4</v>
      </c>
      <c r="J2814">
        <v>53.1</v>
      </c>
      <c r="K2814">
        <v>34</v>
      </c>
      <c r="L2814">
        <v>0</v>
      </c>
      <c r="M2814">
        <v>80</v>
      </c>
      <c r="N2814">
        <v>1.5</v>
      </c>
      <c r="O2814">
        <v>0.1</v>
      </c>
      <c r="P2814">
        <v>2.8</v>
      </c>
      <c r="Q2814">
        <f t="shared" si="86"/>
        <v>770026</v>
      </c>
      <c r="R2814">
        <f t="shared" si="85"/>
        <v>4.4154353229631207</v>
      </c>
      <c r="U2814">
        <v>132</v>
      </c>
      <c r="V2814">
        <v>0</v>
      </c>
      <c r="W2814">
        <v>307</v>
      </c>
      <c r="X2814">
        <v>260</v>
      </c>
      <c r="Y2814">
        <v>33.6</v>
      </c>
      <c r="Z2814">
        <v>28.8</v>
      </c>
      <c r="AA2814">
        <v>38.5</v>
      </c>
    </row>
    <row r="2815" spans="1:27" x14ac:dyDescent="0.25">
      <c r="A2815" t="s">
        <v>252</v>
      </c>
      <c r="B2815" t="s">
        <v>219</v>
      </c>
      <c r="C2815" s="76">
        <v>43997</v>
      </c>
      <c r="D2815">
        <v>1022</v>
      </c>
      <c r="E2815">
        <v>108</v>
      </c>
      <c r="F2815">
        <v>1937</v>
      </c>
      <c r="G2815">
        <v>1324</v>
      </c>
      <c r="H2815">
        <v>43.6</v>
      </c>
      <c r="I2815">
        <v>31.9</v>
      </c>
      <c r="J2815">
        <v>55.3</v>
      </c>
      <c r="K2815">
        <v>43</v>
      </c>
      <c r="L2815">
        <v>0</v>
      </c>
      <c r="M2815">
        <v>100</v>
      </c>
      <c r="N2815">
        <v>1.8</v>
      </c>
      <c r="O2815">
        <v>0.4</v>
      </c>
      <c r="P2815">
        <v>3.3</v>
      </c>
      <c r="Q2815">
        <f t="shared" si="86"/>
        <v>770026</v>
      </c>
      <c r="R2815">
        <f t="shared" si="85"/>
        <v>5.5842270261004172</v>
      </c>
      <c r="U2815">
        <v>129</v>
      </c>
      <c r="V2815">
        <v>0</v>
      </c>
      <c r="W2815">
        <v>302</v>
      </c>
      <c r="X2815">
        <v>268</v>
      </c>
      <c r="Y2815">
        <v>32.5</v>
      </c>
      <c r="Z2815">
        <v>22.8</v>
      </c>
      <c r="AA2815">
        <v>42.1</v>
      </c>
    </row>
    <row r="2816" spans="1:27" x14ac:dyDescent="0.25">
      <c r="A2816" t="s">
        <v>252</v>
      </c>
      <c r="B2816" t="s">
        <v>219</v>
      </c>
      <c r="C2816" s="76">
        <v>43998</v>
      </c>
      <c r="D2816">
        <v>959</v>
      </c>
      <c r="E2816">
        <v>12</v>
      </c>
      <c r="F2816">
        <v>1906</v>
      </c>
      <c r="G2816">
        <v>1195</v>
      </c>
      <c r="H2816">
        <v>44.5</v>
      </c>
      <c r="I2816">
        <v>32.6</v>
      </c>
      <c r="J2816">
        <v>56.5</v>
      </c>
      <c r="K2816">
        <v>48</v>
      </c>
      <c r="L2816">
        <v>0</v>
      </c>
      <c r="M2816">
        <v>117</v>
      </c>
      <c r="N2816">
        <v>2.2000000000000002</v>
      </c>
      <c r="O2816">
        <v>0.3</v>
      </c>
      <c r="P2816">
        <v>4.2</v>
      </c>
      <c r="Q2816">
        <f t="shared" si="86"/>
        <v>770026</v>
      </c>
      <c r="R2816">
        <f t="shared" si="85"/>
        <v>6.233555750065582</v>
      </c>
      <c r="U2816">
        <v>117</v>
      </c>
      <c r="V2816">
        <v>0</v>
      </c>
      <c r="W2816">
        <v>283</v>
      </c>
      <c r="X2816">
        <v>264</v>
      </c>
      <c r="Y2816">
        <v>30.7</v>
      </c>
      <c r="Z2816">
        <v>25.4</v>
      </c>
      <c r="AA2816">
        <v>36</v>
      </c>
    </row>
    <row r="2817" spans="1:27" x14ac:dyDescent="0.25">
      <c r="A2817" t="s">
        <v>252</v>
      </c>
      <c r="B2817" t="s">
        <v>219</v>
      </c>
      <c r="C2817" s="76">
        <v>43999</v>
      </c>
      <c r="D2817">
        <v>927</v>
      </c>
      <c r="E2817">
        <v>2</v>
      </c>
      <c r="F2817">
        <v>1851</v>
      </c>
      <c r="G2817">
        <v>1086</v>
      </c>
      <c r="H2817">
        <v>46</v>
      </c>
      <c r="I2817">
        <v>34.200000000000003</v>
      </c>
      <c r="J2817">
        <v>57.9</v>
      </c>
      <c r="K2817">
        <v>50</v>
      </c>
      <c r="L2817">
        <v>0</v>
      </c>
      <c r="M2817">
        <v>124</v>
      </c>
      <c r="N2817">
        <v>2.5</v>
      </c>
      <c r="O2817">
        <v>0.2</v>
      </c>
      <c r="P2817">
        <v>4.7</v>
      </c>
      <c r="Q2817">
        <f t="shared" si="86"/>
        <v>770026</v>
      </c>
      <c r="R2817">
        <f t="shared" si="85"/>
        <v>6.4932872396516483</v>
      </c>
      <c r="U2817">
        <v>100</v>
      </c>
      <c r="V2817">
        <v>0</v>
      </c>
      <c r="W2817">
        <v>221</v>
      </c>
      <c r="X2817">
        <v>274</v>
      </c>
      <c r="Y2817">
        <v>26.8</v>
      </c>
      <c r="Z2817">
        <v>17.7</v>
      </c>
      <c r="AA2817">
        <v>36</v>
      </c>
    </row>
    <row r="2818" spans="1:27" x14ac:dyDescent="0.25">
      <c r="A2818" t="s">
        <v>252</v>
      </c>
      <c r="B2818" t="s">
        <v>219</v>
      </c>
      <c r="C2818" s="76">
        <v>44000</v>
      </c>
      <c r="D2818">
        <v>1011</v>
      </c>
      <c r="E2818">
        <v>113</v>
      </c>
      <c r="F2818">
        <v>1909</v>
      </c>
      <c r="G2818">
        <v>1335</v>
      </c>
      <c r="H2818">
        <v>43.1</v>
      </c>
      <c r="I2818">
        <v>31.3</v>
      </c>
      <c r="J2818">
        <v>54.9</v>
      </c>
      <c r="K2818">
        <v>61</v>
      </c>
      <c r="L2818">
        <v>0</v>
      </c>
      <c r="M2818">
        <v>126</v>
      </c>
      <c r="N2818">
        <v>2.6</v>
      </c>
      <c r="O2818">
        <v>1.4</v>
      </c>
      <c r="P2818">
        <v>3.8</v>
      </c>
      <c r="Q2818">
        <f t="shared" si="86"/>
        <v>770026</v>
      </c>
      <c r="R2818">
        <f t="shared" si="85"/>
        <v>7.9218104323750103</v>
      </c>
      <c r="U2818">
        <v>115</v>
      </c>
      <c r="V2818">
        <v>0</v>
      </c>
      <c r="W2818">
        <v>241</v>
      </c>
      <c r="X2818">
        <v>282</v>
      </c>
      <c r="Y2818">
        <v>28.9</v>
      </c>
      <c r="Z2818">
        <v>17.5</v>
      </c>
      <c r="AA2818">
        <v>40.4</v>
      </c>
    </row>
    <row r="2819" spans="1:27" x14ac:dyDescent="0.25">
      <c r="A2819" t="s">
        <v>252</v>
      </c>
      <c r="B2819" t="s">
        <v>219</v>
      </c>
      <c r="C2819" s="76">
        <v>44001</v>
      </c>
      <c r="D2819">
        <v>990</v>
      </c>
      <c r="E2819">
        <v>123</v>
      </c>
      <c r="F2819">
        <v>1857</v>
      </c>
      <c r="G2819">
        <v>1298</v>
      </c>
      <c r="H2819">
        <v>43.3</v>
      </c>
      <c r="I2819">
        <v>32.5</v>
      </c>
      <c r="J2819">
        <v>54</v>
      </c>
      <c r="K2819">
        <v>62</v>
      </c>
      <c r="L2819">
        <v>0</v>
      </c>
      <c r="M2819">
        <v>137</v>
      </c>
      <c r="N2819">
        <v>2.7</v>
      </c>
      <c r="O2819">
        <v>0.9</v>
      </c>
      <c r="P2819">
        <v>4.5999999999999996</v>
      </c>
      <c r="Q2819">
        <f t="shared" si="86"/>
        <v>770026</v>
      </c>
      <c r="R2819">
        <f t="shared" si="85"/>
        <v>8.0516761771680425</v>
      </c>
      <c r="U2819">
        <v>105</v>
      </c>
      <c r="V2819">
        <v>0</v>
      </c>
      <c r="W2819">
        <v>221</v>
      </c>
      <c r="X2819">
        <v>284</v>
      </c>
      <c r="Y2819">
        <v>27</v>
      </c>
      <c r="Z2819">
        <v>17.399999999999999</v>
      </c>
      <c r="AA2819">
        <v>36.6</v>
      </c>
    </row>
    <row r="2820" spans="1:27" x14ac:dyDescent="0.25">
      <c r="A2820" t="s">
        <v>252</v>
      </c>
      <c r="B2820" t="s">
        <v>219</v>
      </c>
      <c r="C2820" s="76">
        <v>44002</v>
      </c>
      <c r="D2820">
        <v>946</v>
      </c>
      <c r="E2820">
        <v>61</v>
      </c>
      <c r="F2820">
        <v>1832</v>
      </c>
      <c r="G2820">
        <v>1298</v>
      </c>
      <c r="H2820">
        <v>42.2</v>
      </c>
      <c r="I2820">
        <v>28.9</v>
      </c>
      <c r="J2820">
        <v>55.4</v>
      </c>
      <c r="K2820">
        <v>46</v>
      </c>
      <c r="L2820">
        <v>0</v>
      </c>
      <c r="M2820">
        <v>99</v>
      </c>
      <c r="N2820">
        <v>2</v>
      </c>
      <c r="O2820">
        <v>0.6</v>
      </c>
      <c r="P2820">
        <v>3.5</v>
      </c>
      <c r="Q2820">
        <f t="shared" si="86"/>
        <v>770026</v>
      </c>
      <c r="R2820">
        <f t="shared" si="85"/>
        <v>5.9738242604795166</v>
      </c>
      <c r="U2820">
        <v>119</v>
      </c>
      <c r="V2820">
        <v>0</v>
      </c>
      <c r="W2820">
        <v>258</v>
      </c>
      <c r="X2820">
        <v>267</v>
      </c>
      <c r="Y2820">
        <v>30.9</v>
      </c>
      <c r="Z2820">
        <v>21.7</v>
      </c>
      <c r="AA2820">
        <v>40.1</v>
      </c>
    </row>
    <row r="2821" spans="1:27" x14ac:dyDescent="0.25">
      <c r="A2821" t="s">
        <v>252</v>
      </c>
      <c r="B2821" t="s">
        <v>219</v>
      </c>
      <c r="C2821" s="76">
        <v>44003</v>
      </c>
      <c r="D2821">
        <v>906</v>
      </c>
      <c r="E2821">
        <v>115</v>
      </c>
      <c r="F2821">
        <v>1696</v>
      </c>
      <c r="G2821">
        <v>1385</v>
      </c>
      <c r="H2821">
        <v>39.5</v>
      </c>
      <c r="I2821">
        <v>29.4</v>
      </c>
      <c r="J2821">
        <v>49.7</v>
      </c>
      <c r="K2821">
        <v>32</v>
      </c>
      <c r="L2821">
        <v>0</v>
      </c>
      <c r="M2821">
        <v>75</v>
      </c>
      <c r="N2821">
        <v>1.4</v>
      </c>
      <c r="O2821">
        <v>0.4</v>
      </c>
      <c r="P2821">
        <v>2.4</v>
      </c>
      <c r="Q2821">
        <f t="shared" si="86"/>
        <v>770026</v>
      </c>
      <c r="R2821">
        <f t="shared" ref="R2821:R2884" si="87">K2821/(Q2821)*100000</f>
        <v>4.1557038333770544</v>
      </c>
      <c r="U2821">
        <v>106</v>
      </c>
      <c r="V2821">
        <v>0</v>
      </c>
      <c r="W2821">
        <v>235</v>
      </c>
      <c r="X2821">
        <v>286</v>
      </c>
      <c r="Y2821">
        <v>27.1</v>
      </c>
      <c r="Z2821">
        <v>21.3</v>
      </c>
      <c r="AA2821">
        <v>32.9</v>
      </c>
    </row>
    <row r="2822" spans="1:27" x14ac:dyDescent="0.25">
      <c r="A2822" t="s">
        <v>252</v>
      </c>
      <c r="B2822" t="s">
        <v>219</v>
      </c>
      <c r="C2822" s="76">
        <v>44004</v>
      </c>
      <c r="D2822">
        <v>926</v>
      </c>
      <c r="E2822">
        <v>74</v>
      </c>
      <c r="F2822">
        <v>1779</v>
      </c>
      <c r="G2822">
        <v>1404</v>
      </c>
      <c r="H2822">
        <v>39.799999999999997</v>
      </c>
      <c r="I2822">
        <v>26.7</v>
      </c>
      <c r="J2822">
        <v>52.8</v>
      </c>
      <c r="K2822">
        <v>40</v>
      </c>
      <c r="L2822">
        <v>0</v>
      </c>
      <c r="M2822">
        <v>93</v>
      </c>
      <c r="N2822">
        <v>1.7</v>
      </c>
      <c r="O2822">
        <v>0.4</v>
      </c>
      <c r="P2822">
        <v>3</v>
      </c>
      <c r="Q2822">
        <f t="shared" si="86"/>
        <v>770026</v>
      </c>
      <c r="R2822">
        <f t="shared" si="87"/>
        <v>5.1946297917213187</v>
      </c>
      <c r="U2822">
        <v>133</v>
      </c>
      <c r="V2822">
        <v>0</v>
      </c>
      <c r="W2822">
        <v>295</v>
      </c>
      <c r="X2822">
        <v>264</v>
      </c>
      <c r="Y2822">
        <v>33.5</v>
      </c>
      <c r="Z2822">
        <v>23</v>
      </c>
      <c r="AA2822">
        <v>44</v>
      </c>
    </row>
    <row r="2823" spans="1:27" x14ac:dyDescent="0.25">
      <c r="A2823" t="s">
        <v>252</v>
      </c>
      <c r="B2823" t="s">
        <v>219</v>
      </c>
      <c r="C2823" s="76">
        <v>44005</v>
      </c>
      <c r="D2823">
        <v>1058</v>
      </c>
      <c r="E2823">
        <v>71</v>
      </c>
      <c r="F2823">
        <v>2044</v>
      </c>
      <c r="G2823">
        <v>1272</v>
      </c>
      <c r="H2823">
        <v>45.4</v>
      </c>
      <c r="I2823">
        <v>28.8</v>
      </c>
      <c r="J2823">
        <v>61.9</v>
      </c>
      <c r="K2823">
        <v>37</v>
      </c>
      <c r="L2823">
        <v>0</v>
      </c>
      <c r="M2823">
        <v>79</v>
      </c>
      <c r="N2823">
        <v>1.6</v>
      </c>
      <c r="O2823">
        <v>0.7</v>
      </c>
      <c r="P2823">
        <v>2.4</v>
      </c>
      <c r="Q2823">
        <f t="shared" si="86"/>
        <v>770026</v>
      </c>
      <c r="R2823">
        <f t="shared" si="87"/>
        <v>4.8050325573422192</v>
      </c>
      <c r="U2823">
        <v>118</v>
      </c>
      <c r="V2823">
        <v>0</v>
      </c>
      <c r="W2823">
        <v>265</v>
      </c>
      <c r="X2823">
        <v>279</v>
      </c>
      <c r="Y2823">
        <v>29.8</v>
      </c>
      <c r="Z2823">
        <v>16.2</v>
      </c>
      <c r="AA2823">
        <v>43.4</v>
      </c>
    </row>
    <row r="2824" spans="1:27" x14ac:dyDescent="0.25">
      <c r="A2824" t="s">
        <v>252</v>
      </c>
      <c r="B2824" t="s">
        <v>219</v>
      </c>
      <c r="C2824" s="76">
        <v>44006</v>
      </c>
      <c r="D2824">
        <v>926</v>
      </c>
      <c r="E2824">
        <v>0</v>
      </c>
      <c r="F2824">
        <v>1886</v>
      </c>
      <c r="G2824">
        <v>1048</v>
      </c>
      <c r="H2824">
        <v>46.9</v>
      </c>
      <c r="I2824">
        <v>32.5</v>
      </c>
      <c r="J2824">
        <v>61.3</v>
      </c>
      <c r="K2824">
        <v>52</v>
      </c>
      <c r="L2824">
        <v>0</v>
      </c>
      <c r="M2824">
        <v>113</v>
      </c>
      <c r="N2824">
        <v>2.6</v>
      </c>
      <c r="O2824">
        <v>1.3</v>
      </c>
      <c r="P2824">
        <v>3.9</v>
      </c>
      <c r="Q2824">
        <f t="shared" si="86"/>
        <v>770026</v>
      </c>
      <c r="R2824">
        <f t="shared" si="87"/>
        <v>6.7530187292377137</v>
      </c>
      <c r="U2824">
        <v>100</v>
      </c>
      <c r="V2824">
        <v>0</v>
      </c>
      <c r="W2824">
        <v>227</v>
      </c>
      <c r="X2824">
        <v>274</v>
      </c>
      <c r="Y2824">
        <v>26.7</v>
      </c>
      <c r="Z2824">
        <v>20.2</v>
      </c>
      <c r="AA2824">
        <v>33.200000000000003</v>
      </c>
    </row>
    <row r="2825" spans="1:27" x14ac:dyDescent="0.25">
      <c r="A2825" t="s">
        <v>252</v>
      </c>
      <c r="B2825" t="s">
        <v>219</v>
      </c>
      <c r="C2825" s="76">
        <v>44007</v>
      </c>
      <c r="D2825">
        <v>1040</v>
      </c>
      <c r="E2825">
        <v>66</v>
      </c>
      <c r="F2825">
        <v>2015</v>
      </c>
      <c r="G2825">
        <v>1251</v>
      </c>
      <c r="H2825">
        <v>45.4</v>
      </c>
      <c r="I2825">
        <v>31.9</v>
      </c>
      <c r="J2825">
        <v>59</v>
      </c>
      <c r="K2825">
        <v>66</v>
      </c>
      <c r="L2825">
        <v>7</v>
      </c>
      <c r="M2825">
        <v>124</v>
      </c>
      <c r="N2825">
        <v>2.9</v>
      </c>
      <c r="O2825">
        <v>1.3</v>
      </c>
      <c r="P2825">
        <v>4.4000000000000004</v>
      </c>
      <c r="Q2825">
        <f t="shared" si="86"/>
        <v>770026</v>
      </c>
      <c r="R2825">
        <f t="shared" si="87"/>
        <v>8.5711391563401751</v>
      </c>
      <c r="U2825">
        <v>112</v>
      </c>
      <c r="V2825">
        <v>0</v>
      </c>
      <c r="W2825">
        <v>246</v>
      </c>
      <c r="X2825">
        <v>285</v>
      </c>
      <c r="Y2825">
        <v>28.2</v>
      </c>
      <c r="Z2825">
        <v>20.3</v>
      </c>
      <c r="AA2825">
        <v>36.200000000000003</v>
      </c>
    </row>
    <row r="2826" spans="1:27" x14ac:dyDescent="0.25">
      <c r="A2826" t="s">
        <v>252</v>
      </c>
      <c r="B2826" t="s">
        <v>219</v>
      </c>
      <c r="C2826" s="76">
        <v>44008</v>
      </c>
      <c r="D2826">
        <v>1030</v>
      </c>
      <c r="E2826">
        <v>65</v>
      </c>
      <c r="F2826">
        <v>1996</v>
      </c>
      <c r="G2826">
        <v>1300</v>
      </c>
      <c r="H2826">
        <v>44.2</v>
      </c>
      <c r="I2826">
        <v>30.9</v>
      </c>
      <c r="J2826">
        <v>57.5</v>
      </c>
      <c r="K2826">
        <v>43</v>
      </c>
      <c r="L2826">
        <v>0</v>
      </c>
      <c r="M2826">
        <v>87</v>
      </c>
      <c r="N2826">
        <v>1.8</v>
      </c>
      <c r="O2826">
        <v>1.2</v>
      </c>
      <c r="P2826">
        <v>2.5</v>
      </c>
      <c r="Q2826">
        <f t="shared" si="86"/>
        <v>770026</v>
      </c>
      <c r="R2826">
        <f t="shared" si="87"/>
        <v>5.5842270261004172</v>
      </c>
      <c r="U2826">
        <v>125</v>
      </c>
      <c r="V2826">
        <v>0</v>
      </c>
      <c r="W2826">
        <v>278</v>
      </c>
      <c r="X2826">
        <v>272</v>
      </c>
      <c r="Y2826">
        <v>31.5</v>
      </c>
      <c r="Z2826">
        <v>22.1</v>
      </c>
      <c r="AA2826">
        <v>40.9</v>
      </c>
    </row>
    <row r="2827" spans="1:27" x14ac:dyDescent="0.25">
      <c r="A2827" t="s">
        <v>252</v>
      </c>
      <c r="B2827" t="s">
        <v>219</v>
      </c>
      <c r="C2827" s="76">
        <v>44009</v>
      </c>
      <c r="D2827">
        <v>985</v>
      </c>
      <c r="E2827">
        <v>123</v>
      </c>
      <c r="F2827">
        <v>1847</v>
      </c>
      <c r="G2827">
        <v>1345</v>
      </c>
      <c r="H2827">
        <v>42.3</v>
      </c>
      <c r="I2827">
        <v>31.1</v>
      </c>
      <c r="J2827">
        <v>53.5</v>
      </c>
      <c r="K2827">
        <v>43</v>
      </c>
      <c r="L2827">
        <v>0</v>
      </c>
      <c r="M2827">
        <v>87</v>
      </c>
      <c r="N2827">
        <v>1.8</v>
      </c>
      <c r="O2827">
        <v>0.9</v>
      </c>
      <c r="P2827">
        <v>2.8</v>
      </c>
      <c r="Q2827">
        <f t="shared" si="86"/>
        <v>770026</v>
      </c>
      <c r="R2827">
        <f t="shared" si="87"/>
        <v>5.5842270261004172</v>
      </c>
      <c r="U2827">
        <v>126</v>
      </c>
      <c r="V2827">
        <v>0</v>
      </c>
      <c r="W2827">
        <v>281</v>
      </c>
      <c r="X2827">
        <v>271</v>
      </c>
      <c r="Y2827">
        <v>31.8</v>
      </c>
      <c r="Z2827">
        <v>23.6</v>
      </c>
      <c r="AA2827">
        <v>40.1</v>
      </c>
    </row>
    <row r="2828" spans="1:27" x14ac:dyDescent="0.25">
      <c r="A2828" t="s">
        <v>252</v>
      </c>
      <c r="B2828" t="s">
        <v>219</v>
      </c>
      <c r="C2828" s="76">
        <v>44010</v>
      </c>
      <c r="D2828">
        <v>944</v>
      </c>
      <c r="E2828">
        <v>112</v>
      </c>
      <c r="F2828">
        <v>1775</v>
      </c>
      <c r="G2828">
        <v>1386</v>
      </c>
      <c r="H2828">
        <v>40.5</v>
      </c>
      <c r="I2828">
        <v>28.8</v>
      </c>
      <c r="J2828">
        <v>52.2</v>
      </c>
      <c r="K2828">
        <v>62</v>
      </c>
      <c r="L2828">
        <v>0</v>
      </c>
      <c r="M2828">
        <v>137</v>
      </c>
      <c r="N2828">
        <v>2.7</v>
      </c>
      <c r="O2828">
        <v>0.5</v>
      </c>
      <c r="P2828">
        <v>4.9000000000000004</v>
      </c>
      <c r="Q2828">
        <f t="shared" si="86"/>
        <v>770026</v>
      </c>
      <c r="R2828">
        <f t="shared" si="87"/>
        <v>8.0516761771680425</v>
      </c>
      <c r="U2828">
        <v>131</v>
      </c>
      <c r="V2828">
        <v>0</v>
      </c>
      <c r="W2828">
        <v>290</v>
      </c>
      <c r="X2828">
        <v>254</v>
      </c>
      <c r="Y2828">
        <v>34</v>
      </c>
      <c r="Z2828">
        <v>18.899999999999999</v>
      </c>
      <c r="AA2828">
        <v>49</v>
      </c>
    </row>
    <row r="2829" spans="1:27" x14ac:dyDescent="0.25">
      <c r="A2829" t="s">
        <v>252</v>
      </c>
      <c r="B2829" t="s">
        <v>219</v>
      </c>
      <c r="C2829" s="76">
        <v>44011</v>
      </c>
      <c r="D2829">
        <v>965</v>
      </c>
      <c r="E2829">
        <v>105</v>
      </c>
      <c r="F2829">
        <v>1825</v>
      </c>
      <c r="G2829">
        <v>1301</v>
      </c>
      <c r="H2829">
        <v>42.6</v>
      </c>
      <c r="I2829">
        <v>32.299999999999997</v>
      </c>
      <c r="J2829">
        <v>52.9</v>
      </c>
      <c r="K2829">
        <v>63</v>
      </c>
      <c r="L2829">
        <v>0</v>
      </c>
      <c r="M2829">
        <v>131</v>
      </c>
      <c r="N2829">
        <v>2.8</v>
      </c>
      <c r="O2829">
        <v>1.6</v>
      </c>
      <c r="P2829">
        <v>4</v>
      </c>
      <c r="Q2829">
        <f t="shared" si="86"/>
        <v>770026</v>
      </c>
      <c r="R2829">
        <f t="shared" si="87"/>
        <v>8.1815419219610774</v>
      </c>
      <c r="U2829">
        <v>123</v>
      </c>
      <c r="V2829">
        <v>0</v>
      </c>
      <c r="W2829">
        <v>278</v>
      </c>
      <c r="X2829">
        <v>273</v>
      </c>
      <c r="Y2829">
        <v>31</v>
      </c>
      <c r="Z2829">
        <v>24.5</v>
      </c>
      <c r="AA2829">
        <v>37.5</v>
      </c>
    </row>
    <row r="2830" spans="1:27" x14ac:dyDescent="0.25">
      <c r="A2830" t="s">
        <v>252</v>
      </c>
      <c r="B2830" t="s">
        <v>219</v>
      </c>
      <c r="C2830" s="76">
        <v>44012</v>
      </c>
      <c r="D2830">
        <v>1142</v>
      </c>
      <c r="E2830">
        <v>127</v>
      </c>
      <c r="F2830">
        <v>2158</v>
      </c>
      <c r="G2830">
        <v>1177</v>
      </c>
      <c r="H2830">
        <v>49.3</v>
      </c>
      <c r="I2830">
        <v>37.4</v>
      </c>
      <c r="J2830">
        <v>61.2</v>
      </c>
      <c r="K2830">
        <v>41</v>
      </c>
      <c r="L2830">
        <v>0</v>
      </c>
      <c r="M2830">
        <v>90</v>
      </c>
      <c r="N2830">
        <v>1.8</v>
      </c>
      <c r="O2830">
        <v>0.8</v>
      </c>
      <c r="P2830">
        <v>2.7</v>
      </c>
      <c r="Q2830">
        <f t="shared" si="86"/>
        <v>770026</v>
      </c>
      <c r="R2830">
        <f t="shared" si="87"/>
        <v>5.3244955365143518</v>
      </c>
      <c r="U2830">
        <v>143</v>
      </c>
      <c r="V2830">
        <v>0</v>
      </c>
      <c r="W2830">
        <v>320</v>
      </c>
      <c r="X2830">
        <v>258</v>
      </c>
      <c r="Y2830">
        <v>35.6</v>
      </c>
      <c r="Z2830">
        <v>27.8</v>
      </c>
      <c r="AA2830">
        <v>43.4</v>
      </c>
    </row>
    <row r="2831" spans="1:27" x14ac:dyDescent="0.25">
      <c r="A2831" t="s">
        <v>252</v>
      </c>
      <c r="B2831" t="s">
        <v>219</v>
      </c>
      <c r="C2831" s="76">
        <v>44013</v>
      </c>
      <c r="D2831">
        <v>1196</v>
      </c>
      <c r="E2831">
        <v>85</v>
      </c>
      <c r="F2831">
        <v>2306</v>
      </c>
      <c r="G2831">
        <v>938</v>
      </c>
      <c r="H2831">
        <v>56</v>
      </c>
      <c r="I2831">
        <v>42.8</v>
      </c>
      <c r="J2831">
        <v>69.3</v>
      </c>
      <c r="K2831">
        <v>68</v>
      </c>
      <c r="L2831">
        <v>0</v>
      </c>
      <c r="M2831">
        <v>144</v>
      </c>
      <c r="N2831">
        <v>3.2</v>
      </c>
      <c r="O2831">
        <v>1.8</v>
      </c>
      <c r="P2831">
        <v>4.5</v>
      </c>
      <c r="Q2831">
        <f t="shared" si="86"/>
        <v>770026</v>
      </c>
      <c r="R2831">
        <f t="shared" si="87"/>
        <v>8.8308706459262414</v>
      </c>
      <c r="U2831">
        <v>135</v>
      </c>
      <c r="V2831">
        <v>0</v>
      </c>
      <c r="W2831">
        <v>295</v>
      </c>
      <c r="X2831">
        <v>257</v>
      </c>
      <c r="Y2831">
        <v>34.4</v>
      </c>
      <c r="Z2831">
        <v>23.1</v>
      </c>
      <c r="AA2831">
        <v>45.8</v>
      </c>
    </row>
    <row r="2832" spans="1:27" x14ac:dyDescent="0.25">
      <c r="A2832" t="s">
        <v>252</v>
      </c>
      <c r="B2832" t="s">
        <v>219</v>
      </c>
      <c r="C2832" s="76">
        <v>44014</v>
      </c>
      <c r="D2832">
        <v>1155</v>
      </c>
      <c r="E2832">
        <v>81</v>
      </c>
      <c r="F2832">
        <v>2229</v>
      </c>
      <c r="G2832">
        <v>1023</v>
      </c>
      <c r="H2832">
        <v>53</v>
      </c>
      <c r="I2832">
        <v>40.200000000000003</v>
      </c>
      <c r="J2832">
        <v>65.900000000000006</v>
      </c>
      <c r="K2832">
        <v>53</v>
      </c>
      <c r="L2832">
        <v>0</v>
      </c>
      <c r="M2832">
        <v>121</v>
      </c>
      <c r="N2832">
        <v>2.4</v>
      </c>
      <c r="O2832">
        <v>0.9</v>
      </c>
      <c r="P2832">
        <v>3.9</v>
      </c>
      <c r="Q2832">
        <f t="shared" si="86"/>
        <v>770026</v>
      </c>
      <c r="R2832">
        <f t="shared" si="87"/>
        <v>6.8828844740307478</v>
      </c>
      <c r="U2832">
        <v>153</v>
      </c>
      <c r="V2832">
        <v>0</v>
      </c>
      <c r="W2832">
        <v>343</v>
      </c>
      <c r="X2832">
        <v>252</v>
      </c>
      <c r="Y2832">
        <v>37.9</v>
      </c>
      <c r="Z2832">
        <v>28.8</v>
      </c>
      <c r="AA2832">
        <v>46.9</v>
      </c>
    </row>
    <row r="2833" spans="1:27" x14ac:dyDescent="0.25">
      <c r="A2833" t="s">
        <v>252</v>
      </c>
      <c r="B2833" t="s">
        <v>219</v>
      </c>
      <c r="C2833" s="76">
        <v>44015</v>
      </c>
      <c r="D2833">
        <v>1018</v>
      </c>
      <c r="E2833">
        <v>79</v>
      </c>
      <c r="F2833">
        <v>1957</v>
      </c>
      <c r="G2833">
        <v>1366</v>
      </c>
      <c r="H2833">
        <v>42.7</v>
      </c>
      <c r="I2833">
        <v>29.3</v>
      </c>
      <c r="J2833">
        <v>56.2</v>
      </c>
      <c r="K2833">
        <v>39</v>
      </c>
      <c r="L2833">
        <v>0</v>
      </c>
      <c r="M2833">
        <v>79</v>
      </c>
      <c r="N2833">
        <v>1.6</v>
      </c>
      <c r="O2833">
        <v>1</v>
      </c>
      <c r="P2833">
        <v>2.2000000000000002</v>
      </c>
      <c r="Q2833">
        <f t="shared" si="86"/>
        <v>770026</v>
      </c>
      <c r="R2833">
        <f t="shared" si="87"/>
        <v>5.0647640469282855</v>
      </c>
      <c r="U2833">
        <v>149</v>
      </c>
      <c r="V2833">
        <v>0</v>
      </c>
      <c r="W2833">
        <v>332</v>
      </c>
      <c r="X2833">
        <v>259</v>
      </c>
      <c r="Y2833">
        <v>36.4</v>
      </c>
      <c r="Z2833">
        <v>27.6</v>
      </c>
      <c r="AA2833">
        <v>45.3</v>
      </c>
    </row>
    <row r="2834" spans="1:27" x14ac:dyDescent="0.25">
      <c r="A2834" t="s">
        <v>252</v>
      </c>
      <c r="B2834" t="s">
        <v>219</v>
      </c>
      <c r="C2834" s="76">
        <v>44016</v>
      </c>
      <c r="D2834">
        <v>932</v>
      </c>
      <c r="E2834">
        <v>119</v>
      </c>
      <c r="F2834">
        <v>1746</v>
      </c>
      <c r="G2834">
        <v>1452</v>
      </c>
      <c r="H2834">
        <v>39.1</v>
      </c>
      <c r="I2834">
        <v>27.3</v>
      </c>
      <c r="J2834">
        <v>50.9</v>
      </c>
      <c r="K2834">
        <v>53</v>
      </c>
      <c r="L2834">
        <v>0</v>
      </c>
      <c r="M2834">
        <v>118</v>
      </c>
      <c r="N2834">
        <v>2.2000000000000002</v>
      </c>
      <c r="O2834">
        <v>0.9</v>
      </c>
      <c r="P2834">
        <v>3.5</v>
      </c>
      <c r="Q2834">
        <f t="shared" si="86"/>
        <v>770026</v>
      </c>
      <c r="R2834">
        <f t="shared" si="87"/>
        <v>6.8828844740307478</v>
      </c>
      <c r="U2834">
        <v>128</v>
      </c>
      <c r="V2834">
        <v>0</v>
      </c>
      <c r="W2834">
        <v>283</v>
      </c>
      <c r="X2834">
        <v>280</v>
      </c>
      <c r="Y2834">
        <v>31.4</v>
      </c>
      <c r="Z2834">
        <v>20.5</v>
      </c>
      <c r="AA2834">
        <v>42.3</v>
      </c>
    </row>
    <row r="2835" spans="1:27" x14ac:dyDescent="0.25">
      <c r="A2835" t="s">
        <v>252</v>
      </c>
      <c r="B2835" t="s">
        <v>219</v>
      </c>
      <c r="C2835" s="76">
        <v>44017</v>
      </c>
      <c r="D2835">
        <v>939</v>
      </c>
      <c r="E2835">
        <v>120</v>
      </c>
      <c r="F2835">
        <v>1758</v>
      </c>
      <c r="G2835">
        <v>1445</v>
      </c>
      <c r="H2835">
        <v>39.4</v>
      </c>
      <c r="I2835">
        <v>28.6</v>
      </c>
      <c r="J2835">
        <v>50.2</v>
      </c>
      <c r="K2835">
        <v>49</v>
      </c>
      <c r="L2835">
        <v>0</v>
      </c>
      <c r="M2835">
        <v>122</v>
      </c>
      <c r="N2835">
        <v>2.1</v>
      </c>
      <c r="O2835">
        <v>0</v>
      </c>
      <c r="P2835">
        <v>4.0999999999999996</v>
      </c>
      <c r="Q2835">
        <f t="shared" si="86"/>
        <v>770026</v>
      </c>
      <c r="R2835">
        <f t="shared" si="87"/>
        <v>6.3634214948586143</v>
      </c>
      <c r="U2835">
        <v>133</v>
      </c>
      <c r="V2835">
        <v>0</v>
      </c>
      <c r="W2835">
        <v>293</v>
      </c>
      <c r="X2835">
        <v>275</v>
      </c>
      <c r="Y2835">
        <v>32.6</v>
      </c>
      <c r="Z2835">
        <v>24.5</v>
      </c>
      <c r="AA2835">
        <v>40.700000000000003</v>
      </c>
    </row>
    <row r="2836" spans="1:27" x14ac:dyDescent="0.25">
      <c r="A2836" t="s">
        <v>252</v>
      </c>
      <c r="B2836" t="s">
        <v>219</v>
      </c>
      <c r="C2836" s="76">
        <v>44018</v>
      </c>
      <c r="D2836">
        <v>971</v>
      </c>
      <c r="E2836">
        <v>110</v>
      </c>
      <c r="F2836">
        <v>1832</v>
      </c>
      <c r="G2836">
        <v>1413</v>
      </c>
      <c r="H2836">
        <v>40.700000000000003</v>
      </c>
      <c r="I2836">
        <v>29.2</v>
      </c>
      <c r="J2836">
        <v>52.3</v>
      </c>
      <c r="K2836">
        <v>109</v>
      </c>
      <c r="L2836">
        <v>0</v>
      </c>
      <c r="M2836">
        <v>260</v>
      </c>
      <c r="N2836">
        <v>4.5999999999999996</v>
      </c>
      <c r="O2836">
        <v>0.8</v>
      </c>
      <c r="P2836">
        <v>8.3000000000000007</v>
      </c>
      <c r="Q2836">
        <f t="shared" si="86"/>
        <v>770026</v>
      </c>
      <c r="R2836">
        <f t="shared" si="87"/>
        <v>14.155366182440593</v>
      </c>
      <c r="U2836">
        <v>109</v>
      </c>
      <c r="V2836">
        <v>0</v>
      </c>
      <c r="W2836">
        <v>242</v>
      </c>
      <c r="X2836">
        <v>299</v>
      </c>
      <c r="Y2836">
        <v>26.7</v>
      </c>
      <c r="Z2836">
        <v>17.8</v>
      </c>
      <c r="AA2836">
        <v>35.700000000000003</v>
      </c>
    </row>
    <row r="2837" spans="1:27" x14ac:dyDescent="0.25">
      <c r="A2837" t="s">
        <v>252</v>
      </c>
      <c r="B2837" t="s">
        <v>219</v>
      </c>
      <c r="C2837" s="76">
        <v>44019</v>
      </c>
      <c r="D2837">
        <v>1127</v>
      </c>
      <c r="E2837">
        <v>97</v>
      </c>
      <c r="F2837">
        <v>2157</v>
      </c>
      <c r="G2837">
        <v>1257</v>
      </c>
      <c r="H2837">
        <v>47.3</v>
      </c>
      <c r="I2837">
        <v>30.2</v>
      </c>
      <c r="J2837">
        <v>64.400000000000006</v>
      </c>
      <c r="K2837">
        <v>93</v>
      </c>
      <c r="L2837">
        <v>0</v>
      </c>
      <c r="M2837">
        <v>212</v>
      </c>
      <c r="N2837">
        <v>3.9</v>
      </c>
      <c r="O2837">
        <v>1.1000000000000001</v>
      </c>
      <c r="P2837">
        <v>6.7</v>
      </c>
      <c r="Q2837">
        <f t="shared" si="86"/>
        <v>770026</v>
      </c>
      <c r="R2837">
        <f t="shared" si="87"/>
        <v>12.077514265752065</v>
      </c>
      <c r="U2837">
        <v>132</v>
      </c>
      <c r="V2837">
        <v>0</v>
      </c>
      <c r="W2837">
        <v>287</v>
      </c>
      <c r="X2837">
        <v>276</v>
      </c>
      <c r="Y2837">
        <v>32.4</v>
      </c>
      <c r="Z2837">
        <v>21.4</v>
      </c>
      <c r="AA2837">
        <v>43.3</v>
      </c>
    </row>
    <row r="2838" spans="1:27" x14ac:dyDescent="0.25">
      <c r="A2838" t="s">
        <v>253</v>
      </c>
      <c r="B2838" t="s">
        <v>209</v>
      </c>
      <c r="C2838" s="76">
        <v>43922</v>
      </c>
      <c r="D2838">
        <v>2244</v>
      </c>
      <c r="E2838">
        <v>938</v>
      </c>
      <c r="F2838">
        <v>3550</v>
      </c>
      <c r="G2838">
        <v>2871</v>
      </c>
      <c r="H2838">
        <v>43.9</v>
      </c>
      <c r="I2838">
        <v>35.200000000000003</v>
      </c>
      <c r="J2838">
        <v>52.5</v>
      </c>
      <c r="K2838">
        <v>207</v>
      </c>
      <c r="L2838">
        <v>57</v>
      </c>
      <c r="M2838">
        <v>358</v>
      </c>
      <c r="N2838">
        <v>4.0999999999999996</v>
      </c>
      <c r="O2838">
        <v>1.8</v>
      </c>
      <c r="P2838">
        <v>6.3</v>
      </c>
      <c r="Q2838">
        <f t="shared" si="86"/>
        <v>1951996</v>
      </c>
      <c r="R2838">
        <f t="shared" si="87"/>
        <v>10.604529927315426</v>
      </c>
      <c r="U2838">
        <v>415</v>
      </c>
      <c r="V2838">
        <v>151</v>
      </c>
      <c r="W2838">
        <v>679</v>
      </c>
      <c r="X2838">
        <v>262</v>
      </c>
      <c r="Y2838">
        <v>61.3</v>
      </c>
      <c r="Z2838">
        <v>49.2</v>
      </c>
      <c r="AA2838">
        <v>73.400000000000006</v>
      </c>
    </row>
    <row r="2839" spans="1:27" x14ac:dyDescent="0.25">
      <c r="A2839" t="s">
        <v>253</v>
      </c>
      <c r="B2839" t="s">
        <v>209</v>
      </c>
      <c r="C2839" s="76">
        <v>43923</v>
      </c>
      <c r="D2839">
        <v>2258</v>
      </c>
      <c r="E2839">
        <v>952</v>
      </c>
      <c r="F2839">
        <v>3564</v>
      </c>
      <c r="G2839">
        <v>2901</v>
      </c>
      <c r="H2839">
        <v>43.8</v>
      </c>
      <c r="I2839">
        <v>35.1</v>
      </c>
      <c r="J2839">
        <v>52.4</v>
      </c>
      <c r="K2839">
        <v>203</v>
      </c>
      <c r="L2839">
        <v>68</v>
      </c>
      <c r="M2839">
        <v>338</v>
      </c>
      <c r="N2839">
        <v>3.9</v>
      </c>
      <c r="O2839">
        <v>2.2000000000000002</v>
      </c>
      <c r="P2839">
        <v>5.7</v>
      </c>
      <c r="Q2839">
        <f t="shared" si="86"/>
        <v>1951996</v>
      </c>
      <c r="R2839">
        <f t="shared" si="87"/>
        <v>10.399611474613677</v>
      </c>
      <c r="U2839">
        <v>400</v>
      </c>
      <c r="V2839">
        <v>146</v>
      </c>
      <c r="W2839">
        <v>654</v>
      </c>
      <c r="X2839">
        <v>297</v>
      </c>
      <c r="Y2839">
        <v>57.4</v>
      </c>
      <c r="Z2839">
        <v>48.2</v>
      </c>
      <c r="AA2839">
        <v>66.599999999999994</v>
      </c>
    </row>
    <row r="2840" spans="1:27" x14ac:dyDescent="0.25">
      <c r="A2840" t="s">
        <v>253</v>
      </c>
      <c r="B2840" t="s">
        <v>209</v>
      </c>
      <c r="C2840" s="76">
        <v>43924</v>
      </c>
      <c r="D2840">
        <v>2092</v>
      </c>
      <c r="E2840">
        <v>953</v>
      </c>
      <c r="F2840">
        <v>3231</v>
      </c>
      <c r="G2840">
        <v>3168</v>
      </c>
      <c r="H2840">
        <v>39.799999999999997</v>
      </c>
      <c r="I2840">
        <v>32.200000000000003</v>
      </c>
      <c r="J2840">
        <v>47.3</v>
      </c>
      <c r="K2840">
        <v>211</v>
      </c>
      <c r="L2840">
        <v>86</v>
      </c>
      <c r="M2840">
        <v>336</v>
      </c>
      <c r="N2840">
        <v>4</v>
      </c>
      <c r="O2840">
        <v>2.5</v>
      </c>
      <c r="P2840">
        <v>5.6</v>
      </c>
      <c r="Q2840">
        <f t="shared" si="86"/>
        <v>1951996</v>
      </c>
      <c r="R2840">
        <f t="shared" si="87"/>
        <v>10.809448380017171</v>
      </c>
      <c r="U2840">
        <v>372</v>
      </c>
      <c r="V2840">
        <v>138</v>
      </c>
      <c r="W2840">
        <v>607</v>
      </c>
      <c r="X2840">
        <v>316</v>
      </c>
      <c r="Y2840">
        <v>54.1</v>
      </c>
      <c r="Z2840">
        <v>47.6</v>
      </c>
      <c r="AA2840">
        <v>60.6</v>
      </c>
    </row>
    <row r="2841" spans="1:27" x14ac:dyDescent="0.25">
      <c r="A2841" t="s">
        <v>253</v>
      </c>
      <c r="B2841" t="s">
        <v>209</v>
      </c>
      <c r="C2841" s="76">
        <v>43925</v>
      </c>
      <c r="D2841">
        <v>1989</v>
      </c>
      <c r="E2841">
        <v>897</v>
      </c>
      <c r="F2841">
        <v>3080</v>
      </c>
      <c r="G2841">
        <v>3270</v>
      </c>
      <c r="H2841">
        <v>37.799999999999997</v>
      </c>
      <c r="I2841">
        <v>30.4</v>
      </c>
      <c r="J2841">
        <v>45.3</v>
      </c>
      <c r="K2841">
        <v>219</v>
      </c>
      <c r="L2841">
        <v>93</v>
      </c>
      <c r="M2841">
        <v>344</v>
      </c>
      <c r="N2841">
        <v>4.2</v>
      </c>
      <c r="O2841">
        <v>2.6</v>
      </c>
      <c r="P2841">
        <v>5.7</v>
      </c>
      <c r="Q2841">
        <f t="shared" si="86"/>
        <v>1951996</v>
      </c>
      <c r="R2841">
        <f t="shared" si="87"/>
        <v>11.219285285420666</v>
      </c>
      <c r="U2841">
        <v>345</v>
      </c>
      <c r="V2841">
        <v>124</v>
      </c>
      <c r="W2841">
        <v>567</v>
      </c>
      <c r="X2841">
        <v>337</v>
      </c>
      <c r="Y2841">
        <v>50.6</v>
      </c>
      <c r="Z2841">
        <v>46</v>
      </c>
      <c r="AA2841">
        <v>55.3</v>
      </c>
    </row>
    <row r="2842" spans="1:27" x14ac:dyDescent="0.25">
      <c r="A2842" t="s">
        <v>253</v>
      </c>
      <c r="B2842" t="s">
        <v>209</v>
      </c>
      <c r="C2842" s="76">
        <v>43926</v>
      </c>
      <c r="D2842">
        <v>2033</v>
      </c>
      <c r="E2842">
        <v>909</v>
      </c>
      <c r="F2842">
        <v>3157</v>
      </c>
      <c r="G2842">
        <v>3227</v>
      </c>
      <c r="H2842">
        <v>38.700000000000003</v>
      </c>
      <c r="I2842">
        <v>31.1</v>
      </c>
      <c r="J2842">
        <v>46.2</v>
      </c>
      <c r="K2842">
        <v>208</v>
      </c>
      <c r="L2842">
        <v>91</v>
      </c>
      <c r="M2842">
        <v>325</v>
      </c>
      <c r="N2842">
        <v>4</v>
      </c>
      <c r="O2842">
        <v>2.4</v>
      </c>
      <c r="P2842">
        <v>5.5</v>
      </c>
      <c r="Q2842">
        <f t="shared" si="86"/>
        <v>1951996</v>
      </c>
      <c r="R2842">
        <f t="shared" si="87"/>
        <v>10.655759540490862</v>
      </c>
      <c r="U2842">
        <v>359</v>
      </c>
      <c r="V2842">
        <v>128</v>
      </c>
      <c r="W2842">
        <v>590</v>
      </c>
      <c r="X2842">
        <v>325</v>
      </c>
      <c r="Y2842">
        <v>52.5</v>
      </c>
      <c r="Z2842">
        <v>46.3</v>
      </c>
      <c r="AA2842">
        <v>58.6</v>
      </c>
    </row>
    <row r="2843" spans="1:27" x14ac:dyDescent="0.25">
      <c r="A2843" t="s">
        <v>253</v>
      </c>
      <c r="B2843" t="s">
        <v>209</v>
      </c>
      <c r="C2843" s="76">
        <v>43927</v>
      </c>
      <c r="D2843">
        <v>2153</v>
      </c>
      <c r="E2843">
        <v>978</v>
      </c>
      <c r="F2843">
        <v>3329</v>
      </c>
      <c r="G2843">
        <v>3083</v>
      </c>
      <c r="H2843">
        <v>41.1</v>
      </c>
      <c r="I2843">
        <v>34</v>
      </c>
      <c r="J2843">
        <v>48.3</v>
      </c>
      <c r="K2843">
        <v>267</v>
      </c>
      <c r="L2843">
        <v>119</v>
      </c>
      <c r="M2843">
        <v>415</v>
      </c>
      <c r="N2843">
        <v>5.0999999999999996</v>
      </c>
      <c r="O2843">
        <v>3.2</v>
      </c>
      <c r="P2843">
        <v>7</v>
      </c>
      <c r="Q2843">
        <f t="shared" si="86"/>
        <v>1951996</v>
      </c>
      <c r="R2843">
        <f t="shared" si="87"/>
        <v>13.678306717841636</v>
      </c>
      <c r="U2843">
        <v>397</v>
      </c>
      <c r="V2843">
        <v>145</v>
      </c>
      <c r="W2843">
        <v>649</v>
      </c>
      <c r="X2843">
        <v>304</v>
      </c>
      <c r="Y2843">
        <v>56.6</v>
      </c>
      <c r="Z2843">
        <v>50.1</v>
      </c>
      <c r="AA2843">
        <v>63.2</v>
      </c>
    </row>
    <row r="2844" spans="1:27" x14ac:dyDescent="0.25">
      <c r="A2844" t="s">
        <v>253</v>
      </c>
      <c r="B2844" t="s">
        <v>209</v>
      </c>
      <c r="C2844" s="76">
        <v>43928</v>
      </c>
      <c r="D2844">
        <v>2116</v>
      </c>
      <c r="E2844">
        <v>966</v>
      </c>
      <c r="F2844">
        <v>3266</v>
      </c>
      <c r="G2844">
        <v>3000</v>
      </c>
      <c r="H2844">
        <v>41.4</v>
      </c>
      <c r="I2844">
        <v>33.799999999999997</v>
      </c>
      <c r="J2844">
        <v>48.9</v>
      </c>
      <c r="K2844">
        <v>257</v>
      </c>
      <c r="L2844">
        <v>111</v>
      </c>
      <c r="M2844">
        <v>403</v>
      </c>
      <c r="N2844">
        <v>5</v>
      </c>
      <c r="O2844">
        <v>3.1</v>
      </c>
      <c r="P2844">
        <v>6.9</v>
      </c>
      <c r="Q2844">
        <f t="shared" si="86"/>
        <v>1951996</v>
      </c>
      <c r="R2844">
        <f t="shared" si="87"/>
        <v>13.166010586087266</v>
      </c>
      <c r="U2844">
        <v>370</v>
      </c>
      <c r="V2844">
        <v>137</v>
      </c>
      <c r="W2844">
        <v>603</v>
      </c>
      <c r="X2844">
        <v>283</v>
      </c>
      <c r="Y2844">
        <v>56.7</v>
      </c>
      <c r="Z2844">
        <v>49.5</v>
      </c>
      <c r="AA2844">
        <v>63.9</v>
      </c>
    </row>
    <row r="2845" spans="1:27" x14ac:dyDescent="0.25">
      <c r="A2845" t="s">
        <v>253</v>
      </c>
      <c r="B2845" t="s">
        <v>209</v>
      </c>
      <c r="C2845" s="76">
        <v>43929</v>
      </c>
      <c r="D2845">
        <v>2251</v>
      </c>
      <c r="E2845">
        <v>1054</v>
      </c>
      <c r="F2845">
        <v>3448</v>
      </c>
      <c r="G2845">
        <v>2951</v>
      </c>
      <c r="H2845">
        <v>43.3</v>
      </c>
      <c r="I2845">
        <v>35.799999999999997</v>
      </c>
      <c r="J2845">
        <v>50.8</v>
      </c>
      <c r="K2845">
        <v>274</v>
      </c>
      <c r="L2845">
        <v>117</v>
      </c>
      <c r="M2845">
        <v>431</v>
      </c>
      <c r="N2845">
        <v>5.3</v>
      </c>
      <c r="O2845">
        <v>3.4</v>
      </c>
      <c r="P2845">
        <v>7.1</v>
      </c>
      <c r="Q2845">
        <f t="shared" si="86"/>
        <v>1951996</v>
      </c>
      <c r="R2845">
        <f t="shared" si="87"/>
        <v>14.036914010069694</v>
      </c>
      <c r="U2845">
        <v>378</v>
      </c>
      <c r="V2845">
        <v>143</v>
      </c>
      <c r="W2845">
        <v>613</v>
      </c>
      <c r="X2845">
        <v>285</v>
      </c>
      <c r="Y2845">
        <v>57.1</v>
      </c>
      <c r="Z2845">
        <v>50.4</v>
      </c>
      <c r="AA2845">
        <v>63.8</v>
      </c>
    </row>
    <row r="2846" spans="1:27" x14ac:dyDescent="0.25">
      <c r="A2846" t="s">
        <v>253</v>
      </c>
      <c r="B2846" t="s">
        <v>209</v>
      </c>
      <c r="C2846" s="76">
        <v>43930</v>
      </c>
      <c r="D2846">
        <v>2272</v>
      </c>
      <c r="E2846">
        <v>1113</v>
      </c>
      <c r="F2846">
        <v>3431</v>
      </c>
      <c r="G2846">
        <v>2974</v>
      </c>
      <c r="H2846">
        <v>43.3</v>
      </c>
      <c r="I2846">
        <v>36</v>
      </c>
      <c r="J2846">
        <v>50.6</v>
      </c>
      <c r="K2846">
        <v>244</v>
      </c>
      <c r="L2846">
        <v>112</v>
      </c>
      <c r="M2846">
        <v>377</v>
      </c>
      <c r="N2846">
        <v>4.7</v>
      </c>
      <c r="O2846">
        <v>2.9</v>
      </c>
      <c r="P2846">
        <v>6.4</v>
      </c>
      <c r="Q2846">
        <f t="shared" si="86"/>
        <v>1951996</v>
      </c>
      <c r="R2846">
        <f t="shared" si="87"/>
        <v>12.500025614806587</v>
      </c>
      <c r="U2846">
        <v>407</v>
      </c>
      <c r="V2846">
        <v>155</v>
      </c>
      <c r="W2846">
        <v>660</v>
      </c>
      <c r="X2846">
        <v>278</v>
      </c>
      <c r="Y2846">
        <v>59.4</v>
      </c>
      <c r="Z2846">
        <v>52.6</v>
      </c>
      <c r="AA2846">
        <v>66.2</v>
      </c>
    </row>
    <row r="2847" spans="1:27" x14ac:dyDescent="0.25">
      <c r="A2847" t="s">
        <v>253</v>
      </c>
      <c r="B2847" t="s">
        <v>209</v>
      </c>
      <c r="C2847" s="76">
        <v>43931</v>
      </c>
      <c r="D2847">
        <v>2236</v>
      </c>
      <c r="E2847">
        <v>1083</v>
      </c>
      <c r="F2847">
        <v>3389</v>
      </c>
      <c r="G2847">
        <v>3063</v>
      </c>
      <c r="H2847">
        <v>42.2</v>
      </c>
      <c r="I2847">
        <v>34.700000000000003</v>
      </c>
      <c r="J2847">
        <v>49.7</v>
      </c>
      <c r="K2847">
        <v>216</v>
      </c>
      <c r="L2847">
        <v>97</v>
      </c>
      <c r="M2847">
        <v>336</v>
      </c>
      <c r="N2847">
        <v>4.0999999999999996</v>
      </c>
      <c r="O2847">
        <v>2.4</v>
      </c>
      <c r="P2847">
        <v>5.7</v>
      </c>
      <c r="Q2847">
        <f t="shared" si="86"/>
        <v>1951996</v>
      </c>
      <c r="R2847">
        <f t="shared" si="87"/>
        <v>11.065596445894357</v>
      </c>
      <c r="U2847">
        <v>378</v>
      </c>
      <c r="V2847">
        <v>145</v>
      </c>
      <c r="W2847">
        <v>610</v>
      </c>
      <c r="X2847">
        <v>310</v>
      </c>
      <c r="Y2847">
        <v>54.9</v>
      </c>
      <c r="Z2847">
        <v>47.9</v>
      </c>
      <c r="AA2847">
        <v>61.8</v>
      </c>
    </row>
    <row r="2848" spans="1:27" x14ac:dyDescent="0.25">
      <c r="A2848" t="s">
        <v>253</v>
      </c>
      <c r="B2848" t="s">
        <v>209</v>
      </c>
      <c r="C2848" s="76">
        <v>43932</v>
      </c>
      <c r="D2848">
        <v>2193</v>
      </c>
      <c r="E2848">
        <v>1033</v>
      </c>
      <c r="F2848">
        <v>3354</v>
      </c>
      <c r="G2848">
        <v>3160</v>
      </c>
      <c r="H2848">
        <v>41</v>
      </c>
      <c r="I2848">
        <v>32.9</v>
      </c>
      <c r="J2848">
        <v>49</v>
      </c>
      <c r="K2848">
        <v>229</v>
      </c>
      <c r="L2848">
        <v>90</v>
      </c>
      <c r="M2848">
        <v>367</v>
      </c>
      <c r="N2848">
        <v>4.3</v>
      </c>
      <c r="O2848">
        <v>2.4</v>
      </c>
      <c r="P2848">
        <v>6.2</v>
      </c>
      <c r="Q2848">
        <f t="shared" si="86"/>
        <v>1951996</v>
      </c>
      <c r="R2848">
        <f t="shared" si="87"/>
        <v>11.731581417175034</v>
      </c>
      <c r="U2848">
        <v>376</v>
      </c>
      <c r="V2848">
        <v>143</v>
      </c>
      <c r="W2848">
        <v>610</v>
      </c>
      <c r="X2848">
        <v>309</v>
      </c>
      <c r="Y2848">
        <v>54.9</v>
      </c>
      <c r="Z2848">
        <v>46.9</v>
      </c>
      <c r="AA2848">
        <v>62.9</v>
      </c>
    </row>
    <row r="2849" spans="1:27" x14ac:dyDescent="0.25">
      <c r="A2849" t="s">
        <v>253</v>
      </c>
      <c r="B2849" t="s">
        <v>209</v>
      </c>
      <c r="C2849" s="76">
        <v>43933</v>
      </c>
      <c r="D2849">
        <v>2152</v>
      </c>
      <c r="E2849">
        <v>1014</v>
      </c>
      <c r="F2849">
        <v>3290</v>
      </c>
      <c r="G2849">
        <v>3099</v>
      </c>
      <c r="H2849">
        <v>41</v>
      </c>
      <c r="I2849">
        <v>32.799999999999997</v>
      </c>
      <c r="J2849">
        <v>49.2</v>
      </c>
      <c r="K2849">
        <v>233</v>
      </c>
      <c r="L2849">
        <v>97</v>
      </c>
      <c r="M2849">
        <v>370</v>
      </c>
      <c r="N2849">
        <v>4.4000000000000004</v>
      </c>
      <c r="O2849">
        <v>2.5</v>
      </c>
      <c r="P2849">
        <v>6.4</v>
      </c>
      <c r="Q2849">
        <f t="shared" si="86"/>
        <v>1951996</v>
      </c>
      <c r="R2849">
        <f t="shared" si="87"/>
        <v>11.936499869876783</v>
      </c>
      <c r="U2849">
        <v>345</v>
      </c>
      <c r="V2849">
        <v>141</v>
      </c>
      <c r="W2849">
        <v>549</v>
      </c>
      <c r="X2849">
        <v>327</v>
      </c>
      <c r="Y2849">
        <v>51.3</v>
      </c>
      <c r="Z2849">
        <v>41.9</v>
      </c>
      <c r="AA2849">
        <v>60.7</v>
      </c>
    </row>
    <row r="2850" spans="1:27" x14ac:dyDescent="0.25">
      <c r="A2850" t="s">
        <v>253</v>
      </c>
      <c r="B2850" t="s">
        <v>209</v>
      </c>
      <c r="C2850" s="76">
        <v>43934</v>
      </c>
      <c r="D2850">
        <v>2407</v>
      </c>
      <c r="E2850">
        <v>1162</v>
      </c>
      <c r="F2850">
        <v>3651</v>
      </c>
      <c r="G2850">
        <v>3334</v>
      </c>
      <c r="H2850">
        <v>41.9</v>
      </c>
      <c r="I2850">
        <v>33.9</v>
      </c>
      <c r="J2850">
        <v>49.9</v>
      </c>
      <c r="K2850">
        <v>259</v>
      </c>
      <c r="L2850">
        <v>116</v>
      </c>
      <c r="M2850">
        <v>402</v>
      </c>
      <c r="N2850">
        <v>4.5</v>
      </c>
      <c r="O2850">
        <v>2.8</v>
      </c>
      <c r="P2850">
        <v>6.3</v>
      </c>
      <c r="Q2850">
        <f t="shared" si="86"/>
        <v>1951996</v>
      </c>
      <c r="R2850">
        <f t="shared" si="87"/>
        <v>13.268469812438139</v>
      </c>
      <c r="U2850">
        <v>429</v>
      </c>
      <c r="V2850">
        <v>166</v>
      </c>
      <c r="W2850">
        <v>691</v>
      </c>
      <c r="X2850">
        <v>308</v>
      </c>
      <c r="Y2850">
        <v>58.2</v>
      </c>
      <c r="Z2850">
        <v>48.5</v>
      </c>
      <c r="AA2850">
        <v>67.8</v>
      </c>
    </row>
    <row r="2851" spans="1:27" x14ac:dyDescent="0.25">
      <c r="A2851" t="s">
        <v>253</v>
      </c>
      <c r="B2851" t="s">
        <v>209</v>
      </c>
      <c r="C2851" s="76">
        <v>43935</v>
      </c>
      <c r="D2851">
        <v>2498</v>
      </c>
      <c r="E2851">
        <v>1200</v>
      </c>
      <c r="F2851">
        <v>3796</v>
      </c>
      <c r="G2851">
        <v>3193</v>
      </c>
      <c r="H2851">
        <v>43.9</v>
      </c>
      <c r="I2851">
        <v>36.4</v>
      </c>
      <c r="J2851">
        <v>51.4</v>
      </c>
      <c r="K2851">
        <v>257</v>
      </c>
      <c r="L2851">
        <v>116</v>
      </c>
      <c r="M2851">
        <v>397</v>
      </c>
      <c r="N2851">
        <v>4.5</v>
      </c>
      <c r="O2851">
        <v>3.1</v>
      </c>
      <c r="P2851">
        <v>5.9</v>
      </c>
      <c r="Q2851">
        <f t="shared" si="86"/>
        <v>1951996</v>
      </c>
      <c r="R2851">
        <f t="shared" si="87"/>
        <v>13.166010586087266</v>
      </c>
      <c r="U2851">
        <v>359</v>
      </c>
      <c r="V2851">
        <v>135</v>
      </c>
      <c r="W2851">
        <v>584</v>
      </c>
      <c r="X2851">
        <v>293</v>
      </c>
      <c r="Y2851">
        <v>55.1</v>
      </c>
      <c r="Z2851">
        <v>46.3</v>
      </c>
      <c r="AA2851">
        <v>63.9</v>
      </c>
    </row>
    <row r="2852" spans="1:27" x14ac:dyDescent="0.25">
      <c r="A2852" t="s">
        <v>253</v>
      </c>
      <c r="B2852" t="s">
        <v>209</v>
      </c>
      <c r="C2852" s="76">
        <v>43936</v>
      </c>
      <c r="D2852">
        <v>2548</v>
      </c>
      <c r="E2852">
        <v>1193</v>
      </c>
      <c r="F2852">
        <v>3902</v>
      </c>
      <c r="G2852">
        <v>3389</v>
      </c>
      <c r="H2852">
        <v>42.9</v>
      </c>
      <c r="I2852">
        <v>34.799999999999997</v>
      </c>
      <c r="J2852">
        <v>51.1</v>
      </c>
      <c r="K2852">
        <v>238</v>
      </c>
      <c r="L2852">
        <v>107</v>
      </c>
      <c r="M2852">
        <v>369</v>
      </c>
      <c r="N2852">
        <v>4</v>
      </c>
      <c r="O2852">
        <v>2.8</v>
      </c>
      <c r="P2852">
        <v>5.3</v>
      </c>
      <c r="Q2852">
        <f t="shared" si="86"/>
        <v>1951996</v>
      </c>
      <c r="R2852">
        <f t="shared" si="87"/>
        <v>12.192647935753966</v>
      </c>
      <c r="U2852">
        <v>409</v>
      </c>
      <c r="V2852">
        <v>134</v>
      </c>
      <c r="W2852">
        <v>684</v>
      </c>
      <c r="X2852">
        <v>352</v>
      </c>
      <c r="Y2852">
        <v>53.8</v>
      </c>
      <c r="Z2852">
        <v>43.9</v>
      </c>
      <c r="AA2852">
        <v>63.7</v>
      </c>
    </row>
    <row r="2853" spans="1:27" x14ac:dyDescent="0.25">
      <c r="A2853" t="s">
        <v>253</v>
      </c>
      <c r="B2853" t="s">
        <v>209</v>
      </c>
      <c r="C2853" s="76">
        <v>43937</v>
      </c>
      <c r="D2853">
        <v>2608</v>
      </c>
      <c r="E2853">
        <v>1258</v>
      </c>
      <c r="F2853">
        <v>3958</v>
      </c>
      <c r="G2853">
        <v>3063</v>
      </c>
      <c r="H2853">
        <v>46</v>
      </c>
      <c r="I2853">
        <v>38.700000000000003</v>
      </c>
      <c r="J2853">
        <v>53.3</v>
      </c>
      <c r="K2853">
        <v>310</v>
      </c>
      <c r="L2853">
        <v>133</v>
      </c>
      <c r="M2853">
        <v>486</v>
      </c>
      <c r="N2853">
        <v>5.5</v>
      </c>
      <c r="O2853">
        <v>3.2</v>
      </c>
      <c r="P2853">
        <v>7.7</v>
      </c>
      <c r="Q2853">
        <f t="shared" si="86"/>
        <v>1951996</v>
      </c>
      <c r="R2853">
        <f t="shared" si="87"/>
        <v>15.88118008438542</v>
      </c>
      <c r="U2853">
        <v>411</v>
      </c>
      <c r="V2853">
        <v>156</v>
      </c>
      <c r="W2853">
        <v>665</v>
      </c>
      <c r="X2853">
        <v>374</v>
      </c>
      <c r="Y2853">
        <v>52.3</v>
      </c>
      <c r="Z2853">
        <v>42.5</v>
      </c>
      <c r="AA2853">
        <v>62.1</v>
      </c>
    </row>
    <row r="2854" spans="1:27" x14ac:dyDescent="0.25">
      <c r="A2854" t="s">
        <v>253</v>
      </c>
      <c r="B2854" t="s">
        <v>209</v>
      </c>
      <c r="C2854" s="76">
        <v>43938</v>
      </c>
      <c r="D2854">
        <v>2597</v>
      </c>
      <c r="E2854">
        <v>1269</v>
      </c>
      <c r="F2854">
        <v>3926</v>
      </c>
      <c r="G2854">
        <v>3070</v>
      </c>
      <c r="H2854">
        <v>45.8</v>
      </c>
      <c r="I2854">
        <v>38.4</v>
      </c>
      <c r="J2854">
        <v>53.3</v>
      </c>
      <c r="K2854">
        <v>297</v>
      </c>
      <c r="L2854">
        <v>124</v>
      </c>
      <c r="M2854">
        <v>471</v>
      </c>
      <c r="N2854">
        <v>5.2</v>
      </c>
      <c r="O2854">
        <v>3.1</v>
      </c>
      <c r="P2854">
        <v>7.4</v>
      </c>
      <c r="Q2854">
        <f t="shared" si="86"/>
        <v>1951996</v>
      </c>
      <c r="R2854">
        <f t="shared" si="87"/>
        <v>15.215195113104741</v>
      </c>
      <c r="U2854">
        <v>428</v>
      </c>
      <c r="V2854">
        <v>166</v>
      </c>
      <c r="W2854">
        <v>690</v>
      </c>
      <c r="X2854">
        <v>352</v>
      </c>
      <c r="Y2854">
        <v>54.9</v>
      </c>
      <c r="Z2854">
        <v>44.2</v>
      </c>
      <c r="AA2854">
        <v>65.5</v>
      </c>
    </row>
    <row r="2855" spans="1:27" x14ac:dyDescent="0.25">
      <c r="A2855" t="s">
        <v>253</v>
      </c>
      <c r="B2855" t="s">
        <v>209</v>
      </c>
      <c r="C2855" s="76">
        <v>43939</v>
      </c>
      <c r="D2855">
        <v>2370</v>
      </c>
      <c r="E2855">
        <v>1108</v>
      </c>
      <c r="F2855">
        <v>3632</v>
      </c>
      <c r="G2855">
        <v>3025</v>
      </c>
      <c r="H2855">
        <v>43.9</v>
      </c>
      <c r="I2855">
        <v>35.700000000000003</v>
      </c>
      <c r="J2855">
        <v>52.2</v>
      </c>
      <c r="K2855">
        <v>307</v>
      </c>
      <c r="L2855">
        <v>132</v>
      </c>
      <c r="M2855">
        <v>481</v>
      </c>
      <c r="N2855">
        <v>5.7</v>
      </c>
      <c r="O2855">
        <v>3.1</v>
      </c>
      <c r="P2855">
        <v>8.1999999999999993</v>
      </c>
      <c r="Q2855">
        <f t="shared" ref="Q2855:Q2918" si="88">VLOOKUP(B2855,$AE$4:$AF$55,2,FALSE)</f>
        <v>1951996</v>
      </c>
      <c r="R2855">
        <f t="shared" si="87"/>
        <v>15.727491244859108</v>
      </c>
      <c r="U2855">
        <v>427</v>
      </c>
      <c r="V2855">
        <v>163</v>
      </c>
      <c r="W2855">
        <v>690</v>
      </c>
      <c r="X2855">
        <v>324</v>
      </c>
      <c r="Y2855">
        <v>56.8</v>
      </c>
      <c r="Z2855">
        <v>48.1</v>
      </c>
      <c r="AA2855">
        <v>65.599999999999994</v>
      </c>
    </row>
    <row r="2856" spans="1:27" x14ac:dyDescent="0.25">
      <c r="A2856" t="s">
        <v>253</v>
      </c>
      <c r="B2856" t="s">
        <v>209</v>
      </c>
      <c r="C2856" s="76">
        <v>43940</v>
      </c>
      <c r="D2856">
        <v>2378</v>
      </c>
      <c r="E2856">
        <v>1116</v>
      </c>
      <c r="F2856">
        <v>3640</v>
      </c>
      <c r="G2856">
        <v>3020</v>
      </c>
      <c r="H2856">
        <v>44</v>
      </c>
      <c r="I2856">
        <v>36.299999999999997</v>
      </c>
      <c r="J2856">
        <v>51.8</v>
      </c>
      <c r="K2856">
        <v>297</v>
      </c>
      <c r="L2856">
        <v>114</v>
      </c>
      <c r="M2856">
        <v>480</v>
      </c>
      <c r="N2856">
        <v>5.5</v>
      </c>
      <c r="O2856">
        <v>2.6</v>
      </c>
      <c r="P2856">
        <v>8.4</v>
      </c>
      <c r="Q2856">
        <f t="shared" si="88"/>
        <v>1951996</v>
      </c>
      <c r="R2856">
        <f t="shared" si="87"/>
        <v>15.215195113104741</v>
      </c>
      <c r="U2856">
        <v>422</v>
      </c>
      <c r="V2856">
        <v>166</v>
      </c>
      <c r="W2856">
        <v>678</v>
      </c>
      <c r="X2856">
        <v>321</v>
      </c>
      <c r="Y2856">
        <v>56.8</v>
      </c>
      <c r="Z2856">
        <v>47.3</v>
      </c>
      <c r="AA2856">
        <v>66.2</v>
      </c>
    </row>
    <row r="2857" spans="1:27" x14ac:dyDescent="0.25">
      <c r="A2857" t="s">
        <v>253</v>
      </c>
      <c r="B2857" t="s">
        <v>209</v>
      </c>
      <c r="C2857" s="76">
        <v>43941</v>
      </c>
      <c r="D2857">
        <v>2403</v>
      </c>
      <c r="E2857">
        <v>1125</v>
      </c>
      <c r="F2857">
        <v>3680</v>
      </c>
      <c r="G2857">
        <v>3029</v>
      </c>
      <c r="H2857">
        <v>44.2</v>
      </c>
      <c r="I2857">
        <v>36.700000000000003</v>
      </c>
      <c r="J2857">
        <v>51.8</v>
      </c>
      <c r="K2857">
        <v>296</v>
      </c>
      <c r="L2857">
        <v>111</v>
      </c>
      <c r="M2857">
        <v>481</v>
      </c>
      <c r="N2857">
        <v>5.5</v>
      </c>
      <c r="O2857">
        <v>2.7</v>
      </c>
      <c r="P2857">
        <v>8.1999999999999993</v>
      </c>
      <c r="Q2857">
        <f t="shared" si="88"/>
        <v>1951996</v>
      </c>
      <c r="R2857">
        <f t="shared" si="87"/>
        <v>15.163965499929303</v>
      </c>
      <c r="U2857">
        <v>421</v>
      </c>
      <c r="V2857">
        <v>163</v>
      </c>
      <c r="W2857">
        <v>678</v>
      </c>
      <c r="X2857">
        <v>330</v>
      </c>
      <c r="Y2857">
        <v>56</v>
      </c>
      <c r="Z2857">
        <v>48.3</v>
      </c>
      <c r="AA2857">
        <v>63.8</v>
      </c>
    </row>
    <row r="2858" spans="1:27" x14ac:dyDescent="0.25">
      <c r="A2858" t="s">
        <v>253</v>
      </c>
      <c r="B2858" t="s">
        <v>209</v>
      </c>
      <c r="C2858" s="76">
        <v>43942</v>
      </c>
      <c r="D2858">
        <v>2342</v>
      </c>
      <c r="E2858">
        <v>1151</v>
      </c>
      <c r="F2858">
        <v>3534</v>
      </c>
      <c r="G2858">
        <v>2797</v>
      </c>
      <c r="H2858">
        <v>45.6</v>
      </c>
      <c r="I2858">
        <v>38.5</v>
      </c>
      <c r="J2858">
        <v>52.7</v>
      </c>
      <c r="K2858">
        <v>285</v>
      </c>
      <c r="L2858">
        <v>116</v>
      </c>
      <c r="M2858">
        <v>454</v>
      </c>
      <c r="N2858">
        <v>5.5</v>
      </c>
      <c r="O2858">
        <v>3</v>
      </c>
      <c r="P2858">
        <v>8.1</v>
      </c>
      <c r="Q2858">
        <f t="shared" si="88"/>
        <v>1951996</v>
      </c>
      <c r="R2858">
        <f t="shared" si="87"/>
        <v>14.600439754999499</v>
      </c>
      <c r="U2858">
        <v>470</v>
      </c>
      <c r="V2858">
        <v>183</v>
      </c>
      <c r="W2858">
        <v>756</v>
      </c>
      <c r="X2858">
        <v>261</v>
      </c>
      <c r="Y2858">
        <v>64.3</v>
      </c>
      <c r="Z2858">
        <v>49.6</v>
      </c>
      <c r="AA2858">
        <v>78.900000000000006</v>
      </c>
    </row>
    <row r="2859" spans="1:27" x14ac:dyDescent="0.25">
      <c r="A2859" t="s">
        <v>253</v>
      </c>
      <c r="B2859" t="s">
        <v>209</v>
      </c>
      <c r="C2859" s="76">
        <v>43943</v>
      </c>
      <c r="D2859">
        <v>2433</v>
      </c>
      <c r="E2859">
        <v>1207</v>
      </c>
      <c r="F2859">
        <v>3659</v>
      </c>
      <c r="G2859">
        <v>2628</v>
      </c>
      <c r="H2859">
        <v>48.1</v>
      </c>
      <c r="I2859">
        <v>41.5</v>
      </c>
      <c r="J2859">
        <v>54.6</v>
      </c>
      <c r="K2859">
        <v>294</v>
      </c>
      <c r="L2859">
        <v>126</v>
      </c>
      <c r="M2859">
        <v>461</v>
      </c>
      <c r="N2859">
        <v>5.8</v>
      </c>
      <c r="O2859">
        <v>3</v>
      </c>
      <c r="P2859">
        <v>8.6</v>
      </c>
      <c r="Q2859">
        <f t="shared" si="88"/>
        <v>1951996</v>
      </c>
      <c r="R2859">
        <f t="shared" si="87"/>
        <v>15.061506273578431</v>
      </c>
      <c r="U2859">
        <v>430</v>
      </c>
      <c r="V2859">
        <v>165</v>
      </c>
      <c r="W2859">
        <v>695</v>
      </c>
      <c r="X2859">
        <v>300</v>
      </c>
      <c r="Y2859">
        <v>58.9</v>
      </c>
      <c r="Z2859">
        <v>51.4</v>
      </c>
      <c r="AA2859">
        <v>66.400000000000006</v>
      </c>
    </row>
    <row r="2860" spans="1:27" x14ac:dyDescent="0.25">
      <c r="A2860" t="s">
        <v>253</v>
      </c>
      <c r="B2860" t="s">
        <v>209</v>
      </c>
      <c r="C2860" s="76">
        <v>43944</v>
      </c>
      <c r="D2860">
        <v>2485</v>
      </c>
      <c r="E2860">
        <v>1249</v>
      </c>
      <c r="F2860">
        <v>3722</v>
      </c>
      <c r="G2860">
        <v>2564</v>
      </c>
      <c r="H2860">
        <v>49.2</v>
      </c>
      <c r="I2860">
        <v>42.8</v>
      </c>
      <c r="J2860">
        <v>55.6</v>
      </c>
      <c r="K2860">
        <v>283</v>
      </c>
      <c r="L2860">
        <v>103</v>
      </c>
      <c r="M2860">
        <v>464</v>
      </c>
      <c r="N2860">
        <v>5.6</v>
      </c>
      <c r="O2860">
        <v>2.8</v>
      </c>
      <c r="P2860">
        <v>8.4</v>
      </c>
      <c r="Q2860">
        <f t="shared" si="88"/>
        <v>1951996</v>
      </c>
      <c r="R2860">
        <f t="shared" si="87"/>
        <v>14.497980528648625</v>
      </c>
      <c r="U2860">
        <v>431</v>
      </c>
      <c r="V2860">
        <v>169</v>
      </c>
      <c r="W2860">
        <v>693</v>
      </c>
      <c r="X2860">
        <v>303</v>
      </c>
      <c r="Y2860">
        <v>58.7</v>
      </c>
      <c r="Z2860">
        <v>50.7</v>
      </c>
      <c r="AA2860">
        <v>66.599999999999994</v>
      </c>
    </row>
    <row r="2861" spans="1:27" x14ac:dyDescent="0.25">
      <c r="A2861" t="s">
        <v>253</v>
      </c>
      <c r="B2861" t="s">
        <v>209</v>
      </c>
      <c r="C2861" s="76">
        <v>43945</v>
      </c>
      <c r="D2861">
        <v>2424</v>
      </c>
      <c r="E2861">
        <v>1187</v>
      </c>
      <c r="F2861">
        <v>3661</v>
      </c>
      <c r="G2861">
        <v>2628</v>
      </c>
      <c r="H2861">
        <v>48</v>
      </c>
      <c r="I2861">
        <v>41</v>
      </c>
      <c r="J2861">
        <v>55</v>
      </c>
      <c r="K2861">
        <v>280</v>
      </c>
      <c r="L2861">
        <v>114</v>
      </c>
      <c r="M2861">
        <v>446</v>
      </c>
      <c r="N2861">
        <v>5.5</v>
      </c>
      <c r="O2861">
        <v>2.9</v>
      </c>
      <c r="P2861">
        <v>8.1999999999999993</v>
      </c>
      <c r="Q2861">
        <f t="shared" si="88"/>
        <v>1951996</v>
      </c>
      <c r="R2861">
        <f t="shared" si="87"/>
        <v>14.344291689122313</v>
      </c>
      <c r="U2861">
        <v>417</v>
      </c>
      <c r="V2861">
        <v>165</v>
      </c>
      <c r="W2861">
        <v>669</v>
      </c>
      <c r="X2861">
        <v>296</v>
      </c>
      <c r="Y2861">
        <v>58.5</v>
      </c>
      <c r="Z2861">
        <v>49.6</v>
      </c>
      <c r="AA2861">
        <v>67.3</v>
      </c>
    </row>
    <row r="2862" spans="1:27" x14ac:dyDescent="0.25">
      <c r="A2862" t="s">
        <v>253</v>
      </c>
      <c r="B2862" t="s">
        <v>209</v>
      </c>
      <c r="C2862" s="76">
        <v>43946</v>
      </c>
      <c r="D2862">
        <v>2415</v>
      </c>
      <c r="E2862">
        <v>1202</v>
      </c>
      <c r="F2862">
        <v>3627</v>
      </c>
      <c r="G2862">
        <v>2636</v>
      </c>
      <c r="H2862">
        <v>47.8</v>
      </c>
      <c r="I2862">
        <v>41</v>
      </c>
      <c r="J2862">
        <v>54.6</v>
      </c>
      <c r="K2862">
        <v>285</v>
      </c>
      <c r="L2862">
        <v>109</v>
      </c>
      <c r="M2862">
        <v>461</v>
      </c>
      <c r="N2862">
        <v>5.6</v>
      </c>
      <c r="O2862">
        <v>2.8</v>
      </c>
      <c r="P2862">
        <v>8.5</v>
      </c>
      <c r="Q2862">
        <f t="shared" si="88"/>
        <v>1951996</v>
      </c>
      <c r="R2862">
        <f t="shared" si="87"/>
        <v>14.600439754999499</v>
      </c>
      <c r="U2862">
        <v>425</v>
      </c>
      <c r="V2862">
        <v>170</v>
      </c>
      <c r="W2862">
        <v>679</v>
      </c>
      <c r="X2862">
        <v>290</v>
      </c>
      <c r="Y2862">
        <v>59.4</v>
      </c>
      <c r="Z2862">
        <v>51.4</v>
      </c>
      <c r="AA2862">
        <v>67.400000000000006</v>
      </c>
    </row>
    <row r="2863" spans="1:27" x14ac:dyDescent="0.25">
      <c r="A2863" t="s">
        <v>253</v>
      </c>
      <c r="B2863" t="s">
        <v>209</v>
      </c>
      <c r="C2863" s="76">
        <v>43947</v>
      </c>
      <c r="D2863">
        <v>2422</v>
      </c>
      <c r="E2863">
        <v>1169</v>
      </c>
      <c r="F2863">
        <v>3674</v>
      </c>
      <c r="G2863">
        <v>2791</v>
      </c>
      <c r="H2863">
        <v>46.5</v>
      </c>
      <c r="I2863">
        <v>38</v>
      </c>
      <c r="J2863">
        <v>54.9</v>
      </c>
      <c r="K2863">
        <v>313</v>
      </c>
      <c r="L2863">
        <v>118</v>
      </c>
      <c r="M2863">
        <v>508</v>
      </c>
      <c r="N2863">
        <v>6</v>
      </c>
      <c r="O2863">
        <v>2.9</v>
      </c>
      <c r="P2863">
        <v>9.1</v>
      </c>
      <c r="Q2863">
        <f t="shared" si="88"/>
        <v>1951996</v>
      </c>
      <c r="R2863">
        <f t="shared" si="87"/>
        <v>16.034868923911731</v>
      </c>
      <c r="U2863">
        <v>406</v>
      </c>
      <c r="V2863">
        <v>159</v>
      </c>
      <c r="W2863">
        <v>653</v>
      </c>
      <c r="X2863">
        <v>314</v>
      </c>
      <c r="Y2863">
        <v>56.4</v>
      </c>
      <c r="Z2863">
        <v>48.8</v>
      </c>
      <c r="AA2863">
        <v>64.099999999999994</v>
      </c>
    </row>
    <row r="2864" spans="1:27" x14ac:dyDescent="0.25">
      <c r="A2864" t="s">
        <v>253</v>
      </c>
      <c r="B2864" t="s">
        <v>209</v>
      </c>
      <c r="C2864" s="76">
        <v>43948</v>
      </c>
      <c r="D2864">
        <v>2421</v>
      </c>
      <c r="E2864">
        <v>1189</v>
      </c>
      <c r="F2864">
        <v>3654</v>
      </c>
      <c r="G2864">
        <v>2827</v>
      </c>
      <c r="H2864">
        <v>46.1</v>
      </c>
      <c r="I2864">
        <v>38.799999999999997</v>
      </c>
      <c r="J2864">
        <v>53.4</v>
      </c>
      <c r="K2864">
        <v>325</v>
      </c>
      <c r="L2864">
        <v>133</v>
      </c>
      <c r="M2864">
        <v>516</v>
      </c>
      <c r="N2864">
        <v>6.2</v>
      </c>
      <c r="O2864">
        <v>3.5</v>
      </c>
      <c r="P2864">
        <v>8.9</v>
      </c>
      <c r="Q2864">
        <f t="shared" si="88"/>
        <v>1951996</v>
      </c>
      <c r="R2864">
        <f t="shared" si="87"/>
        <v>16.649624282016969</v>
      </c>
      <c r="U2864">
        <v>415</v>
      </c>
      <c r="V2864">
        <v>160</v>
      </c>
      <c r="W2864">
        <v>669</v>
      </c>
      <c r="X2864">
        <v>324</v>
      </c>
      <c r="Y2864">
        <v>56.1</v>
      </c>
      <c r="Z2864">
        <v>48.9</v>
      </c>
      <c r="AA2864">
        <v>63.3</v>
      </c>
    </row>
    <row r="2865" spans="1:27" x14ac:dyDescent="0.25">
      <c r="A2865" t="s">
        <v>253</v>
      </c>
      <c r="B2865" t="s">
        <v>209</v>
      </c>
      <c r="C2865" s="76">
        <v>43949</v>
      </c>
      <c r="D2865">
        <v>2751</v>
      </c>
      <c r="E2865">
        <v>1351</v>
      </c>
      <c r="F2865">
        <v>4151</v>
      </c>
      <c r="G2865">
        <v>2792</v>
      </c>
      <c r="H2865">
        <v>49.6</v>
      </c>
      <c r="I2865">
        <v>39.9</v>
      </c>
      <c r="J2865">
        <v>59.4</v>
      </c>
      <c r="K2865">
        <v>316</v>
      </c>
      <c r="L2865">
        <v>132</v>
      </c>
      <c r="M2865">
        <v>499</v>
      </c>
      <c r="N2865">
        <v>5.7</v>
      </c>
      <c r="O2865">
        <v>3</v>
      </c>
      <c r="P2865">
        <v>8.4</v>
      </c>
      <c r="Q2865">
        <f t="shared" si="88"/>
        <v>1951996</v>
      </c>
      <c r="R2865">
        <f t="shared" si="87"/>
        <v>16.188557763438038</v>
      </c>
      <c r="U2865">
        <v>433</v>
      </c>
      <c r="V2865">
        <v>180</v>
      </c>
      <c r="W2865">
        <v>686</v>
      </c>
      <c r="X2865">
        <v>369</v>
      </c>
      <c r="Y2865">
        <v>54</v>
      </c>
      <c r="Z2865">
        <v>41.4</v>
      </c>
      <c r="AA2865">
        <v>66.5</v>
      </c>
    </row>
    <row r="2866" spans="1:27" x14ac:dyDescent="0.25">
      <c r="A2866" t="s">
        <v>253</v>
      </c>
      <c r="B2866" t="s">
        <v>209</v>
      </c>
      <c r="C2866" s="76">
        <v>43950</v>
      </c>
      <c r="D2866">
        <v>2592</v>
      </c>
      <c r="E2866">
        <v>1321</v>
      </c>
      <c r="F2866">
        <v>3863</v>
      </c>
      <c r="G2866">
        <v>2956</v>
      </c>
      <c r="H2866">
        <v>46.7</v>
      </c>
      <c r="I2866">
        <v>39.6</v>
      </c>
      <c r="J2866">
        <v>53.9</v>
      </c>
      <c r="K2866">
        <v>314</v>
      </c>
      <c r="L2866">
        <v>130</v>
      </c>
      <c r="M2866">
        <v>499</v>
      </c>
      <c r="N2866">
        <v>5.7</v>
      </c>
      <c r="O2866">
        <v>3.2</v>
      </c>
      <c r="P2866">
        <v>8.1999999999999993</v>
      </c>
      <c r="Q2866">
        <f t="shared" si="88"/>
        <v>1951996</v>
      </c>
      <c r="R2866">
        <f t="shared" si="87"/>
        <v>16.086098537087164</v>
      </c>
      <c r="U2866">
        <v>440</v>
      </c>
      <c r="V2866">
        <v>173</v>
      </c>
      <c r="W2866">
        <v>707</v>
      </c>
      <c r="X2866">
        <v>359</v>
      </c>
      <c r="Y2866">
        <v>55.1</v>
      </c>
      <c r="Z2866">
        <v>39.700000000000003</v>
      </c>
      <c r="AA2866">
        <v>70.5</v>
      </c>
    </row>
    <row r="2867" spans="1:27" x14ac:dyDescent="0.25">
      <c r="A2867" t="s">
        <v>253</v>
      </c>
      <c r="B2867" t="s">
        <v>209</v>
      </c>
      <c r="C2867" s="76">
        <v>43951</v>
      </c>
      <c r="D2867">
        <v>2653</v>
      </c>
      <c r="E2867">
        <v>1340</v>
      </c>
      <c r="F2867">
        <v>3967</v>
      </c>
      <c r="G2867">
        <v>2909</v>
      </c>
      <c r="H2867">
        <v>47.7</v>
      </c>
      <c r="I2867">
        <v>39.700000000000003</v>
      </c>
      <c r="J2867">
        <v>55.7</v>
      </c>
      <c r="K2867">
        <v>284</v>
      </c>
      <c r="L2867">
        <v>119</v>
      </c>
      <c r="M2867">
        <v>450</v>
      </c>
      <c r="N2867">
        <v>5.0999999999999996</v>
      </c>
      <c r="O2867">
        <v>2.8</v>
      </c>
      <c r="P2867">
        <v>7.4</v>
      </c>
      <c r="Q2867">
        <f t="shared" si="88"/>
        <v>1951996</v>
      </c>
      <c r="R2867">
        <f t="shared" si="87"/>
        <v>14.54921014182406</v>
      </c>
      <c r="U2867">
        <v>462</v>
      </c>
      <c r="V2867">
        <v>198</v>
      </c>
      <c r="W2867">
        <v>725</v>
      </c>
      <c r="X2867">
        <v>410</v>
      </c>
      <c r="Y2867">
        <v>53</v>
      </c>
      <c r="Z2867">
        <v>41.7</v>
      </c>
      <c r="AA2867">
        <v>64.3</v>
      </c>
    </row>
    <row r="2868" spans="1:27" x14ac:dyDescent="0.25">
      <c r="A2868" t="s">
        <v>253</v>
      </c>
      <c r="B2868" t="s">
        <v>209</v>
      </c>
      <c r="C2868" s="76">
        <v>43952</v>
      </c>
      <c r="D2868">
        <v>2689</v>
      </c>
      <c r="E2868">
        <v>1328</v>
      </c>
      <c r="F2868">
        <v>4051</v>
      </c>
      <c r="G2868">
        <v>2844</v>
      </c>
      <c r="H2868">
        <v>48.6</v>
      </c>
      <c r="I2868">
        <v>39.799999999999997</v>
      </c>
      <c r="J2868">
        <v>57.4</v>
      </c>
      <c r="K2868">
        <v>316</v>
      </c>
      <c r="L2868">
        <v>142</v>
      </c>
      <c r="M2868">
        <v>491</v>
      </c>
      <c r="N2868">
        <v>5.7</v>
      </c>
      <c r="O2868">
        <v>3.5</v>
      </c>
      <c r="P2868">
        <v>8</v>
      </c>
      <c r="Q2868">
        <f t="shared" si="88"/>
        <v>1951996</v>
      </c>
      <c r="R2868">
        <f t="shared" si="87"/>
        <v>16.188557763438038</v>
      </c>
      <c r="U2868">
        <v>465</v>
      </c>
      <c r="V2868">
        <v>197</v>
      </c>
      <c r="W2868">
        <v>733</v>
      </c>
      <c r="X2868">
        <v>345</v>
      </c>
      <c r="Y2868">
        <v>57.4</v>
      </c>
      <c r="Z2868">
        <v>45.1</v>
      </c>
      <c r="AA2868">
        <v>69.599999999999994</v>
      </c>
    </row>
    <row r="2869" spans="1:27" x14ac:dyDescent="0.25">
      <c r="A2869" t="s">
        <v>253</v>
      </c>
      <c r="B2869" t="s">
        <v>209</v>
      </c>
      <c r="C2869" s="76">
        <v>43953</v>
      </c>
      <c r="D2869">
        <v>2530</v>
      </c>
      <c r="E2869">
        <v>1281</v>
      </c>
      <c r="F2869">
        <v>3779</v>
      </c>
      <c r="G2869">
        <v>3003</v>
      </c>
      <c r="H2869">
        <v>45.7</v>
      </c>
      <c r="I2869">
        <v>37.700000000000003</v>
      </c>
      <c r="J2869">
        <v>53.7</v>
      </c>
      <c r="K2869">
        <v>325</v>
      </c>
      <c r="L2869">
        <v>145</v>
      </c>
      <c r="M2869">
        <v>506</v>
      </c>
      <c r="N2869">
        <v>5.9</v>
      </c>
      <c r="O2869">
        <v>3.7</v>
      </c>
      <c r="P2869">
        <v>8.1</v>
      </c>
      <c r="Q2869">
        <f t="shared" si="88"/>
        <v>1951996</v>
      </c>
      <c r="R2869">
        <f t="shared" si="87"/>
        <v>16.649624282016969</v>
      </c>
      <c r="U2869">
        <v>445</v>
      </c>
      <c r="V2869">
        <v>184</v>
      </c>
      <c r="W2869">
        <v>707</v>
      </c>
      <c r="X2869">
        <v>369</v>
      </c>
      <c r="Y2869">
        <v>54.6</v>
      </c>
      <c r="Z2869">
        <v>43.1</v>
      </c>
      <c r="AA2869">
        <v>66.099999999999994</v>
      </c>
    </row>
    <row r="2870" spans="1:27" x14ac:dyDescent="0.25">
      <c r="A2870" t="s">
        <v>253</v>
      </c>
      <c r="B2870" t="s">
        <v>209</v>
      </c>
      <c r="C2870" s="76">
        <v>43954</v>
      </c>
      <c r="D2870">
        <v>2375</v>
      </c>
      <c r="E2870">
        <v>1191</v>
      </c>
      <c r="F2870">
        <v>3559</v>
      </c>
      <c r="G2870">
        <v>3159</v>
      </c>
      <c r="H2870">
        <v>42.9</v>
      </c>
      <c r="I2870">
        <v>34.6</v>
      </c>
      <c r="J2870">
        <v>51.2</v>
      </c>
      <c r="K2870">
        <v>329</v>
      </c>
      <c r="L2870">
        <v>150</v>
      </c>
      <c r="M2870">
        <v>509</v>
      </c>
      <c r="N2870">
        <v>6</v>
      </c>
      <c r="O2870">
        <v>3.7</v>
      </c>
      <c r="P2870">
        <v>8.1999999999999993</v>
      </c>
      <c r="Q2870">
        <f t="shared" si="88"/>
        <v>1951996</v>
      </c>
      <c r="R2870">
        <f t="shared" si="87"/>
        <v>16.85454273471872</v>
      </c>
      <c r="U2870">
        <v>451</v>
      </c>
      <c r="V2870">
        <v>185</v>
      </c>
      <c r="W2870">
        <v>717</v>
      </c>
      <c r="X2870">
        <v>355</v>
      </c>
      <c r="Y2870">
        <v>55.9</v>
      </c>
      <c r="Z2870">
        <v>44.6</v>
      </c>
      <c r="AA2870">
        <v>67.099999999999994</v>
      </c>
    </row>
    <row r="2871" spans="1:27" x14ac:dyDescent="0.25">
      <c r="A2871" t="s">
        <v>253</v>
      </c>
      <c r="B2871" t="s">
        <v>209</v>
      </c>
      <c r="C2871" s="76">
        <v>43955</v>
      </c>
      <c r="D2871">
        <v>2534</v>
      </c>
      <c r="E2871">
        <v>1216</v>
      </c>
      <c r="F2871">
        <v>3852</v>
      </c>
      <c r="G2871">
        <v>3025</v>
      </c>
      <c r="H2871">
        <v>45.6</v>
      </c>
      <c r="I2871">
        <v>36.799999999999997</v>
      </c>
      <c r="J2871">
        <v>54.4</v>
      </c>
      <c r="K2871">
        <v>306</v>
      </c>
      <c r="L2871">
        <v>138</v>
      </c>
      <c r="M2871">
        <v>474</v>
      </c>
      <c r="N2871">
        <v>5.5</v>
      </c>
      <c r="O2871">
        <v>3.5</v>
      </c>
      <c r="P2871">
        <v>7.5</v>
      </c>
      <c r="Q2871">
        <f t="shared" si="88"/>
        <v>1951996</v>
      </c>
      <c r="R2871">
        <f t="shared" si="87"/>
        <v>15.676261631683673</v>
      </c>
      <c r="U2871">
        <v>437</v>
      </c>
      <c r="V2871">
        <v>187</v>
      </c>
      <c r="W2871">
        <v>686</v>
      </c>
      <c r="X2871">
        <v>371</v>
      </c>
      <c r="Y2871">
        <v>54</v>
      </c>
      <c r="Z2871">
        <v>44</v>
      </c>
      <c r="AA2871">
        <v>63.9</v>
      </c>
    </row>
    <row r="2872" spans="1:27" x14ac:dyDescent="0.25">
      <c r="A2872" t="s">
        <v>253</v>
      </c>
      <c r="B2872" t="s">
        <v>209</v>
      </c>
      <c r="C2872" s="76">
        <v>43956</v>
      </c>
      <c r="D2872">
        <v>2756</v>
      </c>
      <c r="E2872">
        <v>1310</v>
      </c>
      <c r="F2872">
        <v>4202</v>
      </c>
      <c r="G2872">
        <v>2858</v>
      </c>
      <c r="H2872">
        <v>49.1</v>
      </c>
      <c r="I2872">
        <v>38.799999999999997</v>
      </c>
      <c r="J2872">
        <v>59.4</v>
      </c>
      <c r="K2872">
        <v>296</v>
      </c>
      <c r="L2872">
        <v>138</v>
      </c>
      <c r="M2872">
        <v>454</v>
      </c>
      <c r="N2872">
        <v>5.3</v>
      </c>
      <c r="O2872">
        <v>3.6</v>
      </c>
      <c r="P2872">
        <v>7</v>
      </c>
      <c r="Q2872">
        <f t="shared" si="88"/>
        <v>1951996</v>
      </c>
      <c r="R2872">
        <f t="shared" si="87"/>
        <v>15.163965499929303</v>
      </c>
      <c r="U2872">
        <v>474</v>
      </c>
      <c r="V2872">
        <v>203</v>
      </c>
      <c r="W2872">
        <v>746</v>
      </c>
      <c r="X2872">
        <v>362</v>
      </c>
      <c r="Y2872">
        <v>56.6</v>
      </c>
      <c r="Z2872">
        <v>45.5</v>
      </c>
      <c r="AA2872">
        <v>67.8</v>
      </c>
    </row>
    <row r="2873" spans="1:27" x14ac:dyDescent="0.25">
      <c r="A2873" t="s">
        <v>253</v>
      </c>
      <c r="B2873" t="s">
        <v>209</v>
      </c>
      <c r="C2873" s="76">
        <v>43957</v>
      </c>
      <c r="D2873">
        <v>2783</v>
      </c>
      <c r="E2873">
        <v>1384</v>
      </c>
      <c r="F2873">
        <v>4182</v>
      </c>
      <c r="G2873">
        <v>2861</v>
      </c>
      <c r="H2873">
        <v>49.3</v>
      </c>
      <c r="I2873">
        <v>40.9</v>
      </c>
      <c r="J2873">
        <v>57.7</v>
      </c>
      <c r="K2873">
        <v>287</v>
      </c>
      <c r="L2873">
        <v>137</v>
      </c>
      <c r="M2873">
        <v>436</v>
      </c>
      <c r="N2873">
        <v>5.0999999999999996</v>
      </c>
      <c r="O2873">
        <v>3.6</v>
      </c>
      <c r="P2873">
        <v>6.6</v>
      </c>
      <c r="Q2873">
        <f t="shared" si="88"/>
        <v>1951996</v>
      </c>
      <c r="R2873">
        <f t="shared" si="87"/>
        <v>14.702898981350371</v>
      </c>
      <c r="U2873">
        <v>450</v>
      </c>
      <c r="V2873">
        <v>190</v>
      </c>
      <c r="W2873">
        <v>710</v>
      </c>
      <c r="X2873">
        <v>387</v>
      </c>
      <c r="Y2873">
        <v>53.7</v>
      </c>
      <c r="Z2873">
        <v>43</v>
      </c>
      <c r="AA2873">
        <v>64.3</v>
      </c>
    </row>
    <row r="2874" spans="1:27" x14ac:dyDescent="0.25">
      <c r="A2874" t="s">
        <v>253</v>
      </c>
      <c r="B2874" t="s">
        <v>209</v>
      </c>
      <c r="C2874" s="76">
        <v>43958</v>
      </c>
      <c r="D2874">
        <v>2775</v>
      </c>
      <c r="E2874">
        <v>1372</v>
      </c>
      <c r="F2874">
        <v>4178</v>
      </c>
      <c r="G2874">
        <v>2832</v>
      </c>
      <c r="H2874">
        <v>49.5</v>
      </c>
      <c r="I2874">
        <v>40.799999999999997</v>
      </c>
      <c r="J2874">
        <v>58.2</v>
      </c>
      <c r="K2874">
        <v>288</v>
      </c>
      <c r="L2874">
        <v>132</v>
      </c>
      <c r="M2874">
        <v>444</v>
      </c>
      <c r="N2874">
        <v>5.0999999999999996</v>
      </c>
      <c r="O2874">
        <v>3.5</v>
      </c>
      <c r="P2874">
        <v>6.8</v>
      </c>
      <c r="Q2874">
        <f t="shared" si="88"/>
        <v>1951996</v>
      </c>
      <c r="R2874">
        <f t="shared" si="87"/>
        <v>14.75412859452581</v>
      </c>
      <c r="U2874">
        <v>496</v>
      </c>
      <c r="V2874">
        <v>208</v>
      </c>
      <c r="W2874">
        <v>784</v>
      </c>
      <c r="X2874">
        <v>341</v>
      </c>
      <c r="Y2874">
        <v>59.3</v>
      </c>
      <c r="Z2874">
        <v>46.6</v>
      </c>
      <c r="AA2874">
        <v>71.900000000000006</v>
      </c>
    </row>
    <row r="2875" spans="1:27" x14ac:dyDescent="0.25">
      <c r="A2875" t="s">
        <v>253</v>
      </c>
      <c r="B2875" t="s">
        <v>209</v>
      </c>
      <c r="C2875" s="76">
        <v>43959</v>
      </c>
      <c r="D2875">
        <v>2808</v>
      </c>
      <c r="E2875">
        <v>1386</v>
      </c>
      <c r="F2875">
        <v>4231</v>
      </c>
      <c r="G2875">
        <v>2796</v>
      </c>
      <c r="H2875">
        <v>50.1</v>
      </c>
      <c r="I2875">
        <v>41.1</v>
      </c>
      <c r="J2875">
        <v>59.1</v>
      </c>
      <c r="K2875">
        <v>272</v>
      </c>
      <c r="L2875">
        <v>124</v>
      </c>
      <c r="M2875">
        <v>420</v>
      </c>
      <c r="N2875">
        <v>4.9000000000000004</v>
      </c>
      <c r="O2875">
        <v>3.3</v>
      </c>
      <c r="P2875">
        <v>6.4</v>
      </c>
      <c r="Q2875">
        <f t="shared" si="88"/>
        <v>1951996</v>
      </c>
      <c r="R2875">
        <f t="shared" si="87"/>
        <v>13.93445478371882</v>
      </c>
      <c r="U2875">
        <v>497</v>
      </c>
      <c r="V2875">
        <v>215</v>
      </c>
      <c r="W2875">
        <v>780</v>
      </c>
      <c r="X2875">
        <v>642</v>
      </c>
      <c r="Y2875">
        <v>43.6</v>
      </c>
      <c r="Z2875">
        <v>17.7</v>
      </c>
      <c r="AA2875">
        <v>69.599999999999994</v>
      </c>
    </row>
    <row r="2876" spans="1:27" x14ac:dyDescent="0.25">
      <c r="A2876" t="s">
        <v>253</v>
      </c>
      <c r="B2876" t="s">
        <v>209</v>
      </c>
      <c r="C2876" s="76">
        <v>43960</v>
      </c>
      <c r="D2876">
        <v>2748</v>
      </c>
      <c r="E2876">
        <v>1336</v>
      </c>
      <c r="F2876">
        <v>4161</v>
      </c>
      <c r="G2876">
        <v>2840</v>
      </c>
      <c r="H2876">
        <v>49.2</v>
      </c>
      <c r="I2876">
        <v>40.200000000000003</v>
      </c>
      <c r="J2876">
        <v>58.1</v>
      </c>
      <c r="K2876">
        <v>278</v>
      </c>
      <c r="L2876">
        <v>124</v>
      </c>
      <c r="M2876">
        <v>431</v>
      </c>
      <c r="N2876">
        <v>5</v>
      </c>
      <c r="O2876">
        <v>3.4</v>
      </c>
      <c r="P2876">
        <v>6.6</v>
      </c>
      <c r="Q2876">
        <f t="shared" si="88"/>
        <v>1951996</v>
      </c>
      <c r="R2876">
        <f t="shared" si="87"/>
        <v>14.241832462771439</v>
      </c>
      <c r="U2876">
        <v>486</v>
      </c>
      <c r="V2876">
        <v>203</v>
      </c>
      <c r="W2876">
        <v>770</v>
      </c>
      <c r="X2876">
        <v>663</v>
      </c>
      <c r="Y2876">
        <v>42.3</v>
      </c>
      <c r="Z2876">
        <v>19.399999999999999</v>
      </c>
      <c r="AA2876">
        <v>65.3</v>
      </c>
    </row>
    <row r="2877" spans="1:27" x14ac:dyDescent="0.25">
      <c r="A2877" t="s">
        <v>253</v>
      </c>
      <c r="B2877" t="s">
        <v>209</v>
      </c>
      <c r="C2877" s="76">
        <v>43961</v>
      </c>
      <c r="D2877">
        <v>2713</v>
      </c>
      <c r="E2877">
        <v>1280</v>
      </c>
      <c r="F2877">
        <v>4146</v>
      </c>
      <c r="G2877">
        <v>2949</v>
      </c>
      <c r="H2877">
        <v>47.9</v>
      </c>
      <c r="I2877">
        <v>38</v>
      </c>
      <c r="J2877">
        <v>57.8</v>
      </c>
      <c r="K2877">
        <v>277</v>
      </c>
      <c r="L2877">
        <v>121</v>
      </c>
      <c r="M2877">
        <v>433</v>
      </c>
      <c r="N2877">
        <v>4.9000000000000004</v>
      </c>
      <c r="O2877">
        <v>3.3</v>
      </c>
      <c r="P2877">
        <v>6.5</v>
      </c>
      <c r="Q2877">
        <f t="shared" si="88"/>
        <v>1951996</v>
      </c>
      <c r="R2877">
        <f t="shared" si="87"/>
        <v>14.190602849596003</v>
      </c>
      <c r="U2877">
        <v>487</v>
      </c>
      <c r="V2877">
        <v>199</v>
      </c>
      <c r="W2877">
        <v>776</v>
      </c>
      <c r="X2877">
        <v>347</v>
      </c>
      <c r="Y2877">
        <v>58.4</v>
      </c>
      <c r="Z2877">
        <v>46.7</v>
      </c>
      <c r="AA2877">
        <v>70.099999999999994</v>
      </c>
    </row>
    <row r="2878" spans="1:27" x14ac:dyDescent="0.25">
      <c r="A2878" t="s">
        <v>253</v>
      </c>
      <c r="B2878" t="s">
        <v>209</v>
      </c>
      <c r="C2878" s="76">
        <v>43962</v>
      </c>
      <c r="D2878">
        <v>2674</v>
      </c>
      <c r="E2878">
        <v>1281</v>
      </c>
      <c r="F2878">
        <v>4067</v>
      </c>
      <c r="G2878">
        <v>2975</v>
      </c>
      <c r="H2878">
        <v>47.3</v>
      </c>
      <c r="I2878">
        <v>37.4</v>
      </c>
      <c r="J2878">
        <v>57.3</v>
      </c>
      <c r="K2878">
        <v>278</v>
      </c>
      <c r="L2878">
        <v>124</v>
      </c>
      <c r="M2878">
        <v>432</v>
      </c>
      <c r="N2878">
        <v>4.9000000000000004</v>
      </c>
      <c r="O2878">
        <v>3.4</v>
      </c>
      <c r="P2878">
        <v>6.4</v>
      </c>
      <c r="Q2878">
        <f t="shared" si="88"/>
        <v>1951996</v>
      </c>
      <c r="R2878">
        <f t="shared" si="87"/>
        <v>14.241832462771439</v>
      </c>
      <c r="U2878">
        <v>501</v>
      </c>
      <c r="V2878">
        <v>212</v>
      </c>
      <c r="W2878">
        <v>790</v>
      </c>
      <c r="X2878">
        <v>351</v>
      </c>
      <c r="Y2878">
        <v>58.8</v>
      </c>
      <c r="Z2878">
        <v>44.5</v>
      </c>
      <c r="AA2878">
        <v>73</v>
      </c>
    </row>
    <row r="2879" spans="1:27" x14ac:dyDescent="0.25">
      <c r="A2879" t="s">
        <v>253</v>
      </c>
      <c r="B2879" t="s">
        <v>209</v>
      </c>
      <c r="C2879" s="76">
        <v>43963</v>
      </c>
      <c r="D2879">
        <v>2704</v>
      </c>
      <c r="E2879">
        <v>1367</v>
      </c>
      <c r="F2879">
        <v>4041</v>
      </c>
      <c r="G2879">
        <v>2940</v>
      </c>
      <c r="H2879">
        <v>47.9</v>
      </c>
      <c r="I2879">
        <v>39.200000000000003</v>
      </c>
      <c r="J2879">
        <v>56.6</v>
      </c>
      <c r="K2879">
        <v>285</v>
      </c>
      <c r="L2879">
        <v>122</v>
      </c>
      <c r="M2879">
        <v>448</v>
      </c>
      <c r="N2879">
        <v>5.0999999999999996</v>
      </c>
      <c r="O2879">
        <v>3.5</v>
      </c>
      <c r="P2879">
        <v>6.6</v>
      </c>
      <c r="Q2879">
        <f t="shared" si="88"/>
        <v>1951996</v>
      </c>
      <c r="R2879">
        <f t="shared" si="87"/>
        <v>14.600439754999499</v>
      </c>
      <c r="U2879">
        <v>496</v>
      </c>
      <c r="V2879">
        <v>216</v>
      </c>
      <c r="W2879">
        <v>776</v>
      </c>
      <c r="X2879">
        <v>354</v>
      </c>
      <c r="Y2879">
        <v>58.4</v>
      </c>
      <c r="Z2879">
        <v>44.5</v>
      </c>
      <c r="AA2879">
        <v>72.2</v>
      </c>
    </row>
    <row r="2880" spans="1:27" x14ac:dyDescent="0.25">
      <c r="A2880" t="s">
        <v>253</v>
      </c>
      <c r="B2880" t="s">
        <v>209</v>
      </c>
      <c r="C2880" s="76">
        <v>43964</v>
      </c>
      <c r="D2880">
        <v>2813</v>
      </c>
      <c r="E2880">
        <v>1406</v>
      </c>
      <c r="F2880">
        <v>4219</v>
      </c>
      <c r="G2880">
        <v>2833</v>
      </c>
      <c r="H2880">
        <v>49.8</v>
      </c>
      <c r="I2880">
        <v>41.2</v>
      </c>
      <c r="J2880">
        <v>58.4</v>
      </c>
      <c r="K2880">
        <v>283</v>
      </c>
      <c r="L2880">
        <v>125</v>
      </c>
      <c r="M2880">
        <v>440</v>
      </c>
      <c r="N2880">
        <v>5</v>
      </c>
      <c r="O2880">
        <v>3.5</v>
      </c>
      <c r="P2880">
        <v>6.5</v>
      </c>
      <c r="Q2880">
        <f t="shared" si="88"/>
        <v>1951996</v>
      </c>
      <c r="R2880">
        <f t="shared" si="87"/>
        <v>14.497980528648625</v>
      </c>
      <c r="U2880">
        <v>477</v>
      </c>
      <c r="V2880">
        <v>202</v>
      </c>
      <c r="W2880">
        <v>753</v>
      </c>
      <c r="X2880">
        <v>386</v>
      </c>
      <c r="Y2880">
        <v>55.3</v>
      </c>
      <c r="Z2880">
        <v>42.3</v>
      </c>
      <c r="AA2880">
        <v>68.3</v>
      </c>
    </row>
    <row r="2881" spans="1:27" x14ac:dyDescent="0.25">
      <c r="A2881" t="s">
        <v>253</v>
      </c>
      <c r="B2881" t="s">
        <v>209</v>
      </c>
      <c r="C2881" s="76">
        <v>43965</v>
      </c>
      <c r="D2881">
        <v>2800</v>
      </c>
      <c r="E2881">
        <v>1398</v>
      </c>
      <c r="F2881">
        <v>4202</v>
      </c>
      <c r="G2881">
        <v>2825</v>
      </c>
      <c r="H2881">
        <v>49.8</v>
      </c>
      <c r="I2881">
        <v>41</v>
      </c>
      <c r="J2881">
        <v>58.6</v>
      </c>
      <c r="K2881">
        <v>278</v>
      </c>
      <c r="L2881">
        <v>121</v>
      </c>
      <c r="M2881">
        <v>436</v>
      </c>
      <c r="N2881">
        <v>4.9000000000000004</v>
      </c>
      <c r="O2881">
        <v>3.4</v>
      </c>
      <c r="P2881">
        <v>6.5</v>
      </c>
      <c r="Q2881">
        <f t="shared" si="88"/>
        <v>1951996</v>
      </c>
      <c r="R2881">
        <f t="shared" si="87"/>
        <v>14.241832462771439</v>
      </c>
      <c r="U2881">
        <v>492</v>
      </c>
      <c r="V2881">
        <v>202</v>
      </c>
      <c r="W2881">
        <v>781</v>
      </c>
      <c r="X2881">
        <v>354</v>
      </c>
      <c r="Y2881">
        <v>58.2</v>
      </c>
      <c r="Z2881">
        <v>43.5</v>
      </c>
      <c r="AA2881">
        <v>72.900000000000006</v>
      </c>
    </row>
    <row r="2882" spans="1:27" x14ac:dyDescent="0.25">
      <c r="A2882" t="s">
        <v>253</v>
      </c>
      <c r="B2882" t="s">
        <v>209</v>
      </c>
      <c r="C2882" s="76">
        <v>43966</v>
      </c>
      <c r="D2882">
        <v>2931</v>
      </c>
      <c r="E2882">
        <v>1437</v>
      </c>
      <c r="F2882">
        <v>4426</v>
      </c>
      <c r="G2882">
        <v>2689</v>
      </c>
      <c r="H2882">
        <v>52.2</v>
      </c>
      <c r="I2882">
        <v>42.6</v>
      </c>
      <c r="J2882">
        <v>61.7</v>
      </c>
      <c r="K2882">
        <v>335</v>
      </c>
      <c r="L2882">
        <v>128</v>
      </c>
      <c r="M2882">
        <v>543</v>
      </c>
      <c r="N2882">
        <v>6</v>
      </c>
      <c r="O2882">
        <v>3.5</v>
      </c>
      <c r="P2882">
        <v>8.5</v>
      </c>
      <c r="Q2882">
        <f t="shared" si="88"/>
        <v>1951996</v>
      </c>
      <c r="R2882">
        <f t="shared" si="87"/>
        <v>17.161920413771341</v>
      </c>
      <c r="U2882">
        <v>504</v>
      </c>
      <c r="V2882">
        <v>209</v>
      </c>
      <c r="W2882">
        <v>799</v>
      </c>
      <c r="X2882">
        <v>356</v>
      </c>
      <c r="Y2882">
        <v>58.6</v>
      </c>
      <c r="Z2882">
        <v>45.7</v>
      </c>
      <c r="AA2882">
        <v>71.5</v>
      </c>
    </row>
    <row r="2883" spans="1:27" x14ac:dyDescent="0.25">
      <c r="A2883" t="s">
        <v>253</v>
      </c>
      <c r="B2883" t="s">
        <v>209</v>
      </c>
      <c r="C2883" s="76">
        <v>43967</v>
      </c>
      <c r="D2883">
        <v>2853</v>
      </c>
      <c r="E2883">
        <v>1381</v>
      </c>
      <c r="F2883">
        <v>4324</v>
      </c>
      <c r="G2883">
        <v>2769</v>
      </c>
      <c r="H2883">
        <v>50.7</v>
      </c>
      <c r="I2883">
        <v>41.1</v>
      </c>
      <c r="J2883">
        <v>60.4</v>
      </c>
      <c r="K2883">
        <v>279</v>
      </c>
      <c r="L2883">
        <v>112</v>
      </c>
      <c r="M2883">
        <v>446</v>
      </c>
      <c r="N2883">
        <v>5</v>
      </c>
      <c r="O2883">
        <v>3.2</v>
      </c>
      <c r="P2883">
        <v>6.8</v>
      </c>
      <c r="Q2883">
        <f t="shared" si="88"/>
        <v>1951996</v>
      </c>
      <c r="R2883">
        <f t="shared" si="87"/>
        <v>14.293062075946878</v>
      </c>
      <c r="U2883">
        <v>497</v>
      </c>
      <c r="V2883">
        <v>200</v>
      </c>
      <c r="W2883">
        <v>795</v>
      </c>
      <c r="X2883">
        <v>362</v>
      </c>
      <c r="Y2883">
        <v>57.9</v>
      </c>
      <c r="Z2883">
        <v>47.1</v>
      </c>
      <c r="AA2883">
        <v>68.8</v>
      </c>
    </row>
    <row r="2884" spans="1:27" x14ac:dyDescent="0.25">
      <c r="A2884" t="s">
        <v>253</v>
      </c>
      <c r="B2884" t="s">
        <v>209</v>
      </c>
      <c r="C2884" s="76">
        <v>43968</v>
      </c>
      <c r="D2884">
        <v>2783</v>
      </c>
      <c r="E2884">
        <v>1350</v>
      </c>
      <c r="F2884">
        <v>4217</v>
      </c>
      <c r="G2884">
        <v>2845</v>
      </c>
      <c r="H2884">
        <v>49.5</v>
      </c>
      <c r="I2884">
        <v>39.9</v>
      </c>
      <c r="J2884">
        <v>59</v>
      </c>
      <c r="K2884">
        <v>295</v>
      </c>
      <c r="L2884">
        <v>119</v>
      </c>
      <c r="M2884">
        <v>471</v>
      </c>
      <c r="N2884">
        <v>5.2</v>
      </c>
      <c r="O2884">
        <v>3.4</v>
      </c>
      <c r="P2884">
        <v>7.1</v>
      </c>
      <c r="Q2884">
        <f t="shared" si="88"/>
        <v>1951996</v>
      </c>
      <c r="R2884">
        <f t="shared" si="87"/>
        <v>15.112735886753866</v>
      </c>
      <c r="U2884">
        <v>509</v>
      </c>
      <c r="V2884">
        <v>198</v>
      </c>
      <c r="W2884">
        <v>820</v>
      </c>
      <c r="X2884">
        <v>350</v>
      </c>
      <c r="Y2884">
        <v>59.3</v>
      </c>
      <c r="Z2884">
        <v>47.5</v>
      </c>
      <c r="AA2884">
        <v>71</v>
      </c>
    </row>
    <row r="2885" spans="1:27" x14ac:dyDescent="0.25">
      <c r="A2885" t="s">
        <v>253</v>
      </c>
      <c r="B2885" t="s">
        <v>209</v>
      </c>
      <c r="C2885" s="76">
        <v>43969</v>
      </c>
      <c r="D2885">
        <v>2817</v>
      </c>
      <c r="E2885">
        <v>1302</v>
      </c>
      <c r="F2885">
        <v>4332</v>
      </c>
      <c r="G2885">
        <v>2751</v>
      </c>
      <c r="H2885">
        <v>50.6</v>
      </c>
      <c r="I2885">
        <v>40.5</v>
      </c>
      <c r="J2885">
        <v>60.7</v>
      </c>
      <c r="K2885">
        <v>280</v>
      </c>
      <c r="L2885">
        <v>116</v>
      </c>
      <c r="M2885">
        <v>444</v>
      </c>
      <c r="N2885">
        <v>5</v>
      </c>
      <c r="O2885">
        <v>3.5</v>
      </c>
      <c r="P2885">
        <v>6.6</v>
      </c>
      <c r="Q2885">
        <f t="shared" si="88"/>
        <v>1951996</v>
      </c>
      <c r="R2885">
        <f t="shared" ref="R2885:R2948" si="89">K2885/(Q2885)*100000</f>
        <v>14.344291689122313</v>
      </c>
      <c r="U2885">
        <v>487</v>
      </c>
      <c r="V2885">
        <v>182</v>
      </c>
      <c r="W2885">
        <v>793</v>
      </c>
      <c r="X2885">
        <v>357</v>
      </c>
      <c r="Y2885">
        <v>57.8</v>
      </c>
      <c r="Z2885">
        <v>43.9</v>
      </c>
      <c r="AA2885">
        <v>71.599999999999994</v>
      </c>
    </row>
    <row r="2886" spans="1:27" x14ac:dyDescent="0.25">
      <c r="A2886" t="s">
        <v>253</v>
      </c>
      <c r="B2886" t="s">
        <v>209</v>
      </c>
      <c r="C2886" s="76">
        <v>43970</v>
      </c>
      <c r="D2886">
        <v>2876</v>
      </c>
      <c r="E2886">
        <v>1368</v>
      </c>
      <c r="F2886">
        <v>4383</v>
      </c>
      <c r="G2886">
        <v>2712</v>
      </c>
      <c r="H2886">
        <v>51.5</v>
      </c>
      <c r="I2886">
        <v>42.3</v>
      </c>
      <c r="J2886">
        <v>60.6</v>
      </c>
      <c r="K2886">
        <v>296</v>
      </c>
      <c r="L2886">
        <v>110</v>
      </c>
      <c r="M2886">
        <v>482</v>
      </c>
      <c r="N2886">
        <v>5.3</v>
      </c>
      <c r="O2886">
        <v>3.4</v>
      </c>
      <c r="P2886">
        <v>7.2</v>
      </c>
      <c r="Q2886">
        <f t="shared" si="88"/>
        <v>1951996</v>
      </c>
      <c r="R2886">
        <f t="shared" si="89"/>
        <v>15.163965499929303</v>
      </c>
      <c r="U2886">
        <v>466</v>
      </c>
      <c r="V2886">
        <v>176</v>
      </c>
      <c r="W2886">
        <v>756</v>
      </c>
      <c r="X2886">
        <v>356</v>
      </c>
      <c r="Y2886">
        <v>56.7</v>
      </c>
      <c r="Z2886">
        <v>43</v>
      </c>
      <c r="AA2886">
        <v>70.3</v>
      </c>
    </row>
    <row r="2887" spans="1:27" x14ac:dyDescent="0.25">
      <c r="A2887" t="s">
        <v>253</v>
      </c>
      <c r="B2887" t="s">
        <v>209</v>
      </c>
      <c r="C2887" s="76">
        <v>43971</v>
      </c>
      <c r="D2887">
        <v>2941</v>
      </c>
      <c r="E2887">
        <v>1405</v>
      </c>
      <c r="F2887">
        <v>4477</v>
      </c>
      <c r="G2887">
        <v>2649</v>
      </c>
      <c r="H2887">
        <v>52.6</v>
      </c>
      <c r="I2887">
        <v>42.9</v>
      </c>
      <c r="J2887">
        <v>62.3</v>
      </c>
      <c r="K2887">
        <v>279</v>
      </c>
      <c r="L2887">
        <v>107</v>
      </c>
      <c r="M2887">
        <v>451</v>
      </c>
      <c r="N2887">
        <v>5</v>
      </c>
      <c r="O2887">
        <v>3.4</v>
      </c>
      <c r="P2887">
        <v>6.6</v>
      </c>
      <c r="Q2887">
        <f t="shared" si="88"/>
        <v>1951996</v>
      </c>
      <c r="R2887">
        <f t="shared" si="89"/>
        <v>14.293062075946878</v>
      </c>
      <c r="U2887">
        <v>509</v>
      </c>
      <c r="V2887">
        <v>196</v>
      </c>
      <c r="W2887">
        <v>822</v>
      </c>
      <c r="X2887">
        <v>343</v>
      </c>
      <c r="Y2887">
        <v>59.7</v>
      </c>
      <c r="Z2887">
        <v>44.6</v>
      </c>
      <c r="AA2887">
        <v>74.900000000000006</v>
      </c>
    </row>
    <row r="2888" spans="1:27" x14ac:dyDescent="0.25">
      <c r="A2888" t="s">
        <v>253</v>
      </c>
      <c r="B2888" t="s">
        <v>209</v>
      </c>
      <c r="C2888" s="76">
        <v>43972</v>
      </c>
      <c r="D2888">
        <v>3034</v>
      </c>
      <c r="E2888">
        <v>1401</v>
      </c>
      <c r="F2888">
        <v>4668</v>
      </c>
      <c r="G2888">
        <v>2605</v>
      </c>
      <c r="H2888">
        <v>53.8</v>
      </c>
      <c r="I2888">
        <v>43.9</v>
      </c>
      <c r="J2888">
        <v>63.7</v>
      </c>
      <c r="K2888">
        <v>310</v>
      </c>
      <c r="L2888">
        <v>115</v>
      </c>
      <c r="M2888">
        <v>506</v>
      </c>
      <c r="N2888">
        <v>5.5</v>
      </c>
      <c r="O2888">
        <v>3.5</v>
      </c>
      <c r="P2888">
        <v>7.5</v>
      </c>
      <c r="Q2888">
        <f t="shared" si="88"/>
        <v>1951996</v>
      </c>
      <c r="R2888">
        <f t="shared" si="89"/>
        <v>15.88118008438542</v>
      </c>
      <c r="U2888">
        <v>539</v>
      </c>
      <c r="V2888">
        <v>197</v>
      </c>
      <c r="W2888">
        <v>882</v>
      </c>
      <c r="X2888">
        <v>269</v>
      </c>
      <c r="Y2888">
        <v>66.7</v>
      </c>
      <c r="Z2888">
        <v>54.3</v>
      </c>
      <c r="AA2888">
        <v>79.099999999999994</v>
      </c>
    </row>
    <row r="2889" spans="1:27" x14ac:dyDescent="0.25">
      <c r="A2889" t="s">
        <v>253</v>
      </c>
      <c r="B2889" t="s">
        <v>209</v>
      </c>
      <c r="C2889" s="76">
        <v>43973</v>
      </c>
      <c r="D2889">
        <v>2914</v>
      </c>
      <c r="E2889">
        <v>1384</v>
      </c>
      <c r="F2889">
        <v>4443</v>
      </c>
      <c r="G2889">
        <v>2661</v>
      </c>
      <c r="H2889">
        <v>52.3</v>
      </c>
      <c r="I2889">
        <v>43.2</v>
      </c>
      <c r="J2889">
        <v>61.3</v>
      </c>
      <c r="K2889">
        <v>321</v>
      </c>
      <c r="L2889">
        <v>118</v>
      </c>
      <c r="M2889">
        <v>523</v>
      </c>
      <c r="N2889">
        <v>5.8</v>
      </c>
      <c r="O2889">
        <v>3.7</v>
      </c>
      <c r="P2889">
        <v>7.8</v>
      </c>
      <c r="Q2889">
        <f t="shared" si="88"/>
        <v>1951996</v>
      </c>
      <c r="R2889">
        <f t="shared" si="89"/>
        <v>16.444705829315225</v>
      </c>
      <c r="U2889">
        <v>529</v>
      </c>
      <c r="V2889">
        <v>199</v>
      </c>
      <c r="W2889">
        <v>859</v>
      </c>
      <c r="X2889">
        <v>283</v>
      </c>
      <c r="Y2889">
        <v>65.099999999999994</v>
      </c>
      <c r="Z2889">
        <v>53.7</v>
      </c>
      <c r="AA2889">
        <v>76.599999999999994</v>
      </c>
    </row>
    <row r="2890" spans="1:27" x14ac:dyDescent="0.25">
      <c r="A2890" t="s">
        <v>253</v>
      </c>
      <c r="B2890" t="s">
        <v>209</v>
      </c>
      <c r="C2890" s="76">
        <v>43974</v>
      </c>
      <c r="D2890">
        <v>2838</v>
      </c>
      <c r="E2890">
        <v>1158</v>
      </c>
      <c r="F2890">
        <v>4518</v>
      </c>
      <c r="G2890">
        <v>2684</v>
      </c>
      <c r="H2890">
        <v>51.4</v>
      </c>
      <c r="I2890">
        <v>35.200000000000003</v>
      </c>
      <c r="J2890">
        <v>67.599999999999994</v>
      </c>
      <c r="K2890">
        <v>310</v>
      </c>
      <c r="L2890">
        <v>115</v>
      </c>
      <c r="M2890">
        <v>505</v>
      </c>
      <c r="N2890">
        <v>5.6</v>
      </c>
      <c r="O2890">
        <v>3.7</v>
      </c>
      <c r="P2890">
        <v>7.5</v>
      </c>
      <c r="Q2890">
        <f t="shared" si="88"/>
        <v>1951996</v>
      </c>
      <c r="R2890">
        <f t="shared" si="89"/>
        <v>15.88118008438542</v>
      </c>
      <c r="U2890">
        <v>544</v>
      </c>
      <c r="V2890">
        <v>201</v>
      </c>
      <c r="W2890">
        <v>887</v>
      </c>
      <c r="X2890">
        <v>261</v>
      </c>
      <c r="Y2890">
        <v>67.599999999999994</v>
      </c>
      <c r="Z2890">
        <v>57.4</v>
      </c>
      <c r="AA2890">
        <v>77.8</v>
      </c>
    </row>
    <row r="2891" spans="1:27" x14ac:dyDescent="0.25">
      <c r="A2891" t="s">
        <v>253</v>
      </c>
      <c r="B2891" t="s">
        <v>209</v>
      </c>
      <c r="C2891" s="76">
        <v>43975</v>
      </c>
      <c r="D2891">
        <v>2701</v>
      </c>
      <c r="E2891">
        <v>1209</v>
      </c>
      <c r="F2891">
        <v>4193</v>
      </c>
      <c r="G2891">
        <v>2837</v>
      </c>
      <c r="H2891">
        <v>48.8</v>
      </c>
      <c r="I2891">
        <v>38.700000000000003</v>
      </c>
      <c r="J2891">
        <v>58.8</v>
      </c>
      <c r="K2891">
        <v>292</v>
      </c>
      <c r="L2891">
        <v>113</v>
      </c>
      <c r="M2891">
        <v>471</v>
      </c>
      <c r="N2891">
        <v>5.3</v>
      </c>
      <c r="O2891">
        <v>3.7</v>
      </c>
      <c r="P2891">
        <v>6.9</v>
      </c>
      <c r="Q2891">
        <f t="shared" si="88"/>
        <v>1951996</v>
      </c>
      <c r="R2891">
        <f t="shared" si="89"/>
        <v>14.959047047227557</v>
      </c>
      <c r="U2891">
        <v>487</v>
      </c>
      <c r="V2891">
        <v>180</v>
      </c>
      <c r="W2891">
        <v>794</v>
      </c>
      <c r="X2891">
        <v>312</v>
      </c>
      <c r="Y2891">
        <v>60.9</v>
      </c>
      <c r="Z2891">
        <v>50.6</v>
      </c>
      <c r="AA2891">
        <v>71.2</v>
      </c>
    </row>
    <row r="2892" spans="1:27" x14ac:dyDescent="0.25">
      <c r="A2892" t="s">
        <v>253</v>
      </c>
      <c r="B2892" t="s">
        <v>209</v>
      </c>
      <c r="C2892" s="76">
        <v>43976</v>
      </c>
      <c r="D2892">
        <v>2443</v>
      </c>
      <c r="E2892">
        <v>1028</v>
      </c>
      <c r="F2892">
        <v>3858</v>
      </c>
      <c r="G2892">
        <v>2761</v>
      </c>
      <c r="H2892">
        <v>46.9</v>
      </c>
      <c r="I2892">
        <v>36.5</v>
      </c>
      <c r="J2892">
        <v>57.4</v>
      </c>
      <c r="K2892">
        <v>234</v>
      </c>
      <c r="L2892">
        <v>84</v>
      </c>
      <c r="M2892">
        <v>385</v>
      </c>
      <c r="N2892">
        <v>4.5</v>
      </c>
      <c r="O2892">
        <v>3</v>
      </c>
      <c r="P2892">
        <v>6</v>
      </c>
      <c r="Q2892">
        <f t="shared" si="88"/>
        <v>1951996</v>
      </c>
      <c r="R2892">
        <f t="shared" si="89"/>
        <v>11.98772948305222</v>
      </c>
      <c r="U2892">
        <v>480</v>
      </c>
      <c r="V2892">
        <v>163</v>
      </c>
      <c r="W2892">
        <v>797</v>
      </c>
      <c r="X2892">
        <v>267</v>
      </c>
      <c r="Y2892">
        <v>64.3</v>
      </c>
      <c r="Z2892">
        <v>55.9</v>
      </c>
      <c r="AA2892">
        <v>72.7</v>
      </c>
    </row>
    <row r="2893" spans="1:27" x14ac:dyDescent="0.25">
      <c r="A2893" t="s">
        <v>253</v>
      </c>
      <c r="B2893" t="s">
        <v>209</v>
      </c>
      <c r="C2893" s="76">
        <v>43977</v>
      </c>
      <c r="D2893">
        <v>2455</v>
      </c>
      <c r="E2893">
        <v>1057</v>
      </c>
      <c r="F2893">
        <v>3853</v>
      </c>
      <c r="G2893">
        <v>2725</v>
      </c>
      <c r="H2893">
        <v>47.4</v>
      </c>
      <c r="I2893">
        <v>37.200000000000003</v>
      </c>
      <c r="J2893">
        <v>57.6</v>
      </c>
      <c r="K2893">
        <v>259</v>
      </c>
      <c r="L2893">
        <v>77</v>
      </c>
      <c r="M2893">
        <v>441</v>
      </c>
      <c r="N2893">
        <v>5</v>
      </c>
      <c r="O2893">
        <v>3</v>
      </c>
      <c r="P2893">
        <v>7</v>
      </c>
      <c r="Q2893">
        <f t="shared" si="88"/>
        <v>1951996</v>
      </c>
      <c r="R2893">
        <f t="shared" si="89"/>
        <v>13.268469812438139</v>
      </c>
      <c r="U2893">
        <v>486</v>
      </c>
      <c r="V2893">
        <v>157</v>
      </c>
      <c r="W2893">
        <v>814</v>
      </c>
      <c r="X2893">
        <v>274</v>
      </c>
      <c r="Y2893">
        <v>64</v>
      </c>
      <c r="Z2893">
        <v>52.9</v>
      </c>
      <c r="AA2893">
        <v>75</v>
      </c>
    </row>
    <row r="2894" spans="1:27" x14ac:dyDescent="0.25">
      <c r="A2894" t="s">
        <v>253</v>
      </c>
      <c r="B2894" t="s">
        <v>209</v>
      </c>
      <c r="C2894" s="76">
        <v>43978</v>
      </c>
      <c r="D2894">
        <v>2665</v>
      </c>
      <c r="E2894">
        <v>1218</v>
      </c>
      <c r="F2894">
        <v>4112</v>
      </c>
      <c r="G2894">
        <v>2436</v>
      </c>
      <c r="H2894">
        <v>52.2</v>
      </c>
      <c r="I2894">
        <v>43.1</v>
      </c>
      <c r="J2894">
        <v>61.4</v>
      </c>
      <c r="K2894">
        <v>245</v>
      </c>
      <c r="L2894">
        <v>70</v>
      </c>
      <c r="M2894">
        <v>421</v>
      </c>
      <c r="N2894">
        <v>4.8</v>
      </c>
      <c r="O2894">
        <v>2.9</v>
      </c>
      <c r="P2894">
        <v>6.8</v>
      </c>
      <c r="Q2894">
        <f t="shared" si="88"/>
        <v>1951996</v>
      </c>
      <c r="R2894">
        <f t="shared" si="89"/>
        <v>12.551255227982026</v>
      </c>
      <c r="U2894">
        <v>485</v>
      </c>
      <c r="V2894">
        <v>163</v>
      </c>
      <c r="W2894">
        <v>808</v>
      </c>
      <c r="X2894">
        <v>269</v>
      </c>
      <c r="Y2894">
        <v>64.3</v>
      </c>
      <c r="Z2894">
        <v>51.7</v>
      </c>
      <c r="AA2894">
        <v>77</v>
      </c>
    </row>
    <row r="2895" spans="1:27" x14ac:dyDescent="0.25">
      <c r="A2895" t="s">
        <v>253</v>
      </c>
      <c r="B2895" t="s">
        <v>209</v>
      </c>
      <c r="C2895" s="76">
        <v>43979</v>
      </c>
      <c r="D2895">
        <v>2935</v>
      </c>
      <c r="E2895">
        <v>1439</v>
      </c>
      <c r="F2895">
        <v>4432</v>
      </c>
      <c r="G2895">
        <v>2281</v>
      </c>
      <c r="H2895">
        <v>56.3</v>
      </c>
      <c r="I2895">
        <v>47.4</v>
      </c>
      <c r="J2895">
        <v>65.2</v>
      </c>
      <c r="K2895">
        <v>266</v>
      </c>
      <c r="L2895">
        <v>85</v>
      </c>
      <c r="M2895">
        <v>448</v>
      </c>
      <c r="N2895">
        <v>5.0999999999999996</v>
      </c>
      <c r="O2895">
        <v>3.1</v>
      </c>
      <c r="P2895">
        <v>7.2</v>
      </c>
      <c r="Q2895">
        <f t="shared" si="88"/>
        <v>1951996</v>
      </c>
      <c r="R2895">
        <f t="shared" si="89"/>
        <v>13.627077104666197</v>
      </c>
      <c r="U2895">
        <v>542</v>
      </c>
      <c r="V2895">
        <v>202</v>
      </c>
      <c r="W2895">
        <v>881</v>
      </c>
      <c r="X2895">
        <v>254</v>
      </c>
      <c r="Y2895">
        <v>68.099999999999994</v>
      </c>
      <c r="Z2895">
        <v>53.4</v>
      </c>
      <c r="AA2895">
        <v>82.8</v>
      </c>
    </row>
    <row r="2896" spans="1:27" x14ac:dyDescent="0.25">
      <c r="A2896" t="s">
        <v>253</v>
      </c>
      <c r="B2896" t="s">
        <v>209</v>
      </c>
      <c r="C2896" s="76">
        <v>43980</v>
      </c>
      <c r="D2896">
        <v>2995</v>
      </c>
      <c r="E2896">
        <v>1489</v>
      </c>
      <c r="F2896">
        <v>4502</v>
      </c>
      <c r="G2896">
        <v>2480</v>
      </c>
      <c r="H2896">
        <v>54.7</v>
      </c>
      <c r="I2896">
        <v>45.2</v>
      </c>
      <c r="J2896">
        <v>64.2</v>
      </c>
      <c r="K2896">
        <v>280</v>
      </c>
      <c r="L2896">
        <v>101</v>
      </c>
      <c r="M2896">
        <v>459</v>
      </c>
      <c r="N2896">
        <v>5.0999999999999996</v>
      </c>
      <c r="O2896">
        <v>3.3</v>
      </c>
      <c r="P2896">
        <v>7</v>
      </c>
      <c r="Q2896">
        <f t="shared" si="88"/>
        <v>1951996</v>
      </c>
      <c r="R2896">
        <f t="shared" si="89"/>
        <v>14.344291689122313</v>
      </c>
      <c r="U2896">
        <v>536</v>
      </c>
      <c r="V2896">
        <v>209</v>
      </c>
      <c r="W2896">
        <v>864</v>
      </c>
      <c r="X2896">
        <v>298</v>
      </c>
      <c r="Y2896">
        <v>64.3</v>
      </c>
      <c r="Z2896">
        <v>50.7</v>
      </c>
      <c r="AA2896">
        <v>77.900000000000006</v>
      </c>
    </row>
    <row r="2897" spans="1:27" x14ac:dyDescent="0.25">
      <c r="A2897" t="s">
        <v>253</v>
      </c>
      <c r="B2897" t="s">
        <v>209</v>
      </c>
      <c r="C2897" s="76">
        <v>43981</v>
      </c>
      <c r="D2897">
        <v>2849</v>
      </c>
      <c r="E2897">
        <v>1422</v>
      </c>
      <c r="F2897">
        <v>4277</v>
      </c>
      <c r="G2897">
        <v>2651</v>
      </c>
      <c r="H2897">
        <v>51.8</v>
      </c>
      <c r="I2897">
        <v>42.8</v>
      </c>
      <c r="J2897">
        <v>60.8</v>
      </c>
      <c r="K2897">
        <v>277</v>
      </c>
      <c r="L2897">
        <v>102</v>
      </c>
      <c r="M2897">
        <v>451</v>
      </c>
      <c r="N2897">
        <v>5</v>
      </c>
      <c r="O2897">
        <v>3.3</v>
      </c>
      <c r="P2897">
        <v>6.8</v>
      </c>
      <c r="Q2897">
        <f t="shared" si="88"/>
        <v>1951996</v>
      </c>
      <c r="R2897">
        <f t="shared" si="89"/>
        <v>14.190602849596003</v>
      </c>
      <c r="U2897">
        <v>465</v>
      </c>
      <c r="V2897">
        <v>173</v>
      </c>
      <c r="W2897">
        <v>758</v>
      </c>
      <c r="X2897">
        <v>366</v>
      </c>
      <c r="Y2897">
        <v>56</v>
      </c>
      <c r="Z2897">
        <v>44.3</v>
      </c>
      <c r="AA2897">
        <v>67.7</v>
      </c>
    </row>
    <row r="2898" spans="1:27" x14ac:dyDescent="0.25">
      <c r="A2898" t="s">
        <v>253</v>
      </c>
      <c r="B2898" t="s">
        <v>209</v>
      </c>
      <c r="C2898" s="76">
        <v>43982</v>
      </c>
      <c r="D2898">
        <v>2594</v>
      </c>
      <c r="E2898">
        <v>1271</v>
      </c>
      <c r="F2898">
        <v>3917</v>
      </c>
      <c r="G2898">
        <v>2679</v>
      </c>
      <c r="H2898">
        <v>49.2</v>
      </c>
      <c r="I2898">
        <v>40.6</v>
      </c>
      <c r="J2898">
        <v>57.8</v>
      </c>
      <c r="K2898">
        <v>252</v>
      </c>
      <c r="L2898">
        <v>97</v>
      </c>
      <c r="M2898">
        <v>408</v>
      </c>
      <c r="N2898">
        <v>4.8</v>
      </c>
      <c r="O2898">
        <v>3.2</v>
      </c>
      <c r="P2898">
        <v>6.4</v>
      </c>
      <c r="Q2898">
        <f t="shared" si="88"/>
        <v>1951996</v>
      </c>
      <c r="R2898">
        <f t="shared" si="89"/>
        <v>12.909862520210083</v>
      </c>
      <c r="U2898">
        <v>434</v>
      </c>
      <c r="V2898">
        <v>160</v>
      </c>
      <c r="W2898">
        <v>709</v>
      </c>
      <c r="X2898">
        <v>341</v>
      </c>
      <c r="Y2898">
        <v>56.1</v>
      </c>
      <c r="Z2898">
        <v>46</v>
      </c>
      <c r="AA2898">
        <v>66.099999999999994</v>
      </c>
    </row>
    <row r="2899" spans="1:27" x14ac:dyDescent="0.25">
      <c r="A2899" t="s">
        <v>253</v>
      </c>
      <c r="B2899" t="s">
        <v>209</v>
      </c>
      <c r="C2899" s="76">
        <v>43983</v>
      </c>
      <c r="D2899">
        <v>2482</v>
      </c>
      <c r="E2899">
        <v>1123</v>
      </c>
      <c r="F2899">
        <v>3842</v>
      </c>
      <c r="G2899">
        <v>2573</v>
      </c>
      <c r="H2899">
        <v>49.1</v>
      </c>
      <c r="I2899">
        <v>40.299999999999997</v>
      </c>
      <c r="J2899">
        <v>57.9</v>
      </c>
      <c r="K2899">
        <v>243</v>
      </c>
      <c r="L2899">
        <v>82</v>
      </c>
      <c r="M2899">
        <v>404</v>
      </c>
      <c r="N2899">
        <v>4.8</v>
      </c>
      <c r="O2899">
        <v>3.2</v>
      </c>
      <c r="P2899">
        <v>6.4</v>
      </c>
      <c r="Q2899">
        <f t="shared" si="88"/>
        <v>1951996</v>
      </c>
      <c r="R2899">
        <f t="shared" si="89"/>
        <v>12.448796001631152</v>
      </c>
      <c r="U2899">
        <v>477</v>
      </c>
      <c r="V2899">
        <v>159</v>
      </c>
      <c r="W2899">
        <v>795</v>
      </c>
      <c r="X2899">
        <v>296</v>
      </c>
      <c r="Y2899">
        <v>61.7</v>
      </c>
      <c r="Z2899">
        <v>48.9</v>
      </c>
      <c r="AA2899">
        <v>74.5</v>
      </c>
    </row>
    <row r="2900" spans="1:27" x14ac:dyDescent="0.25">
      <c r="A2900" t="s">
        <v>253</v>
      </c>
      <c r="B2900" t="s">
        <v>209</v>
      </c>
      <c r="C2900" s="76">
        <v>43984</v>
      </c>
      <c r="D2900">
        <v>2724</v>
      </c>
      <c r="E2900">
        <v>1297</v>
      </c>
      <c r="F2900">
        <v>4150</v>
      </c>
      <c r="G2900">
        <v>2359</v>
      </c>
      <c r="H2900">
        <v>53.6</v>
      </c>
      <c r="I2900">
        <v>45.4</v>
      </c>
      <c r="J2900">
        <v>61.8</v>
      </c>
      <c r="K2900">
        <v>241</v>
      </c>
      <c r="L2900">
        <v>88</v>
      </c>
      <c r="M2900">
        <v>394</v>
      </c>
      <c r="N2900">
        <v>4.7</v>
      </c>
      <c r="O2900">
        <v>3.2</v>
      </c>
      <c r="P2900">
        <v>6.3</v>
      </c>
      <c r="Q2900">
        <f t="shared" si="88"/>
        <v>1951996</v>
      </c>
      <c r="R2900">
        <f t="shared" si="89"/>
        <v>12.346336775280276</v>
      </c>
      <c r="U2900">
        <v>499</v>
      </c>
      <c r="V2900">
        <v>169</v>
      </c>
      <c r="W2900">
        <v>828</v>
      </c>
      <c r="X2900">
        <v>277</v>
      </c>
      <c r="Y2900">
        <v>64.2</v>
      </c>
      <c r="Z2900">
        <v>49.3</v>
      </c>
      <c r="AA2900">
        <v>79.2</v>
      </c>
    </row>
    <row r="2901" spans="1:27" x14ac:dyDescent="0.25">
      <c r="A2901" t="s">
        <v>253</v>
      </c>
      <c r="B2901" t="s">
        <v>209</v>
      </c>
      <c r="C2901" s="76">
        <v>43985</v>
      </c>
      <c r="D2901">
        <v>2883</v>
      </c>
      <c r="E2901">
        <v>968</v>
      </c>
      <c r="F2901">
        <v>4797</v>
      </c>
      <c r="G2901">
        <v>2258</v>
      </c>
      <c r="H2901">
        <v>56.1</v>
      </c>
      <c r="I2901">
        <v>44.4</v>
      </c>
      <c r="J2901">
        <v>67.8</v>
      </c>
      <c r="K2901">
        <v>327</v>
      </c>
      <c r="L2901">
        <v>72</v>
      </c>
      <c r="M2901">
        <v>581</v>
      </c>
      <c r="N2901">
        <v>6.4</v>
      </c>
      <c r="O2901">
        <v>4</v>
      </c>
      <c r="P2901">
        <v>8.6999999999999993</v>
      </c>
      <c r="Q2901">
        <f t="shared" si="88"/>
        <v>1951996</v>
      </c>
      <c r="R2901">
        <f t="shared" si="89"/>
        <v>16.752083508367843</v>
      </c>
      <c r="U2901">
        <v>463</v>
      </c>
      <c r="V2901">
        <v>79</v>
      </c>
      <c r="W2901">
        <v>846</v>
      </c>
      <c r="X2901">
        <v>345</v>
      </c>
      <c r="Y2901">
        <v>57.3</v>
      </c>
      <c r="Z2901">
        <v>44.1</v>
      </c>
      <c r="AA2901">
        <v>70.599999999999994</v>
      </c>
    </row>
    <row r="2902" spans="1:27" x14ac:dyDescent="0.25">
      <c r="A2902" t="s">
        <v>253</v>
      </c>
      <c r="B2902" t="s">
        <v>209</v>
      </c>
      <c r="C2902" s="76">
        <v>43986</v>
      </c>
      <c r="D2902">
        <v>2820</v>
      </c>
      <c r="E2902">
        <v>1293</v>
      </c>
      <c r="F2902">
        <v>4347</v>
      </c>
      <c r="G2902">
        <v>2286</v>
      </c>
      <c r="H2902">
        <v>55.2</v>
      </c>
      <c r="I2902">
        <v>46.6</v>
      </c>
      <c r="J2902">
        <v>63.9</v>
      </c>
      <c r="K2902">
        <v>239</v>
      </c>
      <c r="L2902">
        <v>69</v>
      </c>
      <c r="M2902">
        <v>409</v>
      </c>
      <c r="N2902">
        <v>4.7</v>
      </c>
      <c r="O2902">
        <v>2.7</v>
      </c>
      <c r="P2902">
        <v>6.6</v>
      </c>
      <c r="Q2902">
        <f t="shared" si="88"/>
        <v>1951996</v>
      </c>
      <c r="R2902">
        <f t="shared" si="89"/>
        <v>12.243877548929403</v>
      </c>
      <c r="U2902">
        <v>475</v>
      </c>
      <c r="V2902">
        <v>159</v>
      </c>
      <c r="W2902">
        <v>791</v>
      </c>
      <c r="X2902">
        <v>240</v>
      </c>
      <c r="Y2902">
        <v>66.400000000000006</v>
      </c>
      <c r="Z2902">
        <v>55</v>
      </c>
      <c r="AA2902">
        <v>77.8</v>
      </c>
    </row>
    <row r="2903" spans="1:27" x14ac:dyDescent="0.25">
      <c r="A2903" t="s">
        <v>253</v>
      </c>
      <c r="B2903" t="s">
        <v>209</v>
      </c>
      <c r="C2903" s="76">
        <v>43987</v>
      </c>
      <c r="D2903">
        <v>2847</v>
      </c>
      <c r="E2903">
        <v>1317</v>
      </c>
      <c r="F2903">
        <v>4378</v>
      </c>
      <c r="G2903">
        <v>2604</v>
      </c>
      <c r="H2903">
        <v>52.2</v>
      </c>
      <c r="I2903">
        <v>42.4</v>
      </c>
      <c r="J2903">
        <v>62.1</v>
      </c>
      <c r="K2903">
        <v>216</v>
      </c>
      <c r="L2903">
        <v>69</v>
      </c>
      <c r="M2903">
        <v>364</v>
      </c>
      <c r="N2903">
        <v>4</v>
      </c>
      <c r="O2903">
        <v>2.2999999999999998</v>
      </c>
      <c r="P2903">
        <v>5.6</v>
      </c>
      <c r="Q2903">
        <f t="shared" si="88"/>
        <v>1951996</v>
      </c>
      <c r="R2903">
        <f t="shared" si="89"/>
        <v>11.065596445894357</v>
      </c>
      <c r="U2903">
        <v>554</v>
      </c>
      <c r="V2903">
        <v>208</v>
      </c>
      <c r="W2903">
        <v>901</v>
      </c>
      <c r="X2903">
        <v>346</v>
      </c>
      <c r="Y2903">
        <v>61.6</v>
      </c>
      <c r="Z2903">
        <v>46.7</v>
      </c>
      <c r="AA2903">
        <v>76.5</v>
      </c>
    </row>
    <row r="2904" spans="1:27" x14ac:dyDescent="0.25">
      <c r="A2904" t="s">
        <v>253</v>
      </c>
      <c r="B2904" t="s">
        <v>209</v>
      </c>
      <c r="C2904" s="76">
        <v>43988</v>
      </c>
      <c r="D2904">
        <v>2915</v>
      </c>
      <c r="E2904">
        <v>1373</v>
      </c>
      <c r="F2904">
        <v>4456</v>
      </c>
      <c r="G2904">
        <v>2555</v>
      </c>
      <c r="H2904">
        <v>53.3</v>
      </c>
      <c r="I2904">
        <v>44.2</v>
      </c>
      <c r="J2904">
        <v>62.4</v>
      </c>
      <c r="K2904">
        <v>216</v>
      </c>
      <c r="L2904">
        <v>67</v>
      </c>
      <c r="M2904">
        <v>366</v>
      </c>
      <c r="N2904">
        <v>4</v>
      </c>
      <c r="O2904">
        <v>2.2999999999999998</v>
      </c>
      <c r="P2904">
        <v>5.6</v>
      </c>
      <c r="Q2904">
        <f t="shared" si="88"/>
        <v>1951996</v>
      </c>
      <c r="R2904">
        <f t="shared" si="89"/>
        <v>11.065596445894357</v>
      </c>
      <c r="U2904">
        <v>553</v>
      </c>
      <c r="V2904">
        <v>215</v>
      </c>
      <c r="W2904">
        <v>891</v>
      </c>
      <c r="X2904">
        <v>351</v>
      </c>
      <c r="Y2904">
        <v>61.2</v>
      </c>
      <c r="Z2904">
        <v>48.8</v>
      </c>
      <c r="AA2904">
        <v>73.5</v>
      </c>
    </row>
    <row r="2905" spans="1:27" x14ac:dyDescent="0.25">
      <c r="A2905" t="s">
        <v>253</v>
      </c>
      <c r="B2905" t="s">
        <v>209</v>
      </c>
      <c r="C2905" s="76">
        <v>43989</v>
      </c>
      <c r="D2905">
        <v>2859</v>
      </c>
      <c r="E2905">
        <v>1271</v>
      </c>
      <c r="F2905">
        <v>4448</v>
      </c>
      <c r="G2905">
        <v>2726</v>
      </c>
      <c r="H2905">
        <v>51.2</v>
      </c>
      <c r="I2905">
        <v>41</v>
      </c>
      <c r="J2905">
        <v>61.4</v>
      </c>
      <c r="K2905">
        <v>220</v>
      </c>
      <c r="L2905">
        <v>73</v>
      </c>
      <c r="M2905">
        <v>368</v>
      </c>
      <c r="N2905">
        <v>3.9</v>
      </c>
      <c r="O2905">
        <v>2.2000000000000002</v>
      </c>
      <c r="P2905">
        <v>5.6</v>
      </c>
      <c r="Q2905">
        <f t="shared" si="88"/>
        <v>1951996</v>
      </c>
      <c r="R2905">
        <f t="shared" si="89"/>
        <v>11.270514898596103</v>
      </c>
      <c r="U2905">
        <v>553</v>
      </c>
      <c r="V2905">
        <v>214</v>
      </c>
      <c r="W2905">
        <v>893</v>
      </c>
      <c r="X2905">
        <v>406</v>
      </c>
      <c r="Y2905">
        <v>57.7</v>
      </c>
      <c r="Z2905">
        <v>46</v>
      </c>
      <c r="AA2905">
        <v>69.400000000000006</v>
      </c>
    </row>
    <row r="2906" spans="1:27" x14ac:dyDescent="0.25">
      <c r="A2906" t="s">
        <v>253</v>
      </c>
      <c r="B2906" t="s">
        <v>209</v>
      </c>
      <c r="C2906" s="76">
        <v>43990</v>
      </c>
      <c r="D2906">
        <v>2843</v>
      </c>
      <c r="E2906">
        <v>1449</v>
      </c>
      <c r="F2906">
        <v>4237</v>
      </c>
      <c r="G2906">
        <v>2540</v>
      </c>
      <c r="H2906">
        <v>52.8</v>
      </c>
      <c r="I2906">
        <v>45</v>
      </c>
      <c r="J2906">
        <v>60.7</v>
      </c>
      <c r="K2906">
        <v>201</v>
      </c>
      <c r="L2906">
        <v>67</v>
      </c>
      <c r="M2906">
        <v>336</v>
      </c>
      <c r="N2906">
        <v>3.7</v>
      </c>
      <c r="O2906">
        <v>2.2000000000000002</v>
      </c>
      <c r="P2906">
        <v>5.3</v>
      </c>
      <c r="Q2906">
        <f t="shared" si="88"/>
        <v>1951996</v>
      </c>
      <c r="R2906">
        <f t="shared" si="89"/>
        <v>10.297152248262803</v>
      </c>
      <c r="U2906">
        <v>530</v>
      </c>
      <c r="V2906">
        <v>222</v>
      </c>
      <c r="W2906">
        <v>839</v>
      </c>
      <c r="X2906">
        <v>368</v>
      </c>
      <c r="Y2906">
        <v>59.1</v>
      </c>
      <c r="Z2906">
        <v>47.9</v>
      </c>
      <c r="AA2906">
        <v>70.2</v>
      </c>
    </row>
    <row r="2907" spans="1:27" x14ac:dyDescent="0.25">
      <c r="A2907" t="s">
        <v>253</v>
      </c>
      <c r="B2907" t="s">
        <v>209</v>
      </c>
      <c r="C2907" s="76">
        <v>43991</v>
      </c>
      <c r="D2907">
        <v>3066</v>
      </c>
      <c r="E2907">
        <v>1588</v>
      </c>
      <c r="F2907">
        <v>4544</v>
      </c>
      <c r="G2907">
        <v>2363</v>
      </c>
      <c r="H2907">
        <v>56.5</v>
      </c>
      <c r="I2907">
        <v>48.4</v>
      </c>
      <c r="J2907">
        <v>64.5</v>
      </c>
      <c r="K2907">
        <v>222</v>
      </c>
      <c r="L2907">
        <v>74</v>
      </c>
      <c r="M2907">
        <v>371</v>
      </c>
      <c r="N2907">
        <v>4.0999999999999996</v>
      </c>
      <c r="O2907">
        <v>2.4</v>
      </c>
      <c r="P2907">
        <v>5.8</v>
      </c>
      <c r="Q2907">
        <f t="shared" si="88"/>
        <v>1951996</v>
      </c>
      <c r="R2907">
        <f t="shared" si="89"/>
        <v>11.372974124946976</v>
      </c>
      <c r="U2907">
        <v>561</v>
      </c>
      <c r="V2907">
        <v>241</v>
      </c>
      <c r="W2907">
        <v>880</v>
      </c>
      <c r="X2907">
        <v>340</v>
      </c>
      <c r="Y2907">
        <v>62.2</v>
      </c>
      <c r="Z2907">
        <v>51.3</v>
      </c>
      <c r="AA2907">
        <v>73.099999999999994</v>
      </c>
    </row>
    <row r="2908" spans="1:27" x14ac:dyDescent="0.25">
      <c r="A2908" t="s">
        <v>253</v>
      </c>
      <c r="B2908" t="s">
        <v>209</v>
      </c>
      <c r="C2908" s="76">
        <v>43992</v>
      </c>
      <c r="D2908">
        <v>3080</v>
      </c>
      <c r="E2908">
        <v>1566</v>
      </c>
      <c r="F2908">
        <v>4593</v>
      </c>
      <c r="G2908">
        <v>2132</v>
      </c>
      <c r="H2908">
        <v>59.1</v>
      </c>
      <c r="I2908">
        <v>50.6</v>
      </c>
      <c r="J2908">
        <v>67.5</v>
      </c>
      <c r="K2908">
        <v>206</v>
      </c>
      <c r="L2908">
        <v>74</v>
      </c>
      <c r="M2908">
        <v>337</v>
      </c>
      <c r="N2908">
        <v>3.9</v>
      </c>
      <c r="O2908">
        <v>2.4</v>
      </c>
      <c r="P2908">
        <v>5.5</v>
      </c>
      <c r="Q2908">
        <f t="shared" si="88"/>
        <v>1951996</v>
      </c>
      <c r="R2908">
        <f t="shared" si="89"/>
        <v>10.553300314139989</v>
      </c>
      <c r="U2908">
        <v>532</v>
      </c>
      <c r="V2908">
        <v>219</v>
      </c>
      <c r="W2908">
        <v>844</v>
      </c>
      <c r="X2908">
        <v>326</v>
      </c>
      <c r="Y2908">
        <v>62</v>
      </c>
      <c r="Z2908">
        <v>50.9</v>
      </c>
      <c r="AA2908">
        <v>73.099999999999994</v>
      </c>
    </row>
    <row r="2909" spans="1:27" x14ac:dyDescent="0.25">
      <c r="A2909" t="s">
        <v>253</v>
      </c>
      <c r="B2909" t="s">
        <v>209</v>
      </c>
      <c r="C2909" s="76">
        <v>43993</v>
      </c>
      <c r="D2909">
        <v>3345</v>
      </c>
      <c r="E2909">
        <v>1718</v>
      </c>
      <c r="F2909">
        <v>4972</v>
      </c>
      <c r="G2909">
        <v>2219</v>
      </c>
      <c r="H2909">
        <v>60.1</v>
      </c>
      <c r="I2909">
        <v>51</v>
      </c>
      <c r="J2909">
        <v>69.2</v>
      </c>
      <c r="K2909">
        <v>205</v>
      </c>
      <c r="L2909">
        <v>77</v>
      </c>
      <c r="M2909">
        <v>334</v>
      </c>
      <c r="N2909">
        <v>3.7</v>
      </c>
      <c r="O2909">
        <v>2.2999999999999998</v>
      </c>
      <c r="P2909">
        <v>5</v>
      </c>
      <c r="Q2909">
        <f t="shared" si="88"/>
        <v>1951996</v>
      </c>
      <c r="R2909">
        <f t="shared" si="89"/>
        <v>10.502070700964552</v>
      </c>
      <c r="U2909">
        <v>594</v>
      </c>
      <c r="V2909">
        <v>240</v>
      </c>
      <c r="W2909">
        <v>948</v>
      </c>
      <c r="X2909">
        <v>332</v>
      </c>
      <c r="Y2909">
        <v>64.2</v>
      </c>
      <c r="Z2909">
        <v>49.7</v>
      </c>
      <c r="AA2909">
        <v>78.599999999999994</v>
      </c>
    </row>
    <row r="2910" spans="1:27" x14ac:dyDescent="0.25">
      <c r="A2910" t="s">
        <v>253</v>
      </c>
      <c r="B2910" t="s">
        <v>209</v>
      </c>
      <c r="C2910" s="76">
        <v>43994</v>
      </c>
      <c r="D2910">
        <v>3288</v>
      </c>
      <c r="E2910">
        <v>1673</v>
      </c>
      <c r="F2910">
        <v>4904</v>
      </c>
      <c r="G2910">
        <v>2267</v>
      </c>
      <c r="H2910">
        <v>59.2</v>
      </c>
      <c r="I2910">
        <v>50.5</v>
      </c>
      <c r="J2910">
        <v>67.900000000000006</v>
      </c>
      <c r="K2910">
        <v>205</v>
      </c>
      <c r="L2910">
        <v>80</v>
      </c>
      <c r="M2910">
        <v>329</v>
      </c>
      <c r="N2910">
        <v>3.7</v>
      </c>
      <c r="O2910">
        <v>2.4</v>
      </c>
      <c r="P2910">
        <v>5</v>
      </c>
      <c r="Q2910">
        <f t="shared" si="88"/>
        <v>1951996</v>
      </c>
      <c r="R2910">
        <f t="shared" si="89"/>
        <v>10.502070700964552</v>
      </c>
      <c r="U2910">
        <v>592</v>
      </c>
      <c r="V2910">
        <v>248</v>
      </c>
      <c r="W2910">
        <v>936</v>
      </c>
      <c r="X2910">
        <v>336</v>
      </c>
      <c r="Y2910">
        <v>63.8</v>
      </c>
      <c r="Z2910">
        <v>52.3</v>
      </c>
      <c r="AA2910">
        <v>75.2</v>
      </c>
    </row>
    <row r="2911" spans="1:27" x14ac:dyDescent="0.25">
      <c r="A2911" t="s">
        <v>253</v>
      </c>
      <c r="B2911" t="s">
        <v>209</v>
      </c>
      <c r="C2911" s="76">
        <v>43995</v>
      </c>
      <c r="D2911">
        <v>3113</v>
      </c>
      <c r="E2911">
        <v>1565</v>
      </c>
      <c r="F2911">
        <v>4660</v>
      </c>
      <c r="G2911">
        <v>2372</v>
      </c>
      <c r="H2911">
        <v>56.8</v>
      </c>
      <c r="I2911">
        <v>47.6</v>
      </c>
      <c r="J2911">
        <v>65.900000000000006</v>
      </c>
      <c r="K2911">
        <v>214</v>
      </c>
      <c r="L2911">
        <v>88</v>
      </c>
      <c r="M2911">
        <v>340</v>
      </c>
      <c r="N2911">
        <v>3.9</v>
      </c>
      <c r="O2911">
        <v>2.6</v>
      </c>
      <c r="P2911">
        <v>5.3</v>
      </c>
      <c r="Q2911">
        <f t="shared" si="88"/>
        <v>1951996</v>
      </c>
      <c r="R2911">
        <f t="shared" si="89"/>
        <v>10.963137219543484</v>
      </c>
      <c r="U2911">
        <v>544</v>
      </c>
      <c r="V2911">
        <v>228</v>
      </c>
      <c r="W2911">
        <v>860</v>
      </c>
      <c r="X2911">
        <v>382</v>
      </c>
      <c r="Y2911">
        <v>58.7</v>
      </c>
      <c r="Z2911">
        <v>49.2</v>
      </c>
      <c r="AA2911">
        <v>68.2</v>
      </c>
    </row>
    <row r="2912" spans="1:27" x14ac:dyDescent="0.25">
      <c r="A2912" t="s">
        <v>253</v>
      </c>
      <c r="B2912" t="s">
        <v>209</v>
      </c>
      <c r="C2912" s="76">
        <v>43996</v>
      </c>
      <c r="D2912">
        <v>3054</v>
      </c>
      <c r="E2912">
        <v>1493</v>
      </c>
      <c r="F2912">
        <v>4614</v>
      </c>
      <c r="G2912">
        <v>2489</v>
      </c>
      <c r="H2912">
        <v>55.1</v>
      </c>
      <c r="I2912">
        <v>44.7</v>
      </c>
      <c r="J2912">
        <v>65.5</v>
      </c>
      <c r="K2912">
        <v>243</v>
      </c>
      <c r="L2912">
        <v>94</v>
      </c>
      <c r="M2912">
        <v>392</v>
      </c>
      <c r="N2912">
        <v>4.4000000000000004</v>
      </c>
      <c r="O2912">
        <v>2.5</v>
      </c>
      <c r="P2912">
        <v>6.3</v>
      </c>
      <c r="Q2912">
        <f t="shared" si="88"/>
        <v>1951996</v>
      </c>
      <c r="R2912">
        <f t="shared" si="89"/>
        <v>12.448796001631152</v>
      </c>
      <c r="U2912">
        <v>521</v>
      </c>
      <c r="V2912">
        <v>199</v>
      </c>
      <c r="W2912">
        <v>842</v>
      </c>
      <c r="X2912">
        <v>397</v>
      </c>
      <c r="Y2912">
        <v>56.7</v>
      </c>
      <c r="Z2912">
        <v>43.1</v>
      </c>
      <c r="AA2912">
        <v>70.400000000000006</v>
      </c>
    </row>
    <row r="2913" spans="1:27" x14ac:dyDescent="0.25">
      <c r="A2913" t="s">
        <v>253</v>
      </c>
      <c r="B2913" t="s">
        <v>209</v>
      </c>
      <c r="C2913" s="76">
        <v>43997</v>
      </c>
      <c r="D2913">
        <v>2961</v>
      </c>
      <c r="E2913">
        <v>1483</v>
      </c>
      <c r="F2913">
        <v>4440</v>
      </c>
      <c r="G2913">
        <v>2550</v>
      </c>
      <c r="H2913">
        <v>53.7</v>
      </c>
      <c r="I2913">
        <v>45.1</v>
      </c>
      <c r="J2913">
        <v>62.3</v>
      </c>
      <c r="K2913">
        <v>236</v>
      </c>
      <c r="L2913">
        <v>89</v>
      </c>
      <c r="M2913">
        <v>383</v>
      </c>
      <c r="N2913">
        <v>4.3</v>
      </c>
      <c r="O2913">
        <v>2.4</v>
      </c>
      <c r="P2913">
        <v>6.2</v>
      </c>
      <c r="Q2913">
        <f t="shared" si="88"/>
        <v>1951996</v>
      </c>
      <c r="R2913">
        <f t="shared" si="89"/>
        <v>12.090188709403094</v>
      </c>
      <c r="U2913">
        <v>542</v>
      </c>
      <c r="V2913">
        <v>222</v>
      </c>
      <c r="W2913">
        <v>861</v>
      </c>
      <c r="X2913">
        <v>378</v>
      </c>
      <c r="Y2913">
        <v>58.9</v>
      </c>
      <c r="Z2913">
        <v>47.5</v>
      </c>
      <c r="AA2913">
        <v>70.3</v>
      </c>
    </row>
    <row r="2914" spans="1:27" x14ac:dyDescent="0.25">
      <c r="A2914" t="s">
        <v>253</v>
      </c>
      <c r="B2914" t="s">
        <v>209</v>
      </c>
      <c r="C2914" s="76">
        <v>43998</v>
      </c>
      <c r="D2914">
        <v>2729</v>
      </c>
      <c r="E2914">
        <v>1347</v>
      </c>
      <c r="F2914">
        <v>4111</v>
      </c>
      <c r="G2914">
        <v>2366</v>
      </c>
      <c r="H2914">
        <v>53.6</v>
      </c>
      <c r="I2914">
        <v>45.9</v>
      </c>
      <c r="J2914">
        <v>61.2</v>
      </c>
      <c r="K2914">
        <v>174</v>
      </c>
      <c r="L2914">
        <v>49</v>
      </c>
      <c r="M2914">
        <v>299</v>
      </c>
      <c r="N2914">
        <v>3.4</v>
      </c>
      <c r="O2914">
        <v>1.5</v>
      </c>
      <c r="P2914">
        <v>5.3</v>
      </c>
      <c r="Q2914">
        <f t="shared" si="88"/>
        <v>1951996</v>
      </c>
      <c r="R2914">
        <f t="shared" si="89"/>
        <v>8.91395269252601</v>
      </c>
      <c r="U2914">
        <v>486</v>
      </c>
      <c r="V2914">
        <v>172</v>
      </c>
      <c r="W2914">
        <v>801</v>
      </c>
      <c r="X2914">
        <v>297</v>
      </c>
      <c r="Y2914">
        <v>62.1</v>
      </c>
      <c r="Z2914">
        <v>48.4</v>
      </c>
      <c r="AA2914">
        <v>75.7</v>
      </c>
    </row>
    <row r="2915" spans="1:27" x14ac:dyDescent="0.25">
      <c r="A2915" t="s">
        <v>253</v>
      </c>
      <c r="B2915" t="s">
        <v>209</v>
      </c>
      <c r="C2915" s="76">
        <v>43999</v>
      </c>
      <c r="D2915">
        <v>2896</v>
      </c>
      <c r="E2915">
        <v>1463</v>
      </c>
      <c r="F2915">
        <v>4329</v>
      </c>
      <c r="G2915">
        <v>2154</v>
      </c>
      <c r="H2915">
        <v>57.4</v>
      </c>
      <c r="I2915">
        <v>50.2</v>
      </c>
      <c r="J2915">
        <v>64.5</v>
      </c>
      <c r="K2915">
        <v>184</v>
      </c>
      <c r="L2915">
        <v>59</v>
      </c>
      <c r="M2915">
        <v>309</v>
      </c>
      <c r="N2915">
        <v>3.6</v>
      </c>
      <c r="O2915">
        <v>1.7</v>
      </c>
      <c r="P2915">
        <v>5.6</v>
      </c>
      <c r="Q2915">
        <f t="shared" si="88"/>
        <v>1951996</v>
      </c>
      <c r="R2915">
        <f t="shared" si="89"/>
        <v>9.4262488242803766</v>
      </c>
      <c r="U2915">
        <v>503</v>
      </c>
      <c r="V2915">
        <v>178</v>
      </c>
      <c r="W2915">
        <v>828</v>
      </c>
      <c r="X2915">
        <v>286</v>
      </c>
      <c r="Y2915">
        <v>63.7</v>
      </c>
      <c r="Z2915">
        <v>50.2</v>
      </c>
      <c r="AA2915">
        <v>77.3</v>
      </c>
    </row>
    <row r="2916" spans="1:27" x14ac:dyDescent="0.25">
      <c r="A2916" t="s">
        <v>253</v>
      </c>
      <c r="B2916" t="s">
        <v>209</v>
      </c>
      <c r="C2916" s="76">
        <v>44000</v>
      </c>
      <c r="D2916">
        <v>3193</v>
      </c>
      <c r="E2916">
        <v>1508</v>
      </c>
      <c r="F2916">
        <v>4879</v>
      </c>
      <c r="G2916">
        <v>2212</v>
      </c>
      <c r="H2916">
        <v>59.1</v>
      </c>
      <c r="I2916">
        <v>50.6</v>
      </c>
      <c r="J2916">
        <v>67.5</v>
      </c>
      <c r="K2916">
        <v>179</v>
      </c>
      <c r="L2916">
        <v>61</v>
      </c>
      <c r="M2916">
        <v>296</v>
      </c>
      <c r="N2916">
        <v>3.3</v>
      </c>
      <c r="O2916">
        <v>1.7</v>
      </c>
      <c r="P2916">
        <v>4.9000000000000004</v>
      </c>
      <c r="Q2916">
        <f t="shared" si="88"/>
        <v>1951996</v>
      </c>
      <c r="R2916">
        <f t="shared" si="89"/>
        <v>9.1701007584031942</v>
      </c>
      <c r="U2916">
        <v>558</v>
      </c>
      <c r="V2916">
        <v>177</v>
      </c>
      <c r="W2916">
        <v>939</v>
      </c>
      <c r="X2916">
        <v>307</v>
      </c>
      <c r="Y2916">
        <v>64.5</v>
      </c>
      <c r="Z2916">
        <v>43</v>
      </c>
      <c r="AA2916">
        <v>86.1</v>
      </c>
    </row>
    <row r="2917" spans="1:27" x14ac:dyDescent="0.25">
      <c r="A2917" t="s">
        <v>253</v>
      </c>
      <c r="B2917" t="s">
        <v>209</v>
      </c>
      <c r="C2917" s="76">
        <v>44001</v>
      </c>
      <c r="D2917">
        <v>3379</v>
      </c>
      <c r="E2917">
        <v>1646</v>
      </c>
      <c r="F2917">
        <v>5112</v>
      </c>
      <c r="G2917">
        <v>2167</v>
      </c>
      <c r="H2917">
        <v>60.9</v>
      </c>
      <c r="I2917">
        <v>48.4</v>
      </c>
      <c r="J2917">
        <v>73.5</v>
      </c>
      <c r="K2917">
        <v>207</v>
      </c>
      <c r="L2917">
        <v>76</v>
      </c>
      <c r="M2917">
        <v>337</v>
      </c>
      <c r="N2917">
        <v>3.7</v>
      </c>
      <c r="O2917">
        <v>2.1</v>
      </c>
      <c r="P2917">
        <v>5.3</v>
      </c>
      <c r="Q2917">
        <f t="shared" si="88"/>
        <v>1951996</v>
      </c>
      <c r="R2917">
        <f t="shared" si="89"/>
        <v>10.604529927315426</v>
      </c>
      <c r="U2917">
        <v>555</v>
      </c>
      <c r="V2917">
        <v>221</v>
      </c>
      <c r="W2917">
        <v>888</v>
      </c>
      <c r="X2917">
        <v>363</v>
      </c>
      <c r="Y2917">
        <v>60.4</v>
      </c>
      <c r="Z2917">
        <v>46.8</v>
      </c>
      <c r="AA2917">
        <v>74</v>
      </c>
    </row>
    <row r="2918" spans="1:27" x14ac:dyDescent="0.25">
      <c r="A2918" t="s">
        <v>253</v>
      </c>
      <c r="B2918" t="s">
        <v>209</v>
      </c>
      <c r="C2918" s="76">
        <v>44002</v>
      </c>
      <c r="D2918">
        <v>3137</v>
      </c>
      <c r="E2918">
        <v>1559</v>
      </c>
      <c r="F2918">
        <v>4715</v>
      </c>
      <c r="G2918">
        <v>2452</v>
      </c>
      <c r="H2918">
        <v>56.1</v>
      </c>
      <c r="I2918">
        <v>46.3</v>
      </c>
      <c r="J2918">
        <v>66</v>
      </c>
      <c r="K2918">
        <v>198</v>
      </c>
      <c r="L2918">
        <v>71</v>
      </c>
      <c r="M2918">
        <v>325</v>
      </c>
      <c r="N2918">
        <v>3.5</v>
      </c>
      <c r="O2918">
        <v>2</v>
      </c>
      <c r="P2918">
        <v>5</v>
      </c>
      <c r="Q2918">
        <f t="shared" si="88"/>
        <v>1951996</v>
      </c>
      <c r="R2918">
        <f t="shared" si="89"/>
        <v>10.143463408736494</v>
      </c>
      <c r="U2918">
        <v>529</v>
      </c>
      <c r="V2918">
        <v>211</v>
      </c>
      <c r="W2918">
        <v>848</v>
      </c>
      <c r="X2918">
        <v>397</v>
      </c>
      <c r="Y2918">
        <v>57.1</v>
      </c>
      <c r="Z2918">
        <v>45</v>
      </c>
      <c r="AA2918">
        <v>69.3</v>
      </c>
    </row>
    <row r="2919" spans="1:27" x14ac:dyDescent="0.25">
      <c r="A2919" t="s">
        <v>253</v>
      </c>
      <c r="B2919" t="s">
        <v>209</v>
      </c>
      <c r="C2919" s="76">
        <v>44003</v>
      </c>
      <c r="D2919">
        <v>3152</v>
      </c>
      <c r="E2919">
        <v>1470</v>
      </c>
      <c r="F2919">
        <v>4834</v>
      </c>
      <c r="G2919">
        <v>2593</v>
      </c>
      <c r="H2919">
        <v>54.9</v>
      </c>
      <c r="I2919">
        <v>42.5</v>
      </c>
      <c r="J2919">
        <v>67.2</v>
      </c>
      <c r="K2919">
        <v>190</v>
      </c>
      <c r="L2919">
        <v>69</v>
      </c>
      <c r="M2919">
        <v>310</v>
      </c>
      <c r="N2919">
        <v>3.3</v>
      </c>
      <c r="O2919">
        <v>1.8</v>
      </c>
      <c r="P2919">
        <v>4.8</v>
      </c>
      <c r="Q2919">
        <f t="shared" ref="Q2919:Q2982" si="90">VLOOKUP(B2919,$AE$4:$AF$55,2,FALSE)</f>
        <v>1951996</v>
      </c>
      <c r="R2919">
        <f t="shared" si="89"/>
        <v>9.7336265033329994</v>
      </c>
      <c r="U2919">
        <v>531</v>
      </c>
      <c r="V2919">
        <v>200</v>
      </c>
      <c r="W2919">
        <v>863</v>
      </c>
      <c r="X2919">
        <v>433</v>
      </c>
      <c r="Y2919">
        <v>55.1</v>
      </c>
      <c r="Z2919">
        <v>42.4</v>
      </c>
      <c r="AA2919">
        <v>67.8</v>
      </c>
    </row>
    <row r="2920" spans="1:27" x14ac:dyDescent="0.25">
      <c r="A2920" t="s">
        <v>253</v>
      </c>
      <c r="B2920" t="s">
        <v>209</v>
      </c>
      <c r="C2920" s="76">
        <v>44004</v>
      </c>
      <c r="D2920">
        <v>3132</v>
      </c>
      <c r="E2920">
        <v>1544</v>
      </c>
      <c r="F2920">
        <v>4720</v>
      </c>
      <c r="G2920">
        <v>2599</v>
      </c>
      <c r="H2920">
        <v>54.7</v>
      </c>
      <c r="I2920">
        <v>44.1</v>
      </c>
      <c r="J2920">
        <v>65.2</v>
      </c>
      <c r="K2920">
        <v>184</v>
      </c>
      <c r="L2920">
        <v>64</v>
      </c>
      <c r="M2920">
        <v>303</v>
      </c>
      <c r="N2920">
        <v>3.2</v>
      </c>
      <c r="O2920">
        <v>1.7</v>
      </c>
      <c r="P2920">
        <v>4.7</v>
      </c>
      <c r="Q2920">
        <f t="shared" si="90"/>
        <v>1951996</v>
      </c>
      <c r="R2920">
        <f t="shared" si="89"/>
        <v>9.4262488242803766</v>
      </c>
      <c r="U2920">
        <v>548</v>
      </c>
      <c r="V2920">
        <v>217</v>
      </c>
      <c r="W2920">
        <v>878</v>
      </c>
      <c r="X2920">
        <v>393</v>
      </c>
      <c r="Y2920">
        <v>58.2</v>
      </c>
      <c r="Z2920">
        <v>46.4</v>
      </c>
      <c r="AA2920">
        <v>70</v>
      </c>
    </row>
    <row r="2921" spans="1:27" x14ac:dyDescent="0.25">
      <c r="A2921" t="s">
        <v>253</v>
      </c>
      <c r="B2921" t="s">
        <v>209</v>
      </c>
      <c r="C2921" s="76">
        <v>44005</v>
      </c>
      <c r="D2921">
        <v>3082</v>
      </c>
      <c r="E2921">
        <v>1500</v>
      </c>
      <c r="F2921">
        <v>4665</v>
      </c>
      <c r="G2921">
        <v>2492</v>
      </c>
      <c r="H2921">
        <v>55.3</v>
      </c>
      <c r="I2921">
        <v>44.4</v>
      </c>
      <c r="J2921">
        <v>66.2</v>
      </c>
      <c r="K2921">
        <v>169</v>
      </c>
      <c r="L2921">
        <v>57</v>
      </c>
      <c r="M2921">
        <v>281</v>
      </c>
      <c r="N2921">
        <v>3</v>
      </c>
      <c r="O2921">
        <v>1.5</v>
      </c>
      <c r="P2921">
        <v>4.5</v>
      </c>
      <c r="Q2921">
        <f t="shared" si="90"/>
        <v>1951996</v>
      </c>
      <c r="R2921">
        <f t="shared" si="89"/>
        <v>8.6578046266488258</v>
      </c>
      <c r="U2921">
        <v>546</v>
      </c>
      <c r="V2921">
        <v>202</v>
      </c>
      <c r="W2921">
        <v>890</v>
      </c>
      <c r="X2921">
        <v>323</v>
      </c>
      <c r="Y2921">
        <v>62.9</v>
      </c>
      <c r="Z2921">
        <v>48.4</v>
      </c>
      <c r="AA2921">
        <v>77.3</v>
      </c>
    </row>
    <row r="2922" spans="1:27" x14ac:dyDescent="0.25">
      <c r="A2922" t="s">
        <v>253</v>
      </c>
      <c r="B2922" t="s">
        <v>209</v>
      </c>
      <c r="C2922" s="76">
        <v>44006</v>
      </c>
      <c r="D2922">
        <v>3037</v>
      </c>
      <c r="E2922">
        <v>1483</v>
      </c>
      <c r="F2922">
        <v>4591</v>
      </c>
      <c r="G2922">
        <v>2275</v>
      </c>
      <c r="H2922">
        <v>57.2</v>
      </c>
      <c r="I2922">
        <v>46.9</v>
      </c>
      <c r="J2922">
        <v>67.400000000000006</v>
      </c>
      <c r="K2922">
        <v>163</v>
      </c>
      <c r="L2922">
        <v>58</v>
      </c>
      <c r="M2922">
        <v>268</v>
      </c>
      <c r="N2922">
        <v>3.1</v>
      </c>
      <c r="O2922">
        <v>1.6</v>
      </c>
      <c r="P2922">
        <v>4.5</v>
      </c>
      <c r="Q2922">
        <f t="shared" si="90"/>
        <v>1951996</v>
      </c>
      <c r="R2922">
        <f t="shared" si="89"/>
        <v>8.3504269475962047</v>
      </c>
      <c r="U2922">
        <v>481</v>
      </c>
      <c r="V2922">
        <v>158</v>
      </c>
      <c r="W2922">
        <v>804</v>
      </c>
      <c r="X2922">
        <v>317</v>
      </c>
      <c r="Y2922">
        <v>60.3</v>
      </c>
      <c r="Z2922">
        <v>45.3</v>
      </c>
      <c r="AA2922">
        <v>75.3</v>
      </c>
    </row>
    <row r="2923" spans="1:27" x14ac:dyDescent="0.25">
      <c r="A2923" t="s">
        <v>253</v>
      </c>
      <c r="B2923" t="s">
        <v>209</v>
      </c>
      <c r="C2923" s="76">
        <v>44007</v>
      </c>
      <c r="D2923">
        <v>3300</v>
      </c>
      <c r="E2923">
        <v>1662</v>
      </c>
      <c r="F2923">
        <v>4937</v>
      </c>
      <c r="G2923">
        <v>2224</v>
      </c>
      <c r="H2923">
        <v>59.7</v>
      </c>
      <c r="I2923">
        <v>50.2</v>
      </c>
      <c r="J2923">
        <v>69.3</v>
      </c>
      <c r="K2923">
        <v>186</v>
      </c>
      <c r="L2923">
        <v>64</v>
      </c>
      <c r="M2923">
        <v>309</v>
      </c>
      <c r="N2923">
        <v>3.4</v>
      </c>
      <c r="O2923">
        <v>1.8</v>
      </c>
      <c r="P2923">
        <v>4.9000000000000004</v>
      </c>
      <c r="Q2923">
        <f t="shared" si="90"/>
        <v>1951996</v>
      </c>
      <c r="R2923">
        <f t="shared" si="89"/>
        <v>9.5287080506312503</v>
      </c>
      <c r="U2923">
        <v>558</v>
      </c>
      <c r="V2923">
        <v>219</v>
      </c>
      <c r="W2923">
        <v>897</v>
      </c>
      <c r="X2923">
        <v>393</v>
      </c>
      <c r="Y2923">
        <v>58.7</v>
      </c>
      <c r="Z2923">
        <v>47.4</v>
      </c>
      <c r="AA2923">
        <v>70</v>
      </c>
    </row>
    <row r="2924" spans="1:27" x14ac:dyDescent="0.25">
      <c r="A2924" t="s">
        <v>253</v>
      </c>
      <c r="B2924" t="s">
        <v>209</v>
      </c>
      <c r="C2924" s="76">
        <v>44008</v>
      </c>
      <c r="D2924">
        <v>3291</v>
      </c>
      <c r="E2924">
        <v>1679</v>
      </c>
      <c r="F2924">
        <v>4903</v>
      </c>
      <c r="G2924">
        <v>2269</v>
      </c>
      <c r="H2924">
        <v>59.2</v>
      </c>
      <c r="I2924">
        <v>49.4</v>
      </c>
      <c r="J2924">
        <v>69</v>
      </c>
      <c r="K2924">
        <v>169</v>
      </c>
      <c r="L2924">
        <v>54</v>
      </c>
      <c r="M2924">
        <v>283</v>
      </c>
      <c r="N2924">
        <v>3</v>
      </c>
      <c r="O2924">
        <v>1.6</v>
      </c>
      <c r="P2924">
        <v>4.5</v>
      </c>
      <c r="Q2924">
        <f t="shared" si="90"/>
        <v>1951996</v>
      </c>
      <c r="R2924">
        <f t="shared" si="89"/>
        <v>8.6578046266488258</v>
      </c>
      <c r="U2924">
        <v>534</v>
      </c>
      <c r="V2924">
        <v>211</v>
      </c>
      <c r="W2924">
        <v>856</v>
      </c>
      <c r="X2924">
        <v>423</v>
      </c>
      <c r="Y2924">
        <v>55.8</v>
      </c>
      <c r="Z2924">
        <v>43.3</v>
      </c>
      <c r="AA2924">
        <v>68.3</v>
      </c>
    </row>
    <row r="2925" spans="1:27" x14ac:dyDescent="0.25">
      <c r="A2925" t="s">
        <v>253</v>
      </c>
      <c r="B2925" t="s">
        <v>209</v>
      </c>
      <c r="C2925" s="76">
        <v>44009</v>
      </c>
      <c r="D2925">
        <v>3084</v>
      </c>
      <c r="E2925">
        <v>1518</v>
      </c>
      <c r="F2925">
        <v>4651</v>
      </c>
      <c r="G2925">
        <v>2467</v>
      </c>
      <c r="H2925">
        <v>55.6</v>
      </c>
      <c r="I2925">
        <v>44.8</v>
      </c>
      <c r="J2925">
        <v>66.3</v>
      </c>
      <c r="K2925">
        <v>184</v>
      </c>
      <c r="L2925">
        <v>64</v>
      </c>
      <c r="M2925">
        <v>305</v>
      </c>
      <c r="N2925">
        <v>3.3</v>
      </c>
      <c r="O2925">
        <v>1.8</v>
      </c>
      <c r="P2925">
        <v>4.9000000000000004</v>
      </c>
      <c r="Q2925">
        <f t="shared" si="90"/>
        <v>1951996</v>
      </c>
      <c r="R2925">
        <f t="shared" si="89"/>
        <v>9.4262488242803766</v>
      </c>
      <c r="U2925">
        <v>516</v>
      </c>
      <c r="V2925">
        <v>212</v>
      </c>
      <c r="W2925">
        <v>819</v>
      </c>
      <c r="X2925">
        <v>434</v>
      </c>
      <c r="Y2925">
        <v>54.3</v>
      </c>
      <c r="Z2925">
        <v>44.2</v>
      </c>
      <c r="AA2925">
        <v>64.5</v>
      </c>
    </row>
    <row r="2926" spans="1:27" x14ac:dyDescent="0.25">
      <c r="A2926" t="s">
        <v>253</v>
      </c>
      <c r="B2926" t="s">
        <v>209</v>
      </c>
      <c r="C2926" s="76">
        <v>44010</v>
      </c>
      <c r="D2926">
        <v>2722</v>
      </c>
      <c r="E2926">
        <v>1292</v>
      </c>
      <c r="F2926">
        <v>4152</v>
      </c>
      <c r="G2926">
        <v>2590</v>
      </c>
      <c r="H2926">
        <v>51.2</v>
      </c>
      <c r="I2926">
        <v>41.1</v>
      </c>
      <c r="J2926">
        <v>61.4</v>
      </c>
      <c r="K2926">
        <v>169</v>
      </c>
      <c r="L2926">
        <v>60</v>
      </c>
      <c r="M2926">
        <v>278</v>
      </c>
      <c r="N2926">
        <v>3.2</v>
      </c>
      <c r="O2926">
        <v>1.6</v>
      </c>
      <c r="P2926">
        <v>4.7</v>
      </c>
      <c r="Q2926">
        <f t="shared" si="90"/>
        <v>1951996</v>
      </c>
      <c r="R2926">
        <f t="shared" si="89"/>
        <v>8.6578046266488258</v>
      </c>
      <c r="U2926">
        <v>454</v>
      </c>
      <c r="V2926">
        <v>172</v>
      </c>
      <c r="W2926">
        <v>736</v>
      </c>
      <c r="X2926">
        <v>443</v>
      </c>
      <c r="Y2926">
        <v>50.6</v>
      </c>
      <c r="Z2926">
        <v>40.1</v>
      </c>
      <c r="AA2926">
        <v>61.1</v>
      </c>
    </row>
    <row r="2927" spans="1:27" x14ac:dyDescent="0.25">
      <c r="A2927" t="s">
        <v>253</v>
      </c>
      <c r="B2927" t="s">
        <v>209</v>
      </c>
      <c r="C2927" s="76">
        <v>44011</v>
      </c>
      <c r="D2927">
        <v>2880</v>
      </c>
      <c r="E2927">
        <v>1294</v>
      </c>
      <c r="F2927">
        <v>4467</v>
      </c>
      <c r="G2927">
        <v>2623</v>
      </c>
      <c r="H2927">
        <v>52.3</v>
      </c>
      <c r="I2927">
        <v>42.2</v>
      </c>
      <c r="J2927">
        <v>62.5</v>
      </c>
      <c r="K2927">
        <v>171</v>
      </c>
      <c r="L2927">
        <v>59</v>
      </c>
      <c r="M2927">
        <v>283</v>
      </c>
      <c r="N2927">
        <v>3.1</v>
      </c>
      <c r="O2927">
        <v>1.8</v>
      </c>
      <c r="P2927">
        <v>4.4000000000000004</v>
      </c>
      <c r="Q2927">
        <f t="shared" si="90"/>
        <v>1951996</v>
      </c>
      <c r="R2927">
        <f t="shared" si="89"/>
        <v>8.7602638529996995</v>
      </c>
      <c r="U2927">
        <v>488</v>
      </c>
      <c r="V2927">
        <v>187</v>
      </c>
      <c r="W2927">
        <v>790</v>
      </c>
      <c r="X2927">
        <v>508</v>
      </c>
      <c r="Y2927">
        <v>49</v>
      </c>
      <c r="Z2927">
        <v>40.200000000000003</v>
      </c>
      <c r="AA2927">
        <v>57.9</v>
      </c>
    </row>
    <row r="2928" spans="1:27" x14ac:dyDescent="0.25">
      <c r="A2928" t="s">
        <v>253</v>
      </c>
      <c r="B2928" t="s">
        <v>209</v>
      </c>
      <c r="C2928" s="76">
        <v>44012</v>
      </c>
      <c r="D2928">
        <v>3139</v>
      </c>
      <c r="E2928">
        <v>1462</v>
      </c>
      <c r="F2928">
        <v>4816</v>
      </c>
      <c r="G2928">
        <v>2430</v>
      </c>
      <c r="H2928">
        <v>56.4</v>
      </c>
      <c r="I2928">
        <v>46.3</v>
      </c>
      <c r="J2928">
        <v>66.400000000000006</v>
      </c>
      <c r="K2928">
        <v>180</v>
      </c>
      <c r="L2928">
        <v>61</v>
      </c>
      <c r="M2928">
        <v>300</v>
      </c>
      <c r="N2928">
        <v>3.2</v>
      </c>
      <c r="O2928">
        <v>1.8</v>
      </c>
      <c r="P2928">
        <v>4.7</v>
      </c>
      <c r="Q2928">
        <f t="shared" si="90"/>
        <v>1951996</v>
      </c>
      <c r="R2928">
        <f t="shared" si="89"/>
        <v>9.221330371578631</v>
      </c>
      <c r="U2928">
        <v>498</v>
      </c>
      <c r="V2928">
        <v>192</v>
      </c>
      <c r="W2928">
        <v>804</v>
      </c>
      <c r="X2928">
        <v>501</v>
      </c>
      <c r="Y2928">
        <v>49.9</v>
      </c>
      <c r="Z2928">
        <v>39.9</v>
      </c>
      <c r="AA2928">
        <v>59.9</v>
      </c>
    </row>
    <row r="2929" spans="1:27" x14ac:dyDescent="0.25">
      <c r="A2929" t="s">
        <v>253</v>
      </c>
      <c r="B2929" t="s">
        <v>209</v>
      </c>
      <c r="C2929" s="76">
        <v>44013</v>
      </c>
      <c r="D2929">
        <v>3136</v>
      </c>
      <c r="E2929">
        <v>1440</v>
      </c>
      <c r="F2929">
        <v>4833</v>
      </c>
      <c r="G2929">
        <v>2433</v>
      </c>
      <c r="H2929">
        <v>56.3</v>
      </c>
      <c r="I2929">
        <v>45.9</v>
      </c>
      <c r="J2929">
        <v>66.7</v>
      </c>
      <c r="K2929">
        <v>193</v>
      </c>
      <c r="L2929">
        <v>65</v>
      </c>
      <c r="M2929">
        <v>321</v>
      </c>
      <c r="N2929">
        <v>3.5</v>
      </c>
      <c r="O2929">
        <v>1.9</v>
      </c>
      <c r="P2929">
        <v>5</v>
      </c>
      <c r="Q2929">
        <f t="shared" si="90"/>
        <v>1951996</v>
      </c>
      <c r="R2929">
        <f t="shared" si="89"/>
        <v>9.8873153428593081</v>
      </c>
      <c r="U2929">
        <v>504</v>
      </c>
      <c r="V2929">
        <v>195</v>
      </c>
      <c r="W2929">
        <v>813</v>
      </c>
      <c r="X2929">
        <v>500</v>
      </c>
      <c r="Y2929">
        <v>50.2</v>
      </c>
      <c r="Z2929">
        <v>38.6</v>
      </c>
      <c r="AA2929">
        <v>61.9</v>
      </c>
    </row>
    <row r="2930" spans="1:27" x14ac:dyDescent="0.25">
      <c r="A2930" t="s">
        <v>253</v>
      </c>
      <c r="B2930" t="s">
        <v>209</v>
      </c>
      <c r="C2930" s="76">
        <v>44014</v>
      </c>
      <c r="D2930">
        <v>3067</v>
      </c>
      <c r="E2930">
        <v>1433</v>
      </c>
      <c r="F2930">
        <v>4701</v>
      </c>
      <c r="G2930">
        <v>2384</v>
      </c>
      <c r="H2930">
        <v>56.3</v>
      </c>
      <c r="I2930">
        <v>46.6</v>
      </c>
      <c r="J2930">
        <v>65.900000000000006</v>
      </c>
      <c r="K2930">
        <v>205</v>
      </c>
      <c r="L2930">
        <v>71</v>
      </c>
      <c r="M2930">
        <v>339</v>
      </c>
      <c r="N2930">
        <v>3.8</v>
      </c>
      <c r="O2930">
        <v>2.2000000000000002</v>
      </c>
      <c r="P2930">
        <v>5.3</v>
      </c>
      <c r="Q2930">
        <f t="shared" si="90"/>
        <v>1951996</v>
      </c>
      <c r="R2930">
        <f t="shared" si="89"/>
        <v>10.502070700964552</v>
      </c>
      <c r="U2930">
        <v>496</v>
      </c>
      <c r="V2930">
        <v>195</v>
      </c>
      <c r="W2930">
        <v>798</v>
      </c>
      <c r="X2930">
        <v>506</v>
      </c>
      <c r="Y2930">
        <v>49.5</v>
      </c>
      <c r="Z2930">
        <v>38.799999999999997</v>
      </c>
      <c r="AA2930">
        <v>60.2</v>
      </c>
    </row>
    <row r="2931" spans="1:27" x14ac:dyDescent="0.25">
      <c r="A2931" t="s">
        <v>253</v>
      </c>
      <c r="B2931" t="s">
        <v>209</v>
      </c>
      <c r="C2931" s="76">
        <v>44015</v>
      </c>
      <c r="D2931">
        <v>2864</v>
      </c>
      <c r="E2931">
        <v>1280</v>
      </c>
      <c r="F2931">
        <v>4447</v>
      </c>
      <c r="G2931">
        <v>2651</v>
      </c>
      <c r="H2931">
        <v>51.9</v>
      </c>
      <c r="I2931">
        <v>41.4</v>
      </c>
      <c r="J2931">
        <v>62.4</v>
      </c>
      <c r="K2931">
        <v>196</v>
      </c>
      <c r="L2931">
        <v>63</v>
      </c>
      <c r="M2931">
        <v>329</v>
      </c>
      <c r="N2931">
        <v>3.6</v>
      </c>
      <c r="O2931">
        <v>2</v>
      </c>
      <c r="P2931">
        <v>5.2</v>
      </c>
      <c r="Q2931">
        <f t="shared" si="90"/>
        <v>1951996</v>
      </c>
      <c r="R2931">
        <f t="shared" si="89"/>
        <v>10.04100418238562</v>
      </c>
      <c r="U2931">
        <v>503</v>
      </c>
      <c r="V2931">
        <v>194</v>
      </c>
      <c r="W2931">
        <v>813</v>
      </c>
      <c r="X2931">
        <v>504</v>
      </c>
      <c r="Y2931">
        <v>50</v>
      </c>
      <c r="Z2931">
        <v>39.299999999999997</v>
      </c>
      <c r="AA2931">
        <v>60.7</v>
      </c>
    </row>
    <row r="2932" spans="1:27" x14ac:dyDescent="0.25">
      <c r="A2932" t="s">
        <v>253</v>
      </c>
      <c r="B2932" t="s">
        <v>209</v>
      </c>
      <c r="C2932" s="76">
        <v>44016</v>
      </c>
      <c r="D2932">
        <v>2649</v>
      </c>
      <c r="E2932">
        <v>1168</v>
      </c>
      <c r="F2932">
        <v>4130</v>
      </c>
      <c r="G2932">
        <v>2868</v>
      </c>
      <c r="H2932">
        <v>48</v>
      </c>
      <c r="I2932">
        <v>37.9</v>
      </c>
      <c r="J2932">
        <v>58.1</v>
      </c>
      <c r="K2932">
        <v>185</v>
      </c>
      <c r="L2932">
        <v>64</v>
      </c>
      <c r="M2932">
        <v>305</v>
      </c>
      <c r="N2932">
        <v>3.3</v>
      </c>
      <c r="O2932">
        <v>1.9</v>
      </c>
      <c r="P2932">
        <v>4.8</v>
      </c>
      <c r="Q2932">
        <f t="shared" si="90"/>
        <v>1951996</v>
      </c>
      <c r="R2932">
        <f t="shared" si="89"/>
        <v>9.4774784374558134</v>
      </c>
      <c r="U2932">
        <v>474</v>
      </c>
      <c r="V2932">
        <v>181</v>
      </c>
      <c r="W2932">
        <v>767</v>
      </c>
      <c r="X2932">
        <v>530</v>
      </c>
      <c r="Y2932">
        <v>47.2</v>
      </c>
      <c r="Z2932">
        <v>37.799999999999997</v>
      </c>
      <c r="AA2932">
        <v>56.6</v>
      </c>
    </row>
    <row r="2933" spans="1:27" x14ac:dyDescent="0.25">
      <c r="A2933" t="s">
        <v>253</v>
      </c>
      <c r="B2933" t="s">
        <v>209</v>
      </c>
      <c r="C2933" s="76">
        <v>44017</v>
      </c>
      <c r="D2933">
        <v>2751</v>
      </c>
      <c r="E2933">
        <v>1222</v>
      </c>
      <c r="F2933">
        <v>4280</v>
      </c>
      <c r="G2933">
        <v>2757</v>
      </c>
      <c r="H2933">
        <v>49.9</v>
      </c>
      <c r="I2933">
        <v>39.700000000000003</v>
      </c>
      <c r="J2933">
        <v>60.2</v>
      </c>
      <c r="K2933">
        <v>182</v>
      </c>
      <c r="L2933">
        <v>60</v>
      </c>
      <c r="M2933">
        <v>304</v>
      </c>
      <c r="N2933">
        <v>3.3</v>
      </c>
      <c r="O2933">
        <v>1.8</v>
      </c>
      <c r="P2933">
        <v>4.8</v>
      </c>
      <c r="Q2933">
        <f t="shared" si="90"/>
        <v>1951996</v>
      </c>
      <c r="R2933">
        <f t="shared" si="89"/>
        <v>9.3237895979295047</v>
      </c>
      <c r="U2933">
        <v>468</v>
      </c>
      <c r="V2933">
        <v>177</v>
      </c>
      <c r="W2933">
        <v>758</v>
      </c>
      <c r="X2933">
        <v>535</v>
      </c>
      <c r="Y2933">
        <v>46.6</v>
      </c>
      <c r="Z2933">
        <v>38.1</v>
      </c>
      <c r="AA2933">
        <v>55.2</v>
      </c>
    </row>
    <row r="2934" spans="1:27" x14ac:dyDescent="0.25">
      <c r="A2934" t="s">
        <v>253</v>
      </c>
      <c r="B2934" t="s">
        <v>209</v>
      </c>
      <c r="C2934" s="76">
        <v>44018</v>
      </c>
      <c r="D2934">
        <v>2893</v>
      </c>
      <c r="E2934">
        <v>1309</v>
      </c>
      <c r="F2934">
        <v>4477</v>
      </c>
      <c r="G2934">
        <v>2594</v>
      </c>
      <c r="H2934">
        <v>52.7</v>
      </c>
      <c r="I2934">
        <v>42.5</v>
      </c>
      <c r="J2934">
        <v>62.9</v>
      </c>
      <c r="K2934">
        <v>205</v>
      </c>
      <c r="L2934">
        <v>67</v>
      </c>
      <c r="M2934">
        <v>342</v>
      </c>
      <c r="N2934">
        <v>3.7</v>
      </c>
      <c r="O2934">
        <v>2.1</v>
      </c>
      <c r="P2934">
        <v>5.4</v>
      </c>
      <c r="Q2934">
        <f t="shared" si="90"/>
        <v>1951996</v>
      </c>
      <c r="R2934">
        <f t="shared" si="89"/>
        <v>10.502070700964552</v>
      </c>
      <c r="U2934">
        <v>514</v>
      </c>
      <c r="V2934">
        <v>192</v>
      </c>
      <c r="W2934">
        <v>836</v>
      </c>
      <c r="X2934">
        <v>492</v>
      </c>
      <c r="Y2934">
        <v>51.1</v>
      </c>
      <c r="Z2934">
        <v>38.9</v>
      </c>
      <c r="AA2934">
        <v>63.3</v>
      </c>
    </row>
    <row r="2935" spans="1:27" x14ac:dyDescent="0.25">
      <c r="A2935" t="s">
        <v>253</v>
      </c>
      <c r="B2935" t="s">
        <v>209</v>
      </c>
      <c r="C2935" s="76">
        <v>44019</v>
      </c>
      <c r="D2935">
        <v>3248</v>
      </c>
      <c r="E2935">
        <v>1531</v>
      </c>
      <c r="F2935">
        <v>4965</v>
      </c>
      <c r="G2935">
        <v>2321</v>
      </c>
      <c r="H2935">
        <v>58.3</v>
      </c>
      <c r="I2935">
        <v>48.4</v>
      </c>
      <c r="J2935">
        <v>68.2</v>
      </c>
      <c r="K2935">
        <v>236</v>
      </c>
      <c r="L2935">
        <v>86</v>
      </c>
      <c r="M2935">
        <v>386</v>
      </c>
      <c r="N2935">
        <v>4.2</v>
      </c>
      <c r="O2935">
        <v>2.2999999999999998</v>
      </c>
      <c r="P2935">
        <v>6.1</v>
      </c>
      <c r="Q2935">
        <f t="shared" si="90"/>
        <v>1951996</v>
      </c>
      <c r="R2935">
        <f t="shared" si="89"/>
        <v>12.090188709403094</v>
      </c>
      <c r="U2935">
        <v>557</v>
      </c>
      <c r="V2935">
        <v>207</v>
      </c>
      <c r="W2935">
        <v>907</v>
      </c>
      <c r="X2935">
        <v>450</v>
      </c>
      <c r="Y2935">
        <v>55.3</v>
      </c>
      <c r="Z2935">
        <v>41.9</v>
      </c>
      <c r="AA2935">
        <v>68.7</v>
      </c>
    </row>
    <row r="2936" spans="1:27" x14ac:dyDescent="0.25">
      <c r="A2936" t="s">
        <v>254</v>
      </c>
      <c r="B2936" t="s">
        <v>213</v>
      </c>
      <c r="C2936" s="76">
        <v>43922</v>
      </c>
      <c r="D2936">
        <v>1293</v>
      </c>
      <c r="E2936">
        <v>0</v>
      </c>
      <c r="F2936">
        <v>2596</v>
      </c>
      <c r="G2936">
        <v>1376</v>
      </c>
      <c r="H2936">
        <v>48.4</v>
      </c>
      <c r="I2936">
        <v>39.700000000000003</v>
      </c>
      <c r="J2936">
        <v>57.2</v>
      </c>
      <c r="K2936">
        <v>198</v>
      </c>
      <c r="L2936">
        <v>0</v>
      </c>
      <c r="M2936">
        <v>429</v>
      </c>
      <c r="N2936">
        <v>7.4</v>
      </c>
      <c r="O2936">
        <v>4.2</v>
      </c>
      <c r="P2936">
        <v>10.6</v>
      </c>
      <c r="Q2936">
        <f t="shared" si="90"/>
        <v>1372203</v>
      </c>
      <c r="R2936">
        <f t="shared" si="89"/>
        <v>14.429351925334663</v>
      </c>
      <c r="U2936">
        <v>231</v>
      </c>
      <c r="V2936">
        <v>0</v>
      </c>
      <c r="W2936">
        <v>464</v>
      </c>
      <c r="X2936">
        <v>245</v>
      </c>
      <c r="Y2936">
        <v>48.6</v>
      </c>
      <c r="Z2936">
        <v>38.9</v>
      </c>
      <c r="AA2936">
        <v>58.2</v>
      </c>
    </row>
    <row r="2937" spans="1:27" x14ac:dyDescent="0.25">
      <c r="A2937" t="s">
        <v>254</v>
      </c>
      <c r="B2937" t="s">
        <v>213</v>
      </c>
      <c r="C2937" s="76">
        <v>43923</v>
      </c>
      <c r="D2937">
        <v>1248</v>
      </c>
      <c r="E2937">
        <v>0</v>
      </c>
      <c r="F2937">
        <v>2499</v>
      </c>
      <c r="G2937">
        <v>1548</v>
      </c>
      <c r="H2937">
        <v>44.6</v>
      </c>
      <c r="I2937">
        <v>34.4</v>
      </c>
      <c r="J2937">
        <v>54.9</v>
      </c>
      <c r="K2937">
        <v>195</v>
      </c>
      <c r="L2937">
        <v>0</v>
      </c>
      <c r="M2937">
        <v>417</v>
      </c>
      <c r="N2937">
        <v>7</v>
      </c>
      <c r="O2937">
        <v>3</v>
      </c>
      <c r="P2937">
        <v>10.9</v>
      </c>
      <c r="Q2937">
        <f t="shared" si="90"/>
        <v>1372203</v>
      </c>
      <c r="R2937">
        <f t="shared" si="89"/>
        <v>14.210725381011411</v>
      </c>
      <c r="U2937">
        <v>219</v>
      </c>
      <c r="V2937">
        <v>0</v>
      </c>
      <c r="W2937">
        <v>440</v>
      </c>
      <c r="X2937">
        <v>263</v>
      </c>
      <c r="Y2937">
        <v>45.4</v>
      </c>
      <c r="Z2937">
        <v>32.1</v>
      </c>
      <c r="AA2937">
        <v>58.6</v>
      </c>
    </row>
    <row r="2938" spans="1:27" x14ac:dyDescent="0.25">
      <c r="A2938" t="s">
        <v>254</v>
      </c>
      <c r="B2938" t="s">
        <v>213</v>
      </c>
      <c r="C2938" s="76">
        <v>43924</v>
      </c>
      <c r="D2938">
        <v>1197</v>
      </c>
      <c r="E2938">
        <v>61</v>
      </c>
      <c r="F2938">
        <v>2333</v>
      </c>
      <c r="G2938">
        <v>1583</v>
      </c>
      <c r="H2938">
        <v>43.1</v>
      </c>
      <c r="I2938">
        <v>33.299999999999997</v>
      </c>
      <c r="J2938">
        <v>52.8</v>
      </c>
      <c r="K2938">
        <v>168</v>
      </c>
      <c r="L2938">
        <v>0</v>
      </c>
      <c r="M2938">
        <v>357</v>
      </c>
      <c r="N2938">
        <v>6</v>
      </c>
      <c r="O2938">
        <v>2.6</v>
      </c>
      <c r="P2938">
        <v>9.5</v>
      </c>
      <c r="Q2938">
        <f t="shared" si="90"/>
        <v>1372203</v>
      </c>
      <c r="R2938">
        <f t="shared" si="89"/>
        <v>12.243086482102139</v>
      </c>
      <c r="U2938">
        <v>194</v>
      </c>
      <c r="V2938">
        <v>7</v>
      </c>
      <c r="W2938">
        <v>381</v>
      </c>
      <c r="X2938">
        <v>286</v>
      </c>
      <c r="Y2938">
        <v>40.4</v>
      </c>
      <c r="Z2938">
        <v>26.6</v>
      </c>
      <c r="AA2938">
        <v>54.2</v>
      </c>
    </row>
    <row r="2939" spans="1:27" x14ac:dyDescent="0.25">
      <c r="A2939" t="s">
        <v>254</v>
      </c>
      <c r="B2939" t="s">
        <v>213</v>
      </c>
      <c r="C2939" s="76">
        <v>43925</v>
      </c>
      <c r="D2939">
        <v>1191</v>
      </c>
      <c r="E2939">
        <v>43</v>
      </c>
      <c r="F2939">
        <v>2338</v>
      </c>
      <c r="G2939">
        <v>1595</v>
      </c>
      <c r="H2939">
        <v>42.7</v>
      </c>
      <c r="I2939">
        <v>34.4</v>
      </c>
      <c r="J2939">
        <v>51</v>
      </c>
      <c r="K2939">
        <v>185</v>
      </c>
      <c r="L2939">
        <v>0</v>
      </c>
      <c r="M2939">
        <v>400</v>
      </c>
      <c r="N2939">
        <v>6.6</v>
      </c>
      <c r="O2939">
        <v>3.3</v>
      </c>
      <c r="P2939">
        <v>10</v>
      </c>
      <c r="Q2939">
        <f t="shared" si="90"/>
        <v>1372203</v>
      </c>
      <c r="R2939">
        <f t="shared" si="89"/>
        <v>13.481970233267235</v>
      </c>
      <c r="U2939">
        <v>195</v>
      </c>
      <c r="V2939">
        <v>4</v>
      </c>
      <c r="W2939">
        <v>386</v>
      </c>
      <c r="X2939">
        <v>287</v>
      </c>
      <c r="Y2939">
        <v>40.4</v>
      </c>
      <c r="Z2939">
        <v>25.8</v>
      </c>
      <c r="AA2939">
        <v>55</v>
      </c>
    </row>
    <row r="2940" spans="1:27" x14ac:dyDescent="0.25">
      <c r="A2940" t="s">
        <v>254</v>
      </c>
      <c r="B2940" t="s">
        <v>213</v>
      </c>
      <c r="C2940" s="76">
        <v>43926</v>
      </c>
      <c r="D2940">
        <v>1262</v>
      </c>
      <c r="E2940">
        <v>16</v>
      </c>
      <c r="F2940">
        <v>2507</v>
      </c>
      <c r="G2940">
        <v>1536</v>
      </c>
      <c r="H2940">
        <v>45.1</v>
      </c>
      <c r="I2940">
        <v>36.4</v>
      </c>
      <c r="J2940">
        <v>53.8</v>
      </c>
      <c r="K2940">
        <v>193</v>
      </c>
      <c r="L2940">
        <v>0</v>
      </c>
      <c r="M2940">
        <v>419</v>
      </c>
      <c r="N2940">
        <v>6.9</v>
      </c>
      <c r="O2940">
        <v>2.6</v>
      </c>
      <c r="P2940">
        <v>11.2</v>
      </c>
      <c r="Q2940">
        <f t="shared" si="90"/>
        <v>1372203</v>
      </c>
      <c r="R2940">
        <f t="shared" si="89"/>
        <v>14.064974351462576</v>
      </c>
      <c r="U2940">
        <v>189</v>
      </c>
      <c r="V2940">
        <v>3</v>
      </c>
      <c r="W2940">
        <v>375</v>
      </c>
      <c r="X2940">
        <v>294</v>
      </c>
      <c r="Y2940">
        <v>39.1</v>
      </c>
      <c r="Z2940">
        <v>22.6</v>
      </c>
      <c r="AA2940">
        <v>55.6</v>
      </c>
    </row>
    <row r="2941" spans="1:27" x14ac:dyDescent="0.25">
      <c r="A2941" t="s">
        <v>254</v>
      </c>
      <c r="B2941" t="s">
        <v>213</v>
      </c>
      <c r="C2941" s="76">
        <v>43927</v>
      </c>
      <c r="D2941">
        <v>1251</v>
      </c>
      <c r="E2941">
        <v>0</v>
      </c>
      <c r="F2941">
        <v>2519</v>
      </c>
      <c r="G2941">
        <v>1508</v>
      </c>
      <c r="H2941">
        <v>45.4</v>
      </c>
      <c r="I2941">
        <v>37.700000000000003</v>
      </c>
      <c r="J2941">
        <v>53</v>
      </c>
      <c r="K2941">
        <v>165</v>
      </c>
      <c r="L2941">
        <v>0</v>
      </c>
      <c r="M2941">
        <v>340</v>
      </c>
      <c r="N2941">
        <v>6</v>
      </c>
      <c r="O2941">
        <v>3.2</v>
      </c>
      <c r="P2941">
        <v>8.6999999999999993</v>
      </c>
      <c r="Q2941">
        <f t="shared" si="90"/>
        <v>1372203</v>
      </c>
      <c r="R2941">
        <f t="shared" si="89"/>
        <v>12.024459937778886</v>
      </c>
      <c r="U2941">
        <v>184</v>
      </c>
      <c r="V2941">
        <v>0</v>
      </c>
      <c r="W2941">
        <v>367</v>
      </c>
      <c r="X2941">
        <v>294</v>
      </c>
      <c r="Y2941">
        <v>38.4</v>
      </c>
      <c r="Z2941">
        <v>22.1</v>
      </c>
      <c r="AA2941">
        <v>54.8</v>
      </c>
    </row>
    <row r="2942" spans="1:27" x14ac:dyDescent="0.25">
      <c r="A2942" t="s">
        <v>254</v>
      </c>
      <c r="B2942" t="s">
        <v>213</v>
      </c>
      <c r="C2942" s="76">
        <v>43928</v>
      </c>
      <c r="D2942">
        <v>1171</v>
      </c>
      <c r="E2942">
        <v>5</v>
      </c>
      <c r="F2942">
        <v>2337</v>
      </c>
      <c r="G2942">
        <v>1589</v>
      </c>
      <c r="H2942">
        <v>42.4</v>
      </c>
      <c r="I2942">
        <v>35.299999999999997</v>
      </c>
      <c r="J2942">
        <v>49.5</v>
      </c>
      <c r="K2942">
        <v>166</v>
      </c>
      <c r="L2942">
        <v>0</v>
      </c>
      <c r="M2942">
        <v>367</v>
      </c>
      <c r="N2942">
        <v>6</v>
      </c>
      <c r="O2942">
        <v>3.6</v>
      </c>
      <c r="P2942">
        <v>8.5</v>
      </c>
      <c r="Q2942">
        <f t="shared" si="90"/>
        <v>1372203</v>
      </c>
      <c r="R2942">
        <f t="shared" si="89"/>
        <v>12.097335452553303</v>
      </c>
      <c r="U2942">
        <v>166</v>
      </c>
      <c r="V2942">
        <v>0</v>
      </c>
      <c r="W2942">
        <v>331</v>
      </c>
      <c r="X2942">
        <v>314</v>
      </c>
      <c r="Y2942">
        <v>34.6</v>
      </c>
      <c r="Z2942">
        <v>21.4</v>
      </c>
      <c r="AA2942">
        <v>47.7</v>
      </c>
    </row>
    <row r="2943" spans="1:27" x14ac:dyDescent="0.25">
      <c r="A2943" t="s">
        <v>254</v>
      </c>
      <c r="B2943" t="s">
        <v>213</v>
      </c>
      <c r="C2943" s="76">
        <v>43929</v>
      </c>
      <c r="D2943">
        <v>1230</v>
      </c>
      <c r="E2943">
        <v>31</v>
      </c>
      <c r="F2943">
        <v>2429</v>
      </c>
      <c r="G2943">
        <v>1524</v>
      </c>
      <c r="H2943">
        <v>44.7</v>
      </c>
      <c r="I2943">
        <v>35.299999999999997</v>
      </c>
      <c r="J2943">
        <v>54</v>
      </c>
      <c r="K2943">
        <v>159</v>
      </c>
      <c r="L2943">
        <v>0</v>
      </c>
      <c r="M2943">
        <v>334</v>
      </c>
      <c r="N2943">
        <v>5.8</v>
      </c>
      <c r="O2943">
        <v>4.3</v>
      </c>
      <c r="P2943">
        <v>7.2</v>
      </c>
      <c r="Q2943">
        <f t="shared" si="90"/>
        <v>1372203</v>
      </c>
      <c r="R2943">
        <f t="shared" si="89"/>
        <v>11.587206849132381</v>
      </c>
      <c r="U2943">
        <v>185</v>
      </c>
      <c r="V2943">
        <v>5</v>
      </c>
      <c r="W2943">
        <v>365</v>
      </c>
      <c r="X2943">
        <v>295</v>
      </c>
      <c r="Y2943">
        <v>38.6</v>
      </c>
      <c r="Z2943">
        <v>22.8</v>
      </c>
      <c r="AA2943">
        <v>54.4</v>
      </c>
    </row>
    <row r="2944" spans="1:27" x14ac:dyDescent="0.25">
      <c r="A2944" t="s">
        <v>254</v>
      </c>
      <c r="B2944" t="s">
        <v>213</v>
      </c>
      <c r="C2944" s="76">
        <v>43930</v>
      </c>
      <c r="D2944">
        <v>1300</v>
      </c>
      <c r="E2944">
        <v>0</v>
      </c>
      <c r="F2944">
        <v>2622</v>
      </c>
      <c r="G2944">
        <v>1454</v>
      </c>
      <c r="H2944">
        <v>47.2</v>
      </c>
      <c r="I2944">
        <v>39.799999999999997</v>
      </c>
      <c r="J2944">
        <v>54.6</v>
      </c>
      <c r="K2944">
        <v>182</v>
      </c>
      <c r="L2944">
        <v>0</v>
      </c>
      <c r="M2944">
        <v>380</v>
      </c>
      <c r="N2944">
        <v>6.6</v>
      </c>
      <c r="O2944">
        <v>4.8</v>
      </c>
      <c r="P2944">
        <v>8.4</v>
      </c>
      <c r="Q2944">
        <f t="shared" si="90"/>
        <v>1372203</v>
      </c>
      <c r="R2944">
        <f t="shared" si="89"/>
        <v>13.263343688943984</v>
      </c>
      <c r="U2944">
        <v>184</v>
      </c>
      <c r="V2944">
        <v>0</v>
      </c>
      <c r="W2944">
        <v>370</v>
      </c>
      <c r="X2944">
        <v>296</v>
      </c>
      <c r="Y2944">
        <v>38.299999999999997</v>
      </c>
      <c r="Z2944">
        <v>22.7</v>
      </c>
      <c r="AA2944">
        <v>54</v>
      </c>
    </row>
    <row r="2945" spans="1:27" x14ac:dyDescent="0.25">
      <c r="A2945" t="s">
        <v>254</v>
      </c>
      <c r="B2945" t="s">
        <v>213</v>
      </c>
      <c r="C2945" s="76">
        <v>43931</v>
      </c>
      <c r="D2945">
        <v>1252</v>
      </c>
      <c r="E2945">
        <v>19</v>
      </c>
      <c r="F2945">
        <v>2485</v>
      </c>
      <c r="G2945">
        <v>1581</v>
      </c>
      <c r="H2945">
        <v>44.2</v>
      </c>
      <c r="I2945">
        <v>36.6</v>
      </c>
      <c r="J2945">
        <v>51.8</v>
      </c>
      <c r="K2945">
        <v>146</v>
      </c>
      <c r="L2945">
        <v>0</v>
      </c>
      <c r="M2945">
        <v>301</v>
      </c>
      <c r="N2945">
        <v>5.0999999999999996</v>
      </c>
      <c r="O2945">
        <v>2.2999999999999998</v>
      </c>
      <c r="P2945">
        <v>8</v>
      </c>
      <c r="Q2945">
        <f t="shared" si="90"/>
        <v>1372203</v>
      </c>
      <c r="R2945">
        <f t="shared" si="89"/>
        <v>10.639825157064953</v>
      </c>
      <c r="U2945">
        <v>164</v>
      </c>
      <c r="V2945">
        <v>0</v>
      </c>
      <c r="W2945">
        <v>336</v>
      </c>
      <c r="X2945">
        <v>282</v>
      </c>
      <c r="Y2945">
        <v>36.799999999999997</v>
      </c>
      <c r="Z2945">
        <v>22</v>
      </c>
      <c r="AA2945">
        <v>51.6</v>
      </c>
    </row>
    <row r="2946" spans="1:27" x14ac:dyDescent="0.25">
      <c r="A2946" t="s">
        <v>254</v>
      </c>
      <c r="B2946" t="s">
        <v>213</v>
      </c>
      <c r="C2946" s="76">
        <v>43932</v>
      </c>
      <c r="D2946">
        <v>1199</v>
      </c>
      <c r="E2946">
        <v>0</v>
      </c>
      <c r="F2946">
        <v>2411</v>
      </c>
      <c r="G2946">
        <v>1664</v>
      </c>
      <c r="H2946">
        <v>41.9</v>
      </c>
      <c r="I2946">
        <v>30.5</v>
      </c>
      <c r="J2946">
        <v>53.3</v>
      </c>
      <c r="K2946">
        <v>146</v>
      </c>
      <c r="L2946">
        <v>0</v>
      </c>
      <c r="M2946">
        <v>295</v>
      </c>
      <c r="N2946">
        <v>5.0999999999999996</v>
      </c>
      <c r="O2946">
        <v>1.4</v>
      </c>
      <c r="P2946">
        <v>8.8000000000000007</v>
      </c>
      <c r="Q2946">
        <f t="shared" si="90"/>
        <v>1372203</v>
      </c>
      <c r="R2946">
        <f t="shared" si="89"/>
        <v>10.639825157064953</v>
      </c>
      <c r="U2946">
        <v>160</v>
      </c>
      <c r="V2946">
        <v>0</v>
      </c>
      <c r="W2946">
        <v>324</v>
      </c>
      <c r="X2946">
        <v>289</v>
      </c>
      <c r="Y2946">
        <v>35.700000000000003</v>
      </c>
      <c r="Z2946">
        <v>20.3</v>
      </c>
      <c r="AA2946">
        <v>51.1</v>
      </c>
    </row>
    <row r="2947" spans="1:27" x14ac:dyDescent="0.25">
      <c r="A2947" t="s">
        <v>254</v>
      </c>
      <c r="B2947" t="s">
        <v>213</v>
      </c>
      <c r="C2947" s="76">
        <v>43933</v>
      </c>
      <c r="D2947">
        <v>1148</v>
      </c>
      <c r="E2947">
        <v>4</v>
      </c>
      <c r="F2947">
        <v>2292</v>
      </c>
      <c r="G2947">
        <v>1714</v>
      </c>
      <c r="H2947">
        <v>40.1</v>
      </c>
      <c r="I2947">
        <v>28.9</v>
      </c>
      <c r="J2947">
        <v>51.3</v>
      </c>
      <c r="K2947">
        <v>142</v>
      </c>
      <c r="L2947">
        <v>0</v>
      </c>
      <c r="M2947">
        <v>292</v>
      </c>
      <c r="N2947">
        <v>4.9000000000000004</v>
      </c>
      <c r="O2947">
        <v>1.3</v>
      </c>
      <c r="P2947">
        <v>8.6</v>
      </c>
      <c r="Q2947">
        <f t="shared" si="90"/>
        <v>1372203</v>
      </c>
      <c r="R2947">
        <f t="shared" si="89"/>
        <v>10.348323097967283</v>
      </c>
      <c r="U2947">
        <v>137</v>
      </c>
      <c r="V2947">
        <v>0</v>
      </c>
      <c r="W2947">
        <v>278</v>
      </c>
      <c r="X2947">
        <v>312</v>
      </c>
      <c r="Y2947">
        <v>30.5</v>
      </c>
      <c r="Z2947">
        <v>14.5</v>
      </c>
      <c r="AA2947">
        <v>46.5</v>
      </c>
    </row>
    <row r="2948" spans="1:27" x14ac:dyDescent="0.25">
      <c r="A2948" t="s">
        <v>254</v>
      </c>
      <c r="B2948" t="s">
        <v>213</v>
      </c>
      <c r="C2948" s="76">
        <v>43934</v>
      </c>
      <c r="D2948">
        <v>1355</v>
      </c>
      <c r="E2948">
        <v>182</v>
      </c>
      <c r="F2948">
        <v>2528</v>
      </c>
      <c r="G2948">
        <v>1751</v>
      </c>
      <c r="H2948">
        <v>43.6</v>
      </c>
      <c r="I2948">
        <v>32.299999999999997</v>
      </c>
      <c r="J2948">
        <v>54.9</v>
      </c>
      <c r="K2948">
        <v>123</v>
      </c>
      <c r="L2948">
        <v>0</v>
      </c>
      <c r="M2948">
        <v>253</v>
      </c>
      <c r="N2948">
        <v>3.9</v>
      </c>
      <c r="O2948">
        <v>1.9</v>
      </c>
      <c r="P2948">
        <v>6</v>
      </c>
      <c r="Q2948">
        <f t="shared" si="90"/>
        <v>1372203</v>
      </c>
      <c r="R2948">
        <f t="shared" si="89"/>
        <v>8.9636883172533519</v>
      </c>
      <c r="U2948">
        <v>145</v>
      </c>
      <c r="V2948">
        <v>0</v>
      </c>
      <c r="W2948">
        <v>294</v>
      </c>
      <c r="X2948">
        <v>303</v>
      </c>
      <c r="Y2948">
        <v>32.4</v>
      </c>
      <c r="Z2948">
        <v>20.100000000000001</v>
      </c>
      <c r="AA2948">
        <v>44.6</v>
      </c>
    </row>
    <row r="2949" spans="1:27" x14ac:dyDescent="0.25">
      <c r="A2949" t="s">
        <v>254</v>
      </c>
      <c r="B2949" t="s">
        <v>213</v>
      </c>
      <c r="C2949" s="76">
        <v>43935</v>
      </c>
      <c r="D2949">
        <v>1428</v>
      </c>
      <c r="E2949">
        <v>401</v>
      </c>
      <c r="F2949">
        <v>2454</v>
      </c>
      <c r="G2949">
        <v>1527</v>
      </c>
      <c r="H2949">
        <v>48.3</v>
      </c>
      <c r="I2949">
        <v>37.9</v>
      </c>
      <c r="J2949">
        <v>58.7</v>
      </c>
      <c r="K2949">
        <v>126</v>
      </c>
      <c r="L2949">
        <v>22</v>
      </c>
      <c r="M2949">
        <v>230</v>
      </c>
      <c r="N2949">
        <v>4.3</v>
      </c>
      <c r="O2949">
        <v>2.2999999999999998</v>
      </c>
      <c r="P2949">
        <v>6.3</v>
      </c>
      <c r="Q2949">
        <f t="shared" si="90"/>
        <v>1372203</v>
      </c>
      <c r="R2949">
        <f t="shared" ref="R2949:R3012" si="91">K2949/(Q2949)*100000</f>
        <v>9.1823148615766037</v>
      </c>
      <c r="U2949">
        <v>167</v>
      </c>
      <c r="V2949">
        <v>22</v>
      </c>
      <c r="W2949">
        <v>312</v>
      </c>
      <c r="X2949">
        <v>187</v>
      </c>
      <c r="Y2949">
        <v>47.3</v>
      </c>
      <c r="Z2949">
        <v>31.6</v>
      </c>
      <c r="AA2949">
        <v>62.9</v>
      </c>
    </row>
    <row r="2950" spans="1:27" x14ac:dyDescent="0.25">
      <c r="A2950" t="s">
        <v>254</v>
      </c>
      <c r="B2950" t="s">
        <v>213</v>
      </c>
      <c r="C2950" s="76">
        <v>43936</v>
      </c>
      <c r="D2950">
        <v>1505</v>
      </c>
      <c r="E2950">
        <v>436</v>
      </c>
      <c r="F2950">
        <v>2573</v>
      </c>
      <c r="G2950">
        <v>1429</v>
      </c>
      <c r="H2950">
        <v>51.3</v>
      </c>
      <c r="I2950">
        <v>41.1</v>
      </c>
      <c r="J2950">
        <v>61.5</v>
      </c>
      <c r="K2950">
        <v>144</v>
      </c>
      <c r="L2950">
        <v>21</v>
      </c>
      <c r="M2950">
        <v>267</v>
      </c>
      <c r="N2950">
        <v>4.9000000000000004</v>
      </c>
      <c r="O2950">
        <v>2.5</v>
      </c>
      <c r="P2950">
        <v>7.3</v>
      </c>
      <c r="Q2950">
        <f t="shared" si="90"/>
        <v>1372203</v>
      </c>
      <c r="R2950">
        <f t="shared" si="91"/>
        <v>10.49407412751612</v>
      </c>
      <c r="U2950">
        <v>159</v>
      </c>
      <c r="V2950">
        <v>22</v>
      </c>
      <c r="W2950">
        <v>296</v>
      </c>
      <c r="X2950">
        <v>196</v>
      </c>
      <c r="Y2950">
        <v>44.7</v>
      </c>
      <c r="Z2950">
        <v>28.1</v>
      </c>
      <c r="AA2950">
        <v>61.3</v>
      </c>
    </row>
    <row r="2951" spans="1:27" x14ac:dyDescent="0.25">
      <c r="A2951" t="s">
        <v>254</v>
      </c>
      <c r="B2951" t="s">
        <v>213</v>
      </c>
      <c r="C2951" s="76">
        <v>43937</v>
      </c>
      <c r="D2951">
        <v>1513</v>
      </c>
      <c r="E2951">
        <v>414</v>
      </c>
      <c r="F2951">
        <v>2612</v>
      </c>
      <c r="G2951">
        <v>1425</v>
      </c>
      <c r="H2951">
        <v>51.5</v>
      </c>
      <c r="I2951">
        <v>41.9</v>
      </c>
      <c r="J2951">
        <v>61.1</v>
      </c>
      <c r="K2951">
        <v>127</v>
      </c>
      <c r="L2951">
        <v>25</v>
      </c>
      <c r="M2951">
        <v>229</v>
      </c>
      <c r="N2951">
        <v>4.3</v>
      </c>
      <c r="O2951">
        <v>2.4</v>
      </c>
      <c r="P2951">
        <v>6.2</v>
      </c>
      <c r="Q2951">
        <f t="shared" si="90"/>
        <v>1372203</v>
      </c>
      <c r="R2951">
        <f t="shared" si="91"/>
        <v>9.2551903763510204</v>
      </c>
      <c r="U2951">
        <v>158</v>
      </c>
      <c r="V2951">
        <v>19</v>
      </c>
      <c r="W2951">
        <v>296</v>
      </c>
      <c r="X2951">
        <v>194</v>
      </c>
      <c r="Y2951">
        <v>44.9</v>
      </c>
      <c r="Z2951">
        <v>27.6</v>
      </c>
      <c r="AA2951">
        <v>62.1</v>
      </c>
    </row>
    <row r="2952" spans="1:27" x14ac:dyDescent="0.25">
      <c r="A2952" t="s">
        <v>254</v>
      </c>
      <c r="B2952" t="s">
        <v>213</v>
      </c>
      <c r="C2952" s="76">
        <v>43938</v>
      </c>
      <c r="D2952">
        <v>1550</v>
      </c>
      <c r="E2952">
        <v>414</v>
      </c>
      <c r="F2952">
        <v>2686</v>
      </c>
      <c r="G2952">
        <v>1390</v>
      </c>
      <c r="H2952">
        <v>52.7</v>
      </c>
      <c r="I2952">
        <v>43.7</v>
      </c>
      <c r="J2952">
        <v>61.7</v>
      </c>
      <c r="K2952">
        <v>151</v>
      </c>
      <c r="L2952">
        <v>22</v>
      </c>
      <c r="M2952">
        <v>280</v>
      </c>
      <c r="N2952">
        <v>5.0999999999999996</v>
      </c>
      <c r="O2952">
        <v>2.6</v>
      </c>
      <c r="P2952">
        <v>7.7</v>
      </c>
      <c r="Q2952">
        <f t="shared" si="90"/>
        <v>1372203</v>
      </c>
      <c r="R2952">
        <f t="shared" si="91"/>
        <v>11.004202730937042</v>
      </c>
      <c r="U2952">
        <v>170</v>
      </c>
      <c r="V2952">
        <v>15</v>
      </c>
      <c r="W2952">
        <v>324</v>
      </c>
      <c r="X2952">
        <v>185</v>
      </c>
      <c r="Y2952">
        <v>47.9</v>
      </c>
      <c r="Z2952">
        <v>27.3</v>
      </c>
      <c r="AA2952">
        <v>68.400000000000006</v>
      </c>
    </row>
    <row r="2953" spans="1:27" x14ac:dyDescent="0.25">
      <c r="A2953" t="s">
        <v>254</v>
      </c>
      <c r="B2953" t="s">
        <v>213</v>
      </c>
      <c r="C2953" s="76">
        <v>43939</v>
      </c>
      <c r="D2953">
        <v>1499</v>
      </c>
      <c r="E2953">
        <v>422</v>
      </c>
      <c r="F2953">
        <v>2576</v>
      </c>
      <c r="G2953">
        <v>1438</v>
      </c>
      <c r="H2953">
        <v>51</v>
      </c>
      <c r="I2953">
        <v>42.7</v>
      </c>
      <c r="J2953">
        <v>59.4</v>
      </c>
      <c r="K2953">
        <v>142</v>
      </c>
      <c r="L2953">
        <v>20</v>
      </c>
      <c r="M2953">
        <v>264</v>
      </c>
      <c r="N2953">
        <v>4.8</v>
      </c>
      <c r="O2953">
        <v>2.4</v>
      </c>
      <c r="P2953">
        <v>7.2</v>
      </c>
      <c r="Q2953">
        <f t="shared" si="90"/>
        <v>1372203</v>
      </c>
      <c r="R2953">
        <f t="shared" si="91"/>
        <v>10.348323097967283</v>
      </c>
      <c r="U2953">
        <v>165</v>
      </c>
      <c r="V2953">
        <v>12</v>
      </c>
      <c r="W2953">
        <v>318</v>
      </c>
      <c r="X2953">
        <v>192</v>
      </c>
      <c r="Y2953">
        <v>46.3</v>
      </c>
      <c r="Z2953">
        <v>27.7</v>
      </c>
      <c r="AA2953">
        <v>64.900000000000006</v>
      </c>
    </row>
    <row r="2954" spans="1:27" x14ac:dyDescent="0.25">
      <c r="A2954" t="s">
        <v>254</v>
      </c>
      <c r="B2954" t="s">
        <v>213</v>
      </c>
      <c r="C2954" s="76">
        <v>43940</v>
      </c>
      <c r="D2954">
        <v>1451</v>
      </c>
      <c r="E2954">
        <v>422</v>
      </c>
      <c r="F2954">
        <v>2480</v>
      </c>
      <c r="G2954">
        <v>1494</v>
      </c>
      <c r="H2954">
        <v>49.3</v>
      </c>
      <c r="I2954">
        <v>41.2</v>
      </c>
      <c r="J2954">
        <v>57.3</v>
      </c>
      <c r="K2954">
        <v>131</v>
      </c>
      <c r="L2954">
        <v>23</v>
      </c>
      <c r="M2954">
        <v>240</v>
      </c>
      <c r="N2954">
        <v>4.5</v>
      </c>
      <c r="O2954">
        <v>2.5</v>
      </c>
      <c r="P2954">
        <v>6.4</v>
      </c>
      <c r="Q2954">
        <f t="shared" si="90"/>
        <v>1372203</v>
      </c>
      <c r="R2954">
        <f t="shared" si="91"/>
        <v>9.5466924354486906</v>
      </c>
      <c r="U2954">
        <v>152</v>
      </c>
      <c r="V2954">
        <v>10</v>
      </c>
      <c r="W2954">
        <v>295</v>
      </c>
      <c r="X2954">
        <v>203</v>
      </c>
      <c r="Y2954">
        <v>42.9</v>
      </c>
      <c r="Z2954">
        <v>24.2</v>
      </c>
      <c r="AA2954">
        <v>61.6</v>
      </c>
    </row>
    <row r="2955" spans="1:27" x14ac:dyDescent="0.25">
      <c r="A2955" t="s">
        <v>254</v>
      </c>
      <c r="B2955" t="s">
        <v>213</v>
      </c>
      <c r="C2955" s="76">
        <v>43941</v>
      </c>
      <c r="D2955">
        <v>1491</v>
      </c>
      <c r="E2955">
        <v>434</v>
      </c>
      <c r="F2955">
        <v>2547</v>
      </c>
      <c r="G2955">
        <v>1437</v>
      </c>
      <c r="H2955">
        <v>50.9</v>
      </c>
      <c r="I2955">
        <v>42.8</v>
      </c>
      <c r="J2955">
        <v>59.1</v>
      </c>
      <c r="K2955">
        <v>135</v>
      </c>
      <c r="L2955">
        <v>15</v>
      </c>
      <c r="M2955">
        <v>255</v>
      </c>
      <c r="N2955">
        <v>4.5999999999999996</v>
      </c>
      <c r="O2955">
        <v>2.2000000000000002</v>
      </c>
      <c r="P2955">
        <v>7</v>
      </c>
      <c r="Q2955">
        <f t="shared" si="90"/>
        <v>1372203</v>
      </c>
      <c r="R2955">
        <f t="shared" si="91"/>
        <v>9.8381944945463609</v>
      </c>
      <c r="U2955">
        <v>144</v>
      </c>
      <c r="V2955">
        <v>8</v>
      </c>
      <c r="W2955">
        <v>280</v>
      </c>
      <c r="X2955">
        <v>210</v>
      </c>
      <c r="Y2955">
        <v>40.700000000000003</v>
      </c>
      <c r="Z2955">
        <v>24.4</v>
      </c>
      <c r="AA2955">
        <v>57</v>
      </c>
    </row>
    <row r="2956" spans="1:27" x14ac:dyDescent="0.25">
      <c r="A2956" t="s">
        <v>254</v>
      </c>
      <c r="B2956" t="s">
        <v>213</v>
      </c>
      <c r="C2956" s="76">
        <v>43942</v>
      </c>
      <c r="D2956">
        <v>1572</v>
      </c>
      <c r="E2956">
        <v>440</v>
      </c>
      <c r="F2956">
        <v>2704</v>
      </c>
      <c r="G2956">
        <v>1373</v>
      </c>
      <c r="H2956">
        <v>53.4</v>
      </c>
      <c r="I2956">
        <v>44.8</v>
      </c>
      <c r="J2956">
        <v>61.9</v>
      </c>
      <c r="K2956">
        <v>126</v>
      </c>
      <c r="L2956">
        <v>17</v>
      </c>
      <c r="M2956">
        <v>235</v>
      </c>
      <c r="N2956">
        <v>4.3</v>
      </c>
      <c r="O2956">
        <v>2</v>
      </c>
      <c r="P2956">
        <v>6.5</v>
      </c>
      <c r="Q2956">
        <f t="shared" si="90"/>
        <v>1372203</v>
      </c>
      <c r="R2956">
        <f t="shared" si="91"/>
        <v>9.1823148615766037</v>
      </c>
      <c r="U2956">
        <v>154</v>
      </c>
      <c r="V2956">
        <v>5</v>
      </c>
      <c r="W2956">
        <v>303</v>
      </c>
      <c r="X2956">
        <v>201</v>
      </c>
      <c r="Y2956">
        <v>43.5</v>
      </c>
      <c r="Z2956">
        <v>25</v>
      </c>
      <c r="AA2956">
        <v>61.9</v>
      </c>
    </row>
    <row r="2957" spans="1:27" x14ac:dyDescent="0.25">
      <c r="A2957" t="s">
        <v>254</v>
      </c>
      <c r="B2957" t="s">
        <v>213</v>
      </c>
      <c r="C2957" s="76">
        <v>43943</v>
      </c>
      <c r="D2957">
        <v>1548</v>
      </c>
      <c r="E2957">
        <v>440</v>
      </c>
      <c r="F2957">
        <v>2656</v>
      </c>
      <c r="G2957">
        <v>1391</v>
      </c>
      <c r="H2957">
        <v>52.7</v>
      </c>
      <c r="I2957">
        <v>42.8</v>
      </c>
      <c r="J2957">
        <v>62.6</v>
      </c>
      <c r="K2957">
        <v>149</v>
      </c>
      <c r="L2957">
        <v>29</v>
      </c>
      <c r="M2957">
        <v>269</v>
      </c>
      <c r="N2957">
        <v>5.0999999999999996</v>
      </c>
      <c r="O2957">
        <v>2.6</v>
      </c>
      <c r="P2957">
        <v>7.5</v>
      </c>
      <c r="Q2957">
        <f t="shared" si="90"/>
        <v>1372203</v>
      </c>
      <c r="R2957">
        <f t="shared" si="91"/>
        <v>10.858451701388205</v>
      </c>
      <c r="U2957">
        <v>160</v>
      </c>
      <c r="V2957">
        <v>3</v>
      </c>
      <c r="W2957">
        <v>316</v>
      </c>
      <c r="X2957">
        <v>196</v>
      </c>
      <c r="Y2957">
        <v>44.9</v>
      </c>
      <c r="Z2957">
        <v>22.5</v>
      </c>
      <c r="AA2957">
        <v>67.3</v>
      </c>
    </row>
    <row r="2958" spans="1:27" x14ac:dyDescent="0.25">
      <c r="A2958" t="s">
        <v>254</v>
      </c>
      <c r="B2958" t="s">
        <v>213</v>
      </c>
      <c r="C2958" s="76">
        <v>43944</v>
      </c>
      <c r="D2958">
        <v>1478</v>
      </c>
      <c r="E2958">
        <v>417</v>
      </c>
      <c r="F2958">
        <v>2539</v>
      </c>
      <c r="G2958">
        <v>1452</v>
      </c>
      <c r="H2958">
        <v>50.4</v>
      </c>
      <c r="I2958">
        <v>40.799999999999997</v>
      </c>
      <c r="J2958">
        <v>60.1</v>
      </c>
      <c r="K2958">
        <v>155</v>
      </c>
      <c r="L2958">
        <v>29</v>
      </c>
      <c r="M2958">
        <v>281</v>
      </c>
      <c r="N2958">
        <v>5.3</v>
      </c>
      <c r="O2958">
        <v>3</v>
      </c>
      <c r="P2958">
        <v>7.6</v>
      </c>
      <c r="Q2958">
        <f t="shared" si="90"/>
        <v>1372203</v>
      </c>
      <c r="R2958">
        <f t="shared" si="91"/>
        <v>11.29570479003471</v>
      </c>
      <c r="U2958">
        <v>169</v>
      </c>
      <c r="V2958">
        <v>11</v>
      </c>
      <c r="W2958">
        <v>326</v>
      </c>
      <c r="X2958">
        <v>187</v>
      </c>
      <c r="Y2958">
        <v>47.4</v>
      </c>
      <c r="Z2958">
        <v>26.7</v>
      </c>
      <c r="AA2958">
        <v>68.099999999999994</v>
      </c>
    </row>
    <row r="2959" spans="1:27" x14ac:dyDescent="0.25">
      <c r="A2959" t="s">
        <v>254</v>
      </c>
      <c r="B2959" t="s">
        <v>213</v>
      </c>
      <c r="C2959" s="76">
        <v>43945</v>
      </c>
      <c r="D2959">
        <v>1501</v>
      </c>
      <c r="E2959">
        <v>403</v>
      </c>
      <c r="F2959">
        <v>2599</v>
      </c>
      <c r="G2959">
        <v>1435</v>
      </c>
      <c r="H2959">
        <v>51.1</v>
      </c>
      <c r="I2959">
        <v>41.8</v>
      </c>
      <c r="J2959">
        <v>60.5</v>
      </c>
      <c r="K2959">
        <v>122</v>
      </c>
      <c r="L2959">
        <v>16</v>
      </c>
      <c r="M2959">
        <v>227</v>
      </c>
      <c r="N2959">
        <v>4.0999999999999996</v>
      </c>
      <c r="O2959">
        <v>2</v>
      </c>
      <c r="P2959">
        <v>6.3</v>
      </c>
      <c r="Q2959">
        <f t="shared" si="90"/>
        <v>1372203</v>
      </c>
      <c r="R2959">
        <f t="shared" si="91"/>
        <v>8.8908128024789335</v>
      </c>
      <c r="U2959">
        <v>167</v>
      </c>
      <c r="V2959">
        <v>10</v>
      </c>
      <c r="W2959">
        <v>324</v>
      </c>
      <c r="X2959">
        <v>189</v>
      </c>
      <c r="Y2959">
        <v>46.9</v>
      </c>
      <c r="Z2959">
        <v>26.8</v>
      </c>
      <c r="AA2959">
        <v>67</v>
      </c>
    </row>
    <row r="2960" spans="1:27" x14ac:dyDescent="0.25">
      <c r="A2960" t="s">
        <v>254</v>
      </c>
      <c r="B2960" t="s">
        <v>213</v>
      </c>
      <c r="C2960" s="76">
        <v>43946</v>
      </c>
      <c r="D2960">
        <v>1485</v>
      </c>
      <c r="E2960">
        <v>387</v>
      </c>
      <c r="F2960">
        <v>2583</v>
      </c>
      <c r="G2960">
        <v>1464</v>
      </c>
      <c r="H2960">
        <v>50.4</v>
      </c>
      <c r="I2960">
        <v>41.6</v>
      </c>
      <c r="J2960">
        <v>59.1</v>
      </c>
      <c r="K2960">
        <v>142</v>
      </c>
      <c r="L2960">
        <v>24</v>
      </c>
      <c r="M2960">
        <v>260</v>
      </c>
      <c r="N2960">
        <v>4.8</v>
      </c>
      <c r="O2960">
        <v>2.5</v>
      </c>
      <c r="P2960">
        <v>7.1</v>
      </c>
      <c r="Q2960">
        <f t="shared" si="90"/>
        <v>1372203</v>
      </c>
      <c r="R2960">
        <f t="shared" si="91"/>
        <v>10.348323097967283</v>
      </c>
      <c r="U2960">
        <v>167</v>
      </c>
      <c r="V2960">
        <v>13</v>
      </c>
      <c r="W2960">
        <v>321</v>
      </c>
      <c r="X2960">
        <v>192</v>
      </c>
      <c r="Y2960">
        <v>46.5</v>
      </c>
      <c r="Z2960">
        <v>28.6</v>
      </c>
      <c r="AA2960">
        <v>64.400000000000006</v>
      </c>
    </row>
    <row r="2961" spans="1:27" x14ac:dyDescent="0.25">
      <c r="A2961" t="s">
        <v>254</v>
      </c>
      <c r="B2961" t="s">
        <v>213</v>
      </c>
      <c r="C2961" s="76">
        <v>43947</v>
      </c>
      <c r="D2961">
        <v>1492</v>
      </c>
      <c r="E2961">
        <v>379</v>
      </c>
      <c r="F2961">
        <v>2605</v>
      </c>
      <c r="G2961">
        <v>1445</v>
      </c>
      <c r="H2961">
        <v>50.8</v>
      </c>
      <c r="I2961">
        <v>40.9</v>
      </c>
      <c r="J2961">
        <v>60.7</v>
      </c>
      <c r="K2961">
        <v>154</v>
      </c>
      <c r="L2961">
        <v>25</v>
      </c>
      <c r="M2961">
        <v>282</v>
      </c>
      <c r="N2961">
        <v>5.2</v>
      </c>
      <c r="O2961">
        <v>3.1</v>
      </c>
      <c r="P2961">
        <v>7.3</v>
      </c>
      <c r="Q2961">
        <f t="shared" si="90"/>
        <v>1372203</v>
      </c>
      <c r="R2961">
        <f t="shared" si="91"/>
        <v>11.222829275260294</v>
      </c>
      <c r="U2961">
        <v>172</v>
      </c>
      <c r="V2961">
        <v>14</v>
      </c>
      <c r="W2961">
        <v>329</v>
      </c>
      <c r="X2961">
        <v>184</v>
      </c>
      <c r="Y2961">
        <v>48.3</v>
      </c>
      <c r="Z2961">
        <v>27.4</v>
      </c>
      <c r="AA2961">
        <v>69.099999999999994</v>
      </c>
    </row>
    <row r="2962" spans="1:27" x14ac:dyDescent="0.25">
      <c r="A2962" t="s">
        <v>254</v>
      </c>
      <c r="B2962" t="s">
        <v>213</v>
      </c>
      <c r="C2962" s="76">
        <v>43948</v>
      </c>
      <c r="D2962">
        <v>1534</v>
      </c>
      <c r="E2962">
        <v>397</v>
      </c>
      <c r="F2962">
        <v>2670</v>
      </c>
      <c r="G2962">
        <v>1396</v>
      </c>
      <c r="H2962">
        <v>52.3</v>
      </c>
      <c r="I2962">
        <v>42.7</v>
      </c>
      <c r="J2962">
        <v>62</v>
      </c>
      <c r="K2962">
        <v>149</v>
      </c>
      <c r="L2962">
        <v>26</v>
      </c>
      <c r="M2962">
        <v>273</v>
      </c>
      <c r="N2962">
        <v>5.0999999999999996</v>
      </c>
      <c r="O2962">
        <v>2.8</v>
      </c>
      <c r="P2962">
        <v>7.4</v>
      </c>
      <c r="Q2962">
        <f t="shared" si="90"/>
        <v>1372203</v>
      </c>
      <c r="R2962">
        <f t="shared" si="91"/>
        <v>10.858451701388205</v>
      </c>
      <c r="U2962">
        <v>170</v>
      </c>
      <c r="V2962">
        <v>17</v>
      </c>
      <c r="W2962">
        <v>322</v>
      </c>
      <c r="X2962">
        <v>187</v>
      </c>
      <c r="Y2962">
        <v>47.6</v>
      </c>
      <c r="Z2962">
        <v>29.6</v>
      </c>
      <c r="AA2962">
        <v>65.599999999999994</v>
      </c>
    </row>
    <row r="2963" spans="1:27" x14ac:dyDescent="0.25">
      <c r="A2963" t="s">
        <v>254</v>
      </c>
      <c r="B2963" t="s">
        <v>213</v>
      </c>
      <c r="C2963" s="76">
        <v>43949</v>
      </c>
      <c r="D2963">
        <v>1621</v>
      </c>
      <c r="E2963">
        <v>425</v>
      </c>
      <c r="F2963">
        <v>2817</v>
      </c>
      <c r="G2963">
        <v>1314</v>
      </c>
      <c r="H2963">
        <v>55.2</v>
      </c>
      <c r="I2963">
        <v>45.5</v>
      </c>
      <c r="J2963">
        <v>64.900000000000006</v>
      </c>
      <c r="K2963">
        <v>153</v>
      </c>
      <c r="L2963">
        <v>31</v>
      </c>
      <c r="M2963">
        <v>275</v>
      </c>
      <c r="N2963">
        <v>5.2</v>
      </c>
      <c r="O2963">
        <v>3</v>
      </c>
      <c r="P2963">
        <v>7.4</v>
      </c>
      <c r="Q2963">
        <f t="shared" si="90"/>
        <v>1372203</v>
      </c>
      <c r="R2963">
        <f t="shared" si="91"/>
        <v>11.149953760485875</v>
      </c>
      <c r="U2963">
        <v>174</v>
      </c>
      <c r="V2963">
        <v>22</v>
      </c>
      <c r="W2963">
        <v>325</v>
      </c>
      <c r="X2963">
        <v>181</v>
      </c>
      <c r="Y2963">
        <v>49</v>
      </c>
      <c r="Z2963">
        <v>30.1</v>
      </c>
      <c r="AA2963">
        <v>67.900000000000006</v>
      </c>
    </row>
    <row r="2964" spans="1:27" x14ac:dyDescent="0.25">
      <c r="A2964" t="s">
        <v>254</v>
      </c>
      <c r="B2964" t="s">
        <v>213</v>
      </c>
      <c r="C2964" s="76">
        <v>43950</v>
      </c>
      <c r="D2964">
        <v>1621</v>
      </c>
      <c r="E2964">
        <v>426</v>
      </c>
      <c r="F2964">
        <v>2816</v>
      </c>
      <c r="G2964">
        <v>1320</v>
      </c>
      <c r="H2964">
        <v>55.1</v>
      </c>
      <c r="I2964">
        <v>44.8</v>
      </c>
      <c r="J2964">
        <v>65.400000000000006</v>
      </c>
      <c r="K2964">
        <v>141</v>
      </c>
      <c r="L2964">
        <v>21</v>
      </c>
      <c r="M2964">
        <v>262</v>
      </c>
      <c r="N2964">
        <v>4.8</v>
      </c>
      <c r="O2964">
        <v>2.2000000000000002</v>
      </c>
      <c r="P2964">
        <v>7.4</v>
      </c>
      <c r="Q2964">
        <f t="shared" si="90"/>
        <v>1372203</v>
      </c>
      <c r="R2964">
        <f t="shared" si="91"/>
        <v>10.275447583192866</v>
      </c>
      <c r="U2964">
        <v>189</v>
      </c>
      <c r="V2964">
        <v>28</v>
      </c>
      <c r="W2964">
        <v>349</v>
      </c>
      <c r="X2964">
        <v>169</v>
      </c>
      <c r="Y2964">
        <v>52.7</v>
      </c>
      <c r="Z2964">
        <v>32.9</v>
      </c>
      <c r="AA2964">
        <v>72.5</v>
      </c>
    </row>
    <row r="2965" spans="1:27" x14ac:dyDescent="0.25">
      <c r="A2965" t="s">
        <v>254</v>
      </c>
      <c r="B2965" t="s">
        <v>213</v>
      </c>
      <c r="C2965" s="76">
        <v>43951</v>
      </c>
      <c r="D2965">
        <v>1718</v>
      </c>
      <c r="E2965">
        <v>306</v>
      </c>
      <c r="F2965">
        <v>3131</v>
      </c>
      <c r="G2965">
        <v>1272</v>
      </c>
      <c r="H2965">
        <v>57.5</v>
      </c>
      <c r="I2965">
        <v>48</v>
      </c>
      <c r="J2965">
        <v>67</v>
      </c>
      <c r="K2965">
        <v>128</v>
      </c>
      <c r="L2965">
        <v>11</v>
      </c>
      <c r="M2965">
        <v>244</v>
      </c>
      <c r="N2965">
        <v>4.3</v>
      </c>
      <c r="O2965">
        <v>2.2000000000000002</v>
      </c>
      <c r="P2965">
        <v>6.4</v>
      </c>
      <c r="Q2965">
        <f t="shared" si="90"/>
        <v>1372203</v>
      </c>
      <c r="R2965">
        <f t="shared" si="91"/>
        <v>9.3280658911254388</v>
      </c>
      <c r="U2965">
        <v>189</v>
      </c>
      <c r="V2965">
        <v>9</v>
      </c>
      <c r="W2965">
        <v>368</v>
      </c>
      <c r="X2965">
        <v>163</v>
      </c>
      <c r="Y2965">
        <v>53.6</v>
      </c>
      <c r="Z2965">
        <v>34.1</v>
      </c>
      <c r="AA2965">
        <v>73.2</v>
      </c>
    </row>
    <row r="2966" spans="1:27" x14ac:dyDescent="0.25">
      <c r="A2966" t="s">
        <v>254</v>
      </c>
      <c r="B2966" t="s">
        <v>213</v>
      </c>
      <c r="C2966" s="76">
        <v>43952</v>
      </c>
      <c r="D2966">
        <v>1707</v>
      </c>
      <c r="E2966">
        <v>333</v>
      </c>
      <c r="F2966">
        <v>3080</v>
      </c>
      <c r="G2966">
        <v>1257</v>
      </c>
      <c r="H2966">
        <v>57.6</v>
      </c>
      <c r="I2966">
        <v>48.7</v>
      </c>
      <c r="J2966">
        <v>66.5</v>
      </c>
      <c r="K2966">
        <v>145</v>
      </c>
      <c r="L2966">
        <v>15</v>
      </c>
      <c r="M2966">
        <v>274</v>
      </c>
      <c r="N2966">
        <v>4.9000000000000004</v>
      </c>
      <c r="O2966">
        <v>2.2000000000000002</v>
      </c>
      <c r="P2966">
        <v>7.5</v>
      </c>
      <c r="Q2966">
        <f t="shared" si="90"/>
        <v>1372203</v>
      </c>
      <c r="R2966">
        <f t="shared" si="91"/>
        <v>10.566949642290535</v>
      </c>
      <c r="U2966">
        <v>191</v>
      </c>
      <c r="V2966">
        <v>8</v>
      </c>
      <c r="W2966">
        <v>373</v>
      </c>
      <c r="X2966">
        <v>157</v>
      </c>
      <c r="Y2966">
        <v>54.9</v>
      </c>
      <c r="Z2966">
        <v>33.5</v>
      </c>
      <c r="AA2966">
        <v>76.2</v>
      </c>
    </row>
    <row r="2967" spans="1:27" x14ac:dyDescent="0.25">
      <c r="A2967" t="s">
        <v>254</v>
      </c>
      <c r="B2967" t="s">
        <v>213</v>
      </c>
      <c r="C2967" s="76">
        <v>43953</v>
      </c>
      <c r="D2967">
        <v>1840</v>
      </c>
      <c r="E2967">
        <v>299</v>
      </c>
      <c r="F2967">
        <v>3382</v>
      </c>
      <c r="G2967">
        <v>1370</v>
      </c>
      <c r="H2967">
        <v>57.3</v>
      </c>
      <c r="I2967">
        <v>47.5</v>
      </c>
      <c r="J2967">
        <v>67.2</v>
      </c>
      <c r="K2967">
        <v>150</v>
      </c>
      <c r="L2967">
        <v>31</v>
      </c>
      <c r="M2967">
        <v>269</v>
      </c>
      <c r="N2967">
        <v>4.7</v>
      </c>
      <c r="O2967">
        <v>1.7</v>
      </c>
      <c r="P2967">
        <v>7.6</v>
      </c>
      <c r="Q2967">
        <f t="shared" si="90"/>
        <v>1372203</v>
      </c>
      <c r="R2967">
        <f t="shared" si="91"/>
        <v>10.931327216162623</v>
      </c>
      <c r="U2967">
        <v>225</v>
      </c>
      <c r="V2967">
        <v>0</v>
      </c>
      <c r="W2967">
        <v>482</v>
      </c>
      <c r="X2967">
        <v>208</v>
      </c>
      <c r="Y2967">
        <v>52</v>
      </c>
      <c r="Z2967">
        <v>35.9</v>
      </c>
      <c r="AA2967">
        <v>68</v>
      </c>
    </row>
    <row r="2968" spans="1:27" x14ac:dyDescent="0.25">
      <c r="A2968" t="s">
        <v>254</v>
      </c>
      <c r="B2968" t="s">
        <v>213</v>
      </c>
      <c r="C2968" s="76">
        <v>43954</v>
      </c>
      <c r="D2968">
        <v>1974</v>
      </c>
      <c r="E2968">
        <v>88</v>
      </c>
      <c r="F2968">
        <v>3860</v>
      </c>
      <c r="G2968">
        <v>1445</v>
      </c>
      <c r="H2968">
        <v>57.7</v>
      </c>
      <c r="I2968">
        <v>47.4</v>
      </c>
      <c r="J2968">
        <v>68</v>
      </c>
      <c r="K2968">
        <v>160</v>
      </c>
      <c r="L2968">
        <v>38</v>
      </c>
      <c r="M2968">
        <v>282</v>
      </c>
      <c r="N2968">
        <v>4.7</v>
      </c>
      <c r="O2968">
        <v>1.3</v>
      </c>
      <c r="P2968">
        <v>8</v>
      </c>
      <c r="Q2968">
        <f t="shared" si="90"/>
        <v>1372203</v>
      </c>
      <c r="R2968">
        <f t="shared" si="91"/>
        <v>11.660082363906797</v>
      </c>
      <c r="U2968">
        <v>260</v>
      </c>
      <c r="V2968">
        <v>0</v>
      </c>
      <c r="W2968">
        <v>603</v>
      </c>
      <c r="X2968">
        <v>243</v>
      </c>
      <c r="Y2968">
        <v>51.8</v>
      </c>
      <c r="Z2968">
        <v>35.5</v>
      </c>
      <c r="AA2968">
        <v>68</v>
      </c>
    </row>
    <row r="2969" spans="1:27" x14ac:dyDescent="0.25">
      <c r="A2969" t="s">
        <v>254</v>
      </c>
      <c r="B2969" t="s">
        <v>213</v>
      </c>
      <c r="C2969" s="76">
        <v>43955</v>
      </c>
      <c r="D2969">
        <v>2023</v>
      </c>
      <c r="E2969">
        <v>101</v>
      </c>
      <c r="F2969">
        <v>3945</v>
      </c>
      <c r="G2969">
        <v>1336</v>
      </c>
      <c r="H2969">
        <v>60.2</v>
      </c>
      <c r="I2969">
        <v>50.7</v>
      </c>
      <c r="J2969">
        <v>69.7</v>
      </c>
      <c r="K2969">
        <v>159</v>
      </c>
      <c r="L2969">
        <v>34</v>
      </c>
      <c r="M2969">
        <v>284</v>
      </c>
      <c r="N2969">
        <v>4.7</v>
      </c>
      <c r="O2969">
        <v>1.4</v>
      </c>
      <c r="P2969">
        <v>8</v>
      </c>
      <c r="Q2969">
        <f t="shared" si="90"/>
        <v>1372203</v>
      </c>
      <c r="R2969">
        <f t="shared" si="91"/>
        <v>11.587206849132381</v>
      </c>
      <c r="U2969">
        <v>276</v>
      </c>
      <c r="V2969">
        <v>0</v>
      </c>
      <c r="W2969">
        <v>643</v>
      </c>
      <c r="X2969">
        <v>218</v>
      </c>
      <c r="Y2969">
        <v>55.9</v>
      </c>
      <c r="Z2969">
        <v>39.5</v>
      </c>
      <c r="AA2969">
        <v>72.3</v>
      </c>
    </row>
    <row r="2970" spans="1:27" x14ac:dyDescent="0.25">
      <c r="A2970" t="s">
        <v>254</v>
      </c>
      <c r="B2970" t="s">
        <v>213</v>
      </c>
      <c r="C2970" s="76">
        <v>43956</v>
      </c>
      <c r="D2970">
        <v>2032</v>
      </c>
      <c r="E2970">
        <v>51</v>
      </c>
      <c r="F2970">
        <v>4012</v>
      </c>
      <c r="G2970">
        <v>1324</v>
      </c>
      <c r="H2970">
        <v>60.5</v>
      </c>
      <c r="I2970">
        <v>49.2</v>
      </c>
      <c r="J2970">
        <v>71.900000000000006</v>
      </c>
      <c r="K2970">
        <v>156</v>
      </c>
      <c r="L2970">
        <v>25</v>
      </c>
      <c r="M2970">
        <v>286</v>
      </c>
      <c r="N2970">
        <v>4.5999999999999996</v>
      </c>
      <c r="O2970">
        <v>0.8</v>
      </c>
      <c r="P2970">
        <v>8.5</v>
      </c>
      <c r="Q2970">
        <f t="shared" si="90"/>
        <v>1372203</v>
      </c>
      <c r="R2970">
        <f t="shared" si="91"/>
        <v>11.368580304809127</v>
      </c>
      <c r="U2970">
        <v>288</v>
      </c>
      <c r="V2970">
        <v>0</v>
      </c>
      <c r="W2970">
        <v>689</v>
      </c>
      <c r="X2970">
        <v>200</v>
      </c>
      <c r="Y2970">
        <v>59.1</v>
      </c>
      <c r="Z2970">
        <v>39.200000000000003</v>
      </c>
      <c r="AA2970">
        <v>79</v>
      </c>
    </row>
    <row r="2971" spans="1:27" x14ac:dyDescent="0.25">
      <c r="A2971" t="s">
        <v>254</v>
      </c>
      <c r="B2971" t="s">
        <v>213</v>
      </c>
      <c r="C2971" s="76">
        <v>43957</v>
      </c>
      <c r="D2971">
        <v>1908</v>
      </c>
      <c r="E2971">
        <v>564</v>
      </c>
      <c r="F2971">
        <v>3252</v>
      </c>
      <c r="G2971">
        <v>1429</v>
      </c>
      <c r="H2971">
        <v>57.2</v>
      </c>
      <c r="I2971">
        <v>46.7</v>
      </c>
      <c r="J2971">
        <v>67.599999999999994</v>
      </c>
      <c r="K2971">
        <v>186</v>
      </c>
      <c r="L2971">
        <v>0</v>
      </c>
      <c r="M2971">
        <v>403</v>
      </c>
      <c r="N2971">
        <v>5.6</v>
      </c>
      <c r="O2971">
        <v>0.1</v>
      </c>
      <c r="P2971">
        <v>11</v>
      </c>
      <c r="Q2971">
        <f t="shared" si="90"/>
        <v>1372203</v>
      </c>
      <c r="R2971">
        <f t="shared" si="91"/>
        <v>13.554845748041652</v>
      </c>
      <c r="U2971">
        <v>238</v>
      </c>
      <c r="V2971">
        <v>1</v>
      </c>
      <c r="W2971">
        <v>476</v>
      </c>
      <c r="X2971">
        <v>208</v>
      </c>
      <c r="Y2971">
        <v>53.4</v>
      </c>
      <c r="Z2971">
        <v>34.4</v>
      </c>
      <c r="AA2971">
        <v>72.400000000000006</v>
      </c>
    </row>
    <row r="2972" spans="1:27" x14ac:dyDescent="0.25">
      <c r="A2972" t="s">
        <v>254</v>
      </c>
      <c r="B2972" t="s">
        <v>213</v>
      </c>
      <c r="C2972" s="76">
        <v>43958</v>
      </c>
      <c r="D2972">
        <v>1873</v>
      </c>
      <c r="E2972">
        <v>705</v>
      </c>
      <c r="F2972">
        <v>3041</v>
      </c>
      <c r="G2972">
        <v>1545</v>
      </c>
      <c r="H2972">
        <v>54.8</v>
      </c>
      <c r="I2972">
        <v>45.5</v>
      </c>
      <c r="J2972">
        <v>64.099999999999994</v>
      </c>
      <c r="K2972">
        <v>239</v>
      </c>
      <c r="L2972">
        <v>47</v>
      </c>
      <c r="M2972">
        <v>431</v>
      </c>
      <c r="N2972">
        <v>7</v>
      </c>
      <c r="O2972">
        <v>2.5</v>
      </c>
      <c r="P2972">
        <v>11.5</v>
      </c>
      <c r="Q2972">
        <f t="shared" si="90"/>
        <v>1372203</v>
      </c>
      <c r="R2972">
        <f t="shared" si="91"/>
        <v>17.41724803108578</v>
      </c>
      <c r="U2972">
        <v>200</v>
      </c>
      <c r="V2972">
        <v>12</v>
      </c>
      <c r="W2972">
        <v>388</v>
      </c>
      <c r="X2972">
        <v>215</v>
      </c>
      <c r="Y2972">
        <v>48.2</v>
      </c>
      <c r="Z2972">
        <v>24.2</v>
      </c>
      <c r="AA2972">
        <v>72.3</v>
      </c>
    </row>
    <row r="2973" spans="1:27" x14ac:dyDescent="0.25">
      <c r="A2973" t="s">
        <v>254</v>
      </c>
      <c r="B2973" t="s">
        <v>213</v>
      </c>
      <c r="C2973" s="76">
        <v>43959</v>
      </c>
      <c r="D2973">
        <v>1838</v>
      </c>
      <c r="E2973">
        <v>702</v>
      </c>
      <c r="F2973">
        <v>2973</v>
      </c>
      <c r="G2973">
        <v>1556</v>
      </c>
      <c r="H2973">
        <v>54.2</v>
      </c>
      <c r="I2973">
        <v>44.8</v>
      </c>
      <c r="J2973">
        <v>63.5</v>
      </c>
      <c r="K2973">
        <v>228</v>
      </c>
      <c r="L2973">
        <v>53</v>
      </c>
      <c r="M2973">
        <v>404</v>
      </c>
      <c r="N2973">
        <v>6.7</v>
      </c>
      <c r="O2973">
        <v>2.8</v>
      </c>
      <c r="P2973">
        <v>10.6</v>
      </c>
      <c r="Q2973">
        <f t="shared" si="90"/>
        <v>1372203</v>
      </c>
      <c r="R2973">
        <f t="shared" si="91"/>
        <v>16.615617368567186</v>
      </c>
      <c r="U2973">
        <v>176</v>
      </c>
      <c r="V2973">
        <v>15</v>
      </c>
      <c r="W2973">
        <v>336</v>
      </c>
      <c r="X2973">
        <v>233</v>
      </c>
      <c r="Y2973">
        <v>43</v>
      </c>
      <c r="Z2973">
        <v>24</v>
      </c>
      <c r="AA2973">
        <v>61.9</v>
      </c>
    </row>
    <row r="2974" spans="1:27" x14ac:dyDescent="0.25">
      <c r="A2974" t="s">
        <v>254</v>
      </c>
      <c r="B2974" t="s">
        <v>213</v>
      </c>
      <c r="C2974" s="76">
        <v>43960</v>
      </c>
      <c r="D2974">
        <v>1828</v>
      </c>
      <c r="E2974">
        <v>709</v>
      </c>
      <c r="F2974">
        <v>2947</v>
      </c>
      <c r="G2974">
        <v>1560</v>
      </c>
      <c r="H2974">
        <v>54</v>
      </c>
      <c r="I2974">
        <v>45.4</v>
      </c>
      <c r="J2974">
        <v>62.5</v>
      </c>
      <c r="K2974">
        <v>227</v>
      </c>
      <c r="L2974">
        <v>53</v>
      </c>
      <c r="M2974">
        <v>401</v>
      </c>
      <c r="N2974">
        <v>6.7</v>
      </c>
      <c r="O2974">
        <v>2.9</v>
      </c>
      <c r="P2974">
        <v>10.5</v>
      </c>
      <c r="Q2974">
        <f t="shared" si="90"/>
        <v>1372203</v>
      </c>
      <c r="R2974">
        <f t="shared" si="91"/>
        <v>16.542741853792769</v>
      </c>
      <c r="U2974">
        <v>188</v>
      </c>
      <c r="V2974">
        <v>33</v>
      </c>
      <c r="W2974">
        <v>343</v>
      </c>
      <c r="X2974">
        <v>225</v>
      </c>
      <c r="Y2974">
        <v>45.5</v>
      </c>
      <c r="Z2974">
        <v>30.5</v>
      </c>
      <c r="AA2974">
        <v>60.5</v>
      </c>
    </row>
    <row r="2975" spans="1:27" x14ac:dyDescent="0.25">
      <c r="A2975" t="s">
        <v>254</v>
      </c>
      <c r="B2975" t="s">
        <v>213</v>
      </c>
      <c r="C2975" s="76">
        <v>43961</v>
      </c>
      <c r="D2975">
        <v>1829</v>
      </c>
      <c r="E2975">
        <v>709</v>
      </c>
      <c r="F2975">
        <v>2949</v>
      </c>
      <c r="G2975">
        <v>1562</v>
      </c>
      <c r="H2975">
        <v>53.9</v>
      </c>
      <c r="I2975">
        <v>45.9</v>
      </c>
      <c r="J2975">
        <v>62</v>
      </c>
      <c r="K2975">
        <v>218</v>
      </c>
      <c r="L2975">
        <v>46</v>
      </c>
      <c r="M2975">
        <v>390</v>
      </c>
      <c r="N2975">
        <v>6.4</v>
      </c>
      <c r="O2975">
        <v>2.6</v>
      </c>
      <c r="P2975">
        <v>10.3</v>
      </c>
      <c r="Q2975">
        <f t="shared" si="90"/>
        <v>1372203</v>
      </c>
      <c r="R2975">
        <f t="shared" si="91"/>
        <v>15.886862220823012</v>
      </c>
      <c r="U2975">
        <v>186</v>
      </c>
      <c r="V2975">
        <v>37</v>
      </c>
      <c r="W2975">
        <v>335</v>
      </c>
      <c r="X2975">
        <v>227</v>
      </c>
      <c r="Y2975">
        <v>45</v>
      </c>
      <c r="Z2975">
        <v>30.1</v>
      </c>
      <c r="AA2975">
        <v>59.8</v>
      </c>
    </row>
    <row r="2976" spans="1:27" x14ac:dyDescent="0.25">
      <c r="A2976" t="s">
        <v>254</v>
      </c>
      <c r="B2976" t="s">
        <v>213</v>
      </c>
      <c r="C2976" s="76">
        <v>43962</v>
      </c>
      <c r="D2976">
        <v>1867</v>
      </c>
      <c r="E2976">
        <v>737</v>
      </c>
      <c r="F2976">
        <v>2996</v>
      </c>
      <c r="G2976">
        <v>1524</v>
      </c>
      <c r="H2976">
        <v>55.1</v>
      </c>
      <c r="I2976">
        <v>47.2</v>
      </c>
      <c r="J2976">
        <v>62.9</v>
      </c>
      <c r="K2976">
        <v>219</v>
      </c>
      <c r="L2976">
        <v>53</v>
      </c>
      <c r="M2976">
        <v>386</v>
      </c>
      <c r="N2976">
        <v>6.5</v>
      </c>
      <c r="O2976">
        <v>3</v>
      </c>
      <c r="P2976">
        <v>10</v>
      </c>
      <c r="Q2976">
        <f t="shared" si="90"/>
        <v>1372203</v>
      </c>
      <c r="R2976">
        <f t="shared" si="91"/>
        <v>15.959737735597431</v>
      </c>
      <c r="U2976">
        <v>180</v>
      </c>
      <c r="V2976">
        <v>28</v>
      </c>
      <c r="W2976">
        <v>332</v>
      </c>
      <c r="X2976">
        <v>233</v>
      </c>
      <c r="Y2976">
        <v>43.5</v>
      </c>
      <c r="Z2976">
        <v>27.5</v>
      </c>
      <c r="AA2976">
        <v>59.6</v>
      </c>
    </row>
    <row r="2977" spans="1:27" x14ac:dyDescent="0.25">
      <c r="A2977" t="s">
        <v>254</v>
      </c>
      <c r="B2977" t="s">
        <v>213</v>
      </c>
      <c r="C2977" s="76">
        <v>43963</v>
      </c>
      <c r="D2977">
        <v>1922</v>
      </c>
      <c r="E2977">
        <v>745</v>
      </c>
      <c r="F2977">
        <v>3098</v>
      </c>
      <c r="G2977">
        <v>1499</v>
      </c>
      <c r="H2977">
        <v>56.2</v>
      </c>
      <c r="I2977">
        <v>47.3</v>
      </c>
      <c r="J2977">
        <v>65</v>
      </c>
      <c r="K2977">
        <v>217</v>
      </c>
      <c r="L2977">
        <v>44</v>
      </c>
      <c r="M2977">
        <v>389</v>
      </c>
      <c r="N2977">
        <v>6.3</v>
      </c>
      <c r="O2977">
        <v>2.5</v>
      </c>
      <c r="P2977">
        <v>10.199999999999999</v>
      </c>
      <c r="Q2977">
        <f t="shared" si="90"/>
        <v>1372203</v>
      </c>
      <c r="R2977">
        <f t="shared" si="91"/>
        <v>15.813986706048595</v>
      </c>
      <c r="U2977">
        <v>184</v>
      </c>
      <c r="V2977">
        <v>24</v>
      </c>
      <c r="W2977">
        <v>345</v>
      </c>
      <c r="X2977">
        <v>228</v>
      </c>
      <c r="Y2977">
        <v>44.7</v>
      </c>
      <c r="Z2977">
        <v>27.9</v>
      </c>
      <c r="AA2977">
        <v>61.6</v>
      </c>
    </row>
    <row r="2978" spans="1:27" x14ac:dyDescent="0.25">
      <c r="A2978" t="s">
        <v>254</v>
      </c>
      <c r="B2978" t="s">
        <v>213</v>
      </c>
      <c r="C2978" s="76">
        <v>43964</v>
      </c>
      <c r="D2978">
        <v>1970</v>
      </c>
      <c r="E2978">
        <v>726</v>
      </c>
      <c r="F2978">
        <v>3213</v>
      </c>
      <c r="G2978">
        <v>1362</v>
      </c>
      <c r="H2978">
        <v>59.1</v>
      </c>
      <c r="I2978">
        <v>50.6</v>
      </c>
      <c r="J2978">
        <v>67.599999999999994</v>
      </c>
      <c r="K2978">
        <v>158</v>
      </c>
      <c r="L2978">
        <v>33</v>
      </c>
      <c r="M2978">
        <v>284</v>
      </c>
      <c r="N2978">
        <v>4.7</v>
      </c>
      <c r="O2978">
        <v>2.2000000000000002</v>
      </c>
      <c r="P2978">
        <v>7.3</v>
      </c>
      <c r="Q2978">
        <f t="shared" si="90"/>
        <v>1372203</v>
      </c>
      <c r="R2978">
        <f t="shared" si="91"/>
        <v>11.514331334357964</v>
      </c>
      <c r="U2978">
        <v>191</v>
      </c>
      <c r="V2978">
        <v>23</v>
      </c>
      <c r="W2978">
        <v>359</v>
      </c>
      <c r="X2978">
        <v>223</v>
      </c>
      <c r="Y2978">
        <v>46.2</v>
      </c>
      <c r="Z2978">
        <v>26.6</v>
      </c>
      <c r="AA2978">
        <v>65.7</v>
      </c>
    </row>
    <row r="2979" spans="1:27" x14ac:dyDescent="0.25">
      <c r="A2979" t="s">
        <v>254</v>
      </c>
      <c r="B2979" t="s">
        <v>213</v>
      </c>
      <c r="C2979" s="76">
        <v>43965</v>
      </c>
      <c r="D2979">
        <v>1926</v>
      </c>
      <c r="E2979">
        <v>702</v>
      </c>
      <c r="F2979">
        <v>3150</v>
      </c>
      <c r="G2979">
        <v>1406</v>
      </c>
      <c r="H2979">
        <v>57.8</v>
      </c>
      <c r="I2979">
        <v>49.2</v>
      </c>
      <c r="J2979">
        <v>66.400000000000006</v>
      </c>
      <c r="K2979">
        <v>139</v>
      </c>
      <c r="L2979">
        <v>35</v>
      </c>
      <c r="M2979">
        <v>243</v>
      </c>
      <c r="N2979">
        <v>4.2</v>
      </c>
      <c r="O2979">
        <v>2.4</v>
      </c>
      <c r="P2979">
        <v>6</v>
      </c>
      <c r="Q2979">
        <f t="shared" si="90"/>
        <v>1372203</v>
      </c>
      <c r="R2979">
        <f t="shared" si="91"/>
        <v>10.129696553644031</v>
      </c>
      <c r="U2979">
        <v>193</v>
      </c>
      <c r="V2979">
        <v>29</v>
      </c>
      <c r="W2979">
        <v>357</v>
      </c>
      <c r="X2979">
        <v>209</v>
      </c>
      <c r="Y2979">
        <v>48</v>
      </c>
      <c r="Z2979">
        <v>28.6</v>
      </c>
      <c r="AA2979">
        <v>67.400000000000006</v>
      </c>
    </row>
    <row r="2980" spans="1:27" x14ac:dyDescent="0.25">
      <c r="A2980" t="s">
        <v>254</v>
      </c>
      <c r="B2980" t="s">
        <v>213</v>
      </c>
      <c r="C2980" s="76">
        <v>43966</v>
      </c>
      <c r="D2980">
        <v>1946</v>
      </c>
      <c r="E2980">
        <v>733</v>
      </c>
      <c r="F2980">
        <v>3159</v>
      </c>
      <c r="G2980">
        <v>1447</v>
      </c>
      <c r="H2980">
        <v>57.3</v>
      </c>
      <c r="I2980">
        <v>49.3</v>
      </c>
      <c r="J2980">
        <v>65.400000000000006</v>
      </c>
      <c r="K2980">
        <v>180</v>
      </c>
      <c r="L2980">
        <v>48</v>
      </c>
      <c r="M2980">
        <v>311</v>
      </c>
      <c r="N2980">
        <v>5.3</v>
      </c>
      <c r="O2980">
        <v>2.7</v>
      </c>
      <c r="P2980">
        <v>7.9</v>
      </c>
      <c r="Q2980">
        <f t="shared" si="90"/>
        <v>1372203</v>
      </c>
      <c r="R2980">
        <f t="shared" si="91"/>
        <v>13.117592659395147</v>
      </c>
      <c r="U2980">
        <v>202</v>
      </c>
      <c r="V2980">
        <v>31</v>
      </c>
      <c r="W2980">
        <v>372</v>
      </c>
      <c r="X2980">
        <v>200</v>
      </c>
      <c r="Y2980">
        <v>50.3</v>
      </c>
      <c r="Z2980">
        <v>30.6</v>
      </c>
      <c r="AA2980">
        <v>69.900000000000006</v>
      </c>
    </row>
    <row r="2981" spans="1:27" x14ac:dyDescent="0.25">
      <c r="A2981" t="s">
        <v>254</v>
      </c>
      <c r="B2981" t="s">
        <v>213</v>
      </c>
      <c r="C2981" s="76">
        <v>43967</v>
      </c>
      <c r="D2981">
        <v>1930</v>
      </c>
      <c r="E2981">
        <v>716</v>
      </c>
      <c r="F2981">
        <v>3143</v>
      </c>
      <c r="G2981">
        <v>1458</v>
      </c>
      <c r="H2981">
        <v>57</v>
      </c>
      <c r="I2981">
        <v>48.7</v>
      </c>
      <c r="J2981">
        <v>65.2</v>
      </c>
      <c r="K2981">
        <v>197</v>
      </c>
      <c r="L2981">
        <v>53</v>
      </c>
      <c r="M2981">
        <v>340</v>
      </c>
      <c r="N2981">
        <v>5.8</v>
      </c>
      <c r="O2981">
        <v>3.1</v>
      </c>
      <c r="P2981">
        <v>8.5</v>
      </c>
      <c r="Q2981">
        <f t="shared" si="90"/>
        <v>1372203</v>
      </c>
      <c r="R2981">
        <f t="shared" si="91"/>
        <v>14.356476410560246</v>
      </c>
      <c r="U2981">
        <v>206</v>
      </c>
      <c r="V2981">
        <v>35</v>
      </c>
      <c r="W2981">
        <v>378</v>
      </c>
      <c r="X2981">
        <v>195</v>
      </c>
      <c r="Y2981">
        <v>51.4</v>
      </c>
      <c r="Z2981">
        <v>32.299999999999997</v>
      </c>
      <c r="AA2981">
        <v>70.400000000000006</v>
      </c>
    </row>
    <row r="2982" spans="1:27" x14ac:dyDescent="0.25">
      <c r="A2982" t="s">
        <v>254</v>
      </c>
      <c r="B2982" t="s">
        <v>213</v>
      </c>
      <c r="C2982" s="76">
        <v>43968</v>
      </c>
      <c r="D2982">
        <v>1929</v>
      </c>
      <c r="E2982">
        <v>740</v>
      </c>
      <c r="F2982">
        <v>3117</v>
      </c>
      <c r="G2982">
        <v>1458</v>
      </c>
      <c r="H2982">
        <v>57</v>
      </c>
      <c r="I2982">
        <v>49</v>
      </c>
      <c r="J2982">
        <v>64.900000000000006</v>
      </c>
      <c r="K2982">
        <v>189</v>
      </c>
      <c r="L2982">
        <v>49</v>
      </c>
      <c r="M2982">
        <v>329</v>
      </c>
      <c r="N2982">
        <v>5.6</v>
      </c>
      <c r="O2982">
        <v>2.9</v>
      </c>
      <c r="P2982">
        <v>8.3000000000000007</v>
      </c>
      <c r="Q2982">
        <f t="shared" si="90"/>
        <v>1372203</v>
      </c>
      <c r="R2982">
        <f t="shared" si="91"/>
        <v>13.773472292364906</v>
      </c>
      <c r="U2982">
        <v>203</v>
      </c>
      <c r="V2982">
        <v>36</v>
      </c>
      <c r="W2982">
        <v>370</v>
      </c>
      <c r="X2982">
        <v>197</v>
      </c>
      <c r="Y2982">
        <v>50.7</v>
      </c>
      <c r="Z2982">
        <v>31.6</v>
      </c>
      <c r="AA2982">
        <v>69.8</v>
      </c>
    </row>
    <row r="2983" spans="1:27" x14ac:dyDescent="0.25">
      <c r="A2983" t="s">
        <v>254</v>
      </c>
      <c r="B2983" t="s">
        <v>213</v>
      </c>
      <c r="C2983" s="76">
        <v>43969</v>
      </c>
      <c r="D2983">
        <v>1930</v>
      </c>
      <c r="E2983">
        <v>749</v>
      </c>
      <c r="F2983">
        <v>3112</v>
      </c>
      <c r="G2983">
        <v>1474</v>
      </c>
      <c r="H2983">
        <v>56.7</v>
      </c>
      <c r="I2983">
        <v>48.9</v>
      </c>
      <c r="J2983">
        <v>64.599999999999994</v>
      </c>
      <c r="K2983">
        <v>164</v>
      </c>
      <c r="L2983">
        <v>47</v>
      </c>
      <c r="M2983">
        <v>282</v>
      </c>
      <c r="N2983">
        <v>4.8</v>
      </c>
      <c r="O2983">
        <v>2.7</v>
      </c>
      <c r="P2983">
        <v>7</v>
      </c>
      <c r="Q2983">
        <f t="shared" ref="Q2983:Q3046" si="92">VLOOKUP(B2983,$AE$4:$AF$55,2,FALSE)</f>
        <v>1372203</v>
      </c>
      <c r="R2983">
        <f t="shared" si="91"/>
        <v>11.951584423004467</v>
      </c>
      <c r="U2983">
        <v>200</v>
      </c>
      <c r="V2983">
        <v>42</v>
      </c>
      <c r="W2983">
        <v>357</v>
      </c>
      <c r="X2983">
        <v>198</v>
      </c>
      <c r="Y2983">
        <v>50.2</v>
      </c>
      <c r="Z2983">
        <v>32.700000000000003</v>
      </c>
      <c r="AA2983">
        <v>67.8</v>
      </c>
    </row>
    <row r="2984" spans="1:27" x14ac:dyDescent="0.25">
      <c r="A2984" t="s">
        <v>254</v>
      </c>
      <c r="B2984" t="s">
        <v>213</v>
      </c>
      <c r="C2984" s="76">
        <v>43970</v>
      </c>
      <c r="D2984">
        <v>2066</v>
      </c>
      <c r="E2984">
        <v>801</v>
      </c>
      <c r="F2984">
        <v>3331</v>
      </c>
      <c r="G2984">
        <v>1333</v>
      </c>
      <c r="H2984">
        <v>60.8</v>
      </c>
      <c r="I2984">
        <v>52.4</v>
      </c>
      <c r="J2984">
        <v>69.2</v>
      </c>
      <c r="K2984">
        <v>153</v>
      </c>
      <c r="L2984">
        <v>42</v>
      </c>
      <c r="M2984">
        <v>265</v>
      </c>
      <c r="N2984">
        <v>4.5</v>
      </c>
      <c r="O2984">
        <v>2.4</v>
      </c>
      <c r="P2984">
        <v>6.7</v>
      </c>
      <c r="Q2984">
        <f t="shared" si="92"/>
        <v>1372203</v>
      </c>
      <c r="R2984">
        <f t="shared" si="91"/>
        <v>11.149953760485875</v>
      </c>
      <c r="U2984">
        <v>204</v>
      </c>
      <c r="V2984">
        <v>40</v>
      </c>
      <c r="W2984">
        <v>369</v>
      </c>
      <c r="X2984">
        <v>192</v>
      </c>
      <c r="Y2984">
        <v>51.5</v>
      </c>
      <c r="Z2984">
        <v>34.5</v>
      </c>
      <c r="AA2984">
        <v>68.5</v>
      </c>
    </row>
    <row r="2985" spans="1:27" x14ac:dyDescent="0.25">
      <c r="A2985" t="s">
        <v>254</v>
      </c>
      <c r="B2985" t="s">
        <v>213</v>
      </c>
      <c r="C2985" s="76">
        <v>43971</v>
      </c>
      <c r="D2985">
        <v>2041</v>
      </c>
      <c r="E2985">
        <v>791</v>
      </c>
      <c r="F2985">
        <v>3290</v>
      </c>
      <c r="G2985">
        <v>1356</v>
      </c>
      <c r="H2985">
        <v>60.1</v>
      </c>
      <c r="I2985">
        <v>51.8</v>
      </c>
      <c r="J2985">
        <v>68.400000000000006</v>
      </c>
      <c r="K2985">
        <v>140</v>
      </c>
      <c r="L2985">
        <v>44</v>
      </c>
      <c r="M2985">
        <v>236</v>
      </c>
      <c r="N2985">
        <v>4.0999999999999996</v>
      </c>
      <c r="O2985">
        <v>2.4</v>
      </c>
      <c r="P2985">
        <v>5.9</v>
      </c>
      <c r="Q2985">
        <f t="shared" si="92"/>
        <v>1372203</v>
      </c>
      <c r="R2985">
        <f t="shared" si="91"/>
        <v>10.20257206841845</v>
      </c>
      <c r="U2985">
        <v>217</v>
      </c>
      <c r="V2985">
        <v>40</v>
      </c>
      <c r="W2985">
        <v>393</v>
      </c>
      <c r="X2985">
        <v>182</v>
      </c>
      <c r="Y2985">
        <v>54.3</v>
      </c>
      <c r="Z2985">
        <v>34.5</v>
      </c>
      <c r="AA2985">
        <v>74.2</v>
      </c>
    </row>
    <row r="2986" spans="1:27" x14ac:dyDescent="0.25">
      <c r="A2986" t="s">
        <v>254</v>
      </c>
      <c r="B2986" t="s">
        <v>213</v>
      </c>
      <c r="C2986" s="76">
        <v>43972</v>
      </c>
      <c r="D2986">
        <v>2000</v>
      </c>
      <c r="E2986">
        <v>729</v>
      </c>
      <c r="F2986">
        <v>3271</v>
      </c>
      <c r="G2986">
        <v>1286</v>
      </c>
      <c r="H2986">
        <v>60.9</v>
      </c>
      <c r="I2986">
        <v>52</v>
      </c>
      <c r="J2986">
        <v>69.7</v>
      </c>
      <c r="K2986">
        <v>119</v>
      </c>
      <c r="L2986">
        <v>30</v>
      </c>
      <c r="M2986">
        <v>207</v>
      </c>
      <c r="N2986">
        <v>3.6</v>
      </c>
      <c r="O2986">
        <v>1.8</v>
      </c>
      <c r="P2986">
        <v>5.4</v>
      </c>
      <c r="Q2986">
        <f t="shared" si="92"/>
        <v>1372203</v>
      </c>
      <c r="R2986">
        <f t="shared" si="91"/>
        <v>8.6721862581556817</v>
      </c>
      <c r="U2986">
        <v>208</v>
      </c>
      <c r="V2986">
        <v>31</v>
      </c>
      <c r="W2986">
        <v>385</v>
      </c>
      <c r="X2986">
        <v>189</v>
      </c>
      <c r="Y2986">
        <v>52.4</v>
      </c>
      <c r="Z2986">
        <v>34.200000000000003</v>
      </c>
      <c r="AA2986">
        <v>70.7</v>
      </c>
    </row>
    <row r="2987" spans="1:27" x14ac:dyDescent="0.25">
      <c r="A2987" t="s">
        <v>254</v>
      </c>
      <c r="B2987" t="s">
        <v>213</v>
      </c>
      <c r="C2987" s="76">
        <v>43973</v>
      </c>
      <c r="D2987">
        <v>2000</v>
      </c>
      <c r="E2987">
        <v>718</v>
      </c>
      <c r="F2987">
        <v>3283</v>
      </c>
      <c r="G2987">
        <v>1290</v>
      </c>
      <c r="H2987">
        <v>60.8</v>
      </c>
      <c r="I2987">
        <v>51.2</v>
      </c>
      <c r="J2987">
        <v>70.400000000000006</v>
      </c>
      <c r="K2987">
        <v>114</v>
      </c>
      <c r="L2987">
        <v>29</v>
      </c>
      <c r="M2987">
        <v>199</v>
      </c>
      <c r="N2987">
        <v>3.5</v>
      </c>
      <c r="O2987">
        <v>1.7</v>
      </c>
      <c r="P2987">
        <v>5.3</v>
      </c>
      <c r="Q2987">
        <f t="shared" si="92"/>
        <v>1372203</v>
      </c>
      <c r="R2987">
        <f t="shared" si="91"/>
        <v>8.307808684283593</v>
      </c>
      <c r="U2987">
        <v>206</v>
      </c>
      <c r="V2987">
        <v>31</v>
      </c>
      <c r="W2987">
        <v>380</v>
      </c>
      <c r="X2987">
        <v>192</v>
      </c>
      <c r="Y2987">
        <v>51.7</v>
      </c>
      <c r="Z2987">
        <v>32.5</v>
      </c>
      <c r="AA2987">
        <v>70.8</v>
      </c>
    </row>
    <row r="2988" spans="1:27" x14ac:dyDescent="0.25">
      <c r="A2988" t="s">
        <v>254</v>
      </c>
      <c r="B2988" t="s">
        <v>213</v>
      </c>
      <c r="C2988" s="76">
        <v>43974</v>
      </c>
      <c r="D2988">
        <v>1970</v>
      </c>
      <c r="E2988">
        <v>698</v>
      </c>
      <c r="F2988">
        <v>3242</v>
      </c>
      <c r="G2988">
        <v>1303</v>
      </c>
      <c r="H2988">
        <v>60.2</v>
      </c>
      <c r="I2988">
        <v>50.9</v>
      </c>
      <c r="J2988">
        <v>69.5</v>
      </c>
      <c r="K2988">
        <v>118</v>
      </c>
      <c r="L2988">
        <v>31</v>
      </c>
      <c r="M2988">
        <v>205</v>
      </c>
      <c r="N2988">
        <v>3.6</v>
      </c>
      <c r="O2988">
        <v>1.9</v>
      </c>
      <c r="P2988">
        <v>5.4</v>
      </c>
      <c r="Q2988">
        <f t="shared" si="92"/>
        <v>1372203</v>
      </c>
      <c r="R2988">
        <f t="shared" si="91"/>
        <v>8.5993107433812632</v>
      </c>
      <c r="U2988">
        <v>184</v>
      </c>
      <c r="V2988">
        <v>20</v>
      </c>
      <c r="W2988">
        <v>348</v>
      </c>
      <c r="X2988">
        <v>205</v>
      </c>
      <c r="Y2988">
        <v>47.3</v>
      </c>
      <c r="Z2988">
        <v>27.4</v>
      </c>
      <c r="AA2988">
        <v>67.099999999999994</v>
      </c>
    </row>
    <row r="2989" spans="1:27" x14ac:dyDescent="0.25">
      <c r="A2989" t="s">
        <v>254</v>
      </c>
      <c r="B2989" t="s">
        <v>213</v>
      </c>
      <c r="C2989" s="76">
        <v>43975</v>
      </c>
      <c r="D2989">
        <v>1878</v>
      </c>
      <c r="E2989">
        <v>655</v>
      </c>
      <c r="F2989">
        <v>3101</v>
      </c>
      <c r="G2989">
        <v>1431</v>
      </c>
      <c r="H2989">
        <v>56.7</v>
      </c>
      <c r="I2989">
        <v>46.9</v>
      </c>
      <c r="J2989">
        <v>66.599999999999994</v>
      </c>
      <c r="K2989">
        <v>108</v>
      </c>
      <c r="L2989">
        <v>27</v>
      </c>
      <c r="M2989">
        <v>189</v>
      </c>
      <c r="N2989">
        <v>3.3</v>
      </c>
      <c r="O2989">
        <v>1.7</v>
      </c>
      <c r="P2989">
        <v>4.9000000000000004</v>
      </c>
      <c r="Q2989">
        <f t="shared" si="92"/>
        <v>1372203</v>
      </c>
      <c r="R2989">
        <f t="shared" si="91"/>
        <v>7.8705555956370894</v>
      </c>
      <c r="U2989">
        <v>179</v>
      </c>
      <c r="V2989">
        <v>20</v>
      </c>
      <c r="W2989">
        <v>339</v>
      </c>
      <c r="X2989">
        <v>210</v>
      </c>
      <c r="Y2989">
        <v>46</v>
      </c>
      <c r="Z2989">
        <v>25.9</v>
      </c>
      <c r="AA2989">
        <v>66.2</v>
      </c>
    </row>
    <row r="2990" spans="1:27" x14ac:dyDescent="0.25">
      <c r="A2990" t="s">
        <v>254</v>
      </c>
      <c r="B2990" t="s">
        <v>213</v>
      </c>
      <c r="C2990" s="76">
        <v>43976</v>
      </c>
      <c r="D2990">
        <v>1924</v>
      </c>
      <c r="E2990">
        <v>678</v>
      </c>
      <c r="F2990">
        <v>3170</v>
      </c>
      <c r="G2990">
        <v>1377</v>
      </c>
      <c r="H2990">
        <v>58.3</v>
      </c>
      <c r="I2990">
        <v>47.7</v>
      </c>
      <c r="J2990">
        <v>68.8</v>
      </c>
      <c r="K2990">
        <v>114</v>
      </c>
      <c r="L2990">
        <v>27</v>
      </c>
      <c r="M2990">
        <v>200</v>
      </c>
      <c r="N2990">
        <v>3.4</v>
      </c>
      <c r="O2990">
        <v>1.7</v>
      </c>
      <c r="P2990">
        <v>5.2</v>
      </c>
      <c r="Q2990">
        <f t="shared" si="92"/>
        <v>1372203</v>
      </c>
      <c r="R2990">
        <f t="shared" si="91"/>
        <v>8.307808684283593</v>
      </c>
      <c r="U2990">
        <v>187</v>
      </c>
      <c r="V2990">
        <v>26</v>
      </c>
      <c r="W2990">
        <v>347</v>
      </c>
      <c r="X2990">
        <v>200</v>
      </c>
      <c r="Y2990">
        <v>48.3</v>
      </c>
      <c r="Z2990">
        <v>28.6</v>
      </c>
      <c r="AA2990">
        <v>68</v>
      </c>
    </row>
    <row r="2991" spans="1:27" x14ac:dyDescent="0.25">
      <c r="A2991" t="s">
        <v>254</v>
      </c>
      <c r="B2991" t="s">
        <v>213</v>
      </c>
      <c r="C2991" s="76">
        <v>43977</v>
      </c>
      <c r="D2991">
        <v>1988</v>
      </c>
      <c r="E2991">
        <v>726</v>
      </c>
      <c r="F2991">
        <v>3250</v>
      </c>
      <c r="G2991">
        <v>1290</v>
      </c>
      <c r="H2991">
        <v>60.7</v>
      </c>
      <c r="I2991">
        <v>51</v>
      </c>
      <c r="J2991">
        <v>70.3</v>
      </c>
      <c r="K2991">
        <v>117</v>
      </c>
      <c r="L2991">
        <v>21</v>
      </c>
      <c r="M2991">
        <v>212</v>
      </c>
      <c r="N2991">
        <v>3.6</v>
      </c>
      <c r="O2991">
        <v>1.4</v>
      </c>
      <c r="P2991">
        <v>5.7</v>
      </c>
      <c r="Q2991">
        <f t="shared" si="92"/>
        <v>1372203</v>
      </c>
      <c r="R2991">
        <f t="shared" si="91"/>
        <v>8.5264352286068448</v>
      </c>
      <c r="U2991">
        <v>198</v>
      </c>
      <c r="V2991">
        <v>33</v>
      </c>
      <c r="W2991">
        <v>362</v>
      </c>
      <c r="X2991">
        <v>137</v>
      </c>
      <c r="Y2991">
        <v>59</v>
      </c>
      <c r="Z2991">
        <v>43.2</v>
      </c>
      <c r="AA2991">
        <v>74.8</v>
      </c>
    </row>
    <row r="2992" spans="1:27" x14ac:dyDescent="0.25">
      <c r="A2992" t="s">
        <v>254</v>
      </c>
      <c r="B2992" t="s">
        <v>213</v>
      </c>
      <c r="C2992" s="76">
        <v>43978</v>
      </c>
      <c r="D2992">
        <v>2061</v>
      </c>
      <c r="E2992">
        <v>758</v>
      </c>
      <c r="F2992">
        <v>3363</v>
      </c>
      <c r="G2992">
        <v>1286</v>
      </c>
      <c r="H2992">
        <v>61.6</v>
      </c>
      <c r="I2992">
        <v>52.7</v>
      </c>
      <c r="J2992">
        <v>70.400000000000006</v>
      </c>
      <c r="K2992">
        <v>144</v>
      </c>
      <c r="L2992">
        <v>33</v>
      </c>
      <c r="M2992">
        <v>254</v>
      </c>
      <c r="N2992">
        <v>4.3</v>
      </c>
      <c r="O2992">
        <v>1.9</v>
      </c>
      <c r="P2992">
        <v>6.7</v>
      </c>
      <c r="Q2992">
        <f t="shared" si="92"/>
        <v>1372203</v>
      </c>
      <c r="R2992">
        <f t="shared" si="91"/>
        <v>10.49407412751612</v>
      </c>
      <c r="U2992">
        <v>209</v>
      </c>
      <c r="V2992">
        <v>34</v>
      </c>
      <c r="W2992">
        <v>385</v>
      </c>
      <c r="X2992">
        <v>180</v>
      </c>
      <c r="Y2992">
        <v>53.8</v>
      </c>
      <c r="Z2992">
        <v>34.200000000000003</v>
      </c>
      <c r="AA2992">
        <v>73.400000000000006</v>
      </c>
    </row>
    <row r="2993" spans="1:27" x14ac:dyDescent="0.25">
      <c r="A2993" t="s">
        <v>254</v>
      </c>
      <c r="B2993" t="s">
        <v>213</v>
      </c>
      <c r="C2993" s="76">
        <v>43979</v>
      </c>
      <c r="D2993">
        <v>2198</v>
      </c>
      <c r="E2993">
        <v>801</v>
      </c>
      <c r="F2993">
        <v>3595</v>
      </c>
      <c r="G2993">
        <v>1153</v>
      </c>
      <c r="H2993">
        <v>65.599999999999994</v>
      </c>
      <c r="I2993">
        <v>57</v>
      </c>
      <c r="J2993">
        <v>74.2</v>
      </c>
      <c r="K2993">
        <v>224</v>
      </c>
      <c r="L2993">
        <v>39</v>
      </c>
      <c r="M2993">
        <v>409</v>
      </c>
      <c r="N2993">
        <v>6.7</v>
      </c>
      <c r="O2993">
        <v>2.7</v>
      </c>
      <c r="P2993">
        <v>10.7</v>
      </c>
      <c r="Q2993">
        <f t="shared" si="92"/>
        <v>1372203</v>
      </c>
      <c r="R2993">
        <f t="shared" si="91"/>
        <v>16.324115309469519</v>
      </c>
      <c r="U2993">
        <v>220</v>
      </c>
      <c r="V2993">
        <v>42</v>
      </c>
      <c r="W2993">
        <v>399</v>
      </c>
      <c r="X2993">
        <v>163</v>
      </c>
      <c r="Y2993">
        <v>57.5</v>
      </c>
      <c r="Z2993">
        <v>35.4</v>
      </c>
      <c r="AA2993">
        <v>79.599999999999994</v>
      </c>
    </row>
    <row r="2994" spans="1:27" x14ac:dyDescent="0.25">
      <c r="A2994" t="s">
        <v>254</v>
      </c>
      <c r="B2994" t="s">
        <v>213</v>
      </c>
      <c r="C2994" s="76">
        <v>43980</v>
      </c>
      <c r="D2994">
        <v>2149</v>
      </c>
      <c r="E2994">
        <v>819</v>
      </c>
      <c r="F2994">
        <v>3479</v>
      </c>
      <c r="G2994">
        <v>1225</v>
      </c>
      <c r="H2994">
        <v>63.7</v>
      </c>
      <c r="I2994">
        <v>55.4</v>
      </c>
      <c r="J2994">
        <v>72</v>
      </c>
      <c r="K2994">
        <v>166</v>
      </c>
      <c r="L2994">
        <v>45</v>
      </c>
      <c r="M2994">
        <v>288</v>
      </c>
      <c r="N2994">
        <v>4.9000000000000004</v>
      </c>
      <c r="O2994">
        <v>2.5</v>
      </c>
      <c r="P2994">
        <v>7.3</v>
      </c>
      <c r="Q2994">
        <f t="shared" si="92"/>
        <v>1372203</v>
      </c>
      <c r="R2994">
        <f t="shared" si="91"/>
        <v>12.097335452553303</v>
      </c>
      <c r="U2994">
        <v>217</v>
      </c>
      <c r="V2994">
        <v>36</v>
      </c>
      <c r="W2994">
        <v>399</v>
      </c>
      <c r="X2994">
        <v>166</v>
      </c>
      <c r="Y2994">
        <v>56.7</v>
      </c>
      <c r="Z2994">
        <v>36.5</v>
      </c>
      <c r="AA2994">
        <v>77</v>
      </c>
    </row>
    <row r="2995" spans="1:27" x14ac:dyDescent="0.25">
      <c r="A2995" t="s">
        <v>254</v>
      </c>
      <c r="B2995" t="s">
        <v>213</v>
      </c>
      <c r="C2995" s="76">
        <v>43981</v>
      </c>
      <c r="D2995">
        <v>2013</v>
      </c>
      <c r="E2995">
        <v>747</v>
      </c>
      <c r="F2995">
        <v>3279</v>
      </c>
      <c r="G2995">
        <v>1357</v>
      </c>
      <c r="H2995">
        <v>59.7</v>
      </c>
      <c r="I2995">
        <v>50.5</v>
      </c>
      <c r="J2995">
        <v>68.900000000000006</v>
      </c>
      <c r="K2995">
        <v>149</v>
      </c>
      <c r="L2995">
        <v>36</v>
      </c>
      <c r="M2995">
        <v>263</v>
      </c>
      <c r="N2995">
        <v>4.4000000000000004</v>
      </c>
      <c r="O2995">
        <v>2</v>
      </c>
      <c r="P2995">
        <v>6.9</v>
      </c>
      <c r="Q2995">
        <f t="shared" si="92"/>
        <v>1372203</v>
      </c>
      <c r="R2995">
        <f t="shared" si="91"/>
        <v>10.858451701388205</v>
      </c>
      <c r="U2995">
        <v>216</v>
      </c>
      <c r="V2995">
        <v>32</v>
      </c>
      <c r="W2995">
        <v>400</v>
      </c>
      <c r="X2995">
        <v>167</v>
      </c>
      <c r="Y2995">
        <v>56.4</v>
      </c>
      <c r="Z2995">
        <v>35.700000000000003</v>
      </c>
      <c r="AA2995">
        <v>77.099999999999994</v>
      </c>
    </row>
    <row r="2996" spans="1:27" x14ac:dyDescent="0.25">
      <c r="A2996" t="s">
        <v>254</v>
      </c>
      <c r="B2996" t="s">
        <v>213</v>
      </c>
      <c r="C2996" s="76">
        <v>43982</v>
      </c>
      <c r="D2996">
        <v>2022</v>
      </c>
      <c r="E2996">
        <v>767</v>
      </c>
      <c r="F2996">
        <v>3278</v>
      </c>
      <c r="G2996">
        <v>1326</v>
      </c>
      <c r="H2996">
        <v>60.4</v>
      </c>
      <c r="I2996">
        <v>51.8</v>
      </c>
      <c r="J2996">
        <v>68.900000000000006</v>
      </c>
      <c r="K2996">
        <v>143</v>
      </c>
      <c r="L2996">
        <v>28</v>
      </c>
      <c r="M2996">
        <v>258</v>
      </c>
      <c r="N2996">
        <v>4.3</v>
      </c>
      <c r="O2996">
        <v>1.7</v>
      </c>
      <c r="P2996">
        <v>6.8</v>
      </c>
      <c r="Q2996">
        <f t="shared" si="92"/>
        <v>1372203</v>
      </c>
      <c r="R2996">
        <f t="shared" si="91"/>
        <v>10.421198612741701</v>
      </c>
      <c r="U2996">
        <v>207</v>
      </c>
      <c r="V2996">
        <v>35</v>
      </c>
      <c r="W2996">
        <v>379</v>
      </c>
      <c r="X2996">
        <v>179</v>
      </c>
      <c r="Y2996">
        <v>53.7</v>
      </c>
      <c r="Z2996">
        <v>35.299999999999997</v>
      </c>
      <c r="AA2996">
        <v>72</v>
      </c>
    </row>
    <row r="2997" spans="1:27" x14ac:dyDescent="0.25">
      <c r="A2997" t="s">
        <v>254</v>
      </c>
      <c r="B2997" t="s">
        <v>213</v>
      </c>
      <c r="C2997" s="76">
        <v>43983</v>
      </c>
      <c r="D2997">
        <v>1987</v>
      </c>
      <c r="E2997">
        <v>768</v>
      </c>
      <c r="F2997">
        <v>3205</v>
      </c>
      <c r="G2997">
        <v>1370</v>
      </c>
      <c r="H2997">
        <v>59.2</v>
      </c>
      <c r="I2997">
        <v>51</v>
      </c>
      <c r="J2997">
        <v>67.400000000000006</v>
      </c>
      <c r="K2997">
        <v>142</v>
      </c>
      <c r="L2997">
        <v>34</v>
      </c>
      <c r="M2997">
        <v>250</v>
      </c>
      <c r="N2997">
        <v>4.2</v>
      </c>
      <c r="O2997">
        <v>1.9</v>
      </c>
      <c r="P2997">
        <v>6.6</v>
      </c>
      <c r="Q2997">
        <f t="shared" si="92"/>
        <v>1372203</v>
      </c>
      <c r="R2997">
        <f t="shared" si="91"/>
        <v>10.348323097967283</v>
      </c>
      <c r="U2997">
        <v>210</v>
      </c>
      <c r="V2997">
        <v>35</v>
      </c>
      <c r="W2997">
        <v>385</v>
      </c>
      <c r="X2997">
        <v>179</v>
      </c>
      <c r="Y2997">
        <v>54.1</v>
      </c>
      <c r="Z2997">
        <v>32.6</v>
      </c>
      <c r="AA2997">
        <v>75.599999999999994</v>
      </c>
    </row>
    <row r="2998" spans="1:27" x14ac:dyDescent="0.25">
      <c r="A2998" t="s">
        <v>254</v>
      </c>
      <c r="B2998" t="s">
        <v>213</v>
      </c>
      <c r="C2998" s="76">
        <v>43984</v>
      </c>
      <c r="D2998">
        <v>2107</v>
      </c>
      <c r="E2998">
        <v>841</v>
      </c>
      <c r="F2998">
        <v>3373</v>
      </c>
      <c r="G2998">
        <v>1251</v>
      </c>
      <c r="H2998">
        <v>62.7</v>
      </c>
      <c r="I2998">
        <v>54.9</v>
      </c>
      <c r="J2998">
        <v>70.599999999999994</v>
      </c>
      <c r="K2998">
        <v>133</v>
      </c>
      <c r="L2998">
        <v>25</v>
      </c>
      <c r="M2998">
        <v>241</v>
      </c>
      <c r="N2998">
        <v>4</v>
      </c>
      <c r="O2998">
        <v>1.6</v>
      </c>
      <c r="P2998">
        <v>6.4</v>
      </c>
      <c r="Q2998">
        <f t="shared" si="92"/>
        <v>1372203</v>
      </c>
      <c r="R2998">
        <f t="shared" si="91"/>
        <v>9.6924434649975257</v>
      </c>
      <c r="U2998">
        <v>227</v>
      </c>
      <c r="V2998">
        <v>31</v>
      </c>
      <c r="W2998">
        <v>423</v>
      </c>
      <c r="X2998">
        <v>178</v>
      </c>
      <c r="Y2998">
        <v>56.1</v>
      </c>
      <c r="Z2998">
        <v>31.4</v>
      </c>
      <c r="AA2998">
        <v>80.7</v>
      </c>
    </row>
    <row r="2999" spans="1:27" x14ac:dyDescent="0.25">
      <c r="A2999" t="s">
        <v>254</v>
      </c>
      <c r="B2999" t="s">
        <v>213</v>
      </c>
      <c r="C2999" s="76">
        <v>43985</v>
      </c>
      <c r="D2999">
        <v>2096</v>
      </c>
      <c r="E2999">
        <v>820</v>
      </c>
      <c r="F2999">
        <v>3373</v>
      </c>
      <c r="G2999">
        <v>1261</v>
      </c>
      <c r="H2999">
        <v>62.4</v>
      </c>
      <c r="I2999">
        <v>53.4</v>
      </c>
      <c r="J2999">
        <v>71.400000000000006</v>
      </c>
      <c r="K2999">
        <v>145</v>
      </c>
      <c r="L2999">
        <v>43</v>
      </c>
      <c r="M2999">
        <v>246</v>
      </c>
      <c r="N2999">
        <v>4.3</v>
      </c>
      <c r="O2999">
        <v>2.4</v>
      </c>
      <c r="P2999">
        <v>6.3</v>
      </c>
      <c r="Q2999">
        <f t="shared" si="92"/>
        <v>1372203</v>
      </c>
      <c r="R2999">
        <f t="shared" si="91"/>
        <v>10.566949642290535</v>
      </c>
      <c r="U2999">
        <v>223</v>
      </c>
      <c r="V2999">
        <v>36</v>
      </c>
      <c r="W2999">
        <v>410</v>
      </c>
      <c r="X2999">
        <v>178</v>
      </c>
      <c r="Y2999">
        <v>55.6</v>
      </c>
      <c r="Z2999">
        <v>33.1</v>
      </c>
      <c r="AA2999">
        <v>78.2</v>
      </c>
    </row>
    <row r="3000" spans="1:27" x14ac:dyDescent="0.25">
      <c r="A3000" t="s">
        <v>254</v>
      </c>
      <c r="B3000" t="s">
        <v>213</v>
      </c>
      <c r="C3000" s="76">
        <v>43986</v>
      </c>
      <c r="D3000">
        <v>2073</v>
      </c>
      <c r="E3000">
        <v>792</v>
      </c>
      <c r="F3000">
        <v>3353</v>
      </c>
      <c r="G3000">
        <v>1272</v>
      </c>
      <c r="H3000">
        <v>62</v>
      </c>
      <c r="I3000">
        <v>53</v>
      </c>
      <c r="J3000">
        <v>70.900000000000006</v>
      </c>
      <c r="K3000">
        <v>132</v>
      </c>
      <c r="L3000">
        <v>39</v>
      </c>
      <c r="M3000">
        <v>225</v>
      </c>
      <c r="N3000">
        <v>3.9</v>
      </c>
      <c r="O3000">
        <v>2.2000000000000002</v>
      </c>
      <c r="P3000">
        <v>5.7</v>
      </c>
      <c r="Q3000">
        <f t="shared" si="92"/>
        <v>1372203</v>
      </c>
      <c r="R3000">
        <f t="shared" si="91"/>
        <v>9.6195679502231091</v>
      </c>
      <c r="U3000">
        <v>215</v>
      </c>
      <c r="V3000">
        <v>29</v>
      </c>
      <c r="W3000">
        <v>401</v>
      </c>
      <c r="X3000">
        <v>186</v>
      </c>
      <c r="Y3000">
        <v>53.5</v>
      </c>
      <c r="Z3000">
        <v>33.5</v>
      </c>
      <c r="AA3000">
        <v>73.599999999999994</v>
      </c>
    </row>
    <row r="3001" spans="1:27" x14ac:dyDescent="0.25">
      <c r="A3001" t="s">
        <v>254</v>
      </c>
      <c r="B3001" t="s">
        <v>213</v>
      </c>
      <c r="C3001" s="76">
        <v>43987</v>
      </c>
      <c r="D3001">
        <v>2051</v>
      </c>
      <c r="E3001">
        <v>778</v>
      </c>
      <c r="F3001">
        <v>3324</v>
      </c>
      <c r="G3001">
        <v>1306</v>
      </c>
      <c r="H3001">
        <v>61.1</v>
      </c>
      <c r="I3001">
        <v>52.5</v>
      </c>
      <c r="J3001">
        <v>69.7</v>
      </c>
      <c r="K3001">
        <v>129</v>
      </c>
      <c r="L3001">
        <v>39</v>
      </c>
      <c r="M3001">
        <v>219</v>
      </c>
      <c r="N3001">
        <v>3.8</v>
      </c>
      <c r="O3001">
        <v>2.1</v>
      </c>
      <c r="P3001">
        <v>5.6</v>
      </c>
      <c r="Q3001">
        <f t="shared" si="92"/>
        <v>1372203</v>
      </c>
      <c r="R3001">
        <f t="shared" si="91"/>
        <v>9.4009414058998555</v>
      </c>
      <c r="U3001">
        <v>223</v>
      </c>
      <c r="V3001">
        <v>32</v>
      </c>
      <c r="W3001">
        <v>413</v>
      </c>
      <c r="X3001">
        <v>175</v>
      </c>
      <c r="Y3001">
        <v>56</v>
      </c>
      <c r="Z3001">
        <v>36.9</v>
      </c>
      <c r="AA3001">
        <v>75.099999999999994</v>
      </c>
    </row>
    <row r="3002" spans="1:27" x14ac:dyDescent="0.25">
      <c r="A3002" t="s">
        <v>254</v>
      </c>
      <c r="B3002" t="s">
        <v>213</v>
      </c>
      <c r="C3002" s="76">
        <v>43988</v>
      </c>
      <c r="D3002">
        <v>1950</v>
      </c>
      <c r="E3002">
        <v>743</v>
      </c>
      <c r="F3002">
        <v>3157</v>
      </c>
      <c r="G3002">
        <v>1423</v>
      </c>
      <c r="H3002">
        <v>57.8</v>
      </c>
      <c r="I3002">
        <v>49.7</v>
      </c>
      <c r="J3002">
        <v>65.900000000000006</v>
      </c>
      <c r="K3002">
        <v>125</v>
      </c>
      <c r="L3002">
        <v>32</v>
      </c>
      <c r="M3002">
        <v>218</v>
      </c>
      <c r="N3002">
        <v>3.7</v>
      </c>
      <c r="O3002">
        <v>1.8</v>
      </c>
      <c r="P3002">
        <v>5.6</v>
      </c>
      <c r="Q3002">
        <f t="shared" si="92"/>
        <v>1372203</v>
      </c>
      <c r="R3002">
        <f t="shared" si="91"/>
        <v>9.1094393468021853</v>
      </c>
      <c r="U3002">
        <v>212</v>
      </c>
      <c r="V3002">
        <v>25</v>
      </c>
      <c r="W3002">
        <v>398</v>
      </c>
      <c r="X3002">
        <v>184</v>
      </c>
      <c r="Y3002">
        <v>53.4</v>
      </c>
      <c r="Z3002">
        <v>29.5</v>
      </c>
      <c r="AA3002">
        <v>77.3</v>
      </c>
    </row>
    <row r="3003" spans="1:27" x14ac:dyDescent="0.25">
      <c r="A3003" t="s">
        <v>254</v>
      </c>
      <c r="B3003" t="s">
        <v>213</v>
      </c>
      <c r="C3003" s="76">
        <v>43989</v>
      </c>
      <c r="D3003">
        <v>1900</v>
      </c>
      <c r="E3003">
        <v>730</v>
      </c>
      <c r="F3003">
        <v>3069</v>
      </c>
      <c r="G3003">
        <v>1492</v>
      </c>
      <c r="H3003">
        <v>56</v>
      </c>
      <c r="I3003">
        <v>47.9</v>
      </c>
      <c r="J3003">
        <v>64.099999999999994</v>
      </c>
      <c r="K3003">
        <v>113</v>
      </c>
      <c r="L3003">
        <v>27</v>
      </c>
      <c r="M3003">
        <v>199</v>
      </c>
      <c r="N3003">
        <v>3.3</v>
      </c>
      <c r="O3003">
        <v>1.6</v>
      </c>
      <c r="P3003">
        <v>5.0999999999999996</v>
      </c>
      <c r="Q3003">
        <f t="shared" si="92"/>
        <v>1372203</v>
      </c>
      <c r="R3003">
        <f t="shared" si="91"/>
        <v>8.2349331695091763</v>
      </c>
      <c r="U3003">
        <v>198</v>
      </c>
      <c r="V3003">
        <v>23</v>
      </c>
      <c r="W3003">
        <v>372</v>
      </c>
      <c r="X3003">
        <v>195</v>
      </c>
      <c r="Y3003">
        <v>50.3</v>
      </c>
      <c r="Z3003">
        <v>29.4</v>
      </c>
      <c r="AA3003">
        <v>71.3</v>
      </c>
    </row>
    <row r="3004" spans="1:27" x14ac:dyDescent="0.25">
      <c r="A3004" t="s">
        <v>254</v>
      </c>
      <c r="B3004" t="s">
        <v>213</v>
      </c>
      <c r="C3004" s="76">
        <v>43990</v>
      </c>
      <c r="D3004">
        <v>1910</v>
      </c>
      <c r="E3004">
        <v>709</v>
      </c>
      <c r="F3004">
        <v>3111</v>
      </c>
      <c r="G3004">
        <v>1408</v>
      </c>
      <c r="H3004">
        <v>57.6</v>
      </c>
      <c r="I3004">
        <v>50.1</v>
      </c>
      <c r="J3004">
        <v>65</v>
      </c>
      <c r="K3004">
        <v>110</v>
      </c>
      <c r="L3004">
        <v>29</v>
      </c>
      <c r="M3004">
        <v>191</v>
      </c>
      <c r="N3004">
        <v>3.3</v>
      </c>
      <c r="O3004">
        <v>1.7</v>
      </c>
      <c r="P3004">
        <v>5</v>
      </c>
      <c r="Q3004">
        <f t="shared" si="92"/>
        <v>1372203</v>
      </c>
      <c r="R3004">
        <f t="shared" si="91"/>
        <v>8.0163066251859227</v>
      </c>
      <c r="U3004">
        <v>196</v>
      </c>
      <c r="V3004">
        <v>22</v>
      </c>
      <c r="W3004">
        <v>370</v>
      </c>
      <c r="X3004">
        <v>197</v>
      </c>
      <c r="Y3004">
        <v>49.9</v>
      </c>
      <c r="Z3004">
        <v>29.2</v>
      </c>
      <c r="AA3004">
        <v>70.7</v>
      </c>
    </row>
    <row r="3005" spans="1:27" x14ac:dyDescent="0.25">
      <c r="A3005" t="s">
        <v>254</v>
      </c>
      <c r="B3005" t="s">
        <v>213</v>
      </c>
      <c r="C3005" s="76">
        <v>43991</v>
      </c>
      <c r="D3005">
        <v>2033</v>
      </c>
      <c r="E3005">
        <v>780</v>
      </c>
      <c r="F3005">
        <v>3286</v>
      </c>
      <c r="G3005">
        <v>1322</v>
      </c>
      <c r="H3005">
        <v>60.6</v>
      </c>
      <c r="I3005">
        <v>52.7</v>
      </c>
      <c r="J3005">
        <v>68.5</v>
      </c>
      <c r="K3005">
        <v>127</v>
      </c>
      <c r="L3005">
        <v>36</v>
      </c>
      <c r="M3005">
        <v>218</v>
      </c>
      <c r="N3005">
        <v>3.8</v>
      </c>
      <c r="O3005">
        <v>2</v>
      </c>
      <c r="P3005">
        <v>5.5</v>
      </c>
      <c r="Q3005">
        <f t="shared" si="92"/>
        <v>1372203</v>
      </c>
      <c r="R3005">
        <f t="shared" si="91"/>
        <v>9.2551903763510204</v>
      </c>
      <c r="U3005">
        <v>223</v>
      </c>
      <c r="V3005">
        <v>29</v>
      </c>
      <c r="W3005">
        <v>417</v>
      </c>
      <c r="X3005">
        <v>167</v>
      </c>
      <c r="Y3005">
        <v>57.2</v>
      </c>
      <c r="Z3005">
        <v>33.1</v>
      </c>
      <c r="AA3005">
        <v>81.2</v>
      </c>
    </row>
    <row r="3006" spans="1:27" x14ac:dyDescent="0.25">
      <c r="A3006" t="s">
        <v>254</v>
      </c>
      <c r="B3006" t="s">
        <v>213</v>
      </c>
      <c r="C3006" s="76">
        <v>43992</v>
      </c>
      <c r="D3006">
        <v>2110</v>
      </c>
      <c r="E3006">
        <v>813</v>
      </c>
      <c r="F3006">
        <v>3406</v>
      </c>
      <c r="G3006">
        <v>1265</v>
      </c>
      <c r="H3006">
        <v>62.5</v>
      </c>
      <c r="I3006">
        <v>54.2</v>
      </c>
      <c r="J3006">
        <v>70.8</v>
      </c>
      <c r="K3006">
        <v>121</v>
      </c>
      <c r="L3006">
        <v>32</v>
      </c>
      <c r="M3006">
        <v>211</v>
      </c>
      <c r="N3006">
        <v>3.6</v>
      </c>
      <c r="O3006">
        <v>1.8</v>
      </c>
      <c r="P3006">
        <v>5.4</v>
      </c>
      <c r="Q3006">
        <f t="shared" si="92"/>
        <v>1372203</v>
      </c>
      <c r="R3006">
        <f t="shared" si="91"/>
        <v>8.817937287704515</v>
      </c>
      <c r="U3006">
        <v>221</v>
      </c>
      <c r="V3006">
        <v>34</v>
      </c>
      <c r="W3006">
        <v>407</v>
      </c>
      <c r="X3006">
        <v>172</v>
      </c>
      <c r="Y3006">
        <v>56.2</v>
      </c>
      <c r="Z3006">
        <v>35.299999999999997</v>
      </c>
      <c r="AA3006">
        <v>77</v>
      </c>
    </row>
    <row r="3007" spans="1:27" x14ac:dyDescent="0.25">
      <c r="A3007" t="s">
        <v>254</v>
      </c>
      <c r="B3007" t="s">
        <v>213</v>
      </c>
      <c r="C3007" s="76">
        <v>43993</v>
      </c>
      <c r="D3007">
        <v>2113</v>
      </c>
      <c r="E3007">
        <v>772</v>
      </c>
      <c r="F3007">
        <v>3455</v>
      </c>
      <c r="G3007">
        <v>1250</v>
      </c>
      <c r="H3007">
        <v>62.8</v>
      </c>
      <c r="I3007">
        <v>54.5</v>
      </c>
      <c r="J3007">
        <v>71.2</v>
      </c>
      <c r="K3007">
        <v>129</v>
      </c>
      <c r="L3007">
        <v>33</v>
      </c>
      <c r="M3007">
        <v>226</v>
      </c>
      <c r="N3007">
        <v>3.8</v>
      </c>
      <c r="O3007">
        <v>2</v>
      </c>
      <c r="P3007">
        <v>5.7</v>
      </c>
      <c r="Q3007">
        <f t="shared" si="92"/>
        <v>1372203</v>
      </c>
      <c r="R3007">
        <f t="shared" si="91"/>
        <v>9.4009414058998555</v>
      </c>
      <c r="U3007">
        <v>228</v>
      </c>
      <c r="V3007">
        <v>33</v>
      </c>
      <c r="W3007">
        <v>423</v>
      </c>
      <c r="X3007">
        <v>181</v>
      </c>
      <c r="Y3007">
        <v>55.8</v>
      </c>
      <c r="Z3007">
        <v>33.700000000000003</v>
      </c>
      <c r="AA3007">
        <v>77.8</v>
      </c>
    </row>
    <row r="3008" spans="1:27" x14ac:dyDescent="0.25">
      <c r="A3008" t="s">
        <v>254</v>
      </c>
      <c r="B3008" t="s">
        <v>213</v>
      </c>
      <c r="C3008" s="76">
        <v>43994</v>
      </c>
      <c r="D3008">
        <v>2094</v>
      </c>
      <c r="E3008">
        <v>805</v>
      </c>
      <c r="F3008">
        <v>3384</v>
      </c>
      <c r="G3008">
        <v>1281</v>
      </c>
      <c r="H3008">
        <v>62.1</v>
      </c>
      <c r="I3008">
        <v>54</v>
      </c>
      <c r="J3008">
        <v>70.099999999999994</v>
      </c>
      <c r="K3008">
        <v>103</v>
      </c>
      <c r="L3008">
        <v>22</v>
      </c>
      <c r="M3008">
        <v>184</v>
      </c>
      <c r="N3008">
        <v>3.1</v>
      </c>
      <c r="O3008">
        <v>1.3</v>
      </c>
      <c r="P3008">
        <v>4.8</v>
      </c>
      <c r="Q3008">
        <f t="shared" si="92"/>
        <v>1372203</v>
      </c>
      <c r="R3008">
        <f t="shared" si="91"/>
        <v>7.5061780217650016</v>
      </c>
      <c r="U3008">
        <v>206</v>
      </c>
      <c r="V3008">
        <v>25</v>
      </c>
      <c r="W3008">
        <v>387</v>
      </c>
      <c r="X3008">
        <v>193</v>
      </c>
      <c r="Y3008">
        <v>51.6</v>
      </c>
      <c r="Z3008">
        <v>31</v>
      </c>
      <c r="AA3008">
        <v>72.2</v>
      </c>
    </row>
    <row r="3009" spans="1:27" x14ac:dyDescent="0.25">
      <c r="A3009" t="s">
        <v>254</v>
      </c>
      <c r="B3009" t="s">
        <v>213</v>
      </c>
      <c r="C3009" s="76">
        <v>43995</v>
      </c>
      <c r="D3009">
        <v>1986</v>
      </c>
      <c r="E3009">
        <v>753</v>
      </c>
      <c r="F3009">
        <v>3220</v>
      </c>
      <c r="G3009">
        <v>1372</v>
      </c>
      <c r="H3009">
        <v>59.2</v>
      </c>
      <c r="I3009">
        <v>50.6</v>
      </c>
      <c r="J3009">
        <v>67.7</v>
      </c>
      <c r="K3009">
        <v>106</v>
      </c>
      <c r="L3009">
        <v>28</v>
      </c>
      <c r="M3009">
        <v>183</v>
      </c>
      <c r="N3009">
        <v>3.2</v>
      </c>
      <c r="O3009">
        <v>1.5</v>
      </c>
      <c r="P3009">
        <v>4.8</v>
      </c>
      <c r="Q3009">
        <f t="shared" si="92"/>
        <v>1372203</v>
      </c>
      <c r="R3009">
        <f t="shared" si="91"/>
        <v>7.7248045660882534</v>
      </c>
      <c r="U3009">
        <v>219</v>
      </c>
      <c r="V3009">
        <v>29</v>
      </c>
      <c r="W3009">
        <v>408</v>
      </c>
      <c r="X3009">
        <v>177</v>
      </c>
      <c r="Y3009">
        <v>55.3</v>
      </c>
      <c r="Z3009">
        <v>34.6</v>
      </c>
      <c r="AA3009">
        <v>76</v>
      </c>
    </row>
    <row r="3010" spans="1:27" x14ac:dyDescent="0.25">
      <c r="A3010" t="s">
        <v>254</v>
      </c>
      <c r="B3010" t="s">
        <v>213</v>
      </c>
      <c r="C3010" s="76">
        <v>43996</v>
      </c>
      <c r="D3010">
        <v>1903</v>
      </c>
      <c r="E3010">
        <v>738</v>
      </c>
      <c r="F3010">
        <v>3069</v>
      </c>
      <c r="G3010">
        <v>1443</v>
      </c>
      <c r="H3010">
        <v>56.9</v>
      </c>
      <c r="I3010">
        <v>48.5</v>
      </c>
      <c r="J3010">
        <v>65.2</v>
      </c>
      <c r="K3010">
        <v>94</v>
      </c>
      <c r="L3010">
        <v>25</v>
      </c>
      <c r="M3010">
        <v>163</v>
      </c>
      <c r="N3010">
        <v>2.8</v>
      </c>
      <c r="O3010">
        <v>1.5</v>
      </c>
      <c r="P3010">
        <v>4.0999999999999996</v>
      </c>
      <c r="Q3010">
        <f t="shared" si="92"/>
        <v>1372203</v>
      </c>
      <c r="R3010">
        <f t="shared" si="91"/>
        <v>6.8502983887952436</v>
      </c>
      <c r="U3010">
        <v>197</v>
      </c>
      <c r="V3010">
        <v>28</v>
      </c>
      <c r="W3010">
        <v>367</v>
      </c>
      <c r="X3010">
        <v>201</v>
      </c>
      <c r="Y3010">
        <v>49.5</v>
      </c>
      <c r="Z3010">
        <v>31.4</v>
      </c>
      <c r="AA3010">
        <v>67.5</v>
      </c>
    </row>
    <row r="3011" spans="1:27" x14ac:dyDescent="0.25">
      <c r="A3011" t="s">
        <v>254</v>
      </c>
      <c r="B3011" t="s">
        <v>213</v>
      </c>
      <c r="C3011" s="76">
        <v>43997</v>
      </c>
      <c r="D3011">
        <v>1935</v>
      </c>
      <c r="E3011">
        <v>763</v>
      </c>
      <c r="F3011">
        <v>3108</v>
      </c>
      <c r="G3011">
        <v>1412</v>
      </c>
      <c r="H3011">
        <v>57.8</v>
      </c>
      <c r="I3011">
        <v>48.8</v>
      </c>
      <c r="J3011">
        <v>66.8</v>
      </c>
      <c r="K3011">
        <v>103</v>
      </c>
      <c r="L3011">
        <v>23</v>
      </c>
      <c r="M3011">
        <v>183</v>
      </c>
      <c r="N3011">
        <v>3.1</v>
      </c>
      <c r="O3011">
        <v>1.4</v>
      </c>
      <c r="P3011">
        <v>4.8</v>
      </c>
      <c r="Q3011">
        <f t="shared" si="92"/>
        <v>1372203</v>
      </c>
      <c r="R3011">
        <f t="shared" si="91"/>
        <v>7.5061780217650016</v>
      </c>
      <c r="U3011">
        <v>202</v>
      </c>
      <c r="V3011">
        <v>25</v>
      </c>
      <c r="W3011">
        <v>380</v>
      </c>
      <c r="X3011">
        <v>196</v>
      </c>
      <c r="Y3011">
        <v>50.8</v>
      </c>
      <c r="Z3011">
        <v>30.4</v>
      </c>
      <c r="AA3011">
        <v>71.2</v>
      </c>
    </row>
    <row r="3012" spans="1:27" x14ac:dyDescent="0.25">
      <c r="A3012" t="s">
        <v>254</v>
      </c>
      <c r="B3012" t="s">
        <v>213</v>
      </c>
      <c r="C3012" s="76">
        <v>43998</v>
      </c>
      <c r="D3012">
        <v>2024</v>
      </c>
      <c r="E3012">
        <v>797</v>
      </c>
      <c r="F3012">
        <v>3252</v>
      </c>
      <c r="G3012">
        <v>1324</v>
      </c>
      <c r="H3012">
        <v>60.5</v>
      </c>
      <c r="I3012">
        <v>51.4</v>
      </c>
      <c r="J3012">
        <v>69.5</v>
      </c>
      <c r="K3012">
        <v>95</v>
      </c>
      <c r="L3012">
        <v>24</v>
      </c>
      <c r="M3012">
        <v>167</v>
      </c>
      <c r="N3012">
        <v>2.8</v>
      </c>
      <c r="O3012">
        <v>1.6</v>
      </c>
      <c r="P3012">
        <v>4.0999999999999996</v>
      </c>
      <c r="Q3012">
        <f t="shared" si="92"/>
        <v>1372203</v>
      </c>
      <c r="R3012">
        <f t="shared" si="91"/>
        <v>6.9231739035696611</v>
      </c>
      <c r="U3012">
        <v>202</v>
      </c>
      <c r="V3012">
        <v>24</v>
      </c>
      <c r="W3012">
        <v>380</v>
      </c>
      <c r="X3012">
        <v>200</v>
      </c>
      <c r="Y3012">
        <v>50.2</v>
      </c>
      <c r="Z3012">
        <v>29.5</v>
      </c>
      <c r="AA3012">
        <v>70.8</v>
      </c>
    </row>
    <row r="3013" spans="1:27" x14ac:dyDescent="0.25">
      <c r="A3013" t="s">
        <v>254</v>
      </c>
      <c r="B3013" t="s">
        <v>213</v>
      </c>
      <c r="C3013" s="76">
        <v>43999</v>
      </c>
      <c r="D3013">
        <v>2054</v>
      </c>
      <c r="E3013">
        <v>734</v>
      </c>
      <c r="F3013">
        <v>3374</v>
      </c>
      <c r="G3013">
        <v>1351</v>
      </c>
      <c r="H3013">
        <v>60.3</v>
      </c>
      <c r="I3013">
        <v>50.8</v>
      </c>
      <c r="J3013">
        <v>69.8</v>
      </c>
      <c r="K3013">
        <v>92</v>
      </c>
      <c r="L3013">
        <v>14</v>
      </c>
      <c r="M3013">
        <v>170</v>
      </c>
      <c r="N3013">
        <v>2.7</v>
      </c>
      <c r="O3013">
        <v>1.1000000000000001</v>
      </c>
      <c r="P3013">
        <v>4.3</v>
      </c>
      <c r="Q3013">
        <f t="shared" si="92"/>
        <v>1372203</v>
      </c>
      <c r="R3013">
        <f t="shared" ref="R3013:R3076" si="93">K3013/(Q3013)*100000</f>
        <v>6.7045473592464093</v>
      </c>
      <c r="U3013">
        <v>204</v>
      </c>
      <c r="V3013">
        <v>19</v>
      </c>
      <c r="W3013">
        <v>389</v>
      </c>
      <c r="X3013">
        <v>193</v>
      </c>
      <c r="Y3013">
        <v>51.3</v>
      </c>
      <c r="Z3013">
        <v>26.6</v>
      </c>
      <c r="AA3013">
        <v>76.099999999999994</v>
      </c>
    </row>
    <row r="3014" spans="1:27" x14ac:dyDescent="0.25">
      <c r="A3014" t="s">
        <v>254</v>
      </c>
      <c r="B3014" t="s">
        <v>213</v>
      </c>
      <c r="C3014" s="76">
        <v>44000</v>
      </c>
      <c r="D3014">
        <v>2054</v>
      </c>
      <c r="E3014">
        <v>804</v>
      </c>
      <c r="F3014">
        <v>3305</v>
      </c>
      <c r="G3014">
        <v>1282</v>
      </c>
      <c r="H3014">
        <v>61.6</v>
      </c>
      <c r="I3014">
        <v>53</v>
      </c>
      <c r="J3014">
        <v>70.099999999999994</v>
      </c>
      <c r="K3014">
        <v>89</v>
      </c>
      <c r="L3014">
        <v>18</v>
      </c>
      <c r="M3014">
        <v>160</v>
      </c>
      <c r="N3014">
        <v>2.7</v>
      </c>
      <c r="O3014">
        <v>1.3</v>
      </c>
      <c r="P3014">
        <v>4.0999999999999996</v>
      </c>
      <c r="Q3014">
        <f t="shared" si="92"/>
        <v>1372203</v>
      </c>
      <c r="R3014">
        <f t="shared" si="93"/>
        <v>6.4859208149231558</v>
      </c>
      <c r="U3014">
        <v>207</v>
      </c>
      <c r="V3014">
        <v>28</v>
      </c>
      <c r="W3014">
        <v>386</v>
      </c>
      <c r="X3014">
        <v>188</v>
      </c>
      <c r="Y3014">
        <v>52.6</v>
      </c>
      <c r="Z3014">
        <v>30.7</v>
      </c>
      <c r="AA3014">
        <v>74.5</v>
      </c>
    </row>
    <row r="3015" spans="1:27" x14ac:dyDescent="0.25">
      <c r="A3015" t="s">
        <v>254</v>
      </c>
      <c r="B3015" t="s">
        <v>213</v>
      </c>
      <c r="C3015" s="76">
        <v>44001</v>
      </c>
      <c r="D3015">
        <v>2082</v>
      </c>
      <c r="E3015">
        <v>814</v>
      </c>
      <c r="F3015">
        <v>3350</v>
      </c>
      <c r="G3015">
        <v>1255</v>
      </c>
      <c r="H3015">
        <v>62.4</v>
      </c>
      <c r="I3015">
        <v>54</v>
      </c>
      <c r="J3015">
        <v>70.7</v>
      </c>
      <c r="K3015">
        <v>92</v>
      </c>
      <c r="L3015">
        <v>23</v>
      </c>
      <c r="M3015">
        <v>161</v>
      </c>
      <c r="N3015">
        <v>2.8</v>
      </c>
      <c r="O3015">
        <v>1.5</v>
      </c>
      <c r="P3015">
        <v>4</v>
      </c>
      <c r="Q3015">
        <f t="shared" si="92"/>
        <v>1372203</v>
      </c>
      <c r="R3015">
        <f t="shared" si="93"/>
        <v>6.7045473592464093</v>
      </c>
      <c r="U3015">
        <v>199</v>
      </c>
      <c r="V3015">
        <v>18</v>
      </c>
      <c r="W3015">
        <v>379</v>
      </c>
      <c r="X3015">
        <v>195</v>
      </c>
      <c r="Y3015">
        <v>50.5</v>
      </c>
      <c r="Z3015">
        <v>27.7</v>
      </c>
      <c r="AA3015">
        <v>73.3</v>
      </c>
    </row>
    <row r="3016" spans="1:27" x14ac:dyDescent="0.25">
      <c r="A3016" t="s">
        <v>254</v>
      </c>
      <c r="B3016" t="s">
        <v>213</v>
      </c>
      <c r="C3016" s="76">
        <v>44002</v>
      </c>
      <c r="D3016">
        <v>1953</v>
      </c>
      <c r="E3016">
        <v>694</v>
      </c>
      <c r="F3016">
        <v>3212</v>
      </c>
      <c r="G3016">
        <v>1336</v>
      </c>
      <c r="H3016">
        <v>59.4</v>
      </c>
      <c r="I3016">
        <v>49.8</v>
      </c>
      <c r="J3016">
        <v>69</v>
      </c>
      <c r="K3016">
        <v>66</v>
      </c>
      <c r="L3016">
        <v>12</v>
      </c>
      <c r="M3016">
        <v>120</v>
      </c>
      <c r="N3016">
        <v>2</v>
      </c>
      <c r="O3016">
        <v>0.8</v>
      </c>
      <c r="P3016">
        <v>3.2</v>
      </c>
      <c r="Q3016">
        <f t="shared" si="92"/>
        <v>1372203</v>
      </c>
      <c r="R3016">
        <f t="shared" si="93"/>
        <v>4.8097839751115545</v>
      </c>
      <c r="U3016">
        <v>188</v>
      </c>
      <c r="V3016">
        <v>12</v>
      </c>
      <c r="W3016">
        <v>363</v>
      </c>
      <c r="X3016">
        <v>208</v>
      </c>
      <c r="Y3016">
        <v>47.4</v>
      </c>
      <c r="Z3016">
        <v>25.9</v>
      </c>
      <c r="AA3016">
        <v>68.900000000000006</v>
      </c>
    </row>
    <row r="3017" spans="1:27" x14ac:dyDescent="0.25">
      <c r="A3017" t="s">
        <v>254</v>
      </c>
      <c r="B3017" t="s">
        <v>213</v>
      </c>
      <c r="C3017" s="76">
        <v>44003</v>
      </c>
      <c r="D3017">
        <v>1876</v>
      </c>
      <c r="E3017">
        <v>674</v>
      </c>
      <c r="F3017">
        <v>3077</v>
      </c>
      <c r="G3017">
        <v>1406</v>
      </c>
      <c r="H3017">
        <v>57.1</v>
      </c>
      <c r="I3017">
        <v>48.5</v>
      </c>
      <c r="J3017">
        <v>65.8</v>
      </c>
      <c r="K3017">
        <v>65</v>
      </c>
      <c r="L3017">
        <v>10</v>
      </c>
      <c r="M3017">
        <v>120</v>
      </c>
      <c r="N3017">
        <v>2</v>
      </c>
      <c r="O3017">
        <v>0.7</v>
      </c>
      <c r="P3017">
        <v>3.2</v>
      </c>
      <c r="Q3017">
        <f t="shared" si="92"/>
        <v>1372203</v>
      </c>
      <c r="R3017">
        <f t="shared" si="93"/>
        <v>4.736908460337137</v>
      </c>
      <c r="U3017">
        <v>184</v>
      </c>
      <c r="V3017">
        <v>19</v>
      </c>
      <c r="W3017">
        <v>349</v>
      </c>
      <c r="X3017">
        <v>210</v>
      </c>
      <c r="Y3017">
        <v>46.7</v>
      </c>
      <c r="Z3017">
        <v>27.8</v>
      </c>
      <c r="AA3017">
        <v>65.599999999999994</v>
      </c>
    </row>
    <row r="3018" spans="1:27" x14ac:dyDescent="0.25">
      <c r="A3018" t="s">
        <v>254</v>
      </c>
      <c r="B3018" t="s">
        <v>213</v>
      </c>
      <c r="C3018" s="76">
        <v>44004</v>
      </c>
      <c r="D3018">
        <v>1933</v>
      </c>
      <c r="E3018">
        <v>705</v>
      </c>
      <c r="F3018">
        <v>3161</v>
      </c>
      <c r="G3018">
        <v>1371</v>
      </c>
      <c r="H3018">
        <v>58.5</v>
      </c>
      <c r="I3018">
        <v>49.6</v>
      </c>
      <c r="J3018">
        <v>67.400000000000006</v>
      </c>
      <c r="K3018">
        <v>65</v>
      </c>
      <c r="L3018">
        <v>11</v>
      </c>
      <c r="M3018">
        <v>118</v>
      </c>
      <c r="N3018">
        <v>2</v>
      </c>
      <c r="O3018">
        <v>0.8</v>
      </c>
      <c r="P3018">
        <v>3.1</v>
      </c>
      <c r="Q3018">
        <f t="shared" si="92"/>
        <v>1372203</v>
      </c>
      <c r="R3018">
        <f t="shared" si="93"/>
        <v>4.736908460337137</v>
      </c>
      <c r="U3018">
        <v>178</v>
      </c>
      <c r="V3018">
        <v>20</v>
      </c>
      <c r="W3018">
        <v>335</v>
      </c>
      <c r="X3018">
        <v>214</v>
      </c>
      <c r="Y3018">
        <v>45.3</v>
      </c>
      <c r="Z3018">
        <v>27.9</v>
      </c>
      <c r="AA3018">
        <v>62.7</v>
      </c>
    </row>
    <row r="3019" spans="1:27" x14ac:dyDescent="0.25">
      <c r="A3019" t="s">
        <v>254</v>
      </c>
      <c r="B3019" t="s">
        <v>213</v>
      </c>
      <c r="C3019" s="76">
        <v>44005</v>
      </c>
      <c r="D3019">
        <v>2006</v>
      </c>
      <c r="E3019">
        <v>737</v>
      </c>
      <c r="F3019">
        <v>3274</v>
      </c>
      <c r="G3019">
        <v>1310</v>
      </c>
      <c r="H3019">
        <v>60.5</v>
      </c>
      <c r="I3019">
        <v>51.9</v>
      </c>
      <c r="J3019">
        <v>69</v>
      </c>
      <c r="K3019">
        <v>64</v>
      </c>
      <c r="L3019">
        <v>11</v>
      </c>
      <c r="M3019">
        <v>116</v>
      </c>
      <c r="N3019">
        <v>1.9</v>
      </c>
      <c r="O3019">
        <v>0.8</v>
      </c>
      <c r="P3019">
        <v>3</v>
      </c>
      <c r="Q3019">
        <f t="shared" si="92"/>
        <v>1372203</v>
      </c>
      <c r="R3019">
        <f t="shared" si="93"/>
        <v>4.6640329455627194</v>
      </c>
      <c r="U3019">
        <v>190</v>
      </c>
      <c r="V3019">
        <v>14</v>
      </c>
      <c r="W3019">
        <v>366</v>
      </c>
      <c r="X3019">
        <v>199</v>
      </c>
      <c r="Y3019">
        <v>48.9</v>
      </c>
      <c r="Z3019">
        <v>28.8</v>
      </c>
      <c r="AA3019">
        <v>68.900000000000006</v>
      </c>
    </row>
    <row r="3020" spans="1:27" x14ac:dyDescent="0.25">
      <c r="A3020" t="s">
        <v>254</v>
      </c>
      <c r="B3020" t="s">
        <v>213</v>
      </c>
      <c r="C3020" s="76">
        <v>44006</v>
      </c>
      <c r="D3020">
        <v>2075</v>
      </c>
      <c r="E3020">
        <v>769</v>
      </c>
      <c r="F3020">
        <v>3380</v>
      </c>
      <c r="G3020">
        <v>1258</v>
      </c>
      <c r="H3020">
        <v>62.2</v>
      </c>
      <c r="I3020">
        <v>53.8</v>
      </c>
      <c r="J3020">
        <v>70.7</v>
      </c>
      <c r="K3020">
        <v>70</v>
      </c>
      <c r="L3020">
        <v>8</v>
      </c>
      <c r="M3020">
        <v>133</v>
      </c>
      <c r="N3020">
        <v>2.1</v>
      </c>
      <c r="O3020">
        <v>0.7</v>
      </c>
      <c r="P3020">
        <v>3.5</v>
      </c>
      <c r="Q3020">
        <f t="shared" si="92"/>
        <v>1372203</v>
      </c>
      <c r="R3020">
        <f t="shared" si="93"/>
        <v>5.1012860342092248</v>
      </c>
      <c r="U3020">
        <v>193</v>
      </c>
      <c r="V3020">
        <v>16</v>
      </c>
      <c r="W3020">
        <v>369</v>
      </c>
      <c r="X3020">
        <v>199</v>
      </c>
      <c r="Y3020">
        <v>49.2</v>
      </c>
      <c r="Z3020">
        <v>28.5</v>
      </c>
      <c r="AA3020">
        <v>69.900000000000006</v>
      </c>
    </row>
    <row r="3021" spans="1:27" x14ac:dyDescent="0.25">
      <c r="A3021" t="s">
        <v>254</v>
      </c>
      <c r="B3021" t="s">
        <v>213</v>
      </c>
      <c r="C3021" s="76">
        <v>44007</v>
      </c>
      <c r="D3021">
        <v>2083</v>
      </c>
      <c r="E3021">
        <v>762</v>
      </c>
      <c r="F3021">
        <v>3404</v>
      </c>
      <c r="G3021">
        <v>1250</v>
      </c>
      <c r="H3021">
        <v>62.5</v>
      </c>
      <c r="I3021">
        <v>53.7</v>
      </c>
      <c r="J3021">
        <v>71.3</v>
      </c>
      <c r="K3021">
        <v>68</v>
      </c>
      <c r="L3021">
        <v>14</v>
      </c>
      <c r="M3021">
        <v>122</v>
      </c>
      <c r="N3021">
        <v>2</v>
      </c>
      <c r="O3021">
        <v>0.9</v>
      </c>
      <c r="P3021">
        <v>3.2</v>
      </c>
      <c r="Q3021">
        <f t="shared" si="92"/>
        <v>1372203</v>
      </c>
      <c r="R3021">
        <f t="shared" si="93"/>
        <v>4.9555350046603897</v>
      </c>
      <c r="U3021">
        <v>206</v>
      </c>
      <c r="V3021">
        <v>21</v>
      </c>
      <c r="W3021">
        <v>390</v>
      </c>
      <c r="X3021">
        <v>186</v>
      </c>
      <c r="Y3021">
        <v>52.5</v>
      </c>
      <c r="Z3021">
        <v>31.4</v>
      </c>
      <c r="AA3021">
        <v>73.599999999999994</v>
      </c>
    </row>
    <row r="3022" spans="1:27" x14ac:dyDescent="0.25">
      <c r="A3022" t="s">
        <v>254</v>
      </c>
      <c r="B3022" t="s">
        <v>213</v>
      </c>
      <c r="C3022" s="76">
        <v>44008</v>
      </c>
      <c r="D3022">
        <v>2053</v>
      </c>
      <c r="E3022">
        <v>755</v>
      </c>
      <c r="F3022">
        <v>3351</v>
      </c>
      <c r="G3022">
        <v>1270</v>
      </c>
      <c r="H3022">
        <v>61.8</v>
      </c>
      <c r="I3022">
        <v>52.6</v>
      </c>
      <c r="J3022">
        <v>70.900000000000006</v>
      </c>
      <c r="K3022">
        <v>69</v>
      </c>
      <c r="L3022">
        <v>13</v>
      </c>
      <c r="M3022">
        <v>126</v>
      </c>
      <c r="N3022">
        <v>2.1</v>
      </c>
      <c r="O3022">
        <v>0.9</v>
      </c>
      <c r="P3022">
        <v>3.3</v>
      </c>
      <c r="Q3022">
        <f t="shared" si="92"/>
        <v>1372203</v>
      </c>
      <c r="R3022">
        <f t="shared" si="93"/>
        <v>5.0284105194348063</v>
      </c>
      <c r="U3022">
        <v>206</v>
      </c>
      <c r="V3022">
        <v>23</v>
      </c>
      <c r="W3022">
        <v>389</v>
      </c>
      <c r="X3022">
        <v>189</v>
      </c>
      <c r="Y3022">
        <v>52.2</v>
      </c>
      <c r="Z3022">
        <v>30.7</v>
      </c>
      <c r="AA3022">
        <v>73.7</v>
      </c>
    </row>
    <row r="3023" spans="1:27" x14ac:dyDescent="0.25">
      <c r="A3023" t="s">
        <v>254</v>
      </c>
      <c r="B3023" t="s">
        <v>213</v>
      </c>
      <c r="C3023" s="76">
        <v>44009</v>
      </c>
      <c r="D3023">
        <v>2018</v>
      </c>
      <c r="E3023">
        <v>770</v>
      </c>
      <c r="F3023">
        <v>3266</v>
      </c>
      <c r="G3023">
        <v>1327</v>
      </c>
      <c r="H3023">
        <v>60.3</v>
      </c>
      <c r="I3023">
        <v>51.1</v>
      </c>
      <c r="J3023">
        <v>69.599999999999994</v>
      </c>
      <c r="K3023">
        <v>75</v>
      </c>
      <c r="L3023">
        <v>18</v>
      </c>
      <c r="M3023">
        <v>131</v>
      </c>
      <c r="N3023">
        <v>2.2000000000000002</v>
      </c>
      <c r="O3023">
        <v>1</v>
      </c>
      <c r="P3023">
        <v>3.4</v>
      </c>
      <c r="Q3023">
        <f t="shared" si="92"/>
        <v>1372203</v>
      </c>
      <c r="R3023">
        <f t="shared" si="93"/>
        <v>5.4656636080813117</v>
      </c>
      <c r="U3023">
        <v>204</v>
      </c>
      <c r="V3023">
        <v>21</v>
      </c>
      <c r="W3023">
        <v>386</v>
      </c>
      <c r="X3023">
        <v>191</v>
      </c>
      <c r="Y3023">
        <v>51.7</v>
      </c>
      <c r="Z3023">
        <v>30.2</v>
      </c>
      <c r="AA3023">
        <v>73.2</v>
      </c>
    </row>
    <row r="3024" spans="1:27" x14ac:dyDescent="0.25">
      <c r="A3024" t="s">
        <v>254</v>
      </c>
      <c r="B3024" t="s">
        <v>213</v>
      </c>
      <c r="C3024" s="76">
        <v>44010</v>
      </c>
      <c r="D3024">
        <v>1978</v>
      </c>
      <c r="E3024">
        <v>758</v>
      </c>
      <c r="F3024">
        <v>3198</v>
      </c>
      <c r="G3024">
        <v>1363</v>
      </c>
      <c r="H3024">
        <v>59.2</v>
      </c>
      <c r="I3024">
        <v>49.9</v>
      </c>
      <c r="J3024">
        <v>68.599999999999994</v>
      </c>
      <c r="K3024">
        <v>57</v>
      </c>
      <c r="L3024">
        <v>14</v>
      </c>
      <c r="M3024">
        <v>99</v>
      </c>
      <c r="N3024">
        <v>1.7</v>
      </c>
      <c r="O3024">
        <v>0.8</v>
      </c>
      <c r="P3024">
        <v>2.6</v>
      </c>
      <c r="Q3024">
        <f t="shared" si="92"/>
        <v>1372203</v>
      </c>
      <c r="R3024">
        <f t="shared" si="93"/>
        <v>4.1539043421417965</v>
      </c>
      <c r="U3024">
        <v>193</v>
      </c>
      <c r="V3024">
        <v>20</v>
      </c>
      <c r="W3024">
        <v>367</v>
      </c>
      <c r="X3024">
        <v>200</v>
      </c>
      <c r="Y3024">
        <v>49.2</v>
      </c>
      <c r="Z3024">
        <v>27.1</v>
      </c>
      <c r="AA3024">
        <v>71.2</v>
      </c>
    </row>
    <row r="3025" spans="1:27" x14ac:dyDescent="0.25">
      <c r="A3025" t="s">
        <v>254</v>
      </c>
      <c r="B3025" t="s">
        <v>213</v>
      </c>
      <c r="C3025" s="76">
        <v>44011</v>
      </c>
      <c r="D3025">
        <v>2000</v>
      </c>
      <c r="E3025">
        <v>733</v>
      </c>
      <c r="F3025">
        <v>3267</v>
      </c>
      <c r="G3025">
        <v>1266</v>
      </c>
      <c r="H3025">
        <v>61.2</v>
      </c>
      <c r="I3025">
        <v>52</v>
      </c>
      <c r="J3025">
        <v>70.5</v>
      </c>
      <c r="K3025">
        <v>52</v>
      </c>
      <c r="L3025">
        <v>9</v>
      </c>
      <c r="M3025">
        <v>96</v>
      </c>
      <c r="N3025">
        <v>1.6</v>
      </c>
      <c r="O3025">
        <v>0.6</v>
      </c>
      <c r="P3025">
        <v>2.6</v>
      </c>
      <c r="Q3025">
        <f t="shared" si="92"/>
        <v>1372203</v>
      </c>
      <c r="R3025">
        <f t="shared" si="93"/>
        <v>3.7895267682697096</v>
      </c>
      <c r="U3025">
        <v>201</v>
      </c>
      <c r="V3025">
        <v>22</v>
      </c>
      <c r="W3025">
        <v>380</v>
      </c>
      <c r="X3025">
        <v>193</v>
      </c>
      <c r="Y3025">
        <v>50.9</v>
      </c>
      <c r="Z3025">
        <v>28.6</v>
      </c>
      <c r="AA3025">
        <v>73.3</v>
      </c>
    </row>
    <row r="3026" spans="1:27" x14ac:dyDescent="0.25">
      <c r="A3026" t="s">
        <v>254</v>
      </c>
      <c r="B3026" t="s">
        <v>213</v>
      </c>
      <c r="C3026" s="76">
        <v>44012</v>
      </c>
      <c r="D3026">
        <v>2100</v>
      </c>
      <c r="E3026">
        <v>791</v>
      </c>
      <c r="F3026">
        <v>3410</v>
      </c>
      <c r="G3026">
        <v>1166</v>
      </c>
      <c r="H3026">
        <v>64.3</v>
      </c>
      <c r="I3026">
        <v>55.6</v>
      </c>
      <c r="J3026">
        <v>73</v>
      </c>
      <c r="K3026">
        <v>73</v>
      </c>
      <c r="L3026">
        <v>12</v>
      </c>
      <c r="M3026">
        <v>134</v>
      </c>
      <c r="N3026">
        <v>2.2000000000000002</v>
      </c>
      <c r="O3026">
        <v>0.9</v>
      </c>
      <c r="P3026">
        <v>3.5</v>
      </c>
      <c r="Q3026">
        <f t="shared" si="92"/>
        <v>1372203</v>
      </c>
      <c r="R3026">
        <f t="shared" si="93"/>
        <v>5.3199125785324766</v>
      </c>
      <c r="U3026">
        <v>205</v>
      </c>
      <c r="V3026">
        <v>26</v>
      </c>
      <c r="W3026">
        <v>384</v>
      </c>
      <c r="X3026">
        <v>189</v>
      </c>
      <c r="Y3026">
        <v>52</v>
      </c>
      <c r="Z3026">
        <v>30.5</v>
      </c>
      <c r="AA3026">
        <v>73.400000000000006</v>
      </c>
    </row>
    <row r="3027" spans="1:27" x14ac:dyDescent="0.25">
      <c r="A3027" t="s">
        <v>254</v>
      </c>
      <c r="B3027" t="s">
        <v>213</v>
      </c>
      <c r="C3027" s="76">
        <v>44013</v>
      </c>
      <c r="D3027">
        <v>2117</v>
      </c>
      <c r="E3027">
        <v>791</v>
      </c>
      <c r="F3027">
        <v>3442</v>
      </c>
      <c r="G3027">
        <v>1154</v>
      </c>
      <c r="H3027">
        <v>64.7</v>
      </c>
      <c r="I3027">
        <v>56.6</v>
      </c>
      <c r="J3027">
        <v>72.900000000000006</v>
      </c>
      <c r="K3027">
        <v>85</v>
      </c>
      <c r="L3027">
        <v>0</v>
      </c>
      <c r="M3027">
        <v>170</v>
      </c>
      <c r="N3027">
        <v>2.6</v>
      </c>
      <c r="O3027">
        <v>0.5</v>
      </c>
      <c r="P3027">
        <v>4.7</v>
      </c>
      <c r="Q3027">
        <f t="shared" si="92"/>
        <v>1372203</v>
      </c>
      <c r="R3027">
        <f t="shared" si="93"/>
        <v>6.1944187558254855</v>
      </c>
      <c r="U3027">
        <v>214</v>
      </c>
      <c r="V3027">
        <v>32</v>
      </c>
      <c r="W3027">
        <v>396</v>
      </c>
      <c r="X3027">
        <v>182</v>
      </c>
      <c r="Y3027">
        <v>54</v>
      </c>
      <c r="Z3027">
        <v>33</v>
      </c>
      <c r="AA3027">
        <v>75</v>
      </c>
    </row>
    <row r="3028" spans="1:27" x14ac:dyDescent="0.25">
      <c r="A3028" t="s">
        <v>254</v>
      </c>
      <c r="B3028" t="s">
        <v>213</v>
      </c>
      <c r="C3028" s="76">
        <v>44014</v>
      </c>
      <c r="D3028">
        <v>2103</v>
      </c>
      <c r="E3028">
        <v>772</v>
      </c>
      <c r="F3028">
        <v>3434</v>
      </c>
      <c r="G3028">
        <v>1170</v>
      </c>
      <c r="H3028">
        <v>64.3</v>
      </c>
      <c r="I3028">
        <v>55.3</v>
      </c>
      <c r="J3028">
        <v>73.3</v>
      </c>
      <c r="K3028">
        <v>85</v>
      </c>
      <c r="L3028">
        <v>11</v>
      </c>
      <c r="M3028">
        <v>159</v>
      </c>
      <c r="N3028">
        <v>2.6</v>
      </c>
      <c r="O3028">
        <v>1</v>
      </c>
      <c r="P3028">
        <v>4.2</v>
      </c>
      <c r="Q3028">
        <f t="shared" si="92"/>
        <v>1372203</v>
      </c>
      <c r="R3028">
        <f t="shared" si="93"/>
        <v>6.1944187558254855</v>
      </c>
      <c r="U3028">
        <v>215</v>
      </c>
      <c r="V3028">
        <v>30</v>
      </c>
      <c r="W3028">
        <v>399</v>
      </c>
      <c r="X3028">
        <v>181</v>
      </c>
      <c r="Y3028">
        <v>54.1</v>
      </c>
      <c r="Z3028">
        <v>33.700000000000003</v>
      </c>
      <c r="AA3028">
        <v>74.599999999999994</v>
      </c>
    </row>
    <row r="3029" spans="1:27" x14ac:dyDescent="0.25">
      <c r="A3029" t="s">
        <v>254</v>
      </c>
      <c r="B3029" t="s">
        <v>213</v>
      </c>
      <c r="C3029" s="76">
        <v>44015</v>
      </c>
      <c r="D3029">
        <v>2088</v>
      </c>
      <c r="E3029">
        <v>759</v>
      </c>
      <c r="F3029">
        <v>3417</v>
      </c>
      <c r="G3029">
        <v>1183</v>
      </c>
      <c r="H3029">
        <v>63.8</v>
      </c>
      <c r="I3029">
        <v>54.9</v>
      </c>
      <c r="J3029">
        <v>72.8</v>
      </c>
      <c r="K3029">
        <v>93</v>
      </c>
      <c r="L3029">
        <v>14</v>
      </c>
      <c r="M3029">
        <v>172</v>
      </c>
      <c r="N3029">
        <v>2.8</v>
      </c>
      <c r="O3029">
        <v>1.2</v>
      </c>
      <c r="P3029">
        <v>4.5</v>
      </c>
      <c r="Q3029">
        <f t="shared" si="92"/>
        <v>1372203</v>
      </c>
      <c r="R3029">
        <f t="shared" si="93"/>
        <v>6.777422874020826</v>
      </c>
      <c r="U3029">
        <v>218</v>
      </c>
      <c r="V3029">
        <v>32</v>
      </c>
      <c r="W3029">
        <v>404</v>
      </c>
      <c r="X3029">
        <v>178</v>
      </c>
      <c r="Y3029">
        <v>55.1</v>
      </c>
      <c r="Z3029">
        <v>34.299999999999997</v>
      </c>
      <c r="AA3029">
        <v>75.8</v>
      </c>
    </row>
    <row r="3030" spans="1:27" x14ac:dyDescent="0.25">
      <c r="A3030" t="s">
        <v>254</v>
      </c>
      <c r="B3030" t="s">
        <v>213</v>
      </c>
      <c r="C3030" s="76">
        <v>44016</v>
      </c>
      <c r="D3030">
        <v>1965</v>
      </c>
      <c r="E3030">
        <v>701</v>
      </c>
      <c r="F3030">
        <v>3228</v>
      </c>
      <c r="G3030">
        <v>1297</v>
      </c>
      <c r="H3030">
        <v>60.2</v>
      </c>
      <c r="I3030">
        <v>50.9</v>
      </c>
      <c r="J3030">
        <v>69.599999999999994</v>
      </c>
      <c r="K3030">
        <v>77</v>
      </c>
      <c r="L3030">
        <v>18</v>
      </c>
      <c r="M3030">
        <v>137</v>
      </c>
      <c r="N3030">
        <v>2.4</v>
      </c>
      <c r="O3030">
        <v>1.2</v>
      </c>
      <c r="P3030">
        <v>3.5</v>
      </c>
      <c r="Q3030">
        <f t="shared" si="92"/>
        <v>1372203</v>
      </c>
      <c r="R3030">
        <f t="shared" si="93"/>
        <v>5.6114146376301468</v>
      </c>
      <c r="U3030">
        <v>195</v>
      </c>
      <c r="V3030">
        <v>19</v>
      </c>
      <c r="W3030">
        <v>370</v>
      </c>
      <c r="X3030">
        <v>201</v>
      </c>
      <c r="Y3030">
        <v>49.2</v>
      </c>
      <c r="Z3030">
        <v>29</v>
      </c>
      <c r="AA3030">
        <v>69.5</v>
      </c>
    </row>
    <row r="3031" spans="1:27" x14ac:dyDescent="0.25">
      <c r="A3031" t="s">
        <v>254</v>
      </c>
      <c r="B3031" t="s">
        <v>213</v>
      </c>
      <c r="C3031" s="76">
        <v>44017</v>
      </c>
      <c r="D3031">
        <v>1945</v>
      </c>
      <c r="E3031">
        <v>707</v>
      </c>
      <c r="F3031">
        <v>3184</v>
      </c>
      <c r="G3031">
        <v>1318</v>
      </c>
      <c r="H3031">
        <v>59.6</v>
      </c>
      <c r="I3031">
        <v>50.7</v>
      </c>
      <c r="J3031">
        <v>68.5</v>
      </c>
      <c r="K3031">
        <v>90</v>
      </c>
      <c r="L3031">
        <v>18</v>
      </c>
      <c r="M3031">
        <v>163</v>
      </c>
      <c r="N3031">
        <v>2.8</v>
      </c>
      <c r="O3031">
        <v>1.2</v>
      </c>
      <c r="P3031">
        <v>4.3</v>
      </c>
      <c r="Q3031">
        <f t="shared" si="92"/>
        <v>1372203</v>
      </c>
      <c r="R3031">
        <f t="shared" si="93"/>
        <v>6.5587963296975733</v>
      </c>
      <c r="U3031">
        <v>194</v>
      </c>
      <c r="V3031">
        <v>30</v>
      </c>
      <c r="W3031">
        <v>358</v>
      </c>
      <c r="X3031">
        <v>202</v>
      </c>
      <c r="Y3031">
        <v>49.1</v>
      </c>
      <c r="Z3031">
        <v>30.8</v>
      </c>
      <c r="AA3031">
        <v>67.400000000000006</v>
      </c>
    </row>
    <row r="3032" spans="1:27" x14ac:dyDescent="0.25">
      <c r="A3032" t="s">
        <v>254</v>
      </c>
      <c r="B3032" t="s">
        <v>213</v>
      </c>
      <c r="C3032" s="76">
        <v>44018</v>
      </c>
      <c r="D3032">
        <v>2030</v>
      </c>
      <c r="E3032">
        <v>753</v>
      </c>
      <c r="F3032">
        <v>3306</v>
      </c>
      <c r="G3032">
        <v>1231</v>
      </c>
      <c r="H3032">
        <v>62.2</v>
      </c>
      <c r="I3032">
        <v>54</v>
      </c>
      <c r="J3032">
        <v>70.5</v>
      </c>
      <c r="K3032">
        <v>66</v>
      </c>
      <c r="L3032">
        <v>13</v>
      </c>
      <c r="M3032">
        <v>118</v>
      </c>
      <c r="N3032">
        <v>2</v>
      </c>
      <c r="O3032">
        <v>0.9</v>
      </c>
      <c r="P3032">
        <v>3.2</v>
      </c>
      <c r="Q3032">
        <f t="shared" si="92"/>
        <v>1372203</v>
      </c>
      <c r="R3032">
        <f t="shared" si="93"/>
        <v>4.8097839751115545</v>
      </c>
      <c r="U3032">
        <v>197</v>
      </c>
      <c r="V3032">
        <v>32</v>
      </c>
      <c r="W3032">
        <v>362</v>
      </c>
      <c r="X3032">
        <v>199</v>
      </c>
      <c r="Y3032">
        <v>49.8</v>
      </c>
      <c r="Z3032">
        <v>31.4</v>
      </c>
      <c r="AA3032">
        <v>68.2</v>
      </c>
    </row>
    <row r="3033" spans="1:27" x14ac:dyDescent="0.25">
      <c r="A3033" t="s">
        <v>254</v>
      </c>
      <c r="B3033" t="s">
        <v>213</v>
      </c>
      <c r="C3033" s="76">
        <v>44019</v>
      </c>
      <c r="D3033">
        <v>2106</v>
      </c>
      <c r="E3033">
        <v>784</v>
      </c>
      <c r="F3033">
        <v>3429</v>
      </c>
      <c r="G3033">
        <v>1122</v>
      </c>
      <c r="H3033">
        <v>65.2</v>
      </c>
      <c r="I3033">
        <v>56</v>
      </c>
      <c r="J3033">
        <v>74.5</v>
      </c>
      <c r="K3033">
        <v>83</v>
      </c>
      <c r="L3033">
        <v>9</v>
      </c>
      <c r="M3033">
        <v>156</v>
      </c>
      <c r="N3033">
        <v>2.6</v>
      </c>
      <c r="O3033">
        <v>0.9</v>
      </c>
      <c r="P3033">
        <v>4.3</v>
      </c>
      <c r="Q3033">
        <f t="shared" si="92"/>
        <v>1372203</v>
      </c>
      <c r="R3033">
        <f t="shared" si="93"/>
        <v>6.0486677262766513</v>
      </c>
      <c r="U3033">
        <v>204</v>
      </c>
      <c r="V3033">
        <v>27</v>
      </c>
      <c r="W3033">
        <v>381</v>
      </c>
      <c r="X3033">
        <v>192</v>
      </c>
      <c r="Y3033">
        <v>51.6</v>
      </c>
      <c r="Z3033">
        <v>31.7</v>
      </c>
      <c r="AA3033">
        <v>71.5</v>
      </c>
    </row>
    <row r="3034" spans="1:27" x14ac:dyDescent="0.25">
      <c r="A3034" t="s">
        <v>255</v>
      </c>
      <c r="B3034" t="s">
        <v>182</v>
      </c>
      <c r="C3034" s="76">
        <v>43922</v>
      </c>
      <c r="D3034">
        <v>9888</v>
      </c>
      <c r="E3034">
        <v>3380</v>
      </c>
      <c r="F3034">
        <v>16396</v>
      </c>
      <c r="G3034">
        <v>7922</v>
      </c>
      <c r="H3034">
        <v>55.5</v>
      </c>
      <c r="I3034">
        <v>41.8</v>
      </c>
      <c r="J3034">
        <v>69.3</v>
      </c>
      <c r="K3034">
        <v>5283</v>
      </c>
      <c r="L3034">
        <v>513</v>
      </c>
      <c r="M3034">
        <v>10053</v>
      </c>
      <c r="N3034">
        <v>29.7</v>
      </c>
      <c r="O3034">
        <v>17.399999999999999</v>
      </c>
      <c r="P3034">
        <v>41.9</v>
      </c>
      <c r="Q3034">
        <f t="shared" si="92"/>
        <v>8874520</v>
      </c>
      <c r="R3034">
        <f t="shared" si="93"/>
        <v>59.529980213014341</v>
      </c>
      <c r="U3034">
        <v>3650</v>
      </c>
      <c r="V3034">
        <v>296</v>
      </c>
      <c r="W3034">
        <v>7004</v>
      </c>
      <c r="X3034">
        <v>1475</v>
      </c>
      <c r="Y3034">
        <v>71.2</v>
      </c>
      <c r="Z3034">
        <v>46.6</v>
      </c>
      <c r="AA3034">
        <v>95.8</v>
      </c>
    </row>
    <row r="3035" spans="1:27" x14ac:dyDescent="0.25">
      <c r="A3035" t="s">
        <v>255</v>
      </c>
      <c r="B3035" t="s">
        <v>182</v>
      </c>
      <c r="C3035" s="76">
        <v>43923</v>
      </c>
      <c r="D3035">
        <v>9861</v>
      </c>
      <c r="E3035">
        <v>3255</v>
      </c>
      <c r="F3035">
        <v>16466</v>
      </c>
      <c r="G3035">
        <v>7831</v>
      </c>
      <c r="H3035">
        <v>55.7</v>
      </c>
      <c r="I3035">
        <v>41.5</v>
      </c>
      <c r="J3035">
        <v>70</v>
      </c>
      <c r="K3035">
        <v>5603</v>
      </c>
      <c r="L3035">
        <v>544</v>
      </c>
      <c r="M3035">
        <v>10661</v>
      </c>
      <c r="N3035">
        <v>31.7</v>
      </c>
      <c r="O3035">
        <v>20.2</v>
      </c>
      <c r="P3035">
        <v>43.2</v>
      </c>
      <c r="Q3035">
        <f t="shared" si="92"/>
        <v>8874520</v>
      </c>
      <c r="R3035">
        <f t="shared" si="93"/>
        <v>63.13580903530557</v>
      </c>
      <c r="U3035">
        <v>3775</v>
      </c>
      <c r="V3035">
        <v>264</v>
      </c>
      <c r="W3035">
        <v>7285</v>
      </c>
      <c r="X3035">
        <v>1382</v>
      </c>
      <c r="Y3035">
        <v>73.2</v>
      </c>
      <c r="Z3035">
        <v>46.8</v>
      </c>
      <c r="AA3035">
        <v>99.6</v>
      </c>
    </row>
    <row r="3036" spans="1:27" x14ac:dyDescent="0.25">
      <c r="A3036" t="s">
        <v>255</v>
      </c>
      <c r="B3036" t="s">
        <v>182</v>
      </c>
      <c r="C3036" s="76">
        <v>43924</v>
      </c>
      <c r="D3036">
        <v>10221</v>
      </c>
      <c r="E3036">
        <v>3602</v>
      </c>
      <c r="F3036">
        <v>16840</v>
      </c>
      <c r="G3036">
        <v>7669</v>
      </c>
      <c r="H3036">
        <v>57.1</v>
      </c>
      <c r="I3036">
        <v>46.2</v>
      </c>
      <c r="J3036">
        <v>68</v>
      </c>
      <c r="K3036">
        <v>6013</v>
      </c>
      <c r="L3036">
        <v>777</v>
      </c>
      <c r="M3036">
        <v>11249</v>
      </c>
      <c r="N3036">
        <v>33.6</v>
      </c>
      <c r="O3036">
        <v>22</v>
      </c>
      <c r="P3036">
        <v>45.2</v>
      </c>
      <c r="Q3036">
        <f t="shared" si="92"/>
        <v>8874520</v>
      </c>
      <c r="R3036">
        <f t="shared" si="93"/>
        <v>67.75577721386621</v>
      </c>
      <c r="U3036">
        <v>3802</v>
      </c>
      <c r="V3036">
        <v>487</v>
      </c>
      <c r="W3036">
        <v>7117</v>
      </c>
      <c r="X3036">
        <v>1578</v>
      </c>
      <c r="Y3036">
        <v>70.7</v>
      </c>
      <c r="Z3036">
        <v>44.3</v>
      </c>
      <c r="AA3036">
        <v>97</v>
      </c>
    </row>
    <row r="3037" spans="1:27" x14ac:dyDescent="0.25">
      <c r="A3037" t="s">
        <v>255</v>
      </c>
      <c r="B3037" t="s">
        <v>182</v>
      </c>
      <c r="C3037" s="76">
        <v>43925</v>
      </c>
      <c r="D3037">
        <v>9682</v>
      </c>
      <c r="E3037">
        <v>2967</v>
      </c>
      <c r="F3037">
        <v>16398</v>
      </c>
      <c r="G3037">
        <v>8419</v>
      </c>
      <c r="H3037">
        <v>53.5</v>
      </c>
      <c r="I3037">
        <v>37.6</v>
      </c>
      <c r="J3037">
        <v>69.400000000000006</v>
      </c>
      <c r="K3037">
        <v>6038</v>
      </c>
      <c r="L3037">
        <v>584</v>
      </c>
      <c r="M3037">
        <v>11492</v>
      </c>
      <c r="N3037">
        <v>33.4</v>
      </c>
      <c r="O3037">
        <v>19.5</v>
      </c>
      <c r="P3037">
        <v>47.2</v>
      </c>
      <c r="Q3037">
        <f t="shared" si="92"/>
        <v>8874520</v>
      </c>
      <c r="R3037">
        <f t="shared" si="93"/>
        <v>68.037482590607723</v>
      </c>
      <c r="U3037">
        <v>4044</v>
      </c>
      <c r="V3037">
        <v>289</v>
      </c>
      <c r="W3037">
        <v>7799</v>
      </c>
      <c r="X3037">
        <v>1351</v>
      </c>
      <c r="Y3037">
        <v>75</v>
      </c>
      <c r="Z3037">
        <v>52.9</v>
      </c>
      <c r="AA3037">
        <v>97</v>
      </c>
    </row>
    <row r="3038" spans="1:27" x14ac:dyDescent="0.25">
      <c r="A3038" t="s">
        <v>255</v>
      </c>
      <c r="B3038" t="s">
        <v>182</v>
      </c>
      <c r="C3038" s="76">
        <v>43926</v>
      </c>
      <c r="D3038">
        <v>9605</v>
      </c>
      <c r="E3038">
        <v>3563</v>
      </c>
      <c r="F3038">
        <v>15647</v>
      </c>
      <c r="G3038">
        <v>8540</v>
      </c>
      <c r="H3038">
        <v>52.9</v>
      </c>
      <c r="I3038">
        <v>42.7</v>
      </c>
      <c r="J3038">
        <v>63.2</v>
      </c>
      <c r="K3038">
        <v>5735</v>
      </c>
      <c r="L3038">
        <v>383</v>
      </c>
      <c r="M3038">
        <v>11087</v>
      </c>
      <c r="N3038">
        <v>31.6</v>
      </c>
      <c r="O3038">
        <v>15.2</v>
      </c>
      <c r="P3038">
        <v>48</v>
      </c>
      <c r="Q3038">
        <f t="shared" si="92"/>
        <v>8874520</v>
      </c>
      <c r="R3038">
        <f t="shared" si="93"/>
        <v>64.623213424500705</v>
      </c>
      <c r="U3038">
        <v>3894</v>
      </c>
      <c r="V3038">
        <v>251</v>
      </c>
      <c r="W3038">
        <v>7537</v>
      </c>
      <c r="X3038">
        <v>1499</v>
      </c>
      <c r="Y3038">
        <v>72.2</v>
      </c>
      <c r="Z3038">
        <v>44.3</v>
      </c>
      <c r="AA3038">
        <v>100</v>
      </c>
    </row>
    <row r="3039" spans="1:27" x14ac:dyDescent="0.25">
      <c r="A3039" t="s">
        <v>255</v>
      </c>
      <c r="B3039" t="s">
        <v>182</v>
      </c>
      <c r="C3039" s="76">
        <v>43927</v>
      </c>
      <c r="D3039">
        <v>9719</v>
      </c>
      <c r="E3039">
        <v>3489</v>
      </c>
      <c r="F3039">
        <v>15949</v>
      </c>
      <c r="G3039">
        <v>8351</v>
      </c>
      <c r="H3039">
        <v>53.8</v>
      </c>
      <c r="I3039">
        <v>43</v>
      </c>
      <c r="J3039">
        <v>64.599999999999994</v>
      </c>
      <c r="K3039">
        <v>6289</v>
      </c>
      <c r="L3039">
        <v>534</v>
      </c>
      <c r="M3039">
        <v>12044</v>
      </c>
      <c r="N3039">
        <v>34.799999999999997</v>
      </c>
      <c r="O3039">
        <v>19.899999999999999</v>
      </c>
      <c r="P3039">
        <v>49.7</v>
      </c>
      <c r="Q3039">
        <f t="shared" si="92"/>
        <v>8874520</v>
      </c>
      <c r="R3039">
        <f t="shared" si="93"/>
        <v>70.865804573092404</v>
      </c>
      <c r="U3039">
        <v>4054</v>
      </c>
      <c r="V3039">
        <v>285</v>
      </c>
      <c r="W3039">
        <v>7823</v>
      </c>
      <c r="X3039">
        <v>1302</v>
      </c>
      <c r="Y3039">
        <v>75.7</v>
      </c>
      <c r="Z3039">
        <v>49.1</v>
      </c>
      <c r="AA3039">
        <v>100</v>
      </c>
    </row>
    <row r="3040" spans="1:27" x14ac:dyDescent="0.25">
      <c r="A3040" t="s">
        <v>255</v>
      </c>
      <c r="B3040" t="s">
        <v>182</v>
      </c>
      <c r="C3040" s="76">
        <v>43928</v>
      </c>
      <c r="D3040">
        <v>11582</v>
      </c>
      <c r="E3040">
        <v>4014</v>
      </c>
      <c r="F3040">
        <v>19150</v>
      </c>
      <c r="G3040">
        <v>6457</v>
      </c>
      <c r="H3040">
        <v>64.2</v>
      </c>
      <c r="I3040">
        <v>47.4</v>
      </c>
      <c r="J3040">
        <v>81.099999999999994</v>
      </c>
      <c r="K3040">
        <v>7288</v>
      </c>
      <c r="L3040">
        <v>1774</v>
      </c>
      <c r="M3040">
        <v>12802</v>
      </c>
      <c r="N3040">
        <v>40.4</v>
      </c>
      <c r="O3040">
        <v>29.2</v>
      </c>
      <c r="P3040">
        <v>51.6</v>
      </c>
      <c r="Q3040">
        <f t="shared" si="92"/>
        <v>8874520</v>
      </c>
      <c r="R3040">
        <f t="shared" si="93"/>
        <v>82.122751427682843</v>
      </c>
      <c r="U3040">
        <v>2940</v>
      </c>
      <c r="V3040">
        <v>897</v>
      </c>
      <c r="W3040">
        <v>4983</v>
      </c>
      <c r="X3040">
        <v>1014</v>
      </c>
      <c r="Y3040">
        <v>74.3</v>
      </c>
      <c r="Z3040">
        <v>57.8</v>
      </c>
      <c r="AA3040">
        <v>90.9</v>
      </c>
    </row>
    <row r="3041" spans="1:27" x14ac:dyDescent="0.25">
      <c r="A3041" t="s">
        <v>255</v>
      </c>
      <c r="B3041" t="s">
        <v>182</v>
      </c>
      <c r="C3041" s="76">
        <v>43929</v>
      </c>
      <c r="D3041">
        <v>11895</v>
      </c>
      <c r="E3041">
        <v>3877</v>
      </c>
      <c r="F3041">
        <v>19913</v>
      </c>
      <c r="G3041">
        <v>6189</v>
      </c>
      <c r="H3041">
        <v>65.8</v>
      </c>
      <c r="I3041">
        <v>49.4</v>
      </c>
      <c r="J3041">
        <v>82.2</v>
      </c>
      <c r="K3041">
        <v>7289</v>
      </c>
      <c r="L3041">
        <v>1637</v>
      </c>
      <c r="M3041">
        <v>12941</v>
      </c>
      <c r="N3041">
        <v>40.299999999999997</v>
      </c>
      <c r="O3041">
        <v>28.1</v>
      </c>
      <c r="P3041">
        <v>52.5</v>
      </c>
      <c r="Q3041">
        <f t="shared" si="92"/>
        <v>8874520</v>
      </c>
      <c r="R3041">
        <f t="shared" si="93"/>
        <v>82.134019642752506</v>
      </c>
      <c r="U3041">
        <v>3054</v>
      </c>
      <c r="V3041">
        <v>876</v>
      </c>
      <c r="W3041">
        <v>5232</v>
      </c>
      <c r="X3041">
        <v>959</v>
      </c>
      <c r="Y3041">
        <v>76.099999999999994</v>
      </c>
      <c r="Z3041">
        <v>52.7</v>
      </c>
      <c r="AA3041">
        <v>99.5</v>
      </c>
    </row>
    <row r="3042" spans="1:27" x14ac:dyDescent="0.25">
      <c r="A3042" t="s">
        <v>255</v>
      </c>
      <c r="B3042" t="s">
        <v>182</v>
      </c>
      <c r="C3042" s="76">
        <v>43930</v>
      </c>
      <c r="D3042">
        <v>12524</v>
      </c>
      <c r="E3042">
        <v>4128</v>
      </c>
      <c r="F3042">
        <v>20920</v>
      </c>
      <c r="G3042">
        <v>5729</v>
      </c>
      <c r="H3042">
        <v>68.599999999999994</v>
      </c>
      <c r="I3042">
        <v>54.6</v>
      </c>
      <c r="J3042">
        <v>82.6</v>
      </c>
      <c r="K3042">
        <v>7564</v>
      </c>
      <c r="L3042">
        <v>1838</v>
      </c>
      <c r="M3042">
        <v>13291</v>
      </c>
      <c r="N3042">
        <v>41.4</v>
      </c>
      <c r="O3042">
        <v>31.1</v>
      </c>
      <c r="P3042">
        <v>51.8</v>
      </c>
      <c r="Q3042">
        <f t="shared" si="92"/>
        <v>8874520</v>
      </c>
      <c r="R3042">
        <f t="shared" si="93"/>
        <v>85.232778786909037</v>
      </c>
      <c r="U3042">
        <v>2988</v>
      </c>
      <c r="V3042">
        <v>983</v>
      </c>
      <c r="W3042">
        <v>4994</v>
      </c>
      <c r="X3042">
        <v>1026</v>
      </c>
      <c r="Y3042">
        <v>74.400000000000006</v>
      </c>
      <c r="Z3042">
        <v>58.4</v>
      </c>
      <c r="AA3042">
        <v>90.5</v>
      </c>
    </row>
    <row r="3043" spans="1:27" x14ac:dyDescent="0.25">
      <c r="A3043" t="s">
        <v>255</v>
      </c>
      <c r="B3043" t="s">
        <v>182</v>
      </c>
      <c r="C3043" s="76">
        <v>43931</v>
      </c>
      <c r="D3043">
        <v>12116</v>
      </c>
      <c r="E3043">
        <v>4285</v>
      </c>
      <c r="F3043">
        <v>19947</v>
      </c>
      <c r="G3043">
        <v>6379</v>
      </c>
      <c r="H3043">
        <v>65.5</v>
      </c>
      <c r="I3043">
        <v>54.9</v>
      </c>
      <c r="J3043">
        <v>76.099999999999994</v>
      </c>
      <c r="K3043">
        <v>7502</v>
      </c>
      <c r="L3043">
        <v>1795</v>
      </c>
      <c r="M3043">
        <v>13209</v>
      </c>
      <c r="N3043">
        <v>40.6</v>
      </c>
      <c r="O3043">
        <v>31.1</v>
      </c>
      <c r="P3043">
        <v>50</v>
      </c>
      <c r="Q3043">
        <f t="shared" si="92"/>
        <v>8874520</v>
      </c>
      <c r="R3043">
        <f t="shared" si="93"/>
        <v>84.534149452590114</v>
      </c>
      <c r="U3043">
        <v>3087</v>
      </c>
      <c r="V3043">
        <v>979</v>
      </c>
      <c r="W3043">
        <v>5195</v>
      </c>
      <c r="X3043">
        <v>891</v>
      </c>
      <c r="Y3043">
        <v>77.599999999999994</v>
      </c>
      <c r="Z3043">
        <v>64.7</v>
      </c>
      <c r="AA3043">
        <v>90.5</v>
      </c>
    </row>
    <row r="3044" spans="1:27" x14ac:dyDescent="0.25">
      <c r="A3044" t="s">
        <v>255</v>
      </c>
      <c r="B3044" t="s">
        <v>182</v>
      </c>
      <c r="C3044" s="76">
        <v>43932</v>
      </c>
      <c r="D3044">
        <v>12552</v>
      </c>
      <c r="E3044">
        <v>3822</v>
      </c>
      <c r="F3044">
        <v>21282</v>
      </c>
      <c r="G3044">
        <v>5910</v>
      </c>
      <c r="H3044">
        <v>68</v>
      </c>
      <c r="I3044">
        <v>51.4</v>
      </c>
      <c r="J3044">
        <v>84.5</v>
      </c>
      <c r="K3044">
        <v>7380</v>
      </c>
      <c r="L3044">
        <v>1785</v>
      </c>
      <c r="M3044">
        <v>12975</v>
      </c>
      <c r="N3044">
        <v>40</v>
      </c>
      <c r="O3044">
        <v>30.2</v>
      </c>
      <c r="P3044">
        <v>49.7</v>
      </c>
      <c r="Q3044">
        <f t="shared" si="92"/>
        <v>8874520</v>
      </c>
      <c r="R3044">
        <f t="shared" si="93"/>
        <v>83.159427214091579</v>
      </c>
      <c r="U3044">
        <v>3075</v>
      </c>
      <c r="V3044">
        <v>940</v>
      </c>
      <c r="W3044">
        <v>5210</v>
      </c>
      <c r="X3044">
        <v>1005</v>
      </c>
      <c r="Y3044">
        <v>75.400000000000006</v>
      </c>
      <c r="Z3044">
        <v>56.1</v>
      </c>
      <c r="AA3044">
        <v>94.6</v>
      </c>
    </row>
    <row r="3045" spans="1:27" x14ac:dyDescent="0.25">
      <c r="A3045" t="s">
        <v>255</v>
      </c>
      <c r="B3045" t="s">
        <v>182</v>
      </c>
      <c r="C3045" s="76">
        <v>43933</v>
      </c>
      <c r="D3045">
        <v>12318</v>
      </c>
      <c r="E3045">
        <v>3572</v>
      </c>
      <c r="F3045">
        <v>21063</v>
      </c>
      <c r="G3045">
        <v>6034</v>
      </c>
      <c r="H3045">
        <v>67.099999999999994</v>
      </c>
      <c r="I3045">
        <v>53</v>
      </c>
      <c r="J3045">
        <v>81.3</v>
      </c>
      <c r="K3045">
        <v>7440</v>
      </c>
      <c r="L3045">
        <v>1905</v>
      </c>
      <c r="M3045">
        <v>12975</v>
      </c>
      <c r="N3045">
        <v>40.5</v>
      </c>
      <c r="O3045">
        <v>32.6</v>
      </c>
      <c r="P3045">
        <v>48.5</v>
      </c>
      <c r="Q3045">
        <f t="shared" si="92"/>
        <v>8874520</v>
      </c>
      <c r="R3045">
        <f t="shared" si="93"/>
        <v>83.835520118271177</v>
      </c>
      <c r="U3045">
        <v>2819</v>
      </c>
      <c r="V3045">
        <v>731</v>
      </c>
      <c r="W3045">
        <v>4907</v>
      </c>
      <c r="X3045">
        <v>898</v>
      </c>
      <c r="Y3045">
        <v>75.8</v>
      </c>
      <c r="Z3045">
        <v>61.6</v>
      </c>
      <c r="AA3045">
        <v>90.1</v>
      </c>
    </row>
    <row r="3046" spans="1:27" x14ac:dyDescent="0.25">
      <c r="A3046" t="s">
        <v>255</v>
      </c>
      <c r="B3046" t="s">
        <v>182</v>
      </c>
      <c r="C3046" s="76">
        <v>43934</v>
      </c>
      <c r="D3046">
        <v>14648</v>
      </c>
      <c r="E3046">
        <v>2514</v>
      </c>
      <c r="F3046">
        <v>26781</v>
      </c>
      <c r="G3046">
        <v>5163</v>
      </c>
      <c r="H3046">
        <v>73.900000000000006</v>
      </c>
      <c r="I3046">
        <v>58.1</v>
      </c>
      <c r="J3046">
        <v>89.8</v>
      </c>
      <c r="K3046">
        <v>8878</v>
      </c>
      <c r="L3046">
        <v>885</v>
      </c>
      <c r="M3046">
        <v>16871</v>
      </c>
      <c r="N3046">
        <v>44.8</v>
      </c>
      <c r="O3046">
        <v>33.9</v>
      </c>
      <c r="P3046">
        <v>55.8</v>
      </c>
      <c r="Q3046">
        <f t="shared" si="92"/>
        <v>8874520</v>
      </c>
      <c r="R3046">
        <f t="shared" si="93"/>
        <v>100.03921338844241</v>
      </c>
      <c r="U3046">
        <v>2386</v>
      </c>
      <c r="V3046">
        <v>391</v>
      </c>
      <c r="W3046">
        <v>4381</v>
      </c>
      <c r="X3046">
        <v>776</v>
      </c>
      <c r="Y3046">
        <v>75.5</v>
      </c>
      <c r="Z3046">
        <v>65.7</v>
      </c>
      <c r="AA3046">
        <v>85.2</v>
      </c>
    </row>
    <row r="3047" spans="1:27" x14ac:dyDescent="0.25">
      <c r="A3047" t="s">
        <v>255</v>
      </c>
      <c r="B3047" t="s">
        <v>182</v>
      </c>
      <c r="C3047" s="76">
        <v>43935</v>
      </c>
      <c r="D3047">
        <v>15142</v>
      </c>
      <c r="E3047">
        <v>2578</v>
      </c>
      <c r="F3047">
        <v>27707</v>
      </c>
      <c r="G3047">
        <v>4271</v>
      </c>
      <c r="H3047">
        <v>78</v>
      </c>
      <c r="I3047">
        <v>65.099999999999994</v>
      </c>
      <c r="J3047">
        <v>90.9</v>
      </c>
      <c r="K3047">
        <v>8975</v>
      </c>
      <c r="L3047">
        <v>795</v>
      </c>
      <c r="M3047">
        <v>17156</v>
      </c>
      <c r="N3047">
        <v>46.2</v>
      </c>
      <c r="O3047">
        <v>34.200000000000003</v>
      </c>
      <c r="P3047">
        <v>58.2</v>
      </c>
      <c r="Q3047">
        <f t="shared" ref="Q3047:Q3110" si="94">VLOOKUP(B3047,$AE$4:$AF$55,2,FALSE)</f>
        <v>8874520</v>
      </c>
      <c r="R3047">
        <f t="shared" si="93"/>
        <v>101.13223025019944</v>
      </c>
      <c r="U3047">
        <v>2345</v>
      </c>
      <c r="V3047">
        <v>376</v>
      </c>
      <c r="W3047">
        <v>4314</v>
      </c>
      <c r="X3047">
        <v>733</v>
      </c>
      <c r="Y3047">
        <v>76.2</v>
      </c>
      <c r="Z3047">
        <v>68.7</v>
      </c>
      <c r="AA3047">
        <v>83.7</v>
      </c>
    </row>
    <row r="3048" spans="1:27" x14ac:dyDescent="0.25">
      <c r="A3048" t="s">
        <v>255</v>
      </c>
      <c r="B3048" t="s">
        <v>182</v>
      </c>
      <c r="C3048" s="76">
        <v>43936</v>
      </c>
      <c r="D3048">
        <v>15174</v>
      </c>
      <c r="E3048">
        <v>2541</v>
      </c>
      <c r="F3048">
        <v>27807</v>
      </c>
      <c r="G3048">
        <v>4284</v>
      </c>
      <c r="H3048">
        <v>78</v>
      </c>
      <c r="I3048">
        <v>65</v>
      </c>
      <c r="J3048">
        <v>91</v>
      </c>
      <c r="K3048">
        <v>8957</v>
      </c>
      <c r="L3048">
        <v>831</v>
      </c>
      <c r="M3048">
        <v>17082</v>
      </c>
      <c r="N3048">
        <v>46</v>
      </c>
      <c r="O3048">
        <v>34.4</v>
      </c>
      <c r="P3048">
        <v>57.7</v>
      </c>
      <c r="Q3048">
        <f t="shared" si="94"/>
        <v>8874520</v>
      </c>
      <c r="R3048">
        <f t="shared" si="93"/>
        <v>100.92940237894557</v>
      </c>
      <c r="U3048">
        <v>2423</v>
      </c>
      <c r="V3048">
        <v>396</v>
      </c>
      <c r="W3048">
        <v>4449</v>
      </c>
      <c r="X3048">
        <v>794</v>
      </c>
      <c r="Y3048">
        <v>75.3</v>
      </c>
      <c r="Z3048">
        <v>68.099999999999994</v>
      </c>
      <c r="AA3048">
        <v>82.5</v>
      </c>
    </row>
    <row r="3049" spans="1:27" x14ac:dyDescent="0.25">
      <c r="A3049" t="s">
        <v>255</v>
      </c>
      <c r="B3049" t="s">
        <v>182</v>
      </c>
      <c r="C3049" s="76">
        <v>43937</v>
      </c>
      <c r="D3049">
        <v>15489</v>
      </c>
      <c r="E3049">
        <v>2395</v>
      </c>
      <c r="F3049">
        <v>28583</v>
      </c>
      <c r="G3049">
        <v>4187</v>
      </c>
      <c r="H3049">
        <v>78.7</v>
      </c>
      <c r="I3049">
        <v>65.599999999999994</v>
      </c>
      <c r="J3049">
        <v>91.9</v>
      </c>
      <c r="K3049">
        <v>8933</v>
      </c>
      <c r="L3049">
        <v>700</v>
      </c>
      <c r="M3049">
        <v>17166</v>
      </c>
      <c r="N3049">
        <v>45.4</v>
      </c>
      <c r="O3049">
        <v>33.9</v>
      </c>
      <c r="P3049">
        <v>56.9</v>
      </c>
      <c r="Q3049">
        <f t="shared" si="94"/>
        <v>8874520</v>
      </c>
      <c r="R3049">
        <f t="shared" si="93"/>
        <v>100.65896521727373</v>
      </c>
      <c r="U3049">
        <v>2437</v>
      </c>
      <c r="V3049">
        <v>412</v>
      </c>
      <c r="W3049">
        <v>4462</v>
      </c>
      <c r="X3049">
        <v>766</v>
      </c>
      <c r="Y3049">
        <v>76.099999999999994</v>
      </c>
      <c r="Z3049">
        <v>69.2</v>
      </c>
      <c r="AA3049">
        <v>83</v>
      </c>
    </row>
    <row r="3050" spans="1:27" x14ac:dyDescent="0.25">
      <c r="A3050" t="s">
        <v>255</v>
      </c>
      <c r="B3050" t="s">
        <v>182</v>
      </c>
      <c r="C3050" s="76">
        <v>43938</v>
      </c>
      <c r="D3050">
        <v>15209</v>
      </c>
      <c r="E3050">
        <v>2337</v>
      </c>
      <c r="F3050">
        <v>28081</v>
      </c>
      <c r="G3050">
        <v>3811</v>
      </c>
      <c r="H3050">
        <v>80</v>
      </c>
      <c r="I3050">
        <v>67.599999999999994</v>
      </c>
      <c r="J3050">
        <v>92.4</v>
      </c>
      <c r="K3050">
        <v>8500</v>
      </c>
      <c r="L3050">
        <v>813</v>
      </c>
      <c r="M3050">
        <v>16187</v>
      </c>
      <c r="N3050">
        <v>44.7</v>
      </c>
      <c r="O3050">
        <v>34.6</v>
      </c>
      <c r="P3050">
        <v>54.8</v>
      </c>
      <c r="Q3050">
        <f t="shared" si="94"/>
        <v>8874520</v>
      </c>
      <c r="R3050">
        <f t="shared" si="93"/>
        <v>95.779828092110904</v>
      </c>
      <c r="U3050">
        <v>2578</v>
      </c>
      <c r="V3050">
        <v>357</v>
      </c>
      <c r="W3050">
        <v>4799</v>
      </c>
      <c r="X3050">
        <v>625</v>
      </c>
      <c r="Y3050">
        <v>80.5</v>
      </c>
      <c r="Z3050">
        <v>72.5</v>
      </c>
      <c r="AA3050">
        <v>88.5</v>
      </c>
    </row>
    <row r="3051" spans="1:27" x14ac:dyDescent="0.25">
      <c r="A3051" t="s">
        <v>255</v>
      </c>
      <c r="B3051" t="s">
        <v>182</v>
      </c>
      <c r="C3051" s="76">
        <v>43939</v>
      </c>
      <c r="D3051">
        <v>14809</v>
      </c>
      <c r="E3051">
        <v>2297</v>
      </c>
      <c r="F3051">
        <v>27322</v>
      </c>
      <c r="G3051">
        <v>4106</v>
      </c>
      <c r="H3051">
        <v>78.3</v>
      </c>
      <c r="I3051">
        <v>65.599999999999994</v>
      </c>
      <c r="J3051">
        <v>91</v>
      </c>
      <c r="K3051">
        <v>8186</v>
      </c>
      <c r="L3051">
        <v>780</v>
      </c>
      <c r="M3051">
        <v>15592</v>
      </c>
      <c r="N3051">
        <v>43.3</v>
      </c>
      <c r="O3051">
        <v>33.4</v>
      </c>
      <c r="P3051">
        <v>53.2</v>
      </c>
      <c r="Q3051">
        <f t="shared" si="94"/>
        <v>8874520</v>
      </c>
      <c r="R3051">
        <f t="shared" si="93"/>
        <v>92.241608560237623</v>
      </c>
      <c r="U3051">
        <v>2426</v>
      </c>
      <c r="V3051">
        <v>318</v>
      </c>
      <c r="W3051">
        <v>4535</v>
      </c>
      <c r="X3051">
        <v>755</v>
      </c>
      <c r="Y3051">
        <v>76.3</v>
      </c>
      <c r="Z3051">
        <v>70.5</v>
      </c>
      <c r="AA3051">
        <v>82</v>
      </c>
    </row>
    <row r="3052" spans="1:27" x14ac:dyDescent="0.25">
      <c r="A3052" t="s">
        <v>255</v>
      </c>
      <c r="B3052" t="s">
        <v>182</v>
      </c>
      <c r="C3052" s="76">
        <v>43940</v>
      </c>
      <c r="D3052">
        <v>14822</v>
      </c>
      <c r="E3052">
        <v>2437</v>
      </c>
      <c r="F3052">
        <v>27208</v>
      </c>
      <c r="G3052">
        <v>4212</v>
      </c>
      <c r="H3052">
        <v>77.900000000000006</v>
      </c>
      <c r="I3052">
        <v>65.099999999999994</v>
      </c>
      <c r="J3052">
        <v>90.6</v>
      </c>
      <c r="K3052">
        <v>8158</v>
      </c>
      <c r="L3052">
        <v>878</v>
      </c>
      <c r="M3052">
        <v>15439</v>
      </c>
      <c r="N3052">
        <v>42.9</v>
      </c>
      <c r="O3052">
        <v>33.5</v>
      </c>
      <c r="P3052">
        <v>52.3</v>
      </c>
      <c r="Q3052">
        <f t="shared" si="94"/>
        <v>8874520</v>
      </c>
      <c r="R3052">
        <f t="shared" si="93"/>
        <v>91.926098538287135</v>
      </c>
      <c r="U3052">
        <v>2451</v>
      </c>
      <c r="V3052">
        <v>305</v>
      </c>
      <c r="W3052">
        <v>4596</v>
      </c>
      <c r="X3052">
        <v>791</v>
      </c>
      <c r="Y3052">
        <v>75.599999999999994</v>
      </c>
      <c r="Z3052">
        <v>69.8</v>
      </c>
      <c r="AA3052">
        <v>81.400000000000006</v>
      </c>
    </row>
    <row r="3053" spans="1:27" x14ac:dyDescent="0.25">
      <c r="A3053" t="s">
        <v>255</v>
      </c>
      <c r="B3053" t="s">
        <v>182</v>
      </c>
      <c r="C3053" s="76">
        <v>43941</v>
      </c>
      <c r="D3053">
        <v>15107</v>
      </c>
      <c r="E3053">
        <v>2643</v>
      </c>
      <c r="F3053">
        <v>27570</v>
      </c>
      <c r="G3053">
        <v>4061</v>
      </c>
      <c r="H3053">
        <v>78.8</v>
      </c>
      <c r="I3053">
        <v>66.599999999999994</v>
      </c>
      <c r="J3053">
        <v>91</v>
      </c>
      <c r="K3053">
        <v>8192</v>
      </c>
      <c r="L3053">
        <v>1066</v>
      </c>
      <c r="M3053">
        <v>15318</v>
      </c>
      <c r="N3053">
        <v>42.7</v>
      </c>
      <c r="O3053">
        <v>34.5</v>
      </c>
      <c r="P3053">
        <v>51</v>
      </c>
      <c r="Q3053">
        <f t="shared" si="94"/>
        <v>8874520</v>
      </c>
      <c r="R3053">
        <f t="shared" si="93"/>
        <v>92.309217850655585</v>
      </c>
      <c r="U3053">
        <v>2357</v>
      </c>
      <c r="V3053">
        <v>346</v>
      </c>
      <c r="W3053">
        <v>4368</v>
      </c>
      <c r="X3053">
        <v>890</v>
      </c>
      <c r="Y3053">
        <v>72.599999999999994</v>
      </c>
      <c r="Z3053">
        <v>65.099999999999994</v>
      </c>
      <c r="AA3053">
        <v>80.099999999999994</v>
      </c>
    </row>
    <row r="3054" spans="1:27" x14ac:dyDescent="0.25">
      <c r="A3054" t="s">
        <v>255</v>
      </c>
      <c r="B3054" t="s">
        <v>182</v>
      </c>
      <c r="C3054" s="76">
        <v>43942</v>
      </c>
      <c r="D3054">
        <v>15260</v>
      </c>
      <c r="E3054">
        <v>2537</v>
      </c>
      <c r="F3054">
        <v>27984</v>
      </c>
      <c r="G3054">
        <v>3642</v>
      </c>
      <c r="H3054">
        <v>80.7</v>
      </c>
      <c r="I3054">
        <v>69.2</v>
      </c>
      <c r="J3054">
        <v>92.3</v>
      </c>
      <c r="K3054">
        <v>8267</v>
      </c>
      <c r="L3054">
        <v>670</v>
      </c>
      <c r="M3054">
        <v>15864</v>
      </c>
      <c r="N3054">
        <v>43.7</v>
      </c>
      <c r="O3054">
        <v>32.9</v>
      </c>
      <c r="P3054">
        <v>54.6</v>
      </c>
      <c r="Q3054">
        <f t="shared" si="94"/>
        <v>8874520</v>
      </c>
      <c r="R3054">
        <f t="shared" si="93"/>
        <v>93.154333980880097</v>
      </c>
      <c r="U3054">
        <v>2430</v>
      </c>
      <c r="V3054">
        <v>202</v>
      </c>
      <c r="W3054">
        <v>4659</v>
      </c>
      <c r="X3054">
        <v>635</v>
      </c>
      <c r="Y3054">
        <v>79.3</v>
      </c>
      <c r="Z3054">
        <v>71.599999999999994</v>
      </c>
      <c r="AA3054">
        <v>86.9</v>
      </c>
    </row>
    <row r="3055" spans="1:27" x14ac:dyDescent="0.25">
      <c r="A3055" t="s">
        <v>255</v>
      </c>
      <c r="B3055" t="s">
        <v>182</v>
      </c>
      <c r="C3055" s="76">
        <v>43943</v>
      </c>
      <c r="D3055">
        <v>15583</v>
      </c>
      <c r="E3055">
        <v>2315</v>
      </c>
      <c r="F3055">
        <v>28851</v>
      </c>
      <c r="G3055">
        <v>3512</v>
      </c>
      <c r="H3055">
        <v>81.599999999999994</v>
      </c>
      <c r="I3055">
        <v>69.900000000000006</v>
      </c>
      <c r="J3055">
        <v>93.4</v>
      </c>
      <c r="K3055">
        <v>8444</v>
      </c>
      <c r="L3055">
        <v>776</v>
      </c>
      <c r="M3055">
        <v>16112</v>
      </c>
      <c r="N3055">
        <v>44.2</v>
      </c>
      <c r="O3055">
        <v>34.200000000000003</v>
      </c>
      <c r="P3055">
        <v>54.3</v>
      </c>
      <c r="Q3055">
        <f t="shared" si="94"/>
        <v>8874520</v>
      </c>
      <c r="R3055">
        <f t="shared" si="93"/>
        <v>95.148808048209929</v>
      </c>
      <c r="U3055">
        <v>2410</v>
      </c>
      <c r="V3055">
        <v>254</v>
      </c>
      <c r="W3055">
        <v>4565</v>
      </c>
      <c r="X3055">
        <v>733</v>
      </c>
      <c r="Y3055">
        <v>76.7</v>
      </c>
      <c r="Z3055">
        <v>71.3</v>
      </c>
      <c r="AA3055">
        <v>82.1</v>
      </c>
    </row>
    <row r="3056" spans="1:27" x14ac:dyDescent="0.25">
      <c r="A3056" t="s">
        <v>255</v>
      </c>
      <c r="B3056" t="s">
        <v>182</v>
      </c>
      <c r="C3056" s="76">
        <v>43944</v>
      </c>
      <c r="D3056">
        <v>15377</v>
      </c>
      <c r="E3056">
        <v>2257</v>
      </c>
      <c r="F3056">
        <v>28497</v>
      </c>
      <c r="G3056">
        <v>3568</v>
      </c>
      <c r="H3056">
        <v>81.2</v>
      </c>
      <c r="I3056">
        <v>69.2</v>
      </c>
      <c r="J3056">
        <v>93.2</v>
      </c>
      <c r="K3056">
        <v>8283</v>
      </c>
      <c r="L3056">
        <v>580</v>
      </c>
      <c r="M3056">
        <v>15986</v>
      </c>
      <c r="N3056">
        <v>43.7</v>
      </c>
      <c r="O3056">
        <v>32.700000000000003</v>
      </c>
      <c r="P3056">
        <v>54.7</v>
      </c>
      <c r="Q3056">
        <f t="shared" si="94"/>
        <v>8874520</v>
      </c>
      <c r="R3056">
        <f t="shared" si="93"/>
        <v>93.334625421994659</v>
      </c>
      <c r="U3056">
        <v>2398</v>
      </c>
      <c r="V3056">
        <v>226</v>
      </c>
      <c r="W3056">
        <v>4570</v>
      </c>
      <c r="X3056">
        <v>708</v>
      </c>
      <c r="Y3056">
        <v>77.2</v>
      </c>
      <c r="Z3056">
        <v>72</v>
      </c>
      <c r="AA3056">
        <v>82.5</v>
      </c>
    </row>
    <row r="3057" spans="1:27" x14ac:dyDescent="0.25">
      <c r="A3057" t="s">
        <v>255</v>
      </c>
      <c r="B3057" t="s">
        <v>182</v>
      </c>
      <c r="C3057" s="76">
        <v>43945</v>
      </c>
      <c r="D3057">
        <v>15270</v>
      </c>
      <c r="E3057">
        <v>2069</v>
      </c>
      <c r="F3057">
        <v>28471</v>
      </c>
      <c r="G3057">
        <v>3498</v>
      </c>
      <c r="H3057">
        <v>81.400000000000006</v>
      </c>
      <c r="I3057">
        <v>69.099999999999994</v>
      </c>
      <c r="J3057">
        <v>93.6</v>
      </c>
      <c r="K3057">
        <v>8125</v>
      </c>
      <c r="L3057">
        <v>611</v>
      </c>
      <c r="M3057">
        <v>15639</v>
      </c>
      <c r="N3057">
        <v>43.3</v>
      </c>
      <c r="O3057">
        <v>32.799999999999997</v>
      </c>
      <c r="P3057">
        <v>53.7</v>
      </c>
      <c r="Q3057">
        <f t="shared" si="94"/>
        <v>8874520</v>
      </c>
      <c r="R3057">
        <f t="shared" si="93"/>
        <v>91.554247440988348</v>
      </c>
      <c r="U3057">
        <v>2417</v>
      </c>
      <c r="V3057">
        <v>216</v>
      </c>
      <c r="W3057">
        <v>4619</v>
      </c>
      <c r="X3057">
        <v>675</v>
      </c>
      <c r="Y3057">
        <v>78.2</v>
      </c>
      <c r="Z3057">
        <v>73.3</v>
      </c>
      <c r="AA3057">
        <v>83</v>
      </c>
    </row>
    <row r="3058" spans="1:27" x14ac:dyDescent="0.25">
      <c r="A3058" t="s">
        <v>255</v>
      </c>
      <c r="B3058" t="s">
        <v>182</v>
      </c>
      <c r="C3058" s="76">
        <v>43946</v>
      </c>
      <c r="D3058">
        <v>14756</v>
      </c>
      <c r="E3058">
        <v>2010</v>
      </c>
      <c r="F3058">
        <v>27502</v>
      </c>
      <c r="G3058">
        <v>4030</v>
      </c>
      <c r="H3058">
        <v>78.5</v>
      </c>
      <c r="I3058">
        <v>65.5</v>
      </c>
      <c r="J3058">
        <v>91.6</v>
      </c>
      <c r="K3058">
        <v>7850</v>
      </c>
      <c r="L3058">
        <v>634</v>
      </c>
      <c r="M3058">
        <v>15067</v>
      </c>
      <c r="N3058">
        <v>41.8</v>
      </c>
      <c r="O3058">
        <v>31.4</v>
      </c>
      <c r="P3058">
        <v>52.2</v>
      </c>
      <c r="Q3058">
        <f t="shared" si="94"/>
        <v>8874520</v>
      </c>
      <c r="R3058">
        <f t="shared" si="93"/>
        <v>88.455488296831831</v>
      </c>
      <c r="U3058">
        <v>2491</v>
      </c>
      <c r="V3058">
        <v>164</v>
      </c>
      <c r="W3058">
        <v>4819</v>
      </c>
      <c r="X3058">
        <v>615</v>
      </c>
      <c r="Y3058">
        <v>80.2</v>
      </c>
      <c r="Z3058">
        <v>73.900000000000006</v>
      </c>
      <c r="AA3058">
        <v>86.5</v>
      </c>
    </row>
    <row r="3059" spans="1:27" x14ac:dyDescent="0.25">
      <c r="A3059" t="s">
        <v>255</v>
      </c>
      <c r="B3059" t="s">
        <v>182</v>
      </c>
      <c r="C3059" s="76">
        <v>43947</v>
      </c>
      <c r="D3059">
        <v>14878</v>
      </c>
      <c r="E3059">
        <v>2054</v>
      </c>
      <c r="F3059">
        <v>27701</v>
      </c>
      <c r="G3059">
        <v>3910</v>
      </c>
      <c r="H3059">
        <v>79.2</v>
      </c>
      <c r="I3059">
        <v>66.5</v>
      </c>
      <c r="J3059">
        <v>91.9</v>
      </c>
      <c r="K3059">
        <v>7727</v>
      </c>
      <c r="L3059">
        <v>551</v>
      </c>
      <c r="M3059">
        <v>14903</v>
      </c>
      <c r="N3059">
        <v>41.1</v>
      </c>
      <c r="O3059">
        <v>30.5</v>
      </c>
      <c r="P3059">
        <v>51.8</v>
      </c>
      <c r="Q3059">
        <f t="shared" si="94"/>
        <v>8874520</v>
      </c>
      <c r="R3059">
        <f t="shared" si="93"/>
        <v>87.069497843263633</v>
      </c>
      <c r="U3059">
        <v>2308</v>
      </c>
      <c r="V3059">
        <v>225</v>
      </c>
      <c r="W3059">
        <v>4390</v>
      </c>
      <c r="X3059">
        <v>805</v>
      </c>
      <c r="Y3059">
        <v>74.099999999999994</v>
      </c>
      <c r="Z3059">
        <v>67.400000000000006</v>
      </c>
      <c r="AA3059">
        <v>80.8</v>
      </c>
    </row>
    <row r="3060" spans="1:27" x14ac:dyDescent="0.25">
      <c r="A3060" t="s">
        <v>255</v>
      </c>
      <c r="B3060" t="s">
        <v>182</v>
      </c>
      <c r="C3060" s="76">
        <v>43948</v>
      </c>
      <c r="D3060">
        <v>14750</v>
      </c>
      <c r="E3060">
        <v>2163</v>
      </c>
      <c r="F3060">
        <v>27336</v>
      </c>
      <c r="G3060">
        <v>4037</v>
      </c>
      <c r="H3060">
        <v>78.5</v>
      </c>
      <c r="I3060">
        <v>65.599999999999994</v>
      </c>
      <c r="J3060">
        <v>91.4</v>
      </c>
      <c r="K3060">
        <v>7704</v>
      </c>
      <c r="L3060">
        <v>530</v>
      </c>
      <c r="M3060">
        <v>14879</v>
      </c>
      <c r="N3060">
        <v>41</v>
      </c>
      <c r="O3060">
        <v>30.3</v>
      </c>
      <c r="P3060">
        <v>51.7</v>
      </c>
      <c r="Q3060">
        <f t="shared" si="94"/>
        <v>8874520</v>
      </c>
      <c r="R3060">
        <f t="shared" si="93"/>
        <v>86.81032889666146</v>
      </c>
      <c r="U3060">
        <v>2343</v>
      </c>
      <c r="V3060">
        <v>161</v>
      </c>
      <c r="W3060">
        <v>4525</v>
      </c>
      <c r="X3060">
        <v>773</v>
      </c>
      <c r="Y3060">
        <v>75.2</v>
      </c>
      <c r="Z3060">
        <v>68.3</v>
      </c>
      <c r="AA3060">
        <v>82.1</v>
      </c>
    </row>
    <row r="3061" spans="1:27" x14ac:dyDescent="0.25">
      <c r="A3061" t="s">
        <v>255</v>
      </c>
      <c r="B3061" t="s">
        <v>182</v>
      </c>
      <c r="C3061" s="76">
        <v>43949</v>
      </c>
      <c r="D3061">
        <v>14898</v>
      </c>
      <c r="E3061">
        <v>2334</v>
      </c>
      <c r="F3061">
        <v>27462</v>
      </c>
      <c r="G3061">
        <v>4127</v>
      </c>
      <c r="H3061">
        <v>78.3</v>
      </c>
      <c r="I3061">
        <v>65.3</v>
      </c>
      <c r="J3061">
        <v>91.3</v>
      </c>
      <c r="K3061">
        <v>7313</v>
      </c>
      <c r="L3061">
        <v>545</v>
      </c>
      <c r="M3061">
        <v>14082</v>
      </c>
      <c r="N3061">
        <v>38.4</v>
      </c>
      <c r="O3061">
        <v>28.4</v>
      </c>
      <c r="P3061">
        <v>48.5</v>
      </c>
      <c r="Q3061">
        <f t="shared" si="94"/>
        <v>8874520</v>
      </c>
      <c r="R3061">
        <f t="shared" si="93"/>
        <v>82.404456804424356</v>
      </c>
      <c r="U3061">
        <v>2343</v>
      </c>
      <c r="V3061">
        <v>254</v>
      </c>
      <c r="W3061">
        <v>4432</v>
      </c>
      <c r="X3061">
        <v>938</v>
      </c>
      <c r="Y3061">
        <v>71.400000000000006</v>
      </c>
      <c r="Z3061">
        <v>63</v>
      </c>
      <c r="AA3061">
        <v>79.8</v>
      </c>
    </row>
    <row r="3062" spans="1:27" x14ac:dyDescent="0.25">
      <c r="A3062" t="s">
        <v>255</v>
      </c>
      <c r="B3062" t="s">
        <v>182</v>
      </c>
      <c r="C3062" s="76">
        <v>43950</v>
      </c>
      <c r="D3062">
        <v>14638</v>
      </c>
      <c r="E3062">
        <v>2343</v>
      </c>
      <c r="F3062">
        <v>26933</v>
      </c>
      <c r="G3062">
        <v>4496</v>
      </c>
      <c r="H3062">
        <v>76.5</v>
      </c>
      <c r="I3062">
        <v>62.5</v>
      </c>
      <c r="J3062">
        <v>90.5</v>
      </c>
      <c r="K3062">
        <v>7131</v>
      </c>
      <c r="L3062">
        <v>566</v>
      </c>
      <c r="M3062">
        <v>13696</v>
      </c>
      <c r="N3062">
        <v>37.299999999999997</v>
      </c>
      <c r="O3062">
        <v>27.1</v>
      </c>
      <c r="P3062">
        <v>47.5</v>
      </c>
      <c r="Q3062">
        <f t="shared" si="94"/>
        <v>8874520</v>
      </c>
      <c r="R3062">
        <f t="shared" si="93"/>
        <v>80.353641661746209</v>
      </c>
      <c r="U3062">
        <v>2388</v>
      </c>
      <c r="V3062">
        <v>242</v>
      </c>
      <c r="W3062">
        <v>4535</v>
      </c>
      <c r="X3062">
        <v>873</v>
      </c>
      <c r="Y3062">
        <v>73.2</v>
      </c>
      <c r="Z3062">
        <v>66.3</v>
      </c>
      <c r="AA3062">
        <v>80.2</v>
      </c>
    </row>
    <row r="3063" spans="1:27" x14ac:dyDescent="0.25">
      <c r="A3063" t="s">
        <v>255</v>
      </c>
      <c r="B3063" t="s">
        <v>182</v>
      </c>
      <c r="C3063" s="76">
        <v>43951</v>
      </c>
      <c r="D3063">
        <v>14373</v>
      </c>
      <c r="E3063">
        <v>2258</v>
      </c>
      <c r="F3063">
        <v>26488</v>
      </c>
      <c r="G3063">
        <v>4566</v>
      </c>
      <c r="H3063">
        <v>75.900000000000006</v>
      </c>
      <c r="I3063">
        <v>61.6</v>
      </c>
      <c r="J3063">
        <v>90.2</v>
      </c>
      <c r="K3063">
        <v>6788</v>
      </c>
      <c r="L3063">
        <v>569</v>
      </c>
      <c r="M3063">
        <v>13007</v>
      </c>
      <c r="N3063">
        <v>35.799999999999997</v>
      </c>
      <c r="O3063">
        <v>25.9</v>
      </c>
      <c r="P3063">
        <v>45.8</v>
      </c>
      <c r="Q3063">
        <f t="shared" si="94"/>
        <v>8874520</v>
      </c>
      <c r="R3063">
        <f t="shared" si="93"/>
        <v>76.488643892852792</v>
      </c>
      <c r="U3063">
        <v>2423</v>
      </c>
      <c r="V3063">
        <v>180</v>
      </c>
      <c r="W3063">
        <v>4666</v>
      </c>
      <c r="X3063">
        <v>858</v>
      </c>
      <c r="Y3063">
        <v>73.8</v>
      </c>
      <c r="Z3063">
        <v>66.900000000000006</v>
      </c>
      <c r="AA3063">
        <v>80.8</v>
      </c>
    </row>
    <row r="3064" spans="1:27" x14ac:dyDescent="0.25">
      <c r="A3064" t="s">
        <v>255</v>
      </c>
      <c r="B3064" t="s">
        <v>182</v>
      </c>
      <c r="C3064" s="76">
        <v>43952</v>
      </c>
      <c r="D3064">
        <v>14370</v>
      </c>
      <c r="E3064">
        <v>2331</v>
      </c>
      <c r="F3064">
        <v>26409</v>
      </c>
      <c r="G3064">
        <v>4349</v>
      </c>
      <c r="H3064">
        <v>76.8</v>
      </c>
      <c r="I3064">
        <v>63.2</v>
      </c>
      <c r="J3064">
        <v>90.3</v>
      </c>
      <c r="K3064">
        <v>6359</v>
      </c>
      <c r="L3064">
        <v>504</v>
      </c>
      <c r="M3064">
        <v>12214</v>
      </c>
      <c r="N3064">
        <v>34</v>
      </c>
      <c r="O3064">
        <v>23.5</v>
      </c>
      <c r="P3064">
        <v>44.4</v>
      </c>
      <c r="Q3064">
        <f t="shared" si="94"/>
        <v>8874520</v>
      </c>
      <c r="R3064">
        <f t="shared" si="93"/>
        <v>71.654579627968616</v>
      </c>
      <c r="U3064">
        <v>2259</v>
      </c>
      <c r="V3064">
        <v>199</v>
      </c>
      <c r="W3064">
        <v>4318</v>
      </c>
      <c r="X3064">
        <v>1008</v>
      </c>
      <c r="Y3064">
        <v>69.099999999999994</v>
      </c>
      <c r="Z3064">
        <v>63</v>
      </c>
      <c r="AA3064">
        <v>75.3</v>
      </c>
    </row>
    <row r="3065" spans="1:27" x14ac:dyDescent="0.25">
      <c r="A3065" t="s">
        <v>255</v>
      </c>
      <c r="B3065" t="s">
        <v>182</v>
      </c>
      <c r="C3065" s="76">
        <v>43953</v>
      </c>
      <c r="D3065">
        <v>12992</v>
      </c>
      <c r="E3065">
        <v>2266</v>
      </c>
      <c r="F3065">
        <v>23718</v>
      </c>
      <c r="G3065">
        <v>5292</v>
      </c>
      <c r="H3065">
        <v>71.099999999999994</v>
      </c>
      <c r="I3065">
        <v>53.3</v>
      </c>
      <c r="J3065">
        <v>88.9</v>
      </c>
      <c r="K3065">
        <v>6125</v>
      </c>
      <c r="L3065">
        <v>519</v>
      </c>
      <c r="M3065">
        <v>11730</v>
      </c>
      <c r="N3065">
        <v>33.5</v>
      </c>
      <c r="O3065">
        <v>22.6</v>
      </c>
      <c r="P3065">
        <v>44.4</v>
      </c>
      <c r="Q3065">
        <f t="shared" si="94"/>
        <v>8874520</v>
      </c>
      <c r="R3065">
        <f t="shared" si="93"/>
        <v>69.017817301668146</v>
      </c>
      <c r="U3065">
        <v>2311</v>
      </c>
      <c r="V3065">
        <v>222</v>
      </c>
      <c r="W3065">
        <v>4400</v>
      </c>
      <c r="X3065">
        <v>996</v>
      </c>
      <c r="Y3065">
        <v>69.900000000000006</v>
      </c>
      <c r="Z3065">
        <v>62.9</v>
      </c>
      <c r="AA3065">
        <v>76.900000000000006</v>
      </c>
    </row>
    <row r="3066" spans="1:27" x14ac:dyDescent="0.25">
      <c r="A3066" t="s">
        <v>255</v>
      </c>
      <c r="B3066" t="s">
        <v>182</v>
      </c>
      <c r="C3066" s="76">
        <v>43954</v>
      </c>
      <c r="D3066">
        <v>13220</v>
      </c>
      <c r="E3066">
        <v>2358</v>
      </c>
      <c r="F3066">
        <v>24083</v>
      </c>
      <c r="G3066">
        <v>5000</v>
      </c>
      <c r="H3066">
        <v>72.599999999999994</v>
      </c>
      <c r="I3066">
        <v>55.9</v>
      </c>
      <c r="J3066">
        <v>89.3</v>
      </c>
      <c r="K3066">
        <v>6370</v>
      </c>
      <c r="L3066">
        <v>379</v>
      </c>
      <c r="M3066">
        <v>12362</v>
      </c>
      <c r="N3066">
        <v>35</v>
      </c>
      <c r="O3066">
        <v>22.2</v>
      </c>
      <c r="P3066">
        <v>47.7</v>
      </c>
      <c r="Q3066">
        <f t="shared" si="94"/>
        <v>8874520</v>
      </c>
      <c r="R3066">
        <f t="shared" si="93"/>
        <v>71.778529993734864</v>
      </c>
      <c r="U3066">
        <v>2204</v>
      </c>
      <c r="V3066">
        <v>256</v>
      </c>
      <c r="W3066">
        <v>4151</v>
      </c>
      <c r="X3066">
        <v>1084</v>
      </c>
      <c r="Y3066">
        <v>67</v>
      </c>
      <c r="Z3066">
        <v>60.7</v>
      </c>
      <c r="AA3066">
        <v>73.3</v>
      </c>
    </row>
    <row r="3067" spans="1:27" x14ac:dyDescent="0.25">
      <c r="A3067" t="s">
        <v>255</v>
      </c>
      <c r="B3067" t="s">
        <v>182</v>
      </c>
      <c r="C3067" s="76">
        <v>43955</v>
      </c>
      <c r="D3067">
        <v>13426</v>
      </c>
      <c r="E3067">
        <v>2455</v>
      </c>
      <c r="F3067">
        <v>24397</v>
      </c>
      <c r="G3067">
        <v>4851</v>
      </c>
      <c r="H3067">
        <v>73.5</v>
      </c>
      <c r="I3067">
        <v>57.3</v>
      </c>
      <c r="J3067">
        <v>89.6</v>
      </c>
      <c r="K3067">
        <v>5893</v>
      </c>
      <c r="L3067">
        <v>563</v>
      </c>
      <c r="M3067">
        <v>11222</v>
      </c>
      <c r="N3067">
        <v>32.200000000000003</v>
      </c>
      <c r="O3067">
        <v>21.9</v>
      </c>
      <c r="P3067">
        <v>42.6</v>
      </c>
      <c r="Q3067">
        <f t="shared" si="94"/>
        <v>8874520</v>
      </c>
      <c r="R3067">
        <f t="shared" si="93"/>
        <v>66.403591405507001</v>
      </c>
      <c r="U3067">
        <v>2142</v>
      </c>
      <c r="V3067">
        <v>224</v>
      </c>
      <c r="W3067">
        <v>4060</v>
      </c>
      <c r="X3067">
        <v>1102</v>
      </c>
      <c r="Y3067">
        <v>66</v>
      </c>
      <c r="Z3067">
        <v>58.6</v>
      </c>
      <c r="AA3067">
        <v>73.400000000000006</v>
      </c>
    </row>
    <row r="3068" spans="1:27" x14ac:dyDescent="0.25">
      <c r="A3068" t="s">
        <v>255</v>
      </c>
      <c r="B3068" t="s">
        <v>182</v>
      </c>
      <c r="C3068" s="76">
        <v>43956</v>
      </c>
      <c r="D3068">
        <v>11824</v>
      </c>
      <c r="E3068">
        <v>4915</v>
      </c>
      <c r="F3068">
        <v>18733</v>
      </c>
      <c r="G3068">
        <v>4787</v>
      </c>
      <c r="H3068">
        <v>71.2</v>
      </c>
      <c r="I3068">
        <v>60.4</v>
      </c>
      <c r="J3068">
        <v>81.900000000000006</v>
      </c>
      <c r="K3068">
        <v>4865</v>
      </c>
      <c r="L3068">
        <v>1794</v>
      </c>
      <c r="M3068">
        <v>7935</v>
      </c>
      <c r="N3068">
        <v>29.3</v>
      </c>
      <c r="O3068">
        <v>23.1</v>
      </c>
      <c r="P3068">
        <v>35.5</v>
      </c>
      <c r="Q3068">
        <f t="shared" si="94"/>
        <v>8874520</v>
      </c>
      <c r="R3068">
        <f t="shared" si="93"/>
        <v>54.819866313896419</v>
      </c>
      <c r="U3068">
        <v>1895</v>
      </c>
      <c r="V3068">
        <v>657</v>
      </c>
      <c r="W3068">
        <v>3134</v>
      </c>
      <c r="X3068">
        <v>917</v>
      </c>
      <c r="Y3068">
        <v>67.400000000000006</v>
      </c>
      <c r="Z3068">
        <v>60.2</v>
      </c>
      <c r="AA3068">
        <v>74.599999999999994</v>
      </c>
    </row>
    <row r="3069" spans="1:27" x14ac:dyDescent="0.25">
      <c r="A3069" t="s">
        <v>255</v>
      </c>
      <c r="B3069" t="s">
        <v>182</v>
      </c>
      <c r="C3069" s="76">
        <v>43957</v>
      </c>
      <c r="D3069">
        <v>11434</v>
      </c>
      <c r="E3069">
        <v>5053</v>
      </c>
      <c r="F3069">
        <v>17816</v>
      </c>
      <c r="G3069">
        <v>4848</v>
      </c>
      <c r="H3069">
        <v>70.2</v>
      </c>
      <c r="I3069">
        <v>59.9</v>
      </c>
      <c r="J3069">
        <v>80.5</v>
      </c>
      <c r="K3069">
        <v>4659</v>
      </c>
      <c r="L3069">
        <v>1709</v>
      </c>
      <c r="M3069">
        <v>7609</v>
      </c>
      <c r="N3069">
        <v>28.6</v>
      </c>
      <c r="O3069">
        <v>21.4</v>
      </c>
      <c r="P3069">
        <v>35.799999999999997</v>
      </c>
      <c r="Q3069">
        <f t="shared" si="94"/>
        <v>8874520</v>
      </c>
      <c r="R3069">
        <f t="shared" si="93"/>
        <v>52.498614009546429</v>
      </c>
      <c r="U3069">
        <v>1842</v>
      </c>
      <c r="V3069">
        <v>640</v>
      </c>
      <c r="W3069">
        <v>3045</v>
      </c>
      <c r="X3069">
        <v>977</v>
      </c>
      <c r="Y3069">
        <v>65.400000000000006</v>
      </c>
      <c r="Z3069">
        <v>58.5</v>
      </c>
      <c r="AA3069">
        <v>72.3</v>
      </c>
    </row>
    <row r="3070" spans="1:27" x14ac:dyDescent="0.25">
      <c r="A3070" t="s">
        <v>255</v>
      </c>
      <c r="B3070" t="s">
        <v>182</v>
      </c>
      <c r="C3070" s="76">
        <v>43958</v>
      </c>
      <c r="D3070">
        <v>11509</v>
      </c>
      <c r="E3070">
        <v>4929</v>
      </c>
      <c r="F3070">
        <v>18090</v>
      </c>
      <c r="G3070">
        <v>4959</v>
      </c>
      <c r="H3070">
        <v>69.900000000000006</v>
      </c>
      <c r="I3070">
        <v>58.6</v>
      </c>
      <c r="J3070">
        <v>81.2</v>
      </c>
      <c r="K3070">
        <v>4452</v>
      </c>
      <c r="L3070">
        <v>1612</v>
      </c>
      <c r="M3070">
        <v>7292</v>
      </c>
      <c r="N3070">
        <v>27</v>
      </c>
      <c r="O3070">
        <v>20.100000000000001</v>
      </c>
      <c r="P3070">
        <v>33.9</v>
      </c>
      <c r="Q3070">
        <f t="shared" si="94"/>
        <v>8874520</v>
      </c>
      <c r="R3070">
        <f t="shared" si="93"/>
        <v>50.166093490126784</v>
      </c>
      <c r="U3070">
        <v>1882</v>
      </c>
      <c r="V3070">
        <v>666</v>
      </c>
      <c r="W3070">
        <v>3098</v>
      </c>
      <c r="X3070">
        <v>919</v>
      </c>
      <c r="Y3070">
        <v>67.2</v>
      </c>
      <c r="Z3070">
        <v>59.8</v>
      </c>
      <c r="AA3070">
        <v>74.599999999999994</v>
      </c>
    </row>
    <row r="3071" spans="1:27" x14ac:dyDescent="0.25">
      <c r="A3071" t="s">
        <v>255</v>
      </c>
      <c r="B3071" t="s">
        <v>182</v>
      </c>
      <c r="C3071" s="76">
        <v>43959</v>
      </c>
      <c r="D3071">
        <v>11764</v>
      </c>
      <c r="E3071">
        <v>5068</v>
      </c>
      <c r="F3071">
        <v>18459</v>
      </c>
      <c r="G3071">
        <v>4660</v>
      </c>
      <c r="H3071">
        <v>71.599999999999994</v>
      </c>
      <c r="I3071">
        <v>62.1</v>
      </c>
      <c r="J3071">
        <v>81.2</v>
      </c>
      <c r="K3071">
        <v>4311</v>
      </c>
      <c r="L3071">
        <v>1583</v>
      </c>
      <c r="M3071">
        <v>7039</v>
      </c>
      <c r="N3071">
        <v>26.3</v>
      </c>
      <c r="O3071">
        <v>19.399999999999999</v>
      </c>
      <c r="P3071">
        <v>33.1</v>
      </c>
      <c r="Q3071">
        <f t="shared" si="94"/>
        <v>8874520</v>
      </c>
      <c r="R3071">
        <f t="shared" si="93"/>
        <v>48.577275165304712</v>
      </c>
      <c r="U3071">
        <v>1793</v>
      </c>
      <c r="V3071">
        <v>649</v>
      </c>
      <c r="W3071">
        <v>2938</v>
      </c>
      <c r="X3071">
        <v>1046</v>
      </c>
      <c r="Y3071">
        <v>63.2</v>
      </c>
      <c r="Z3071">
        <v>55.3</v>
      </c>
      <c r="AA3071">
        <v>71</v>
      </c>
    </row>
    <row r="3072" spans="1:27" x14ac:dyDescent="0.25">
      <c r="A3072" t="s">
        <v>255</v>
      </c>
      <c r="B3072" t="s">
        <v>182</v>
      </c>
      <c r="C3072" s="76">
        <v>43960</v>
      </c>
      <c r="D3072">
        <v>11307</v>
      </c>
      <c r="E3072">
        <v>4818</v>
      </c>
      <c r="F3072">
        <v>17797</v>
      </c>
      <c r="G3072">
        <v>7277</v>
      </c>
      <c r="H3072">
        <v>60.8</v>
      </c>
      <c r="I3072">
        <v>46.8</v>
      </c>
      <c r="J3072">
        <v>74.900000000000006</v>
      </c>
      <c r="K3072">
        <v>4158</v>
      </c>
      <c r="L3072">
        <v>1517</v>
      </c>
      <c r="M3072">
        <v>6799</v>
      </c>
      <c r="N3072">
        <v>22.4</v>
      </c>
      <c r="O3072">
        <v>16</v>
      </c>
      <c r="P3072">
        <v>28.7</v>
      </c>
      <c r="Q3072">
        <f t="shared" si="94"/>
        <v>8874520</v>
      </c>
      <c r="R3072">
        <f t="shared" si="93"/>
        <v>46.853238259646716</v>
      </c>
      <c r="U3072">
        <v>1880</v>
      </c>
      <c r="V3072">
        <v>666</v>
      </c>
      <c r="W3072">
        <v>3094</v>
      </c>
      <c r="X3072">
        <v>1273</v>
      </c>
      <c r="Y3072">
        <v>59.6</v>
      </c>
      <c r="Z3072">
        <v>48</v>
      </c>
      <c r="AA3072">
        <v>71.2</v>
      </c>
    </row>
    <row r="3073" spans="1:27" x14ac:dyDescent="0.25">
      <c r="A3073" t="s">
        <v>255</v>
      </c>
      <c r="B3073" t="s">
        <v>182</v>
      </c>
      <c r="C3073" s="76">
        <v>43961</v>
      </c>
      <c r="D3073">
        <v>10718</v>
      </c>
      <c r="E3073">
        <v>4507</v>
      </c>
      <c r="F3073">
        <v>16929</v>
      </c>
      <c r="G3073">
        <v>7786</v>
      </c>
      <c r="H3073">
        <v>57.9</v>
      </c>
      <c r="I3073">
        <v>43.5</v>
      </c>
      <c r="J3073">
        <v>72.3</v>
      </c>
      <c r="K3073">
        <v>3952</v>
      </c>
      <c r="L3073">
        <v>1499</v>
      </c>
      <c r="M3073">
        <v>6404</v>
      </c>
      <c r="N3073">
        <v>21.4</v>
      </c>
      <c r="O3073">
        <v>15.1</v>
      </c>
      <c r="P3073">
        <v>27.6</v>
      </c>
      <c r="Q3073">
        <f t="shared" si="94"/>
        <v>8874520</v>
      </c>
      <c r="R3073">
        <f t="shared" si="93"/>
        <v>44.53198595529674</v>
      </c>
      <c r="U3073">
        <v>1731</v>
      </c>
      <c r="V3073">
        <v>579</v>
      </c>
      <c r="W3073">
        <v>2884</v>
      </c>
      <c r="X3073">
        <v>1396</v>
      </c>
      <c r="Y3073">
        <v>55.4</v>
      </c>
      <c r="Z3073">
        <v>44.3</v>
      </c>
      <c r="AA3073">
        <v>66.400000000000006</v>
      </c>
    </row>
    <row r="3074" spans="1:27" x14ac:dyDescent="0.25">
      <c r="A3074" t="s">
        <v>255</v>
      </c>
      <c r="B3074" t="s">
        <v>182</v>
      </c>
      <c r="C3074" s="76">
        <v>43962</v>
      </c>
      <c r="D3074">
        <v>9676</v>
      </c>
      <c r="E3074">
        <v>4254</v>
      </c>
      <c r="F3074">
        <v>15098</v>
      </c>
      <c r="G3074">
        <v>9110</v>
      </c>
      <c r="H3074">
        <v>51.5</v>
      </c>
      <c r="I3074">
        <v>40.5</v>
      </c>
      <c r="J3074">
        <v>62.5</v>
      </c>
      <c r="K3074">
        <v>3494</v>
      </c>
      <c r="L3074">
        <v>1441</v>
      </c>
      <c r="M3074">
        <v>5548</v>
      </c>
      <c r="N3074">
        <v>18.600000000000001</v>
      </c>
      <c r="O3074">
        <v>14.7</v>
      </c>
      <c r="P3074">
        <v>22.5</v>
      </c>
      <c r="Q3074">
        <f t="shared" si="94"/>
        <v>8874520</v>
      </c>
      <c r="R3074">
        <f t="shared" si="93"/>
        <v>39.371143453392406</v>
      </c>
      <c r="U3074">
        <v>1551</v>
      </c>
      <c r="V3074">
        <v>530</v>
      </c>
      <c r="W3074">
        <v>2572</v>
      </c>
      <c r="X3074">
        <v>1206</v>
      </c>
      <c r="Y3074">
        <v>56.3</v>
      </c>
      <c r="Z3074">
        <v>38</v>
      </c>
      <c r="AA3074">
        <v>74.599999999999994</v>
      </c>
    </row>
    <row r="3075" spans="1:27" x14ac:dyDescent="0.25">
      <c r="A3075" t="s">
        <v>255</v>
      </c>
      <c r="B3075" t="s">
        <v>182</v>
      </c>
      <c r="C3075" s="76">
        <v>43963</v>
      </c>
      <c r="D3075">
        <v>11546</v>
      </c>
      <c r="E3075">
        <v>4877</v>
      </c>
      <c r="F3075">
        <v>18215</v>
      </c>
      <c r="G3075">
        <v>7351</v>
      </c>
      <c r="H3075">
        <v>61.1</v>
      </c>
      <c r="I3075">
        <v>46.7</v>
      </c>
      <c r="J3075">
        <v>75.5</v>
      </c>
      <c r="K3075">
        <v>3919</v>
      </c>
      <c r="L3075">
        <v>1551</v>
      </c>
      <c r="M3075">
        <v>6287</v>
      </c>
      <c r="N3075">
        <v>20.7</v>
      </c>
      <c r="O3075">
        <v>15.9</v>
      </c>
      <c r="P3075">
        <v>25.6</v>
      </c>
      <c r="Q3075">
        <f t="shared" si="94"/>
        <v>8874520</v>
      </c>
      <c r="R3075">
        <f t="shared" si="93"/>
        <v>44.160134857997953</v>
      </c>
      <c r="U3075">
        <v>1899</v>
      </c>
      <c r="V3075">
        <v>651</v>
      </c>
      <c r="W3075">
        <v>3147</v>
      </c>
      <c r="X3075">
        <v>1252</v>
      </c>
      <c r="Y3075">
        <v>60.3</v>
      </c>
      <c r="Z3075">
        <v>48.7</v>
      </c>
      <c r="AA3075">
        <v>71.900000000000006</v>
      </c>
    </row>
    <row r="3076" spans="1:27" x14ac:dyDescent="0.25">
      <c r="A3076" t="s">
        <v>255</v>
      </c>
      <c r="B3076" t="s">
        <v>182</v>
      </c>
      <c r="C3076" s="76">
        <v>43964</v>
      </c>
      <c r="D3076">
        <v>11212</v>
      </c>
      <c r="E3076">
        <v>4795</v>
      </c>
      <c r="F3076">
        <v>17628</v>
      </c>
      <c r="G3076">
        <v>7569</v>
      </c>
      <c r="H3076">
        <v>59.7</v>
      </c>
      <c r="I3076">
        <v>45.1</v>
      </c>
      <c r="J3076">
        <v>74.3</v>
      </c>
      <c r="K3076">
        <v>3752</v>
      </c>
      <c r="L3076">
        <v>1466</v>
      </c>
      <c r="M3076">
        <v>6039</v>
      </c>
      <c r="N3076">
        <v>20</v>
      </c>
      <c r="O3076">
        <v>14.7</v>
      </c>
      <c r="P3076">
        <v>25.2</v>
      </c>
      <c r="Q3076">
        <f t="shared" si="94"/>
        <v>8874520</v>
      </c>
      <c r="R3076">
        <f t="shared" si="93"/>
        <v>42.278342941364713</v>
      </c>
      <c r="U3076">
        <v>1764</v>
      </c>
      <c r="V3076">
        <v>620</v>
      </c>
      <c r="W3076">
        <v>2908</v>
      </c>
      <c r="X3076">
        <v>1377</v>
      </c>
      <c r="Y3076">
        <v>56.2</v>
      </c>
      <c r="Z3076">
        <v>44.2</v>
      </c>
      <c r="AA3076">
        <v>68.099999999999994</v>
      </c>
    </row>
    <row r="3077" spans="1:27" x14ac:dyDescent="0.25">
      <c r="A3077" t="s">
        <v>255</v>
      </c>
      <c r="B3077" t="s">
        <v>182</v>
      </c>
      <c r="C3077" s="76">
        <v>43965</v>
      </c>
      <c r="D3077">
        <v>11319</v>
      </c>
      <c r="E3077">
        <v>4883</v>
      </c>
      <c r="F3077">
        <v>17755</v>
      </c>
      <c r="G3077">
        <v>7476</v>
      </c>
      <c r="H3077">
        <v>60.2</v>
      </c>
      <c r="I3077">
        <v>46.1</v>
      </c>
      <c r="J3077">
        <v>74.3</v>
      </c>
      <c r="K3077">
        <v>3860</v>
      </c>
      <c r="L3077">
        <v>1299</v>
      </c>
      <c r="M3077">
        <v>6421</v>
      </c>
      <c r="N3077">
        <v>20.5</v>
      </c>
      <c r="O3077">
        <v>14.1</v>
      </c>
      <c r="P3077">
        <v>27</v>
      </c>
      <c r="Q3077">
        <f t="shared" si="94"/>
        <v>8874520</v>
      </c>
      <c r="R3077">
        <f t="shared" ref="R3077:R3140" si="95">K3077/(Q3077)*100000</f>
        <v>43.495310168888004</v>
      </c>
      <c r="U3077">
        <v>1761</v>
      </c>
      <c r="V3077">
        <v>560</v>
      </c>
      <c r="W3077">
        <v>2962</v>
      </c>
      <c r="X3077">
        <v>1336</v>
      </c>
      <c r="Y3077">
        <v>56.9</v>
      </c>
      <c r="Z3077">
        <v>42.4</v>
      </c>
      <c r="AA3077">
        <v>71.400000000000006</v>
      </c>
    </row>
    <row r="3078" spans="1:27" x14ac:dyDescent="0.25">
      <c r="A3078" t="s">
        <v>255</v>
      </c>
      <c r="B3078" t="s">
        <v>182</v>
      </c>
      <c r="C3078" s="76">
        <v>43966</v>
      </c>
      <c r="D3078">
        <v>10055</v>
      </c>
      <c r="E3078">
        <v>4991</v>
      </c>
      <c r="F3078">
        <v>15120</v>
      </c>
      <c r="G3078">
        <v>7493</v>
      </c>
      <c r="H3078">
        <v>57.3</v>
      </c>
      <c r="I3078">
        <v>45.2</v>
      </c>
      <c r="J3078">
        <v>69.400000000000006</v>
      </c>
      <c r="K3078">
        <v>3617</v>
      </c>
      <c r="L3078">
        <v>1243</v>
      </c>
      <c r="M3078">
        <v>5991</v>
      </c>
      <c r="N3078">
        <v>20.6</v>
      </c>
      <c r="O3078">
        <v>11.6</v>
      </c>
      <c r="P3078">
        <v>29.6</v>
      </c>
      <c r="Q3078">
        <f t="shared" si="94"/>
        <v>8874520</v>
      </c>
      <c r="R3078">
        <f t="shared" si="95"/>
        <v>40.757133906960604</v>
      </c>
      <c r="U3078">
        <v>1604</v>
      </c>
      <c r="V3078">
        <v>536</v>
      </c>
      <c r="W3078">
        <v>2672</v>
      </c>
      <c r="X3078">
        <v>1399</v>
      </c>
      <c r="Y3078">
        <v>53.4</v>
      </c>
      <c r="Z3078">
        <v>40.4</v>
      </c>
      <c r="AA3078">
        <v>66.5</v>
      </c>
    </row>
    <row r="3079" spans="1:27" x14ac:dyDescent="0.25">
      <c r="A3079" t="s">
        <v>255</v>
      </c>
      <c r="B3079" t="s">
        <v>182</v>
      </c>
      <c r="C3079" s="76">
        <v>43967</v>
      </c>
      <c r="D3079">
        <v>11061</v>
      </c>
      <c r="E3079">
        <v>4744</v>
      </c>
      <c r="F3079">
        <v>17378</v>
      </c>
      <c r="G3079">
        <v>7832</v>
      </c>
      <c r="H3079">
        <v>58.5</v>
      </c>
      <c r="I3079">
        <v>43.6</v>
      </c>
      <c r="J3079">
        <v>73.5</v>
      </c>
      <c r="K3079">
        <v>3134</v>
      </c>
      <c r="L3079">
        <v>1219</v>
      </c>
      <c r="M3079">
        <v>5048</v>
      </c>
      <c r="N3079">
        <v>16.600000000000001</v>
      </c>
      <c r="O3079">
        <v>12.3</v>
      </c>
      <c r="P3079">
        <v>20.9</v>
      </c>
      <c r="Q3079">
        <f t="shared" si="94"/>
        <v>8874520</v>
      </c>
      <c r="R3079">
        <f t="shared" si="95"/>
        <v>35.314586028314771</v>
      </c>
      <c r="U3079">
        <v>1627</v>
      </c>
      <c r="V3079">
        <v>507</v>
      </c>
      <c r="W3079">
        <v>2747</v>
      </c>
      <c r="X3079">
        <v>1390</v>
      </c>
      <c r="Y3079">
        <v>53.9</v>
      </c>
      <c r="Z3079">
        <v>39.799999999999997</v>
      </c>
      <c r="AA3079">
        <v>68</v>
      </c>
    </row>
    <row r="3080" spans="1:27" x14ac:dyDescent="0.25">
      <c r="A3080" t="s">
        <v>255</v>
      </c>
      <c r="B3080" t="s">
        <v>182</v>
      </c>
      <c r="C3080" s="76">
        <v>43968</v>
      </c>
      <c r="D3080">
        <v>11022</v>
      </c>
      <c r="E3080">
        <v>4767</v>
      </c>
      <c r="F3080">
        <v>17277</v>
      </c>
      <c r="G3080">
        <v>7784</v>
      </c>
      <c r="H3080">
        <v>58.6</v>
      </c>
      <c r="I3080">
        <v>43.8</v>
      </c>
      <c r="J3080">
        <v>73.400000000000006</v>
      </c>
      <c r="K3080">
        <v>3123</v>
      </c>
      <c r="L3080">
        <v>1240</v>
      </c>
      <c r="M3080">
        <v>5006</v>
      </c>
      <c r="N3080">
        <v>16.600000000000001</v>
      </c>
      <c r="O3080">
        <v>12.2</v>
      </c>
      <c r="P3080">
        <v>21</v>
      </c>
      <c r="Q3080">
        <f t="shared" si="94"/>
        <v>8874520</v>
      </c>
      <c r="R3080">
        <f t="shared" si="95"/>
        <v>35.190635662548509</v>
      </c>
      <c r="U3080">
        <v>1667</v>
      </c>
      <c r="V3080">
        <v>537</v>
      </c>
      <c r="W3080">
        <v>2798</v>
      </c>
      <c r="X3080">
        <v>1296</v>
      </c>
      <c r="Y3080">
        <v>56.3</v>
      </c>
      <c r="Z3080">
        <v>41.7</v>
      </c>
      <c r="AA3080">
        <v>70.8</v>
      </c>
    </row>
    <row r="3081" spans="1:27" x14ac:dyDescent="0.25">
      <c r="A3081" t="s">
        <v>255</v>
      </c>
      <c r="B3081" t="s">
        <v>182</v>
      </c>
      <c r="C3081" s="76">
        <v>43969</v>
      </c>
      <c r="D3081">
        <v>11434</v>
      </c>
      <c r="E3081">
        <v>4996</v>
      </c>
      <c r="F3081">
        <v>17872</v>
      </c>
      <c r="G3081">
        <v>7607</v>
      </c>
      <c r="H3081">
        <v>60</v>
      </c>
      <c r="I3081">
        <v>45.4</v>
      </c>
      <c r="J3081">
        <v>74.7</v>
      </c>
      <c r="K3081">
        <v>3081</v>
      </c>
      <c r="L3081">
        <v>1247</v>
      </c>
      <c r="M3081">
        <v>4915</v>
      </c>
      <c r="N3081">
        <v>16.2</v>
      </c>
      <c r="O3081">
        <v>12.3</v>
      </c>
      <c r="P3081">
        <v>20</v>
      </c>
      <c r="Q3081">
        <f t="shared" si="94"/>
        <v>8874520</v>
      </c>
      <c r="R3081">
        <f t="shared" si="95"/>
        <v>34.717370629622785</v>
      </c>
      <c r="U3081">
        <v>1660</v>
      </c>
      <c r="V3081">
        <v>549</v>
      </c>
      <c r="W3081">
        <v>2770</v>
      </c>
      <c r="X3081">
        <v>1310</v>
      </c>
      <c r="Y3081">
        <v>55.9</v>
      </c>
      <c r="Z3081">
        <v>42.4</v>
      </c>
      <c r="AA3081">
        <v>69.400000000000006</v>
      </c>
    </row>
    <row r="3082" spans="1:27" x14ac:dyDescent="0.25">
      <c r="A3082" t="s">
        <v>255</v>
      </c>
      <c r="B3082" t="s">
        <v>182</v>
      </c>
      <c r="C3082" s="76">
        <v>43970</v>
      </c>
      <c r="D3082">
        <v>11364</v>
      </c>
      <c r="E3082">
        <v>4899</v>
      </c>
      <c r="F3082">
        <v>17829</v>
      </c>
      <c r="G3082">
        <v>7577</v>
      </c>
      <c r="H3082">
        <v>60</v>
      </c>
      <c r="I3082">
        <v>46</v>
      </c>
      <c r="J3082">
        <v>74</v>
      </c>
      <c r="K3082">
        <v>3065</v>
      </c>
      <c r="L3082">
        <v>1163</v>
      </c>
      <c r="M3082">
        <v>4967</v>
      </c>
      <c r="N3082">
        <v>16.2</v>
      </c>
      <c r="O3082">
        <v>12.2</v>
      </c>
      <c r="P3082">
        <v>20.100000000000001</v>
      </c>
      <c r="Q3082">
        <f t="shared" si="94"/>
        <v>8874520</v>
      </c>
      <c r="R3082">
        <f t="shared" si="95"/>
        <v>34.537079188508223</v>
      </c>
      <c r="U3082">
        <v>1643</v>
      </c>
      <c r="V3082">
        <v>547</v>
      </c>
      <c r="W3082">
        <v>2739</v>
      </c>
      <c r="X3082">
        <v>1331</v>
      </c>
      <c r="Y3082">
        <v>55.2</v>
      </c>
      <c r="Z3082">
        <v>43.3</v>
      </c>
      <c r="AA3082">
        <v>67.2</v>
      </c>
    </row>
    <row r="3083" spans="1:27" x14ac:dyDescent="0.25">
      <c r="A3083" t="s">
        <v>255</v>
      </c>
      <c r="B3083" t="s">
        <v>182</v>
      </c>
      <c r="C3083" s="76">
        <v>43971</v>
      </c>
      <c r="D3083">
        <v>11417</v>
      </c>
      <c r="E3083">
        <v>4934</v>
      </c>
      <c r="F3083">
        <v>17900</v>
      </c>
      <c r="G3083">
        <v>7622</v>
      </c>
      <c r="H3083">
        <v>60</v>
      </c>
      <c r="I3083">
        <v>46.2</v>
      </c>
      <c r="J3083">
        <v>73.7</v>
      </c>
      <c r="K3083">
        <v>2934</v>
      </c>
      <c r="L3083">
        <v>1107</v>
      </c>
      <c r="M3083">
        <v>4760</v>
      </c>
      <c r="N3083">
        <v>15.4</v>
      </c>
      <c r="O3083">
        <v>11.6</v>
      </c>
      <c r="P3083">
        <v>19.2</v>
      </c>
      <c r="Q3083">
        <f t="shared" si="94"/>
        <v>8874520</v>
      </c>
      <c r="R3083">
        <f t="shared" si="95"/>
        <v>33.060943014382751</v>
      </c>
      <c r="U3083">
        <v>1622</v>
      </c>
      <c r="V3083">
        <v>546</v>
      </c>
      <c r="W3083">
        <v>2698</v>
      </c>
      <c r="X3083">
        <v>1368</v>
      </c>
      <c r="Y3083">
        <v>54.2</v>
      </c>
      <c r="Z3083">
        <v>43.8</v>
      </c>
      <c r="AA3083">
        <v>64.7</v>
      </c>
    </row>
    <row r="3084" spans="1:27" x14ac:dyDescent="0.25">
      <c r="A3084" t="s">
        <v>255</v>
      </c>
      <c r="B3084" t="s">
        <v>182</v>
      </c>
      <c r="C3084" s="76">
        <v>43972</v>
      </c>
      <c r="D3084">
        <v>11098</v>
      </c>
      <c r="E3084">
        <v>4664</v>
      </c>
      <c r="F3084">
        <v>17531</v>
      </c>
      <c r="G3084">
        <v>7762</v>
      </c>
      <c r="H3084">
        <v>58.8</v>
      </c>
      <c r="I3084">
        <v>44.6</v>
      </c>
      <c r="J3084">
        <v>73</v>
      </c>
      <c r="K3084">
        <v>2918</v>
      </c>
      <c r="L3084">
        <v>1058</v>
      </c>
      <c r="M3084">
        <v>4778</v>
      </c>
      <c r="N3084">
        <v>15.5</v>
      </c>
      <c r="O3084">
        <v>11.2</v>
      </c>
      <c r="P3084">
        <v>19.7</v>
      </c>
      <c r="Q3084">
        <f t="shared" si="94"/>
        <v>8874520</v>
      </c>
      <c r="R3084">
        <f t="shared" si="95"/>
        <v>32.880651573268189</v>
      </c>
      <c r="U3084">
        <v>1598</v>
      </c>
      <c r="V3084">
        <v>508</v>
      </c>
      <c r="W3084">
        <v>2688</v>
      </c>
      <c r="X3084">
        <v>1361</v>
      </c>
      <c r="Y3084">
        <v>54</v>
      </c>
      <c r="Z3084">
        <v>43.5</v>
      </c>
      <c r="AA3084">
        <v>64.5</v>
      </c>
    </row>
    <row r="3085" spans="1:27" x14ac:dyDescent="0.25">
      <c r="A3085" t="s">
        <v>255</v>
      </c>
      <c r="B3085" t="s">
        <v>182</v>
      </c>
      <c r="C3085" s="76">
        <v>43973</v>
      </c>
      <c r="D3085">
        <v>10997</v>
      </c>
      <c r="E3085">
        <v>4705</v>
      </c>
      <c r="F3085">
        <v>17288</v>
      </c>
      <c r="G3085">
        <v>7673</v>
      </c>
      <c r="H3085">
        <v>58.9</v>
      </c>
      <c r="I3085">
        <v>44.2</v>
      </c>
      <c r="J3085">
        <v>73.599999999999994</v>
      </c>
      <c r="K3085">
        <v>2766</v>
      </c>
      <c r="L3085">
        <v>1007</v>
      </c>
      <c r="M3085">
        <v>4524</v>
      </c>
      <c r="N3085">
        <v>14.8</v>
      </c>
      <c r="O3085">
        <v>10.7</v>
      </c>
      <c r="P3085">
        <v>18.899999999999999</v>
      </c>
      <c r="Q3085">
        <f t="shared" si="94"/>
        <v>8874520</v>
      </c>
      <c r="R3085">
        <f t="shared" si="95"/>
        <v>31.167882882679852</v>
      </c>
      <c r="U3085">
        <v>1516</v>
      </c>
      <c r="V3085">
        <v>465</v>
      </c>
      <c r="W3085">
        <v>2567</v>
      </c>
      <c r="X3085">
        <v>1436</v>
      </c>
      <c r="Y3085">
        <v>51.3</v>
      </c>
      <c r="Z3085">
        <v>41.1</v>
      </c>
      <c r="AA3085">
        <v>61.6</v>
      </c>
    </row>
    <row r="3086" spans="1:27" x14ac:dyDescent="0.25">
      <c r="A3086" t="s">
        <v>255</v>
      </c>
      <c r="B3086" t="s">
        <v>182</v>
      </c>
      <c r="C3086" s="76">
        <v>43974</v>
      </c>
      <c r="D3086">
        <v>10823</v>
      </c>
      <c r="E3086">
        <v>4811</v>
      </c>
      <c r="F3086">
        <v>16835</v>
      </c>
      <c r="G3086">
        <v>7830</v>
      </c>
      <c r="H3086">
        <v>58</v>
      </c>
      <c r="I3086">
        <v>44.2</v>
      </c>
      <c r="J3086">
        <v>71.8</v>
      </c>
      <c r="K3086">
        <v>2862</v>
      </c>
      <c r="L3086">
        <v>907</v>
      </c>
      <c r="M3086">
        <v>4816</v>
      </c>
      <c r="N3086">
        <v>15.3</v>
      </c>
      <c r="O3086">
        <v>9.6999999999999993</v>
      </c>
      <c r="P3086">
        <v>20.9</v>
      </c>
      <c r="Q3086">
        <f t="shared" si="94"/>
        <v>8874520</v>
      </c>
      <c r="R3086">
        <f t="shared" si="95"/>
        <v>32.249631529367221</v>
      </c>
      <c r="U3086">
        <v>1516</v>
      </c>
      <c r="V3086">
        <v>488</v>
      </c>
      <c r="W3086">
        <v>2545</v>
      </c>
      <c r="X3086">
        <v>1459</v>
      </c>
      <c r="Y3086">
        <v>51</v>
      </c>
      <c r="Z3086">
        <v>41.5</v>
      </c>
      <c r="AA3086">
        <v>60.4</v>
      </c>
    </row>
    <row r="3087" spans="1:27" x14ac:dyDescent="0.25">
      <c r="A3087" t="s">
        <v>255</v>
      </c>
      <c r="B3087" t="s">
        <v>182</v>
      </c>
      <c r="C3087" s="76">
        <v>43975</v>
      </c>
      <c r="D3087">
        <v>10704</v>
      </c>
      <c r="E3087">
        <v>4633</v>
      </c>
      <c r="F3087">
        <v>16775</v>
      </c>
      <c r="G3087">
        <v>7704</v>
      </c>
      <c r="H3087">
        <v>58.1</v>
      </c>
      <c r="I3087">
        <v>44</v>
      </c>
      <c r="J3087">
        <v>72.3</v>
      </c>
      <c r="K3087">
        <v>2788</v>
      </c>
      <c r="L3087">
        <v>953</v>
      </c>
      <c r="M3087">
        <v>4624</v>
      </c>
      <c r="N3087">
        <v>15.1</v>
      </c>
      <c r="O3087">
        <v>10.5</v>
      </c>
      <c r="P3087">
        <v>19.8</v>
      </c>
      <c r="Q3087">
        <f t="shared" si="94"/>
        <v>8874520</v>
      </c>
      <c r="R3087">
        <f t="shared" si="95"/>
        <v>31.415783614212376</v>
      </c>
      <c r="U3087">
        <v>1499</v>
      </c>
      <c r="V3087">
        <v>456</v>
      </c>
      <c r="W3087">
        <v>2542</v>
      </c>
      <c r="X3087">
        <v>1406</v>
      </c>
      <c r="Y3087">
        <v>51.6</v>
      </c>
      <c r="Z3087">
        <v>41.2</v>
      </c>
      <c r="AA3087">
        <v>62</v>
      </c>
    </row>
    <row r="3088" spans="1:27" x14ac:dyDescent="0.25">
      <c r="A3088" t="s">
        <v>255</v>
      </c>
      <c r="B3088" t="s">
        <v>182</v>
      </c>
      <c r="C3088" s="76">
        <v>43976</v>
      </c>
      <c r="D3088">
        <v>10472</v>
      </c>
      <c r="E3088">
        <v>4465</v>
      </c>
      <c r="F3088">
        <v>16478</v>
      </c>
      <c r="G3088">
        <v>8015</v>
      </c>
      <c r="H3088">
        <v>56.6</v>
      </c>
      <c r="I3088">
        <v>42.5</v>
      </c>
      <c r="J3088">
        <v>70.8</v>
      </c>
      <c r="K3088">
        <v>2591</v>
      </c>
      <c r="L3088">
        <v>823</v>
      </c>
      <c r="M3088">
        <v>4359</v>
      </c>
      <c r="N3088">
        <v>14</v>
      </c>
      <c r="O3088">
        <v>9.4</v>
      </c>
      <c r="P3088">
        <v>18.600000000000001</v>
      </c>
      <c r="Q3088">
        <f t="shared" si="94"/>
        <v>8874520</v>
      </c>
      <c r="R3088">
        <f t="shared" si="95"/>
        <v>29.195945245489334</v>
      </c>
      <c r="U3088">
        <v>1389</v>
      </c>
      <c r="V3088">
        <v>379</v>
      </c>
      <c r="W3088">
        <v>2398</v>
      </c>
      <c r="X3088">
        <v>1416</v>
      </c>
      <c r="Y3088">
        <v>49.5</v>
      </c>
      <c r="Z3088">
        <v>40.1</v>
      </c>
      <c r="AA3088">
        <v>58.9</v>
      </c>
    </row>
    <row r="3089" spans="1:27" x14ac:dyDescent="0.25">
      <c r="A3089" t="s">
        <v>255</v>
      </c>
      <c r="B3089" t="s">
        <v>182</v>
      </c>
      <c r="C3089" s="76">
        <v>43977</v>
      </c>
      <c r="D3089">
        <v>10685</v>
      </c>
      <c r="E3089">
        <v>4585</v>
      </c>
      <c r="F3089">
        <v>16785</v>
      </c>
      <c r="G3089">
        <v>7798</v>
      </c>
      <c r="H3089">
        <v>57.8</v>
      </c>
      <c r="I3089">
        <v>43.7</v>
      </c>
      <c r="J3089">
        <v>71.900000000000006</v>
      </c>
      <c r="K3089">
        <v>2541</v>
      </c>
      <c r="L3089">
        <v>853</v>
      </c>
      <c r="M3089">
        <v>4228</v>
      </c>
      <c r="N3089">
        <v>13.7</v>
      </c>
      <c r="O3089">
        <v>9.4</v>
      </c>
      <c r="P3089">
        <v>18.100000000000001</v>
      </c>
      <c r="Q3089">
        <f t="shared" si="94"/>
        <v>8874520</v>
      </c>
      <c r="R3089">
        <f t="shared" si="95"/>
        <v>28.632534492006329</v>
      </c>
      <c r="U3089">
        <v>1430</v>
      </c>
      <c r="V3089">
        <v>384</v>
      </c>
      <c r="W3089">
        <v>2476</v>
      </c>
      <c r="X3089">
        <v>1360</v>
      </c>
      <c r="Y3089">
        <v>51.3</v>
      </c>
      <c r="Z3089">
        <v>39.6</v>
      </c>
      <c r="AA3089">
        <v>62.9</v>
      </c>
    </row>
    <row r="3090" spans="1:27" x14ac:dyDescent="0.25">
      <c r="A3090" t="s">
        <v>255</v>
      </c>
      <c r="B3090" t="s">
        <v>182</v>
      </c>
      <c r="C3090" s="76">
        <v>43978</v>
      </c>
      <c r="D3090">
        <v>11129</v>
      </c>
      <c r="E3090">
        <v>4682</v>
      </c>
      <c r="F3090">
        <v>17577</v>
      </c>
      <c r="G3090">
        <v>7660</v>
      </c>
      <c r="H3090">
        <v>59.2</v>
      </c>
      <c r="I3090">
        <v>45.5</v>
      </c>
      <c r="J3090">
        <v>72.900000000000006</v>
      </c>
      <c r="K3090">
        <v>2462</v>
      </c>
      <c r="L3090">
        <v>781</v>
      </c>
      <c r="M3090">
        <v>4144</v>
      </c>
      <c r="N3090">
        <v>13.1</v>
      </c>
      <c r="O3090">
        <v>8.6</v>
      </c>
      <c r="P3090">
        <v>17.600000000000001</v>
      </c>
      <c r="Q3090">
        <f t="shared" si="94"/>
        <v>8874520</v>
      </c>
      <c r="R3090">
        <f t="shared" si="95"/>
        <v>27.742345501503177</v>
      </c>
      <c r="U3090">
        <v>1392</v>
      </c>
      <c r="V3090">
        <v>342</v>
      </c>
      <c r="W3090">
        <v>2443</v>
      </c>
      <c r="X3090">
        <v>1369</v>
      </c>
      <c r="Y3090">
        <v>50.4</v>
      </c>
      <c r="Z3090">
        <v>38.700000000000003</v>
      </c>
      <c r="AA3090">
        <v>62.2</v>
      </c>
    </row>
    <row r="3091" spans="1:27" x14ac:dyDescent="0.25">
      <c r="A3091" t="s">
        <v>255</v>
      </c>
      <c r="B3091" t="s">
        <v>182</v>
      </c>
      <c r="C3091" s="76">
        <v>43979</v>
      </c>
      <c r="D3091">
        <v>11026</v>
      </c>
      <c r="E3091">
        <v>4307</v>
      </c>
      <c r="F3091">
        <v>17744</v>
      </c>
      <c r="G3091">
        <v>7669</v>
      </c>
      <c r="H3091">
        <v>59</v>
      </c>
      <c r="I3091">
        <v>44.6</v>
      </c>
      <c r="J3091">
        <v>73.400000000000006</v>
      </c>
      <c r="K3091">
        <v>2057</v>
      </c>
      <c r="L3091">
        <v>506</v>
      </c>
      <c r="M3091">
        <v>3607</v>
      </c>
      <c r="N3091">
        <v>11</v>
      </c>
      <c r="O3091">
        <v>6.6</v>
      </c>
      <c r="P3091">
        <v>15.4</v>
      </c>
      <c r="Q3091">
        <f t="shared" si="94"/>
        <v>8874520</v>
      </c>
      <c r="R3091">
        <f t="shared" si="95"/>
        <v>23.178718398290837</v>
      </c>
      <c r="U3091">
        <v>1448</v>
      </c>
      <c r="V3091">
        <v>348</v>
      </c>
      <c r="W3091">
        <v>2548</v>
      </c>
      <c r="X3091">
        <v>1318</v>
      </c>
      <c r="Y3091">
        <v>52.4</v>
      </c>
      <c r="Z3091">
        <v>40.299999999999997</v>
      </c>
      <c r="AA3091">
        <v>64.5</v>
      </c>
    </row>
    <row r="3092" spans="1:27" x14ac:dyDescent="0.25">
      <c r="A3092" t="s">
        <v>255</v>
      </c>
      <c r="B3092" t="s">
        <v>182</v>
      </c>
      <c r="C3092" s="76">
        <v>43980</v>
      </c>
      <c r="D3092">
        <v>11170</v>
      </c>
      <c r="E3092">
        <v>4763</v>
      </c>
      <c r="F3092">
        <v>17578</v>
      </c>
      <c r="G3092">
        <v>7793</v>
      </c>
      <c r="H3092">
        <v>58.9</v>
      </c>
      <c r="I3092">
        <v>45.5</v>
      </c>
      <c r="J3092">
        <v>72.3</v>
      </c>
      <c r="K3092">
        <v>2130</v>
      </c>
      <c r="L3092">
        <v>723</v>
      </c>
      <c r="M3092">
        <v>3537</v>
      </c>
      <c r="N3092">
        <v>11.2</v>
      </c>
      <c r="O3092">
        <v>7.4</v>
      </c>
      <c r="P3092">
        <v>15.1</v>
      </c>
      <c r="Q3092">
        <f t="shared" si="94"/>
        <v>8874520</v>
      </c>
      <c r="R3092">
        <f t="shared" si="95"/>
        <v>24.001298098376022</v>
      </c>
      <c r="U3092">
        <v>1460</v>
      </c>
      <c r="V3092">
        <v>395</v>
      </c>
      <c r="W3092">
        <v>2525</v>
      </c>
      <c r="X3092">
        <v>1425</v>
      </c>
      <c r="Y3092">
        <v>50.6</v>
      </c>
      <c r="Z3092">
        <v>39.1</v>
      </c>
      <c r="AA3092">
        <v>62.1</v>
      </c>
    </row>
    <row r="3093" spans="1:27" x14ac:dyDescent="0.25">
      <c r="A3093" t="s">
        <v>255</v>
      </c>
      <c r="B3093" t="s">
        <v>182</v>
      </c>
      <c r="C3093" s="76">
        <v>43981</v>
      </c>
      <c r="D3093">
        <v>11282</v>
      </c>
      <c r="E3093">
        <v>4948</v>
      </c>
      <c r="F3093">
        <v>17616</v>
      </c>
      <c r="G3093">
        <v>7604</v>
      </c>
      <c r="H3093">
        <v>59.7</v>
      </c>
      <c r="I3093">
        <v>46.6</v>
      </c>
      <c r="J3093">
        <v>72.900000000000006</v>
      </c>
      <c r="K3093">
        <v>2223</v>
      </c>
      <c r="L3093">
        <v>770</v>
      </c>
      <c r="M3093">
        <v>3676</v>
      </c>
      <c r="N3093">
        <v>11.8</v>
      </c>
      <c r="O3093">
        <v>7.7</v>
      </c>
      <c r="P3093">
        <v>15.9</v>
      </c>
      <c r="Q3093">
        <f t="shared" si="94"/>
        <v>8874520</v>
      </c>
      <c r="R3093">
        <f t="shared" si="95"/>
        <v>25.049242099854414</v>
      </c>
      <c r="U3093">
        <v>1502</v>
      </c>
      <c r="V3093">
        <v>437</v>
      </c>
      <c r="W3093">
        <v>2567</v>
      </c>
      <c r="X3093">
        <v>1399</v>
      </c>
      <c r="Y3093">
        <v>51.8</v>
      </c>
      <c r="Z3093">
        <v>40.6</v>
      </c>
      <c r="AA3093">
        <v>62.9</v>
      </c>
    </row>
    <row r="3094" spans="1:27" x14ac:dyDescent="0.25">
      <c r="A3094" t="s">
        <v>255</v>
      </c>
      <c r="B3094" t="s">
        <v>182</v>
      </c>
      <c r="C3094" s="76">
        <v>43982</v>
      </c>
      <c r="D3094">
        <v>10852</v>
      </c>
      <c r="E3094">
        <v>4742</v>
      </c>
      <c r="F3094">
        <v>16963</v>
      </c>
      <c r="G3094">
        <v>7913</v>
      </c>
      <c r="H3094">
        <v>57.8</v>
      </c>
      <c r="I3094">
        <v>44.9</v>
      </c>
      <c r="J3094">
        <v>70.8</v>
      </c>
      <c r="K3094">
        <v>2260</v>
      </c>
      <c r="L3094">
        <v>794</v>
      </c>
      <c r="M3094">
        <v>3727</v>
      </c>
      <c r="N3094">
        <v>12</v>
      </c>
      <c r="O3094">
        <v>7.8</v>
      </c>
      <c r="P3094">
        <v>16.3</v>
      </c>
      <c r="Q3094">
        <f t="shared" si="94"/>
        <v>8874520</v>
      </c>
      <c r="R3094">
        <f t="shared" si="95"/>
        <v>25.466166057431838</v>
      </c>
      <c r="U3094">
        <v>1384</v>
      </c>
      <c r="V3094">
        <v>388</v>
      </c>
      <c r="W3094">
        <v>2380</v>
      </c>
      <c r="X3094">
        <v>1408</v>
      </c>
      <c r="Y3094">
        <v>49.6</v>
      </c>
      <c r="Z3094">
        <v>39.200000000000003</v>
      </c>
      <c r="AA3094">
        <v>60</v>
      </c>
    </row>
    <row r="3095" spans="1:27" x14ac:dyDescent="0.25">
      <c r="A3095" t="s">
        <v>255</v>
      </c>
      <c r="B3095" t="s">
        <v>182</v>
      </c>
      <c r="C3095" s="76">
        <v>43983</v>
      </c>
      <c r="D3095">
        <v>10528</v>
      </c>
      <c r="E3095">
        <v>4503</v>
      </c>
      <c r="F3095">
        <v>16552</v>
      </c>
      <c r="G3095">
        <v>8237</v>
      </c>
      <c r="H3095">
        <v>56.1</v>
      </c>
      <c r="I3095">
        <v>41.5</v>
      </c>
      <c r="J3095">
        <v>70.7</v>
      </c>
      <c r="K3095">
        <v>2206</v>
      </c>
      <c r="L3095">
        <v>753</v>
      </c>
      <c r="M3095">
        <v>3660</v>
      </c>
      <c r="N3095">
        <v>11.8</v>
      </c>
      <c r="O3095">
        <v>7.7</v>
      </c>
      <c r="P3095">
        <v>15.9</v>
      </c>
      <c r="Q3095">
        <f t="shared" si="94"/>
        <v>8874520</v>
      </c>
      <c r="R3095">
        <f t="shared" si="95"/>
        <v>24.857682443670193</v>
      </c>
      <c r="U3095">
        <v>1236</v>
      </c>
      <c r="V3095">
        <v>320</v>
      </c>
      <c r="W3095">
        <v>2153</v>
      </c>
      <c r="X3095">
        <v>1440</v>
      </c>
      <c r="Y3095">
        <v>46.2</v>
      </c>
      <c r="Z3095">
        <v>33.799999999999997</v>
      </c>
      <c r="AA3095">
        <v>58.6</v>
      </c>
    </row>
    <row r="3096" spans="1:27" x14ac:dyDescent="0.25">
      <c r="A3096" t="s">
        <v>255</v>
      </c>
      <c r="B3096" t="s">
        <v>182</v>
      </c>
      <c r="C3096" s="76">
        <v>43984</v>
      </c>
      <c r="D3096">
        <v>11274</v>
      </c>
      <c r="E3096">
        <v>4821</v>
      </c>
      <c r="F3096">
        <v>17728</v>
      </c>
      <c r="G3096">
        <v>7771</v>
      </c>
      <c r="H3096">
        <v>59.2</v>
      </c>
      <c r="I3096">
        <v>44.6</v>
      </c>
      <c r="J3096">
        <v>73.8</v>
      </c>
      <c r="K3096">
        <v>2250</v>
      </c>
      <c r="L3096">
        <v>773</v>
      </c>
      <c r="M3096">
        <v>3726</v>
      </c>
      <c r="N3096">
        <v>11.8</v>
      </c>
      <c r="O3096">
        <v>7.5</v>
      </c>
      <c r="P3096">
        <v>16.100000000000001</v>
      </c>
      <c r="Q3096">
        <f t="shared" si="94"/>
        <v>8874520</v>
      </c>
      <c r="R3096">
        <f t="shared" si="95"/>
        <v>25.353483906735235</v>
      </c>
      <c r="U3096">
        <v>1221</v>
      </c>
      <c r="V3096">
        <v>317</v>
      </c>
      <c r="W3096">
        <v>2126</v>
      </c>
      <c r="X3096">
        <v>1392</v>
      </c>
      <c r="Y3096">
        <v>46.7</v>
      </c>
      <c r="Z3096">
        <v>35.6</v>
      </c>
      <c r="AA3096">
        <v>57.8</v>
      </c>
    </row>
    <row r="3097" spans="1:27" x14ac:dyDescent="0.25">
      <c r="A3097" t="s">
        <v>255</v>
      </c>
      <c r="B3097" t="s">
        <v>182</v>
      </c>
      <c r="C3097" s="76">
        <v>43985</v>
      </c>
      <c r="D3097">
        <v>12205</v>
      </c>
      <c r="E3097">
        <v>4186</v>
      </c>
      <c r="F3097">
        <v>20224</v>
      </c>
      <c r="G3097">
        <v>6566</v>
      </c>
      <c r="H3097">
        <v>65</v>
      </c>
      <c r="I3097">
        <v>48.1</v>
      </c>
      <c r="J3097">
        <v>81.900000000000006</v>
      </c>
      <c r="K3097">
        <v>1937</v>
      </c>
      <c r="L3097">
        <v>597</v>
      </c>
      <c r="M3097">
        <v>3278</v>
      </c>
      <c r="N3097">
        <v>10.3</v>
      </c>
      <c r="O3097">
        <v>5.7</v>
      </c>
      <c r="P3097">
        <v>14.9</v>
      </c>
      <c r="Q3097">
        <f t="shared" si="94"/>
        <v>8874520</v>
      </c>
      <c r="R3097">
        <f t="shared" si="95"/>
        <v>21.826532589931624</v>
      </c>
      <c r="U3097">
        <v>1237</v>
      </c>
      <c r="V3097">
        <v>170</v>
      </c>
      <c r="W3097">
        <v>2304</v>
      </c>
      <c r="X3097">
        <v>1508</v>
      </c>
      <c r="Y3097">
        <v>45.1</v>
      </c>
      <c r="Z3097">
        <v>31.5</v>
      </c>
      <c r="AA3097">
        <v>58.6</v>
      </c>
    </row>
    <row r="3098" spans="1:27" x14ac:dyDescent="0.25">
      <c r="A3098" t="s">
        <v>255</v>
      </c>
      <c r="B3098" t="s">
        <v>182</v>
      </c>
      <c r="C3098" s="76">
        <v>43986</v>
      </c>
      <c r="D3098">
        <v>11076</v>
      </c>
      <c r="E3098">
        <v>4656</v>
      </c>
      <c r="F3098">
        <v>17496</v>
      </c>
      <c r="G3098">
        <v>7276</v>
      </c>
      <c r="H3098">
        <v>60.4</v>
      </c>
      <c r="I3098">
        <v>45.6</v>
      </c>
      <c r="J3098">
        <v>75.099999999999994</v>
      </c>
      <c r="K3098">
        <v>1804</v>
      </c>
      <c r="L3098">
        <v>648</v>
      </c>
      <c r="M3098">
        <v>2961</v>
      </c>
      <c r="N3098">
        <v>9.8000000000000007</v>
      </c>
      <c r="O3098">
        <v>6.3</v>
      </c>
      <c r="P3098">
        <v>13.4</v>
      </c>
      <c r="Q3098">
        <f t="shared" si="94"/>
        <v>8874520</v>
      </c>
      <c r="R3098">
        <f t="shared" si="95"/>
        <v>20.32785998566683</v>
      </c>
      <c r="U3098">
        <v>1226</v>
      </c>
      <c r="V3098">
        <v>333</v>
      </c>
      <c r="W3098">
        <v>2118</v>
      </c>
      <c r="X3098">
        <v>1398</v>
      </c>
      <c r="Y3098">
        <v>46.7</v>
      </c>
      <c r="Z3098">
        <v>36</v>
      </c>
      <c r="AA3098">
        <v>57.4</v>
      </c>
    </row>
    <row r="3099" spans="1:27" x14ac:dyDescent="0.25">
      <c r="A3099" t="s">
        <v>255</v>
      </c>
      <c r="B3099" t="s">
        <v>182</v>
      </c>
      <c r="C3099" s="76">
        <v>43987</v>
      </c>
      <c r="D3099">
        <v>11082</v>
      </c>
      <c r="E3099">
        <v>4819</v>
      </c>
      <c r="F3099">
        <v>17345</v>
      </c>
      <c r="G3099">
        <v>7541</v>
      </c>
      <c r="H3099">
        <v>59.5</v>
      </c>
      <c r="I3099">
        <v>45.2</v>
      </c>
      <c r="J3099">
        <v>73.8</v>
      </c>
      <c r="K3099">
        <v>1779</v>
      </c>
      <c r="L3099">
        <v>672</v>
      </c>
      <c r="M3099">
        <v>2887</v>
      </c>
      <c r="N3099">
        <v>9.6</v>
      </c>
      <c r="O3099">
        <v>6.5</v>
      </c>
      <c r="P3099">
        <v>12.6</v>
      </c>
      <c r="Q3099">
        <f t="shared" si="94"/>
        <v>8874520</v>
      </c>
      <c r="R3099">
        <f t="shared" si="95"/>
        <v>20.046154608925328</v>
      </c>
      <c r="U3099">
        <v>1325</v>
      </c>
      <c r="V3099">
        <v>386</v>
      </c>
      <c r="W3099">
        <v>2264</v>
      </c>
      <c r="X3099">
        <v>1449</v>
      </c>
      <c r="Y3099">
        <v>47.8</v>
      </c>
      <c r="Z3099">
        <v>36</v>
      </c>
      <c r="AA3099">
        <v>59.6</v>
      </c>
    </row>
    <row r="3100" spans="1:27" x14ac:dyDescent="0.25">
      <c r="A3100" t="s">
        <v>255</v>
      </c>
      <c r="B3100" t="s">
        <v>182</v>
      </c>
      <c r="C3100" s="76">
        <v>43988</v>
      </c>
      <c r="D3100">
        <v>10719</v>
      </c>
      <c r="E3100">
        <v>4643</v>
      </c>
      <c r="F3100">
        <v>16794</v>
      </c>
      <c r="G3100">
        <v>7869</v>
      </c>
      <c r="H3100">
        <v>57.7</v>
      </c>
      <c r="I3100">
        <v>43.6</v>
      </c>
      <c r="J3100">
        <v>71.7</v>
      </c>
      <c r="K3100">
        <v>1769</v>
      </c>
      <c r="L3100">
        <v>693</v>
      </c>
      <c r="M3100">
        <v>2845</v>
      </c>
      <c r="N3100">
        <v>9.5</v>
      </c>
      <c r="O3100">
        <v>6.3</v>
      </c>
      <c r="P3100">
        <v>12.8</v>
      </c>
      <c r="Q3100">
        <f t="shared" si="94"/>
        <v>8874520</v>
      </c>
      <c r="R3100">
        <f t="shared" si="95"/>
        <v>19.933472458228728</v>
      </c>
      <c r="U3100">
        <v>1424</v>
      </c>
      <c r="V3100">
        <v>327</v>
      </c>
      <c r="W3100">
        <v>2521</v>
      </c>
      <c r="X3100">
        <v>1402</v>
      </c>
      <c r="Y3100">
        <v>50.4</v>
      </c>
      <c r="Z3100">
        <v>35.799999999999997</v>
      </c>
      <c r="AA3100">
        <v>64.900000000000006</v>
      </c>
    </row>
    <row r="3101" spans="1:27" x14ac:dyDescent="0.25">
      <c r="A3101" t="s">
        <v>255</v>
      </c>
      <c r="B3101" t="s">
        <v>182</v>
      </c>
      <c r="C3101" s="76">
        <v>43989</v>
      </c>
      <c r="D3101">
        <v>9956</v>
      </c>
      <c r="E3101">
        <v>3991</v>
      </c>
      <c r="F3101">
        <v>15920</v>
      </c>
      <c r="G3101">
        <v>8456</v>
      </c>
      <c r="H3101">
        <v>54.1</v>
      </c>
      <c r="I3101">
        <v>36.9</v>
      </c>
      <c r="J3101">
        <v>71.2</v>
      </c>
      <c r="K3101">
        <v>2025</v>
      </c>
      <c r="L3101">
        <v>632</v>
      </c>
      <c r="M3101">
        <v>3418</v>
      </c>
      <c r="N3101">
        <v>11</v>
      </c>
      <c r="O3101">
        <v>7.8</v>
      </c>
      <c r="P3101">
        <v>14.2</v>
      </c>
      <c r="Q3101">
        <f t="shared" si="94"/>
        <v>8874520</v>
      </c>
      <c r="R3101">
        <f t="shared" si="95"/>
        <v>22.818135516061712</v>
      </c>
      <c r="U3101">
        <v>1335</v>
      </c>
      <c r="V3101">
        <v>246</v>
      </c>
      <c r="W3101">
        <v>2424</v>
      </c>
      <c r="X3101">
        <v>1711</v>
      </c>
      <c r="Y3101">
        <v>43.8</v>
      </c>
      <c r="Z3101">
        <v>31.6</v>
      </c>
      <c r="AA3101">
        <v>56</v>
      </c>
    </row>
    <row r="3102" spans="1:27" x14ac:dyDescent="0.25">
      <c r="A3102" t="s">
        <v>255</v>
      </c>
      <c r="B3102" t="s">
        <v>182</v>
      </c>
      <c r="C3102" s="76">
        <v>43990</v>
      </c>
      <c r="D3102">
        <v>10703</v>
      </c>
      <c r="E3102">
        <v>4177</v>
      </c>
      <c r="F3102">
        <v>17228</v>
      </c>
      <c r="G3102">
        <v>8256</v>
      </c>
      <c r="H3102">
        <v>56.5</v>
      </c>
      <c r="I3102">
        <v>40.700000000000003</v>
      </c>
      <c r="J3102">
        <v>72.2</v>
      </c>
      <c r="K3102">
        <v>1969</v>
      </c>
      <c r="L3102">
        <v>526</v>
      </c>
      <c r="M3102">
        <v>3412</v>
      </c>
      <c r="N3102">
        <v>10.4</v>
      </c>
      <c r="O3102">
        <v>7</v>
      </c>
      <c r="P3102">
        <v>13.8</v>
      </c>
      <c r="Q3102">
        <f t="shared" si="94"/>
        <v>8874520</v>
      </c>
      <c r="R3102">
        <f t="shared" si="95"/>
        <v>22.187115472160748</v>
      </c>
      <c r="U3102">
        <v>1459</v>
      </c>
      <c r="V3102">
        <v>296</v>
      </c>
      <c r="W3102">
        <v>2623</v>
      </c>
      <c r="X3102">
        <v>1512</v>
      </c>
      <c r="Y3102">
        <v>49.1</v>
      </c>
      <c r="Z3102">
        <v>43.1</v>
      </c>
      <c r="AA3102">
        <v>55.2</v>
      </c>
    </row>
    <row r="3103" spans="1:27" x14ac:dyDescent="0.25">
      <c r="A3103" t="s">
        <v>255</v>
      </c>
      <c r="B3103" t="s">
        <v>182</v>
      </c>
      <c r="C3103" s="76">
        <v>43991</v>
      </c>
      <c r="D3103">
        <v>13297</v>
      </c>
      <c r="E3103">
        <v>0</v>
      </c>
      <c r="F3103">
        <v>28691</v>
      </c>
      <c r="G3103">
        <v>3427</v>
      </c>
      <c r="H3103">
        <v>79.5</v>
      </c>
      <c r="I3103">
        <v>59.6</v>
      </c>
      <c r="J3103">
        <v>99.4</v>
      </c>
      <c r="K3103">
        <v>1999</v>
      </c>
      <c r="L3103">
        <v>0</v>
      </c>
      <c r="M3103">
        <v>4346</v>
      </c>
      <c r="N3103">
        <v>12</v>
      </c>
      <c r="O3103">
        <v>8.4</v>
      </c>
      <c r="P3103">
        <v>15.5</v>
      </c>
      <c r="Q3103">
        <f t="shared" si="94"/>
        <v>8874520</v>
      </c>
      <c r="R3103">
        <f t="shared" si="95"/>
        <v>22.525161924250551</v>
      </c>
      <c r="U3103">
        <v>2073</v>
      </c>
      <c r="V3103">
        <v>0</v>
      </c>
      <c r="W3103">
        <v>5053</v>
      </c>
      <c r="X3103">
        <v>1879</v>
      </c>
      <c r="Y3103">
        <v>52.4</v>
      </c>
      <c r="Z3103">
        <v>46.9</v>
      </c>
      <c r="AA3103">
        <v>58</v>
      </c>
    </row>
    <row r="3104" spans="1:27" x14ac:dyDescent="0.25">
      <c r="A3104" t="s">
        <v>255</v>
      </c>
      <c r="B3104" t="s">
        <v>182</v>
      </c>
      <c r="C3104" s="76">
        <v>43992</v>
      </c>
      <c r="D3104">
        <v>14702</v>
      </c>
      <c r="E3104">
        <v>0</v>
      </c>
      <c r="F3104">
        <v>31398</v>
      </c>
      <c r="G3104">
        <v>3221</v>
      </c>
      <c r="H3104">
        <v>82</v>
      </c>
      <c r="I3104">
        <v>64.2</v>
      </c>
      <c r="J3104">
        <v>99.8</v>
      </c>
      <c r="K3104">
        <v>2059</v>
      </c>
      <c r="L3104">
        <v>0</v>
      </c>
      <c r="M3104">
        <v>4206</v>
      </c>
      <c r="N3104">
        <v>11.5</v>
      </c>
      <c r="O3104">
        <v>8.1999999999999993</v>
      </c>
      <c r="P3104">
        <v>14.8</v>
      </c>
      <c r="Q3104">
        <f t="shared" si="94"/>
        <v>8874520</v>
      </c>
      <c r="R3104">
        <f t="shared" si="95"/>
        <v>23.201254828430155</v>
      </c>
      <c r="U3104">
        <v>2199</v>
      </c>
      <c r="V3104">
        <v>0</v>
      </c>
      <c r="W3104">
        <v>5458</v>
      </c>
      <c r="X3104">
        <v>1672</v>
      </c>
      <c r="Y3104">
        <v>56.8</v>
      </c>
      <c r="Z3104">
        <v>52.7</v>
      </c>
      <c r="AA3104">
        <v>60.9</v>
      </c>
    </row>
    <row r="3105" spans="1:27" x14ac:dyDescent="0.25">
      <c r="A3105" t="s">
        <v>255</v>
      </c>
      <c r="B3105" t="s">
        <v>182</v>
      </c>
      <c r="C3105" s="76">
        <v>43993</v>
      </c>
      <c r="D3105">
        <v>11616</v>
      </c>
      <c r="E3105">
        <v>4438</v>
      </c>
      <c r="F3105">
        <v>18794</v>
      </c>
      <c r="G3105">
        <v>7350</v>
      </c>
      <c r="H3105">
        <v>61.2</v>
      </c>
      <c r="I3105">
        <v>45.6</v>
      </c>
      <c r="J3105">
        <v>76.900000000000006</v>
      </c>
      <c r="K3105">
        <v>1851</v>
      </c>
      <c r="L3105">
        <v>529</v>
      </c>
      <c r="M3105">
        <v>3174</v>
      </c>
      <c r="N3105">
        <v>9.8000000000000007</v>
      </c>
      <c r="O3105">
        <v>6.7</v>
      </c>
      <c r="P3105">
        <v>12.8</v>
      </c>
      <c r="Q3105">
        <f t="shared" si="94"/>
        <v>8874520</v>
      </c>
      <c r="R3105">
        <f t="shared" si="95"/>
        <v>20.857466093940857</v>
      </c>
      <c r="U3105">
        <v>1377</v>
      </c>
      <c r="V3105">
        <v>246</v>
      </c>
      <c r="W3105">
        <v>2509</v>
      </c>
      <c r="X3105">
        <v>1662</v>
      </c>
      <c r="Y3105">
        <v>45.3</v>
      </c>
      <c r="Z3105">
        <v>32.799999999999997</v>
      </c>
      <c r="AA3105">
        <v>57.8</v>
      </c>
    </row>
    <row r="3106" spans="1:27" x14ac:dyDescent="0.25">
      <c r="A3106" t="s">
        <v>255</v>
      </c>
      <c r="B3106" t="s">
        <v>182</v>
      </c>
      <c r="C3106" s="76">
        <v>43994</v>
      </c>
      <c r="D3106">
        <v>12013</v>
      </c>
      <c r="E3106">
        <v>5406</v>
      </c>
      <c r="F3106">
        <v>18620</v>
      </c>
      <c r="G3106">
        <v>7117</v>
      </c>
      <c r="H3106">
        <v>62.8</v>
      </c>
      <c r="I3106">
        <v>48.5</v>
      </c>
      <c r="J3106">
        <v>77</v>
      </c>
      <c r="K3106">
        <v>1747</v>
      </c>
      <c r="L3106">
        <v>661</v>
      </c>
      <c r="M3106">
        <v>2833</v>
      </c>
      <c r="N3106">
        <v>9.1</v>
      </c>
      <c r="O3106">
        <v>5.8</v>
      </c>
      <c r="P3106">
        <v>12.5</v>
      </c>
      <c r="Q3106">
        <f t="shared" si="94"/>
        <v>8874520</v>
      </c>
      <c r="R3106">
        <f t="shared" si="95"/>
        <v>19.685571726696203</v>
      </c>
      <c r="U3106">
        <v>1405</v>
      </c>
      <c r="V3106">
        <v>407</v>
      </c>
      <c r="W3106">
        <v>2402</v>
      </c>
      <c r="X3106">
        <v>1446</v>
      </c>
      <c r="Y3106">
        <v>49.3</v>
      </c>
      <c r="Z3106">
        <v>38.299999999999997</v>
      </c>
      <c r="AA3106">
        <v>60.3</v>
      </c>
    </row>
    <row r="3107" spans="1:27" x14ac:dyDescent="0.25">
      <c r="A3107" t="s">
        <v>255</v>
      </c>
      <c r="B3107" t="s">
        <v>182</v>
      </c>
      <c r="C3107" s="76">
        <v>43995</v>
      </c>
      <c r="D3107">
        <v>11171</v>
      </c>
      <c r="E3107">
        <v>4972</v>
      </c>
      <c r="F3107">
        <v>17370</v>
      </c>
      <c r="G3107">
        <v>7594</v>
      </c>
      <c r="H3107">
        <v>59.5</v>
      </c>
      <c r="I3107">
        <v>45.1</v>
      </c>
      <c r="J3107">
        <v>73.900000000000006</v>
      </c>
      <c r="K3107">
        <v>1444</v>
      </c>
      <c r="L3107">
        <v>622</v>
      </c>
      <c r="M3107">
        <v>2267</v>
      </c>
      <c r="N3107">
        <v>7.7</v>
      </c>
      <c r="O3107">
        <v>5.2</v>
      </c>
      <c r="P3107">
        <v>10.199999999999999</v>
      </c>
      <c r="Q3107">
        <f t="shared" si="94"/>
        <v>8874520</v>
      </c>
      <c r="R3107">
        <f t="shared" si="95"/>
        <v>16.271302560589191</v>
      </c>
      <c r="U3107">
        <v>1292</v>
      </c>
      <c r="V3107">
        <v>381</v>
      </c>
      <c r="W3107">
        <v>2203</v>
      </c>
      <c r="X3107">
        <v>1523</v>
      </c>
      <c r="Y3107">
        <v>45.9</v>
      </c>
      <c r="Z3107">
        <v>35.299999999999997</v>
      </c>
      <c r="AA3107">
        <v>56.5</v>
      </c>
    </row>
    <row r="3108" spans="1:27" x14ac:dyDescent="0.25">
      <c r="A3108" t="s">
        <v>255</v>
      </c>
      <c r="B3108" t="s">
        <v>182</v>
      </c>
      <c r="C3108" s="76">
        <v>43996</v>
      </c>
      <c r="D3108">
        <v>10635</v>
      </c>
      <c r="E3108">
        <v>4662</v>
      </c>
      <c r="F3108">
        <v>16609</v>
      </c>
      <c r="G3108">
        <v>7846</v>
      </c>
      <c r="H3108">
        <v>57.5</v>
      </c>
      <c r="I3108">
        <v>43.7</v>
      </c>
      <c r="J3108">
        <v>71.400000000000006</v>
      </c>
      <c r="K3108">
        <v>1547</v>
      </c>
      <c r="L3108">
        <v>629</v>
      </c>
      <c r="M3108">
        <v>2464</v>
      </c>
      <c r="N3108">
        <v>8.4</v>
      </c>
      <c r="O3108">
        <v>5.5</v>
      </c>
      <c r="P3108">
        <v>11.2</v>
      </c>
      <c r="Q3108">
        <f t="shared" si="94"/>
        <v>8874520</v>
      </c>
      <c r="R3108">
        <f t="shared" si="95"/>
        <v>17.431928712764183</v>
      </c>
      <c r="U3108">
        <v>1221</v>
      </c>
      <c r="V3108">
        <v>358</v>
      </c>
      <c r="W3108">
        <v>2084</v>
      </c>
      <c r="X3108">
        <v>1582</v>
      </c>
      <c r="Y3108">
        <v>43.6</v>
      </c>
      <c r="Z3108">
        <v>32.1</v>
      </c>
      <c r="AA3108">
        <v>55</v>
      </c>
    </row>
    <row r="3109" spans="1:27" x14ac:dyDescent="0.25">
      <c r="A3109" t="s">
        <v>255</v>
      </c>
      <c r="B3109" t="s">
        <v>182</v>
      </c>
      <c r="C3109" s="76">
        <v>43997</v>
      </c>
      <c r="D3109">
        <v>10794</v>
      </c>
      <c r="E3109">
        <v>4734</v>
      </c>
      <c r="F3109">
        <v>16854</v>
      </c>
      <c r="G3109">
        <v>7758</v>
      </c>
      <c r="H3109">
        <v>58.2</v>
      </c>
      <c r="I3109">
        <v>44.5</v>
      </c>
      <c r="J3109">
        <v>71.900000000000006</v>
      </c>
      <c r="K3109">
        <v>1511</v>
      </c>
      <c r="L3109">
        <v>608</v>
      </c>
      <c r="M3109">
        <v>2414</v>
      </c>
      <c r="N3109">
        <v>8.1</v>
      </c>
      <c r="O3109">
        <v>5.6</v>
      </c>
      <c r="P3109">
        <v>10.7</v>
      </c>
      <c r="Q3109">
        <f t="shared" si="94"/>
        <v>8874520</v>
      </c>
      <c r="R3109">
        <f t="shared" si="95"/>
        <v>17.026272970256422</v>
      </c>
      <c r="U3109">
        <v>1185</v>
      </c>
      <c r="V3109">
        <v>370</v>
      </c>
      <c r="W3109">
        <v>2000</v>
      </c>
      <c r="X3109">
        <v>1618</v>
      </c>
      <c r="Y3109">
        <v>42.3</v>
      </c>
      <c r="Z3109">
        <v>31.7</v>
      </c>
      <c r="AA3109">
        <v>52.9</v>
      </c>
    </row>
    <row r="3110" spans="1:27" x14ac:dyDescent="0.25">
      <c r="A3110" t="s">
        <v>255</v>
      </c>
      <c r="B3110" t="s">
        <v>182</v>
      </c>
      <c r="C3110" s="76">
        <v>43998</v>
      </c>
      <c r="D3110">
        <v>11776</v>
      </c>
      <c r="E3110">
        <v>5257</v>
      </c>
      <c r="F3110">
        <v>18295</v>
      </c>
      <c r="G3110">
        <v>7302</v>
      </c>
      <c r="H3110">
        <v>61.7</v>
      </c>
      <c r="I3110">
        <v>48.1</v>
      </c>
      <c r="J3110">
        <v>75.400000000000006</v>
      </c>
      <c r="K3110">
        <v>1683</v>
      </c>
      <c r="L3110">
        <v>620</v>
      </c>
      <c r="M3110">
        <v>2746</v>
      </c>
      <c r="N3110">
        <v>8.8000000000000007</v>
      </c>
      <c r="O3110">
        <v>4.5999999999999996</v>
      </c>
      <c r="P3110">
        <v>13.1</v>
      </c>
      <c r="Q3110">
        <f t="shared" si="94"/>
        <v>8874520</v>
      </c>
      <c r="R3110">
        <f t="shared" si="95"/>
        <v>18.964405962237958</v>
      </c>
      <c r="U3110">
        <v>1151</v>
      </c>
      <c r="V3110">
        <v>330</v>
      </c>
      <c r="W3110">
        <v>1973</v>
      </c>
      <c r="X3110">
        <v>1463</v>
      </c>
      <c r="Y3110">
        <v>44</v>
      </c>
      <c r="Z3110">
        <v>34.799999999999997</v>
      </c>
      <c r="AA3110">
        <v>53.3</v>
      </c>
    </row>
    <row r="3111" spans="1:27" x14ac:dyDescent="0.25">
      <c r="A3111" t="s">
        <v>255</v>
      </c>
      <c r="B3111" t="s">
        <v>182</v>
      </c>
      <c r="C3111" s="76">
        <v>43999</v>
      </c>
      <c r="D3111">
        <v>11795</v>
      </c>
      <c r="E3111">
        <v>3439</v>
      </c>
      <c r="F3111">
        <v>20151</v>
      </c>
      <c r="G3111">
        <v>7776</v>
      </c>
      <c r="H3111">
        <v>60.3</v>
      </c>
      <c r="I3111">
        <v>41.1</v>
      </c>
      <c r="J3111">
        <v>79.400000000000006</v>
      </c>
      <c r="K3111">
        <v>1217</v>
      </c>
      <c r="L3111">
        <v>254</v>
      </c>
      <c r="M3111">
        <v>2180</v>
      </c>
      <c r="N3111">
        <v>6.2</v>
      </c>
      <c r="O3111">
        <v>3.4</v>
      </c>
      <c r="P3111">
        <v>9</v>
      </c>
      <c r="Q3111">
        <f t="shared" ref="Q3111:Q3174" si="96">VLOOKUP(B3111,$AE$4:$AF$55,2,FALSE)</f>
        <v>8874520</v>
      </c>
      <c r="R3111">
        <f t="shared" si="95"/>
        <v>13.713417739776348</v>
      </c>
      <c r="U3111">
        <v>1085</v>
      </c>
      <c r="V3111">
        <v>154</v>
      </c>
      <c r="W3111">
        <v>2015</v>
      </c>
      <c r="X3111">
        <v>1720</v>
      </c>
      <c r="Y3111">
        <v>38.700000000000003</v>
      </c>
      <c r="Z3111">
        <v>29.9</v>
      </c>
      <c r="AA3111">
        <v>47.5</v>
      </c>
    </row>
    <row r="3112" spans="1:27" x14ac:dyDescent="0.25">
      <c r="A3112" t="s">
        <v>255</v>
      </c>
      <c r="B3112" t="s">
        <v>182</v>
      </c>
      <c r="C3112" s="76">
        <v>44000</v>
      </c>
      <c r="D3112">
        <v>14427</v>
      </c>
      <c r="E3112">
        <v>0</v>
      </c>
      <c r="F3112">
        <v>30544</v>
      </c>
      <c r="G3112">
        <v>3713</v>
      </c>
      <c r="H3112">
        <v>79.5</v>
      </c>
      <c r="I3112">
        <v>59.9</v>
      </c>
      <c r="J3112">
        <v>99.1</v>
      </c>
      <c r="K3112">
        <v>1813</v>
      </c>
      <c r="L3112">
        <v>0</v>
      </c>
      <c r="M3112">
        <v>3776</v>
      </c>
      <c r="N3112">
        <v>10</v>
      </c>
      <c r="O3112">
        <v>6.9</v>
      </c>
      <c r="P3112">
        <v>13.1</v>
      </c>
      <c r="Q3112">
        <f t="shared" si="96"/>
        <v>8874520</v>
      </c>
      <c r="R3112">
        <f t="shared" si="95"/>
        <v>20.42927392129377</v>
      </c>
      <c r="U3112">
        <v>2236</v>
      </c>
      <c r="V3112">
        <v>0</v>
      </c>
      <c r="W3112">
        <v>5456</v>
      </c>
      <c r="X3112">
        <v>2476</v>
      </c>
      <c r="Y3112">
        <v>47.5</v>
      </c>
      <c r="Z3112">
        <v>43.1</v>
      </c>
      <c r="AA3112">
        <v>51.8</v>
      </c>
    </row>
    <row r="3113" spans="1:27" x14ac:dyDescent="0.25">
      <c r="A3113" t="s">
        <v>255</v>
      </c>
      <c r="B3113" t="s">
        <v>182</v>
      </c>
      <c r="C3113" s="76">
        <v>44001</v>
      </c>
      <c r="D3113">
        <v>11409</v>
      </c>
      <c r="E3113">
        <v>4925</v>
      </c>
      <c r="F3113">
        <v>17893</v>
      </c>
      <c r="G3113">
        <v>7545</v>
      </c>
      <c r="H3113">
        <v>60.2</v>
      </c>
      <c r="I3113">
        <v>45.7</v>
      </c>
      <c r="J3113">
        <v>74.7</v>
      </c>
      <c r="K3113">
        <v>1412</v>
      </c>
      <c r="L3113">
        <v>550</v>
      </c>
      <c r="M3113">
        <v>2273</v>
      </c>
      <c r="N3113">
        <v>7.4</v>
      </c>
      <c r="O3113">
        <v>4.5</v>
      </c>
      <c r="P3113">
        <v>10.4</v>
      </c>
      <c r="Q3113">
        <f t="shared" si="96"/>
        <v>8874520</v>
      </c>
      <c r="R3113">
        <f t="shared" si="95"/>
        <v>15.910719678360069</v>
      </c>
      <c r="U3113">
        <v>1293</v>
      </c>
      <c r="V3113">
        <v>391</v>
      </c>
      <c r="W3113">
        <v>2196</v>
      </c>
      <c r="X3113">
        <v>1772</v>
      </c>
      <c r="Y3113">
        <v>42.2</v>
      </c>
      <c r="Z3113">
        <v>32.5</v>
      </c>
      <c r="AA3113">
        <v>51.8</v>
      </c>
    </row>
    <row r="3114" spans="1:27" x14ac:dyDescent="0.25">
      <c r="A3114" t="s">
        <v>255</v>
      </c>
      <c r="B3114" t="s">
        <v>182</v>
      </c>
      <c r="C3114" s="76">
        <v>44002</v>
      </c>
      <c r="D3114">
        <v>10880</v>
      </c>
      <c r="E3114">
        <v>4839</v>
      </c>
      <c r="F3114">
        <v>16922</v>
      </c>
      <c r="G3114">
        <v>8298</v>
      </c>
      <c r="H3114">
        <v>56.7</v>
      </c>
      <c r="I3114">
        <v>42.7</v>
      </c>
      <c r="J3114">
        <v>70.7</v>
      </c>
      <c r="K3114">
        <v>1324</v>
      </c>
      <c r="L3114">
        <v>556</v>
      </c>
      <c r="M3114">
        <v>2091</v>
      </c>
      <c r="N3114">
        <v>6.9</v>
      </c>
      <c r="O3114">
        <v>4.0999999999999996</v>
      </c>
      <c r="P3114">
        <v>9.6999999999999993</v>
      </c>
      <c r="Q3114">
        <f t="shared" si="96"/>
        <v>8874520</v>
      </c>
      <c r="R3114">
        <f t="shared" si="95"/>
        <v>14.919116752229979</v>
      </c>
      <c r="U3114">
        <v>1295</v>
      </c>
      <c r="V3114">
        <v>412</v>
      </c>
      <c r="W3114">
        <v>2178</v>
      </c>
      <c r="X3114">
        <v>1770</v>
      </c>
      <c r="Y3114">
        <v>42.2</v>
      </c>
      <c r="Z3114">
        <v>31.8</v>
      </c>
      <c r="AA3114">
        <v>52.7</v>
      </c>
    </row>
    <row r="3115" spans="1:27" x14ac:dyDescent="0.25">
      <c r="A3115" t="s">
        <v>255</v>
      </c>
      <c r="B3115" t="s">
        <v>182</v>
      </c>
      <c r="C3115" s="76">
        <v>44003</v>
      </c>
      <c r="D3115">
        <v>10633</v>
      </c>
      <c r="E3115">
        <v>4787</v>
      </c>
      <c r="F3115">
        <v>16479</v>
      </c>
      <c r="G3115">
        <v>8405</v>
      </c>
      <c r="H3115">
        <v>55.9</v>
      </c>
      <c r="I3115">
        <v>42.3</v>
      </c>
      <c r="J3115">
        <v>69.400000000000006</v>
      </c>
      <c r="K3115">
        <v>1302</v>
      </c>
      <c r="L3115">
        <v>530</v>
      </c>
      <c r="M3115">
        <v>2074</v>
      </c>
      <c r="N3115">
        <v>6.8</v>
      </c>
      <c r="O3115">
        <v>4</v>
      </c>
      <c r="P3115">
        <v>9.6999999999999993</v>
      </c>
      <c r="Q3115">
        <f t="shared" si="96"/>
        <v>8874520</v>
      </c>
      <c r="R3115">
        <f t="shared" si="95"/>
        <v>14.671216020697457</v>
      </c>
      <c r="U3115">
        <v>1204</v>
      </c>
      <c r="V3115">
        <v>367</v>
      </c>
      <c r="W3115">
        <v>2042</v>
      </c>
      <c r="X3115">
        <v>1840</v>
      </c>
      <c r="Y3115">
        <v>39.6</v>
      </c>
      <c r="Z3115">
        <v>28.5</v>
      </c>
      <c r="AA3115">
        <v>50.6</v>
      </c>
    </row>
    <row r="3116" spans="1:27" x14ac:dyDescent="0.25">
      <c r="A3116" t="s">
        <v>255</v>
      </c>
      <c r="B3116" t="s">
        <v>182</v>
      </c>
      <c r="C3116" s="76">
        <v>44004</v>
      </c>
      <c r="D3116">
        <v>13532</v>
      </c>
      <c r="E3116">
        <v>0</v>
      </c>
      <c r="F3116">
        <v>28625</v>
      </c>
      <c r="G3116">
        <v>3595</v>
      </c>
      <c r="H3116">
        <v>79</v>
      </c>
      <c r="I3116">
        <v>59.6</v>
      </c>
      <c r="J3116">
        <v>98.4</v>
      </c>
      <c r="K3116">
        <v>1781</v>
      </c>
      <c r="L3116">
        <v>0</v>
      </c>
      <c r="M3116">
        <v>3894</v>
      </c>
      <c r="N3116">
        <v>10.4</v>
      </c>
      <c r="O3116">
        <v>6.7</v>
      </c>
      <c r="P3116">
        <v>14</v>
      </c>
      <c r="Q3116">
        <f t="shared" si="96"/>
        <v>8874520</v>
      </c>
      <c r="R3116">
        <f t="shared" si="95"/>
        <v>20.06869103906465</v>
      </c>
      <c r="U3116">
        <v>1855</v>
      </c>
      <c r="V3116">
        <v>0</v>
      </c>
      <c r="W3116">
        <v>4370</v>
      </c>
      <c r="X3116">
        <v>2677</v>
      </c>
      <c r="Y3116">
        <v>40.9</v>
      </c>
      <c r="Z3116">
        <v>33.700000000000003</v>
      </c>
      <c r="AA3116">
        <v>48.2</v>
      </c>
    </row>
    <row r="3117" spans="1:27" x14ac:dyDescent="0.25">
      <c r="A3117" t="s">
        <v>255</v>
      </c>
      <c r="B3117" t="s">
        <v>182</v>
      </c>
      <c r="C3117" s="76">
        <v>44005</v>
      </c>
      <c r="D3117">
        <v>13824</v>
      </c>
      <c r="E3117">
        <v>0</v>
      </c>
      <c r="F3117">
        <v>29000</v>
      </c>
      <c r="G3117">
        <v>3292</v>
      </c>
      <c r="H3117">
        <v>80.8</v>
      </c>
      <c r="I3117">
        <v>62.6</v>
      </c>
      <c r="J3117">
        <v>98.9</v>
      </c>
      <c r="K3117">
        <v>1756</v>
      </c>
      <c r="L3117">
        <v>0</v>
      </c>
      <c r="M3117">
        <v>3609</v>
      </c>
      <c r="N3117">
        <v>10.3</v>
      </c>
      <c r="O3117">
        <v>7.7</v>
      </c>
      <c r="P3117">
        <v>12.8</v>
      </c>
      <c r="Q3117">
        <f t="shared" si="96"/>
        <v>8874520</v>
      </c>
      <c r="R3117">
        <f t="shared" si="95"/>
        <v>19.786985662323147</v>
      </c>
      <c r="U3117">
        <v>1747</v>
      </c>
      <c r="V3117">
        <v>0</v>
      </c>
      <c r="W3117">
        <v>3987</v>
      </c>
      <c r="X3117">
        <v>2816</v>
      </c>
      <c r="Y3117">
        <v>38.299999999999997</v>
      </c>
      <c r="Z3117">
        <v>29</v>
      </c>
      <c r="AA3117">
        <v>47.6</v>
      </c>
    </row>
    <row r="3118" spans="1:27" x14ac:dyDescent="0.25">
      <c r="A3118" t="s">
        <v>255</v>
      </c>
      <c r="B3118" t="s">
        <v>182</v>
      </c>
      <c r="C3118" s="76">
        <v>44006</v>
      </c>
      <c r="D3118">
        <v>14845</v>
      </c>
      <c r="E3118">
        <v>0</v>
      </c>
      <c r="F3118">
        <v>31409</v>
      </c>
      <c r="G3118">
        <v>3024</v>
      </c>
      <c r="H3118">
        <v>83.1</v>
      </c>
      <c r="I3118">
        <v>66.099999999999994</v>
      </c>
      <c r="J3118">
        <v>100</v>
      </c>
      <c r="K3118">
        <v>1722</v>
      </c>
      <c r="L3118">
        <v>0</v>
      </c>
      <c r="M3118">
        <v>3561</v>
      </c>
      <c r="N3118">
        <v>9.6</v>
      </c>
      <c r="O3118">
        <v>6.9</v>
      </c>
      <c r="P3118">
        <v>12.4</v>
      </c>
      <c r="Q3118">
        <f t="shared" si="96"/>
        <v>8874520</v>
      </c>
      <c r="R3118">
        <f t="shared" si="95"/>
        <v>19.403866349954704</v>
      </c>
      <c r="U3118">
        <v>1806</v>
      </c>
      <c r="V3118">
        <v>0</v>
      </c>
      <c r="W3118">
        <v>4454</v>
      </c>
      <c r="X3118">
        <v>2534</v>
      </c>
      <c r="Y3118">
        <v>41.6</v>
      </c>
      <c r="Z3118">
        <v>36.6</v>
      </c>
      <c r="AA3118">
        <v>46.6</v>
      </c>
    </row>
    <row r="3119" spans="1:27" x14ac:dyDescent="0.25">
      <c r="A3119" t="s">
        <v>255</v>
      </c>
      <c r="B3119" t="s">
        <v>182</v>
      </c>
      <c r="C3119" s="76">
        <v>44007</v>
      </c>
      <c r="D3119">
        <v>13919</v>
      </c>
      <c r="E3119">
        <v>2973</v>
      </c>
      <c r="F3119">
        <v>24864</v>
      </c>
      <c r="G3119">
        <v>4646</v>
      </c>
      <c r="H3119">
        <v>75</v>
      </c>
      <c r="I3119">
        <v>61.7</v>
      </c>
      <c r="J3119">
        <v>88.2</v>
      </c>
      <c r="K3119">
        <v>1154</v>
      </c>
      <c r="L3119">
        <v>198</v>
      </c>
      <c r="M3119">
        <v>2110</v>
      </c>
      <c r="N3119">
        <v>6.2</v>
      </c>
      <c r="O3119">
        <v>2.6</v>
      </c>
      <c r="P3119">
        <v>9.8000000000000007</v>
      </c>
      <c r="Q3119">
        <f t="shared" si="96"/>
        <v>8874520</v>
      </c>
      <c r="R3119">
        <f t="shared" si="95"/>
        <v>13.003520190387762</v>
      </c>
      <c r="U3119">
        <v>1685</v>
      </c>
      <c r="V3119">
        <v>14</v>
      </c>
      <c r="W3119">
        <v>3356</v>
      </c>
      <c r="X3119">
        <v>1741</v>
      </c>
      <c r="Y3119">
        <v>49.2</v>
      </c>
      <c r="Z3119">
        <v>40.700000000000003</v>
      </c>
      <c r="AA3119">
        <v>57.7</v>
      </c>
    </row>
    <row r="3120" spans="1:27" x14ac:dyDescent="0.25">
      <c r="A3120" t="s">
        <v>255</v>
      </c>
      <c r="B3120" t="s">
        <v>182</v>
      </c>
      <c r="C3120" s="76">
        <v>44008</v>
      </c>
      <c r="D3120">
        <v>11933</v>
      </c>
      <c r="E3120">
        <v>5470</v>
      </c>
      <c r="F3120">
        <v>18396</v>
      </c>
      <c r="G3120">
        <v>7516</v>
      </c>
      <c r="H3120">
        <v>61.4</v>
      </c>
      <c r="I3120">
        <v>47.5</v>
      </c>
      <c r="J3120">
        <v>75.2</v>
      </c>
      <c r="K3120">
        <v>1088</v>
      </c>
      <c r="L3120">
        <v>457</v>
      </c>
      <c r="M3120">
        <v>1720</v>
      </c>
      <c r="N3120">
        <v>5.6</v>
      </c>
      <c r="O3120">
        <v>3.7</v>
      </c>
      <c r="P3120">
        <v>7.5</v>
      </c>
      <c r="Q3120">
        <f t="shared" si="96"/>
        <v>8874520</v>
      </c>
      <c r="R3120">
        <f t="shared" si="95"/>
        <v>12.259817995790195</v>
      </c>
      <c r="U3120">
        <v>1233</v>
      </c>
      <c r="V3120">
        <v>378</v>
      </c>
      <c r="W3120">
        <v>2087</v>
      </c>
      <c r="X3120">
        <v>1784</v>
      </c>
      <c r="Y3120">
        <v>40.9</v>
      </c>
      <c r="Z3120">
        <v>31.4</v>
      </c>
      <c r="AA3120">
        <v>50.3</v>
      </c>
    </row>
    <row r="3121" spans="1:27" x14ac:dyDescent="0.25">
      <c r="A3121" t="s">
        <v>255</v>
      </c>
      <c r="B3121" t="s">
        <v>182</v>
      </c>
      <c r="C3121" s="76">
        <v>44009</v>
      </c>
      <c r="D3121">
        <v>11625</v>
      </c>
      <c r="E3121">
        <v>5468</v>
      </c>
      <c r="F3121">
        <v>17781</v>
      </c>
      <c r="G3121">
        <v>7341</v>
      </c>
      <c r="H3121">
        <v>61.3</v>
      </c>
      <c r="I3121">
        <v>46.8</v>
      </c>
      <c r="J3121">
        <v>75.8</v>
      </c>
      <c r="K3121">
        <v>1023</v>
      </c>
      <c r="L3121">
        <v>456</v>
      </c>
      <c r="M3121">
        <v>1590</v>
      </c>
      <c r="N3121">
        <v>5.4</v>
      </c>
      <c r="O3121">
        <v>3.5</v>
      </c>
      <c r="P3121">
        <v>7.3</v>
      </c>
      <c r="Q3121">
        <f t="shared" si="96"/>
        <v>8874520</v>
      </c>
      <c r="R3121">
        <f t="shared" si="95"/>
        <v>11.527384016262289</v>
      </c>
      <c r="U3121">
        <v>1231</v>
      </c>
      <c r="V3121">
        <v>410</v>
      </c>
      <c r="W3121">
        <v>2052</v>
      </c>
      <c r="X3121">
        <v>1783</v>
      </c>
      <c r="Y3121">
        <v>40.799999999999997</v>
      </c>
      <c r="Z3121">
        <v>30.5</v>
      </c>
      <c r="AA3121">
        <v>51.2</v>
      </c>
    </row>
    <row r="3122" spans="1:27" x14ac:dyDescent="0.25">
      <c r="A3122" t="s">
        <v>255</v>
      </c>
      <c r="B3122" t="s">
        <v>182</v>
      </c>
      <c r="C3122" s="76">
        <v>44010</v>
      </c>
      <c r="D3122">
        <v>11266</v>
      </c>
      <c r="E3122">
        <v>5270</v>
      </c>
      <c r="F3122">
        <v>17261</v>
      </c>
      <c r="G3122">
        <v>7551</v>
      </c>
      <c r="H3122">
        <v>59.9</v>
      </c>
      <c r="I3122">
        <v>46</v>
      </c>
      <c r="J3122">
        <v>73.8</v>
      </c>
      <c r="K3122">
        <v>993</v>
      </c>
      <c r="L3122">
        <v>432</v>
      </c>
      <c r="M3122">
        <v>1554</v>
      </c>
      <c r="N3122">
        <v>5.3</v>
      </c>
      <c r="O3122">
        <v>3.4</v>
      </c>
      <c r="P3122">
        <v>7.1</v>
      </c>
      <c r="Q3122">
        <f t="shared" si="96"/>
        <v>8874520</v>
      </c>
      <c r="R3122">
        <f t="shared" si="95"/>
        <v>11.189337564172485</v>
      </c>
      <c r="U3122">
        <v>1211</v>
      </c>
      <c r="V3122">
        <v>358</v>
      </c>
      <c r="W3122">
        <v>2063</v>
      </c>
      <c r="X3122">
        <v>1781</v>
      </c>
      <c r="Y3122">
        <v>40.5</v>
      </c>
      <c r="Z3122">
        <v>31</v>
      </c>
      <c r="AA3122">
        <v>49.9</v>
      </c>
    </row>
    <row r="3123" spans="1:27" x14ac:dyDescent="0.25">
      <c r="A3123" t="s">
        <v>255</v>
      </c>
      <c r="B3123" t="s">
        <v>182</v>
      </c>
      <c r="C3123" s="76">
        <v>44011</v>
      </c>
      <c r="D3123">
        <v>11593</v>
      </c>
      <c r="E3123">
        <v>5301</v>
      </c>
      <c r="F3123">
        <v>17885</v>
      </c>
      <c r="G3123">
        <v>7863</v>
      </c>
      <c r="H3123">
        <v>59.6</v>
      </c>
      <c r="I3123">
        <v>45.6</v>
      </c>
      <c r="J3123">
        <v>73.599999999999994</v>
      </c>
      <c r="K3123">
        <v>980</v>
      </c>
      <c r="L3123">
        <v>416</v>
      </c>
      <c r="M3123">
        <v>1544</v>
      </c>
      <c r="N3123">
        <v>5</v>
      </c>
      <c r="O3123">
        <v>3.2</v>
      </c>
      <c r="P3123">
        <v>6.9</v>
      </c>
      <c r="Q3123">
        <f t="shared" si="96"/>
        <v>8874520</v>
      </c>
      <c r="R3123">
        <f t="shared" si="95"/>
        <v>11.042850768266904</v>
      </c>
      <c r="U3123">
        <v>1257</v>
      </c>
      <c r="V3123">
        <v>337</v>
      </c>
      <c r="W3123">
        <v>2176</v>
      </c>
      <c r="X3123">
        <v>1795</v>
      </c>
      <c r="Y3123">
        <v>41.2</v>
      </c>
      <c r="Z3123">
        <v>31.1</v>
      </c>
      <c r="AA3123">
        <v>51.2</v>
      </c>
    </row>
    <row r="3124" spans="1:27" x14ac:dyDescent="0.25">
      <c r="A3124" t="s">
        <v>255</v>
      </c>
      <c r="B3124" t="s">
        <v>182</v>
      </c>
      <c r="C3124" s="76">
        <v>44012</v>
      </c>
      <c r="D3124">
        <v>12117</v>
      </c>
      <c r="E3124">
        <v>5629</v>
      </c>
      <c r="F3124">
        <v>18606</v>
      </c>
      <c r="G3124">
        <v>7026</v>
      </c>
      <c r="H3124">
        <v>63.3</v>
      </c>
      <c r="I3124">
        <v>49.1</v>
      </c>
      <c r="J3124">
        <v>77.5</v>
      </c>
      <c r="K3124">
        <v>1054</v>
      </c>
      <c r="L3124">
        <v>446</v>
      </c>
      <c r="M3124">
        <v>1662</v>
      </c>
      <c r="N3124">
        <v>5.5</v>
      </c>
      <c r="O3124">
        <v>3.6</v>
      </c>
      <c r="P3124">
        <v>7.4</v>
      </c>
      <c r="Q3124">
        <f t="shared" si="96"/>
        <v>8874520</v>
      </c>
      <c r="R3124">
        <f t="shared" si="95"/>
        <v>11.876698683421751</v>
      </c>
      <c r="U3124">
        <v>1224</v>
      </c>
      <c r="V3124">
        <v>325</v>
      </c>
      <c r="W3124">
        <v>2122</v>
      </c>
      <c r="X3124">
        <v>1806</v>
      </c>
      <c r="Y3124">
        <v>40.4</v>
      </c>
      <c r="Z3124">
        <v>30.7</v>
      </c>
      <c r="AA3124">
        <v>50.1</v>
      </c>
    </row>
    <row r="3125" spans="1:27" x14ac:dyDescent="0.25">
      <c r="A3125" t="s">
        <v>255</v>
      </c>
      <c r="B3125" t="s">
        <v>182</v>
      </c>
      <c r="C3125" s="76">
        <v>44013</v>
      </c>
      <c r="D3125">
        <v>13901</v>
      </c>
      <c r="E3125">
        <v>3322</v>
      </c>
      <c r="F3125">
        <v>24480</v>
      </c>
      <c r="G3125">
        <v>4523</v>
      </c>
      <c r="H3125">
        <v>75.400000000000006</v>
      </c>
      <c r="I3125">
        <v>63.6</v>
      </c>
      <c r="J3125">
        <v>87.3</v>
      </c>
      <c r="K3125">
        <v>1016</v>
      </c>
      <c r="L3125">
        <v>242</v>
      </c>
      <c r="M3125">
        <v>1790</v>
      </c>
      <c r="N3125">
        <v>5.5</v>
      </c>
      <c r="O3125">
        <v>2.6</v>
      </c>
      <c r="P3125">
        <v>8.5</v>
      </c>
      <c r="Q3125">
        <f t="shared" si="96"/>
        <v>8874520</v>
      </c>
      <c r="R3125">
        <f t="shared" si="95"/>
        <v>11.448506510774667</v>
      </c>
      <c r="U3125">
        <v>1499</v>
      </c>
      <c r="V3125">
        <v>0</v>
      </c>
      <c r="W3125">
        <v>3093</v>
      </c>
      <c r="X3125">
        <v>1796</v>
      </c>
      <c r="Y3125">
        <v>45.5</v>
      </c>
      <c r="Z3125">
        <v>40.5</v>
      </c>
      <c r="AA3125">
        <v>50.5</v>
      </c>
    </row>
    <row r="3126" spans="1:27" x14ac:dyDescent="0.25">
      <c r="A3126" t="s">
        <v>255</v>
      </c>
      <c r="B3126" t="s">
        <v>182</v>
      </c>
      <c r="C3126" s="76">
        <v>44014</v>
      </c>
      <c r="D3126">
        <v>14138</v>
      </c>
      <c r="E3126">
        <v>3428</v>
      </c>
      <c r="F3126">
        <v>24848</v>
      </c>
      <c r="G3126">
        <v>4458</v>
      </c>
      <c r="H3126">
        <v>76</v>
      </c>
      <c r="I3126">
        <v>63.9</v>
      </c>
      <c r="J3126">
        <v>88.1</v>
      </c>
      <c r="K3126">
        <v>1081</v>
      </c>
      <c r="L3126">
        <v>200</v>
      </c>
      <c r="M3126">
        <v>1961</v>
      </c>
      <c r="N3126">
        <v>5.8</v>
      </c>
      <c r="O3126">
        <v>2.5</v>
      </c>
      <c r="P3126">
        <v>9.1</v>
      </c>
      <c r="Q3126">
        <f t="shared" si="96"/>
        <v>8874520</v>
      </c>
      <c r="R3126">
        <f t="shared" si="95"/>
        <v>12.180940490302573</v>
      </c>
      <c r="U3126">
        <v>1526</v>
      </c>
      <c r="V3126">
        <v>0</v>
      </c>
      <c r="W3126">
        <v>3093</v>
      </c>
      <c r="X3126">
        <v>1752</v>
      </c>
      <c r="Y3126">
        <v>46.6</v>
      </c>
      <c r="Z3126">
        <v>39.5</v>
      </c>
      <c r="AA3126">
        <v>53.6</v>
      </c>
    </row>
    <row r="3127" spans="1:27" x14ac:dyDescent="0.25">
      <c r="A3127" t="s">
        <v>255</v>
      </c>
      <c r="B3127" t="s">
        <v>182</v>
      </c>
      <c r="C3127" s="76">
        <v>44015</v>
      </c>
      <c r="D3127">
        <v>11486</v>
      </c>
      <c r="E3127">
        <v>5293</v>
      </c>
      <c r="F3127">
        <v>17680</v>
      </c>
      <c r="G3127">
        <v>7468</v>
      </c>
      <c r="H3127">
        <v>60.6</v>
      </c>
      <c r="I3127">
        <v>47.4</v>
      </c>
      <c r="J3127">
        <v>73.8</v>
      </c>
      <c r="K3127">
        <v>988</v>
      </c>
      <c r="L3127">
        <v>410</v>
      </c>
      <c r="M3127">
        <v>1566</v>
      </c>
      <c r="N3127">
        <v>5.2</v>
      </c>
      <c r="O3127">
        <v>3.4</v>
      </c>
      <c r="P3127">
        <v>7.1</v>
      </c>
      <c r="Q3127">
        <f t="shared" si="96"/>
        <v>8874520</v>
      </c>
      <c r="R3127">
        <f t="shared" si="95"/>
        <v>11.132996488824185</v>
      </c>
      <c r="U3127">
        <v>1169</v>
      </c>
      <c r="V3127">
        <v>296</v>
      </c>
      <c r="W3127">
        <v>2043</v>
      </c>
      <c r="X3127">
        <v>1900</v>
      </c>
      <c r="Y3127">
        <v>38.1</v>
      </c>
      <c r="Z3127">
        <v>28.4</v>
      </c>
      <c r="AA3127">
        <v>47.8</v>
      </c>
    </row>
    <row r="3128" spans="1:27" x14ac:dyDescent="0.25">
      <c r="A3128" t="s">
        <v>255</v>
      </c>
      <c r="B3128" t="s">
        <v>182</v>
      </c>
      <c r="C3128" s="76">
        <v>44016</v>
      </c>
      <c r="D3128">
        <v>10936</v>
      </c>
      <c r="E3128">
        <v>4970</v>
      </c>
      <c r="F3128">
        <v>16902</v>
      </c>
      <c r="G3128">
        <v>8041</v>
      </c>
      <c r="H3128">
        <v>57.6</v>
      </c>
      <c r="I3128">
        <v>44.1</v>
      </c>
      <c r="J3128">
        <v>71.099999999999994</v>
      </c>
      <c r="K3128">
        <v>952</v>
      </c>
      <c r="L3128">
        <v>383</v>
      </c>
      <c r="M3128">
        <v>1522</v>
      </c>
      <c r="N3128">
        <v>5</v>
      </c>
      <c r="O3128">
        <v>3.3</v>
      </c>
      <c r="P3128">
        <v>6.7</v>
      </c>
      <c r="Q3128">
        <f t="shared" si="96"/>
        <v>8874520</v>
      </c>
      <c r="R3128">
        <f t="shared" si="95"/>
        <v>10.72734074631642</v>
      </c>
      <c r="U3128">
        <v>1234</v>
      </c>
      <c r="V3128">
        <v>324</v>
      </c>
      <c r="W3128">
        <v>2143</v>
      </c>
      <c r="X3128">
        <v>1834</v>
      </c>
      <c r="Y3128">
        <v>40.200000000000003</v>
      </c>
      <c r="Z3128">
        <v>29.2</v>
      </c>
      <c r="AA3128">
        <v>51.3</v>
      </c>
    </row>
    <row r="3129" spans="1:27" x14ac:dyDescent="0.25">
      <c r="A3129" t="s">
        <v>255</v>
      </c>
      <c r="B3129" t="s">
        <v>182</v>
      </c>
      <c r="C3129" s="76">
        <v>44017</v>
      </c>
      <c r="D3129">
        <v>10902</v>
      </c>
      <c r="E3129">
        <v>4970</v>
      </c>
      <c r="F3129">
        <v>16835</v>
      </c>
      <c r="G3129">
        <v>7986</v>
      </c>
      <c r="H3129">
        <v>57.7</v>
      </c>
      <c r="I3129">
        <v>43.8</v>
      </c>
      <c r="J3129">
        <v>71.599999999999994</v>
      </c>
      <c r="K3129">
        <v>881</v>
      </c>
      <c r="L3129">
        <v>347</v>
      </c>
      <c r="M3129">
        <v>1414</v>
      </c>
      <c r="N3129">
        <v>4.7</v>
      </c>
      <c r="O3129">
        <v>3.2</v>
      </c>
      <c r="P3129">
        <v>6.1</v>
      </c>
      <c r="Q3129">
        <f t="shared" si="96"/>
        <v>8874520</v>
      </c>
      <c r="R3129">
        <f t="shared" si="95"/>
        <v>9.927297476370553</v>
      </c>
      <c r="U3129">
        <v>1244</v>
      </c>
      <c r="V3129">
        <v>334</v>
      </c>
      <c r="W3129">
        <v>2154</v>
      </c>
      <c r="X3129">
        <v>1824</v>
      </c>
      <c r="Y3129">
        <v>40.5</v>
      </c>
      <c r="Z3129">
        <v>29.8</v>
      </c>
      <c r="AA3129">
        <v>51.3</v>
      </c>
    </row>
    <row r="3130" spans="1:27" x14ac:dyDescent="0.25">
      <c r="A3130" t="s">
        <v>255</v>
      </c>
      <c r="B3130" t="s">
        <v>182</v>
      </c>
      <c r="C3130" s="76">
        <v>44018</v>
      </c>
      <c r="D3130">
        <v>11217</v>
      </c>
      <c r="E3130">
        <v>5100</v>
      </c>
      <c r="F3130">
        <v>17334</v>
      </c>
      <c r="G3130">
        <v>7873</v>
      </c>
      <c r="H3130">
        <v>58.8</v>
      </c>
      <c r="I3130">
        <v>44.9</v>
      </c>
      <c r="J3130">
        <v>72.7</v>
      </c>
      <c r="K3130">
        <v>968</v>
      </c>
      <c r="L3130">
        <v>359</v>
      </c>
      <c r="M3130">
        <v>1576</v>
      </c>
      <c r="N3130">
        <v>5.0999999999999996</v>
      </c>
      <c r="O3130">
        <v>3.4</v>
      </c>
      <c r="P3130">
        <v>6.7</v>
      </c>
      <c r="Q3130">
        <f t="shared" si="96"/>
        <v>8874520</v>
      </c>
      <c r="R3130">
        <f t="shared" si="95"/>
        <v>10.907632187430982</v>
      </c>
      <c r="U3130">
        <v>1210</v>
      </c>
      <c r="V3130">
        <v>373</v>
      </c>
      <c r="W3130">
        <v>2048</v>
      </c>
      <c r="X3130">
        <v>1865</v>
      </c>
      <c r="Y3130">
        <v>39.4</v>
      </c>
      <c r="Z3130">
        <v>29.3</v>
      </c>
      <c r="AA3130">
        <v>49.4</v>
      </c>
    </row>
    <row r="3131" spans="1:27" x14ac:dyDescent="0.25">
      <c r="A3131" t="s">
        <v>255</v>
      </c>
      <c r="B3131" t="s">
        <v>182</v>
      </c>
      <c r="C3131" s="76">
        <v>44019</v>
      </c>
      <c r="D3131">
        <v>11807</v>
      </c>
      <c r="E3131">
        <v>5515</v>
      </c>
      <c r="F3131">
        <v>18100</v>
      </c>
      <c r="G3131">
        <v>7210</v>
      </c>
      <c r="H3131">
        <v>62.1</v>
      </c>
      <c r="I3131">
        <v>49.6</v>
      </c>
      <c r="J3131">
        <v>74.5</v>
      </c>
      <c r="K3131">
        <v>910</v>
      </c>
      <c r="L3131">
        <v>339</v>
      </c>
      <c r="M3131">
        <v>1481</v>
      </c>
      <c r="N3131">
        <v>4.8</v>
      </c>
      <c r="O3131">
        <v>3.3</v>
      </c>
      <c r="P3131">
        <v>6.3</v>
      </c>
      <c r="Q3131">
        <f t="shared" si="96"/>
        <v>8874520</v>
      </c>
      <c r="R3131">
        <f t="shared" si="95"/>
        <v>10.254075713390696</v>
      </c>
      <c r="U3131">
        <v>1406</v>
      </c>
      <c r="V3131">
        <v>443</v>
      </c>
      <c r="W3131">
        <v>2368</v>
      </c>
      <c r="X3131">
        <v>1665</v>
      </c>
      <c r="Y3131">
        <v>45.8</v>
      </c>
      <c r="Z3131">
        <v>37.200000000000003</v>
      </c>
      <c r="AA3131">
        <v>54.3</v>
      </c>
    </row>
    <row r="3132" spans="1:27" x14ac:dyDescent="0.25">
      <c r="A3132" t="s">
        <v>256</v>
      </c>
      <c r="B3132" t="s">
        <v>208</v>
      </c>
      <c r="C3132" s="76">
        <v>43922</v>
      </c>
      <c r="D3132">
        <v>2552</v>
      </c>
      <c r="E3132">
        <v>13</v>
      </c>
      <c r="F3132">
        <v>5092</v>
      </c>
      <c r="G3132">
        <v>1876</v>
      </c>
      <c r="H3132">
        <v>57.6</v>
      </c>
      <c r="I3132">
        <v>38.4</v>
      </c>
      <c r="J3132">
        <v>76.900000000000006</v>
      </c>
      <c r="K3132">
        <v>237</v>
      </c>
      <c r="L3132">
        <v>0</v>
      </c>
      <c r="M3132">
        <v>726</v>
      </c>
      <c r="N3132">
        <v>5.4</v>
      </c>
      <c r="O3132">
        <v>0</v>
      </c>
      <c r="P3132">
        <v>13.6</v>
      </c>
      <c r="Q3132">
        <f t="shared" si="96"/>
        <v>2105005</v>
      </c>
      <c r="R3132">
        <f t="shared" si="95"/>
        <v>11.258880620236056</v>
      </c>
      <c r="U3132">
        <v>476</v>
      </c>
      <c r="V3132">
        <v>0</v>
      </c>
      <c r="W3132">
        <v>1043</v>
      </c>
      <c r="X3132">
        <v>414</v>
      </c>
      <c r="Y3132">
        <v>53.5</v>
      </c>
      <c r="Z3132">
        <v>26.2</v>
      </c>
      <c r="AA3132">
        <v>80.8</v>
      </c>
    </row>
    <row r="3133" spans="1:27" x14ac:dyDescent="0.25">
      <c r="A3133" t="s">
        <v>256</v>
      </c>
      <c r="B3133" t="s">
        <v>208</v>
      </c>
      <c r="C3133" s="76">
        <v>43923</v>
      </c>
      <c r="D3133">
        <v>2394</v>
      </c>
      <c r="E3133">
        <v>0</v>
      </c>
      <c r="F3133">
        <v>4832</v>
      </c>
      <c r="G3133">
        <v>1938</v>
      </c>
      <c r="H3133">
        <v>55.3</v>
      </c>
      <c r="I3133">
        <v>32.5</v>
      </c>
      <c r="J3133">
        <v>78.099999999999994</v>
      </c>
      <c r="K3133">
        <v>246</v>
      </c>
      <c r="L3133">
        <v>0</v>
      </c>
      <c r="M3133">
        <v>547</v>
      </c>
      <c r="N3133">
        <v>5.7</v>
      </c>
      <c r="O3133">
        <v>1.9</v>
      </c>
      <c r="P3133">
        <v>9.4</v>
      </c>
      <c r="Q3133">
        <f t="shared" si="96"/>
        <v>2105005</v>
      </c>
      <c r="R3133">
        <f t="shared" si="95"/>
        <v>11.686433048852615</v>
      </c>
      <c r="U3133">
        <v>519</v>
      </c>
      <c r="V3133">
        <v>0</v>
      </c>
      <c r="W3133">
        <v>1154</v>
      </c>
      <c r="X3133">
        <v>353</v>
      </c>
      <c r="Y3133">
        <v>59.5</v>
      </c>
      <c r="Z3133">
        <v>30.7</v>
      </c>
      <c r="AA3133">
        <v>88.3</v>
      </c>
    </row>
    <row r="3134" spans="1:27" x14ac:dyDescent="0.25">
      <c r="A3134" t="s">
        <v>256</v>
      </c>
      <c r="B3134" t="s">
        <v>208</v>
      </c>
      <c r="C3134" s="76">
        <v>43924</v>
      </c>
      <c r="D3134">
        <v>2612</v>
      </c>
      <c r="E3134">
        <v>0</v>
      </c>
      <c r="F3134">
        <v>5448</v>
      </c>
      <c r="G3134">
        <v>1728</v>
      </c>
      <c r="H3134">
        <v>60.2</v>
      </c>
      <c r="I3134">
        <v>34.6</v>
      </c>
      <c r="J3134">
        <v>85.8</v>
      </c>
      <c r="K3134">
        <v>242</v>
      </c>
      <c r="L3134">
        <v>0</v>
      </c>
      <c r="M3134">
        <v>543</v>
      </c>
      <c r="N3134">
        <v>5.6</v>
      </c>
      <c r="O3134">
        <v>1.3</v>
      </c>
      <c r="P3134">
        <v>9.8000000000000007</v>
      </c>
      <c r="Q3134">
        <f t="shared" si="96"/>
        <v>2105005</v>
      </c>
      <c r="R3134">
        <f t="shared" si="95"/>
        <v>11.496409747245256</v>
      </c>
      <c r="U3134">
        <v>483</v>
      </c>
      <c r="V3134">
        <v>0</v>
      </c>
      <c r="W3134">
        <v>1060</v>
      </c>
      <c r="X3134">
        <v>217</v>
      </c>
      <c r="Y3134">
        <v>69</v>
      </c>
      <c r="Z3134">
        <v>39.299999999999997</v>
      </c>
      <c r="AA3134">
        <v>98.8</v>
      </c>
    </row>
    <row r="3135" spans="1:27" x14ac:dyDescent="0.25">
      <c r="A3135" t="s">
        <v>256</v>
      </c>
      <c r="B3135" t="s">
        <v>208</v>
      </c>
      <c r="C3135" s="76">
        <v>43925</v>
      </c>
      <c r="D3135">
        <v>2484</v>
      </c>
      <c r="E3135">
        <v>184</v>
      </c>
      <c r="F3135">
        <v>4784</v>
      </c>
      <c r="G3135">
        <v>1913</v>
      </c>
      <c r="H3135">
        <v>56.5</v>
      </c>
      <c r="I3135">
        <v>41.4</v>
      </c>
      <c r="J3135">
        <v>71.599999999999994</v>
      </c>
      <c r="K3135">
        <v>277</v>
      </c>
      <c r="L3135">
        <v>0</v>
      </c>
      <c r="M3135">
        <v>703</v>
      </c>
      <c r="N3135">
        <v>6.3</v>
      </c>
      <c r="O3135">
        <v>0.2</v>
      </c>
      <c r="P3135">
        <v>12.4</v>
      </c>
      <c r="Q3135">
        <f t="shared" si="96"/>
        <v>2105005</v>
      </c>
      <c r="R3135">
        <f t="shared" si="95"/>
        <v>13.159113636309653</v>
      </c>
      <c r="U3135">
        <v>500</v>
      </c>
      <c r="V3135">
        <v>0</v>
      </c>
      <c r="W3135">
        <v>1124</v>
      </c>
      <c r="X3135">
        <v>204</v>
      </c>
      <c r="Y3135">
        <v>71</v>
      </c>
      <c r="Z3135">
        <v>41.4</v>
      </c>
      <c r="AA3135">
        <v>100</v>
      </c>
    </row>
    <row r="3136" spans="1:27" x14ac:dyDescent="0.25">
      <c r="A3136" t="s">
        <v>256</v>
      </c>
      <c r="B3136" t="s">
        <v>208</v>
      </c>
      <c r="C3136" s="76">
        <v>43926</v>
      </c>
      <c r="D3136">
        <v>2497</v>
      </c>
      <c r="E3136">
        <v>256</v>
      </c>
      <c r="F3136">
        <v>4739</v>
      </c>
      <c r="G3136">
        <v>2031</v>
      </c>
      <c r="H3136">
        <v>55.1</v>
      </c>
      <c r="I3136">
        <v>41.2</v>
      </c>
      <c r="J3136">
        <v>69.099999999999994</v>
      </c>
      <c r="K3136">
        <v>277</v>
      </c>
      <c r="L3136">
        <v>0</v>
      </c>
      <c r="M3136">
        <v>659</v>
      </c>
      <c r="N3136">
        <v>6.1</v>
      </c>
      <c r="O3136">
        <v>0.3</v>
      </c>
      <c r="P3136">
        <v>11.9</v>
      </c>
      <c r="Q3136">
        <f t="shared" si="96"/>
        <v>2105005</v>
      </c>
      <c r="R3136">
        <f t="shared" si="95"/>
        <v>13.159113636309653</v>
      </c>
      <c r="U3136">
        <v>557</v>
      </c>
      <c r="V3136">
        <v>0</v>
      </c>
      <c r="W3136">
        <v>1241</v>
      </c>
      <c r="X3136">
        <v>147</v>
      </c>
      <c r="Y3136">
        <v>79.099999999999994</v>
      </c>
      <c r="Z3136">
        <v>51.7</v>
      </c>
      <c r="AA3136">
        <v>100</v>
      </c>
    </row>
    <row r="3137" spans="1:27" x14ac:dyDescent="0.25">
      <c r="A3137" t="s">
        <v>256</v>
      </c>
      <c r="B3137" t="s">
        <v>208</v>
      </c>
      <c r="C3137" s="76">
        <v>43927</v>
      </c>
      <c r="D3137">
        <v>2452</v>
      </c>
      <c r="E3137">
        <v>234</v>
      </c>
      <c r="F3137">
        <v>4670</v>
      </c>
      <c r="G3137">
        <v>1946</v>
      </c>
      <c r="H3137">
        <v>55.8</v>
      </c>
      <c r="I3137">
        <v>37.799999999999997</v>
      </c>
      <c r="J3137">
        <v>73.7</v>
      </c>
      <c r="K3137">
        <v>254</v>
      </c>
      <c r="L3137">
        <v>0</v>
      </c>
      <c r="M3137">
        <v>581</v>
      </c>
      <c r="N3137">
        <v>5.8</v>
      </c>
      <c r="O3137">
        <v>0.9</v>
      </c>
      <c r="P3137">
        <v>10.6</v>
      </c>
      <c r="Q3137">
        <f t="shared" si="96"/>
        <v>2105005</v>
      </c>
      <c r="R3137">
        <f t="shared" si="95"/>
        <v>12.066479652067335</v>
      </c>
      <c r="U3137">
        <v>493</v>
      </c>
      <c r="V3137">
        <v>0</v>
      </c>
      <c r="W3137">
        <v>1100</v>
      </c>
      <c r="X3137">
        <v>219</v>
      </c>
      <c r="Y3137">
        <v>69.3</v>
      </c>
      <c r="Z3137">
        <v>32.700000000000003</v>
      </c>
      <c r="AA3137">
        <v>100</v>
      </c>
    </row>
    <row r="3138" spans="1:27" x14ac:dyDescent="0.25">
      <c r="A3138" t="s">
        <v>256</v>
      </c>
      <c r="B3138" t="s">
        <v>208</v>
      </c>
      <c r="C3138" s="76">
        <v>43928</v>
      </c>
      <c r="D3138">
        <v>2741</v>
      </c>
      <c r="E3138">
        <v>121</v>
      </c>
      <c r="F3138">
        <v>5361</v>
      </c>
      <c r="G3138">
        <v>1741</v>
      </c>
      <c r="H3138">
        <v>61.2</v>
      </c>
      <c r="I3138">
        <v>42.6</v>
      </c>
      <c r="J3138">
        <v>79.7</v>
      </c>
      <c r="K3138">
        <v>273</v>
      </c>
      <c r="L3138">
        <v>0</v>
      </c>
      <c r="M3138">
        <v>634</v>
      </c>
      <c r="N3138">
        <v>6.1</v>
      </c>
      <c r="O3138">
        <v>1</v>
      </c>
      <c r="P3138">
        <v>11.2</v>
      </c>
      <c r="Q3138">
        <f t="shared" si="96"/>
        <v>2105005</v>
      </c>
      <c r="R3138">
        <f t="shared" si="95"/>
        <v>12.969090334702294</v>
      </c>
      <c r="U3138">
        <v>486</v>
      </c>
      <c r="V3138">
        <v>0</v>
      </c>
      <c r="W3138">
        <v>1081</v>
      </c>
      <c r="X3138">
        <v>225</v>
      </c>
      <c r="Y3138">
        <v>68.400000000000006</v>
      </c>
      <c r="Z3138">
        <v>39.700000000000003</v>
      </c>
      <c r="AA3138">
        <v>97.1</v>
      </c>
    </row>
    <row r="3139" spans="1:27" x14ac:dyDescent="0.25">
      <c r="A3139" t="s">
        <v>256</v>
      </c>
      <c r="B3139" t="s">
        <v>208</v>
      </c>
      <c r="C3139" s="76">
        <v>43929</v>
      </c>
      <c r="D3139">
        <v>2575</v>
      </c>
      <c r="E3139">
        <v>321</v>
      </c>
      <c r="F3139">
        <v>4829</v>
      </c>
      <c r="G3139">
        <v>2213</v>
      </c>
      <c r="H3139">
        <v>53.8</v>
      </c>
      <c r="I3139">
        <v>33.6</v>
      </c>
      <c r="J3139">
        <v>74</v>
      </c>
      <c r="K3139">
        <v>357</v>
      </c>
      <c r="L3139">
        <v>0</v>
      </c>
      <c r="M3139">
        <v>879</v>
      </c>
      <c r="N3139">
        <v>7.4</v>
      </c>
      <c r="O3139">
        <v>0</v>
      </c>
      <c r="P3139">
        <v>15</v>
      </c>
      <c r="Q3139">
        <f t="shared" si="96"/>
        <v>2105005</v>
      </c>
      <c r="R3139">
        <f t="shared" si="95"/>
        <v>16.959579668456843</v>
      </c>
      <c r="U3139">
        <v>531</v>
      </c>
      <c r="V3139">
        <v>0</v>
      </c>
      <c r="W3139">
        <v>1160</v>
      </c>
      <c r="X3139">
        <v>239</v>
      </c>
      <c r="Y3139">
        <v>69</v>
      </c>
      <c r="Z3139">
        <v>45.3</v>
      </c>
      <c r="AA3139">
        <v>92.7</v>
      </c>
    </row>
    <row r="3140" spans="1:27" x14ac:dyDescent="0.25">
      <c r="A3140" t="s">
        <v>256</v>
      </c>
      <c r="B3140" t="s">
        <v>208</v>
      </c>
      <c r="C3140" s="76">
        <v>43930</v>
      </c>
      <c r="D3140">
        <v>2674</v>
      </c>
      <c r="E3140">
        <v>378</v>
      </c>
      <c r="F3140">
        <v>4969</v>
      </c>
      <c r="G3140">
        <v>2230</v>
      </c>
      <c r="H3140">
        <v>54.5</v>
      </c>
      <c r="I3140">
        <v>36.799999999999997</v>
      </c>
      <c r="J3140">
        <v>72.2</v>
      </c>
      <c r="K3140">
        <v>306</v>
      </c>
      <c r="L3140">
        <v>0</v>
      </c>
      <c r="M3140">
        <v>649</v>
      </c>
      <c r="N3140">
        <v>6.2</v>
      </c>
      <c r="O3140">
        <v>1.6</v>
      </c>
      <c r="P3140">
        <v>10.9</v>
      </c>
      <c r="Q3140">
        <f t="shared" si="96"/>
        <v>2105005</v>
      </c>
      <c r="R3140">
        <f t="shared" si="95"/>
        <v>14.536782572963011</v>
      </c>
      <c r="U3140">
        <v>471</v>
      </c>
      <c r="V3140">
        <v>0</v>
      </c>
      <c r="W3140">
        <v>1049</v>
      </c>
      <c r="X3140">
        <v>349</v>
      </c>
      <c r="Y3140">
        <v>57.4</v>
      </c>
      <c r="Z3140">
        <v>36.1</v>
      </c>
      <c r="AA3140">
        <v>78.7</v>
      </c>
    </row>
    <row r="3141" spans="1:27" x14ac:dyDescent="0.25">
      <c r="A3141" t="s">
        <v>256</v>
      </c>
      <c r="B3141" t="s">
        <v>208</v>
      </c>
      <c r="C3141" s="76">
        <v>43931</v>
      </c>
      <c r="D3141">
        <v>2957</v>
      </c>
      <c r="E3141">
        <v>437</v>
      </c>
      <c r="F3141">
        <v>5477</v>
      </c>
      <c r="G3141">
        <v>1913</v>
      </c>
      <c r="H3141">
        <v>60.7</v>
      </c>
      <c r="I3141">
        <v>46</v>
      </c>
      <c r="J3141">
        <v>75.400000000000006</v>
      </c>
      <c r="K3141">
        <v>299</v>
      </c>
      <c r="L3141">
        <v>0</v>
      </c>
      <c r="M3141">
        <v>675</v>
      </c>
      <c r="N3141">
        <v>6.1</v>
      </c>
      <c r="O3141">
        <v>1.1000000000000001</v>
      </c>
      <c r="P3141">
        <v>11.2</v>
      </c>
      <c r="Q3141">
        <f t="shared" si="96"/>
        <v>2105005</v>
      </c>
      <c r="R3141">
        <f t="shared" ref="R3141:R3204" si="97">K3141/(Q3141)*100000</f>
        <v>14.20424179515013</v>
      </c>
      <c r="U3141">
        <v>460</v>
      </c>
      <c r="V3141">
        <v>0</v>
      </c>
      <c r="W3141">
        <v>1018</v>
      </c>
      <c r="X3141">
        <v>336</v>
      </c>
      <c r="Y3141">
        <v>57.8</v>
      </c>
      <c r="Z3141">
        <v>39.1</v>
      </c>
      <c r="AA3141">
        <v>76.400000000000006</v>
      </c>
    </row>
    <row r="3142" spans="1:27" x14ac:dyDescent="0.25">
      <c r="A3142" t="s">
        <v>256</v>
      </c>
      <c r="B3142" t="s">
        <v>208</v>
      </c>
      <c r="C3142" s="76">
        <v>43932</v>
      </c>
      <c r="D3142">
        <v>2964</v>
      </c>
      <c r="E3142">
        <v>309</v>
      </c>
      <c r="F3142">
        <v>5620</v>
      </c>
      <c r="G3142">
        <v>1873</v>
      </c>
      <c r="H3142">
        <v>61.3</v>
      </c>
      <c r="I3142">
        <v>39.299999999999997</v>
      </c>
      <c r="J3142">
        <v>83.2</v>
      </c>
      <c r="K3142">
        <v>372</v>
      </c>
      <c r="L3142">
        <v>0</v>
      </c>
      <c r="M3142">
        <v>801</v>
      </c>
      <c r="N3142">
        <v>7.7</v>
      </c>
      <c r="O3142">
        <v>3.1</v>
      </c>
      <c r="P3142">
        <v>12.3</v>
      </c>
      <c r="Q3142">
        <f t="shared" si="96"/>
        <v>2105005</v>
      </c>
      <c r="R3142">
        <f t="shared" si="97"/>
        <v>17.672167049484443</v>
      </c>
      <c r="U3142">
        <v>548</v>
      </c>
      <c r="V3142">
        <v>0</v>
      </c>
      <c r="W3142">
        <v>1147</v>
      </c>
      <c r="X3142">
        <v>252</v>
      </c>
      <c r="Y3142">
        <v>68.5</v>
      </c>
      <c r="Z3142">
        <v>49.8</v>
      </c>
      <c r="AA3142">
        <v>87.3</v>
      </c>
    </row>
    <row r="3143" spans="1:27" x14ac:dyDescent="0.25">
      <c r="A3143" t="s">
        <v>256</v>
      </c>
      <c r="B3143" t="s">
        <v>208</v>
      </c>
      <c r="C3143" s="76">
        <v>43933</v>
      </c>
      <c r="D3143">
        <v>2657</v>
      </c>
      <c r="E3143">
        <v>347</v>
      </c>
      <c r="F3143">
        <v>4968</v>
      </c>
      <c r="G3143">
        <v>2180</v>
      </c>
      <c r="H3143">
        <v>54.9</v>
      </c>
      <c r="I3143">
        <v>38.799999999999997</v>
      </c>
      <c r="J3143">
        <v>71.099999999999994</v>
      </c>
      <c r="K3143">
        <v>348</v>
      </c>
      <c r="L3143">
        <v>0</v>
      </c>
      <c r="M3143">
        <v>766</v>
      </c>
      <c r="N3143">
        <v>7.2</v>
      </c>
      <c r="O3143">
        <v>1.7</v>
      </c>
      <c r="P3143">
        <v>12.7</v>
      </c>
      <c r="Q3143">
        <f t="shared" si="96"/>
        <v>2105005</v>
      </c>
      <c r="R3143">
        <f t="shared" si="97"/>
        <v>16.532027239840286</v>
      </c>
      <c r="U3143">
        <v>491</v>
      </c>
      <c r="V3143">
        <v>0</v>
      </c>
      <c r="W3143">
        <v>1012</v>
      </c>
      <c r="X3143">
        <v>307</v>
      </c>
      <c r="Y3143">
        <v>61.5</v>
      </c>
      <c r="Z3143">
        <v>39.6</v>
      </c>
      <c r="AA3143">
        <v>83.4</v>
      </c>
    </row>
    <row r="3144" spans="1:27" x14ac:dyDescent="0.25">
      <c r="A3144" t="s">
        <v>256</v>
      </c>
      <c r="B3144" t="s">
        <v>208</v>
      </c>
      <c r="C3144" s="76">
        <v>43934</v>
      </c>
      <c r="D3144">
        <v>2773</v>
      </c>
      <c r="E3144">
        <v>545</v>
      </c>
      <c r="F3144">
        <v>5001</v>
      </c>
      <c r="G3144">
        <v>2273</v>
      </c>
      <c r="H3144">
        <v>55</v>
      </c>
      <c r="I3144">
        <v>42.2</v>
      </c>
      <c r="J3144">
        <v>67.7</v>
      </c>
      <c r="K3144">
        <v>295</v>
      </c>
      <c r="L3144">
        <v>59</v>
      </c>
      <c r="M3144">
        <v>532</v>
      </c>
      <c r="N3144">
        <v>5.9</v>
      </c>
      <c r="O3144">
        <v>3.9</v>
      </c>
      <c r="P3144">
        <v>7.8</v>
      </c>
      <c r="Q3144">
        <f t="shared" si="96"/>
        <v>2105005</v>
      </c>
      <c r="R3144">
        <f t="shared" si="97"/>
        <v>14.014218493542771</v>
      </c>
      <c r="U3144">
        <v>469</v>
      </c>
      <c r="V3144">
        <v>0</v>
      </c>
      <c r="W3144">
        <v>1044</v>
      </c>
      <c r="X3144">
        <v>359</v>
      </c>
      <c r="Y3144">
        <v>56.7</v>
      </c>
      <c r="Z3144">
        <v>34.200000000000003</v>
      </c>
      <c r="AA3144">
        <v>79.099999999999994</v>
      </c>
    </row>
    <row r="3145" spans="1:27" x14ac:dyDescent="0.25">
      <c r="A3145" t="s">
        <v>256</v>
      </c>
      <c r="B3145" t="s">
        <v>208</v>
      </c>
      <c r="C3145" s="76">
        <v>43935</v>
      </c>
      <c r="D3145">
        <v>2682</v>
      </c>
      <c r="E3145">
        <v>481</v>
      </c>
      <c r="F3145">
        <v>4884</v>
      </c>
      <c r="G3145">
        <v>2364</v>
      </c>
      <c r="H3145">
        <v>53.2</v>
      </c>
      <c r="I3145">
        <v>37.9</v>
      </c>
      <c r="J3145">
        <v>68.400000000000006</v>
      </c>
      <c r="K3145">
        <v>368</v>
      </c>
      <c r="L3145">
        <v>86</v>
      </c>
      <c r="M3145">
        <v>650</v>
      </c>
      <c r="N3145">
        <v>7.3</v>
      </c>
      <c r="O3145">
        <v>4.5</v>
      </c>
      <c r="P3145">
        <v>10.1</v>
      </c>
      <c r="Q3145">
        <f t="shared" si="96"/>
        <v>2105005</v>
      </c>
      <c r="R3145">
        <f t="shared" si="97"/>
        <v>17.482143747877085</v>
      </c>
      <c r="U3145">
        <v>522</v>
      </c>
      <c r="V3145">
        <v>0</v>
      </c>
      <c r="W3145">
        <v>1101</v>
      </c>
      <c r="X3145">
        <v>308</v>
      </c>
      <c r="Y3145">
        <v>62.8</v>
      </c>
      <c r="Z3145">
        <v>40.1</v>
      </c>
      <c r="AA3145">
        <v>85.6</v>
      </c>
    </row>
    <row r="3146" spans="1:27" x14ac:dyDescent="0.25">
      <c r="A3146" t="s">
        <v>256</v>
      </c>
      <c r="B3146" t="s">
        <v>208</v>
      </c>
      <c r="C3146" s="76">
        <v>43936</v>
      </c>
      <c r="D3146">
        <v>1899</v>
      </c>
      <c r="E3146">
        <v>803</v>
      </c>
      <c r="F3146">
        <v>2996</v>
      </c>
      <c r="G3146">
        <v>1471</v>
      </c>
      <c r="H3146">
        <v>56.4</v>
      </c>
      <c r="I3146">
        <v>44.3</v>
      </c>
      <c r="J3146">
        <v>68.400000000000006</v>
      </c>
      <c r="K3146">
        <v>254</v>
      </c>
      <c r="L3146">
        <v>80</v>
      </c>
      <c r="M3146">
        <v>428</v>
      </c>
      <c r="N3146">
        <v>7.5</v>
      </c>
      <c r="O3146">
        <v>4.2</v>
      </c>
      <c r="P3146">
        <v>10.8</v>
      </c>
      <c r="Q3146">
        <f t="shared" si="96"/>
        <v>2105005</v>
      </c>
      <c r="R3146">
        <f t="shared" si="97"/>
        <v>12.066479652067335</v>
      </c>
      <c r="U3146">
        <v>254</v>
      </c>
      <c r="V3146">
        <v>76</v>
      </c>
      <c r="W3146">
        <v>432</v>
      </c>
      <c r="X3146">
        <v>294</v>
      </c>
      <c r="Y3146">
        <v>46.3</v>
      </c>
      <c r="Z3146">
        <v>38</v>
      </c>
      <c r="AA3146">
        <v>54.7</v>
      </c>
    </row>
    <row r="3147" spans="1:27" x14ac:dyDescent="0.25">
      <c r="A3147" t="s">
        <v>256</v>
      </c>
      <c r="B3147" t="s">
        <v>208</v>
      </c>
      <c r="C3147" s="76">
        <v>43937</v>
      </c>
      <c r="D3147">
        <v>1801</v>
      </c>
      <c r="E3147">
        <v>789</v>
      </c>
      <c r="F3147">
        <v>2814</v>
      </c>
      <c r="G3147">
        <v>1584</v>
      </c>
      <c r="H3147">
        <v>53.2</v>
      </c>
      <c r="I3147">
        <v>43.2</v>
      </c>
      <c r="J3147">
        <v>63.2</v>
      </c>
      <c r="K3147">
        <v>234</v>
      </c>
      <c r="L3147">
        <v>59</v>
      </c>
      <c r="M3147">
        <v>408</v>
      </c>
      <c r="N3147">
        <v>6.9</v>
      </c>
      <c r="O3147">
        <v>3</v>
      </c>
      <c r="P3147">
        <v>10.8</v>
      </c>
      <c r="Q3147">
        <f t="shared" si="96"/>
        <v>2105005</v>
      </c>
      <c r="R3147">
        <f t="shared" si="97"/>
        <v>11.116363144030537</v>
      </c>
      <c r="U3147">
        <v>246</v>
      </c>
      <c r="V3147">
        <v>66</v>
      </c>
      <c r="W3147">
        <v>426</v>
      </c>
      <c r="X3147">
        <v>305</v>
      </c>
      <c r="Y3147">
        <v>44.7</v>
      </c>
      <c r="Z3147">
        <v>36</v>
      </c>
      <c r="AA3147">
        <v>53.3</v>
      </c>
    </row>
    <row r="3148" spans="1:27" x14ac:dyDescent="0.25">
      <c r="A3148" t="s">
        <v>256</v>
      </c>
      <c r="B3148" t="s">
        <v>208</v>
      </c>
      <c r="C3148" s="76">
        <v>43938</v>
      </c>
      <c r="D3148">
        <v>1868</v>
      </c>
      <c r="E3148">
        <v>785</v>
      </c>
      <c r="F3148">
        <v>2952</v>
      </c>
      <c r="G3148">
        <v>1489</v>
      </c>
      <c r="H3148">
        <v>55.7</v>
      </c>
      <c r="I3148">
        <v>44.1</v>
      </c>
      <c r="J3148">
        <v>67.2</v>
      </c>
      <c r="K3148">
        <v>241</v>
      </c>
      <c r="L3148">
        <v>69</v>
      </c>
      <c r="M3148">
        <v>413</v>
      </c>
      <c r="N3148">
        <v>7.2</v>
      </c>
      <c r="O3148">
        <v>3.7</v>
      </c>
      <c r="P3148">
        <v>10.7</v>
      </c>
      <c r="Q3148">
        <f t="shared" si="96"/>
        <v>2105005</v>
      </c>
      <c r="R3148">
        <f t="shared" si="97"/>
        <v>11.448903921843415</v>
      </c>
      <c r="U3148">
        <v>261</v>
      </c>
      <c r="V3148">
        <v>79</v>
      </c>
      <c r="W3148">
        <v>443</v>
      </c>
      <c r="X3148">
        <v>281</v>
      </c>
      <c r="Y3148">
        <v>48.1</v>
      </c>
      <c r="Z3148">
        <v>39.700000000000003</v>
      </c>
      <c r="AA3148">
        <v>56.5</v>
      </c>
    </row>
    <row r="3149" spans="1:27" x14ac:dyDescent="0.25">
      <c r="A3149" t="s">
        <v>256</v>
      </c>
      <c r="B3149" t="s">
        <v>208</v>
      </c>
      <c r="C3149" s="76">
        <v>43939</v>
      </c>
      <c r="D3149">
        <v>1871</v>
      </c>
      <c r="E3149">
        <v>808</v>
      </c>
      <c r="F3149">
        <v>2934</v>
      </c>
      <c r="G3149">
        <v>1486</v>
      </c>
      <c r="H3149">
        <v>55.7</v>
      </c>
      <c r="I3149">
        <v>45.8</v>
      </c>
      <c r="J3149">
        <v>65.7</v>
      </c>
      <c r="K3149">
        <v>231</v>
      </c>
      <c r="L3149">
        <v>73</v>
      </c>
      <c r="M3149">
        <v>389</v>
      </c>
      <c r="N3149">
        <v>6.9</v>
      </c>
      <c r="O3149">
        <v>3.9</v>
      </c>
      <c r="P3149">
        <v>9.8000000000000007</v>
      </c>
      <c r="Q3149">
        <f t="shared" si="96"/>
        <v>2105005</v>
      </c>
      <c r="R3149">
        <f t="shared" si="97"/>
        <v>10.973845667825017</v>
      </c>
      <c r="U3149">
        <v>253</v>
      </c>
      <c r="V3149">
        <v>79</v>
      </c>
      <c r="W3149">
        <v>427</v>
      </c>
      <c r="X3149">
        <v>286</v>
      </c>
      <c r="Y3149">
        <v>47</v>
      </c>
      <c r="Z3149">
        <v>36</v>
      </c>
      <c r="AA3149">
        <v>57.9</v>
      </c>
    </row>
    <row r="3150" spans="1:27" x14ac:dyDescent="0.25">
      <c r="A3150" t="s">
        <v>256</v>
      </c>
      <c r="B3150" t="s">
        <v>208</v>
      </c>
      <c r="C3150" s="76">
        <v>43940</v>
      </c>
      <c r="D3150">
        <v>1889</v>
      </c>
      <c r="E3150">
        <v>803</v>
      </c>
      <c r="F3150">
        <v>2975</v>
      </c>
      <c r="G3150">
        <v>1576</v>
      </c>
      <c r="H3150">
        <v>54.5</v>
      </c>
      <c r="I3150">
        <v>45.7</v>
      </c>
      <c r="J3150">
        <v>63.3</v>
      </c>
      <c r="K3150">
        <v>261</v>
      </c>
      <c r="L3150">
        <v>81</v>
      </c>
      <c r="M3150">
        <v>442</v>
      </c>
      <c r="N3150">
        <v>7.5</v>
      </c>
      <c r="O3150">
        <v>4.2</v>
      </c>
      <c r="P3150">
        <v>10.9</v>
      </c>
      <c r="Q3150">
        <f t="shared" si="96"/>
        <v>2105005</v>
      </c>
      <c r="R3150">
        <f t="shared" si="97"/>
        <v>12.399020429880215</v>
      </c>
      <c r="U3150">
        <v>265</v>
      </c>
      <c r="V3150">
        <v>85</v>
      </c>
      <c r="W3150">
        <v>445</v>
      </c>
      <c r="X3150">
        <v>274</v>
      </c>
      <c r="Y3150">
        <v>49.2</v>
      </c>
      <c r="Z3150">
        <v>37.5</v>
      </c>
      <c r="AA3150">
        <v>60.9</v>
      </c>
    </row>
    <row r="3151" spans="1:27" x14ac:dyDescent="0.25">
      <c r="A3151" t="s">
        <v>256</v>
      </c>
      <c r="B3151" t="s">
        <v>208</v>
      </c>
      <c r="C3151" s="76">
        <v>43941</v>
      </c>
      <c r="D3151">
        <v>1762</v>
      </c>
      <c r="E3151">
        <v>802</v>
      </c>
      <c r="F3151">
        <v>2722</v>
      </c>
      <c r="G3151">
        <v>1628</v>
      </c>
      <c r="H3151">
        <v>52</v>
      </c>
      <c r="I3151">
        <v>44</v>
      </c>
      <c r="J3151">
        <v>60</v>
      </c>
      <c r="K3151">
        <v>254</v>
      </c>
      <c r="L3151">
        <v>76</v>
      </c>
      <c r="M3151">
        <v>432</v>
      </c>
      <c r="N3151">
        <v>7.5</v>
      </c>
      <c r="O3151">
        <v>3.9</v>
      </c>
      <c r="P3151">
        <v>11</v>
      </c>
      <c r="Q3151">
        <f t="shared" si="96"/>
        <v>2105005</v>
      </c>
      <c r="R3151">
        <f t="shared" si="97"/>
        <v>12.066479652067335</v>
      </c>
      <c r="U3151">
        <v>253</v>
      </c>
      <c r="V3151">
        <v>77</v>
      </c>
      <c r="W3151">
        <v>429</v>
      </c>
      <c r="X3151">
        <v>287</v>
      </c>
      <c r="Y3151">
        <v>46.9</v>
      </c>
      <c r="Z3151">
        <v>35.5</v>
      </c>
      <c r="AA3151">
        <v>58.2</v>
      </c>
    </row>
    <row r="3152" spans="1:27" x14ac:dyDescent="0.25">
      <c r="A3152" t="s">
        <v>256</v>
      </c>
      <c r="B3152" t="s">
        <v>208</v>
      </c>
      <c r="C3152" s="76">
        <v>43942</v>
      </c>
      <c r="D3152">
        <v>1653</v>
      </c>
      <c r="E3152">
        <v>740</v>
      </c>
      <c r="F3152">
        <v>2565</v>
      </c>
      <c r="G3152">
        <v>1577</v>
      </c>
      <c r="H3152">
        <v>51.2</v>
      </c>
      <c r="I3152">
        <v>43.1</v>
      </c>
      <c r="J3152">
        <v>59.2</v>
      </c>
      <c r="K3152">
        <v>238</v>
      </c>
      <c r="L3152">
        <v>55</v>
      </c>
      <c r="M3152">
        <v>421</v>
      </c>
      <c r="N3152">
        <v>7.4</v>
      </c>
      <c r="O3152">
        <v>3.5</v>
      </c>
      <c r="P3152">
        <v>11.2</v>
      </c>
      <c r="Q3152">
        <f t="shared" si="96"/>
        <v>2105005</v>
      </c>
      <c r="R3152">
        <f t="shared" si="97"/>
        <v>11.306386445637896</v>
      </c>
      <c r="U3152">
        <v>202</v>
      </c>
      <c r="V3152">
        <v>81</v>
      </c>
      <c r="W3152">
        <v>323</v>
      </c>
      <c r="X3152">
        <v>321</v>
      </c>
      <c r="Y3152">
        <v>38.6</v>
      </c>
      <c r="Z3152">
        <v>22.4</v>
      </c>
      <c r="AA3152">
        <v>54.8</v>
      </c>
    </row>
    <row r="3153" spans="1:27" x14ac:dyDescent="0.25">
      <c r="A3153" t="s">
        <v>256</v>
      </c>
      <c r="B3153" t="s">
        <v>208</v>
      </c>
      <c r="C3153" s="76">
        <v>43943</v>
      </c>
      <c r="D3153">
        <v>1598</v>
      </c>
      <c r="E3153">
        <v>677</v>
      </c>
      <c r="F3153">
        <v>2519</v>
      </c>
      <c r="G3153">
        <v>1299</v>
      </c>
      <c r="H3153">
        <v>55.2</v>
      </c>
      <c r="I3153">
        <v>44.9</v>
      </c>
      <c r="J3153">
        <v>65.5</v>
      </c>
      <c r="K3153">
        <v>186</v>
      </c>
      <c r="L3153">
        <v>31</v>
      </c>
      <c r="M3153">
        <v>342</v>
      </c>
      <c r="N3153">
        <v>6.4</v>
      </c>
      <c r="O3153">
        <v>2.4</v>
      </c>
      <c r="P3153">
        <v>10.4</v>
      </c>
      <c r="Q3153">
        <f t="shared" si="96"/>
        <v>2105005</v>
      </c>
      <c r="R3153">
        <f t="shared" si="97"/>
        <v>8.8360835247422216</v>
      </c>
      <c r="U3153">
        <v>199</v>
      </c>
      <c r="V3153">
        <v>54</v>
      </c>
      <c r="W3153">
        <v>344</v>
      </c>
      <c r="X3153">
        <v>248</v>
      </c>
      <c r="Y3153">
        <v>44.5</v>
      </c>
      <c r="Z3153">
        <v>36</v>
      </c>
      <c r="AA3153">
        <v>53.1</v>
      </c>
    </row>
    <row r="3154" spans="1:27" x14ac:dyDescent="0.25">
      <c r="A3154" t="s">
        <v>256</v>
      </c>
      <c r="B3154" t="s">
        <v>208</v>
      </c>
      <c r="C3154" s="76">
        <v>43944</v>
      </c>
      <c r="D3154">
        <v>1576</v>
      </c>
      <c r="E3154">
        <v>670</v>
      </c>
      <c r="F3154">
        <v>2482</v>
      </c>
      <c r="G3154">
        <v>1247</v>
      </c>
      <c r="H3154">
        <v>55.8</v>
      </c>
      <c r="I3154">
        <v>44.6</v>
      </c>
      <c r="J3154">
        <v>67</v>
      </c>
      <c r="K3154">
        <v>207</v>
      </c>
      <c r="L3154">
        <v>30</v>
      </c>
      <c r="M3154">
        <v>384</v>
      </c>
      <c r="N3154">
        <v>7.3</v>
      </c>
      <c r="O3154">
        <v>2.6</v>
      </c>
      <c r="P3154">
        <v>12</v>
      </c>
      <c r="Q3154">
        <f t="shared" si="96"/>
        <v>2105005</v>
      </c>
      <c r="R3154">
        <f t="shared" si="97"/>
        <v>9.8337058581808598</v>
      </c>
      <c r="U3154">
        <v>212</v>
      </c>
      <c r="V3154">
        <v>58</v>
      </c>
      <c r="W3154">
        <v>366</v>
      </c>
      <c r="X3154">
        <v>224</v>
      </c>
      <c r="Y3154">
        <v>48.6</v>
      </c>
      <c r="Z3154">
        <v>38.6</v>
      </c>
      <c r="AA3154">
        <v>58.7</v>
      </c>
    </row>
    <row r="3155" spans="1:27" x14ac:dyDescent="0.25">
      <c r="A3155" t="s">
        <v>256</v>
      </c>
      <c r="B3155" t="s">
        <v>208</v>
      </c>
      <c r="C3155" s="76">
        <v>43945</v>
      </c>
      <c r="D3155">
        <v>1658</v>
      </c>
      <c r="E3155">
        <v>779</v>
      </c>
      <c r="F3155">
        <v>2538</v>
      </c>
      <c r="G3155">
        <v>1215</v>
      </c>
      <c r="H3155">
        <v>57.7</v>
      </c>
      <c r="I3155">
        <v>47.2</v>
      </c>
      <c r="J3155">
        <v>68.2</v>
      </c>
      <c r="K3155">
        <v>229</v>
      </c>
      <c r="L3155">
        <v>26</v>
      </c>
      <c r="M3155">
        <v>433</v>
      </c>
      <c r="N3155">
        <v>8</v>
      </c>
      <c r="O3155">
        <v>2.2999999999999998</v>
      </c>
      <c r="P3155">
        <v>13.7</v>
      </c>
      <c r="Q3155">
        <f t="shared" si="96"/>
        <v>2105005</v>
      </c>
      <c r="R3155">
        <f t="shared" si="97"/>
        <v>10.878834017021337</v>
      </c>
      <c r="U3155">
        <v>220</v>
      </c>
      <c r="V3155">
        <v>81</v>
      </c>
      <c r="W3155">
        <v>359</v>
      </c>
      <c r="X3155">
        <v>200</v>
      </c>
      <c r="Y3155">
        <v>52.4</v>
      </c>
      <c r="Z3155">
        <v>42.5</v>
      </c>
      <c r="AA3155">
        <v>62.4</v>
      </c>
    </row>
    <row r="3156" spans="1:27" x14ac:dyDescent="0.25">
      <c r="A3156" t="s">
        <v>256</v>
      </c>
      <c r="B3156" t="s">
        <v>208</v>
      </c>
      <c r="C3156" s="76">
        <v>43946</v>
      </c>
      <c r="D3156">
        <v>1612</v>
      </c>
      <c r="E3156">
        <v>750</v>
      </c>
      <c r="F3156">
        <v>2474</v>
      </c>
      <c r="G3156">
        <v>1247</v>
      </c>
      <c r="H3156">
        <v>56.4</v>
      </c>
      <c r="I3156">
        <v>45.5</v>
      </c>
      <c r="J3156">
        <v>67.3</v>
      </c>
      <c r="K3156">
        <v>218</v>
      </c>
      <c r="L3156">
        <v>27</v>
      </c>
      <c r="M3156">
        <v>408</v>
      </c>
      <c r="N3156">
        <v>7.6</v>
      </c>
      <c r="O3156">
        <v>2.4</v>
      </c>
      <c r="P3156">
        <v>12.9</v>
      </c>
      <c r="Q3156">
        <f t="shared" si="96"/>
        <v>2105005</v>
      </c>
      <c r="R3156">
        <f t="shared" si="97"/>
        <v>10.356269937601098</v>
      </c>
      <c r="U3156">
        <v>225</v>
      </c>
      <c r="V3156">
        <v>75</v>
      </c>
      <c r="W3156">
        <v>374</v>
      </c>
      <c r="X3156">
        <v>215</v>
      </c>
      <c r="Y3156">
        <v>51.1</v>
      </c>
      <c r="Z3156">
        <v>39.4</v>
      </c>
      <c r="AA3156">
        <v>62.9</v>
      </c>
    </row>
    <row r="3157" spans="1:27" x14ac:dyDescent="0.25">
      <c r="A3157" t="s">
        <v>256</v>
      </c>
      <c r="B3157" t="s">
        <v>208</v>
      </c>
      <c r="C3157" s="76">
        <v>43947</v>
      </c>
      <c r="D3157">
        <v>1682</v>
      </c>
      <c r="E3157">
        <v>718</v>
      </c>
      <c r="F3157">
        <v>2645</v>
      </c>
      <c r="G3157">
        <v>1442</v>
      </c>
      <c r="H3157">
        <v>53.8</v>
      </c>
      <c r="I3157">
        <v>40.200000000000003</v>
      </c>
      <c r="J3157">
        <v>67.5</v>
      </c>
      <c r="K3157">
        <v>261</v>
      </c>
      <c r="L3157">
        <v>44</v>
      </c>
      <c r="M3157">
        <v>478</v>
      </c>
      <c r="N3157">
        <v>8.3000000000000007</v>
      </c>
      <c r="O3157">
        <v>3</v>
      </c>
      <c r="P3157">
        <v>13.7</v>
      </c>
      <c r="Q3157">
        <f t="shared" si="96"/>
        <v>2105005</v>
      </c>
      <c r="R3157">
        <f t="shared" si="97"/>
        <v>12.399020429880215</v>
      </c>
      <c r="U3157">
        <v>229</v>
      </c>
      <c r="V3157">
        <v>68</v>
      </c>
      <c r="W3157">
        <v>391</v>
      </c>
      <c r="X3157">
        <v>283</v>
      </c>
      <c r="Y3157">
        <v>44.7</v>
      </c>
      <c r="Z3157">
        <v>35</v>
      </c>
      <c r="AA3157">
        <v>54.5</v>
      </c>
    </row>
    <row r="3158" spans="1:27" x14ac:dyDescent="0.25">
      <c r="A3158" t="s">
        <v>256</v>
      </c>
      <c r="B3158" t="s">
        <v>208</v>
      </c>
      <c r="C3158" s="76">
        <v>43948</v>
      </c>
      <c r="D3158">
        <v>1682</v>
      </c>
      <c r="E3158">
        <v>756</v>
      </c>
      <c r="F3158">
        <v>2608</v>
      </c>
      <c r="G3158">
        <v>1429</v>
      </c>
      <c r="H3158">
        <v>54.1</v>
      </c>
      <c r="I3158">
        <v>43.2</v>
      </c>
      <c r="J3158">
        <v>64.900000000000006</v>
      </c>
      <c r="K3158">
        <v>281</v>
      </c>
      <c r="L3158">
        <v>58</v>
      </c>
      <c r="M3158">
        <v>504</v>
      </c>
      <c r="N3158">
        <v>9</v>
      </c>
      <c r="O3158">
        <v>3.6</v>
      </c>
      <c r="P3158">
        <v>14.4</v>
      </c>
      <c r="Q3158">
        <f t="shared" si="96"/>
        <v>2105005</v>
      </c>
      <c r="R3158">
        <f t="shared" si="97"/>
        <v>13.349136937917011</v>
      </c>
      <c r="U3158">
        <v>233</v>
      </c>
      <c r="V3158">
        <v>68</v>
      </c>
      <c r="W3158">
        <v>399</v>
      </c>
      <c r="X3158">
        <v>276</v>
      </c>
      <c r="Y3158">
        <v>45.8</v>
      </c>
      <c r="Z3158">
        <v>36.9</v>
      </c>
      <c r="AA3158">
        <v>54.8</v>
      </c>
    </row>
    <row r="3159" spans="1:27" x14ac:dyDescent="0.25">
      <c r="A3159" t="s">
        <v>256</v>
      </c>
      <c r="B3159" t="s">
        <v>208</v>
      </c>
      <c r="C3159" s="76">
        <v>43949</v>
      </c>
      <c r="D3159">
        <v>1854</v>
      </c>
      <c r="E3159">
        <v>928</v>
      </c>
      <c r="F3159">
        <v>2780</v>
      </c>
      <c r="G3159">
        <v>1427</v>
      </c>
      <c r="H3159">
        <v>56.5</v>
      </c>
      <c r="I3159">
        <v>46.8</v>
      </c>
      <c r="J3159">
        <v>66.2</v>
      </c>
      <c r="K3159">
        <v>297</v>
      </c>
      <c r="L3159">
        <v>62</v>
      </c>
      <c r="M3159">
        <v>532</v>
      </c>
      <c r="N3159">
        <v>9</v>
      </c>
      <c r="O3159">
        <v>3.4</v>
      </c>
      <c r="P3159">
        <v>14.7</v>
      </c>
      <c r="Q3159">
        <f t="shared" si="96"/>
        <v>2105005</v>
      </c>
      <c r="R3159">
        <f t="shared" si="97"/>
        <v>14.109230144346451</v>
      </c>
      <c r="U3159">
        <v>247</v>
      </c>
      <c r="V3159">
        <v>99</v>
      </c>
      <c r="W3159">
        <v>395</v>
      </c>
      <c r="X3159">
        <v>273</v>
      </c>
      <c r="Y3159">
        <v>47.5</v>
      </c>
      <c r="Z3159">
        <v>36</v>
      </c>
      <c r="AA3159">
        <v>59.1</v>
      </c>
    </row>
    <row r="3160" spans="1:27" x14ac:dyDescent="0.25">
      <c r="A3160" t="s">
        <v>256</v>
      </c>
      <c r="B3160" t="s">
        <v>208</v>
      </c>
      <c r="C3160" s="76">
        <v>43950</v>
      </c>
      <c r="D3160">
        <v>1806</v>
      </c>
      <c r="E3160">
        <v>914</v>
      </c>
      <c r="F3160">
        <v>2698</v>
      </c>
      <c r="G3160">
        <v>1480</v>
      </c>
      <c r="H3160">
        <v>55</v>
      </c>
      <c r="I3160">
        <v>44.1</v>
      </c>
      <c r="J3160">
        <v>65.8</v>
      </c>
      <c r="K3160">
        <v>249</v>
      </c>
      <c r="L3160">
        <v>61</v>
      </c>
      <c r="M3160">
        <v>437</v>
      </c>
      <c r="N3160">
        <v>7.6</v>
      </c>
      <c r="O3160">
        <v>3.4</v>
      </c>
      <c r="P3160">
        <v>11.8</v>
      </c>
      <c r="Q3160">
        <f t="shared" si="96"/>
        <v>2105005</v>
      </c>
      <c r="R3160">
        <f t="shared" si="97"/>
        <v>11.828950525058136</v>
      </c>
      <c r="U3160">
        <v>248</v>
      </c>
      <c r="V3160">
        <v>97</v>
      </c>
      <c r="W3160">
        <v>400</v>
      </c>
      <c r="X3160">
        <v>288</v>
      </c>
      <c r="Y3160">
        <v>46.3</v>
      </c>
      <c r="Z3160">
        <v>36</v>
      </c>
      <c r="AA3160">
        <v>56.6</v>
      </c>
    </row>
    <row r="3161" spans="1:27" x14ac:dyDescent="0.25">
      <c r="A3161" t="s">
        <v>256</v>
      </c>
      <c r="B3161" t="s">
        <v>208</v>
      </c>
      <c r="C3161" s="76">
        <v>43951</v>
      </c>
      <c r="D3161">
        <v>1855</v>
      </c>
      <c r="E3161">
        <v>950</v>
      </c>
      <c r="F3161">
        <v>2760</v>
      </c>
      <c r="G3161">
        <v>1415</v>
      </c>
      <c r="H3161">
        <v>56.7</v>
      </c>
      <c r="I3161">
        <v>46.8</v>
      </c>
      <c r="J3161">
        <v>66.599999999999994</v>
      </c>
      <c r="K3161">
        <v>239</v>
      </c>
      <c r="L3161">
        <v>54</v>
      </c>
      <c r="M3161">
        <v>425</v>
      </c>
      <c r="N3161">
        <v>7.3</v>
      </c>
      <c r="O3161">
        <v>2.7</v>
      </c>
      <c r="P3161">
        <v>11.9</v>
      </c>
      <c r="Q3161">
        <f t="shared" si="96"/>
        <v>2105005</v>
      </c>
      <c r="R3161">
        <f t="shared" si="97"/>
        <v>11.353892271039735</v>
      </c>
      <c r="U3161">
        <v>263</v>
      </c>
      <c r="V3161">
        <v>104</v>
      </c>
      <c r="W3161">
        <v>422</v>
      </c>
      <c r="X3161">
        <v>251</v>
      </c>
      <c r="Y3161">
        <v>51.2</v>
      </c>
      <c r="Z3161">
        <v>42.1</v>
      </c>
      <c r="AA3161">
        <v>60.3</v>
      </c>
    </row>
    <row r="3162" spans="1:27" x14ac:dyDescent="0.25">
      <c r="A3162" t="s">
        <v>256</v>
      </c>
      <c r="B3162" t="s">
        <v>208</v>
      </c>
      <c r="C3162" s="76">
        <v>43952</v>
      </c>
      <c r="D3162">
        <v>1789</v>
      </c>
      <c r="E3162">
        <v>910</v>
      </c>
      <c r="F3162">
        <v>2667</v>
      </c>
      <c r="G3162">
        <v>1489</v>
      </c>
      <c r="H3162">
        <v>54.6</v>
      </c>
      <c r="I3162">
        <v>43.3</v>
      </c>
      <c r="J3162">
        <v>65.900000000000006</v>
      </c>
      <c r="K3162">
        <v>243</v>
      </c>
      <c r="L3162">
        <v>56</v>
      </c>
      <c r="M3162">
        <v>429</v>
      </c>
      <c r="N3162">
        <v>7.4</v>
      </c>
      <c r="O3162">
        <v>2.8</v>
      </c>
      <c r="P3162">
        <v>12</v>
      </c>
      <c r="Q3162">
        <f t="shared" si="96"/>
        <v>2105005</v>
      </c>
      <c r="R3162">
        <f t="shared" si="97"/>
        <v>11.543915572647096</v>
      </c>
      <c r="U3162">
        <v>253</v>
      </c>
      <c r="V3162">
        <v>105</v>
      </c>
      <c r="W3162">
        <v>400</v>
      </c>
      <c r="X3162">
        <v>261</v>
      </c>
      <c r="Y3162">
        <v>49.2</v>
      </c>
      <c r="Z3162">
        <v>36.6</v>
      </c>
      <c r="AA3162">
        <v>61.7</v>
      </c>
    </row>
    <row r="3163" spans="1:27" x14ac:dyDescent="0.25">
      <c r="A3163" t="s">
        <v>256</v>
      </c>
      <c r="B3163" t="s">
        <v>208</v>
      </c>
      <c r="C3163" s="76">
        <v>43953</v>
      </c>
      <c r="D3163">
        <v>1858</v>
      </c>
      <c r="E3163">
        <v>941</v>
      </c>
      <c r="F3163">
        <v>2775</v>
      </c>
      <c r="G3163">
        <v>1418</v>
      </c>
      <c r="H3163">
        <v>56.7</v>
      </c>
      <c r="I3163">
        <v>46.1</v>
      </c>
      <c r="J3163">
        <v>67.400000000000006</v>
      </c>
      <c r="K3163">
        <v>253</v>
      </c>
      <c r="L3163">
        <v>62</v>
      </c>
      <c r="M3163">
        <v>444</v>
      </c>
      <c r="N3163">
        <v>7.7</v>
      </c>
      <c r="O3163">
        <v>3.2</v>
      </c>
      <c r="P3163">
        <v>12.2</v>
      </c>
      <c r="Q3163">
        <f t="shared" si="96"/>
        <v>2105005</v>
      </c>
      <c r="R3163">
        <f t="shared" si="97"/>
        <v>12.018973826665494</v>
      </c>
      <c r="U3163">
        <v>252</v>
      </c>
      <c r="V3163">
        <v>101</v>
      </c>
      <c r="W3163">
        <v>404</v>
      </c>
      <c r="X3163">
        <v>263</v>
      </c>
      <c r="Y3163">
        <v>49</v>
      </c>
      <c r="Z3163">
        <v>36</v>
      </c>
      <c r="AA3163">
        <v>61.9</v>
      </c>
    </row>
    <row r="3164" spans="1:27" x14ac:dyDescent="0.25">
      <c r="A3164" t="s">
        <v>256</v>
      </c>
      <c r="B3164" t="s">
        <v>208</v>
      </c>
      <c r="C3164" s="76">
        <v>43954</v>
      </c>
      <c r="D3164">
        <v>1864</v>
      </c>
      <c r="E3164">
        <v>931</v>
      </c>
      <c r="F3164">
        <v>2798</v>
      </c>
      <c r="G3164">
        <v>1399</v>
      </c>
      <c r="H3164">
        <v>57.1</v>
      </c>
      <c r="I3164">
        <v>45.7</v>
      </c>
      <c r="J3164">
        <v>68.599999999999994</v>
      </c>
      <c r="K3164">
        <v>246</v>
      </c>
      <c r="L3164">
        <v>59</v>
      </c>
      <c r="M3164">
        <v>433</v>
      </c>
      <c r="N3164">
        <v>7.5</v>
      </c>
      <c r="O3164">
        <v>2.9</v>
      </c>
      <c r="P3164">
        <v>12.2</v>
      </c>
      <c r="Q3164">
        <f t="shared" si="96"/>
        <v>2105005</v>
      </c>
      <c r="R3164">
        <f t="shared" si="97"/>
        <v>11.686433048852615</v>
      </c>
      <c r="U3164">
        <v>266</v>
      </c>
      <c r="V3164">
        <v>110</v>
      </c>
      <c r="W3164">
        <v>422</v>
      </c>
      <c r="X3164">
        <v>267</v>
      </c>
      <c r="Y3164">
        <v>49.9</v>
      </c>
      <c r="Z3164">
        <v>38.9</v>
      </c>
      <c r="AA3164">
        <v>60.9</v>
      </c>
    </row>
    <row r="3165" spans="1:27" x14ac:dyDescent="0.25">
      <c r="A3165" t="s">
        <v>256</v>
      </c>
      <c r="B3165" t="s">
        <v>208</v>
      </c>
      <c r="C3165" s="76">
        <v>43955</v>
      </c>
      <c r="D3165">
        <v>1841</v>
      </c>
      <c r="E3165">
        <v>924</v>
      </c>
      <c r="F3165">
        <v>2757</v>
      </c>
      <c r="G3165">
        <v>1424</v>
      </c>
      <c r="H3165">
        <v>56.4</v>
      </c>
      <c r="I3165">
        <v>44</v>
      </c>
      <c r="J3165">
        <v>68.8</v>
      </c>
      <c r="K3165">
        <v>245</v>
      </c>
      <c r="L3165">
        <v>70</v>
      </c>
      <c r="M3165">
        <v>421</v>
      </c>
      <c r="N3165">
        <v>7.5</v>
      </c>
      <c r="O3165">
        <v>3.5</v>
      </c>
      <c r="P3165">
        <v>11.5</v>
      </c>
      <c r="Q3165">
        <f t="shared" si="96"/>
        <v>2105005</v>
      </c>
      <c r="R3165">
        <f t="shared" si="97"/>
        <v>11.638927223450775</v>
      </c>
      <c r="U3165">
        <v>258</v>
      </c>
      <c r="V3165">
        <v>112</v>
      </c>
      <c r="W3165">
        <v>405</v>
      </c>
      <c r="X3165">
        <v>276</v>
      </c>
      <c r="Y3165">
        <v>48.4</v>
      </c>
      <c r="Z3165">
        <v>35</v>
      </c>
      <c r="AA3165">
        <v>61.7</v>
      </c>
    </row>
    <row r="3166" spans="1:27" x14ac:dyDescent="0.25">
      <c r="A3166" t="s">
        <v>256</v>
      </c>
      <c r="B3166" t="s">
        <v>208</v>
      </c>
      <c r="C3166" s="76">
        <v>43956</v>
      </c>
      <c r="D3166">
        <v>1823</v>
      </c>
      <c r="E3166">
        <v>915</v>
      </c>
      <c r="F3166">
        <v>2731</v>
      </c>
      <c r="G3166">
        <v>1439</v>
      </c>
      <c r="H3166">
        <v>55.9</v>
      </c>
      <c r="I3166">
        <v>43.5</v>
      </c>
      <c r="J3166">
        <v>68.3</v>
      </c>
      <c r="K3166">
        <v>262</v>
      </c>
      <c r="L3166">
        <v>69</v>
      </c>
      <c r="M3166">
        <v>454</v>
      </c>
      <c r="N3166">
        <v>8</v>
      </c>
      <c r="O3166">
        <v>3.6</v>
      </c>
      <c r="P3166">
        <v>12.4</v>
      </c>
      <c r="Q3166">
        <f t="shared" si="96"/>
        <v>2105005</v>
      </c>
      <c r="R3166">
        <f t="shared" si="97"/>
        <v>12.446526255282054</v>
      </c>
      <c r="U3166">
        <v>266</v>
      </c>
      <c r="V3166">
        <v>110</v>
      </c>
      <c r="W3166">
        <v>423</v>
      </c>
      <c r="X3166">
        <v>266</v>
      </c>
      <c r="Y3166">
        <v>50.1</v>
      </c>
      <c r="Z3166">
        <v>38.299999999999997</v>
      </c>
      <c r="AA3166">
        <v>61.9</v>
      </c>
    </row>
    <row r="3167" spans="1:27" x14ac:dyDescent="0.25">
      <c r="A3167" t="s">
        <v>256</v>
      </c>
      <c r="B3167" t="s">
        <v>208</v>
      </c>
      <c r="C3167" s="76">
        <v>43957</v>
      </c>
      <c r="D3167">
        <v>1892</v>
      </c>
      <c r="E3167">
        <v>955</v>
      </c>
      <c r="F3167">
        <v>2828</v>
      </c>
      <c r="G3167">
        <v>1362</v>
      </c>
      <c r="H3167">
        <v>58.1</v>
      </c>
      <c r="I3167">
        <v>46</v>
      </c>
      <c r="J3167">
        <v>70.3</v>
      </c>
      <c r="K3167">
        <v>248</v>
      </c>
      <c r="L3167">
        <v>53</v>
      </c>
      <c r="M3167">
        <v>443</v>
      </c>
      <c r="N3167">
        <v>7.6</v>
      </c>
      <c r="O3167">
        <v>2.6</v>
      </c>
      <c r="P3167">
        <v>12.7</v>
      </c>
      <c r="Q3167">
        <f t="shared" si="96"/>
        <v>2105005</v>
      </c>
      <c r="R3167">
        <f t="shared" si="97"/>
        <v>11.781444699656296</v>
      </c>
      <c r="U3167">
        <v>258</v>
      </c>
      <c r="V3167">
        <v>103</v>
      </c>
      <c r="W3167">
        <v>413</v>
      </c>
      <c r="X3167">
        <v>282</v>
      </c>
      <c r="Y3167">
        <v>47.8</v>
      </c>
      <c r="Z3167">
        <v>35.9</v>
      </c>
      <c r="AA3167">
        <v>59.6</v>
      </c>
    </row>
    <row r="3168" spans="1:27" x14ac:dyDescent="0.25">
      <c r="A3168" t="s">
        <v>256</v>
      </c>
      <c r="B3168" t="s">
        <v>208</v>
      </c>
      <c r="C3168" s="76">
        <v>43958</v>
      </c>
      <c r="D3168">
        <v>1920</v>
      </c>
      <c r="E3168">
        <v>977</v>
      </c>
      <c r="F3168">
        <v>2863</v>
      </c>
      <c r="G3168">
        <v>1322</v>
      </c>
      <c r="H3168">
        <v>59.2</v>
      </c>
      <c r="I3168">
        <v>46.7</v>
      </c>
      <c r="J3168">
        <v>71.7</v>
      </c>
      <c r="K3168">
        <v>292</v>
      </c>
      <c r="L3168">
        <v>38</v>
      </c>
      <c r="M3168">
        <v>547</v>
      </c>
      <c r="N3168">
        <v>9</v>
      </c>
      <c r="O3168">
        <v>2.5</v>
      </c>
      <c r="P3168">
        <v>15.5</v>
      </c>
      <c r="Q3168">
        <f t="shared" si="96"/>
        <v>2105005</v>
      </c>
      <c r="R3168">
        <f t="shared" si="97"/>
        <v>13.871701017337251</v>
      </c>
      <c r="U3168">
        <v>282</v>
      </c>
      <c r="V3168">
        <v>114</v>
      </c>
      <c r="W3168">
        <v>450</v>
      </c>
      <c r="X3168">
        <v>260</v>
      </c>
      <c r="Y3168">
        <v>52</v>
      </c>
      <c r="Z3168">
        <v>39.799999999999997</v>
      </c>
      <c r="AA3168">
        <v>64.3</v>
      </c>
    </row>
    <row r="3169" spans="1:27" x14ac:dyDescent="0.25">
      <c r="A3169" t="s">
        <v>256</v>
      </c>
      <c r="B3169" t="s">
        <v>208</v>
      </c>
      <c r="C3169" s="76">
        <v>43959</v>
      </c>
      <c r="D3169">
        <v>1882</v>
      </c>
      <c r="E3169">
        <v>910</v>
      </c>
      <c r="F3169">
        <v>2853</v>
      </c>
      <c r="G3169">
        <v>1347</v>
      </c>
      <c r="H3169">
        <v>58.3</v>
      </c>
      <c r="I3169">
        <v>45.6</v>
      </c>
      <c r="J3169">
        <v>71</v>
      </c>
      <c r="K3169">
        <v>257</v>
      </c>
      <c r="L3169">
        <v>53</v>
      </c>
      <c r="M3169">
        <v>460</v>
      </c>
      <c r="N3169">
        <v>7.9</v>
      </c>
      <c r="O3169">
        <v>3</v>
      </c>
      <c r="P3169">
        <v>12.9</v>
      </c>
      <c r="Q3169">
        <f t="shared" si="96"/>
        <v>2105005</v>
      </c>
      <c r="R3169">
        <f t="shared" si="97"/>
        <v>12.208997128272854</v>
      </c>
      <c r="U3169">
        <v>291</v>
      </c>
      <c r="V3169">
        <v>108</v>
      </c>
      <c r="W3169">
        <v>474</v>
      </c>
      <c r="X3169">
        <v>262</v>
      </c>
      <c r="Y3169">
        <v>52.6</v>
      </c>
      <c r="Z3169">
        <v>44.1</v>
      </c>
      <c r="AA3169">
        <v>61.1</v>
      </c>
    </row>
    <row r="3170" spans="1:27" x14ac:dyDescent="0.25">
      <c r="A3170" t="s">
        <v>256</v>
      </c>
      <c r="B3170" t="s">
        <v>208</v>
      </c>
      <c r="C3170" s="76">
        <v>43960</v>
      </c>
      <c r="D3170">
        <v>1870</v>
      </c>
      <c r="E3170">
        <v>903</v>
      </c>
      <c r="F3170">
        <v>2838</v>
      </c>
      <c r="G3170">
        <v>1358</v>
      </c>
      <c r="H3170">
        <v>57.9</v>
      </c>
      <c r="I3170">
        <v>46.9</v>
      </c>
      <c r="J3170">
        <v>69</v>
      </c>
      <c r="K3170">
        <v>298</v>
      </c>
      <c r="L3170">
        <v>89</v>
      </c>
      <c r="M3170">
        <v>507</v>
      </c>
      <c r="N3170">
        <v>9.1999999999999993</v>
      </c>
      <c r="O3170">
        <v>4.3</v>
      </c>
      <c r="P3170">
        <v>14.2</v>
      </c>
      <c r="Q3170">
        <f t="shared" si="96"/>
        <v>2105005</v>
      </c>
      <c r="R3170">
        <f t="shared" si="97"/>
        <v>14.15673596974829</v>
      </c>
      <c r="U3170">
        <v>282</v>
      </c>
      <c r="V3170">
        <v>107</v>
      </c>
      <c r="W3170">
        <v>457</v>
      </c>
      <c r="X3170">
        <v>273</v>
      </c>
      <c r="Y3170">
        <v>50.8</v>
      </c>
      <c r="Z3170">
        <v>40.200000000000003</v>
      </c>
      <c r="AA3170">
        <v>61.3</v>
      </c>
    </row>
    <row r="3171" spans="1:27" x14ac:dyDescent="0.25">
      <c r="A3171" t="s">
        <v>256</v>
      </c>
      <c r="B3171" t="s">
        <v>208</v>
      </c>
      <c r="C3171" s="76">
        <v>43961</v>
      </c>
      <c r="D3171">
        <v>1853</v>
      </c>
      <c r="E3171">
        <v>853</v>
      </c>
      <c r="F3171">
        <v>2854</v>
      </c>
      <c r="G3171">
        <v>1367</v>
      </c>
      <c r="H3171">
        <v>57.5</v>
      </c>
      <c r="I3171">
        <v>43.8</v>
      </c>
      <c r="J3171">
        <v>71.3</v>
      </c>
      <c r="K3171">
        <v>295</v>
      </c>
      <c r="L3171">
        <v>81</v>
      </c>
      <c r="M3171">
        <v>509</v>
      </c>
      <c r="N3171">
        <v>9.1999999999999993</v>
      </c>
      <c r="O3171">
        <v>4</v>
      </c>
      <c r="P3171">
        <v>14.3</v>
      </c>
      <c r="Q3171">
        <f t="shared" si="96"/>
        <v>2105005</v>
      </c>
      <c r="R3171">
        <f t="shared" si="97"/>
        <v>14.014218493542771</v>
      </c>
      <c r="U3171">
        <v>274</v>
      </c>
      <c r="V3171">
        <v>100</v>
      </c>
      <c r="W3171">
        <v>448</v>
      </c>
      <c r="X3171">
        <v>281</v>
      </c>
      <c r="Y3171">
        <v>49.4</v>
      </c>
      <c r="Z3171">
        <v>37.799999999999997</v>
      </c>
      <c r="AA3171">
        <v>60.9</v>
      </c>
    </row>
    <row r="3172" spans="1:27" x14ac:dyDescent="0.25">
      <c r="A3172" t="s">
        <v>256</v>
      </c>
      <c r="B3172" t="s">
        <v>208</v>
      </c>
      <c r="C3172" s="76">
        <v>43962</v>
      </c>
      <c r="D3172">
        <v>1922</v>
      </c>
      <c r="E3172">
        <v>886</v>
      </c>
      <c r="F3172">
        <v>2958</v>
      </c>
      <c r="G3172">
        <v>1268</v>
      </c>
      <c r="H3172">
        <v>60.3</v>
      </c>
      <c r="I3172">
        <v>48</v>
      </c>
      <c r="J3172">
        <v>72.5</v>
      </c>
      <c r="K3172">
        <v>269</v>
      </c>
      <c r="L3172">
        <v>58</v>
      </c>
      <c r="M3172">
        <v>480</v>
      </c>
      <c r="N3172">
        <v>8.4</v>
      </c>
      <c r="O3172">
        <v>3.2</v>
      </c>
      <c r="P3172">
        <v>13.6</v>
      </c>
      <c r="Q3172">
        <f t="shared" si="96"/>
        <v>2105005</v>
      </c>
      <c r="R3172">
        <f t="shared" si="97"/>
        <v>12.779067033094933</v>
      </c>
      <c r="U3172">
        <v>267</v>
      </c>
      <c r="V3172">
        <v>98</v>
      </c>
      <c r="W3172">
        <v>436</v>
      </c>
      <c r="X3172">
        <v>285</v>
      </c>
      <c r="Y3172">
        <v>48.4</v>
      </c>
      <c r="Z3172">
        <v>38.1</v>
      </c>
      <c r="AA3172">
        <v>58.6</v>
      </c>
    </row>
    <row r="3173" spans="1:27" x14ac:dyDescent="0.25">
      <c r="A3173" t="s">
        <v>256</v>
      </c>
      <c r="B3173" t="s">
        <v>208</v>
      </c>
      <c r="C3173" s="76">
        <v>43963</v>
      </c>
      <c r="D3173">
        <v>1942</v>
      </c>
      <c r="E3173">
        <v>974</v>
      </c>
      <c r="F3173">
        <v>2910</v>
      </c>
      <c r="G3173">
        <v>1275</v>
      </c>
      <c r="H3173">
        <v>60.4</v>
      </c>
      <c r="I3173">
        <v>49.2</v>
      </c>
      <c r="J3173">
        <v>71.599999999999994</v>
      </c>
      <c r="K3173">
        <v>269</v>
      </c>
      <c r="L3173">
        <v>73</v>
      </c>
      <c r="M3173">
        <v>464</v>
      </c>
      <c r="N3173">
        <v>8.4</v>
      </c>
      <c r="O3173">
        <v>3.5</v>
      </c>
      <c r="P3173">
        <v>13.2</v>
      </c>
      <c r="Q3173">
        <f t="shared" si="96"/>
        <v>2105005</v>
      </c>
      <c r="R3173">
        <f t="shared" si="97"/>
        <v>12.779067033094933</v>
      </c>
      <c r="U3173">
        <v>258</v>
      </c>
      <c r="V3173">
        <v>107</v>
      </c>
      <c r="W3173">
        <v>410</v>
      </c>
      <c r="X3173">
        <v>266</v>
      </c>
      <c r="Y3173">
        <v>49.3</v>
      </c>
      <c r="Z3173">
        <v>38.200000000000003</v>
      </c>
      <c r="AA3173">
        <v>60.3</v>
      </c>
    </row>
    <row r="3174" spans="1:27" x14ac:dyDescent="0.25">
      <c r="A3174" t="s">
        <v>256</v>
      </c>
      <c r="B3174" t="s">
        <v>208</v>
      </c>
      <c r="C3174" s="76">
        <v>43964</v>
      </c>
      <c r="D3174">
        <v>1969</v>
      </c>
      <c r="E3174">
        <v>989</v>
      </c>
      <c r="F3174">
        <v>2950</v>
      </c>
      <c r="G3174">
        <v>1242</v>
      </c>
      <c r="H3174">
        <v>61.3</v>
      </c>
      <c r="I3174">
        <v>49.4</v>
      </c>
      <c r="J3174">
        <v>73.2</v>
      </c>
      <c r="K3174">
        <v>311</v>
      </c>
      <c r="L3174">
        <v>94</v>
      </c>
      <c r="M3174">
        <v>527</v>
      </c>
      <c r="N3174">
        <v>9.6999999999999993</v>
      </c>
      <c r="O3174">
        <v>4.8</v>
      </c>
      <c r="P3174">
        <v>14.6</v>
      </c>
      <c r="Q3174">
        <f t="shared" si="96"/>
        <v>2105005</v>
      </c>
      <c r="R3174">
        <f t="shared" si="97"/>
        <v>14.774311699972209</v>
      </c>
      <c r="U3174">
        <v>278</v>
      </c>
      <c r="V3174">
        <v>120</v>
      </c>
      <c r="W3174">
        <v>436</v>
      </c>
      <c r="X3174">
        <v>260</v>
      </c>
      <c r="Y3174">
        <v>51.7</v>
      </c>
      <c r="Z3174">
        <v>39.700000000000003</v>
      </c>
      <c r="AA3174">
        <v>63.6</v>
      </c>
    </row>
    <row r="3175" spans="1:27" x14ac:dyDescent="0.25">
      <c r="A3175" t="s">
        <v>256</v>
      </c>
      <c r="B3175" t="s">
        <v>208</v>
      </c>
      <c r="C3175" s="76">
        <v>43965</v>
      </c>
      <c r="D3175">
        <v>1998</v>
      </c>
      <c r="E3175">
        <v>1030</v>
      </c>
      <c r="F3175">
        <v>2965</v>
      </c>
      <c r="G3175">
        <v>1218</v>
      </c>
      <c r="H3175">
        <v>62.1</v>
      </c>
      <c r="I3175">
        <v>50.7</v>
      </c>
      <c r="J3175">
        <v>73.599999999999994</v>
      </c>
      <c r="K3175">
        <v>321</v>
      </c>
      <c r="L3175">
        <v>92</v>
      </c>
      <c r="M3175">
        <v>550</v>
      </c>
      <c r="N3175">
        <v>10</v>
      </c>
      <c r="O3175">
        <v>4.8</v>
      </c>
      <c r="P3175">
        <v>15.1</v>
      </c>
      <c r="Q3175">
        <f t="shared" ref="Q3175:Q3238" si="98">VLOOKUP(B3175,$AE$4:$AF$55,2,FALSE)</f>
        <v>2105005</v>
      </c>
      <c r="R3175">
        <f t="shared" si="97"/>
        <v>15.249369953990609</v>
      </c>
      <c r="U3175">
        <v>282</v>
      </c>
      <c r="V3175">
        <v>119</v>
      </c>
      <c r="W3175">
        <v>446</v>
      </c>
      <c r="X3175">
        <v>256</v>
      </c>
      <c r="Y3175">
        <v>52.4</v>
      </c>
      <c r="Z3175">
        <v>37.6</v>
      </c>
      <c r="AA3175">
        <v>67.3</v>
      </c>
    </row>
    <row r="3176" spans="1:27" x14ac:dyDescent="0.25">
      <c r="A3176" t="s">
        <v>256</v>
      </c>
      <c r="B3176" t="s">
        <v>208</v>
      </c>
      <c r="C3176" s="76">
        <v>43966</v>
      </c>
      <c r="D3176">
        <v>1986</v>
      </c>
      <c r="E3176">
        <v>1022</v>
      </c>
      <c r="F3176">
        <v>2951</v>
      </c>
      <c r="G3176">
        <v>1246</v>
      </c>
      <c r="H3176">
        <v>61.5</v>
      </c>
      <c r="I3176">
        <v>49.4</v>
      </c>
      <c r="J3176">
        <v>73.5</v>
      </c>
      <c r="K3176">
        <v>361</v>
      </c>
      <c r="L3176">
        <v>70</v>
      </c>
      <c r="M3176">
        <v>653</v>
      </c>
      <c r="N3176">
        <v>11.2</v>
      </c>
      <c r="O3176">
        <v>4.2</v>
      </c>
      <c r="P3176">
        <v>18.2</v>
      </c>
      <c r="Q3176">
        <f t="shared" si="98"/>
        <v>2105005</v>
      </c>
      <c r="R3176">
        <f t="shared" si="97"/>
        <v>17.149602970064205</v>
      </c>
      <c r="U3176">
        <v>279</v>
      </c>
      <c r="V3176">
        <v>116</v>
      </c>
      <c r="W3176">
        <v>442</v>
      </c>
      <c r="X3176">
        <v>261</v>
      </c>
      <c r="Y3176">
        <v>51.6</v>
      </c>
      <c r="Z3176">
        <v>37.299999999999997</v>
      </c>
      <c r="AA3176">
        <v>66</v>
      </c>
    </row>
    <row r="3177" spans="1:27" x14ac:dyDescent="0.25">
      <c r="A3177" t="s">
        <v>256</v>
      </c>
      <c r="B3177" t="s">
        <v>208</v>
      </c>
      <c r="C3177" s="76">
        <v>43967</v>
      </c>
      <c r="D3177">
        <v>1818</v>
      </c>
      <c r="E3177">
        <v>900</v>
      </c>
      <c r="F3177">
        <v>2736</v>
      </c>
      <c r="G3177">
        <v>1052</v>
      </c>
      <c r="H3177">
        <v>63.3</v>
      </c>
      <c r="I3177">
        <v>53.9</v>
      </c>
      <c r="J3177">
        <v>72.8</v>
      </c>
      <c r="K3177">
        <v>294</v>
      </c>
      <c r="L3177">
        <v>62</v>
      </c>
      <c r="M3177">
        <v>525</v>
      </c>
      <c r="N3177">
        <v>10.199999999999999</v>
      </c>
      <c r="O3177">
        <v>4</v>
      </c>
      <c r="P3177">
        <v>16.399999999999999</v>
      </c>
      <c r="Q3177">
        <f t="shared" si="98"/>
        <v>2105005</v>
      </c>
      <c r="R3177">
        <f t="shared" si="97"/>
        <v>13.966712668140932</v>
      </c>
      <c r="U3177">
        <v>247</v>
      </c>
      <c r="V3177">
        <v>99</v>
      </c>
      <c r="W3177">
        <v>394</v>
      </c>
      <c r="X3177">
        <v>208</v>
      </c>
      <c r="Y3177">
        <v>54.3</v>
      </c>
      <c r="Z3177">
        <v>43.5</v>
      </c>
      <c r="AA3177">
        <v>65</v>
      </c>
    </row>
    <row r="3178" spans="1:27" x14ac:dyDescent="0.25">
      <c r="A3178" t="s">
        <v>256</v>
      </c>
      <c r="B3178" t="s">
        <v>208</v>
      </c>
      <c r="C3178" s="76">
        <v>43968</v>
      </c>
      <c r="D3178">
        <v>1918</v>
      </c>
      <c r="E3178">
        <v>960</v>
      </c>
      <c r="F3178">
        <v>2875</v>
      </c>
      <c r="G3178">
        <v>1179</v>
      </c>
      <c r="H3178">
        <v>61.9</v>
      </c>
      <c r="I3178">
        <v>51.8</v>
      </c>
      <c r="J3178">
        <v>72.099999999999994</v>
      </c>
      <c r="K3178">
        <v>306</v>
      </c>
      <c r="L3178">
        <v>70</v>
      </c>
      <c r="M3178">
        <v>541</v>
      </c>
      <c r="N3178">
        <v>9.9</v>
      </c>
      <c r="O3178">
        <v>3.8</v>
      </c>
      <c r="P3178">
        <v>16</v>
      </c>
      <c r="Q3178">
        <f t="shared" si="98"/>
        <v>2105005</v>
      </c>
      <c r="R3178">
        <f t="shared" si="97"/>
        <v>14.536782572963011</v>
      </c>
      <c r="U3178">
        <v>240</v>
      </c>
      <c r="V3178">
        <v>99</v>
      </c>
      <c r="W3178">
        <v>380</v>
      </c>
      <c r="X3178">
        <v>242</v>
      </c>
      <c r="Y3178">
        <v>49.8</v>
      </c>
      <c r="Z3178">
        <v>38.5</v>
      </c>
      <c r="AA3178">
        <v>61</v>
      </c>
    </row>
    <row r="3179" spans="1:27" x14ac:dyDescent="0.25">
      <c r="A3179" t="s">
        <v>256</v>
      </c>
      <c r="B3179" t="s">
        <v>208</v>
      </c>
      <c r="C3179" s="76">
        <v>43969</v>
      </c>
      <c r="D3179">
        <v>1791</v>
      </c>
      <c r="E3179">
        <v>865</v>
      </c>
      <c r="F3179">
        <v>2717</v>
      </c>
      <c r="G3179">
        <v>1075</v>
      </c>
      <c r="H3179">
        <v>62.5</v>
      </c>
      <c r="I3179">
        <v>52</v>
      </c>
      <c r="J3179">
        <v>73</v>
      </c>
      <c r="K3179">
        <v>291</v>
      </c>
      <c r="L3179">
        <v>62</v>
      </c>
      <c r="M3179">
        <v>520</v>
      </c>
      <c r="N3179">
        <v>10.199999999999999</v>
      </c>
      <c r="O3179">
        <v>4.0999999999999996</v>
      </c>
      <c r="P3179">
        <v>16.2</v>
      </c>
      <c r="Q3179">
        <f t="shared" si="98"/>
        <v>2105005</v>
      </c>
      <c r="R3179">
        <f t="shared" si="97"/>
        <v>13.824195191935409</v>
      </c>
      <c r="U3179">
        <v>255</v>
      </c>
      <c r="V3179">
        <v>106</v>
      </c>
      <c r="W3179">
        <v>405</v>
      </c>
      <c r="X3179">
        <v>194</v>
      </c>
      <c r="Y3179">
        <v>56.8</v>
      </c>
      <c r="Z3179">
        <v>46.5</v>
      </c>
      <c r="AA3179">
        <v>67</v>
      </c>
    </row>
    <row r="3180" spans="1:27" x14ac:dyDescent="0.25">
      <c r="A3180" t="s">
        <v>256</v>
      </c>
      <c r="B3180" t="s">
        <v>208</v>
      </c>
      <c r="C3180" s="76">
        <v>43970</v>
      </c>
      <c r="D3180">
        <v>1866</v>
      </c>
      <c r="E3180">
        <v>923</v>
      </c>
      <c r="F3180">
        <v>2810</v>
      </c>
      <c r="G3180">
        <v>997</v>
      </c>
      <c r="H3180">
        <v>65.2</v>
      </c>
      <c r="I3180">
        <v>55.7</v>
      </c>
      <c r="J3180">
        <v>74.7</v>
      </c>
      <c r="K3180">
        <v>283</v>
      </c>
      <c r="L3180">
        <v>48</v>
      </c>
      <c r="M3180">
        <v>518</v>
      </c>
      <c r="N3180">
        <v>9.9</v>
      </c>
      <c r="O3180">
        <v>3.6</v>
      </c>
      <c r="P3180">
        <v>16.2</v>
      </c>
      <c r="Q3180">
        <f t="shared" si="98"/>
        <v>2105005</v>
      </c>
      <c r="R3180">
        <f t="shared" si="97"/>
        <v>13.444148588720692</v>
      </c>
      <c r="U3180">
        <v>217</v>
      </c>
      <c r="V3180">
        <v>96</v>
      </c>
      <c r="W3180">
        <v>337</v>
      </c>
      <c r="X3180">
        <v>236</v>
      </c>
      <c r="Y3180">
        <v>47.8</v>
      </c>
      <c r="Z3180">
        <v>31.1</v>
      </c>
      <c r="AA3180">
        <v>64.5</v>
      </c>
    </row>
    <row r="3181" spans="1:27" x14ac:dyDescent="0.25">
      <c r="A3181" t="s">
        <v>256</v>
      </c>
      <c r="B3181" t="s">
        <v>208</v>
      </c>
      <c r="C3181" s="76">
        <v>43971</v>
      </c>
      <c r="D3181">
        <v>1889</v>
      </c>
      <c r="E3181">
        <v>939</v>
      </c>
      <c r="F3181">
        <v>2839</v>
      </c>
      <c r="G3181">
        <v>944</v>
      </c>
      <c r="H3181">
        <v>66.7</v>
      </c>
      <c r="I3181">
        <v>57.1</v>
      </c>
      <c r="J3181">
        <v>76.3</v>
      </c>
      <c r="K3181">
        <v>291</v>
      </c>
      <c r="L3181">
        <v>73</v>
      </c>
      <c r="M3181">
        <v>508</v>
      </c>
      <c r="N3181">
        <v>10.3</v>
      </c>
      <c r="O3181">
        <v>4.5999999999999996</v>
      </c>
      <c r="P3181">
        <v>16</v>
      </c>
      <c r="Q3181">
        <f t="shared" si="98"/>
        <v>2105005</v>
      </c>
      <c r="R3181">
        <f t="shared" si="97"/>
        <v>13.824195191935409</v>
      </c>
      <c r="U3181">
        <v>251</v>
      </c>
      <c r="V3181">
        <v>106</v>
      </c>
      <c r="W3181">
        <v>395</v>
      </c>
      <c r="X3181">
        <v>189</v>
      </c>
      <c r="Y3181">
        <v>57</v>
      </c>
      <c r="Z3181">
        <v>44.1</v>
      </c>
      <c r="AA3181">
        <v>69.900000000000006</v>
      </c>
    </row>
    <row r="3182" spans="1:27" x14ac:dyDescent="0.25">
      <c r="A3182" t="s">
        <v>256</v>
      </c>
      <c r="B3182" t="s">
        <v>208</v>
      </c>
      <c r="C3182" s="76">
        <v>43972</v>
      </c>
      <c r="D3182">
        <v>1809</v>
      </c>
      <c r="E3182">
        <v>871</v>
      </c>
      <c r="F3182">
        <v>2747</v>
      </c>
      <c r="G3182">
        <v>1000</v>
      </c>
      <c r="H3182">
        <v>64.400000000000006</v>
      </c>
      <c r="I3182">
        <v>54.5</v>
      </c>
      <c r="J3182">
        <v>74.3</v>
      </c>
      <c r="K3182">
        <v>322</v>
      </c>
      <c r="L3182">
        <v>85</v>
      </c>
      <c r="M3182">
        <v>559</v>
      </c>
      <c r="N3182">
        <v>11.5</v>
      </c>
      <c r="O3182">
        <v>5.4</v>
      </c>
      <c r="P3182">
        <v>17.600000000000001</v>
      </c>
      <c r="Q3182">
        <f t="shared" si="98"/>
        <v>2105005</v>
      </c>
      <c r="R3182">
        <f t="shared" si="97"/>
        <v>15.296875779392447</v>
      </c>
      <c r="U3182">
        <v>239</v>
      </c>
      <c r="V3182">
        <v>102</v>
      </c>
      <c r="W3182">
        <v>375</v>
      </c>
      <c r="X3182">
        <v>187</v>
      </c>
      <c r="Y3182">
        <v>56</v>
      </c>
      <c r="Z3182">
        <v>44.2</v>
      </c>
      <c r="AA3182">
        <v>67.900000000000006</v>
      </c>
    </row>
    <row r="3183" spans="1:27" x14ac:dyDescent="0.25">
      <c r="A3183" t="s">
        <v>256</v>
      </c>
      <c r="B3183" t="s">
        <v>208</v>
      </c>
      <c r="C3183" s="76">
        <v>43973</v>
      </c>
      <c r="D3183">
        <v>1860</v>
      </c>
      <c r="E3183">
        <v>911</v>
      </c>
      <c r="F3183">
        <v>2808</v>
      </c>
      <c r="G3183">
        <v>1063</v>
      </c>
      <c r="H3183">
        <v>63.6</v>
      </c>
      <c r="I3183">
        <v>54.7</v>
      </c>
      <c r="J3183">
        <v>72.599999999999994</v>
      </c>
      <c r="K3183">
        <v>302</v>
      </c>
      <c r="L3183">
        <v>68</v>
      </c>
      <c r="M3183">
        <v>536</v>
      </c>
      <c r="N3183">
        <v>10.3</v>
      </c>
      <c r="O3183">
        <v>4.0999999999999996</v>
      </c>
      <c r="P3183">
        <v>16.600000000000001</v>
      </c>
      <c r="Q3183">
        <f t="shared" si="98"/>
        <v>2105005</v>
      </c>
      <c r="R3183">
        <f t="shared" si="97"/>
        <v>14.34675927135565</v>
      </c>
      <c r="U3183">
        <v>248</v>
      </c>
      <c r="V3183">
        <v>106</v>
      </c>
      <c r="W3183">
        <v>389</v>
      </c>
      <c r="X3183">
        <v>193</v>
      </c>
      <c r="Y3183">
        <v>56.2</v>
      </c>
      <c r="Z3183">
        <v>45.2</v>
      </c>
      <c r="AA3183">
        <v>67.3</v>
      </c>
    </row>
    <row r="3184" spans="1:27" x14ac:dyDescent="0.25">
      <c r="A3184" t="s">
        <v>256</v>
      </c>
      <c r="B3184" t="s">
        <v>208</v>
      </c>
      <c r="C3184" s="76">
        <v>43974</v>
      </c>
      <c r="D3184">
        <v>1832</v>
      </c>
      <c r="E3184">
        <v>903</v>
      </c>
      <c r="F3184">
        <v>2762</v>
      </c>
      <c r="G3184">
        <v>1090</v>
      </c>
      <c r="H3184">
        <v>62.7</v>
      </c>
      <c r="I3184">
        <v>53.4</v>
      </c>
      <c r="J3184">
        <v>72</v>
      </c>
      <c r="K3184">
        <v>313</v>
      </c>
      <c r="L3184">
        <v>60</v>
      </c>
      <c r="M3184">
        <v>567</v>
      </c>
      <c r="N3184">
        <v>10.7</v>
      </c>
      <c r="O3184">
        <v>3.9</v>
      </c>
      <c r="P3184">
        <v>17.600000000000001</v>
      </c>
      <c r="Q3184">
        <f t="shared" si="98"/>
        <v>2105005</v>
      </c>
      <c r="R3184">
        <f t="shared" si="97"/>
        <v>14.86932335077589</v>
      </c>
      <c r="U3184">
        <v>257</v>
      </c>
      <c r="V3184">
        <v>106</v>
      </c>
      <c r="W3184">
        <v>408</v>
      </c>
      <c r="X3184">
        <v>191</v>
      </c>
      <c r="Y3184">
        <v>57.4</v>
      </c>
      <c r="Z3184">
        <v>44.1</v>
      </c>
      <c r="AA3184">
        <v>70.599999999999994</v>
      </c>
    </row>
    <row r="3185" spans="1:27" x14ac:dyDescent="0.25">
      <c r="A3185" t="s">
        <v>256</v>
      </c>
      <c r="B3185" t="s">
        <v>208</v>
      </c>
      <c r="C3185" s="76">
        <v>43975</v>
      </c>
      <c r="D3185">
        <v>1739</v>
      </c>
      <c r="E3185">
        <v>846</v>
      </c>
      <c r="F3185">
        <v>2632</v>
      </c>
      <c r="G3185">
        <v>1071</v>
      </c>
      <c r="H3185">
        <v>61.9</v>
      </c>
      <c r="I3185">
        <v>51.9</v>
      </c>
      <c r="J3185">
        <v>71.8</v>
      </c>
      <c r="K3185">
        <v>325</v>
      </c>
      <c r="L3185">
        <v>65</v>
      </c>
      <c r="M3185">
        <v>584</v>
      </c>
      <c r="N3185">
        <v>11.5</v>
      </c>
      <c r="O3185">
        <v>4.4000000000000004</v>
      </c>
      <c r="P3185">
        <v>18.7</v>
      </c>
      <c r="Q3185">
        <f t="shared" si="98"/>
        <v>2105005</v>
      </c>
      <c r="R3185">
        <f t="shared" si="97"/>
        <v>15.439393255597968</v>
      </c>
      <c r="U3185">
        <v>236</v>
      </c>
      <c r="V3185">
        <v>96</v>
      </c>
      <c r="W3185">
        <v>375</v>
      </c>
      <c r="X3185">
        <v>192</v>
      </c>
      <c r="Y3185">
        <v>55.1</v>
      </c>
      <c r="Z3185">
        <v>41.7</v>
      </c>
      <c r="AA3185">
        <v>68.5</v>
      </c>
    </row>
    <row r="3186" spans="1:27" x14ac:dyDescent="0.25">
      <c r="A3186" t="s">
        <v>256</v>
      </c>
      <c r="B3186" t="s">
        <v>208</v>
      </c>
      <c r="C3186" s="76">
        <v>43976</v>
      </c>
      <c r="D3186">
        <v>1658</v>
      </c>
      <c r="E3186">
        <v>789</v>
      </c>
      <c r="F3186">
        <v>2527</v>
      </c>
      <c r="G3186">
        <v>1010</v>
      </c>
      <c r="H3186">
        <v>62.2</v>
      </c>
      <c r="I3186">
        <v>52</v>
      </c>
      <c r="J3186">
        <v>72.3</v>
      </c>
      <c r="K3186">
        <v>278</v>
      </c>
      <c r="L3186">
        <v>44</v>
      </c>
      <c r="M3186">
        <v>513</v>
      </c>
      <c r="N3186">
        <v>10.4</v>
      </c>
      <c r="O3186">
        <v>3.6</v>
      </c>
      <c r="P3186">
        <v>17.2</v>
      </c>
      <c r="Q3186">
        <f t="shared" si="98"/>
        <v>2105005</v>
      </c>
      <c r="R3186">
        <f t="shared" si="97"/>
        <v>13.206619461711492</v>
      </c>
      <c r="U3186">
        <v>218</v>
      </c>
      <c r="V3186">
        <v>81</v>
      </c>
      <c r="W3186">
        <v>355</v>
      </c>
      <c r="X3186">
        <v>187</v>
      </c>
      <c r="Y3186">
        <v>53.8</v>
      </c>
      <c r="Z3186">
        <v>37</v>
      </c>
      <c r="AA3186">
        <v>70.7</v>
      </c>
    </row>
    <row r="3187" spans="1:27" x14ac:dyDescent="0.25">
      <c r="A3187" t="s">
        <v>256</v>
      </c>
      <c r="B3187" t="s">
        <v>208</v>
      </c>
      <c r="C3187" s="76">
        <v>43977</v>
      </c>
      <c r="D3187">
        <v>1671</v>
      </c>
      <c r="E3187">
        <v>810</v>
      </c>
      <c r="F3187">
        <v>2532</v>
      </c>
      <c r="G3187">
        <v>1001</v>
      </c>
      <c r="H3187">
        <v>62.5</v>
      </c>
      <c r="I3187">
        <v>53.5</v>
      </c>
      <c r="J3187">
        <v>71.5</v>
      </c>
      <c r="K3187">
        <v>283</v>
      </c>
      <c r="L3187">
        <v>62</v>
      </c>
      <c r="M3187">
        <v>505</v>
      </c>
      <c r="N3187">
        <v>10.6</v>
      </c>
      <c r="O3187">
        <v>4.5</v>
      </c>
      <c r="P3187">
        <v>16.7</v>
      </c>
      <c r="Q3187">
        <f t="shared" si="98"/>
        <v>2105005</v>
      </c>
      <c r="R3187">
        <f t="shared" si="97"/>
        <v>13.444148588720692</v>
      </c>
      <c r="U3187">
        <v>227</v>
      </c>
      <c r="V3187">
        <v>99</v>
      </c>
      <c r="W3187">
        <v>356</v>
      </c>
      <c r="X3187">
        <v>208</v>
      </c>
      <c r="Y3187">
        <v>52.3</v>
      </c>
      <c r="Z3187">
        <v>39.700000000000003</v>
      </c>
      <c r="AA3187">
        <v>64.8</v>
      </c>
    </row>
    <row r="3188" spans="1:27" x14ac:dyDescent="0.25">
      <c r="A3188" t="s">
        <v>256</v>
      </c>
      <c r="B3188" t="s">
        <v>208</v>
      </c>
      <c r="C3188" s="76">
        <v>43978</v>
      </c>
      <c r="D3188">
        <v>1775</v>
      </c>
      <c r="E3188">
        <v>860</v>
      </c>
      <c r="F3188">
        <v>2691</v>
      </c>
      <c r="G3188">
        <v>921</v>
      </c>
      <c r="H3188">
        <v>65.8</v>
      </c>
      <c r="I3188">
        <v>56.5</v>
      </c>
      <c r="J3188">
        <v>75.2</v>
      </c>
      <c r="K3188">
        <v>271</v>
      </c>
      <c r="L3188">
        <v>57</v>
      </c>
      <c r="M3188">
        <v>485</v>
      </c>
      <c r="N3188">
        <v>10</v>
      </c>
      <c r="O3188">
        <v>4.0999999999999996</v>
      </c>
      <c r="P3188">
        <v>16</v>
      </c>
      <c r="Q3188">
        <f t="shared" si="98"/>
        <v>2105005</v>
      </c>
      <c r="R3188">
        <f t="shared" si="97"/>
        <v>12.874078683898613</v>
      </c>
      <c r="U3188">
        <v>276</v>
      </c>
      <c r="V3188">
        <v>116</v>
      </c>
      <c r="W3188">
        <v>436</v>
      </c>
      <c r="X3188">
        <v>159</v>
      </c>
      <c r="Y3188">
        <v>63.4</v>
      </c>
      <c r="Z3188">
        <v>48.1</v>
      </c>
      <c r="AA3188">
        <v>78.7</v>
      </c>
    </row>
    <row r="3189" spans="1:27" x14ac:dyDescent="0.25">
      <c r="A3189" t="s">
        <v>256</v>
      </c>
      <c r="B3189" t="s">
        <v>208</v>
      </c>
      <c r="C3189" s="76">
        <v>43979</v>
      </c>
      <c r="D3189">
        <v>1862</v>
      </c>
      <c r="E3189">
        <v>674</v>
      </c>
      <c r="F3189">
        <v>3049</v>
      </c>
      <c r="G3189">
        <v>767</v>
      </c>
      <c r="H3189">
        <v>70.8</v>
      </c>
      <c r="I3189">
        <v>60.1</v>
      </c>
      <c r="J3189">
        <v>81.599999999999994</v>
      </c>
      <c r="K3189">
        <v>238</v>
      </c>
      <c r="L3189">
        <v>51</v>
      </c>
      <c r="M3189">
        <v>426</v>
      </c>
      <c r="N3189">
        <v>9.1</v>
      </c>
      <c r="O3189">
        <v>3.6</v>
      </c>
      <c r="P3189">
        <v>14.5</v>
      </c>
      <c r="Q3189">
        <f t="shared" si="98"/>
        <v>2105005</v>
      </c>
      <c r="R3189">
        <f t="shared" si="97"/>
        <v>11.306386445637896</v>
      </c>
      <c r="U3189">
        <v>300</v>
      </c>
      <c r="V3189">
        <v>83</v>
      </c>
      <c r="W3189">
        <v>516</v>
      </c>
      <c r="X3189">
        <v>204</v>
      </c>
      <c r="Y3189">
        <v>59.5</v>
      </c>
      <c r="Z3189">
        <v>37.9</v>
      </c>
      <c r="AA3189">
        <v>81.2</v>
      </c>
    </row>
    <row r="3190" spans="1:27" x14ac:dyDescent="0.25">
      <c r="A3190" t="s">
        <v>256</v>
      </c>
      <c r="B3190" t="s">
        <v>208</v>
      </c>
      <c r="C3190" s="76">
        <v>43980</v>
      </c>
      <c r="D3190">
        <v>1791</v>
      </c>
      <c r="E3190">
        <v>797</v>
      </c>
      <c r="F3190">
        <v>2785</v>
      </c>
      <c r="G3190">
        <v>1019</v>
      </c>
      <c r="H3190">
        <v>63.7</v>
      </c>
      <c r="I3190">
        <v>52.9</v>
      </c>
      <c r="J3190">
        <v>74.599999999999994</v>
      </c>
      <c r="K3190">
        <v>212</v>
      </c>
      <c r="L3190">
        <v>43</v>
      </c>
      <c r="M3190">
        <v>380</v>
      </c>
      <c r="N3190">
        <v>7.5</v>
      </c>
      <c r="O3190">
        <v>2.9</v>
      </c>
      <c r="P3190">
        <v>12.1</v>
      </c>
      <c r="Q3190">
        <f t="shared" si="98"/>
        <v>2105005</v>
      </c>
      <c r="R3190">
        <f t="shared" si="97"/>
        <v>10.07123498519006</v>
      </c>
      <c r="U3190">
        <v>283</v>
      </c>
      <c r="V3190">
        <v>106</v>
      </c>
      <c r="W3190">
        <v>461</v>
      </c>
      <c r="X3190">
        <v>185</v>
      </c>
      <c r="Y3190">
        <v>60.5</v>
      </c>
      <c r="Z3190">
        <v>45.7</v>
      </c>
      <c r="AA3190">
        <v>75.3</v>
      </c>
    </row>
    <row r="3191" spans="1:27" x14ac:dyDescent="0.25">
      <c r="A3191" t="s">
        <v>256</v>
      </c>
      <c r="B3191" t="s">
        <v>208</v>
      </c>
      <c r="C3191" s="76">
        <v>43981</v>
      </c>
      <c r="D3191">
        <v>1883</v>
      </c>
      <c r="E3191">
        <v>877</v>
      </c>
      <c r="F3191">
        <v>2889</v>
      </c>
      <c r="G3191">
        <v>1149</v>
      </c>
      <c r="H3191">
        <v>62.1</v>
      </c>
      <c r="I3191">
        <v>51.2</v>
      </c>
      <c r="J3191">
        <v>73</v>
      </c>
      <c r="K3191">
        <v>247</v>
      </c>
      <c r="L3191">
        <v>77</v>
      </c>
      <c r="M3191">
        <v>417</v>
      </c>
      <c r="N3191">
        <v>8.1999999999999993</v>
      </c>
      <c r="O3191">
        <v>3.7</v>
      </c>
      <c r="P3191">
        <v>12.6</v>
      </c>
      <c r="Q3191">
        <f t="shared" si="98"/>
        <v>2105005</v>
      </c>
      <c r="R3191">
        <f t="shared" si="97"/>
        <v>11.733938874254456</v>
      </c>
      <c r="U3191">
        <v>286</v>
      </c>
      <c r="V3191">
        <v>113</v>
      </c>
      <c r="W3191">
        <v>458</v>
      </c>
      <c r="X3191">
        <v>213</v>
      </c>
      <c r="Y3191">
        <v>57.3</v>
      </c>
      <c r="Z3191">
        <v>41.7</v>
      </c>
      <c r="AA3191">
        <v>72.900000000000006</v>
      </c>
    </row>
    <row r="3192" spans="1:27" x14ac:dyDescent="0.25">
      <c r="A3192" t="s">
        <v>256</v>
      </c>
      <c r="B3192" t="s">
        <v>208</v>
      </c>
      <c r="C3192" s="76">
        <v>43982</v>
      </c>
      <c r="D3192">
        <v>1630</v>
      </c>
      <c r="E3192">
        <v>706</v>
      </c>
      <c r="F3192">
        <v>2553</v>
      </c>
      <c r="G3192">
        <v>993</v>
      </c>
      <c r="H3192">
        <v>62.1</v>
      </c>
      <c r="I3192">
        <v>51.4</v>
      </c>
      <c r="J3192">
        <v>72.900000000000006</v>
      </c>
      <c r="K3192">
        <v>204</v>
      </c>
      <c r="L3192">
        <v>52</v>
      </c>
      <c r="M3192">
        <v>356</v>
      </c>
      <c r="N3192">
        <v>7.8</v>
      </c>
      <c r="O3192">
        <v>3.1</v>
      </c>
      <c r="P3192">
        <v>12.5</v>
      </c>
      <c r="Q3192">
        <f t="shared" si="98"/>
        <v>2105005</v>
      </c>
      <c r="R3192">
        <f t="shared" si="97"/>
        <v>9.6911883819753388</v>
      </c>
      <c r="U3192">
        <v>243</v>
      </c>
      <c r="V3192">
        <v>75</v>
      </c>
      <c r="W3192">
        <v>411</v>
      </c>
      <c r="X3192">
        <v>211</v>
      </c>
      <c r="Y3192">
        <v>53.6</v>
      </c>
      <c r="Z3192">
        <v>43.8</v>
      </c>
      <c r="AA3192">
        <v>63.3</v>
      </c>
    </row>
    <row r="3193" spans="1:27" x14ac:dyDescent="0.25">
      <c r="A3193" t="s">
        <v>256</v>
      </c>
      <c r="B3193" t="s">
        <v>208</v>
      </c>
      <c r="C3193" s="76">
        <v>43983</v>
      </c>
      <c r="D3193">
        <v>1770</v>
      </c>
      <c r="E3193">
        <v>665</v>
      </c>
      <c r="F3193">
        <v>2874</v>
      </c>
      <c r="G3193">
        <v>904</v>
      </c>
      <c r="H3193">
        <v>66.2</v>
      </c>
      <c r="I3193">
        <v>55.4</v>
      </c>
      <c r="J3193">
        <v>77</v>
      </c>
      <c r="K3193">
        <v>206</v>
      </c>
      <c r="L3193">
        <v>57</v>
      </c>
      <c r="M3193">
        <v>356</v>
      </c>
      <c r="N3193">
        <v>7.7</v>
      </c>
      <c r="O3193">
        <v>3.7</v>
      </c>
      <c r="P3193">
        <v>11.8</v>
      </c>
      <c r="Q3193">
        <f t="shared" si="98"/>
        <v>2105005</v>
      </c>
      <c r="R3193">
        <f t="shared" si="97"/>
        <v>9.7862000327790195</v>
      </c>
      <c r="U3193">
        <v>290</v>
      </c>
      <c r="V3193">
        <v>56</v>
      </c>
      <c r="W3193">
        <v>524</v>
      </c>
      <c r="X3193">
        <v>215</v>
      </c>
      <c r="Y3193">
        <v>57.5</v>
      </c>
      <c r="Z3193">
        <v>44.6</v>
      </c>
      <c r="AA3193">
        <v>70.400000000000006</v>
      </c>
    </row>
    <row r="3194" spans="1:27" x14ac:dyDescent="0.25">
      <c r="A3194" t="s">
        <v>256</v>
      </c>
      <c r="B3194" t="s">
        <v>208</v>
      </c>
      <c r="C3194" s="76">
        <v>43984</v>
      </c>
      <c r="D3194">
        <v>1881</v>
      </c>
      <c r="E3194">
        <v>733</v>
      </c>
      <c r="F3194">
        <v>3030</v>
      </c>
      <c r="G3194">
        <v>768</v>
      </c>
      <c r="H3194">
        <v>71</v>
      </c>
      <c r="I3194">
        <v>61</v>
      </c>
      <c r="J3194">
        <v>81</v>
      </c>
      <c r="K3194">
        <v>233</v>
      </c>
      <c r="L3194">
        <v>66</v>
      </c>
      <c r="M3194">
        <v>401</v>
      </c>
      <c r="N3194">
        <v>8.8000000000000007</v>
      </c>
      <c r="O3194">
        <v>4</v>
      </c>
      <c r="P3194">
        <v>13.6</v>
      </c>
      <c r="Q3194">
        <f t="shared" si="98"/>
        <v>2105005</v>
      </c>
      <c r="R3194">
        <f t="shared" si="97"/>
        <v>11.068857318628696</v>
      </c>
      <c r="U3194">
        <v>283</v>
      </c>
      <c r="V3194">
        <v>62</v>
      </c>
      <c r="W3194">
        <v>503</v>
      </c>
      <c r="X3194">
        <v>209</v>
      </c>
      <c r="Y3194">
        <v>57.5</v>
      </c>
      <c r="Z3194">
        <v>47.7</v>
      </c>
      <c r="AA3194">
        <v>67.2</v>
      </c>
    </row>
    <row r="3195" spans="1:27" x14ac:dyDescent="0.25">
      <c r="A3195" t="s">
        <v>256</v>
      </c>
      <c r="B3195" t="s">
        <v>208</v>
      </c>
      <c r="C3195" s="76">
        <v>43985</v>
      </c>
      <c r="D3195">
        <v>1834</v>
      </c>
      <c r="E3195">
        <v>489</v>
      </c>
      <c r="F3195">
        <v>3179</v>
      </c>
      <c r="G3195">
        <v>765</v>
      </c>
      <c r="H3195">
        <v>70.599999999999994</v>
      </c>
      <c r="I3195">
        <v>57.8</v>
      </c>
      <c r="J3195">
        <v>83.3</v>
      </c>
      <c r="K3195">
        <v>219</v>
      </c>
      <c r="L3195">
        <v>47</v>
      </c>
      <c r="M3195">
        <v>392</v>
      </c>
      <c r="N3195">
        <v>8.4</v>
      </c>
      <c r="O3195">
        <v>3.5</v>
      </c>
      <c r="P3195">
        <v>13.4</v>
      </c>
      <c r="Q3195">
        <f t="shared" si="98"/>
        <v>2105005</v>
      </c>
      <c r="R3195">
        <f t="shared" si="97"/>
        <v>10.403775763002939</v>
      </c>
      <c r="U3195">
        <v>296</v>
      </c>
      <c r="V3195">
        <v>6</v>
      </c>
      <c r="W3195">
        <v>586</v>
      </c>
      <c r="X3195">
        <v>259</v>
      </c>
      <c r="Y3195">
        <v>53.3</v>
      </c>
      <c r="Z3195">
        <v>34.299999999999997</v>
      </c>
      <c r="AA3195">
        <v>72.400000000000006</v>
      </c>
    </row>
    <row r="3196" spans="1:27" x14ac:dyDescent="0.25">
      <c r="A3196" t="s">
        <v>256</v>
      </c>
      <c r="B3196" t="s">
        <v>208</v>
      </c>
      <c r="C3196" s="76">
        <v>43986</v>
      </c>
      <c r="D3196">
        <v>1880</v>
      </c>
      <c r="E3196">
        <v>548</v>
      </c>
      <c r="F3196">
        <v>3211</v>
      </c>
      <c r="G3196">
        <v>852</v>
      </c>
      <c r="H3196">
        <v>68.8</v>
      </c>
      <c r="I3196">
        <v>55.5</v>
      </c>
      <c r="J3196">
        <v>82.2</v>
      </c>
      <c r="K3196">
        <v>217</v>
      </c>
      <c r="L3196">
        <v>38</v>
      </c>
      <c r="M3196">
        <v>397</v>
      </c>
      <c r="N3196">
        <v>8</v>
      </c>
      <c r="O3196">
        <v>3.1</v>
      </c>
      <c r="P3196">
        <v>12.8</v>
      </c>
      <c r="Q3196">
        <f t="shared" si="98"/>
        <v>2105005</v>
      </c>
      <c r="R3196">
        <f t="shared" si="97"/>
        <v>10.308764112199258</v>
      </c>
      <c r="U3196">
        <v>312</v>
      </c>
      <c r="V3196">
        <v>45</v>
      </c>
      <c r="W3196">
        <v>579</v>
      </c>
      <c r="X3196">
        <v>265</v>
      </c>
      <c r="Y3196">
        <v>54.1</v>
      </c>
      <c r="Z3196">
        <v>38.299999999999997</v>
      </c>
      <c r="AA3196">
        <v>69.900000000000006</v>
      </c>
    </row>
    <row r="3197" spans="1:27" x14ac:dyDescent="0.25">
      <c r="A3197" t="s">
        <v>256</v>
      </c>
      <c r="B3197" t="s">
        <v>208</v>
      </c>
      <c r="C3197" s="76">
        <v>43987</v>
      </c>
      <c r="D3197">
        <v>1993</v>
      </c>
      <c r="E3197">
        <v>597</v>
      </c>
      <c r="F3197">
        <v>3388</v>
      </c>
      <c r="G3197">
        <v>911</v>
      </c>
      <c r="H3197">
        <v>68.599999999999994</v>
      </c>
      <c r="I3197">
        <v>55</v>
      </c>
      <c r="J3197">
        <v>82.3</v>
      </c>
      <c r="K3197">
        <v>253</v>
      </c>
      <c r="L3197">
        <v>60</v>
      </c>
      <c r="M3197">
        <v>446</v>
      </c>
      <c r="N3197">
        <v>8.6999999999999993</v>
      </c>
      <c r="O3197">
        <v>4</v>
      </c>
      <c r="P3197">
        <v>13.4</v>
      </c>
      <c r="Q3197">
        <f t="shared" si="98"/>
        <v>2105005</v>
      </c>
      <c r="R3197">
        <f t="shared" si="97"/>
        <v>12.018973826665494</v>
      </c>
      <c r="U3197">
        <v>291</v>
      </c>
      <c r="V3197">
        <v>47</v>
      </c>
      <c r="W3197">
        <v>535</v>
      </c>
      <c r="X3197">
        <v>283</v>
      </c>
      <c r="Y3197">
        <v>50.7</v>
      </c>
      <c r="Z3197">
        <v>34</v>
      </c>
      <c r="AA3197">
        <v>67.3</v>
      </c>
    </row>
    <row r="3198" spans="1:27" x14ac:dyDescent="0.25">
      <c r="A3198" t="s">
        <v>256</v>
      </c>
      <c r="B3198" t="s">
        <v>208</v>
      </c>
      <c r="C3198" s="76">
        <v>43988</v>
      </c>
      <c r="D3198">
        <v>1906</v>
      </c>
      <c r="E3198">
        <v>566</v>
      </c>
      <c r="F3198">
        <v>3246</v>
      </c>
      <c r="G3198">
        <v>1173</v>
      </c>
      <c r="H3198">
        <v>61.9</v>
      </c>
      <c r="I3198">
        <v>47.5</v>
      </c>
      <c r="J3198">
        <v>76.3</v>
      </c>
      <c r="K3198">
        <v>244</v>
      </c>
      <c r="L3198">
        <v>55</v>
      </c>
      <c r="M3198">
        <v>434</v>
      </c>
      <c r="N3198">
        <v>7.9</v>
      </c>
      <c r="O3198">
        <v>2.7</v>
      </c>
      <c r="P3198">
        <v>13.2</v>
      </c>
      <c r="Q3198">
        <f t="shared" si="98"/>
        <v>2105005</v>
      </c>
      <c r="R3198">
        <f t="shared" si="97"/>
        <v>11.591421398048936</v>
      </c>
      <c r="U3198">
        <v>314</v>
      </c>
      <c r="V3198">
        <v>44</v>
      </c>
      <c r="W3198">
        <v>584</v>
      </c>
      <c r="X3198">
        <v>241</v>
      </c>
      <c r="Y3198">
        <v>56.5</v>
      </c>
      <c r="Z3198">
        <v>38.1</v>
      </c>
      <c r="AA3198">
        <v>74.900000000000006</v>
      </c>
    </row>
    <row r="3199" spans="1:27" x14ac:dyDescent="0.25">
      <c r="A3199" t="s">
        <v>256</v>
      </c>
      <c r="B3199" t="s">
        <v>208</v>
      </c>
      <c r="C3199" s="76">
        <v>43989</v>
      </c>
      <c r="D3199">
        <v>1895</v>
      </c>
      <c r="E3199">
        <v>493</v>
      </c>
      <c r="F3199">
        <v>3298</v>
      </c>
      <c r="G3199">
        <v>1194</v>
      </c>
      <c r="H3199">
        <v>61.4</v>
      </c>
      <c r="I3199">
        <v>46</v>
      </c>
      <c r="J3199">
        <v>76.7</v>
      </c>
      <c r="K3199">
        <v>234</v>
      </c>
      <c r="L3199">
        <v>48</v>
      </c>
      <c r="M3199">
        <v>421</v>
      </c>
      <c r="N3199">
        <v>7.6</v>
      </c>
      <c r="O3199">
        <v>2.7</v>
      </c>
      <c r="P3199">
        <v>12.5</v>
      </c>
      <c r="Q3199">
        <f t="shared" si="98"/>
        <v>2105005</v>
      </c>
      <c r="R3199">
        <f t="shared" si="97"/>
        <v>11.116363144030537</v>
      </c>
      <c r="U3199">
        <v>322</v>
      </c>
      <c r="V3199">
        <v>38</v>
      </c>
      <c r="W3199">
        <v>606</v>
      </c>
      <c r="X3199">
        <v>251</v>
      </c>
      <c r="Y3199">
        <v>56.2</v>
      </c>
      <c r="Z3199">
        <v>38.9</v>
      </c>
      <c r="AA3199">
        <v>73.400000000000006</v>
      </c>
    </row>
    <row r="3200" spans="1:27" x14ac:dyDescent="0.25">
      <c r="A3200" t="s">
        <v>256</v>
      </c>
      <c r="B3200" t="s">
        <v>208</v>
      </c>
      <c r="C3200" s="76">
        <v>43990</v>
      </c>
      <c r="D3200">
        <v>1892</v>
      </c>
      <c r="E3200">
        <v>883</v>
      </c>
      <c r="F3200">
        <v>2902</v>
      </c>
      <c r="G3200">
        <v>1134</v>
      </c>
      <c r="H3200">
        <v>62.5</v>
      </c>
      <c r="I3200">
        <v>52.1</v>
      </c>
      <c r="J3200">
        <v>73</v>
      </c>
      <c r="K3200">
        <v>220</v>
      </c>
      <c r="L3200">
        <v>69</v>
      </c>
      <c r="M3200">
        <v>372</v>
      </c>
      <c r="N3200">
        <v>7.3</v>
      </c>
      <c r="O3200">
        <v>3.3</v>
      </c>
      <c r="P3200">
        <v>11.3</v>
      </c>
      <c r="Q3200">
        <f t="shared" si="98"/>
        <v>2105005</v>
      </c>
      <c r="R3200">
        <f t="shared" si="97"/>
        <v>10.451281588404779</v>
      </c>
      <c r="U3200">
        <v>293</v>
      </c>
      <c r="V3200">
        <v>110</v>
      </c>
      <c r="W3200">
        <v>477</v>
      </c>
      <c r="X3200">
        <v>220</v>
      </c>
      <c r="Y3200">
        <v>57.2</v>
      </c>
      <c r="Z3200">
        <v>45</v>
      </c>
      <c r="AA3200">
        <v>69.400000000000006</v>
      </c>
    </row>
    <row r="3201" spans="1:27" x14ac:dyDescent="0.25">
      <c r="A3201" t="s">
        <v>256</v>
      </c>
      <c r="B3201" t="s">
        <v>208</v>
      </c>
      <c r="C3201" s="76">
        <v>43991</v>
      </c>
      <c r="D3201">
        <v>1948</v>
      </c>
      <c r="E3201">
        <v>779</v>
      </c>
      <c r="F3201">
        <v>3117</v>
      </c>
      <c r="G3201">
        <v>1016</v>
      </c>
      <c r="H3201">
        <v>65.7</v>
      </c>
      <c r="I3201">
        <v>51.5</v>
      </c>
      <c r="J3201">
        <v>80</v>
      </c>
      <c r="K3201">
        <v>234</v>
      </c>
      <c r="L3201">
        <v>61</v>
      </c>
      <c r="M3201">
        <v>407</v>
      </c>
      <c r="N3201">
        <v>7.9</v>
      </c>
      <c r="O3201">
        <v>3.4</v>
      </c>
      <c r="P3201">
        <v>12.4</v>
      </c>
      <c r="Q3201">
        <f t="shared" si="98"/>
        <v>2105005</v>
      </c>
      <c r="R3201">
        <f t="shared" si="97"/>
        <v>11.116363144030537</v>
      </c>
      <c r="U3201">
        <v>281</v>
      </c>
      <c r="V3201">
        <v>69</v>
      </c>
      <c r="W3201">
        <v>492</v>
      </c>
      <c r="X3201">
        <v>211</v>
      </c>
      <c r="Y3201">
        <v>57.1</v>
      </c>
      <c r="Z3201">
        <v>43.7</v>
      </c>
      <c r="AA3201">
        <v>70.400000000000006</v>
      </c>
    </row>
    <row r="3202" spans="1:27" x14ac:dyDescent="0.25">
      <c r="A3202" t="s">
        <v>256</v>
      </c>
      <c r="B3202" t="s">
        <v>208</v>
      </c>
      <c r="C3202" s="76">
        <v>43992</v>
      </c>
      <c r="D3202">
        <v>1801</v>
      </c>
      <c r="E3202">
        <v>657</v>
      </c>
      <c r="F3202">
        <v>2945</v>
      </c>
      <c r="G3202">
        <v>800</v>
      </c>
      <c r="H3202">
        <v>69.2</v>
      </c>
      <c r="I3202">
        <v>56.8</v>
      </c>
      <c r="J3202">
        <v>81.7</v>
      </c>
      <c r="K3202">
        <v>228</v>
      </c>
      <c r="L3202">
        <v>55</v>
      </c>
      <c r="M3202">
        <v>401</v>
      </c>
      <c r="N3202">
        <v>8.8000000000000007</v>
      </c>
      <c r="O3202">
        <v>3.8</v>
      </c>
      <c r="P3202">
        <v>13.8</v>
      </c>
      <c r="Q3202">
        <f t="shared" si="98"/>
        <v>2105005</v>
      </c>
      <c r="R3202">
        <f t="shared" si="97"/>
        <v>10.831328191619496</v>
      </c>
      <c r="U3202">
        <v>241</v>
      </c>
      <c r="V3202">
        <v>39</v>
      </c>
      <c r="W3202">
        <v>443</v>
      </c>
      <c r="X3202">
        <v>198</v>
      </c>
      <c r="Y3202">
        <v>54.8</v>
      </c>
      <c r="Z3202">
        <v>44.5</v>
      </c>
      <c r="AA3202">
        <v>65.2</v>
      </c>
    </row>
    <row r="3203" spans="1:27" x14ac:dyDescent="0.25">
      <c r="A3203" t="s">
        <v>256</v>
      </c>
      <c r="B3203" t="s">
        <v>208</v>
      </c>
      <c r="C3203" s="76">
        <v>43993</v>
      </c>
      <c r="D3203">
        <v>2078</v>
      </c>
      <c r="E3203">
        <v>947</v>
      </c>
      <c r="F3203">
        <v>3208</v>
      </c>
      <c r="G3203">
        <v>927</v>
      </c>
      <c r="H3203">
        <v>69.2</v>
      </c>
      <c r="I3203">
        <v>58.6</v>
      </c>
      <c r="J3203">
        <v>79.8</v>
      </c>
      <c r="K3203">
        <v>259</v>
      </c>
      <c r="L3203">
        <v>67</v>
      </c>
      <c r="M3203">
        <v>450</v>
      </c>
      <c r="N3203">
        <v>8.6</v>
      </c>
      <c r="O3203">
        <v>4.2</v>
      </c>
      <c r="P3203">
        <v>13</v>
      </c>
      <c r="Q3203">
        <f t="shared" si="98"/>
        <v>2105005</v>
      </c>
      <c r="R3203">
        <f t="shared" si="97"/>
        <v>12.304008779076534</v>
      </c>
      <c r="U3203">
        <v>319</v>
      </c>
      <c r="V3203">
        <v>126</v>
      </c>
      <c r="W3203">
        <v>512</v>
      </c>
      <c r="X3203">
        <v>186</v>
      </c>
      <c r="Y3203">
        <v>63.1</v>
      </c>
      <c r="Z3203">
        <v>46.3</v>
      </c>
      <c r="AA3203">
        <v>80</v>
      </c>
    </row>
    <row r="3204" spans="1:27" x14ac:dyDescent="0.25">
      <c r="A3204" t="s">
        <v>256</v>
      </c>
      <c r="B3204" t="s">
        <v>208</v>
      </c>
      <c r="C3204" s="76">
        <v>43994</v>
      </c>
      <c r="D3204">
        <v>1917</v>
      </c>
      <c r="E3204">
        <v>943</v>
      </c>
      <c r="F3204">
        <v>2891</v>
      </c>
      <c r="G3204">
        <v>1021</v>
      </c>
      <c r="H3204">
        <v>65.2</v>
      </c>
      <c r="I3204">
        <v>55.1</v>
      </c>
      <c r="J3204">
        <v>75.400000000000006</v>
      </c>
      <c r="K3204">
        <v>234</v>
      </c>
      <c r="L3204">
        <v>64</v>
      </c>
      <c r="M3204">
        <v>404</v>
      </c>
      <c r="N3204">
        <v>8</v>
      </c>
      <c r="O3204">
        <v>3.9</v>
      </c>
      <c r="P3204">
        <v>12</v>
      </c>
      <c r="Q3204">
        <f t="shared" si="98"/>
        <v>2105005</v>
      </c>
      <c r="R3204">
        <f t="shared" si="97"/>
        <v>11.116363144030537</v>
      </c>
      <c r="U3204">
        <v>283</v>
      </c>
      <c r="V3204">
        <v>116</v>
      </c>
      <c r="W3204">
        <v>449</v>
      </c>
      <c r="X3204">
        <v>198</v>
      </c>
      <c r="Y3204">
        <v>58.8</v>
      </c>
      <c r="Z3204">
        <v>48</v>
      </c>
      <c r="AA3204">
        <v>69.599999999999994</v>
      </c>
    </row>
    <row r="3205" spans="1:27" x14ac:dyDescent="0.25">
      <c r="A3205" t="s">
        <v>256</v>
      </c>
      <c r="B3205" t="s">
        <v>208</v>
      </c>
      <c r="C3205" s="76">
        <v>43995</v>
      </c>
      <c r="D3205">
        <v>1897</v>
      </c>
      <c r="E3205">
        <v>947</v>
      </c>
      <c r="F3205">
        <v>2846</v>
      </c>
      <c r="G3205">
        <v>1033</v>
      </c>
      <c r="H3205">
        <v>64.7</v>
      </c>
      <c r="I3205">
        <v>57</v>
      </c>
      <c r="J3205">
        <v>72.5</v>
      </c>
      <c r="K3205">
        <v>244</v>
      </c>
      <c r="L3205">
        <v>79</v>
      </c>
      <c r="M3205">
        <v>409</v>
      </c>
      <c r="N3205">
        <v>8.3000000000000007</v>
      </c>
      <c r="O3205">
        <v>4.4000000000000004</v>
      </c>
      <c r="P3205">
        <v>12.3</v>
      </c>
      <c r="Q3205">
        <f t="shared" si="98"/>
        <v>2105005</v>
      </c>
      <c r="R3205">
        <f t="shared" ref="R3205:R3268" si="99">K3205/(Q3205)*100000</f>
        <v>11.591421398048936</v>
      </c>
      <c r="U3205">
        <v>283</v>
      </c>
      <c r="V3205">
        <v>117</v>
      </c>
      <c r="W3205">
        <v>449</v>
      </c>
      <c r="X3205">
        <v>208</v>
      </c>
      <c r="Y3205">
        <v>57.6</v>
      </c>
      <c r="Z3205">
        <v>42.9</v>
      </c>
      <c r="AA3205">
        <v>72.3</v>
      </c>
    </row>
    <row r="3206" spans="1:27" x14ac:dyDescent="0.25">
      <c r="A3206" t="s">
        <v>256</v>
      </c>
      <c r="B3206" t="s">
        <v>208</v>
      </c>
      <c r="C3206" s="76">
        <v>43996</v>
      </c>
      <c r="D3206">
        <v>1798</v>
      </c>
      <c r="E3206">
        <v>879</v>
      </c>
      <c r="F3206">
        <v>2717</v>
      </c>
      <c r="G3206">
        <v>1084</v>
      </c>
      <c r="H3206">
        <v>62.4</v>
      </c>
      <c r="I3206">
        <v>52.8</v>
      </c>
      <c r="J3206">
        <v>72</v>
      </c>
      <c r="K3206">
        <v>235</v>
      </c>
      <c r="L3206">
        <v>76</v>
      </c>
      <c r="M3206">
        <v>394</v>
      </c>
      <c r="N3206">
        <v>8.1999999999999993</v>
      </c>
      <c r="O3206">
        <v>4.3</v>
      </c>
      <c r="P3206">
        <v>12</v>
      </c>
      <c r="Q3206">
        <f t="shared" si="98"/>
        <v>2105005</v>
      </c>
      <c r="R3206">
        <f t="shared" si="99"/>
        <v>11.163868969432377</v>
      </c>
      <c r="U3206">
        <v>240</v>
      </c>
      <c r="V3206">
        <v>93</v>
      </c>
      <c r="W3206">
        <v>386</v>
      </c>
      <c r="X3206">
        <v>234</v>
      </c>
      <c r="Y3206">
        <v>50.6</v>
      </c>
      <c r="Z3206">
        <v>37.9</v>
      </c>
      <c r="AA3206">
        <v>63.2</v>
      </c>
    </row>
    <row r="3207" spans="1:27" x14ac:dyDescent="0.25">
      <c r="A3207" t="s">
        <v>256</v>
      </c>
      <c r="B3207" t="s">
        <v>208</v>
      </c>
      <c r="C3207" s="76">
        <v>43997</v>
      </c>
      <c r="D3207">
        <v>1835</v>
      </c>
      <c r="E3207">
        <v>877</v>
      </c>
      <c r="F3207">
        <v>2793</v>
      </c>
      <c r="G3207">
        <v>1071</v>
      </c>
      <c r="H3207">
        <v>63.2</v>
      </c>
      <c r="I3207">
        <v>52.7</v>
      </c>
      <c r="J3207">
        <v>73.7</v>
      </c>
      <c r="K3207">
        <v>231</v>
      </c>
      <c r="L3207">
        <v>72</v>
      </c>
      <c r="M3207">
        <v>390</v>
      </c>
      <c r="N3207">
        <v>8</v>
      </c>
      <c r="O3207">
        <v>4.5</v>
      </c>
      <c r="P3207">
        <v>11.4</v>
      </c>
      <c r="Q3207">
        <f t="shared" si="98"/>
        <v>2105005</v>
      </c>
      <c r="R3207">
        <f t="shared" si="99"/>
        <v>10.973845667825017</v>
      </c>
      <c r="U3207">
        <v>244</v>
      </c>
      <c r="V3207">
        <v>98</v>
      </c>
      <c r="W3207">
        <v>390</v>
      </c>
      <c r="X3207">
        <v>205</v>
      </c>
      <c r="Y3207">
        <v>54.3</v>
      </c>
      <c r="Z3207">
        <v>43.3</v>
      </c>
      <c r="AA3207">
        <v>65.400000000000006</v>
      </c>
    </row>
    <row r="3208" spans="1:27" x14ac:dyDescent="0.25">
      <c r="A3208" t="s">
        <v>256</v>
      </c>
      <c r="B3208" t="s">
        <v>208</v>
      </c>
      <c r="C3208" s="76">
        <v>43998</v>
      </c>
      <c r="D3208">
        <v>1774</v>
      </c>
      <c r="E3208">
        <v>773</v>
      </c>
      <c r="F3208">
        <v>2776</v>
      </c>
      <c r="G3208">
        <v>949</v>
      </c>
      <c r="H3208">
        <v>65.2</v>
      </c>
      <c r="I3208">
        <v>55.1</v>
      </c>
      <c r="J3208">
        <v>75.3</v>
      </c>
      <c r="K3208">
        <v>165</v>
      </c>
      <c r="L3208">
        <v>32</v>
      </c>
      <c r="M3208">
        <v>297</v>
      </c>
      <c r="N3208">
        <v>6</v>
      </c>
      <c r="O3208">
        <v>2.6</v>
      </c>
      <c r="P3208">
        <v>9.5</v>
      </c>
      <c r="Q3208">
        <f t="shared" si="98"/>
        <v>2105005</v>
      </c>
      <c r="R3208">
        <f t="shared" si="99"/>
        <v>7.8384611913035842</v>
      </c>
      <c r="U3208">
        <v>250</v>
      </c>
      <c r="V3208">
        <v>73</v>
      </c>
      <c r="W3208">
        <v>427</v>
      </c>
      <c r="X3208">
        <v>179</v>
      </c>
      <c r="Y3208">
        <v>58.3</v>
      </c>
      <c r="Z3208">
        <v>47.3</v>
      </c>
      <c r="AA3208">
        <v>69.400000000000006</v>
      </c>
    </row>
    <row r="3209" spans="1:27" x14ac:dyDescent="0.25">
      <c r="A3209" t="s">
        <v>256</v>
      </c>
      <c r="B3209" t="s">
        <v>208</v>
      </c>
      <c r="C3209" s="76">
        <v>43999</v>
      </c>
      <c r="D3209">
        <v>1936</v>
      </c>
      <c r="E3209">
        <v>653</v>
      </c>
      <c r="F3209">
        <v>3219</v>
      </c>
      <c r="G3209">
        <v>816</v>
      </c>
      <c r="H3209">
        <v>70.400000000000006</v>
      </c>
      <c r="I3209">
        <v>58.1</v>
      </c>
      <c r="J3209">
        <v>82.6</v>
      </c>
      <c r="K3209">
        <v>178</v>
      </c>
      <c r="L3209">
        <v>38</v>
      </c>
      <c r="M3209">
        <v>318</v>
      </c>
      <c r="N3209">
        <v>6.5</v>
      </c>
      <c r="O3209">
        <v>3</v>
      </c>
      <c r="P3209">
        <v>10</v>
      </c>
      <c r="Q3209">
        <f t="shared" si="98"/>
        <v>2105005</v>
      </c>
      <c r="R3209">
        <f t="shared" si="99"/>
        <v>8.4560369215275024</v>
      </c>
      <c r="U3209">
        <v>282</v>
      </c>
      <c r="V3209">
        <v>53</v>
      </c>
      <c r="W3209">
        <v>511</v>
      </c>
      <c r="X3209">
        <v>256</v>
      </c>
      <c r="Y3209">
        <v>52.4</v>
      </c>
      <c r="Z3209">
        <v>44</v>
      </c>
      <c r="AA3209">
        <v>60.8</v>
      </c>
    </row>
    <row r="3210" spans="1:27" x14ac:dyDescent="0.25">
      <c r="A3210" t="s">
        <v>256</v>
      </c>
      <c r="B3210" t="s">
        <v>208</v>
      </c>
      <c r="C3210" s="76">
        <v>44000</v>
      </c>
      <c r="D3210">
        <v>2030</v>
      </c>
      <c r="E3210">
        <v>751</v>
      </c>
      <c r="F3210">
        <v>3310</v>
      </c>
      <c r="G3210">
        <v>874</v>
      </c>
      <c r="H3210">
        <v>69.900000000000006</v>
      </c>
      <c r="I3210">
        <v>58.1</v>
      </c>
      <c r="J3210">
        <v>81.7</v>
      </c>
      <c r="K3210">
        <v>176</v>
      </c>
      <c r="L3210">
        <v>50</v>
      </c>
      <c r="M3210">
        <v>301</v>
      </c>
      <c r="N3210">
        <v>6</v>
      </c>
      <c r="O3210">
        <v>3.2</v>
      </c>
      <c r="P3210">
        <v>8.9</v>
      </c>
      <c r="Q3210">
        <f t="shared" si="98"/>
        <v>2105005</v>
      </c>
      <c r="R3210">
        <f t="shared" si="99"/>
        <v>8.3610252707238235</v>
      </c>
      <c r="U3210">
        <v>320</v>
      </c>
      <c r="V3210">
        <v>88</v>
      </c>
      <c r="W3210">
        <v>552</v>
      </c>
      <c r="X3210">
        <v>255</v>
      </c>
      <c r="Y3210">
        <v>55.7</v>
      </c>
      <c r="Z3210">
        <v>46</v>
      </c>
      <c r="AA3210">
        <v>65.400000000000006</v>
      </c>
    </row>
    <row r="3211" spans="1:27" x14ac:dyDescent="0.25">
      <c r="A3211" t="s">
        <v>256</v>
      </c>
      <c r="B3211" t="s">
        <v>208</v>
      </c>
      <c r="C3211" s="76">
        <v>44001</v>
      </c>
      <c r="D3211">
        <v>1927</v>
      </c>
      <c r="E3211">
        <v>870</v>
      </c>
      <c r="F3211">
        <v>2985</v>
      </c>
      <c r="G3211">
        <v>910</v>
      </c>
      <c r="H3211">
        <v>67.900000000000006</v>
      </c>
      <c r="I3211">
        <v>57.5</v>
      </c>
      <c r="J3211">
        <v>78.400000000000006</v>
      </c>
      <c r="K3211">
        <v>167</v>
      </c>
      <c r="L3211">
        <v>38</v>
      </c>
      <c r="M3211">
        <v>297</v>
      </c>
      <c r="N3211">
        <v>5.9</v>
      </c>
      <c r="O3211">
        <v>2.4</v>
      </c>
      <c r="P3211">
        <v>9.4</v>
      </c>
      <c r="Q3211">
        <f t="shared" si="98"/>
        <v>2105005</v>
      </c>
      <c r="R3211">
        <f t="shared" si="99"/>
        <v>7.9334728421072631</v>
      </c>
      <c r="U3211">
        <v>293</v>
      </c>
      <c r="V3211">
        <v>106</v>
      </c>
      <c r="W3211">
        <v>480</v>
      </c>
      <c r="X3211">
        <v>220</v>
      </c>
      <c r="Y3211">
        <v>57</v>
      </c>
      <c r="Z3211">
        <v>46.3</v>
      </c>
      <c r="AA3211">
        <v>67.8</v>
      </c>
    </row>
    <row r="3212" spans="1:27" x14ac:dyDescent="0.25">
      <c r="A3212" t="s">
        <v>256</v>
      </c>
      <c r="B3212" t="s">
        <v>208</v>
      </c>
      <c r="C3212" s="76">
        <v>44002</v>
      </c>
      <c r="D3212">
        <v>1819</v>
      </c>
      <c r="E3212">
        <v>886</v>
      </c>
      <c r="F3212">
        <v>2751</v>
      </c>
      <c r="G3212">
        <v>1035</v>
      </c>
      <c r="H3212">
        <v>63.7</v>
      </c>
      <c r="I3212">
        <v>53.3</v>
      </c>
      <c r="J3212">
        <v>74.2</v>
      </c>
      <c r="K3212">
        <v>210</v>
      </c>
      <c r="L3212">
        <v>64</v>
      </c>
      <c r="M3212">
        <v>357</v>
      </c>
      <c r="N3212">
        <v>7.4</v>
      </c>
      <c r="O3212">
        <v>3.7</v>
      </c>
      <c r="P3212">
        <v>11.1</v>
      </c>
      <c r="Q3212">
        <f t="shared" si="98"/>
        <v>2105005</v>
      </c>
      <c r="R3212">
        <f t="shared" si="99"/>
        <v>9.9762233343863791</v>
      </c>
      <c r="U3212">
        <v>269</v>
      </c>
      <c r="V3212">
        <v>115</v>
      </c>
      <c r="W3212">
        <v>422</v>
      </c>
      <c r="X3212">
        <v>213</v>
      </c>
      <c r="Y3212">
        <v>55.8</v>
      </c>
      <c r="Z3212">
        <v>43.9</v>
      </c>
      <c r="AA3212">
        <v>67.599999999999994</v>
      </c>
    </row>
    <row r="3213" spans="1:27" x14ac:dyDescent="0.25">
      <c r="A3213" t="s">
        <v>256</v>
      </c>
      <c r="B3213" t="s">
        <v>208</v>
      </c>
      <c r="C3213" s="76">
        <v>44003</v>
      </c>
      <c r="D3213">
        <v>1765</v>
      </c>
      <c r="E3213">
        <v>829</v>
      </c>
      <c r="F3213">
        <v>2702</v>
      </c>
      <c r="G3213">
        <v>1096</v>
      </c>
      <c r="H3213">
        <v>61.7</v>
      </c>
      <c r="I3213">
        <v>49.7</v>
      </c>
      <c r="J3213">
        <v>73.599999999999994</v>
      </c>
      <c r="K3213">
        <v>202</v>
      </c>
      <c r="L3213">
        <v>48</v>
      </c>
      <c r="M3213">
        <v>356</v>
      </c>
      <c r="N3213">
        <v>7.1</v>
      </c>
      <c r="O3213">
        <v>3</v>
      </c>
      <c r="P3213">
        <v>11.1</v>
      </c>
      <c r="Q3213">
        <f t="shared" si="98"/>
        <v>2105005</v>
      </c>
      <c r="R3213">
        <f t="shared" si="99"/>
        <v>9.5961767311716599</v>
      </c>
      <c r="U3213">
        <v>246</v>
      </c>
      <c r="V3213">
        <v>98</v>
      </c>
      <c r="W3213">
        <v>394</v>
      </c>
      <c r="X3213">
        <v>224</v>
      </c>
      <c r="Y3213">
        <v>52.4</v>
      </c>
      <c r="Z3213">
        <v>40.299999999999997</v>
      </c>
      <c r="AA3213">
        <v>64.400000000000006</v>
      </c>
    </row>
    <row r="3214" spans="1:27" x14ac:dyDescent="0.25">
      <c r="A3214" t="s">
        <v>256</v>
      </c>
      <c r="B3214" t="s">
        <v>208</v>
      </c>
      <c r="C3214" s="76">
        <v>44004</v>
      </c>
      <c r="D3214">
        <v>1764</v>
      </c>
      <c r="E3214">
        <v>837</v>
      </c>
      <c r="F3214">
        <v>2692</v>
      </c>
      <c r="G3214">
        <v>1085</v>
      </c>
      <c r="H3214">
        <v>61.9</v>
      </c>
      <c r="I3214">
        <v>51.5</v>
      </c>
      <c r="J3214">
        <v>72.400000000000006</v>
      </c>
      <c r="K3214">
        <v>184</v>
      </c>
      <c r="L3214">
        <v>48</v>
      </c>
      <c r="M3214">
        <v>319</v>
      </c>
      <c r="N3214">
        <v>6.4</v>
      </c>
      <c r="O3214">
        <v>3.1</v>
      </c>
      <c r="P3214">
        <v>9.8000000000000007</v>
      </c>
      <c r="Q3214">
        <f t="shared" si="98"/>
        <v>2105005</v>
      </c>
      <c r="R3214">
        <f t="shared" si="99"/>
        <v>8.7410718739385427</v>
      </c>
      <c r="U3214">
        <v>234</v>
      </c>
      <c r="V3214">
        <v>95</v>
      </c>
      <c r="W3214">
        <v>372</v>
      </c>
      <c r="X3214">
        <v>237</v>
      </c>
      <c r="Y3214">
        <v>49.6</v>
      </c>
      <c r="Z3214">
        <v>37.799999999999997</v>
      </c>
      <c r="AA3214">
        <v>61.4</v>
      </c>
    </row>
    <row r="3215" spans="1:27" x14ac:dyDescent="0.25">
      <c r="A3215" t="s">
        <v>256</v>
      </c>
      <c r="B3215" t="s">
        <v>208</v>
      </c>
      <c r="C3215" s="76">
        <v>44005</v>
      </c>
      <c r="D3215">
        <v>1844</v>
      </c>
      <c r="E3215">
        <v>874</v>
      </c>
      <c r="F3215">
        <v>2815</v>
      </c>
      <c r="G3215">
        <v>1107</v>
      </c>
      <c r="H3215">
        <v>62.5</v>
      </c>
      <c r="I3215">
        <v>51.2</v>
      </c>
      <c r="J3215">
        <v>73.8</v>
      </c>
      <c r="K3215">
        <v>171</v>
      </c>
      <c r="L3215">
        <v>42</v>
      </c>
      <c r="M3215">
        <v>300</v>
      </c>
      <c r="N3215">
        <v>5.8</v>
      </c>
      <c r="O3215">
        <v>2.6</v>
      </c>
      <c r="P3215">
        <v>9</v>
      </c>
      <c r="Q3215">
        <f t="shared" si="98"/>
        <v>2105005</v>
      </c>
      <c r="R3215">
        <f t="shared" si="99"/>
        <v>8.1234961437146236</v>
      </c>
      <c r="U3215">
        <v>270</v>
      </c>
      <c r="V3215">
        <v>116</v>
      </c>
      <c r="W3215">
        <v>425</v>
      </c>
      <c r="X3215">
        <v>212</v>
      </c>
      <c r="Y3215">
        <v>56</v>
      </c>
      <c r="Z3215">
        <v>43.7</v>
      </c>
      <c r="AA3215">
        <v>68.3</v>
      </c>
    </row>
    <row r="3216" spans="1:27" x14ac:dyDescent="0.25">
      <c r="A3216" t="s">
        <v>256</v>
      </c>
      <c r="B3216" t="s">
        <v>208</v>
      </c>
      <c r="C3216" s="76">
        <v>44006</v>
      </c>
      <c r="D3216">
        <v>1832</v>
      </c>
      <c r="E3216">
        <v>723</v>
      </c>
      <c r="F3216">
        <v>2940</v>
      </c>
      <c r="G3216">
        <v>947</v>
      </c>
      <c r="H3216">
        <v>65.900000000000006</v>
      </c>
      <c r="I3216">
        <v>53.9</v>
      </c>
      <c r="J3216">
        <v>77.900000000000006</v>
      </c>
      <c r="K3216">
        <v>125</v>
      </c>
      <c r="L3216">
        <v>10</v>
      </c>
      <c r="M3216">
        <v>240</v>
      </c>
      <c r="N3216">
        <v>4.5</v>
      </c>
      <c r="O3216">
        <v>1.4</v>
      </c>
      <c r="P3216">
        <v>7.6</v>
      </c>
      <c r="Q3216">
        <f t="shared" si="98"/>
        <v>2105005</v>
      </c>
      <c r="R3216">
        <f t="shared" si="99"/>
        <v>5.9382281752299875</v>
      </c>
      <c r="U3216">
        <v>259</v>
      </c>
      <c r="V3216">
        <v>79</v>
      </c>
      <c r="W3216">
        <v>439</v>
      </c>
      <c r="X3216">
        <v>197</v>
      </c>
      <c r="Y3216">
        <v>56.9</v>
      </c>
      <c r="Z3216">
        <v>46.3</v>
      </c>
      <c r="AA3216">
        <v>67.400000000000006</v>
      </c>
    </row>
    <row r="3217" spans="1:27" x14ac:dyDescent="0.25">
      <c r="A3217" t="s">
        <v>256</v>
      </c>
      <c r="B3217" t="s">
        <v>208</v>
      </c>
      <c r="C3217" s="76">
        <v>44007</v>
      </c>
      <c r="D3217">
        <v>1858</v>
      </c>
      <c r="E3217">
        <v>876</v>
      </c>
      <c r="F3217">
        <v>2841</v>
      </c>
      <c r="G3217">
        <v>938</v>
      </c>
      <c r="H3217">
        <v>66.5</v>
      </c>
      <c r="I3217">
        <v>57.4</v>
      </c>
      <c r="J3217">
        <v>75.5</v>
      </c>
      <c r="K3217">
        <v>147</v>
      </c>
      <c r="L3217">
        <v>20</v>
      </c>
      <c r="M3217">
        <v>274</v>
      </c>
      <c r="N3217">
        <v>5.3</v>
      </c>
      <c r="O3217">
        <v>1.8</v>
      </c>
      <c r="P3217">
        <v>8.6999999999999993</v>
      </c>
      <c r="Q3217">
        <f t="shared" si="98"/>
        <v>2105005</v>
      </c>
      <c r="R3217">
        <f t="shared" si="99"/>
        <v>6.9833563340704661</v>
      </c>
      <c r="U3217">
        <v>281</v>
      </c>
      <c r="V3217">
        <v>110</v>
      </c>
      <c r="W3217">
        <v>451</v>
      </c>
      <c r="X3217">
        <v>180</v>
      </c>
      <c r="Y3217">
        <v>60.9</v>
      </c>
      <c r="Z3217">
        <v>51.3</v>
      </c>
      <c r="AA3217">
        <v>70.5</v>
      </c>
    </row>
    <row r="3218" spans="1:27" x14ac:dyDescent="0.25">
      <c r="A3218" t="s">
        <v>256</v>
      </c>
      <c r="B3218" t="s">
        <v>208</v>
      </c>
      <c r="C3218" s="76">
        <v>44008</v>
      </c>
      <c r="D3218">
        <v>1855</v>
      </c>
      <c r="E3218">
        <v>862</v>
      </c>
      <c r="F3218">
        <v>2848</v>
      </c>
      <c r="G3218">
        <v>997</v>
      </c>
      <c r="H3218">
        <v>65</v>
      </c>
      <c r="I3218">
        <v>55.8</v>
      </c>
      <c r="J3218">
        <v>74.3</v>
      </c>
      <c r="K3218">
        <v>204</v>
      </c>
      <c r="L3218">
        <v>58</v>
      </c>
      <c r="M3218">
        <v>349</v>
      </c>
      <c r="N3218">
        <v>7.1</v>
      </c>
      <c r="O3218">
        <v>3.5</v>
      </c>
      <c r="P3218">
        <v>10.8</v>
      </c>
      <c r="Q3218">
        <f t="shared" si="98"/>
        <v>2105005</v>
      </c>
      <c r="R3218">
        <f t="shared" si="99"/>
        <v>9.6911883819753388</v>
      </c>
      <c r="U3218">
        <v>269</v>
      </c>
      <c r="V3218">
        <v>101</v>
      </c>
      <c r="W3218">
        <v>438</v>
      </c>
      <c r="X3218">
        <v>196</v>
      </c>
      <c r="Y3218">
        <v>57.9</v>
      </c>
      <c r="Z3218">
        <v>45</v>
      </c>
      <c r="AA3218">
        <v>70.8</v>
      </c>
    </row>
    <row r="3219" spans="1:27" x14ac:dyDescent="0.25">
      <c r="A3219" t="s">
        <v>256</v>
      </c>
      <c r="B3219" t="s">
        <v>208</v>
      </c>
      <c r="C3219" s="76">
        <v>44009</v>
      </c>
      <c r="D3219">
        <v>1874</v>
      </c>
      <c r="E3219">
        <v>903</v>
      </c>
      <c r="F3219">
        <v>2845</v>
      </c>
      <c r="G3219">
        <v>984</v>
      </c>
      <c r="H3219">
        <v>65.599999999999994</v>
      </c>
      <c r="I3219">
        <v>56.6</v>
      </c>
      <c r="J3219">
        <v>74.599999999999994</v>
      </c>
      <c r="K3219">
        <v>173</v>
      </c>
      <c r="L3219">
        <v>38</v>
      </c>
      <c r="M3219">
        <v>309</v>
      </c>
      <c r="N3219">
        <v>6.1</v>
      </c>
      <c r="O3219">
        <v>2.5</v>
      </c>
      <c r="P3219">
        <v>9.6999999999999993</v>
      </c>
      <c r="Q3219">
        <f t="shared" si="98"/>
        <v>2105005</v>
      </c>
      <c r="R3219">
        <f t="shared" si="99"/>
        <v>8.2185077945183025</v>
      </c>
      <c r="U3219">
        <v>264</v>
      </c>
      <c r="V3219">
        <v>108</v>
      </c>
      <c r="W3219">
        <v>421</v>
      </c>
      <c r="X3219">
        <v>203</v>
      </c>
      <c r="Y3219">
        <v>56.6</v>
      </c>
      <c r="Z3219">
        <v>44.2</v>
      </c>
      <c r="AA3219">
        <v>68.900000000000006</v>
      </c>
    </row>
    <row r="3220" spans="1:27" x14ac:dyDescent="0.25">
      <c r="A3220" t="s">
        <v>256</v>
      </c>
      <c r="B3220" t="s">
        <v>208</v>
      </c>
      <c r="C3220" s="76">
        <v>44010</v>
      </c>
      <c r="D3220">
        <v>1712</v>
      </c>
      <c r="E3220">
        <v>801</v>
      </c>
      <c r="F3220">
        <v>2623</v>
      </c>
      <c r="G3220">
        <v>1128</v>
      </c>
      <c r="H3220">
        <v>60.3</v>
      </c>
      <c r="I3220">
        <v>49.3</v>
      </c>
      <c r="J3220">
        <v>71.2</v>
      </c>
      <c r="K3220">
        <v>200</v>
      </c>
      <c r="L3220">
        <v>54</v>
      </c>
      <c r="M3220">
        <v>345</v>
      </c>
      <c r="N3220">
        <v>7</v>
      </c>
      <c r="O3220">
        <v>3.1</v>
      </c>
      <c r="P3220">
        <v>10.9</v>
      </c>
      <c r="Q3220">
        <f t="shared" si="98"/>
        <v>2105005</v>
      </c>
      <c r="R3220">
        <f t="shared" si="99"/>
        <v>9.501165080367981</v>
      </c>
      <c r="U3220">
        <v>276</v>
      </c>
      <c r="V3220">
        <v>109</v>
      </c>
      <c r="W3220">
        <v>442</v>
      </c>
      <c r="X3220">
        <v>187</v>
      </c>
      <c r="Y3220">
        <v>59.6</v>
      </c>
      <c r="Z3220">
        <v>44.8</v>
      </c>
      <c r="AA3220">
        <v>74.5</v>
      </c>
    </row>
    <row r="3221" spans="1:27" x14ac:dyDescent="0.25">
      <c r="A3221" t="s">
        <v>256</v>
      </c>
      <c r="B3221" t="s">
        <v>208</v>
      </c>
      <c r="C3221" s="76">
        <v>44011</v>
      </c>
      <c r="D3221">
        <v>1735</v>
      </c>
      <c r="E3221">
        <v>765</v>
      </c>
      <c r="F3221">
        <v>2705</v>
      </c>
      <c r="G3221">
        <v>1094</v>
      </c>
      <c r="H3221">
        <v>61.3</v>
      </c>
      <c r="I3221">
        <v>50.6</v>
      </c>
      <c r="J3221">
        <v>72.099999999999994</v>
      </c>
      <c r="K3221">
        <v>117</v>
      </c>
      <c r="L3221">
        <v>22</v>
      </c>
      <c r="M3221">
        <v>212</v>
      </c>
      <c r="N3221">
        <v>4.0999999999999996</v>
      </c>
      <c r="O3221">
        <v>1.3</v>
      </c>
      <c r="P3221">
        <v>6.9</v>
      </c>
      <c r="Q3221">
        <f t="shared" si="98"/>
        <v>2105005</v>
      </c>
      <c r="R3221">
        <f t="shared" si="99"/>
        <v>5.5581815720152683</v>
      </c>
      <c r="U3221">
        <v>269</v>
      </c>
      <c r="V3221">
        <v>87</v>
      </c>
      <c r="W3221">
        <v>452</v>
      </c>
      <c r="X3221">
        <v>195</v>
      </c>
      <c r="Y3221">
        <v>57.9</v>
      </c>
      <c r="Z3221">
        <v>46.5</v>
      </c>
      <c r="AA3221">
        <v>69.400000000000006</v>
      </c>
    </row>
    <row r="3222" spans="1:27" x14ac:dyDescent="0.25">
      <c r="A3222" t="s">
        <v>256</v>
      </c>
      <c r="B3222" t="s">
        <v>208</v>
      </c>
      <c r="C3222" s="76">
        <v>44012</v>
      </c>
      <c r="D3222">
        <v>1912</v>
      </c>
      <c r="E3222">
        <v>828</v>
      </c>
      <c r="F3222">
        <v>2997</v>
      </c>
      <c r="G3222">
        <v>1025</v>
      </c>
      <c r="H3222">
        <v>65.099999999999994</v>
      </c>
      <c r="I3222">
        <v>55.5</v>
      </c>
      <c r="J3222">
        <v>74.7</v>
      </c>
      <c r="K3222">
        <v>118</v>
      </c>
      <c r="L3222">
        <v>27</v>
      </c>
      <c r="M3222">
        <v>209</v>
      </c>
      <c r="N3222">
        <v>4</v>
      </c>
      <c r="O3222">
        <v>1.7</v>
      </c>
      <c r="P3222">
        <v>6.3</v>
      </c>
      <c r="Q3222">
        <f t="shared" si="98"/>
        <v>2105005</v>
      </c>
      <c r="R3222">
        <f t="shared" si="99"/>
        <v>5.6056873974171086</v>
      </c>
      <c r="U3222">
        <v>275</v>
      </c>
      <c r="V3222">
        <v>84</v>
      </c>
      <c r="W3222">
        <v>467</v>
      </c>
      <c r="X3222">
        <v>205</v>
      </c>
      <c r="Y3222">
        <v>57.4</v>
      </c>
      <c r="Z3222">
        <v>43.4</v>
      </c>
      <c r="AA3222">
        <v>71.3</v>
      </c>
    </row>
    <row r="3223" spans="1:27" x14ac:dyDescent="0.25">
      <c r="A3223" t="s">
        <v>256</v>
      </c>
      <c r="B3223" t="s">
        <v>208</v>
      </c>
      <c r="C3223" s="76">
        <v>44013</v>
      </c>
      <c r="D3223">
        <v>1907</v>
      </c>
      <c r="E3223">
        <v>720</v>
      </c>
      <c r="F3223">
        <v>3094</v>
      </c>
      <c r="G3223">
        <v>998</v>
      </c>
      <c r="H3223">
        <v>65.599999999999994</v>
      </c>
      <c r="I3223">
        <v>54.5</v>
      </c>
      <c r="J3223">
        <v>76.8</v>
      </c>
      <c r="K3223">
        <v>111</v>
      </c>
      <c r="L3223">
        <v>30</v>
      </c>
      <c r="M3223">
        <v>193</v>
      </c>
      <c r="N3223">
        <v>3.8</v>
      </c>
      <c r="O3223">
        <v>1.7</v>
      </c>
      <c r="P3223">
        <v>5.9</v>
      </c>
      <c r="Q3223">
        <f t="shared" si="98"/>
        <v>2105005</v>
      </c>
      <c r="R3223">
        <f t="shared" si="99"/>
        <v>5.2731466196042289</v>
      </c>
      <c r="U3223">
        <v>280</v>
      </c>
      <c r="V3223">
        <v>65</v>
      </c>
      <c r="W3223">
        <v>495</v>
      </c>
      <c r="X3223">
        <v>195</v>
      </c>
      <c r="Y3223">
        <v>58.9</v>
      </c>
      <c r="Z3223">
        <v>43.8</v>
      </c>
      <c r="AA3223">
        <v>74.099999999999994</v>
      </c>
    </row>
    <row r="3224" spans="1:27" x14ac:dyDescent="0.25">
      <c r="A3224" t="s">
        <v>256</v>
      </c>
      <c r="B3224" t="s">
        <v>208</v>
      </c>
      <c r="C3224" s="76">
        <v>44014</v>
      </c>
      <c r="D3224">
        <v>1869</v>
      </c>
      <c r="E3224">
        <v>673</v>
      </c>
      <c r="F3224">
        <v>3065</v>
      </c>
      <c r="G3224">
        <v>1071</v>
      </c>
      <c r="H3224">
        <v>63.6</v>
      </c>
      <c r="I3224">
        <v>51.6</v>
      </c>
      <c r="J3224">
        <v>75.5</v>
      </c>
      <c r="K3224">
        <v>116</v>
      </c>
      <c r="L3224">
        <v>29</v>
      </c>
      <c r="M3224">
        <v>202</v>
      </c>
      <c r="N3224">
        <v>3.9</v>
      </c>
      <c r="O3224">
        <v>1.9</v>
      </c>
      <c r="P3224">
        <v>6</v>
      </c>
      <c r="Q3224">
        <f t="shared" si="98"/>
        <v>2105005</v>
      </c>
      <c r="R3224">
        <f t="shared" si="99"/>
        <v>5.5106757466134288</v>
      </c>
      <c r="U3224">
        <v>280</v>
      </c>
      <c r="V3224">
        <v>63</v>
      </c>
      <c r="W3224">
        <v>496</v>
      </c>
      <c r="X3224">
        <v>205</v>
      </c>
      <c r="Y3224">
        <v>57.7</v>
      </c>
      <c r="Z3224">
        <v>45.3</v>
      </c>
      <c r="AA3224">
        <v>70.2</v>
      </c>
    </row>
    <row r="3225" spans="1:27" x14ac:dyDescent="0.25">
      <c r="A3225" t="s">
        <v>256</v>
      </c>
      <c r="B3225" t="s">
        <v>208</v>
      </c>
      <c r="C3225" s="76">
        <v>44015</v>
      </c>
      <c r="D3225">
        <v>1791</v>
      </c>
      <c r="E3225">
        <v>766</v>
      </c>
      <c r="F3225">
        <v>2816</v>
      </c>
      <c r="G3225">
        <v>1174</v>
      </c>
      <c r="H3225">
        <v>60.4</v>
      </c>
      <c r="I3225">
        <v>49</v>
      </c>
      <c r="J3225">
        <v>71.8</v>
      </c>
      <c r="K3225">
        <v>90</v>
      </c>
      <c r="L3225">
        <v>23</v>
      </c>
      <c r="M3225">
        <v>156</v>
      </c>
      <c r="N3225">
        <v>3</v>
      </c>
      <c r="O3225">
        <v>1.3</v>
      </c>
      <c r="P3225">
        <v>4.7</v>
      </c>
      <c r="Q3225">
        <f t="shared" si="98"/>
        <v>2105005</v>
      </c>
      <c r="R3225">
        <f t="shared" si="99"/>
        <v>4.2755242861655907</v>
      </c>
      <c r="U3225">
        <v>303</v>
      </c>
      <c r="V3225">
        <v>99</v>
      </c>
      <c r="W3225">
        <v>508</v>
      </c>
      <c r="X3225">
        <v>197</v>
      </c>
      <c r="Y3225">
        <v>60.6</v>
      </c>
      <c r="Z3225">
        <v>50.8</v>
      </c>
      <c r="AA3225">
        <v>70.400000000000006</v>
      </c>
    </row>
    <row r="3226" spans="1:27" x14ac:dyDescent="0.25">
      <c r="A3226" t="s">
        <v>256</v>
      </c>
      <c r="B3226" t="s">
        <v>208</v>
      </c>
      <c r="C3226" s="76">
        <v>44016</v>
      </c>
      <c r="D3226">
        <v>1684</v>
      </c>
      <c r="E3226">
        <v>708</v>
      </c>
      <c r="F3226">
        <v>2659</v>
      </c>
      <c r="G3226">
        <v>1305</v>
      </c>
      <c r="H3226">
        <v>56.3</v>
      </c>
      <c r="I3226">
        <v>44.7</v>
      </c>
      <c r="J3226">
        <v>68</v>
      </c>
      <c r="K3226">
        <v>93</v>
      </c>
      <c r="L3226">
        <v>24</v>
      </c>
      <c r="M3226">
        <v>161</v>
      </c>
      <c r="N3226">
        <v>3.1</v>
      </c>
      <c r="O3226">
        <v>1.4</v>
      </c>
      <c r="P3226">
        <v>4.8</v>
      </c>
      <c r="Q3226">
        <f t="shared" si="98"/>
        <v>2105005</v>
      </c>
      <c r="R3226">
        <f t="shared" si="99"/>
        <v>4.4180417623711108</v>
      </c>
      <c r="U3226">
        <v>277</v>
      </c>
      <c r="V3226">
        <v>84</v>
      </c>
      <c r="W3226">
        <v>471</v>
      </c>
      <c r="X3226">
        <v>221</v>
      </c>
      <c r="Y3226">
        <v>55.6</v>
      </c>
      <c r="Z3226">
        <v>44.2</v>
      </c>
      <c r="AA3226">
        <v>67</v>
      </c>
    </row>
    <row r="3227" spans="1:27" x14ac:dyDescent="0.25">
      <c r="A3227" t="s">
        <v>256</v>
      </c>
      <c r="B3227" t="s">
        <v>208</v>
      </c>
      <c r="C3227" s="76">
        <v>44017</v>
      </c>
      <c r="D3227">
        <v>1665</v>
      </c>
      <c r="E3227">
        <v>690</v>
      </c>
      <c r="F3227">
        <v>2639</v>
      </c>
      <c r="G3227">
        <v>1304</v>
      </c>
      <c r="H3227">
        <v>56.1</v>
      </c>
      <c r="I3227">
        <v>43.1</v>
      </c>
      <c r="J3227">
        <v>69.099999999999994</v>
      </c>
      <c r="K3227">
        <v>83</v>
      </c>
      <c r="L3227">
        <v>13</v>
      </c>
      <c r="M3227">
        <v>153</v>
      </c>
      <c r="N3227">
        <v>2.8</v>
      </c>
      <c r="O3227">
        <v>0.8</v>
      </c>
      <c r="P3227">
        <v>4.8</v>
      </c>
      <c r="Q3227">
        <f t="shared" si="98"/>
        <v>2105005</v>
      </c>
      <c r="R3227">
        <f t="shared" si="99"/>
        <v>3.9429835083527123</v>
      </c>
      <c r="U3227">
        <v>276</v>
      </c>
      <c r="V3227">
        <v>81</v>
      </c>
      <c r="W3227">
        <v>471</v>
      </c>
      <c r="X3227">
        <v>222</v>
      </c>
      <c r="Y3227">
        <v>55.4</v>
      </c>
      <c r="Z3227">
        <v>44.5</v>
      </c>
      <c r="AA3227">
        <v>66.3</v>
      </c>
    </row>
    <row r="3228" spans="1:27" x14ac:dyDescent="0.25">
      <c r="A3228" t="s">
        <v>256</v>
      </c>
      <c r="B3228" t="s">
        <v>208</v>
      </c>
      <c r="C3228" s="76">
        <v>44018</v>
      </c>
      <c r="D3228">
        <v>1666</v>
      </c>
      <c r="E3228">
        <v>678</v>
      </c>
      <c r="F3228">
        <v>2655</v>
      </c>
      <c r="G3228">
        <v>1304</v>
      </c>
      <c r="H3228">
        <v>56.1</v>
      </c>
      <c r="I3228">
        <v>43</v>
      </c>
      <c r="J3228">
        <v>69.2</v>
      </c>
      <c r="K3228">
        <v>79</v>
      </c>
      <c r="L3228">
        <v>18</v>
      </c>
      <c r="M3228">
        <v>140</v>
      </c>
      <c r="N3228">
        <v>2.7</v>
      </c>
      <c r="O3228">
        <v>1</v>
      </c>
      <c r="P3228">
        <v>4.3</v>
      </c>
      <c r="Q3228">
        <f t="shared" si="98"/>
        <v>2105005</v>
      </c>
      <c r="R3228">
        <f t="shared" si="99"/>
        <v>3.7529602067453522</v>
      </c>
      <c r="U3228">
        <v>278</v>
      </c>
      <c r="V3228">
        <v>86</v>
      </c>
      <c r="W3228">
        <v>470</v>
      </c>
      <c r="X3228">
        <v>220</v>
      </c>
      <c r="Y3228">
        <v>55.8</v>
      </c>
      <c r="Z3228">
        <v>47</v>
      </c>
      <c r="AA3228">
        <v>64.599999999999994</v>
      </c>
    </row>
    <row r="3229" spans="1:27" x14ac:dyDescent="0.25">
      <c r="A3229" t="s">
        <v>256</v>
      </c>
      <c r="B3229" t="s">
        <v>208</v>
      </c>
      <c r="C3229" s="76">
        <v>44019</v>
      </c>
      <c r="D3229">
        <v>1826</v>
      </c>
      <c r="E3229">
        <v>760</v>
      </c>
      <c r="F3229">
        <v>2892</v>
      </c>
      <c r="G3229">
        <v>1164</v>
      </c>
      <c r="H3229">
        <v>61.1</v>
      </c>
      <c r="I3229">
        <v>49.7</v>
      </c>
      <c r="J3229">
        <v>72.400000000000006</v>
      </c>
      <c r="K3229">
        <v>97</v>
      </c>
      <c r="L3229">
        <v>20</v>
      </c>
      <c r="M3229">
        <v>174</v>
      </c>
      <c r="N3229">
        <v>3.2</v>
      </c>
      <c r="O3229">
        <v>1.2</v>
      </c>
      <c r="P3229">
        <v>5.3</v>
      </c>
      <c r="Q3229">
        <f t="shared" si="98"/>
        <v>2105005</v>
      </c>
      <c r="R3229">
        <f t="shared" si="99"/>
        <v>4.6080650639784704</v>
      </c>
      <c r="U3229">
        <v>279</v>
      </c>
      <c r="V3229">
        <v>86</v>
      </c>
      <c r="W3229">
        <v>472</v>
      </c>
      <c r="X3229">
        <v>219</v>
      </c>
      <c r="Y3229">
        <v>56</v>
      </c>
      <c r="Z3229">
        <v>47.1</v>
      </c>
      <c r="AA3229">
        <v>64.8</v>
      </c>
    </row>
    <row r="3230" spans="1:27" x14ac:dyDescent="0.25">
      <c r="A3230" t="s">
        <v>257</v>
      </c>
      <c r="B3230" t="s">
        <v>203</v>
      </c>
      <c r="C3230" s="76">
        <v>43922</v>
      </c>
      <c r="D3230">
        <v>4125</v>
      </c>
      <c r="E3230">
        <v>1295</v>
      </c>
      <c r="F3230">
        <v>6954</v>
      </c>
      <c r="G3230">
        <v>2453</v>
      </c>
      <c r="H3230">
        <v>62.7</v>
      </c>
      <c r="I3230">
        <v>52.5</v>
      </c>
      <c r="J3230">
        <v>72.900000000000006</v>
      </c>
      <c r="K3230">
        <v>616</v>
      </c>
      <c r="L3230">
        <v>126</v>
      </c>
      <c r="M3230">
        <v>1106</v>
      </c>
      <c r="N3230">
        <v>9.4</v>
      </c>
      <c r="O3230">
        <v>6.7</v>
      </c>
      <c r="P3230">
        <v>12</v>
      </c>
      <c r="Q3230">
        <f t="shared" si="98"/>
        <v>3185786</v>
      </c>
      <c r="R3230">
        <f t="shared" si="99"/>
        <v>19.335887595714215</v>
      </c>
      <c r="U3230">
        <v>492</v>
      </c>
      <c r="V3230">
        <v>91</v>
      </c>
      <c r="W3230">
        <v>893</v>
      </c>
      <c r="X3230">
        <v>324</v>
      </c>
      <c r="Y3230">
        <v>60.3</v>
      </c>
      <c r="Z3230">
        <v>39.799999999999997</v>
      </c>
      <c r="AA3230">
        <v>80.8</v>
      </c>
    </row>
    <row r="3231" spans="1:27" x14ac:dyDescent="0.25">
      <c r="A3231" t="s">
        <v>257</v>
      </c>
      <c r="B3231" t="s">
        <v>203</v>
      </c>
      <c r="C3231" s="76">
        <v>43923</v>
      </c>
      <c r="D3231">
        <v>4081</v>
      </c>
      <c r="E3231">
        <v>1306</v>
      </c>
      <c r="F3231">
        <v>6856</v>
      </c>
      <c r="G3231">
        <v>2761</v>
      </c>
      <c r="H3231">
        <v>59.6</v>
      </c>
      <c r="I3231">
        <v>48.6</v>
      </c>
      <c r="J3231">
        <v>70.599999999999994</v>
      </c>
      <c r="K3231">
        <v>655</v>
      </c>
      <c r="L3231">
        <v>114</v>
      </c>
      <c r="M3231">
        <v>1196</v>
      </c>
      <c r="N3231">
        <v>9.6</v>
      </c>
      <c r="O3231">
        <v>6.4</v>
      </c>
      <c r="P3231">
        <v>12.8</v>
      </c>
      <c r="Q3231">
        <f t="shared" si="98"/>
        <v>3185786</v>
      </c>
      <c r="R3231">
        <f t="shared" si="99"/>
        <v>20.560075284403911</v>
      </c>
      <c r="U3231">
        <v>507</v>
      </c>
      <c r="V3231">
        <v>82</v>
      </c>
      <c r="W3231">
        <v>932</v>
      </c>
      <c r="X3231">
        <v>302</v>
      </c>
      <c r="Y3231">
        <v>62.6</v>
      </c>
      <c r="Z3231">
        <v>40.299999999999997</v>
      </c>
      <c r="AA3231">
        <v>85</v>
      </c>
    </row>
    <row r="3232" spans="1:27" x14ac:dyDescent="0.25">
      <c r="A3232" t="s">
        <v>257</v>
      </c>
      <c r="B3232" t="s">
        <v>203</v>
      </c>
      <c r="C3232" s="76">
        <v>43924</v>
      </c>
      <c r="D3232">
        <v>4247</v>
      </c>
      <c r="E3232">
        <v>1390</v>
      </c>
      <c r="F3232">
        <v>7103</v>
      </c>
      <c r="G3232">
        <v>2622</v>
      </c>
      <c r="H3232">
        <v>61.8</v>
      </c>
      <c r="I3232">
        <v>51.4</v>
      </c>
      <c r="J3232">
        <v>72.2</v>
      </c>
      <c r="K3232">
        <v>783</v>
      </c>
      <c r="L3232">
        <v>178</v>
      </c>
      <c r="M3232">
        <v>1389</v>
      </c>
      <c r="N3232">
        <v>11.4</v>
      </c>
      <c r="O3232">
        <v>8</v>
      </c>
      <c r="P3232">
        <v>14.8</v>
      </c>
      <c r="Q3232">
        <f t="shared" si="98"/>
        <v>3185786</v>
      </c>
      <c r="R3232">
        <f t="shared" si="99"/>
        <v>24.577922057539336</v>
      </c>
      <c r="U3232">
        <v>554</v>
      </c>
      <c r="V3232">
        <v>127</v>
      </c>
      <c r="W3232">
        <v>981</v>
      </c>
      <c r="X3232">
        <v>282</v>
      </c>
      <c r="Y3232">
        <v>66.2</v>
      </c>
      <c r="Z3232">
        <v>47.8</v>
      </c>
      <c r="AA3232">
        <v>84.6</v>
      </c>
    </row>
    <row r="3233" spans="1:27" x14ac:dyDescent="0.25">
      <c r="A3233" t="s">
        <v>257</v>
      </c>
      <c r="B3233" t="s">
        <v>203</v>
      </c>
      <c r="C3233" s="76">
        <v>43925</v>
      </c>
      <c r="D3233">
        <v>4043</v>
      </c>
      <c r="E3233">
        <v>1294</v>
      </c>
      <c r="F3233">
        <v>6791</v>
      </c>
      <c r="G3233">
        <v>2816</v>
      </c>
      <c r="H3233">
        <v>58.9</v>
      </c>
      <c r="I3233">
        <v>48.5</v>
      </c>
      <c r="J3233">
        <v>69.400000000000006</v>
      </c>
      <c r="K3233">
        <v>767</v>
      </c>
      <c r="L3233">
        <v>193</v>
      </c>
      <c r="M3233">
        <v>1341</v>
      </c>
      <c r="N3233">
        <v>11.2</v>
      </c>
      <c r="O3233">
        <v>8</v>
      </c>
      <c r="P3233">
        <v>14.3</v>
      </c>
      <c r="Q3233">
        <f t="shared" si="98"/>
        <v>3185786</v>
      </c>
      <c r="R3233">
        <f t="shared" si="99"/>
        <v>24.075691210897407</v>
      </c>
      <c r="U3233">
        <v>549</v>
      </c>
      <c r="V3233">
        <v>111</v>
      </c>
      <c r="W3233">
        <v>987</v>
      </c>
      <c r="X3233">
        <v>297</v>
      </c>
      <c r="Y3233">
        <v>64.900000000000006</v>
      </c>
      <c r="Z3233">
        <v>43.7</v>
      </c>
      <c r="AA3233">
        <v>86.1</v>
      </c>
    </row>
    <row r="3234" spans="1:27" x14ac:dyDescent="0.25">
      <c r="A3234" t="s">
        <v>257</v>
      </c>
      <c r="B3234" t="s">
        <v>203</v>
      </c>
      <c r="C3234" s="76">
        <v>43926</v>
      </c>
      <c r="D3234">
        <v>3979</v>
      </c>
      <c r="E3234">
        <v>1295</v>
      </c>
      <c r="F3234">
        <v>6664</v>
      </c>
      <c r="G3234">
        <v>2880</v>
      </c>
      <c r="H3234">
        <v>58</v>
      </c>
      <c r="I3234">
        <v>48.6</v>
      </c>
      <c r="J3234">
        <v>67.5</v>
      </c>
      <c r="K3234">
        <v>780</v>
      </c>
      <c r="L3234">
        <v>172</v>
      </c>
      <c r="M3234">
        <v>1388</v>
      </c>
      <c r="N3234">
        <v>11.4</v>
      </c>
      <c r="O3234">
        <v>7.5</v>
      </c>
      <c r="P3234">
        <v>15.2</v>
      </c>
      <c r="Q3234">
        <f t="shared" si="98"/>
        <v>3185786</v>
      </c>
      <c r="R3234">
        <f t="shared" si="99"/>
        <v>24.483753773793971</v>
      </c>
      <c r="U3234">
        <v>550</v>
      </c>
      <c r="V3234">
        <v>119</v>
      </c>
      <c r="W3234">
        <v>981</v>
      </c>
      <c r="X3234">
        <v>296</v>
      </c>
      <c r="Y3234">
        <v>65</v>
      </c>
      <c r="Z3234">
        <v>44.8</v>
      </c>
      <c r="AA3234">
        <v>85.2</v>
      </c>
    </row>
    <row r="3235" spans="1:27" x14ac:dyDescent="0.25">
      <c r="A3235" t="s">
        <v>257</v>
      </c>
      <c r="B3235" t="s">
        <v>203</v>
      </c>
      <c r="C3235" s="76">
        <v>43927</v>
      </c>
      <c r="D3235">
        <v>3849</v>
      </c>
      <c r="E3235">
        <v>1207</v>
      </c>
      <c r="F3235">
        <v>6492</v>
      </c>
      <c r="G3235">
        <v>2873</v>
      </c>
      <c r="H3235">
        <v>57.3</v>
      </c>
      <c r="I3235">
        <v>48.2</v>
      </c>
      <c r="J3235">
        <v>66.400000000000006</v>
      </c>
      <c r="K3235">
        <v>694</v>
      </c>
      <c r="L3235">
        <v>142</v>
      </c>
      <c r="M3235">
        <v>1246</v>
      </c>
      <c r="N3235">
        <v>10.3</v>
      </c>
      <c r="O3235">
        <v>6.9</v>
      </c>
      <c r="P3235">
        <v>13.8</v>
      </c>
      <c r="Q3235">
        <f t="shared" si="98"/>
        <v>3185786</v>
      </c>
      <c r="R3235">
        <f t="shared" si="99"/>
        <v>21.784262973093607</v>
      </c>
      <c r="U3235">
        <v>469</v>
      </c>
      <c r="V3235">
        <v>116</v>
      </c>
      <c r="W3235">
        <v>823</v>
      </c>
      <c r="X3235">
        <v>355</v>
      </c>
      <c r="Y3235">
        <v>56.9</v>
      </c>
      <c r="Z3235">
        <v>39.4</v>
      </c>
      <c r="AA3235">
        <v>74.5</v>
      </c>
    </row>
    <row r="3236" spans="1:27" x14ac:dyDescent="0.25">
      <c r="A3236" t="s">
        <v>257</v>
      </c>
      <c r="B3236" t="s">
        <v>203</v>
      </c>
      <c r="C3236" s="76">
        <v>43928</v>
      </c>
      <c r="D3236">
        <v>4269</v>
      </c>
      <c r="E3236">
        <v>1759</v>
      </c>
      <c r="F3236">
        <v>6778</v>
      </c>
      <c r="G3236">
        <v>2226</v>
      </c>
      <c r="H3236">
        <v>65.7</v>
      </c>
      <c r="I3236">
        <v>55</v>
      </c>
      <c r="J3236">
        <v>76.5</v>
      </c>
      <c r="K3236">
        <v>1207</v>
      </c>
      <c r="L3236">
        <v>0</v>
      </c>
      <c r="M3236">
        <v>2464</v>
      </c>
      <c r="N3236">
        <v>18.600000000000001</v>
      </c>
      <c r="O3236">
        <v>4</v>
      </c>
      <c r="P3236">
        <v>33.200000000000003</v>
      </c>
      <c r="Q3236">
        <f t="shared" si="98"/>
        <v>3185786</v>
      </c>
      <c r="R3236">
        <f t="shared" si="99"/>
        <v>37.887039493550411</v>
      </c>
      <c r="U3236">
        <v>526</v>
      </c>
      <c r="V3236">
        <v>185</v>
      </c>
      <c r="W3236">
        <v>867</v>
      </c>
      <c r="X3236">
        <v>319</v>
      </c>
      <c r="Y3236">
        <v>62.2</v>
      </c>
      <c r="Z3236">
        <v>46.9</v>
      </c>
      <c r="AA3236">
        <v>77.5</v>
      </c>
    </row>
    <row r="3237" spans="1:27" x14ac:dyDescent="0.25">
      <c r="A3237" t="s">
        <v>257</v>
      </c>
      <c r="B3237" t="s">
        <v>203</v>
      </c>
      <c r="C3237" s="76">
        <v>43929</v>
      </c>
      <c r="D3237">
        <v>4221</v>
      </c>
      <c r="E3237">
        <v>1807</v>
      </c>
      <c r="F3237">
        <v>6635</v>
      </c>
      <c r="G3237">
        <v>2281</v>
      </c>
      <c r="H3237">
        <v>64.900000000000006</v>
      </c>
      <c r="I3237">
        <v>56.4</v>
      </c>
      <c r="J3237">
        <v>73.400000000000006</v>
      </c>
      <c r="K3237">
        <v>1190</v>
      </c>
      <c r="L3237">
        <v>0</v>
      </c>
      <c r="M3237">
        <v>2455</v>
      </c>
      <c r="N3237">
        <v>18.3</v>
      </c>
      <c r="O3237">
        <v>3.4</v>
      </c>
      <c r="P3237">
        <v>33.200000000000003</v>
      </c>
      <c r="Q3237">
        <f t="shared" si="98"/>
        <v>3185786</v>
      </c>
      <c r="R3237">
        <f t="shared" si="99"/>
        <v>37.353419218993366</v>
      </c>
      <c r="U3237">
        <v>547</v>
      </c>
      <c r="V3237">
        <v>193</v>
      </c>
      <c r="W3237">
        <v>901</v>
      </c>
      <c r="X3237">
        <v>298</v>
      </c>
      <c r="Y3237">
        <v>64.7</v>
      </c>
      <c r="Z3237">
        <v>50.9</v>
      </c>
      <c r="AA3237">
        <v>78.5</v>
      </c>
    </row>
    <row r="3238" spans="1:27" x14ac:dyDescent="0.25">
      <c r="A3238" t="s">
        <v>257</v>
      </c>
      <c r="B3238" t="s">
        <v>203</v>
      </c>
      <c r="C3238" s="76">
        <v>43930</v>
      </c>
      <c r="D3238">
        <v>4252</v>
      </c>
      <c r="E3238">
        <v>1813</v>
      </c>
      <c r="F3238">
        <v>6692</v>
      </c>
      <c r="G3238">
        <v>2255</v>
      </c>
      <c r="H3238">
        <v>65.3</v>
      </c>
      <c r="I3238">
        <v>57.2</v>
      </c>
      <c r="J3238">
        <v>73.5</v>
      </c>
      <c r="K3238">
        <v>757</v>
      </c>
      <c r="L3238">
        <v>214</v>
      </c>
      <c r="M3238">
        <v>1300</v>
      </c>
      <c r="N3238">
        <v>11.6</v>
      </c>
      <c r="O3238">
        <v>7.4</v>
      </c>
      <c r="P3238">
        <v>15.9</v>
      </c>
      <c r="Q3238">
        <f t="shared" si="98"/>
        <v>3185786</v>
      </c>
      <c r="R3238">
        <f t="shared" si="99"/>
        <v>23.761796931746201</v>
      </c>
      <c r="U3238">
        <v>545</v>
      </c>
      <c r="V3238">
        <v>188</v>
      </c>
      <c r="W3238">
        <v>903</v>
      </c>
      <c r="X3238">
        <v>302</v>
      </c>
      <c r="Y3238">
        <v>64.3</v>
      </c>
      <c r="Z3238">
        <v>47.5</v>
      </c>
      <c r="AA3238">
        <v>81.099999999999994</v>
      </c>
    </row>
    <row r="3239" spans="1:27" x14ac:dyDescent="0.25">
      <c r="A3239" t="s">
        <v>257</v>
      </c>
      <c r="B3239" t="s">
        <v>203</v>
      </c>
      <c r="C3239" s="76">
        <v>43931</v>
      </c>
      <c r="D3239">
        <v>4173</v>
      </c>
      <c r="E3239">
        <v>1732</v>
      </c>
      <c r="F3239">
        <v>6614</v>
      </c>
      <c r="G3239">
        <v>2329</v>
      </c>
      <c r="H3239">
        <v>64.2</v>
      </c>
      <c r="I3239">
        <v>56</v>
      </c>
      <c r="J3239">
        <v>72.3</v>
      </c>
      <c r="K3239">
        <v>714</v>
      </c>
      <c r="L3239">
        <v>186</v>
      </c>
      <c r="M3239">
        <v>1242</v>
      </c>
      <c r="N3239">
        <v>11</v>
      </c>
      <c r="O3239">
        <v>7.5</v>
      </c>
      <c r="P3239">
        <v>14.5</v>
      </c>
      <c r="Q3239">
        <f t="shared" ref="Q3239:Q3302" si="100">VLOOKUP(B3239,$AE$4:$AF$55,2,FALSE)</f>
        <v>3185786</v>
      </c>
      <c r="R3239">
        <f t="shared" si="99"/>
        <v>22.41205153139602</v>
      </c>
      <c r="U3239">
        <v>542</v>
      </c>
      <c r="V3239">
        <v>179</v>
      </c>
      <c r="W3239">
        <v>905</v>
      </c>
      <c r="X3239">
        <v>303</v>
      </c>
      <c r="Y3239">
        <v>64.099999999999994</v>
      </c>
      <c r="Z3239">
        <v>48.2</v>
      </c>
      <c r="AA3239">
        <v>80.099999999999994</v>
      </c>
    </row>
    <row r="3240" spans="1:27" x14ac:dyDescent="0.25">
      <c r="A3240" t="s">
        <v>257</v>
      </c>
      <c r="B3240" t="s">
        <v>203</v>
      </c>
      <c r="C3240" s="76">
        <v>43932</v>
      </c>
      <c r="D3240">
        <v>4025</v>
      </c>
      <c r="E3240">
        <v>1685</v>
      </c>
      <c r="F3240">
        <v>6365</v>
      </c>
      <c r="G3240">
        <v>2610</v>
      </c>
      <c r="H3240">
        <v>60.7</v>
      </c>
      <c r="I3240">
        <v>51.3</v>
      </c>
      <c r="J3240">
        <v>70</v>
      </c>
      <c r="K3240">
        <v>677</v>
      </c>
      <c r="L3240">
        <v>189</v>
      </c>
      <c r="M3240">
        <v>1165</v>
      </c>
      <c r="N3240">
        <v>10.199999999999999</v>
      </c>
      <c r="O3240">
        <v>7</v>
      </c>
      <c r="P3240">
        <v>13.4</v>
      </c>
      <c r="Q3240">
        <f t="shared" si="100"/>
        <v>3185786</v>
      </c>
      <c r="R3240">
        <f t="shared" si="99"/>
        <v>21.250642698536563</v>
      </c>
      <c r="U3240">
        <v>542</v>
      </c>
      <c r="V3240">
        <v>169</v>
      </c>
      <c r="W3240">
        <v>916</v>
      </c>
      <c r="X3240">
        <v>385</v>
      </c>
      <c r="Y3240">
        <v>58.5</v>
      </c>
      <c r="Z3240">
        <v>43.7</v>
      </c>
      <c r="AA3240">
        <v>73.400000000000006</v>
      </c>
    </row>
    <row r="3241" spans="1:27" x14ac:dyDescent="0.25">
      <c r="A3241" t="s">
        <v>257</v>
      </c>
      <c r="B3241" t="s">
        <v>203</v>
      </c>
      <c r="C3241" s="76">
        <v>43933</v>
      </c>
      <c r="D3241">
        <v>3985</v>
      </c>
      <c r="E3241">
        <v>1685</v>
      </c>
      <c r="F3241">
        <v>6285</v>
      </c>
      <c r="G3241">
        <v>2550</v>
      </c>
      <c r="H3241">
        <v>61</v>
      </c>
      <c r="I3241">
        <v>52.6</v>
      </c>
      <c r="J3241">
        <v>69.400000000000006</v>
      </c>
      <c r="K3241">
        <v>686</v>
      </c>
      <c r="L3241">
        <v>203</v>
      </c>
      <c r="M3241">
        <v>1169</v>
      </c>
      <c r="N3241">
        <v>10.5</v>
      </c>
      <c r="O3241">
        <v>7.4</v>
      </c>
      <c r="P3241">
        <v>13.6</v>
      </c>
      <c r="Q3241">
        <f t="shared" si="100"/>
        <v>3185786</v>
      </c>
      <c r="R3241">
        <f t="shared" si="99"/>
        <v>21.533147549772647</v>
      </c>
      <c r="U3241">
        <v>551</v>
      </c>
      <c r="V3241">
        <v>177</v>
      </c>
      <c r="W3241">
        <v>926</v>
      </c>
      <c r="X3241">
        <v>376</v>
      </c>
      <c r="Y3241">
        <v>59.5</v>
      </c>
      <c r="Z3241">
        <v>44.5</v>
      </c>
      <c r="AA3241">
        <v>74.5</v>
      </c>
    </row>
    <row r="3242" spans="1:27" x14ac:dyDescent="0.25">
      <c r="A3242" t="s">
        <v>257</v>
      </c>
      <c r="B3242" t="s">
        <v>203</v>
      </c>
      <c r="C3242" s="76">
        <v>43934</v>
      </c>
      <c r="D3242">
        <v>4242</v>
      </c>
      <c r="E3242">
        <v>1904</v>
      </c>
      <c r="F3242">
        <v>6580</v>
      </c>
      <c r="G3242">
        <v>2498</v>
      </c>
      <c r="H3242">
        <v>62.9</v>
      </c>
      <c r="I3242">
        <v>55.4</v>
      </c>
      <c r="J3242">
        <v>70.5</v>
      </c>
      <c r="K3242">
        <v>623</v>
      </c>
      <c r="L3242">
        <v>176</v>
      </c>
      <c r="M3242">
        <v>1069</v>
      </c>
      <c r="N3242">
        <v>9.1999999999999993</v>
      </c>
      <c r="O3242">
        <v>6.5</v>
      </c>
      <c r="P3242">
        <v>12</v>
      </c>
      <c r="Q3242">
        <f t="shared" si="100"/>
        <v>3185786</v>
      </c>
      <c r="R3242">
        <f t="shared" si="99"/>
        <v>19.555613591120057</v>
      </c>
      <c r="U3242">
        <v>518</v>
      </c>
      <c r="V3242">
        <v>162</v>
      </c>
      <c r="W3242">
        <v>874</v>
      </c>
      <c r="X3242">
        <v>364</v>
      </c>
      <c r="Y3242">
        <v>58.6</v>
      </c>
      <c r="Z3242">
        <v>46.4</v>
      </c>
      <c r="AA3242">
        <v>70.8</v>
      </c>
    </row>
    <row r="3243" spans="1:27" x14ac:dyDescent="0.25">
      <c r="A3243" t="s">
        <v>257</v>
      </c>
      <c r="B3243" t="s">
        <v>203</v>
      </c>
      <c r="C3243" s="76">
        <v>43935</v>
      </c>
      <c r="D3243">
        <v>4562</v>
      </c>
      <c r="E3243">
        <v>2329</v>
      </c>
      <c r="F3243">
        <v>6795</v>
      </c>
      <c r="G3243">
        <v>2923</v>
      </c>
      <c r="H3243">
        <v>60.9</v>
      </c>
      <c r="I3243">
        <v>54.9</v>
      </c>
      <c r="J3243">
        <v>67</v>
      </c>
      <c r="K3243">
        <v>708</v>
      </c>
      <c r="L3243">
        <v>318</v>
      </c>
      <c r="M3243">
        <v>1097</v>
      </c>
      <c r="N3243">
        <v>9.5</v>
      </c>
      <c r="O3243">
        <v>7.1</v>
      </c>
      <c r="P3243">
        <v>11.8</v>
      </c>
      <c r="Q3243">
        <f t="shared" si="100"/>
        <v>3185786</v>
      </c>
      <c r="R3243">
        <f t="shared" si="99"/>
        <v>22.223714963905294</v>
      </c>
      <c r="U3243">
        <v>604</v>
      </c>
      <c r="V3243">
        <v>192</v>
      </c>
      <c r="W3243">
        <v>1015</v>
      </c>
      <c r="X3243">
        <v>328</v>
      </c>
      <c r="Y3243">
        <v>64.8</v>
      </c>
      <c r="Z3243">
        <v>48.6</v>
      </c>
      <c r="AA3243">
        <v>81</v>
      </c>
    </row>
    <row r="3244" spans="1:27" x14ac:dyDescent="0.25">
      <c r="A3244" t="s">
        <v>257</v>
      </c>
      <c r="B3244" t="s">
        <v>203</v>
      </c>
      <c r="C3244" s="76">
        <v>43936</v>
      </c>
      <c r="D3244">
        <v>4461</v>
      </c>
      <c r="E3244">
        <v>2263</v>
      </c>
      <c r="F3244">
        <v>6659</v>
      </c>
      <c r="G3244">
        <v>3022</v>
      </c>
      <c r="H3244">
        <v>59.6</v>
      </c>
      <c r="I3244">
        <v>53</v>
      </c>
      <c r="J3244">
        <v>66.2</v>
      </c>
      <c r="K3244">
        <v>697</v>
      </c>
      <c r="L3244">
        <v>321</v>
      </c>
      <c r="M3244">
        <v>1073</v>
      </c>
      <c r="N3244">
        <v>9.3000000000000007</v>
      </c>
      <c r="O3244">
        <v>7.2</v>
      </c>
      <c r="P3244">
        <v>11.4</v>
      </c>
      <c r="Q3244">
        <f t="shared" si="100"/>
        <v>3185786</v>
      </c>
      <c r="R3244">
        <f t="shared" si="99"/>
        <v>21.878431256838972</v>
      </c>
      <c r="U3244">
        <v>608</v>
      </c>
      <c r="V3244">
        <v>201</v>
      </c>
      <c r="W3244">
        <v>1015</v>
      </c>
      <c r="X3244">
        <v>318</v>
      </c>
      <c r="Y3244">
        <v>65.599999999999994</v>
      </c>
      <c r="Z3244">
        <v>49.4</v>
      </c>
      <c r="AA3244">
        <v>81.900000000000006</v>
      </c>
    </row>
    <row r="3245" spans="1:27" x14ac:dyDescent="0.25">
      <c r="A3245" t="s">
        <v>257</v>
      </c>
      <c r="B3245" t="s">
        <v>203</v>
      </c>
      <c r="C3245" s="76">
        <v>43937</v>
      </c>
      <c r="D3245">
        <v>4583</v>
      </c>
      <c r="E3245">
        <v>2338</v>
      </c>
      <c r="F3245">
        <v>6828</v>
      </c>
      <c r="G3245">
        <v>2900</v>
      </c>
      <c r="H3245">
        <v>61.2</v>
      </c>
      <c r="I3245">
        <v>54.6</v>
      </c>
      <c r="J3245">
        <v>67.900000000000006</v>
      </c>
      <c r="K3245">
        <v>665</v>
      </c>
      <c r="L3245">
        <v>306</v>
      </c>
      <c r="M3245">
        <v>1024</v>
      </c>
      <c r="N3245">
        <v>8.9</v>
      </c>
      <c r="O3245">
        <v>6.7</v>
      </c>
      <c r="P3245">
        <v>11.1</v>
      </c>
      <c r="Q3245">
        <f t="shared" si="100"/>
        <v>3185786</v>
      </c>
      <c r="R3245">
        <f t="shared" si="99"/>
        <v>20.873969563555118</v>
      </c>
      <c r="U3245">
        <v>613</v>
      </c>
      <c r="V3245">
        <v>216</v>
      </c>
      <c r="W3245">
        <v>1009</v>
      </c>
      <c r="X3245">
        <v>305</v>
      </c>
      <c r="Y3245">
        <v>66.8</v>
      </c>
      <c r="Z3245">
        <v>51.7</v>
      </c>
      <c r="AA3245">
        <v>81.8</v>
      </c>
    </row>
    <row r="3246" spans="1:27" x14ac:dyDescent="0.25">
      <c r="A3246" t="s">
        <v>257</v>
      </c>
      <c r="B3246" t="s">
        <v>203</v>
      </c>
      <c r="C3246" s="76">
        <v>43938</v>
      </c>
      <c r="D3246">
        <v>4595</v>
      </c>
      <c r="E3246">
        <v>2351</v>
      </c>
      <c r="F3246">
        <v>6840</v>
      </c>
      <c r="G3246">
        <v>2888</v>
      </c>
      <c r="H3246">
        <v>61.4</v>
      </c>
      <c r="I3246">
        <v>54.9</v>
      </c>
      <c r="J3246">
        <v>67.900000000000006</v>
      </c>
      <c r="K3246">
        <v>665</v>
      </c>
      <c r="L3246">
        <v>292</v>
      </c>
      <c r="M3246">
        <v>1039</v>
      </c>
      <c r="N3246">
        <v>8.9</v>
      </c>
      <c r="O3246">
        <v>6.3</v>
      </c>
      <c r="P3246">
        <v>11.5</v>
      </c>
      <c r="Q3246">
        <f t="shared" si="100"/>
        <v>3185786</v>
      </c>
      <c r="R3246">
        <f t="shared" si="99"/>
        <v>20.873969563555118</v>
      </c>
      <c r="U3246">
        <v>620</v>
      </c>
      <c r="V3246">
        <v>232</v>
      </c>
      <c r="W3246">
        <v>1009</v>
      </c>
      <c r="X3246">
        <v>293</v>
      </c>
      <c r="Y3246">
        <v>67.900000000000006</v>
      </c>
      <c r="Z3246">
        <v>53.6</v>
      </c>
      <c r="AA3246">
        <v>82.2</v>
      </c>
    </row>
    <row r="3247" spans="1:27" x14ac:dyDescent="0.25">
      <c r="A3247" t="s">
        <v>257</v>
      </c>
      <c r="B3247" t="s">
        <v>203</v>
      </c>
      <c r="C3247" s="76">
        <v>43939</v>
      </c>
      <c r="D3247">
        <v>4662</v>
      </c>
      <c r="E3247">
        <v>2372</v>
      </c>
      <c r="F3247">
        <v>6951</v>
      </c>
      <c r="G3247">
        <v>2797</v>
      </c>
      <c r="H3247">
        <v>62.5</v>
      </c>
      <c r="I3247">
        <v>56.1</v>
      </c>
      <c r="J3247">
        <v>68.900000000000006</v>
      </c>
      <c r="K3247">
        <v>588</v>
      </c>
      <c r="L3247">
        <v>251</v>
      </c>
      <c r="M3247">
        <v>924</v>
      </c>
      <c r="N3247">
        <v>7.9</v>
      </c>
      <c r="O3247">
        <v>5.2</v>
      </c>
      <c r="P3247">
        <v>10.5</v>
      </c>
      <c r="Q3247">
        <f t="shared" si="100"/>
        <v>3185786</v>
      </c>
      <c r="R3247">
        <f t="shared" si="99"/>
        <v>18.456983614090841</v>
      </c>
      <c r="U3247">
        <v>594</v>
      </c>
      <c r="V3247">
        <v>220</v>
      </c>
      <c r="W3247">
        <v>969</v>
      </c>
      <c r="X3247">
        <v>314</v>
      </c>
      <c r="Y3247">
        <v>65.400000000000006</v>
      </c>
      <c r="Z3247">
        <v>51.7</v>
      </c>
      <c r="AA3247">
        <v>79.099999999999994</v>
      </c>
    </row>
    <row r="3248" spans="1:27" x14ac:dyDescent="0.25">
      <c r="A3248" t="s">
        <v>257</v>
      </c>
      <c r="B3248" t="s">
        <v>203</v>
      </c>
      <c r="C3248" s="76">
        <v>43940</v>
      </c>
      <c r="D3248">
        <v>4707</v>
      </c>
      <c r="E3248">
        <v>2385</v>
      </c>
      <c r="F3248">
        <v>7028</v>
      </c>
      <c r="G3248">
        <v>2828</v>
      </c>
      <c r="H3248">
        <v>62.5</v>
      </c>
      <c r="I3248">
        <v>55.7</v>
      </c>
      <c r="J3248">
        <v>69.2</v>
      </c>
      <c r="K3248">
        <v>585</v>
      </c>
      <c r="L3248">
        <v>257</v>
      </c>
      <c r="M3248">
        <v>914</v>
      </c>
      <c r="N3248">
        <v>7.8</v>
      </c>
      <c r="O3248">
        <v>5.3</v>
      </c>
      <c r="P3248">
        <v>10.199999999999999</v>
      </c>
      <c r="Q3248">
        <f t="shared" si="100"/>
        <v>3185786</v>
      </c>
      <c r="R3248">
        <f t="shared" si="99"/>
        <v>18.362815330345477</v>
      </c>
      <c r="U3248">
        <v>571</v>
      </c>
      <c r="V3248">
        <v>200</v>
      </c>
      <c r="W3248">
        <v>943</v>
      </c>
      <c r="X3248">
        <v>350</v>
      </c>
      <c r="Y3248">
        <v>62</v>
      </c>
      <c r="Z3248">
        <v>47.5</v>
      </c>
      <c r="AA3248">
        <v>76.599999999999994</v>
      </c>
    </row>
    <row r="3249" spans="1:27" x14ac:dyDescent="0.25">
      <c r="A3249" t="s">
        <v>257</v>
      </c>
      <c r="B3249" t="s">
        <v>203</v>
      </c>
      <c r="C3249" s="76">
        <v>43941</v>
      </c>
      <c r="D3249">
        <v>4571</v>
      </c>
      <c r="E3249">
        <v>2314</v>
      </c>
      <c r="F3249">
        <v>6829</v>
      </c>
      <c r="G3249">
        <v>2963</v>
      </c>
      <c r="H3249">
        <v>60.7</v>
      </c>
      <c r="I3249">
        <v>54</v>
      </c>
      <c r="J3249">
        <v>67.3</v>
      </c>
      <c r="K3249">
        <v>603</v>
      </c>
      <c r="L3249">
        <v>249</v>
      </c>
      <c r="M3249">
        <v>957</v>
      </c>
      <c r="N3249">
        <v>8</v>
      </c>
      <c r="O3249">
        <v>5.2</v>
      </c>
      <c r="P3249">
        <v>10.8</v>
      </c>
      <c r="Q3249">
        <f t="shared" si="100"/>
        <v>3185786</v>
      </c>
      <c r="R3249">
        <f t="shared" si="99"/>
        <v>18.927825032817648</v>
      </c>
      <c r="U3249">
        <v>576</v>
      </c>
      <c r="V3249">
        <v>211</v>
      </c>
      <c r="W3249">
        <v>941</v>
      </c>
      <c r="X3249">
        <v>345</v>
      </c>
      <c r="Y3249">
        <v>62.5</v>
      </c>
      <c r="Z3249">
        <v>49.4</v>
      </c>
      <c r="AA3249">
        <v>75.7</v>
      </c>
    </row>
    <row r="3250" spans="1:27" x14ac:dyDescent="0.25">
      <c r="A3250" t="s">
        <v>257</v>
      </c>
      <c r="B3250" t="s">
        <v>203</v>
      </c>
      <c r="C3250" s="76">
        <v>43942</v>
      </c>
      <c r="D3250">
        <v>4671</v>
      </c>
      <c r="E3250">
        <v>2312</v>
      </c>
      <c r="F3250">
        <v>7029</v>
      </c>
      <c r="G3250">
        <v>2651</v>
      </c>
      <c r="H3250">
        <v>63.8</v>
      </c>
      <c r="I3250">
        <v>57.3</v>
      </c>
      <c r="J3250">
        <v>70.3</v>
      </c>
      <c r="K3250">
        <v>601</v>
      </c>
      <c r="L3250">
        <v>257</v>
      </c>
      <c r="M3250">
        <v>946</v>
      </c>
      <c r="N3250">
        <v>8.1999999999999993</v>
      </c>
      <c r="O3250">
        <v>6</v>
      </c>
      <c r="P3250">
        <v>10.4</v>
      </c>
      <c r="Q3250">
        <f t="shared" si="100"/>
        <v>3185786</v>
      </c>
      <c r="R3250">
        <f t="shared" si="99"/>
        <v>18.865046176987406</v>
      </c>
      <c r="U3250">
        <v>603</v>
      </c>
      <c r="V3250">
        <v>223</v>
      </c>
      <c r="W3250">
        <v>982</v>
      </c>
      <c r="X3250">
        <v>275</v>
      </c>
      <c r="Y3250">
        <v>68.7</v>
      </c>
      <c r="Z3250">
        <v>54.9</v>
      </c>
      <c r="AA3250">
        <v>82.4</v>
      </c>
    </row>
    <row r="3251" spans="1:27" x14ac:dyDescent="0.25">
      <c r="A3251" t="s">
        <v>257</v>
      </c>
      <c r="B3251" t="s">
        <v>203</v>
      </c>
      <c r="C3251" s="76">
        <v>43943</v>
      </c>
      <c r="D3251">
        <v>4640</v>
      </c>
      <c r="E3251">
        <v>2281</v>
      </c>
      <c r="F3251">
        <v>6999</v>
      </c>
      <c r="G3251">
        <v>2672</v>
      </c>
      <c r="H3251">
        <v>63.5</v>
      </c>
      <c r="I3251">
        <v>56.9</v>
      </c>
      <c r="J3251">
        <v>70</v>
      </c>
      <c r="K3251">
        <v>593</v>
      </c>
      <c r="L3251">
        <v>253</v>
      </c>
      <c r="M3251">
        <v>933</v>
      </c>
      <c r="N3251">
        <v>8.1</v>
      </c>
      <c r="O3251">
        <v>6</v>
      </c>
      <c r="P3251">
        <v>10.199999999999999</v>
      </c>
      <c r="Q3251">
        <f t="shared" si="100"/>
        <v>3185786</v>
      </c>
      <c r="R3251">
        <f t="shared" si="99"/>
        <v>18.613930753666441</v>
      </c>
      <c r="U3251">
        <v>606</v>
      </c>
      <c r="V3251">
        <v>224</v>
      </c>
      <c r="W3251">
        <v>988</v>
      </c>
      <c r="X3251">
        <v>271</v>
      </c>
      <c r="Y3251">
        <v>69.099999999999994</v>
      </c>
      <c r="Z3251">
        <v>55.4</v>
      </c>
      <c r="AA3251">
        <v>82.7</v>
      </c>
    </row>
    <row r="3252" spans="1:27" x14ac:dyDescent="0.25">
      <c r="A3252" t="s">
        <v>257</v>
      </c>
      <c r="B3252" t="s">
        <v>203</v>
      </c>
      <c r="C3252" s="76">
        <v>43944</v>
      </c>
      <c r="D3252">
        <v>4592</v>
      </c>
      <c r="E3252">
        <v>2259</v>
      </c>
      <c r="F3252">
        <v>6926</v>
      </c>
      <c r="G3252">
        <v>2719</v>
      </c>
      <c r="H3252">
        <v>62.8</v>
      </c>
      <c r="I3252">
        <v>55.9</v>
      </c>
      <c r="J3252">
        <v>69.7</v>
      </c>
      <c r="K3252">
        <v>564</v>
      </c>
      <c r="L3252">
        <v>242</v>
      </c>
      <c r="M3252">
        <v>885</v>
      </c>
      <c r="N3252">
        <v>7.7</v>
      </c>
      <c r="O3252">
        <v>5.7</v>
      </c>
      <c r="P3252">
        <v>9.6999999999999993</v>
      </c>
      <c r="Q3252">
        <f t="shared" si="100"/>
        <v>3185786</v>
      </c>
      <c r="R3252">
        <f t="shared" si="99"/>
        <v>17.703637344127948</v>
      </c>
      <c r="U3252">
        <v>604</v>
      </c>
      <c r="V3252">
        <v>218</v>
      </c>
      <c r="W3252">
        <v>990</v>
      </c>
      <c r="X3252">
        <v>255</v>
      </c>
      <c r="Y3252">
        <v>70.3</v>
      </c>
      <c r="Z3252">
        <v>55.2</v>
      </c>
      <c r="AA3252">
        <v>85.5</v>
      </c>
    </row>
    <row r="3253" spans="1:27" x14ac:dyDescent="0.25">
      <c r="A3253" t="s">
        <v>257</v>
      </c>
      <c r="B3253" t="s">
        <v>203</v>
      </c>
      <c r="C3253" s="76">
        <v>43945</v>
      </c>
      <c r="D3253">
        <v>4597</v>
      </c>
      <c r="E3253">
        <v>2242</v>
      </c>
      <c r="F3253">
        <v>6952</v>
      </c>
      <c r="G3253">
        <v>2715</v>
      </c>
      <c r="H3253">
        <v>62.9</v>
      </c>
      <c r="I3253">
        <v>55.8</v>
      </c>
      <c r="J3253">
        <v>70</v>
      </c>
      <c r="K3253">
        <v>571</v>
      </c>
      <c r="L3253">
        <v>251</v>
      </c>
      <c r="M3253">
        <v>891</v>
      </c>
      <c r="N3253">
        <v>7.8</v>
      </c>
      <c r="O3253">
        <v>6</v>
      </c>
      <c r="P3253">
        <v>9.6</v>
      </c>
      <c r="Q3253">
        <f t="shared" si="100"/>
        <v>3185786</v>
      </c>
      <c r="R3253">
        <f t="shared" si="99"/>
        <v>17.92336333953379</v>
      </c>
      <c r="U3253">
        <v>567</v>
      </c>
      <c r="V3253">
        <v>195</v>
      </c>
      <c r="W3253">
        <v>938</v>
      </c>
      <c r="X3253">
        <v>292</v>
      </c>
      <c r="Y3253">
        <v>66</v>
      </c>
      <c r="Z3253">
        <v>51</v>
      </c>
      <c r="AA3253">
        <v>81</v>
      </c>
    </row>
    <row r="3254" spans="1:27" x14ac:dyDescent="0.25">
      <c r="A3254" t="s">
        <v>257</v>
      </c>
      <c r="B3254" t="s">
        <v>203</v>
      </c>
      <c r="C3254" s="76">
        <v>43946</v>
      </c>
      <c r="D3254">
        <v>4539</v>
      </c>
      <c r="E3254">
        <v>2223</v>
      </c>
      <c r="F3254">
        <v>6854</v>
      </c>
      <c r="G3254">
        <v>2773</v>
      </c>
      <c r="H3254">
        <v>62.1</v>
      </c>
      <c r="I3254">
        <v>54.9</v>
      </c>
      <c r="J3254">
        <v>69.2</v>
      </c>
      <c r="K3254">
        <v>573</v>
      </c>
      <c r="L3254">
        <v>260</v>
      </c>
      <c r="M3254">
        <v>887</v>
      </c>
      <c r="N3254">
        <v>7.8</v>
      </c>
      <c r="O3254">
        <v>6.1</v>
      </c>
      <c r="P3254">
        <v>9.6</v>
      </c>
      <c r="Q3254">
        <f t="shared" si="100"/>
        <v>3185786</v>
      </c>
      <c r="R3254">
        <f t="shared" si="99"/>
        <v>17.986142195364032</v>
      </c>
      <c r="U3254">
        <v>582</v>
      </c>
      <c r="V3254">
        <v>218</v>
      </c>
      <c r="W3254">
        <v>947</v>
      </c>
      <c r="X3254">
        <v>277</v>
      </c>
      <c r="Y3254">
        <v>67.8</v>
      </c>
      <c r="Z3254">
        <v>53.4</v>
      </c>
      <c r="AA3254">
        <v>82.1</v>
      </c>
    </row>
    <row r="3255" spans="1:27" x14ac:dyDescent="0.25">
      <c r="A3255" t="s">
        <v>257</v>
      </c>
      <c r="B3255" t="s">
        <v>203</v>
      </c>
      <c r="C3255" s="76">
        <v>43947</v>
      </c>
      <c r="D3255">
        <v>4436</v>
      </c>
      <c r="E3255">
        <v>2179</v>
      </c>
      <c r="F3255">
        <v>6693</v>
      </c>
      <c r="G3255">
        <v>2876</v>
      </c>
      <c r="H3255">
        <v>60.7</v>
      </c>
      <c r="I3255">
        <v>53.6</v>
      </c>
      <c r="J3255">
        <v>67.7</v>
      </c>
      <c r="K3255">
        <v>531</v>
      </c>
      <c r="L3255">
        <v>242</v>
      </c>
      <c r="M3255">
        <v>820</v>
      </c>
      <c r="N3255">
        <v>7.3</v>
      </c>
      <c r="O3255">
        <v>5.6</v>
      </c>
      <c r="P3255">
        <v>8.9</v>
      </c>
      <c r="Q3255">
        <f t="shared" si="100"/>
        <v>3185786</v>
      </c>
      <c r="R3255">
        <f t="shared" si="99"/>
        <v>16.667786222928974</v>
      </c>
      <c r="U3255">
        <v>572</v>
      </c>
      <c r="V3255">
        <v>210</v>
      </c>
      <c r="W3255">
        <v>934</v>
      </c>
      <c r="X3255">
        <v>287</v>
      </c>
      <c r="Y3255">
        <v>66.599999999999994</v>
      </c>
      <c r="Z3255">
        <v>52</v>
      </c>
      <c r="AA3255">
        <v>81.2</v>
      </c>
    </row>
    <row r="3256" spans="1:27" x14ac:dyDescent="0.25">
      <c r="A3256" t="s">
        <v>257</v>
      </c>
      <c r="B3256" t="s">
        <v>203</v>
      </c>
      <c r="C3256" s="76">
        <v>43948</v>
      </c>
      <c r="D3256">
        <v>4581</v>
      </c>
      <c r="E3256">
        <v>2327</v>
      </c>
      <c r="F3256">
        <v>6834</v>
      </c>
      <c r="G3256">
        <v>2799</v>
      </c>
      <c r="H3256">
        <v>62.1</v>
      </c>
      <c r="I3256">
        <v>55.7</v>
      </c>
      <c r="J3256">
        <v>68.5</v>
      </c>
      <c r="K3256">
        <v>598</v>
      </c>
      <c r="L3256">
        <v>279</v>
      </c>
      <c r="M3256">
        <v>918</v>
      </c>
      <c r="N3256">
        <v>8.1</v>
      </c>
      <c r="O3256">
        <v>6.1</v>
      </c>
      <c r="P3256">
        <v>10.1</v>
      </c>
      <c r="Q3256">
        <f t="shared" si="100"/>
        <v>3185786</v>
      </c>
      <c r="R3256">
        <f t="shared" si="99"/>
        <v>18.770877893242044</v>
      </c>
      <c r="U3256">
        <v>584</v>
      </c>
      <c r="V3256">
        <v>224</v>
      </c>
      <c r="W3256">
        <v>944</v>
      </c>
      <c r="X3256">
        <v>277</v>
      </c>
      <c r="Y3256">
        <v>67.8</v>
      </c>
      <c r="Z3256">
        <v>54.1</v>
      </c>
      <c r="AA3256">
        <v>81.5</v>
      </c>
    </row>
    <row r="3257" spans="1:27" x14ac:dyDescent="0.25">
      <c r="A3257" t="s">
        <v>257</v>
      </c>
      <c r="B3257" t="s">
        <v>203</v>
      </c>
      <c r="C3257" s="76">
        <v>43949</v>
      </c>
      <c r="D3257">
        <v>4615</v>
      </c>
      <c r="E3257">
        <v>2356</v>
      </c>
      <c r="F3257">
        <v>6875</v>
      </c>
      <c r="G3257">
        <v>2997</v>
      </c>
      <c r="H3257">
        <v>60.6</v>
      </c>
      <c r="I3257">
        <v>53.9</v>
      </c>
      <c r="J3257">
        <v>67.400000000000006</v>
      </c>
      <c r="K3257">
        <v>630</v>
      </c>
      <c r="L3257">
        <v>296</v>
      </c>
      <c r="M3257">
        <v>963</v>
      </c>
      <c r="N3257">
        <v>8.3000000000000007</v>
      </c>
      <c r="O3257">
        <v>6.1</v>
      </c>
      <c r="P3257">
        <v>10.4</v>
      </c>
      <c r="Q3257">
        <f t="shared" si="100"/>
        <v>3185786</v>
      </c>
      <c r="R3257">
        <f t="shared" si="99"/>
        <v>19.775339586525899</v>
      </c>
      <c r="U3257">
        <v>599</v>
      </c>
      <c r="V3257">
        <v>235</v>
      </c>
      <c r="W3257">
        <v>963</v>
      </c>
      <c r="X3257">
        <v>256</v>
      </c>
      <c r="Y3257">
        <v>70</v>
      </c>
      <c r="Z3257">
        <v>57.9</v>
      </c>
      <c r="AA3257">
        <v>82.2</v>
      </c>
    </row>
    <row r="3258" spans="1:27" x14ac:dyDescent="0.25">
      <c r="A3258" t="s">
        <v>257</v>
      </c>
      <c r="B3258" t="s">
        <v>203</v>
      </c>
      <c r="C3258" s="76">
        <v>43950</v>
      </c>
      <c r="D3258">
        <v>4714</v>
      </c>
      <c r="E3258">
        <v>2385</v>
      </c>
      <c r="F3258">
        <v>7042</v>
      </c>
      <c r="G3258">
        <v>2898</v>
      </c>
      <c r="H3258">
        <v>61.9</v>
      </c>
      <c r="I3258">
        <v>54.3</v>
      </c>
      <c r="J3258">
        <v>69.599999999999994</v>
      </c>
      <c r="K3258">
        <v>629</v>
      </c>
      <c r="L3258">
        <v>291</v>
      </c>
      <c r="M3258">
        <v>967</v>
      </c>
      <c r="N3258">
        <v>8.3000000000000007</v>
      </c>
      <c r="O3258">
        <v>6.1</v>
      </c>
      <c r="P3258">
        <v>10.4</v>
      </c>
      <c r="Q3258">
        <f t="shared" si="100"/>
        <v>3185786</v>
      </c>
      <c r="R3258">
        <f t="shared" si="99"/>
        <v>19.74395015861078</v>
      </c>
      <c r="U3258">
        <v>615</v>
      </c>
      <c r="V3258">
        <v>238</v>
      </c>
      <c r="W3258">
        <v>992</v>
      </c>
      <c r="X3258">
        <v>241</v>
      </c>
      <c r="Y3258">
        <v>71.8</v>
      </c>
      <c r="Z3258">
        <v>57.5</v>
      </c>
      <c r="AA3258">
        <v>86.1</v>
      </c>
    </row>
    <row r="3259" spans="1:27" x14ac:dyDescent="0.25">
      <c r="A3259" t="s">
        <v>257</v>
      </c>
      <c r="B3259" t="s">
        <v>203</v>
      </c>
      <c r="C3259" s="76">
        <v>43951</v>
      </c>
      <c r="D3259">
        <v>4916</v>
      </c>
      <c r="E3259">
        <v>2489</v>
      </c>
      <c r="F3259">
        <v>7344</v>
      </c>
      <c r="G3259">
        <v>2550</v>
      </c>
      <c r="H3259">
        <v>65.8</v>
      </c>
      <c r="I3259">
        <v>57.5</v>
      </c>
      <c r="J3259">
        <v>74.2</v>
      </c>
      <c r="K3259">
        <v>580</v>
      </c>
      <c r="L3259">
        <v>266</v>
      </c>
      <c r="M3259">
        <v>894</v>
      </c>
      <c r="N3259">
        <v>7.8</v>
      </c>
      <c r="O3259">
        <v>5.9</v>
      </c>
      <c r="P3259">
        <v>9.6999999999999993</v>
      </c>
      <c r="Q3259">
        <f t="shared" si="100"/>
        <v>3185786</v>
      </c>
      <c r="R3259">
        <f t="shared" si="99"/>
        <v>18.205868190769877</v>
      </c>
      <c r="U3259">
        <v>603</v>
      </c>
      <c r="V3259">
        <v>229</v>
      </c>
      <c r="W3259">
        <v>978</v>
      </c>
      <c r="X3259">
        <v>252</v>
      </c>
      <c r="Y3259">
        <v>70.5</v>
      </c>
      <c r="Z3259">
        <v>56</v>
      </c>
      <c r="AA3259">
        <v>85</v>
      </c>
    </row>
    <row r="3260" spans="1:27" x14ac:dyDescent="0.25">
      <c r="A3260" t="s">
        <v>257</v>
      </c>
      <c r="B3260" t="s">
        <v>203</v>
      </c>
      <c r="C3260" s="76">
        <v>43952</v>
      </c>
      <c r="D3260">
        <v>4905</v>
      </c>
      <c r="E3260">
        <v>2480</v>
      </c>
      <c r="F3260">
        <v>7331</v>
      </c>
      <c r="G3260">
        <v>2561</v>
      </c>
      <c r="H3260">
        <v>65.7</v>
      </c>
      <c r="I3260">
        <v>59.1</v>
      </c>
      <c r="J3260">
        <v>72.3</v>
      </c>
      <c r="K3260">
        <v>562</v>
      </c>
      <c r="L3260">
        <v>249</v>
      </c>
      <c r="M3260">
        <v>876</v>
      </c>
      <c r="N3260">
        <v>7.5</v>
      </c>
      <c r="O3260">
        <v>5.6</v>
      </c>
      <c r="P3260">
        <v>9.5</v>
      </c>
      <c r="Q3260">
        <f t="shared" si="100"/>
        <v>3185786</v>
      </c>
      <c r="R3260">
        <f t="shared" si="99"/>
        <v>17.640858488297706</v>
      </c>
      <c r="U3260">
        <v>591</v>
      </c>
      <c r="V3260">
        <v>239</v>
      </c>
      <c r="W3260">
        <v>944</v>
      </c>
      <c r="X3260">
        <v>264</v>
      </c>
      <c r="Y3260">
        <v>69.099999999999994</v>
      </c>
      <c r="Z3260">
        <v>57.8</v>
      </c>
      <c r="AA3260">
        <v>80.400000000000006</v>
      </c>
    </row>
    <row r="3261" spans="1:27" x14ac:dyDescent="0.25">
      <c r="A3261" t="s">
        <v>257</v>
      </c>
      <c r="B3261" t="s">
        <v>203</v>
      </c>
      <c r="C3261" s="76">
        <v>43953</v>
      </c>
      <c r="D3261">
        <v>4760</v>
      </c>
      <c r="E3261">
        <v>2379</v>
      </c>
      <c r="F3261">
        <v>7141</v>
      </c>
      <c r="G3261">
        <v>2706</v>
      </c>
      <c r="H3261">
        <v>63.8</v>
      </c>
      <c r="I3261">
        <v>57</v>
      </c>
      <c r="J3261">
        <v>70.599999999999994</v>
      </c>
      <c r="K3261">
        <v>539</v>
      </c>
      <c r="L3261">
        <v>238</v>
      </c>
      <c r="M3261">
        <v>840</v>
      </c>
      <c r="N3261">
        <v>7.2</v>
      </c>
      <c r="O3261">
        <v>5.3</v>
      </c>
      <c r="P3261">
        <v>9.1</v>
      </c>
      <c r="Q3261">
        <f t="shared" si="100"/>
        <v>3185786</v>
      </c>
      <c r="R3261">
        <f t="shared" si="99"/>
        <v>16.918901646249935</v>
      </c>
      <c r="U3261">
        <v>583</v>
      </c>
      <c r="V3261">
        <v>217</v>
      </c>
      <c r="W3261">
        <v>950</v>
      </c>
      <c r="X3261">
        <v>272</v>
      </c>
      <c r="Y3261">
        <v>68.2</v>
      </c>
      <c r="Z3261">
        <v>54.2</v>
      </c>
      <c r="AA3261">
        <v>82.2</v>
      </c>
    </row>
    <row r="3262" spans="1:27" x14ac:dyDescent="0.25">
      <c r="A3262" t="s">
        <v>257</v>
      </c>
      <c r="B3262" t="s">
        <v>203</v>
      </c>
      <c r="C3262" s="76">
        <v>43954</v>
      </c>
      <c r="D3262">
        <v>4657</v>
      </c>
      <c r="E3262">
        <v>2319</v>
      </c>
      <c r="F3262">
        <v>6995</v>
      </c>
      <c r="G3262">
        <v>2809</v>
      </c>
      <c r="H3262">
        <v>62.4</v>
      </c>
      <c r="I3262">
        <v>55.7</v>
      </c>
      <c r="J3262">
        <v>69.099999999999994</v>
      </c>
      <c r="K3262">
        <v>528</v>
      </c>
      <c r="L3262">
        <v>239</v>
      </c>
      <c r="M3262">
        <v>817</v>
      </c>
      <c r="N3262">
        <v>7.1</v>
      </c>
      <c r="O3262">
        <v>5.2</v>
      </c>
      <c r="P3262">
        <v>9</v>
      </c>
      <c r="Q3262">
        <f t="shared" si="100"/>
        <v>3185786</v>
      </c>
      <c r="R3262">
        <f t="shared" si="99"/>
        <v>16.573617939183613</v>
      </c>
      <c r="U3262">
        <v>552</v>
      </c>
      <c r="V3262">
        <v>208</v>
      </c>
      <c r="W3262">
        <v>897</v>
      </c>
      <c r="X3262">
        <v>303</v>
      </c>
      <c r="Y3262">
        <v>64.5</v>
      </c>
      <c r="Z3262">
        <v>51.4</v>
      </c>
      <c r="AA3262">
        <v>77.7</v>
      </c>
    </row>
    <row r="3263" spans="1:27" x14ac:dyDescent="0.25">
      <c r="A3263" t="s">
        <v>257</v>
      </c>
      <c r="B3263" t="s">
        <v>203</v>
      </c>
      <c r="C3263" s="76">
        <v>43955</v>
      </c>
      <c r="D3263">
        <v>4689</v>
      </c>
      <c r="E3263">
        <v>2366</v>
      </c>
      <c r="F3263">
        <v>7012</v>
      </c>
      <c r="G3263">
        <v>2775</v>
      </c>
      <c r="H3263">
        <v>62.8</v>
      </c>
      <c r="I3263">
        <v>56.6</v>
      </c>
      <c r="J3263">
        <v>69</v>
      </c>
      <c r="K3263">
        <v>493</v>
      </c>
      <c r="L3263">
        <v>228</v>
      </c>
      <c r="M3263">
        <v>758</v>
      </c>
      <c r="N3263">
        <v>6.6</v>
      </c>
      <c r="O3263">
        <v>4.9000000000000004</v>
      </c>
      <c r="P3263">
        <v>8.3000000000000007</v>
      </c>
      <c r="Q3263">
        <f t="shared" si="100"/>
        <v>3185786</v>
      </c>
      <c r="R3263">
        <f t="shared" si="99"/>
        <v>15.474987962154396</v>
      </c>
      <c r="U3263">
        <v>558</v>
      </c>
      <c r="V3263">
        <v>214</v>
      </c>
      <c r="W3263">
        <v>902</v>
      </c>
      <c r="X3263">
        <v>298</v>
      </c>
      <c r="Y3263">
        <v>65.2</v>
      </c>
      <c r="Z3263">
        <v>52.7</v>
      </c>
      <c r="AA3263">
        <v>77.7</v>
      </c>
    </row>
    <row r="3264" spans="1:27" x14ac:dyDescent="0.25">
      <c r="A3264" t="s">
        <v>257</v>
      </c>
      <c r="B3264" t="s">
        <v>203</v>
      </c>
      <c r="C3264" s="76">
        <v>43956</v>
      </c>
      <c r="D3264">
        <v>4813</v>
      </c>
      <c r="E3264">
        <v>2400</v>
      </c>
      <c r="F3264">
        <v>7227</v>
      </c>
      <c r="G3264">
        <v>2651</v>
      </c>
      <c r="H3264">
        <v>64.5</v>
      </c>
      <c r="I3264">
        <v>57.6</v>
      </c>
      <c r="J3264">
        <v>71.3</v>
      </c>
      <c r="K3264">
        <v>528</v>
      </c>
      <c r="L3264">
        <v>248</v>
      </c>
      <c r="M3264">
        <v>808</v>
      </c>
      <c r="N3264">
        <v>7.1</v>
      </c>
      <c r="O3264">
        <v>5.5</v>
      </c>
      <c r="P3264">
        <v>8.6999999999999993</v>
      </c>
      <c r="Q3264">
        <f t="shared" si="100"/>
        <v>3185786</v>
      </c>
      <c r="R3264">
        <f t="shared" si="99"/>
        <v>16.573617939183613</v>
      </c>
      <c r="U3264">
        <v>568</v>
      </c>
      <c r="V3264">
        <v>225</v>
      </c>
      <c r="W3264">
        <v>911</v>
      </c>
      <c r="X3264">
        <v>287</v>
      </c>
      <c r="Y3264">
        <v>66.400000000000006</v>
      </c>
      <c r="Z3264">
        <v>54.5</v>
      </c>
      <c r="AA3264">
        <v>78.3</v>
      </c>
    </row>
    <row r="3265" spans="1:27" x14ac:dyDescent="0.25">
      <c r="A3265" t="s">
        <v>257</v>
      </c>
      <c r="B3265" t="s">
        <v>203</v>
      </c>
      <c r="C3265" s="76">
        <v>43957</v>
      </c>
      <c r="D3265">
        <v>4857</v>
      </c>
      <c r="E3265">
        <v>2417</v>
      </c>
      <c r="F3265">
        <v>7297</v>
      </c>
      <c r="G3265">
        <v>2609</v>
      </c>
      <c r="H3265">
        <v>65.099999999999994</v>
      </c>
      <c r="I3265">
        <v>58.6</v>
      </c>
      <c r="J3265">
        <v>71.599999999999994</v>
      </c>
      <c r="K3265">
        <v>511</v>
      </c>
      <c r="L3265">
        <v>241</v>
      </c>
      <c r="M3265">
        <v>782</v>
      </c>
      <c r="N3265">
        <v>6.9</v>
      </c>
      <c r="O3265">
        <v>5.0999999999999996</v>
      </c>
      <c r="P3265">
        <v>8.6</v>
      </c>
      <c r="Q3265">
        <f t="shared" si="100"/>
        <v>3185786</v>
      </c>
      <c r="R3265">
        <f t="shared" si="99"/>
        <v>16.039997664626561</v>
      </c>
      <c r="U3265">
        <v>573</v>
      </c>
      <c r="V3265">
        <v>220</v>
      </c>
      <c r="W3265">
        <v>926</v>
      </c>
      <c r="X3265">
        <v>282</v>
      </c>
      <c r="Y3265">
        <v>67</v>
      </c>
      <c r="Z3265">
        <v>54.9</v>
      </c>
      <c r="AA3265">
        <v>79.099999999999994</v>
      </c>
    </row>
    <row r="3266" spans="1:27" x14ac:dyDescent="0.25">
      <c r="A3266" t="s">
        <v>257</v>
      </c>
      <c r="B3266" t="s">
        <v>203</v>
      </c>
      <c r="C3266" s="76">
        <v>43958</v>
      </c>
      <c r="D3266">
        <v>4872</v>
      </c>
      <c r="E3266">
        <v>2436</v>
      </c>
      <c r="F3266">
        <v>7309</v>
      </c>
      <c r="G3266">
        <v>2594</v>
      </c>
      <c r="H3266">
        <v>65.3</v>
      </c>
      <c r="I3266">
        <v>57.8</v>
      </c>
      <c r="J3266">
        <v>72.7</v>
      </c>
      <c r="K3266">
        <v>489</v>
      </c>
      <c r="L3266">
        <v>231</v>
      </c>
      <c r="M3266">
        <v>747</v>
      </c>
      <c r="N3266">
        <v>6.5</v>
      </c>
      <c r="O3266">
        <v>4.9000000000000004</v>
      </c>
      <c r="P3266">
        <v>8.1999999999999993</v>
      </c>
      <c r="Q3266">
        <f t="shared" si="100"/>
        <v>3185786</v>
      </c>
      <c r="R3266">
        <f t="shared" si="99"/>
        <v>15.349430250493912</v>
      </c>
      <c r="U3266">
        <v>565</v>
      </c>
      <c r="V3266">
        <v>214</v>
      </c>
      <c r="W3266">
        <v>916</v>
      </c>
      <c r="X3266">
        <v>290</v>
      </c>
      <c r="Y3266">
        <v>66.099999999999994</v>
      </c>
      <c r="Z3266">
        <v>53.4</v>
      </c>
      <c r="AA3266">
        <v>78.8</v>
      </c>
    </row>
    <row r="3267" spans="1:27" x14ac:dyDescent="0.25">
      <c r="A3267" t="s">
        <v>257</v>
      </c>
      <c r="B3267" t="s">
        <v>203</v>
      </c>
      <c r="C3267" s="76">
        <v>43959</v>
      </c>
      <c r="D3267">
        <v>4843</v>
      </c>
      <c r="E3267">
        <v>2412</v>
      </c>
      <c r="F3267">
        <v>7274</v>
      </c>
      <c r="G3267">
        <v>2623</v>
      </c>
      <c r="H3267">
        <v>64.900000000000006</v>
      </c>
      <c r="I3267">
        <v>57.7</v>
      </c>
      <c r="J3267">
        <v>72</v>
      </c>
      <c r="K3267">
        <v>511</v>
      </c>
      <c r="L3267">
        <v>233</v>
      </c>
      <c r="M3267">
        <v>789</v>
      </c>
      <c r="N3267">
        <v>6.8</v>
      </c>
      <c r="O3267">
        <v>5</v>
      </c>
      <c r="P3267">
        <v>8.6999999999999993</v>
      </c>
      <c r="Q3267">
        <f t="shared" si="100"/>
        <v>3185786</v>
      </c>
      <c r="R3267">
        <f t="shared" si="99"/>
        <v>16.039997664626561</v>
      </c>
      <c r="U3267">
        <v>569</v>
      </c>
      <c r="V3267">
        <v>213</v>
      </c>
      <c r="W3267">
        <v>924</v>
      </c>
      <c r="X3267">
        <v>287</v>
      </c>
      <c r="Y3267">
        <v>66.5</v>
      </c>
      <c r="Z3267">
        <v>53.3</v>
      </c>
      <c r="AA3267">
        <v>79.599999999999994</v>
      </c>
    </row>
    <row r="3268" spans="1:27" x14ac:dyDescent="0.25">
      <c r="A3268" t="s">
        <v>257</v>
      </c>
      <c r="B3268" t="s">
        <v>203</v>
      </c>
      <c r="C3268" s="76">
        <v>43960</v>
      </c>
      <c r="D3268">
        <v>4916</v>
      </c>
      <c r="E3268">
        <v>2479</v>
      </c>
      <c r="F3268">
        <v>7353</v>
      </c>
      <c r="G3268">
        <v>2507</v>
      </c>
      <c r="H3268">
        <v>66.2</v>
      </c>
      <c r="I3268">
        <v>59.3</v>
      </c>
      <c r="J3268">
        <v>73.099999999999994</v>
      </c>
      <c r="K3268">
        <v>509</v>
      </c>
      <c r="L3268">
        <v>235</v>
      </c>
      <c r="M3268">
        <v>784</v>
      </c>
      <c r="N3268">
        <v>6.9</v>
      </c>
      <c r="O3268">
        <v>5</v>
      </c>
      <c r="P3268">
        <v>8.6999999999999993</v>
      </c>
      <c r="Q3268">
        <f t="shared" si="100"/>
        <v>3185786</v>
      </c>
      <c r="R3268">
        <f t="shared" si="99"/>
        <v>15.977218808796323</v>
      </c>
      <c r="U3268">
        <v>575</v>
      </c>
      <c r="V3268">
        <v>211</v>
      </c>
      <c r="W3268">
        <v>938</v>
      </c>
      <c r="X3268">
        <v>241</v>
      </c>
      <c r="Y3268">
        <v>70.400000000000006</v>
      </c>
      <c r="Z3268">
        <v>58.7</v>
      </c>
      <c r="AA3268">
        <v>82.1</v>
      </c>
    </row>
    <row r="3269" spans="1:27" x14ac:dyDescent="0.25">
      <c r="A3269" t="s">
        <v>257</v>
      </c>
      <c r="B3269" t="s">
        <v>203</v>
      </c>
      <c r="C3269" s="76">
        <v>43961</v>
      </c>
      <c r="D3269">
        <v>4834</v>
      </c>
      <c r="E3269">
        <v>2413</v>
      </c>
      <c r="F3269">
        <v>7254</v>
      </c>
      <c r="G3269">
        <v>2563</v>
      </c>
      <c r="H3269">
        <v>65.3</v>
      </c>
      <c r="I3269">
        <v>58.7</v>
      </c>
      <c r="J3269">
        <v>72</v>
      </c>
      <c r="K3269">
        <v>510</v>
      </c>
      <c r="L3269">
        <v>225</v>
      </c>
      <c r="M3269">
        <v>795</v>
      </c>
      <c r="N3269">
        <v>6.9</v>
      </c>
      <c r="O3269">
        <v>4.8</v>
      </c>
      <c r="P3269">
        <v>9</v>
      </c>
      <c r="Q3269">
        <f t="shared" si="100"/>
        <v>3185786</v>
      </c>
      <c r="R3269">
        <f t="shared" ref="R3269:R3332" si="101">K3269/(Q3269)*100000</f>
        <v>16.008608236711442</v>
      </c>
      <c r="U3269">
        <v>572</v>
      </c>
      <c r="V3269">
        <v>217</v>
      </c>
      <c r="W3269">
        <v>926</v>
      </c>
      <c r="X3269">
        <v>250</v>
      </c>
      <c r="Y3269">
        <v>69.5</v>
      </c>
      <c r="Z3269">
        <v>57.2</v>
      </c>
      <c r="AA3269">
        <v>81.8</v>
      </c>
    </row>
    <row r="3270" spans="1:27" x14ac:dyDescent="0.25">
      <c r="A3270" t="s">
        <v>257</v>
      </c>
      <c r="B3270" t="s">
        <v>203</v>
      </c>
      <c r="C3270" s="76">
        <v>43962</v>
      </c>
      <c r="D3270">
        <v>5031</v>
      </c>
      <c r="E3270">
        <v>2538</v>
      </c>
      <c r="F3270">
        <v>7524</v>
      </c>
      <c r="G3270">
        <v>2365</v>
      </c>
      <c r="H3270">
        <v>68</v>
      </c>
      <c r="I3270">
        <v>62</v>
      </c>
      <c r="J3270">
        <v>74</v>
      </c>
      <c r="K3270">
        <v>499</v>
      </c>
      <c r="L3270">
        <v>223</v>
      </c>
      <c r="M3270">
        <v>775</v>
      </c>
      <c r="N3270">
        <v>6.7</v>
      </c>
      <c r="O3270">
        <v>4.8</v>
      </c>
      <c r="P3270">
        <v>8.6999999999999993</v>
      </c>
      <c r="Q3270">
        <f t="shared" si="100"/>
        <v>3185786</v>
      </c>
      <c r="R3270">
        <f t="shared" si="101"/>
        <v>15.663324529645116</v>
      </c>
      <c r="U3270">
        <v>584</v>
      </c>
      <c r="V3270">
        <v>234</v>
      </c>
      <c r="W3270">
        <v>933</v>
      </c>
      <c r="X3270">
        <v>238</v>
      </c>
      <c r="Y3270">
        <v>71</v>
      </c>
      <c r="Z3270">
        <v>61.4</v>
      </c>
      <c r="AA3270">
        <v>80.7</v>
      </c>
    </row>
    <row r="3271" spans="1:27" x14ac:dyDescent="0.25">
      <c r="A3271" t="s">
        <v>257</v>
      </c>
      <c r="B3271" t="s">
        <v>203</v>
      </c>
      <c r="C3271" s="76">
        <v>43963</v>
      </c>
      <c r="D3271">
        <v>5263</v>
      </c>
      <c r="E3271">
        <v>2668</v>
      </c>
      <c r="F3271">
        <v>7858</v>
      </c>
      <c r="G3271">
        <v>2134</v>
      </c>
      <c r="H3271">
        <v>71.2</v>
      </c>
      <c r="I3271">
        <v>64</v>
      </c>
      <c r="J3271">
        <v>78.3</v>
      </c>
      <c r="K3271">
        <v>497</v>
      </c>
      <c r="L3271">
        <v>216</v>
      </c>
      <c r="M3271">
        <v>778</v>
      </c>
      <c r="N3271">
        <v>6.7</v>
      </c>
      <c r="O3271">
        <v>4.7</v>
      </c>
      <c r="P3271">
        <v>8.6999999999999993</v>
      </c>
      <c r="Q3271">
        <f t="shared" si="100"/>
        <v>3185786</v>
      </c>
      <c r="R3271">
        <f t="shared" si="101"/>
        <v>15.600545673814876</v>
      </c>
      <c r="U3271">
        <v>596</v>
      </c>
      <c r="V3271">
        <v>240</v>
      </c>
      <c r="W3271">
        <v>952</v>
      </c>
      <c r="X3271">
        <v>226</v>
      </c>
      <c r="Y3271">
        <v>72.5</v>
      </c>
      <c r="Z3271">
        <v>62.6</v>
      </c>
      <c r="AA3271">
        <v>82.4</v>
      </c>
    </row>
    <row r="3272" spans="1:27" x14ac:dyDescent="0.25">
      <c r="A3272" t="s">
        <v>257</v>
      </c>
      <c r="B3272" t="s">
        <v>203</v>
      </c>
      <c r="C3272" s="76">
        <v>43964</v>
      </c>
      <c r="D3272">
        <v>5285</v>
      </c>
      <c r="E3272">
        <v>2658</v>
      </c>
      <c r="F3272">
        <v>7912</v>
      </c>
      <c r="G3272">
        <v>2112</v>
      </c>
      <c r="H3272">
        <v>71.5</v>
      </c>
      <c r="I3272">
        <v>63.8</v>
      </c>
      <c r="J3272">
        <v>79.099999999999994</v>
      </c>
      <c r="K3272">
        <v>509</v>
      </c>
      <c r="L3272">
        <v>220</v>
      </c>
      <c r="M3272">
        <v>797</v>
      </c>
      <c r="N3272">
        <v>6.9</v>
      </c>
      <c r="O3272">
        <v>4.8</v>
      </c>
      <c r="P3272">
        <v>9</v>
      </c>
      <c r="Q3272">
        <f t="shared" si="100"/>
        <v>3185786</v>
      </c>
      <c r="R3272">
        <f t="shared" si="101"/>
        <v>15.977218808796323</v>
      </c>
      <c r="U3272">
        <v>603</v>
      </c>
      <c r="V3272">
        <v>243</v>
      </c>
      <c r="W3272">
        <v>964</v>
      </c>
      <c r="X3272">
        <v>219</v>
      </c>
      <c r="Y3272">
        <v>73.400000000000006</v>
      </c>
      <c r="Z3272">
        <v>63.9</v>
      </c>
      <c r="AA3272">
        <v>83</v>
      </c>
    </row>
    <row r="3273" spans="1:27" x14ac:dyDescent="0.25">
      <c r="A3273" t="s">
        <v>257</v>
      </c>
      <c r="B3273" t="s">
        <v>203</v>
      </c>
      <c r="C3273" s="76">
        <v>43965</v>
      </c>
      <c r="D3273">
        <v>5251</v>
      </c>
      <c r="E3273">
        <v>2670</v>
      </c>
      <c r="F3273">
        <v>7831</v>
      </c>
      <c r="G3273">
        <v>2146</v>
      </c>
      <c r="H3273">
        <v>71</v>
      </c>
      <c r="I3273">
        <v>63.9</v>
      </c>
      <c r="J3273">
        <v>78.099999999999994</v>
      </c>
      <c r="K3273">
        <v>456</v>
      </c>
      <c r="L3273">
        <v>208</v>
      </c>
      <c r="M3273">
        <v>703</v>
      </c>
      <c r="N3273">
        <v>6.2</v>
      </c>
      <c r="O3273">
        <v>4.4000000000000004</v>
      </c>
      <c r="P3273">
        <v>7.9</v>
      </c>
      <c r="Q3273">
        <f t="shared" si="100"/>
        <v>3185786</v>
      </c>
      <c r="R3273">
        <f t="shared" si="101"/>
        <v>14.313579129294936</v>
      </c>
      <c r="U3273">
        <v>654</v>
      </c>
      <c r="V3273">
        <v>252</v>
      </c>
      <c r="W3273">
        <v>1057</v>
      </c>
      <c r="X3273">
        <v>168</v>
      </c>
      <c r="Y3273">
        <v>79.599999999999994</v>
      </c>
      <c r="Z3273">
        <v>67.900000000000006</v>
      </c>
      <c r="AA3273">
        <v>91.3</v>
      </c>
    </row>
    <row r="3274" spans="1:27" x14ac:dyDescent="0.25">
      <c r="A3274" t="s">
        <v>257</v>
      </c>
      <c r="B3274" t="s">
        <v>203</v>
      </c>
      <c r="C3274" s="76">
        <v>43966</v>
      </c>
      <c r="D3274">
        <v>5304</v>
      </c>
      <c r="E3274">
        <v>2700</v>
      </c>
      <c r="F3274">
        <v>7908</v>
      </c>
      <c r="G3274">
        <v>2093</v>
      </c>
      <c r="H3274">
        <v>71.7</v>
      </c>
      <c r="I3274">
        <v>64.7</v>
      </c>
      <c r="J3274">
        <v>78.7</v>
      </c>
      <c r="K3274">
        <v>460</v>
      </c>
      <c r="L3274">
        <v>215</v>
      </c>
      <c r="M3274">
        <v>704</v>
      </c>
      <c r="N3274">
        <v>6.2</v>
      </c>
      <c r="O3274">
        <v>4.5</v>
      </c>
      <c r="P3274">
        <v>8</v>
      </c>
      <c r="Q3274">
        <f t="shared" si="100"/>
        <v>3185786</v>
      </c>
      <c r="R3274">
        <f t="shared" si="101"/>
        <v>14.43913684095542</v>
      </c>
      <c r="U3274">
        <v>634</v>
      </c>
      <c r="V3274">
        <v>249</v>
      </c>
      <c r="W3274">
        <v>1019</v>
      </c>
      <c r="X3274">
        <v>176</v>
      </c>
      <c r="Y3274">
        <v>78.3</v>
      </c>
      <c r="Z3274">
        <v>66.599999999999994</v>
      </c>
      <c r="AA3274">
        <v>90</v>
      </c>
    </row>
    <row r="3275" spans="1:27" x14ac:dyDescent="0.25">
      <c r="A3275" t="s">
        <v>257</v>
      </c>
      <c r="B3275" t="s">
        <v>203</v>
      </c>
      <c r="C3275" s="76">
        <v>43967</v>
      </c>
      <c r="D3275">
        <v>5034</v>
      </c>
      <c r="E3275">
        <v>2589</v>
      </c>
      <c r="F3275">
        <v>7479</v>
      </c>
      <c r="G3275">
        <v>2365</v>
      </c>
      <c r="H3275">
        <v>68</v>
      </c>
      <c r="I3275">
        <v>61.8</v>
      </c>
      <c r="J3275">
        <v>74.3</v>
      </c>
      <c r="K3275">
        <v>461</v>
      </c>
      <c r="L3275">
        <v>215</v>
      </c>
      <c r="M3275">
        <v>706</v>
      </c>
      <c r="N3275">
        <v>6.2</v>
      </c>
      <c r="O3275">
        <v>4.5</v>
      </c>
      <c r="P3275">
        <v>8</v>
      </c>
      <c r="Q3275">
        <f t="shared" si="100"/>
        <v>3185786</v>
      </c>
      <c r="R3275">
        <f t="shared" si="101"/>
        <v>14.47052626887054</v>
      </c>
      <c r="U3275">
        <v>619</v>
      </c>
      <c r="V3275">
        <v>237</v>
      </c>
      <c r="W3275">
        <v>1002</v>
      </c>
      <c r="X3275">
        <v>191</v>
      </c>
      <c r="Y3275">
        <v>76.5</v>
      </c>
      <c r="Z3275">
        <v>65.2</v>
      </c>
      <c r="AA3275">
        <v>87.7</v>
      </c>
    </row>
    <row r="3276" spans="1:27" x14ac:dyDescent="0.25">
      <c r="A3276" t="s">
        <v>257</v>
      </c>
      <c r="B3276" t="s">
        <v>203</v>
      </c>
      <c r="C3276" s="76">
        <v>43968</v>
      </c>
      <c r="D3276">
        <v>4922</v>
      </c>
      <c r="E3276">
        <v>2512</v>
      </c>
      <c r="F3276">
        <v>7333</v>
      </c>
      <c r="G3276">
        <v>2477</v>
      </c>
      <c r="H3276">
        <v>66.5</v>
      </c>
      <c r="I3276">
        <v>60.9</v>
      </c>
      <c r="J3276">
        <v>72.099999999999994</v>
      </c>
      <c r="K3276">
        <v>439</v>
      </c>
      <c r="L3276">
        <v>192</v>
      </c>
      <c r="M3276">
        <v>685</v>
      </c>
      <c r="N3276">
        <v>5.9</v>
      </c>
      <c r="O3276">
        <v>4.2</v>
      </c>
      <c r="P3276">
        <v>7.6</v>
      </c>
      <c r="Q3276">
        <f t="shared" si="100"/>
        <v>3185786</v>
      </c>
      <c r="R3276">
        <f t="shared" si="101"/>
        <v>13.779958854737888</v>
      </c>
      <c r="U3276">
        <v>593</v>
      </c>
      <c r="V3276">
        <v>214</v>
      </c>
      <c r="W3276">
        <v>971</v>
      </c>
      <c r="X3276">
        <v>217</v>
      </c>
      <c r="Y3276">
        <v>73.2</v>
      </c>
      <c r="Z3276">
        <v>60.1</v>
      </c>
      <c r="AA3276">
        <v>86.2</v>
      </c>
    </row>
    <row r="3277" spans="1:27" x14ac:dyDescent="0.25">
      <c r="A3277" t="s">
        <v>257</v>
      </c>
      <c r="B3277" t="s">
        <v>203</v>
      </c>
      <c r="C3277" s="76">
        <v>43969</v>
      </c>
      <c r="D3277">
        <v>4618</v>
      </c>
      <c r="E3277">
        <v>2271</v>
      </c>
      <c r="F3277">
        <v>6965</v>
      </c>
      <c r="G3277">
        <v>2783</v>
      </c>
      <c r="H3277">
        <v>62.4</v>
      </c>
      <c r="I3277">
        <v>52.5</v>
      </c>
      <c r="J3277">
        <v>72.3</v>
      </c>
      <c r="K3277">
        <v>416</v>
      </c>
      <c r="L3277">
        <v>196</v>
      </c>
      <c r="M3277">
        <v>636</v>
      </c>
      <c r="N3277">
        <v>5.6</v>
      </c>
      <c r="O3277">
        <v>4.0999999999999996</v>
      </c>
      <c r="P3277">
        <v>7.1</v>
      </c>
      <c r="Q3277">
        <f t="shared" si="100"/>
        <v>3185786</v>
      </c>
      <c r="R3277">
        <f t="shared" si="101"/>
        <v>13.058002012690119</v>
      </c>
      <c r="U3277">
        <v>614</v>
      </c>
      <c r="V3277">
        <v>216</v>
      </c>
      <c r="W3277">
        <v>1013</v>
      </c>
      <c r="X3277">
        <v>216</v>
      </c>
      <c r="Y3277">
        <v>74</v>
      </c>
      <c r="Z3277">
        <v>60.6</v>
      </c>
      <c r="AA3277">
        <v>87.4</v>
      </c>
    </row>
    <row r="3278" spans="1:27" x14ac:dyDescent="0.25">
      <c r="A3278" t="s">
        <v>257</v>
      </c>
      <c r="B3278" t="s">
        <v>203</v>
      </c>
      <c r="C3278" s="76">
        <v>43970</v>
      </c>
      <c r="D3278">
        <v>5134</v>
      </c>
      <c r="E3278">
        <v>2615</v>
      </c>
      <c r="F3278">
        <v>7653</v>
      </c>
      <c r="G3278">
        <v>2267</v>
      </c>
      <c r="H3278">
        <v>69.400000000000006</v>
      </c>
      <c r="I3278">
        <v>62.5</v>
      </c>
      <c r="J3278">
        <v>76.2</v>
      </c>
      <c r="K3278">
        <v>404</v>
      </c>
      <c r="L3278">
        <v>185</v>
      </c>
      <c r="M3278">
        <v>623</v>
      </c>
      <c r="N3278">
        <v>5.5</v>
      </c>
      <c r="O3278">
        <v>4</v>
      </c>
      <c r="P3278">
        <v>6.9</v>
      </c>
      <c r="Q3278">
        <f t="shared" si="100"/>
        <v>3185786</v>
      </c>
      <c r="R3278">
        <f t="shared" si="101"/>
        <v>12.681328877708673</v>
      </c>
      <c r="U3278">
        <v>618</v>
      </c>
      <c r="V3278">
        <v>219</v>
      </c>
      <c r="W3278">
        <v>1018</v>
      </c>
      <c r="X3278">
        <v>211</v>
      </c>
      <c r="Y3278">
        <v>74.5</v>
      </c>
      <c r="Z3278">
        <v>62.2</v>
      </c>
      <c r="AA3278">
        <v>86.8</v>
      </c>
    </row>
    <row r="3279" spans="1:27" x14ac:dyDescent="0.25">
      <c r="A3279" t="s">
        <v>257</v>
      </c>
      <c r="B3279" t="s">
        <v>203</v>
      </c>
      <c r="C3279" s="76">
        <v>43971</v>
      </c>
      <c r="D3279">
        <v>5154</v>
      </c>
      <c r="E3279">
        <v>2591</v>
      </c>
      <c r="F3279">
        <v>7717</v>
      </c>
      <c r="G3279">
        <v>2285</v>
      </c>
      <c r="H3279">
        <v>69.3</v>
      </c>
      <c r="I3279">
        <v>60.2</v>
      </c>
      <c r="J3279">
        <v>78.400000000000006</v>
      </c>
      <c r="K3279">
        <v>464</v>
      </c>
      <c r="L3279">
        <v>217</v>
      </c>
      <c r="M3279">
        <v>711</v>
      </c>
      <c r="N3279">
        <v>6.2</v>
      </c>
      <c r="O3279">
        <v>4.7</v>
      </c>
      <c r="P3279">
        <v>7.8</v>
      </c>
      <c r="Q3279">
        <f t="shared" si="100"/>
        <v>3185786</v>
      </c>
      <c r="R3279">
        <f t="shared" si="101"/>
        <v>14.564694552615901</v>
      </c>
      <c r="U3279">
        <v>614</v>
      </c>
      <c r="V3279">
        <v>219</v>
      </c>
      <c r="W3279">
        <v>1009</v>
      </c>
      <c r="X3279">
        <v>205</v>
      </c>
      <c r="Y3279">
        <v>74.900000000000006</v>
      </c>
      <c r="Z3279">
        <v>62.7</v>
      </c>
      <c r="AA3279">
        <v>87.2</v>
      </c>
    </row>
    <row r="3280" spans="1:27" x14ac:dyDescent="0.25">
      <c r="A3280" t="s">
        <v>257</v>
      </c>
      <c r="B3280" t="s">
        <v>203</v>
      </c>
      <c r="C3280" s="76">
        <v>43972</v>
      </c>
      <c r="D3280">
        <v>5217</v>
      </c>
      <c r="E3280">
        <v>2654</v>
      </c>
      <c r="F3280">
        <v>7780</v>
      </c>
      <c r="G3280">
        <v>2217</v>
      </c>
      <c r="H3280">
        <v>70.2</v>
      </c>
      <c r="I3280">
        <v>63.2</v>
      </c>
      <c r="J3280">
        <v>77.2</v>
      </c>
      <c r="K3280">
        <v>492</v>
      </c>
      <c r="L3280">
        <v>235</v>
      </c>
      <c r="M3280">
        <v>749</v>
      </c>
      <c r="N3280">
        <v>6.6</v>
      </c>
      <c r="O3280">
        <v>4.8</v>
      </c>
      <c r="P3280">
        <v>8.4</v>
      </c>
      <c r="Q3280">
        <f t="shared" si="100"/>
        <v>3185786</v>
      </c>
      <c r="R3280">
        <f t="shared" si="101"/>
        <v>15.443598534239275</v>
      </c>
      <c r="U3280">
        <v>638</v>
      </c>
      <c r="V3280">
        <v>229</v>
      </c>
      <c r="W3280">
        <v>1046</v>
      </c>
      <c r="X3280">
        <v>185</v>
      </c>
      <c r="Y3280">
        <v>77.400000000000006</v>
      </c>
      <c r="Z3280">
        <v>65.2</v>
      </c>
      <c r="AA3280">
        <v>89.7</v>
      </c>
    </row>
    <row r="3281" spans="1:27" x14ac:dyDescent="0.25">
      <c r="A3281" t="s">
        <v>257</v>
      </c>
      <c r="B3281" t="s">
        <v>203</v>
      </c>
      <c r="C3281" s="76">
        <v>43973</v>
      </c>
      <c r="D3281">
        <v>5110</v>
      </c>
      <c r="E3281">
        <v>2618</v>
      </c>
      <c r="F3281">
        <v>7602</v>
      </c>
      <c r="G3281">
        <v>2301</v>
      </c>
      <c r="H3281">
        <v>69</v>
      </c>
      <c r="I3281">
        <v>62.1</v>
      </c>
      <c r="J3281">
        <v>75.8</v>
      </c>
      <c r="K3281">
        <v>469</v>
      </c>
      <c r="L3281">
        <v>224</v>
      </c>
      <c r="M3281">
        <v>713</v>
      </c>
      <c r="N3281">
        <v>6.3</v>
      </c>
      <c r="O3281">
        <v>4.5999999999999996</v>
      </c>
      <c r="P3281">
        <v>8</v>
      </c>
      <c r="Q3281">
        <f t="shared" si="100"/>
        <v>3185786</v>
      </c>
      <c r="R3281">
        <f t="shared" si="101"/>
        <v>14.721641692191502</v>
      </c>
      <c r="U3281">
        <v>598</v>
      </c>
      <c r="V3281">
        <v>201</v>
      </c>
      <c r="W3281">
        <v>994</v>
      </c>
      <c r="X3281">
        <v>226</v>
      </c>
      <c r="Y3281">
        <v>72.5</v>
      </c>
      <c r="Z3281">
        <v>59.1</v>
      </c>
      <c r="AA3281">
        <v>86</v>
      </c>
    </row>
    <row r="3282" spans="1:27" x14ac:dyDescent="0.25">
      <c r="A3282" t="s">
        <v>257</v>
      </c>
      <c r="B3282" t="s">
        <v>203</v>
      </c>
      <c r="C3282" s="76">
        <v>43974</v>
      </c>
      <c r="D3282">
        <v>5037</v>
      </c>
      <c r="E3282">
        <v>2585</v>
      </c>
      <c r="F3282">
        <v>7489</v>
      </c>
      <c r="G3282">
        <v>2379</v>
      </c>
      <c r="H3282">
        <v>67.900000000000006</v>
      </c>
      <c r="I3282">
        <v>61.6</v>
      </c>
      <c r="J3282">
        <v>74.2</v>
      </c>
      <c r="K3282">
        <v>433</v>
      </c>
      <c r="L3282">
        <v>202</v>
      </c>
      <c r="M3282">
        <v>663</v>
      </c>
      <c r="N3282">
        <v>5.8</v>
      </c>
      <c r="O3282">
        <v>4.2</v>
      </c>
      <c r="P3282">
        <v>7.5</v>
      </c>
      <c r="Q3282">
        <f t="shared" si="100"/>
        <v>3185786</v>
      </c>
      <c r="R3282">
        <f t="shared" si="101"/>
        <v>13.591622287247166</v>
      </c>
      <c r="U3282">
        <v>619</v>
      </c>
      <c r="V3282">
        <v>228</v>
      </c>
      <c r="W3282">
        <v>1010</v>
      </c>
      <c r="X3282">
        <v>197</v>
      </c>
      <c r="Y3282">
        <v>75.900000000000006</v>
      </c>
      <c r="Z3282">
        <v>63.3</v>
      </c>
      <c r="AA3282">
        <v>88.5</v>
      </c>
    </row>
    <row r="3283" spans="1:27" x14ac:dyDescent="0.25">
      <c r="A3283" t="s">
        <v>257</v>
      </c>
      <c r="B3283" t="s">
        <v>203</v>
      </c>
      <c r="C3283" s="76">
        <v>43975</v>
      </c>
      <c r="D3283">
        <v>4870</v>
      </c>
      <c r="E3283">
        <v>2500</v>
      </c>
      <c r="F3283">
        <v>7240</v>
      </c>
      <c r="G3283">
        <v>2546</v>
      </c>
      <c r="H3283">
        <v>65.7</v>
      </c>
      <c r="I3283">
        <v>59.8</v>
      </c>
      <c r="J3283">
        <v>71.5</v>
      </c>
      <c r="K3283">
        <v>449</v>
      </c>
      <c r="L3283">
        <v>213</v>
      </c>
      <c r="M3283">
        <v>685</v>
      </c>
      <c r="N3283">
        <v>6.1</v>
      </c>
      <c r="O3283">
        <v>4.3</v>
      </c>
      <c r="P3283">
        <v>7.9</v>
      </c>
      <c r="Q3283">
        <f t="shared" si="100"/>
        <v>3185786</v>
      </c>
      <c r="R3283">
        <f t="shared" si="101"/>
        <v>14.093853133889095</v>
      </c>
      <c r="U3283">
        <v>576</v>
      </c>
      <c r="V3283">
        <v>208</v>
      </c>
      <c r="W3283">
        <v>944</v>
      </c>
      <c r="X3283">
        <v>234</v>
      </c>
      <c r="Y3283">
        <v>71.099999999999994</v>
      </c>
      <c r="Z3283">
        <v>57.6</v>
      </c>
      <c r="AA3283">
        <v>84.7</v>
      </c>
    </row>
    <row r="3284" spans="1:27" x14ac:dyDescent="0.25">
      <c r="A3284" t="s">
        <v>257</v>
      </c>
      <c r="B3284" t="s">
        <v>203</v>
      </c>
      <c r="C3284" s="76">
        <v>43976</v>
      </c>
      <c r="D3284">
        <v>4771</v>
      </c>
      <c r="E3284">
        <v>2393</v>
      </c>
      <c r="F3284">
        <v>7150</v>
      </c>
      <c r="G3284">
        <v>2494</v>
      </c>
      <c r="H3284">
        <v>65.7</v>
      </c>
      <c r="I3284">
        <v>59.7</v>
      </c>
      <c r="J3284">
        <v>71.7</v>
      </c>
      <c r="K3284">
        <v>443</v>
      </c>
      <c r="L3284">
        <v>196</v>
      </c>
      <c r="M3284">
        <v>690</v>
      </c>
      <c r="N3284">
        <v>6.1</v>
      </c>
      <c r="O3284">
        <v>4.0999999999999996</v>
      </c>
      <c r="P3284">
        <v>8.1</v>
      </c>
      <c r="Q3284">
        <f t="shared" si="100"/>
        <v>3185786</v>
      </c>
      <c r="R3284">
        <f t="shared" si="101"/>
        <v>13.905516566398372</v>
      </c>
      <c r="U3284">
        <v>553</v>
      </c>
      <c r="V3284">
        <v>185</v>
      </c>
      <c r="W3284">
        <v>921</v>
      </c>
      <c r="X3284">
        <v>255</v>
      </c>
      <c r="Y3284">
        <v>68.400000000000006</v>
      </c>
      <c r="Z3284">
        <v>54</v>
      </c>
      <c r="AA3284">
        <v>82.9</v>
      </c>
    </row>
    <row r="3285" spans="1:27" x14ac:dyDescent="0.25">
      <c r="A3285" t="s">
        <v>257</v>
      </c>
      <c r="B3285" t="s">
        <v>203</v>
      </c>
      <c r="C3285" s="76">
        <v>43977</v>
      </c>
      <c r="D3285">
        <v>4896</v>
      </c>
      <c r="E3285">
        <v>2454</v>
      </c>
      <c r="F3285">
        <v>7339</v>
      </c>
      <c r="G3285">
        <v>2328</v>
      </c>
      <c r="H3285">
        <v>67.8</v>
      </c>
      <c r="I3285">
        <v>62.4</v>
      </c>
      <c r="J3285">
        <v>73.099999999999994</v>
      </c>
      <c r="K3285">
        <v>475</v>
      </c>
      <c r="L3285">
        <v>210</v>
      </c>
      <c r="M3285">
        <v>740</v>
      </c>
      <c r="N3285">
        <v>6.6</v>
      </c>
      <c r="O3285">
        <v>4.5</v>
      </c>
      <c r="P3285">
        <v>8.6999999999999993</v>
      </c>
      <c r="Q3285">
        <f t="shared" si="100"/>
        <v>3185786</v>
      </c>
      <c r="R3285">
        <f t="shared" si="101"/>
        <v>14.909978259682225</v>
      </c>
      <c r="U3285">
        <v>596</v>
      </c>
      <c r="V3285">
        <v>208</v>
      </c>
      <c r="W3285">
        <v>983</v>
      </c>
      <c r="X3285">
        <v>237</v>
      </c>
      <c r="Y3285">
        <v>71.599999999999994</v>
      </c>
      <c r="Z3285">
        <v>57.8</v>
      </c>
      <c r="AA3285">
        <v>85.3</v>
      </c>
    </row>
    <row r="3286" spans="1:27" x14ac:dyDescent="0.25">
      <c r="A3286" t="s">
        <v>257</v>
      </c>
      <c r="B3286" t="s">
        <v>203</v>
      </c>
      <c r="C3286" s="76">
        <v>43978</v>
      </c>
      <c r="D3286">
        <v>5194</v>
      </c>
      <c r="E3286">
        <v>2588</v>
      </c>
      <c r="F3286">
        <v>7800</v>
      </c>
      <c r="G3286">
        <v>2038</v>
      </c>
      <c r="H3286">
        <v>71.8</v>
      </c>
      <c r="I3286">
        <v>65.2</v>
      </c>
      <c r="J3286">
        <v>78.5</v>
      </c>
      <c r="K3286">
        <v>410</v>
      </c>
      <c r="L3286">
        <v>190</v>
      </c>
      <c r="M3286">
        <v>631</v>
      </c>
      <c r="N3286">
        <v>5.7</v>
      </c>
      <c r="O3286">
        <v>4.0999999999999996</v>
      </c>
      <c r="P3286">
        <v>7.3</v>
      </c>
      <c r="Q3286">
        <f t="shared" si="100"/>
        <v>3185786</v>
      </c>
      <c r="R3286">
        <f t="shared" si="101"/>
        <v>12.869665445199395</v>
      </c>
      <c r="U3286">
        <v>617</v>
      </c>
      <c r="V3286">
        <v>226</v>
      </c>
      <c r="W3286">
        <v>1008</v>
      </c>
      <c r="X3286">
        <v>205</v>
      </c>
      <c r="Y3286">
        <v>75.099999999999994</v>
      </c>
      <c r="Z3286">
        <v>62.4</v>
      </c>
      <c r="AA3286">
        <v>87.8</v>
      </c>
    </row>
    <row r="3287" spans="1:27" x14ac:dyDescent="0.25">
      <c r="A3287" t="s">
        <v>257</v>
      </c>
      <c r="B3287" t="s">
        <v>203</v>
      </c>
      <c r="C3287" s="76">
        <v>43979</v>
      </c>
      <c r="D3287">
        <v>5085</v>
      </c>
      <c r="E3287">
        <v>2441</v>
      </c>
      <c r="F3287">
        <v>7728</v>
      </c>
      <c r="G3287">
        <v>1837</v>
      </c>
      <c r="H3287">
        <v>73.5</v>
      </c>
      <c r="I3287">
        <v>66</v>
      </c>
      <c r="J3287">
        <v>81</v>
      </c>
      <c r="K3287">
        <v>376</v>
      </c>
      <c r="L3287">
        <v>166</v>
      </c>
      <c r="M3287">
        <v>587</v>
      </c>
      <c r="N3287">
        <v>5.4</v>
      </c>
      <c r="O3287">
        <v>3.9</v>
      </c>
      <c r="P3287">
        <v>7</v>
      </c>
      <c r="Q3287">
        <f t="shared" si="100"/>
        <v>3185786</v>
      </c>
      <c r="R3287">
        <f t="shared" si="101"/>
        <v>11.802424896085299</v>
      </c>
      <c r="U3287">
        <v>609</v>
      </c>
      <c r="V3287">
        <v>202</v>
      </c>
      <c r="W3287">
        <v>1017</v>
      </c>
      <c r="X3287">
        <v>267</v>
      </c>
      <c r="Y3287">
        <v>69.5</v>
      </c>
      <c r="Z3287">
        <v>54.5</v>
      </c>
      <c r="AA3287">
        <v>84.6</v>
      </c>
    </row>
    <row r="3288" spans="1:27" x14ac:dyDescent="0.25">
      <c r="A3288" t="s">
        <v>257</v>
      </c>
      <c r="B3288" t="s">
        <v>203</v>
      </c>
      <c r="C3288" s="76">
        <v>43980</v>
      </c>
      <c r="D3288">
        <v>5078</v>
      </c>
      <c r="E3288">
        <v>2515</v>
      </c>
      <c r="F3288">
        <v>7641</v>
      </c>
      <c r="G3288">
        <v>2338</v>
      </c>
      <c r="H3288">
        <v>68.5</v>
      </c>
      <c r="I3288">
        <v>59.5</v>
      </c>
      <c r="J3288">
        <v>77.5</v>
      </c>
      <c r="K3288">
        <v>403</v>
      </c>
      <c r="L3288">
        <v>191</v>
      </c>
      <c r="M3288">
        <v>615</v>
      </c>
      <c r="N3288">
        <v>5.4</v>
      </c>
      <c r="O3288">
        <v>4.2</v>
      </c>
      <c r="P3288">
        <v>6.7</v>
      </c>
      <c r="Q3288">
        <f t="shared" si="100"/>
        <v>3185786</v>
      </c>
      <c r="R3288">
        <f t="shared" si="101"/>
        <v>12.649939449793552</v>
      </c>
      <c r="U3288">
        <v>597</v>
      </c>
      <c r="V3288">
        <v>201</v>
      </c>
      <c r="W3288">
        <v>993</v>
      </c>
      <c r="X3288">
        <v>213</v>
      </c>
      <c r="Y3288">
        <v>73.7</v>
      </c>
      <c r="Z3288">
        <v>59.5</v>
      </c>
      <c r="AA3288">
        <v>87.9</v>
      </c>
    </row>
    <row r="3289" spans="1:27" x14ac:dyDescent="0.25">
      <c r="A3289" t="s">
        <v>257</v>
      </c>
      <c r="B3289" t="s">
        <v>203</v>
      </c>
      <c r="C3289" s="76">
        <v>43981</v>
      </c>
      <c r="D3289">
        <v>5042</v>
      </c>
      <c r="E3289">
        <v>2578</v>
      </c>
      <c r="F3289">
        <v>7507</v>
      </c>
      <c r="G3289">
        <v>2363</v>
      </c>
      <c r="H3289">
        <v>68.099999999999994</v>
      </c>
      <c r="I3289">
        <v>60.9</v>
      </c>
      <c r="J3289">
        <v>75.3</v>
      </c>
      <c r="K3289">
        <v>398</v>
      </c>
      <c r="L3289">
        <v>191</v>
      </c>
      <c r="M3289">
        <v>606</v>
      </c>
      <c r="N3289">
        <v>5.4</v>
      </c>
      <c r="O3289">
        <v>4</v>
      </c>
      <c r="P3289">
        <v>6.7</v>
      </c>
      <c r="Q3289">
        <f t="shared" si="100"/>
        <v>3185786</v>
      </c>
      <c r="R3289">
        <f t="shared" si="101"/>
        <v>12.492992310217948</v>
      </c>
      <c r="U3289">
        <v>597</v>
      </c>
      <c r="V3289">
        <v>209</v>
      </c>
      <c r="W3289">
        <v>985</v>
      </c>
      <c r="X3289">
        <v>252</v>
      </c>
      <c r="Y3289">
        <v>70.400000000000006</v>
      </c>
      <c r="Z3289">
        <v>56</v>
      </c>
      <c r="AA3289">
        <v>84.7</v>
      </c>
    </row>
    <row r="3290" spans="1:27" x14ac:dyDescent="0.25">
      <c r="A3290" t="s">
        <v>257</v>
      </c>
      <c r="B3290" t="s">
        <v>203</v>
      </c>
      <c r="C3290" s="76">
        <v>43982</v>
      </c>
      <c r="D3290">
        <v>4745</v>
      </c>
      <c r="E3290">
        <v>2362</v>
      </c>
      <c r="F3290">
        <v>7128</v>
      </c>
      <c r="G3290">
        <v>2507</v>
      </c>
      <c r="H3290">
        <v>65.400000000000006</v>
      </c>
      <c r="I3290">
        <v>58.3</v>
      </c>
      <c r="J3290">
        <v>72.599999999999994</v>
      </c>
      <c r="K3290">
        <v>389</v>
      </c>
      <c r="L3290">
        <v>176</v>
      </c>
      <c r="M3290">
        <v>603</v>
      </c>
      <c r="N3290">
        <v>5.4</v>
      </c>
      <c r="O3290">
        <v>3.9</v>
      </c>
      <c r="P3290">
        <v>6.8</v>
      </c>
      <c r="Q3290">
        <f t="shared" si="100"/>
        <v>3185786</v>
      </c>
      <c r="R3290">
        <f t="shared" si="101"/>
        <v>12.210487458981865</v>
      </c>
      <c r="U3290">
        <v>586</v>
      </c>
      <c r="V3290">
        <v>207</v>
      </c>
      <c r="W3290">
        <v>966</v>
      </c>
      <c r="X3290">
        <v>274</v>
      </c>
      <c r="Y3290">
        <v>68.099999999999994</v>
      </c>
      <c r="Z3290">
        <v>53.5</v>
      </c>
      <c r="AA3290">
        <v>82.8</v>
      </c>
    </row>
    <row r="3291" spans="1:27" x14ac:dyDescent="0.25">
      <c r="A3291" t="s">
        <v>257</v>
      </c>
      <c r="B3291" t="s">
        <v>203</v>
      </c>
      <c r="C3291" s="76">
        <v>43983</v>
      </c>
      <c r="D3291">
        <v>4976</v>
      </c>
      <c r="E3291">
        <v>2414</v>
      </c>
      <c r="F3291">
        <v>7538</v>
      </c>
      <c r="G3291">
        <v>2342</v>
      </c>
      <c r="H3291">
        <v>68</v>
      </c>
      <c r="I3291">
        <v>60.6</v>
      </c>
      <c r="J3291">
        <v>75.400000000000006</v>
      </c>
      <c r="K3291">
        <v>392</v>
      </c>
      <c r="L3291">
        <v>170</v>
      </c>
      <c r="M3291">
        <v>614</v>
      </c>
      <c r="N3291">
        <v>5.4</v>
      </c>
      <c r="O3291">
        <v>3.9</v>
      </c>
      <c r="P3291">
        <v>6.8</v>
      </c>
      <c r="Q3291">
        <f t="shared" si="100"/>
        <v>3185786</v>
      </c>
      <c r="R3291">
        <f t="shared" si="101"/>
        <v>12.304655742727226</v>
      </c>
      <c r="U3291">
        <v>620</v>
      </c>
      <c r="V3291">
        <v>221</v>
      </c>
      <c r="W3291">
        <v>1019</v>
      </c>
      <c r="X3291">
        <v>239</v>
      </c>
      <c r="Y3291">
        <v>72.2</v>
      </c>
      <c r="Z3291">
        <v>58.4</v>
      </c>
      <c r="AA3291">
        <v>86</v>
      </c>
    </row>
    <row r="3292" spans="1:27" x14ac:dyDescent="0.25">
      <c r="A3292" t="s">
        <v>257</v>
      </c>
      <c r="B3292" t="s">
        <v>203</v>
      </c>
      <c r="C3292" s="76">
        <v>43984</v>
      </c>
      <c r="D3292">
        <v>5252</v>
      </c>
      <c r="E3292">
        <v>1929</v>
      </c>
      <c r="F3292">
        <v>8574</v>
      </c>
      <c r="G3292">
        <v>2150</v>
      </c>
      <c r="H3292">
        <v>71</v>
      </c>
      <c r="I3292">
        <v>62.8</v>
      </c>
      <c r="J3292">
        <v>79.099999999999994</v>
      </c>
      <c r="K3292">
        <v>367</v>
      </c>
      <c r="L3292">
        <v>114</v>
      </c>
      <c r="M3292">
        <v>620</v>
      </c>
      <c r="N3292">
        <v>5</v>
      </c>
      <c r="O3292">
        <v>3.3</v>
      </c>
      <c r="P3292">
        <v>6.6</v>
      </c>
      <c r="Q3292">
        <f t="shared" si="100"/>
        <v>3185786</v>
      </c>
      <c r="R3292">
        <f t="shared" si="101"/>
        <v>11.519920044849215</v>
      </c>
      <c r="U3292">
        <v>618</v>
      </c>
      <c r="V3292">
        <v>74</v>
      </c>
      <c r="W3292">
        <v>1162</v>
      </c>
      <c r="X3292">
        <v>255</v>
      </c>
      <c r="Y3292">
        <v>70.8</v>
      </c>
      <c r="Z3292">
        <v>50.4</v>
      </c>
      <c r="AA3292">
        <v>91.1</v>
      </c>
    </row>
    <row r="3293" spans="1:27" x14ac:dyDescent="0.25">
      <c r="A3293" t="s">
        <v>257</v>
      </c>
      <c r="B3293" t="s">
        <v>203</v>
      </c>
      <c r="C3293" s="76">
        <v>43985</v>
      </c>
      <c r="D3293">
        <v>5174</v>
      </c>
      <c r="E3293">
        <v>1823</v>
      </c>
      <c r="F3293">
        <v>8524</v>
      </c>
      <c r="G3293">
        <v>2277</v>
      </c>
      <c r="H3293">
        <v>69.400000000000006</v>
      </c>
      <c r="I3293">
        <v>60.9</v>
      </c>
      <c r="J3293">
        <v>78</v>
      </c>
      <c r="K3293">
        <v>324</v>
      </c>
      <c r="L3293">
        <v>89</v>
      </c>
      <c r="M3293">
        <v>559</v>
      </c>
      <c r="N3293">
        <v>4.4000000000000004</v>
      </c>
      <c r="O3293">
        <v>3</v>
      </c>
      <c r="P3293">
        <v>5.8</v>
      </c>
      <c r="Q3293">
        <f t="shared" si="100"/>
        <v>3185786</v>
      </c>
      <c r="R3293">
        <f t="shared" si="101"/>
        <v>10.170174644499033</v>
      </c>
      <c r="U3293">
        <v>595</v>
      </c>
      <c r="V3293">
        <v>30</v>
      </c>
      <c r="W3293">
        <v>1161</v>
      </c>
      <c r="X3293">
        <v>264</v>
      </c>
      <c r="Y3293">
        <v>69.3</v>
      </c>
      <c r="Z3293">
        <v>47.9</v>
      </c>
      <c r="AA3293">
        <v>90.7</v>
      </c>
    </row>
    <row r="3294" spans="1:27" x14ac:dyDescent="0.25">
      <c r="A3294" t="s">
        <v>257</v>
      </c>
      <c r="B3294" t="s">
        <v>203</v>
      </c>
      <c r="C3294" s="76">
        <v>43986</v>
      </c>
      <c r="D3294">
        <v>5321</v>
      </c>
      <c r="E3294">
        <v>1688</v>
      </c>
      <c r="F3294">
        <v>8953</v>
      </c>
      <c r="G3294">
        <v>2212</v>
      </c>
      <c r="H3294">
        <v>70.599999999999994</v>
      </c>
      <c r="I3294">
        <v>63.4</v>
      </c>
      <c r="J3294">
        <v>77.900000000000006</v>
      </c>
      <c r="K3294">
        <v>339</v>
      </c>
      <c r="L3294">
        <v>82</v>
      </c>
      <c r="M3294">
        <v>596</v>
      </c>
      <c r="N3294">
        <v>4.5</v>
      </c>
      <c r="O3294">
        <v>3.3</v>
      </c>
      <c r="P3294">
        <v>5.7</v>
      </c>
      <c r="Q3294">
        <f t="shared" si="100"/>
        <v>3185786</v>
      </c>
      <c r="R3294">
        <f t="shared" si="101"/>
        <v>10.641016063225841</v>
      </c>
      <c r="U3294">
        <v>716</v>
      </c>
      <c r="V3294">
        <v>52</v>
      </c>
      <c r="W3294">
        <v>1380</v>
      </c>
      <c r="X3294">
        <v>314</v>
      </c>
      <c r="Y3294">
        <v>69.5</v>
      </c>
      <c r="Z3294">
        <v>49.8</v>
      </c>
      <c r="AA3294">
        <v>89.3</v>
      </c>
    </row>
    <row r="3295" spans="1:27" x14ac:dyDescent="0.25">
      <c r="A3295" t="s">
        <v>257</v>
      </c>
      <c r="B3295" t="s">
        <v>203</v>
      </c>
      <c r="C3295" s="76">
        <v>43987</v>
      </c>
      <c r="D3295">
        <v>5402</v>
      </c>
      <c r="E3295">
        <v>2009</v>
      </c>
      <c r="F3295">
        <v>8796</v>
      </c>
      <c r="G3295">
        <v>2136</v>
      </c>
      <c r="H3295">
        <v>71.7</v>
      </c>
      <c r="I3295">
        <v>63.9</v>
      </c>
      <c r="J3295">
        <v>79.400000000000006</v>
      </c>
      <c r="K3295">
        <v>329</v>
      </c>
      <c r="L3295">
        <v>95</v>
      </c>
      <c r="M3295">
        <v>563</v>
      </c>
      <c r="N3295">
        <v>4.4000000000000004</v>
      </c>
      <c r="O3295">
        <v>3</v>
      </c>
      <c r="P3295">
        <v>5.7</v>
      </c>
      <c r="Q3295">
        <f t="shared" si="100"/>
        <v>3185786</v>
      </c>
      <c r="R3295">
        <f t="shared" si="101"/>
        <v>10.327121784074636</v>
      </c>
      <c r="U3295">
        <v>851</v>
      </c>
      <c r="V3295">
        <v>70</v>
      </c>
      <c r="W3295">
        <v>1632</v>
      </c>
      <c r="X3295">
        <v>314</v>
      </c>
      <c r="Y3295">
        <v>73</v>
      </c>
      <c r="Z3295">
        <v>54</v>
      </c>
      <c r="AA3295">
        <v>92.1</v>
      </c>
    </row>
    <row r="3296" spans="1:27" x14ac:dyDescent="0.25">
      <c r="A3296" t="s">
        <v>257</v>
      </c>
      <c r="B3296" t="s">
        <v>203</v>
      </c>
      <c r="C3296" s="76">
        <v>43988</v>
      </c>
      <c r="D3296">
        <v>5416</v>
      </c>
      <c r="E3296">
        <v>2039</v>
      </c>
      <c r="F3296">
        <v>8793</v>
      </c>
      <c r="G3296">
        <v>2180</v>
      </c>
      <c r="H3296">
        <v>71.3</v>
      </c>
      <c r="I3296">
        <v>63.5</v>
      </c>
      <c r="J3296">
        <v>79.099999999999994</v>
      </c>
      <c r="K3296">
        <v>354</v>
      </c>
      <c r="L3296">
        <v>123</v>
      </c>
      <c r="M3296">
        <v>585</v>
      </c>
      <c r="N3296">
        <v>4.7</v>
      </c>
      <c r="O3296">
        <v>3.5</v>
      </c>
      <c r="P3296">
        <v>5.8</v>
      </c>
      <c r="Q3296">
        <f t="shared" si="100"/>
        <v>3185786</v>
      </c>
      <c r="R3296">
        <f t="shared" si="101"/>
        <v>11.111857481952647</v>
      </c>
      <c r="U3296">
        <v>875</v>
      </c>
      <c r="V3296">
        <v>63</v>
      </c>
      <c r="W3296">
        <v>1687</v>
      </c>
      <c r="X3296">
        <v>376</v>
      </c>
      <c r="Y3296">
        <v>69.900000000000006</v>
      </c>
      <c r="Z3296">
        <v>55.4</v>
      </c>
      <c r="AA3296">
        <v>84.4</v>
      </c>
    </row>
    <row r="3297" spans="1:27" x14ac:dyDescent="0.25">
      <c r="A3297" t="s">
        <v>257</v>
      </c>
      <c r="B3297" t="s">
        <v>203</v>
      </c>
      <c r="C3297" s="76">
        <v>43989</v>
      </c>
      <c r="D3297">
        <v>5574</v>
      </c>
      <c r="E3297">
        <v>1882</v>
      </c>
      <c r="F3297">
        <v>9266</v>
      </c>
      <c r="G3297">
        <v>2284</v>
      </c>
      <c r="H3297">
        <v>70.900000000000006</v>
      </c>
      <c r="I3297">
        <v>64.7</v>
      </c>
      <c r="J3297">
        <v>77.2</v>
      </c>
      <c r="K3297">
        <v>383</v>
      </c>
      <c r="L3297">
        <v>126</v>
      </c>
      <c r="M3297">
        <v>641</v>
      </c>
      <c r="N3297">
        <v>4.9000000000000004</v>
      </c>
      <c r="O3297">
        <v>3.8</v>
      </c>
      <c r="P3297">
        <v>5.9</v>
      </c>
      <c r="Q3297">
        <f t="shared" si="100"/>
        <v>3185786</v>
      </c>
      <c r="R3297">
        <f t="shared" si="101"/>
        <v>12.022150891491142</v>
      </c>
      <c r="U3297">
        <v>903</v>
      </c>
      <c r="V3297">
        <v>0</v>
      </c>
      <c r="W3297">
        <v>1840</v>
      </c>
      <c r="X3297">
        <v>438</v>
      </c>
      <c r="Y3297">
        <v>67.400000000000006</v>
      </c>
      <c r="Z3297">
        <v>50.5</v>
      </c>
      <c r="AA3297">
        <v>84.2</v>
      </c>
    </row>
    <row r="3298" spans="1:27" x14ac:dyDescent="0.25">
      <c r="A3298" t="s">
        <v>257</v>
      </c>
      <c r="B3298" t="s">
        <v>203</v>
      </c>
      <c r="C3298" s="76">
        <v>43990</v>
      </c>
      <c r="D3298">
        <v>4992</v>
      </c>
      <c r="E3298">
        <v>2450</v>
      </c>
      <c r="F3298">
        <v>7533</v>
      </c>
      <c r="G3298">
        <v>2522</v>
      </c>
      <c r="H3298">
        <v>66.400000000000006</v>
      </c>
      <c r="I3298">
        <v>59.3</v>
      </c>
      <c r="J3298">
        <v>73.5</v>
      </c>
      <c r="K3298">
        <v>374</v>
      </c>
      <c r="L3298">
        <v>172</v>
      </c>
      <c r="M3298">
        <v>576</v>
      </c>
      <c r="N3298">
        <v>5</v>
      </c>
      <c r="O3298">
        <v>3.8</v>
      </c>
      <c r="P3298">
        <v>6.1</v>
      </c>
      <c r="Q3298">
        <f t="shared" si="100"/>
        <v>3185786</v>
      </c>
      <c r="R3298">
        <f t="shared" si="101"/>
        <v>11.739646040255058</v>
      </c>
      <c r="U3298">
        <v>690</v>
      </c>
      <c r="V3298">
        <v>139</v>
      </c>
      <c r="W3298">
        <v>1241</v>
      </c>
      <c r="X3298">
        <v>520</v>
      </c>
      <c r="Y3298">
        <v>57</v>
      </c>
      <c r="Z3298">
        <v>39.799999999999997</v>
      </c>
      <c r="AA3298">
        <v>74.2</v>
      </c>
    </row>
    <row r="3299" spans="1:27" x14ac:dyDescent="0.25">
      <c r="A3299" t="s">
        <v>257</v>
      </c>
      <c r="B3299" t="s">
        <v>203</v>
      </c>
      <c r="C3299" s="76">
        <v>43991</v>
      </c>
      <c r="D3299">
        <v>5153</v>
      </c>
      <c r="E3299">
        <v>2489</v>
      </c>
      <c r="F3299">
        <v>7817</v>
      </c>
      <c r="G3299">
        <v>2429</v>
      </c>
      <c r="H3299">
        <v>68</v>
      </c>
      <c r="I3299">
        <v>60.6</v>
      </c>
      <c r="J3299">
        <v>75.3</v>
      </c>
      <c r="K3299">
        <v>397</v>
      </c>
      <c r="L3299">
        <v>185</v>
      </c>
      <c r="M3299">
        <v>608</v>
      </c>
      <c r="N3299">
        <v>5.2</v>
      </c>
      <c r="O3299">
        <v>4.2</v>
      </c>
      <c r="P3299">
        <v>6.3</v>
      </c>
      <c r="Q3299">
        <f t="shared" si="100"/>
        <v>3185786</v>
      </c>
      <c r="R3299">
        <f t="shared" si="101"/>
        <v>12.461602882302831</v>
      </c>
      <c r="U3299">
        <v>747</v>
      </c>
      <c r="V3299">
        <v>154</v>
      </c>
      <c r="W3299">
        <v>1340</v>
      </c>
      <c r="X3299">
        <v>484</v>
      </c>
      <c r="Y3299">
        <v>60.7</v>
      </c>
      <c r="Z3299">
        <v>44.2</v>
      </c>
      <c r="AA3299">
        <v>77.099999999999994</v>
      </c>
    </row>
    <row r="3300" spans="1:27" x14ac:dyDescent="0.25">
      <c r="A3300" t="s">
        <v>257</v>
      </c>
      <c r="B3300" t="s">
        <v>203</v>
      </c>
      <c r="C3300" s="76">
        <v>43992</v>
      </c>
      <c r="D3300">
        <v>5107</v>
      </c>
      <c r="E3300">
        <v>2404</v>
      </c>
      <c r="F3300">
        <v>7811</v>
      </c>
      <c r="G3300">
        <v>2449</v>
      </c>
      <c r="H3300">
        <v>67.599999999999994</v>
      </c>
      <c r="I3300">
        <v>58.8</v>
      </c>
      <c r="J3300">
        <v>76.400000000000006</v>
      </c>
      <c r="K3300">
        <v>336</v>
      </c>
      <c r="L3300">
        <v>143</v>
      </c>
      <c r="M3300">
        <v>529</v>
      </c>
      <c r="N3300">
        <v>4.4000000000000004</v>
      </c>
      <c r="O3300">
        <v>3.4</v>
      </c>
      <c r="P3300">
        <v>5.5</v>
      </c>
      <c r="Q3300">
        <f t="shared" si="100"/>
        <v>3185786</v>
      </c>
      <c r="R3300">
        <f t="shared" si="101"/>
        <v>10.54684777948048</v>
      </c>
      <c r="U3300">
        <v>738</v>
      </c>
      <c r="V3300">
        <v>158</v>
      </c>
      <c r="W3300">
        <v>1318</v>
      </c>
      <c r="X3300">
        <v>418</v>
      </c>
      <c r="Y3300">
        <v>63.8</v>
      </c>
      <c r="Z3300">
        <v>45.6</v>
      </c>
      <c r="AA3300">
        <v>82.1</v>
      </c>
    </row>
    <row r="3301" spans="1:27" x14ac:dyDescent="0.25">
      <c r="A3301" t="s">
        <v>257</v>
      </c>
      <c r="B3301" t="s">
        <v>203</v>
      </c>
      <c r="C3301" s="76">
        <v>43993</v>
      </c>
      <c r="D3301">
        <v>5233</v>
      </c>
      <c r="E3301">
        <v>2508</v>
      </c>
      <c r="F3301">
        <v>7959</v>
      </c>
      <c r="G3301">
        <v>2240</v>
      </c>
      <c r="H3301">
        <v>70</v>
      </c>
      <c r="I3301">
        <v>62.4</v>
      </c>
      <c r="J3301">
        <v>77.7</v>
      </c>
      <c r="K3301">
        <v>411</v>
      </c>
      <c r="L3301">
        <v>185</v>
      </c>
      <c r="M3301">
        <v>636</v>
      </c>
      <c r="N3301">
        <v>5.5</v>
      </c>
      <c r="O3301">
        <v>4.2</v>
      </c>
      <c r="P3301">
        <v>6.7</v>
      </c>
      <c r="Q3301">
        <f t="shared" si="100"/>
        <v>3185786</v>
      </c>
      <c r="R3301">
        <f t="shared" si="101"/>
        <v>12.901054873114514</v>
      </c>
      <c r="U3301">
        <v>792</v>
      </c>
      <c r="V3301">
        <v>176</v>
      </c>
      <c r="W3301">
        <v>1408</v>
      </c>
      <c r="X3301">
        <v>367</v>
      </c>
      <c r="Y3301">
        <v>68.400000000000006</v>
      </c>
      <c r="Z3301">
        <v>53.3</v>
      </c>
      <c r="AA3301">
        <v>83.5</v>
      </c>
    </row>
    <row r="3302" spans="1:27" x14ac:dyDescent="0.25">
      <c r="A3302" t="s">
        <v>257</v>
      </c>
      <c r="B3302" t="s">
        <v>203</v>
      </c>
      <c r="C3302" s="76">
        <v>43994</v>
      </c>
      <c r="D3302">
        <v>5473</v>
      </c>
      <c r="E3302">
        <v>2675</v>
      </c>
      <c r="F3302">
        <v>8271</v>
      </c>
      <c r="G3302">
        <v>2068</v>
      </c>
      <c r="H3302">
        <v>72.599999999999994</v>
      </c>
      <c r="I3302">
        <v>65.2</v>
      </c>
      <c r="J3302">
        <v>80</v>
      </c>
      <c r="K3302">
        <v>358</v>
      </c>
      <c r="L3302">
        <v>161</v>
      </c>
      <c r="M3302">
        <v>555</v>
      </c>
      <c r="N3302">
        <v>4.7</v>
      </c>
      <c r="O3302">
        <v>3.7</v>
      </c>
      <c r="P3302">
        <v>5.8</v>
      </c>
      <c r="Q3302">
        <f t="shared" si="100"/>
        <v>3185786</v>
      </c>
      <c r="R3302">
        <f t="shared" si="101"/>
        <v>11.237415193613129</v>
      </c>
      <c r="U3302">
        <v>821</v>
      </c>
      <c r="V3302">
        <v>189</v>
      </c>
      <c r="W3302">
        <v>1453</v>
      </c>
      <c r="X3302">
        <v>307</v>
      </c>
      <c r="Y3302">
        <v>72.599999999999994</v>
      </c>
      <c r="Z3302">
        <v>58.8</v>
      </c>
      <c r="AA3302">
        <v>86.5</v>
      </c>
    </row>
    <row r="3303" spans="1:27" x14ac:dyDescent="0.25">
      <c r="A3303" t="s">
        <v>257</v>
      </c>
      <c r="B3303" t="s">
        <v>203</v>
      </c>
      <c r="C3303" s="76">
        <v>43995</v>
      </c>
      <c r="D3303">
        <v>5460</v>
      </c>
      <c r="E3303">
        <v>2666</v>
      </c>
      <c r="F3303">
        <v>8254</v>
      </c>
      <c r="G3303">
        <v>2055</v>
      </c>
      <c r="H3303">
        <v>72.7</v>
      </c>
      <c r="I3303">
        <v>66</v>
      </c>
      <c r="J3303">
        <v>79.3</v>
      </c>
      <c r="K3303">
        <v>356</v>
      </c>
      <c r="L3303">
        <v>163</v>
      </c>
      <c r="M3303">
        <v>550</v>
      </c>
      <c r="N3303">
        <v>4.7</v>
      </c>
      <c r="O3303">
        <v>3.9</v>
      </c>
      <c r="P3303">
        <v>5.6</v>
      </c>
      <c r="Q3303">
        <f t="shared" ref="Q3303:Q3366" si="102">VLOOKUP(B3303,$AE$4:$AF$55,2,FALSE)</f>
        <v>3185786</v>
      </c>
      <c r="R3303">
        <f t="shared" si="101"/>
        <v>11.174636337782889</v>
      </c>
      <c r="U3303">
        <v>823</v>
      </c>
      <c r="V3303">
        <v>184</v>
      </c>
      <c r="W3303">
        <v>1463</v>
      </c>
      <c r="X3303">
        <v>357</v>
      </c>
      <c r="Y3303">
        <v>69.8</v>
      </c>
      <c r="Z3303">
        <v>55.1</v>
      </c>
      <c r="AA3303">
        <v>84.5</v>
      </c>
    </row>
    <row r="3304" spans="1:27" x14ac:dyDescent="0.25">
      <c r="A3304" t="s">
        <v>257</v>
      </c>
      <c r="B3304" t="s">
        <v>203</v>
      </c>
      <c r="C3304" s="76">
        <v>43996</v>
      </c>
      <c r="D3304">
        <v>5287</v>
      </c>
      <c r="E3304">
        <v>2593</v>
      </c>
      <c r="F3304">
        <v>7981</v>
      </c>
      <c r="G3304">
        <v>2227</v>
      </c>
      <c r="H3304">
        <v>70.400000000000006</v>
      </c>
      <c r="I3304">
        <v>64.2</v>
      </c>
      <c r="J3304">
        <v>76.599999999999994</v>
      </c>
      <c r="K3304">
        <v>358</v>
      </c>
      <c r="L3304">
        <v>159</v>
      </c>
      <c r="M3304">
        <v>556</v>
      </c>
      <c r="N3304">
        <v>4.8</v>
      </c>
      <c r="O3304">
        <v>3.8</v>
      </c>
      <c r="P3304">
        <v>5.8</v>
      </c>
      <c r="Q3304">
        <f t="shared" si="102"/>
        <v>3185786</v>
      </c>
      <c r="R3304">
        <f t="shared" si="101"/>
        <v>11.237415193613129</v>
      </c>
      <c r="U3304">
        <v>835</v>
      </c>
      <c r="V3304">
        <v>198</v>
      </c>
      <c r="W3304">
        <v>1472</v>
      </c>
      <c r="X3304">
        <v>357</v>
      </c>
      <c r="Y3304">
        <v>70</v>
      </c>
      <c r="Z3304">
        <v>57</v>
      </c>
      <c r="AA3304">
        <v>83.1</v>
      </c>
    </row>
    <row r="3305" spans="1:27" x14ac:dyDescent="0.25">
      <c r="A3305" t="s">
        <v>257</v>
      </c>
      <c r="B3305" t="s">
        <v>203</v>
      </c>
      <c r="C3305" s="76">
        <v>43997</v>
      </c>
      <c r="D3305">
        <v>5324</v>
      </c>
      <c r="E3305">
        <v>2631</v>
      </c>
      <c r="F3305">
        <v>8018</v>
      </c>
      <c r="G3305">
        <v>2190</v>
      </c>
      <c r="H3305">
        <v>70.900000000000006</v>
      </c>
      <c r="I3305">
        <v>64.7</v>
      </c>
      <c r="J3305">
        <v>77</v>
      </c>
      <c r="K3305">
        <v>379</v>
      </c>
      <c r="L3305">
        <v>175</v>
      </c>
      <c r="M3305">
        <v>583</v>
      </c>
      <c r="N3305">
        <v>5</v>
      </c>
      <c r="O3305">
        <v>3.8</v>
      </c>
      <c r="P3305">
        <v>6.2</v>
      </c>
      <c r="Q3305">
        <f t="shared" si="102"/>
        <v>3185786</v>
      </c>
      <c r="R3305">
        <f t="shared" si="101"/>
        <v>11.89659317983066</v>
      </c>
      <c r="U3305">
        <v>810</v>
      </c>
      <c r="V3305">
        <v>201</v>
      </c>
      <c r="W3305">
        <v>1419</v>
      </c>
      <c r="X3305">
        <v>376</v>
      </c>
      <c r="Y3305">
        <v>68.3</v>
      </c>
      <c r="Z3305">
        <v>55.8</v>
      </c>
      <c r="AA3305">
        <v>80.8</v>
      </c>
    </row>
    <row r="3306" spans="1:27" x14ac:dyDescent="0.25">
      <c r="A3306" t="s">
        <v>257</v>
      </c>
      <c r="B3306" t="s">
        <v>203</v>
      </c>
      <c r="C3306" s="76">
        <v>43998</v>
      </c>
      <c r="D3306">
        <v>5416</v>
      </c>
      <c r="E3306">
        <v>2573</v>
      </c>
      <c r="F3306">
        <v>8259</v>
      </c>
      <c r="G3306">
        <v>2035</v>
      </c>
      <c r="H3306">
        <v>72.7</v>
      </c>
      <c r="I3306">
        <v>66</v>
      </c>
      <c r="J3306">
        <v>79.3</v>
      </c>
      <c r="K3306">
        <v>373</v>
      </c>
      <c r="L3306">
        <v>154</v>
      </c>
      <c r="M3306">
        <v>593</v>
      </c>
      <c r="N3306">
        <v>5</v>
      </c>
      <c r="O3306">
        <v>3.7</v>
      </c>
      <c r="P3306">
        <v>6.3</v>
      </c>
      <c r="Q3306">
        <f t="shared" si="102"/>
        <v>3185786</v>
      </c>
      <c r="R3306">
        <f t="shared" si="101"/>
        <v>11.708256612339937</v>
      </c>
      <c r="U3306">
        <v>788</v>
      </c>
      <c r="V3306">
        <v>166</v>
      </c>
      <c r="W3306">
        <v>1411</v>
      </c>
      <c r="X3306">
        <v>356</v>
      </c>
      <c r="Y3306">
        <v>68.900000000000006</v>
      </c>
      <c r="Z3306">
        <v>56.2</v>
      </c>
      <c r="AA3306">
        <v>81.5</v>
      </c>
    </row>
    <row r="3307" spans="1:27" x14ac:dyDescent="0.25">
      <c r="A3307" t="s">
        <v>257</v>
      </c>
      <c r="B3307" t="s">
        <v>203</v>
      </c>
      <c r="C3307" s="76">
        <v>43999</v>
      </c>
      <c r="D3307">
        <v>5325</v>
      </c>
      <c r="E3307">
        <v>2168</v>
      </c>
      <c r="F3307">
        <v>8481</v>
      </c>
      <c r="G3307">
        <v>1626</v>
      </c>
      <c r="H3307">
        <v>76.599999999999994</v>
      </c>
      <c r="I3307">
        <v>69.599999999999994</v>
      </c>
      <c r="J3307">
        <v>83.6</v>
      </c>
      <c r="K3307">
        <v>342</v>
      </c>
      <c r="L3307">
        <v>140</v>
      </c>
      <c r="M3307">
        <v>543</v>
      </c>
      <c r="N3307">
        <v>4.9000000000000004</v>
      </c>
      <c r="O3307">
        <v>3.1</v>
      </c>
      <c r="P3307">
        <v>6.7</v>
      </c>
      <c r="Q3307">
        <f t="shared" si="102"/>
        <v>3185786</v>
      </c>
      <c r="R3307">
        <f t="shared" si="101"/>
        <v>10.735184346971202</v>
      </c>
      <c r="U3307">
        <v>769</v>
      </c>
      <c r="V3307">
        <v>193</v>
      </c>
      <c r="W3307">
        <v>1345</v>
      </c>
      <c r="X3307">
        <v>333</v>
      </c>
      <c r="Y3307">
        <v>69.8</v>
      </c>
      <c r="Z3307">
        <v>58</v>
      </c>
      <c r="AA3307">
        <v>81.599999999999994</v>
      </c>
    </row>
    <row r="3308" spans="1:27" x14ac:dyDescent="0.25">
      <c r="A3308" t="s">
        <v>257</v>
      </c>
      <c r="B3308" t="s">
        <v>203</v>
      </c>
      <c r="C3308" s="76">
        <v>44000</v>
      </c>
      <c r="D3308">
        <v>5779</v>
      </c>
      <c r="E3308">
        <v>1733</v>
      </c>
      <c r="F3308">
        <v>9824</v>
      </c>
      <c r="G3308">
        <v>2196</v>
      </c>
      <c r="H3308">
        <v>72.5</v>
      </c>
      <c r="I3308">
        <v>64.599999999999994</v>
      </c>
      <c r="J3308">
        <v>80.3</v>
      </c>
      <c r="K3308">
        <v>388</v>
      </c>
      <c r="L3308">
        <v>108</v>
      </c>
      <c r="M3308">
        <v>668</v>
      </c>
      <c r="N3308">
        <v>4.9000000000000004</v>
      </c>
      <c r="O3308">
        <v>3.3</v>
      </c>
      <c r="P3308">
        <v>6.5</v>
      </c>
      <c r="Q3308">
        <f t="shared" si="102"/>
        <v>3185786</v>
      </c>
      <c r="R3308">
        <f t="shared" si="101"/>
        <v>12.179098031066745</v>
      </c>
      <c r="U3308">
        <v>928</v>
      </c>
      <c r="V3308">
        <v>3</v>
      </c>
      <c r="W3308">
        <v>1853</v>
      </c>
      <c r="X3308">
        <v>298</v>
      </c>
      <c r="Y3308">
        <v>75.599999999999994</v>
      </c>
      <c r="Z3308">
        <v>52.6</v>
      </c>
      <c r="AA3308">
        <v>98.6</v>
      </c>
    </row>
    <row r="3309" spans="1:27" x14ac:dyDescent="0.25">
      <c r="A3309" t="s">
        <v>257</v>
      </c>
      <c r="B3309" t="s">
        <v>203</v>
      </c>
      <c r="C3309" s="76">
        <v>44001</v>
      </c>
      <c r="D3309">
        <v>5444</v>
      </c>
      <c r="E3309">
        <v>2041</v>
      </c>
      <c r="F3309">
        <v>8848</v>
      </c>
      <c r="G3309">
        <v>2174</v>
      </c>
      <c r="H3309">
        <v>71.5</v>
      </c>
      <c r="I3309">
        <v>63.7</v>
      </c>
      <c r="J3309">
        <v>79.2</v>
      </c>
      <c r="K3309">
        <v>396</v>
      </c>
      <c r="L3309">
        <v>131</v>
      </c>
      <c r="M3309">
        <v>661</v>
      </c>
      <c r="N3309">
        <v>5.2</v>
      </c>
      <c r="O3309">
        <v>3.4</v>
      </c>
      <c r="P3309">
        <v>7</v>
      </c>
      <c r="Q3309">
        <f t="shared" si="102"/>
        <v>3185786</v>
      </c>
      <c r="R3309">
        <f t="shared" si="101"/>
        <v>12.430213454387708</v>
      </c>
      <c r="U3309">
        <v>776</v>
      </c>
      <c r="V3309">
        <v>56</v>
      </c>
      <c r="W3309">
        <v>1495</v>
      </c>
      <c r="X3309">
        <v>398</v>
      </c>
      <c r="Y3309">
        <v>66.099999999999994</v>
      </c>
      <c r="Z3309">
        <v>53.9</v>
      </c>
      <c r="AA3309">
        <v>78.3</v>
      </c>
    </row>
    <row r="3310" spans="1:27" x14ac:dyDescent="0.25">
      <c r="A3310" t="s">
        <v>257</v>
      </c>
      <c r="B3310" t="s">
        <v>203</v>
      </c>
      <c r="C3310" s="76">
        <v>44002</v>
      </c>
      <c r="D3310">
        <v>5242</v>
      </c>
      <c r="E3310">
        <v>2568</v>
      </c>
      <c r="F3310">
        <v>7915</v>
      </c>
      <c r="G3310">
        <v>2407</v>
      </c>
      <c r="H3310">
        <v>68.5</v>
      </c>
      <c r="I3310">
        <v>62.1</v>
      </c>
      <c r="J3310">
        <v>74.900000000000006</v>
      </c>
      <c r="K3310">
        <v>401</v>
      </c>
      <c r="L3310">
        <v>180</v>
      </c>
      <c r="M3310">
        <v>622</v>
      </c>
      <c r="N3310">
        <v>5.2</v>
      </c>
      <c r="O3310">
        <v>4</v>
      </c>
      <c r="P3310">
        <v>6.5</v>
      </c>
      <c r="Q3310">
        <f t="shared" si="102"/>
        <v>3185786</v>
      </c>
      <c r="R3310">
        <f t="shared" si="101"/>
        <v>12.587160593963311</v>
      </c>
      <c r="U3310">
        <v>712</v>
      </c>
      <c r="V3310">
        <v>187</v>
      </c>
      <c r="W3310">
        <v>1236</v>
      </c>
      <c r="X3310">
        <v>424</v>
      </c>
      <c r="Y3310">
        <v>62.7</v>
      </c>
      <c r="Z3310">
        <v>53</v>
      </c>
      <c r="AA3310">
        <v>72.400000000000006</v>
      </c>
    </row>
    <row r="3311" spans="1:27" x14ac:dyDescent="0.25">
      <c r="A3311" t="s">
        <v>257</v>
      </c>
      <c r="B3311" t="s">
        <v>203</v>
      </c>
      <c r="C3311" s="76">
        <v>44003</v>
      </c>
      <c r="D3311">
        <v>5143</v>
      </c>
      <c r="E3311">
        <v>2529</v>
      </c>
      <c r="F3311">
        <v>7757</v>
      </c>
      <c r="G3311">
        <v>2506</v>
      </c>
      <c r="H3311">
        <v>67.2</v>
      </c>
      <c r="I3311">
        <v>61.1</v>
      </c>
      <c r="J3311">
        <v>73.400000000000006</v>
      </c>
      <c r="K3311">
        <v>451</v>
      </c>
      <c r="L3311">
        <v>202</v>
      </c>
      <c r="M3311">
        <v>699</v>
      </c>
      <c r="N3311">
        <v>5.9</v>
      </c>
      <c r="O3311">
        <v>4.4000000000000004</v>
      </c>
      <c r="P3311">
        <v>7.4</v>
      </c>
      <c r="Q3311">
        <f t="shared" si="102"/>
        <v>3185786</v>
      </c>
      <c r="R3311">
        <f t="shared" si="101"/>
        <v>14.156631989719335</v>
      </c>
      <c r="U3311">
        <v>705</v>
      </c>
      <c r="V3311">
        <v>194</v>
      </c>
      <c r="W3311">
        <v>1215</v>
      </c>
      <c r="X3311">
        <v>427</v>
      </c>
      <c r="Y3311">
        <v>62.3</v>
      </c>
      <c r="Z3311">
        <v>53.8</v>
      </c>
      <c r="AA3311">
        <v>70.8</v>
      </c>
    </row>
    <row r="3312" spans="1:27" x14ac:dyDescent="0.25">
      <c r="A3312" t="s">
        <v>257</v>
      </c>
      <c r="B3312" t="s">
        <v>203</v>
      </c>
      <c r="C3312" s="76">
        <v>44004</v>
      </c>
      <c r="D3312">
        <v>5121</v>
      </c>
      <c r="E3312">
        <v>2466</v>
      </c>
      <c r="F3312">
        <v>7776</v>
      </c>
      <c r="G3312">
        <v>2547</v>
      </c>
      <c r="H3312">
        <v>66.8</v>
      </c>
      <c r="I3312">
        <v>58.9</v>
      </c>
      <c r="J3312">
        <v>74.599999999999994</v>
      </c>
      <c r="K3312">
        <v>415</v>
      </c>
      <c r="L3312">
        <v>185</v>
      </c>
      <c r="M3312">
        <v>646</v>
      </c>
      <c r="N3312">
        <v>5.4</v>
      </c>
      <c r="O3312">
        <v>4.0999999999999996</v>
      </c>
      <c r="P3312">
        <v>6.7</v>
      </c>
      <c r="Q3312">
        <f t="shared" si="102"/>
        <v>3185786</v>
      </c>
      <c r="R3312">
        <f t="shared" si="101"/>
        <v>13.026612584774998</v>
      </c>
      <c r="U3312">
        <v>694</v>
      </c>
      <c r="V3312">
        <v>180</v>
      </c>
      <c r="W3312">
        <v>1208</v>
      </c>
      <c r="X3312">
        <v>503</v>
      </c>
      <c r="Y3312">
        <v>58</v>
      </c>
      <c r="Z3312">
        <v>45.5</v>
      </c>
      <c r="AA3312">
        <v>70.5</v>
      </c>
    </row>
    <row r="3313" spans="1:27" x14ac:dyDescent="0.25">
      <c r="A3313" t="s">
        <v>257</v>
      </c>
      <c r="B3313" t="s">
        <v>203</v>
      </c>
      <c r="C3313" s="76">
        <v>44005</v>
      </c>
      <c r="D3313">
        <v>5548</v>
      </c>
      <c r="E3313">
        <v>2692</v>
      </c>
      <c r="F3313">
        <v>8405</v>
      </c>
      <c r="G3313">
        <v>2119</v>
      </c>
      <c r="H3313">
        <v>72.400000000000006</v>
      </c>
      <c r="I3313">
        <v>64.8</v>
      </c>
      <c r="J3313">
        <v>79.900000000000006</v>
      </c>
      <c r="K3313">
        <v>505</v>
      </c>
      <c r="L3313">
        <v>238</v>
      </c>
      <c r="M3313">
        <v>772</v>
      </c>
      <c r="N3313">
        <v>6.6</v>
      </c>
      <c r="O3313">
        <v>5.0999999999999996</v>
      </c>
      <c r="P3313">
        <v>8.1</v>
      </c>
      <c r="Q3313">
        <f t="shared" si="102"/>
        <v>3185786</v>
      </c>
      <c r="R3313">
        <f t="shared" si="101"/>
        <v>15.851661097135839</v>
      </c>
      <c r="U3313">
        <v>785</v>
      </c>
      <c r="V3313">
        <v>235</v>
      </c>
      <c r="W3313">
        <v>1335</v>
      </c>
      <c r="X3313">
        <v>419</v>
      </c>
      <c r="Y3313">
        <v>65.2</v>
      </c>
      <c r="Z3313">
        <v>56.5</v>
      </c>
      <c r="AA3313">
        <v>73.900000000000006</v>
      </c>
    </row>
    <row r="3314" spans="1:27" x14ac:dyDescent="0.25">
      <c r="A3314" t="s">
        <v>257</v>
      </c>
      <c r="B3314" t="s">
        <v>203</v>
      </c>
      <c r="C3314" s="76">
        <v>44006</v>
      </c>
      <c r="D3314">
        <v>5933</v>
      </c>
      <c r="E3314">
        <v>1845</v>
      </c>
      <c r="F3314">
        <v>10021</v>
      </c>
      <c r="G3314">
        <v>2148</v>
      </c>
      <c r="H3314">
        <v>73.400000000000006</v>
      </c>
      <c r="I3314">
        <v>64.599999999999994</v>
      </c>
      <c r="J3314">
        <v>82.2</v>
      </c>
      <c r="K3314">
        <v>496</v>
      </c>
      <c r="L3314">
        <v>142</v>
      </c>
      <c r="M3314">
        <v>851</v>
      </c>
      <c r="N3314">
        <v>6.1</v>
      </c>
      <c r="O3314">
        <v>4.3</v>
      </c>
      <c r="P3314">
        <v>8</v>
      </c>
      <c r="Q3314">
        <f t="shared" si="102"/>
        <v>3185786</v>
      </c>
      <c r="R3314">
        <f t="shared" si="101"/>
        <v>15.569156245899755</v>
      </c>
      <c r="U3314">
        <v>943</v>
      </c>
      <c r="V3314">
        <v>0</v>
      </c>
      <c r="W3314">
        <v>1928</v>
      </c>
      <c r="X3314">
        <v>432</v>
      </c>
      <c r="Y3314">
        <v>68.599999999999994</v>
      </c>
      <c r="Z3314">
        <v>49.2</v>
      </c>
      <c r="AA3314">
        <v>88</v>
      </c>
    </row>
    <row r="3315" spans="1:27" x14ac:dyDescent="0.25">
      <c r="A3315" t="s">
        <v>257</v>
      </c>
      <c r="B3315" t="s">
        <v>203</v>
      </c>
      <c r="C3315" s="76">
        <v>44007</v>
      </c>
      <c r="D3315">
        <v>5929</v>
      </c>
      <c r="E3315">
        <v>1877</v>
      </c>
      <c r="F3315">
        <v>9980</v>
      </c>
      <c r="G3315">
        <v>1882</v>
      </c>
      <c r="H3315">
        <v>75.900000000000006</v>
      </c>
      <c r="I3315">
        <v>69</v>
      </c>
      <c r="J3315">
        <v>82.8</v>
      </c>
      <c r="K3315">
        <v>522</v>
      </c>
      <c r="L3315">
        <v>177</v>
      </c>
      <c r="M3315">
        <v>867</v>
      </c>
      <c r="N3315">
        <v>6.7</v>
      </c>
      <c r="O3315">
        <v>4.9000000000000004</v>
      </c>
      <c r="P3315">
        <v>8.4</v>
      </c>
      <c r="Q3315">
        <f t="shared" si="102"/>
        <v>3185786</v>
      </c>
      <c r="R3315">
        <f t="shared" si="101"/>
        <v>16.385281371692887</v>
      </c>
      <c r="U3315">
        <v>962</v>
      </c>
      <c r="V3315">
        <v>0</v>
      </c>
      <c r="W3315">
        <v>1938</v>
      </c>
      <c r="X3315">
        <v>334</v>
      </c>
      <c r="Y3315">
        <v>74.2</v>
      </c>
      <c r="Z3315">
        <v>58.9</v>
      </c>
      <c r="AA3315">
        <v>89.4</v>
      </c>
    </row>
    <row r="3316" spans="1:27" x14ac:dyDescent="0.25">
      <c r="A3316" t="s">
        <v>257</v>
      </c>
      <c r="B3316" t="s">
        <v>203</v>
      </c>
      <c r="C3316" s="76">
        <v>44008</v>
      </c>
      <c r="D3316">
        <v>5951</v>
      </c>
      <c r="E3316">
        <v>1934</v>
      </c>
      <c r="F3316">
        <v>9968</v>
      </c>
      <c r="G3316">
        <v>1863</v>
      </c>
      <c r="H3316">
        <v>76.2</v>
      </c>
      <c r="I3316">
        <v>69.3</v>
      </c>
      <c r="J3316">
        <v>83</v>
      </c>
      <c r="K3316">
        <v>565</v>
      </c>
      <c r="L3316">
        <v>194</v>
      </c>
      <c r="M3316">
        <v>937</v>
      </c>
      <c r="N3316">
        <v>7.2</v>
      </c>
      <c r="O3316">
        <v>5.3</v>
      </c>
      <c r="P3316">
        <v>9.1999999999999993</v>
      </c>
      <c r="Q3316">
        <f t="shared" si="102"/>
        <v>3185786</v>
      </c>
      <c r="R3316">
        <f t="shared" si="101"/>
        <v>17.735026772043067</v>
      </c>
      <c r="U3316">
        <v>985</v>
      </c>
      <c r="V3316">
        <v>0</v>
      </c>
      <c r="W3316">
        <v>1971</v>
      </c>
      <c r="X3316">
        <v>320</v>
      </c>
      <c r="Y3316">
        <v>75.5</v>
      </c>
      <c r="Z3316">
        <v>61.7</v>
      </c>
      <c r="AA3316">
        <v>89.2</v>
      </c>
    </row>
    <row r="3317" spans="1:27" x14ac:dyDescent="0.25">
      <c r="A3317" t="s">
        <v>257</v>
      </c>
      <c r="B3317" t="s">
        <v>203</v>
      </c>
      <c r="C3317" s="76">
        <v>44009</v>
      </c>
      <c r="D3317">
        <v>5646</v>
      </c>
      <c r="E3317">
        <v>2741</v>
      </c>
      <c r="F3317">
        <v>8552</v>
      </c>
      <c r="G3317">
        <v>1821</v>
      </c>
      <c r="H3317">
        <v>75.599999999999994</v>
      </c>
      <c r="I3317">
        <v>69</v>
      </c>
      <c r="J3317">
        <v>82.2</v>
      </c>
      <c r="K3317">
        <v>618</v>
      </c>
      <c r="L3317">
        <v>295</v>
      </c>
      <c r="M3317">
        <v>942</v>
      </c>
      <c r="N3317">
        <v>8.3000000000000007</v>
      </c>
      <c r="O3317">
        <v>6.3</v>
      </c>
      <c r="P3317">
        <v>10.3</v>
      </c>
      <c r="Q3317">
        <f t="shared" si="102"/>
        <v>3185786</v>
      </c>
      <c r="R3317">
        <f t="shared" si="101"/>
        <v>19.398666451544454</v>
      </c>
      <c r="U3317">
        <v>827</v>
      </c>
      <c r="V3317">
        <v>202</v>
      </c>
      <c r="W3317">
        <v>1453</v>
      </c>
      <c r="X3317">
        <v>308</v>
      </c>
      <c r="Y3317">
        <v>72.900000000000006</v>
      </c>
      <c r="Z3317">
        <v>60.4</v>
      </c>
      <c r="AA3317">
        <v>85.3</v>
      </c>
    </row>
    <row r="3318" spans="1:27" x14ac:dyDescent="0.25">
      <c r="A3318" t="s">
        <v>257</v>
      </c>
      <c r="B3318" t="s">
        <v>203</v>
      </c>
      <c r="C3318" s="76">
        <v>44010</v>
      </c>
      <c r="D3318">
        <v>5593</v>
      </c>
      <c r="E3318">
        <v>2692</v>
      </c>
      <c r="F3318">
        <v>8493</v>
      </c>
      <c r="G3318">
        <v>2135</v>
      </c>
      <c r="H3318">
        <v>72.400000000000006</v>
      </c>
      <c r="I3318">
        <v>65</v>
      </c>
      <c r="J3318">
        <v>79.7</v>
      </c>
      <c r="K3318">
        <v>757</v>
      </c>
      <c r="L3318">
        <v>348</v>
      </c>
      <c r="M3318">
        <v>1167</v>
      </c>
      <c r="N3318">
        <v>9.8000000000000007</v>
      </c>
      <c r="O3318">
        <v>7</v>
      </c>
      <c r="P3318">
        <v>12.6</v>
      </c>
      <c r="Q3318">
        <f t="shared" si="102"/>
        <v>3185786</v>
      </c>
      <c r="R3318">
        <f t="shared" si="101"/>
        <v>23.761796931746201</v>
      </c>
      <c r="U3318">
        <v>842</v>
      </c>
      <c r="V3318">
        <v>193</v>
      </c>
      <c r="W3318">
        <v>1490</v>
      </c>
      <c r="X3318">
        <v>330</v>
      </c>
      <c r="Y3318">
        <v>71.900000000000006</v>
      </c>
      <c r="Z3318">
        <v>58.5</v>
      </c>
      <c r="AA3318">
        <v>85.2</v>
      </c>
    </row>
    <row r="3319" spans="1:27" x14ac:dyDescent="0.25">
      <c r="A3319" t="s">
        <v>257</v>
      </c>
      <c r="B3319" t="s">
        <v>203</v>
      </c>
      <c r="C3319" s="76">
        <v>44011</v>
      </c>
      <c r="D3319">
        <v>5664</v>
      </c>
      <c r="E3319">
        <v>2774</v>
      </c>
      <c r="F3319">
        <v>8554</v>
      </c>
      <c r="G3319">
        <v>2147</v>
      </c>
      <c r="H3319">
        <v>72.5</v>
      </c>
      <c r="I3319">
        <v>65.599999999999994</v>
      </c>
      <c r="J3319">
        <v>79.400000000000006</v>
      </c>
      <c r="K3319">
        <v>761</v>
      </c>
      <c r="L3319">
        <v>355</v>
      </c>
      <c r="M3319">
        <v>1167</v>
      </c>
      <c r="N3319">
        <v>9.6999999999999993</v>
      </c>
      <c r="O3319">
        <v>7.1</v>
      </c>
      <c r="P3319">
        <v>12.4</v>
      </c>
      <c r="Q3319">
        <f t="shared" si="102"/>
        <v>3185786</v>
      </c>
      <c r="R3319">
        <f t="shared" si="101"/>
        <v>23.887354643406681</v>
      </c>
      <c r="U3319">
        <v>870</v>
      </c>
      <c r="V3319">
        <v>216</v>
      </c>
      <c r="W3319">
        <v>1525</v>
      </c>
      <c r="X3319">
        <v>311</v>
      </c>
      <c r="Y3319">
        <v>73.7</v>
      </c>
      <c r="Z3319">
        <v>61</v>
      </c>
      <c r="AA3319">
        <v>86.4</v>
      </c>
    </row>
    <row r="3320" spans="1:27" x14ac:dyDescent="0.25">
      <c r="A3320" t="s">
        <v>257</v>
      </c>
      <c r="B3320" t="s">
        <v>203</v>
      </c>
      <c r="C3320" s="76">
        <v>44012</v>
      </c>
      <c r="D3320">
        <v>5778</v>
      </c>
      <c r="E3320">
        <v>2860</v>
      </c>
      <c r="F3320">
        <v>8695</v>
      </c>
      <c r="G3320">
        <v>1871</v>
      </c>
      <c r="H3320">
        <v>75.5</v>
      </c>
      <c r="I3320">
        <v>68.3</v>
      </c>
      <c r="J3320">
        <v>82.7</v>
      </c>
      <c r="K3320">
        <v>769</v>
      </c>
      <c r="L3320">
        <v>358</v>
      </c>
      <c r="M3320">
        <v>1181</v>
      </c>
      <c r="N3320">
        <v>10.1</v>
      </c>
      <c r="O3320">
        <v>7.9</v>
      </c>
      <c r="P3320">
        <v>12.2</v>
      </c>
      <c r="Q3320">
        <f t="shared" si="102"/>
        <v>3185786</v>
      </c>
      <c r="R3320">
        <f t="shared" si="101"/>
        <v>24.138470066727646</v>
      </c>
      <c r="U3320">
        <v>783</v>
      </c>
      <c r="V3320">
        <v>217</v>
      </c>
      <c r="W3320">
        <v>1348</v>
      </c>
      <c r="X3320">
        <v>340</v>
      </c>
      <c r="Y3320">
        <v>69.7</v>
      </c>
      <c r="Z3320">
        <v>59.5</v>
      </c>
      <c r="AA3320">
        <v>80</v>
      </c>
    </row>
    <row r="3321" spans="1:27" x14ac:dyDescent="0.25">
      <c r="A3321" t="s">
        <v>257</v>
      </c>
      <c r="B3321" t="s">
        <v>203</v>
      </c>
      <c r="C3321" s="76">
        <v>44013</v>
      </c>
      <c r="D3321">
        <v>6048</v>
      </c>
      <c r="E3321">
        <v>2982</v>
      </c>
      <c r="F3321">
        <v>9114</v>
      </c>
      <c r="G3321">
        <v>1826</v>
      </c>
      <c r="H3321">
        <v>76.8</v>
      </c>
      <c r="I3321">
        <v>69.599999999999994</v>
      </c>
      <c r="J3321">
        <v>84</v>
      </c>
      <c r="K3321">
        <v>829</v>
      </c>
      <c r="L3321">
        <v>401</v>
      </c>
      <c r="M3321">
        <v>1258</v>
      </c>
      <c r="N3321">
        <v>10.5</v>
      </c>
      <c r="O3321">
        <v>8.1999999999999993</v>
      </c>
      <c r="P3321">
        <v>12.9</v>
      </c>
      <c r="Q3321">
        <f t="shared" si="102"/>
        <v>3185786</v>
      </c>
      <c r="R3321">
        <f t="shared" si="101"/>
        <v>26.021835741634874</v>
      </c>
      <c r="U3321">
        <v>827</v>
      </c>
      <c r="V3321">
        <v>195</v>
      </c>
      <c r="W3321">
        <v>1459</v>
      </c>
      <c r="X3321">
        <v>310</v>
      </c>
      <c r="Y3321">
        <v>72.7</v>
      </c>
      <c r="Z3321">
        <v>60.6</v>
      </c>
      <c r="AA3321">
        <v>84.9</v>
      </c>
    </row>
    <row r="3322" spans="1:27" x14ac:dyDescent="0.25">
      <c r="A3322" t="s">
        <v>257</v>
      </c>
      <c r="B3322" t="s">
        <v>203</v>
      </c>
      <c r="C3322" s="76">
        <v>44014</v>
      </c>
      <c r="D3322">
        <v>5863</v>
      </c>
      <c r="E3322">
        <v>2788</v>
      </c>
      <c r="F3322">
        <v>8938</v>
      </c>
      <c r="G3322">
        <v>1898</v>
      </c>
      <c r="H3322">
        <v>75.5</v>
      </c>
      <c r="I3322">
        <v>67.400000000000006</v>
      </c>
      <c r="J3322">
        <v>83.7</v>
      </c>
      <c r="K3322">
        <v>851</v>
      </c>
      <c r="L3322">
        <v>403</v>
      </c>
      <c r="M3322">
        <v>1299</v>
      </c>
      <c r="N3322">
        <v>11</v>
      </c>
      <c r="O3322">
        <v>8.3000000000000007</v>
      </c>
      <c r="P3322">
        <v>13.6</v>
      </c>
      <c r="Q3322">
        <f t="shared" si="102"/>
        <v>3185786</v>
      </c>
      <c r="R3322">
        <f t="shared" si="101"/>
        <v>26.712403155767525</v>
      </c>
      <c r="U3322">
        <v>856</v>
      </c>
      <c r="V3322">
        <v>206</v>
      </c>
      <c r="W3322">
        <v>1505</v>
      </c>
      <c r="X3322">
        <v>293</v>
      </c>
      <c r="Y3322">
        <v>74.5</v>
      </c>
      <c r="Z3322">
        <v>61.3</v>
      </c>
      <c r="AA3322">
        <v>87.7</v>
      </c>
    </row>
    <row r="3323" spans="1:27" x14ac:dyDescent="0.25">
      <c r="A3323" t="s">
        <v>257</v>
      </c>
      <c r="B3323" t="s">
        <v>203</v>
      </c>
      <c r="C3323" s="76">
        <v>44015</v>
      </c>
      <c r="D3323">
        <v>5778</v>
      </c>
      <c r="E3323">
        <v>2772</v>
      </c>
      <c r="F3323">
        <v>8783</v>
      </c>
      <c r="G3323">
        <v>1875</v>
      </c>
      <c r="H3323">
        <v>75.5</v>
      </c>
      <c r="I3323">
        <v>68.400000000000006</v>
      </c>
      <c r="J3323">
        <v>82.6</v>
      </c>
      <c r="K3323">
        <v>877</v>
      </c>
      <c r="L3323">
        <v>409</v>
      </c>
      <c r="M3323">
        <v>1345</v>
      </c>
      <c r="N3323">
        <v>11.5</v>
      </c>
      <c r="O3323">
        <v>8.9</v>
      </c>
      <c r="P3323">
        <v>14.1</v>
      </c>
      <c r="Q3323">
        <f t="shared" si="102"/>
        <v>3185786</v>
      </c>
      <c r="R3323">
        <f t="shared" si="101"/>
        <v>27.528528281560654</v>
      </c>
      <c r="U3323">
        <v>854</v>
      </c>
      <c r="V3323">
        <v>216</v>
      </c>
      <c r="W3323">
        <v>1491</v>
      </c>
      <c r="X3323">
        <v>279</v>
      </c>
      <c r="Y3323">
        <v>75.3</v>
      </c>
      <c r="Z3323">
        <v>62.6</v>
      </c>
      <c r="AA3323">
        <v>88.1</v>
      </c>
    </row>
    <row r="3324" spans="1:27" x14ac:dyDescent="0.25">
      <c r="A3324" t="s">
        <v>257</v>
      </c>
      <c r="B3324" t="s">
        <v>203</v>
      </c>
      <c r="C3324" s="76">
        <v>44016</v>
      </c>
      <c r="D3324">
        <v>5559</v>
      </c>
      <c r="E3324">
        <v>2683</v>
      </c>
      <c r="F3324">
        <v>8436</v>
      </c>
      <c r="G3324">
        <v>2147</v>
      </c>
      <c r="H3324">
        <v>72.099999999999994</v>
      </c>
      <c r="I3324">
        <v>64.599999999999994</v>
      </c>
      <c r="J3324">
        <v>79.7</v>
      </c>
      <c r="K3324">
        <v>907</v>
      </c>
      <c r="L3324">
        <v>414</v>
      </c>
      <c r="M3324">
        <v>1400</v>
      </c>
      <c r="N3324">
        <v>11.8</v>
      </c>
      <c r="O3324">
        <v>8.9</v>
      </c>
      <c r="P3324">
        <v>14.7</v>
      </c>
      <c r="Q3324">
        <f t="shared" si="102"/>
        <v>3185786</v>
      </c>
      <c r="R3324">
        <f t="shared" si="101"/>
        <v>28.470211119014273</v>
      </c>
      <c r="U3324">
        <v>838</v>
      </c>
      <c r="V3324">
        <v>222</v>
      </c>
      <c r="W3324">
        <v>1454</v>
      </c>
      <c r="X3324">
        <v>281</v>
      </c>
      <c r="Y3324">
        <v>74.900000000000006</v>
      </c>
      <c r="Z3324">
        <v>61.5</v>
      </c>
      <c r="AA3324">
        <v>88.4</v>
      </c>
    </row>
    <row r="3325" spans="1:27" x14ac:dyDescent="0.25">
      <c r="A3325" t="s">
        <v>257</v>
      </c>
      <c r="B3325" t="s">
        <v>203</v>
      </c>
      <c r="C3325" s="76">
        <v>44017</v>
      </c>
      <c r="D3325">
        <v>5540</v>
      </c>
      <c r="E3325">
        <v>2648</v>
      </c>
      <c r="F3325">
        <v>8432</v>
      </c>
      <c r="G3325">
        <v>2123</v>
      </c>
      <c r="H3325">
        <v>72.3</v>
      </c>
      <c r="I3325">
        <v>65</v>
      </c>
      <c r="J3325">
        <v>79.599999999999994</v>
      </c>
      <c r="K3325">
        <v>938</v>
      </c>
      <c r="L3325">
        <v>430</v>
      </c>
      <c r="M3325">
        <v>1446</v>
      </c>
      <c r="N3325">
        <v>12.2</v>
      </c>
      <c r="O3325">
        <v>9.3000000000000007</v>
      </c>
      <c r="P3325">
        <v>15.1</v>
      </c>
      <c r="Q3325">
        <f t="shared" si="102"/>
        <v>3185786</v>
      </c>
      <c r="R3325">
        <f t="shared" si="101"/>
        <v>29.443283384383005</v>
      </c>
      <c r="U3325">
        <v>823</v>
      </c>
      <c r="V3325">
        <v>205</v>
      </c>
      <c r="W3325">
        <v>1441</v>
      </c>
      <c r="X3325">
        <v>299</v>
      </c>
      <c r="Y3325">
        <v>73.3</v>
      </c>
      <c r="Z3325">
        <v>58.8</v>
      </c>
      <c r="AA3325">
        <v>87.9</v>
      </c>
    </row>
    <row r="3326" spans="1:27" x14ac:dyDescent="0.25">
      <c r="A3326" t="s">
        <v>257</v>
      </c>
      <c r="B3326" t="s">
        <v>203</v>
      </c>
      <c r="C3326" s="76">
        <v>44018</v>
      </c>
      <c r="D3326">
        <v>5669</v>
      </c>
      <c r="E3326">
        <v>2726</v>
      </c>
      <c r="F3326">
        <v>8612</v>
      </c>
      <c r="G3326">
        <v>2000</v>
      </c>
      <c r="H3326">
        <v>73.900000000000006</v>
      </c>
      <c r="I3326">
        <v>67.2</v>
      </c>
      <c r="J3326">
        <v>80.599999999999994</v>
      </c>
      <c r="K3326">
        <v>948</v>
      </c>
      <c r="L3326">
        <v>429</v>
      </c>
      <c r="M3326">
        <v>1466</v>
      </c>
      <c r="N3326">
        <v>12.4</v>
      </c>
      <c r="O3326">
        <v>9.4</v>
      </c>
      <c r="P3326">
        <v>15.3</v>
      </c>
      <c r="Q3326">
        <f t="shared" si="102"/>
        <v>3185786</v>
      </c>
      <c r="R3326">
        <f t="shared" si="101"/>
        <v>29.757177663534208</v>
      </c>
      <c r="U3326">
        <v>850</v>
      </c>
      <c r="V3326">
        <v>223</v>
      </c>
      <c r="W3326">
        <v>1477</v>
      </c>
      <c r="X3326">
        <v>276</v>
      </c>
      <c r="Y3326">
        <v>75.5</v>
      </c>
      <c r="Z3326">
        <v>62.4</v>
      </c>
      <c r="AA3326">
        <v>88.5</v>
      </c>
    </row>
    <row r="3327" spans="1:27" x14ac:dyDescent="0.25">
      <c r="A3327" t="s">
        <v>257</v>
      </c>
      <c r="B3327" t="s">
        <v>203</v>
      </c>
      <c r="C3327" s="76">
        <v>44019</v>
      </c>
      <c r="D3327">
        <v>5923</v>
      </c>
      <c r="E3327">
        <v>2818</v>
      </c>
      <c r="F3327">
        <v>9029</v>
      </c>
      <c r="G3327">
        <v>1745</v>
      </c>
      <c r="H3327">
        <v>77.2</v>
      </c>
      <c r="I3327">
        <v>69.900000000000006</v>
      </c>
      <c r="J3327">
        <v>84.6</v>
      </c>
      <c r="K3327">
        <v>979</v>
      </c>
      <c r="L3327">
        <v>439</v>
      </c>
      <c r="M3327">
        <v>1520</v>
      </c>
      <c r="N3327">
        <v>12.8</v>
      </c>
      <c r="O3327">
        <v>9.6999999999999993</v>
      </c>
      <c r="P3327">
        <v>15.8</v>
      </c>
      <c r="Q3327">
        <f t="shared" si="102"/>
        <v>3185786</v>
      </c>
      <c r="R3327">
        <f t="shared" si="101"/>
        <v>30.730249928902946</v>
      </c>
      <c r="U3327">
        <v>882</v>
      </c>
      <c r="V3327">
        <v>242</v>
      </c>
      <c r="W3327">
        <v>1522</v>
      </c>
      <c r="X3327">
        <v>247</v>
      </c>
      <c r="Y3327">
        <v>78.099999999999994</v>
      </c>
      <c r="Z3327">
        <v>65.400000000000006</v>
      </c>
      <c r="AA3327">
        <v>90.9</v>
      </c>
    </row>
    <row r="3328" spans="1:27" x14ac:dyDescent="0.25">
      <c r="A3328" t="s">
        <v>258</v>
      </c>
      <c r="B3328" t="s">
        <v>170</v>
      </c>
      <c r="C3328" s="76">
        <v>43922</v>
      </c>
      <c r="D3328">
        <v>39450</v>
      </c>
      <c r="E3328">
        <v>28417</v>
      </c>
      <c r="F3328">
        <v>50483</v>
      </c>
      <c r="G3328">
        <v>13275</v>
      </c>
      <c r="H3328">
        <v>74.8</v>
      </c>
      <c r="I3328">
        <v>69.8</v>
      </c>
      <c r="J3328">
        <v>79.8</v>
      </c>
      <c r="K3328">
        <v>20375</v>
      </c>
      <c r="L3328">
        <v>14048</v>
      </c>
      <c r="M3328">
        <v>26702</v>
      </c>
      <c r="N3328">
        <v>38.6</v>
      </c>
      <c r="O3328">
        <v>32.4</v>
      </c>
      <c r="P3328">
        <v>44.9</v>
      </c>
      <c r="Q3328">
        <f t="shared" si="102"/>
        <v>19299981</v>
      </c>
      <c r="R3328">
        <f t="shared" si="101"/>
        <v>105.57005211559533</v>
      </c>
      <c r="U3328">
        <v>6841</v>
      </c>
      <c r="V3328">
        <v>4732</v>
      </c>
      <c r="W3328">
        <v>8950</v>
      </c>
      <c r="X3328">
        <v>1561</v>
      </c>
      <c r="Y3328">
        <v>81.400000000000006</v>
      </c>
      <c r="Z3328">
        <v>77.400000000000006</v>
      </c>
      <c r="AA3328">
        <v>85.5</v>
      </c>
    </row>
    <row r="3329" spans="1:27" x14ac:dyDescent="0.25">
      <c r="A3329" t="s">
        <v>258</v>
      </c>
      <c r="B3329" t="s">
        <v>170</v>
      </c>
      <c r="C3329" s="76">
        <v>43923</v>
      </c>
      <c r="D3329">
        <v>40380</v>
      </c>
      <c r="E3329">
        <v>29397</v>
      </c>
      <c r="F3329">
        <v>51363</v>
      </c>
      <c r="G3329">
        <v>12408</v>
      </c>
      <c r="H3329">
        <v>76.5</v>
      </c>
      <c r="I3329">
        <v>72.2</v>
      </c>
      <c r="J3329">
        <v>80.8</v>
      </c>
      <c r="K3329">
        <v>20814</v>
      </c>
      <c r="L3329">
        <v>14585</v>
      </c>
      <c r="M3329">
        <v>27043</v>
      </c>
      <c r="N3329">
        <v>39.4</v>
      </c>
      <c r="O3329">
        <v>33.200000000000003</v>
      </c>
      <c r="P3329">
        <v>45.7</v>
      </c>
      <c r="Q3329">
        <f t="shared" si="102"/>
        <v>19299981</v>
      </c>
      <c r="R3329">
        <f t="shared" si="101"/>
        <v>107.84466575381603</v>
      </c>
      <c r="U3329">
        <v>7082</v>
      </c>
      <c r="V3329">
        <v>4967</v>
      </c>
      <c r="W3329">
        <v>9197</v>
      </c>
      <c r="X3329">
        <v>1622</v>
      </c>
      <c r="Y3329">
        <v>81.400000000000006</v>
      </c>
      <c r="Z3329">
        <v>76.900000000000006</v>
      </c>
      <c r="AA3329">
        <v>85.8</v>
      </c>
    </row>
    <row r="3330" spans="1:27" x14ac:dyDescent="0.25">
      <c r="A3330" t="s">
        <v>258</v>
      </c>
      <c r="B3330" t="s">
        <v>170</v>
      </c>
      <c r="C3330" s="76">
        <v>43924</v>
      </c>
      <c r="D3330">
        <v>39670</v>
      </c>
      <c r="E3330">
        <v>28815</v>
      </c>
      <c r="F3330">
        <v>50526</v>
      </c>
      <c r="G3330">
        <v>12713</v>
      </c>
      <c r="H3330">
        <v>75.7</v>
      </c>
      <c r="I3330">
        <v>71.400000000000006</v>
      </c>
      <c r="J3330">
        <v>80.099999999999994</v>
      </c>
      <c r="K3330">
        <v>21153</v>
      </c>
      <c r="L3330">
        <v>14859</v>
      </c>
      <c r="M3330">
        <v>27447</v>
      </c>
      <c r="N3330">
        <v>40.4</v>
      </c>
      <c r="O3330">
        <v>34</v>
      </c>
      <c r="P3330">
        <v>46.8</v>
      </c>
      <c r="Q3330">
        <f t="shared" si="102"/>
        <v>19299981</v>
      </c>
      <c r="R3330">
        <f t="shared" si="101"/>
        <v>109.60114416692949</v>
      </c>
      <c r="U3330">
        <v>7103</v>
      </c>
      <c r="V3330">
        <v>4980</v>
      </c>
      <c r="W3330">
        <v>9225</v>
      </c>
      <c r="X3330">
        <v>1689</v>
      </c>
      <c r="Y3330">
        <v>80.8</v>
      </c>
      <c r="Z3330">
        <v>75.5</v>
      </c>
      <c r="AA3330">
        <v>86.1</v>
      </c>
    </row>
    <row r="3331" spans="1:27" x14ac:dyDescent="0.25">
      <c r="A3331" t="s">
        <v>258</v>
      </c>
      <c r="B3331" t="s">
        <v>170</v>
      </c>
      <c r="C3331" s="76">
        <v>43925</v>
      </c>
      <c r="D3331">
        <v>39952</v>
      </c>
      <c r="E3331">
        <v>28951</v>
      </c>
      <c r="F3331">
        <v>50954</v>
      </c>
      <c r="G3331">
        <v>12865</v>
      </c>
      <c r="H3331">
        <v>75.599999999999994</v>
      </c>
      <c r="I3331">
        <v>71.099999999999994</v>
      </c>
      <c r="J3331">
        <v>80.2</v>
      </c>
      <c r="K3331">
        <v>22013</v>
      </c>
      <c r="L3331">
        <v>15456</v>
      </c>
      <c r="M3331">
        <v>28569</v>
      </c>
      <c r="N3331">
        <v>41.7</v>
      </c>
      <c r="O3331">
        <v>35.1</v>
      </c>
      <c r="P3331">
        <v>48.2</v>
      </c>
      <c r="Q3331">
        <f t="shared" si="102"/>
        <v>19299981</v>
      </c>
      <c r="R3331">
        <f t="shared" si="101"/>
        <v>114.05710710285155</v>
      </c>
      <c r="U3331">
        <v>7343</v>
      </c>
      <c r="V3331">
        <v>5169</v>
      </c>
      <c r="W3331">
        <v>9516</v>
      </c>
      <c r="X3331">
        <v>1767</v>
      </c>
      <c r="Y3331">
        <v>80.599999999999994</v>
      </c>
      <c r="Z3331">
        <v>75.8</v>
      </c>
      <c r="AA3331">
        <v>85.4</v>
      </c>
    </row>
    <row r="3332" spans="1:27" x14ac:dyDescent="0.25">
      <c r="A3332" t="s">
        <v>258</v>
      </c>
      <c r="B3332" t="s">
        <v>170</v>
      </c>
      <c r="C3332" s="76">
        <v>43926</v>
      </c>
      <c r="D3332">
        <v>40316</v>
      </c>
      <c r="E3332">
        <v>29194</v>
      </c>
      <c r="F3332">
        <v>51439</v>
      </c>
      <c r="G3332">
        <v>12601</v>
      </c>
      <c r="H3332">
        <v>76.2</v>
      </c>
      <c r="I3332">
        <v>71.599999999999994</v>
      </c>
      <c r="J3332">
        <v>80.8</v>
      </c>
      <c r="K3332">
        <v>22592</v>
      </c>
      <c r="L3332">
        <v>15843</v>
      </c>
      <c r="M3332">
        <v>29341</v>
      </c>
      <c r="N3332">
        <v>42.7</v>
      </c>
      <c r="O3332">
        <v>35.9</v>
      </c>
      <c r="P3332">
        <v>49.4</v>
      </c>
      <c r="Q3332">
        <f t="shared" si="102"/>
        <v>19299981</v>
      </c>
      <c r="R3332">
        <f t="shared" si="101"/>
        <v>117.05711005622233</v>
      </c>
      <c r="U3332">
        <v>7458</v>
      </c>
      <c r="V3332">
        <v>5236</v>
      </c>
      <c r="W3332">
        <v>9680</v>
      </c>
      <c r="X3332">
        <v>1719</v>
      </c>
      <c r="Y3332">
        <v>81.3</v>
      </c>
      <c r="Z3332">
        <v>76.400000000000006</v>
      </c>
      <c r="AA3332">
        <v>86.1</v>
      </c>
    </row>
    <row r="3333" spans="1:27" x14ac:dyDescent="0.25">
      <c r="A3333" t="s">
        <v>258</v>
      </c>
      <c r="B3333" t="s">
        <v>170</v>
      </c>
      <c r="C3333" s="76">
        <v>43927</v>
      </c>
      <c r="D3333">
        <v>40914</v>
      </c>
      <c r="E3333">
        <v>29713</v>
      </c>
      <c r="F3333">
        <v>52115</v>
      </c>
      <c r="G3333">
        <v>12627</v>
      </c>
      <c r="H3333">
        <v>76.400000000000006</v>
      </c>
      <c r="I3333">
        <v>71.8</v>
      </c>
      <c r="J3333">
        <v>81</v>
      </c>
      <c r="K3333">
        <v>23158</v>
      </c>
      <c r="L3333">
        <v>16219</v>
      </c>
      <c r="M3333">
        <v>30097</v>
      </c>
      <c r="N3333">
        <v>43.3</v>
      </c>
      <c r="O3333">
        <v>36.4</v>
      </c>
      <c r="P3333">
        <v>50.1</v>
      </c>
      <c r="Q3333">
        <f t="shared" si="102"/>
        <v>19299981</v>
      </c>
      <c r="R3333">
        <f t="shared" ref="R3333:R3396" si="103">K3333/(Q3333)*100000</f>
        <v>119.98975543032917</v>
      </c>
      <c r="U3333">
        <v>7567</v>
      </c>
      <c r="V3333">
        <v>5315</v>
      </c>
      <c r="W3333">
        <v>9818</v>
      </c>
      <c r="X3333">
        <v>1928</v>
      </c>
      <c r="Y3333">
        <v>79.7</v>
      </c>
      <c r="Z3333">
        <v>74.5</v>
      </c>
      <c r="AA3333">
        <v>84.9</v>
      </c>
    </row>
    <row r="3334" spans="1:27" x14ac:dyDescent="0.25">
      <c r="A3334" t="s">
        <v>258</v>
      </c>
      <c r="B3334" t="s">
        <v>170</v>
      </c>
      <c r="C3334" s="76">
        <v>43928</v>
      </c>
      <c r="D3334">
        <v>41389</v>
      </c>
      <c r="E3334">
        <v>29998</v>
      </c>
      <c r="F3334">
        <v>52780</v>
      </c>
      <c r="G3334">
        <v>12903</v>
      </c>
      <c r="H3334">
        <v>76.2</v>
      </c>
      <c r="I3334">
        <v>71.7</v>
      </c>
      <c r="J3334">
        <v>80.8</v>
      </c>
      <c r="K3334">
        <v>23526</v>
      </c>
      <c r="L3334">
        <v>16475</v>
      </c>
      <c r="M3334">
        <v>30577</v>
      </c>
      <c r="N3334">
        <v>43.3</v>
      </c>
      <c r="O3334">
        <v>36.5</v>
      </c>
      <c r="P3334">
        <v>50.2</v>
      </c>
      <c r="Q3334">
        <f t="shared" si="102"/>
        <v>19299981</v>
      </c>
      <c r="R3334">
        <f t="shared" si="103"/>
        <v>121.89649305872373</v>
      </c>
      <c r="U3334">
        <v>7570</v>
      </c>
      <c r="V3334">
        <v>5298</v>
      </c>
      <c r="W3334">
        <v>9842</v>
      </c>
      <c r="X3334">
        <v>2008</v>
      </c>
      <c r="Y3334">
        <v>79</v>
      </c>
      <c r="Z3334">
        <v>74.3</v>
      </c>
      <c r="AA3334">
        <v>83.7</v>
      </c>
    </row>
    <row r="3335" spans="1:27" x14ac:dyDescent="0.25">
      <c r="A3335" t="s">
        <v>258</v>
      </c>
      <c r="B3335" t="s">
        <v>170</v>
      </c>
      <c r="C3335" s="76">
        <v>43929</v>
      </c>
      <c r="D3335">
        <v>41454</v>
      </c>
      <c r="E3335">
        <v>29944</v>
      </c>
      <c r="F3335">
        <v>52964</v>
      </c>
      <c r="G3335">
        <v>13256</v>
      </c>
      <c r="H3335">
        <v>75.8</v>
      </c>
      <c r="I3335">
        <v>71.3</v>
      </c>
      <c r="J3335">
        <v>80.2</v>
      </c>
      <c r="K3335">
        <v>23749</v>
      </c>
      <c r="L3335">
        <v>16605</v>
      </c>
      <c r="M3335">
        <v>30894</v>
      </c>
      <c r="N3335">
        <v>43.4</v>
      </c>
      <c r="O3335">
        <v>36.799999999999997</v>
      </c>
      <c r="P3335">
        <v>50</v>
      </c>
      <c r="Q3335">
        <f t="shared" si="102"/>
        <v>19299981</v>
      </c>
      <c r="R3335">
        <f t="shared" si="103"/>
        <v>123.05193461071282</v>
      </c>
      <c r="U3335">
        <v>7815</v>
      </c>
      <c r="V3335">
        <v>5407</v>
      </c>
      <c r="W3335">
        <v>10224</v>
      </c>
      <c r="X3335">
        <v>2052</v>
      </c>
      <c r="Y3335">
        <v>79.2</v>
      </c>
      <c r="Z3335">
        <v>74.400000000000006</v>
      </c>
      <c r="AA3335">
        <v>84</v>
      </c>
    </row>
    <row r="3336" spans="1:27" x14ac:dyDescent="0.25">
      <c r="A3336" t="s">
        <v>258</v>
      </c>
      <c r="B3336" t="s">
        <v>170</v>
      </c>
      <c r="C3336" s="76">
        <v>43930</v>
      </c>
      <c r="D3336">
        <v>41504</v>
      </c>
      <c r="E3336">
        <v>29985</v>
      </c>
      <c r="F3336">
        <v>53023</v>
      </c>
      <c r="G3336">
        <v>13177</v>
      </c>
      <c r="H3336">
        <v>75.900000000000006</v>
      </c>
      <c r="I3336">
        <v>71.400000000000006</v>
      </c>
      <c r="J3336">
        <v>80.400000000000006</v>
      </c>
      <c r="K3336">
        <v>23653</v>
      </c>
      <c r="L3336">
        <v>16554</v>
      </c>
      <c r="M3336">
        <v>30753</v>
      </c>
      <c r="N3336">
        <v>43.3</v>
      </c>
      <c r="O3336">
        <v>36.5</v>
      </c>
      <c r="P3336">
        <v>50</v>
      </c>
      <c r="Q3336">
        <f t="shared" si="102"/>
        <v>19299981</v>
      </c>
      <c r="R3336">
        <f t="shared" si="103"/>
        <v>122.55452479460989</v>
      </c>
      <c r="U3336">
        <v>7884</v>
      </c>
      <c r="V3336">
        <v>5459</v>
      </c>
      <c r="W3336">
        <v>10308</v>
      </c>
      <c r="X3336">
        <v>1918</v>
      </c>
      <c r="Y3336">
        <v>80.400000000000006</v>
      </c>
      <c r="Z3336">
        <v>75.7</v>
      </c>
      <c r="AA3336">
        <v>85.2</v>
      </c>
    </row>
    <row r="3337" spans="1:27" x14ac:dyDescent="0.25">
      <c r="A3337" t="s">
        <v>258</v>
      </c>
      <c r="B3337" t="s">
        <v>170</v>
      </c>
      <c r="C3337" s="76">
        <v>43931</v>
      </c>
      <c r="D3337">
        <v>41310</v>
      </c>
      <c r="E3337">
        <v>30096</v>
      </c>
      <c r="F3337">
        <v>52523</v>
      </c>
      <c r="G3337">
        <v>12287</v>
      </c>
      <c r="H3337">
        <v>77.099999999999994</v>
      </c>
      <c r="I3337">
        <v>72.599999999999994</v>
      </c>
      <c r="J3337">
        <v>81.599999999999994</v>
      </c>
      <c r="K3337">
        <v>24004</v>
      </c>
      <c r="L3337">
        <v>16868</v>
      </c>
      <c r="M3337">
        <v>31139</v>
      </c>
      <c r="N3337">
        <v>44.8</v>
      </c>
      <c r="O3337">
        <v>37.9</v>
      </c>
      <c r="P3337">
        <v>51.7</v>
      </c>
      <c r="Q3337">
        <f t="shared" si="102"/>
        <v>19299981</v>
      </c>
      <c r="R3337">
        <f t="shared" si="103"/>
        <v>124.37317943473623</v>
      </c>
      <c r="U3337">
        <v>7893</v>
      </c>
      <c r="V3337">
        <v>5489</v>
      </c>
      <c r="W3337">
        <v>10297</v>
      </c>
      <c r="X3337">
        <v>1771</v>
      </c>
      <c r="Y3337">
        <v>81.7</v>
      </c>
      <c r="Z3337">
        <v>77</v>
      </c>
      <c r="AA3337">
        <v>86.3</v>
      </c>
    </row>
    <row r="3338" spans="1:27" x14ac:dyDescent="0.25">
      <c r="A3338" t="s">
        <v>258</v>
      </c>
      <c r="B3338" t="s">
        <v>170</v>
      </c>
      <c r="C3338" s="76">
        <v>43932</v>
      </c>
      <c r="D3338">
        <v>40532</v>
      </c>
      <c r="E3338">
        <v>29659</v>
      </c>
      <c r="F3338">
        <v>51404</v>
      </c>
      <c r="G3338">
        <v>13076</v>
      </c>
      <c r="H3338">
        <v>75.599999999999994</v>
      </c>
      <c r="I3338">
        <v>71.2</v>
      </c>
      <c r="J3338">
        <v>80</v>
      </c>
      <c r="K3338">
        <v>23588</v>
      </c>
      <c r="L3338">
        <v>16645</v>
      </c>
      <c r="M3338">
        <v>30531</v>
      </c>
      <c r="N3338">
        <v>44</v>
      </c>
      <c r="O3338">
        <v>37.299999999999997</v>
      </c>
      <c r="P3338">
        <v>50.7</v>
      </c>
      <c r="Q3338">
        <f t="shared" si="102"/>
        <v>19299981</v>
      </c>
      <c r="R3338">
        <f t="shared" si="103"/>
        <v>122.2177368982902</v>
      </c>
      <c r="U3338">
        <v>7726</v>
      </c>
      <c r="V3338">
        <v>5367</v>
      </c>
      <c r="W3338">
        <v>10085</v>
      </c>
      <c r="X3338">
        <v>1923</v>
      </c>
      <c r="Y3338">
        <v>80.099999999999994</v>
      </c>
      <c r="Z3338">
        <v>75.5</v>
      </c>
      <c r="AA3338">
        <v>84.7</v>
      </c>
    </row>
    <row r="3339" spans="1:27" x14ac:dyDescent="0.25">
      <c r="A3339" t="s">
        <v>258</v>
      </c>
      <c r="B3339" t="s">
        <v>170</v>
      </c>
      <c r="C3339" s="76">
        <v>43933</v>
      </c>
      <c r="D3339">
        <v>40663</v>
      </c>
      <c r="E3339">
        <v>29837</v>
      </c>
      <c r="F3339">
        <v>51489</v>
      </c>
      <c r="G3339">
        <v>12863</v>
      </c>
      <c r="H3339">
        <v>76</v>
      </c>
      <c r="I3339">
        <v>71.7</v>
      </c>
      <c r="J3339">
        <v>80.3</v>
      </c>
      <c r="K3339">
        <v>23585</v>
      </c>
      <c r="L3339">
        <v>16811</v>
      </c>
      <c r="M3339">
        <v>30359</v>
      </c>
      <c r="N3339">
        <v>44.1</v>
      </c>
      <c r="O3339">
        <v>37.700000000000003</v>
      </c>
      <c r="P3339">
        <v>50.4</v>
      </c>
      <c r="Q3339">
        <f t="shared" si="102"/>
        <v>19299981</v>
      </c>
      <c r="R3339">
        <f t="shared" si="103"/>
        <v>122.202192841537</v>
      </c>
      <c r="U3339">
        <v>7858</v>
      </c>
      <c r="V3339">
        <v>5559</v>
      </c>
      <c r="W3339">
        <v>10157</v>
      </c>
      <c r="X3339">
        <v>1719</v>
      </c>
      <c r="Y3339">
        <v>82.1</v>
      </c>
      <c r="Z3339">
        <v>77.5</v>
      </c>
      <c r="AA3339">
        <v>86.6</v>
      </c>
    </row>
    <row r="3340" spans="1:27" x14ac:dyDescent="0.25">
      <c r="A3340" t="s">
        <v>258</v>
      </c>
      <c r="B3340" t="s">
        <v>170</v>
      </c>
      <c r="C3340" s="76">
        <v>43934</v>
      </c>
      <c r="D3340">
        <v>38233</v>
      </c>
      <c r="E3340">
        <v>28477</v>
      </c>
      <c r="F3340">
        <v>47988</v>
      </c>
      <c r="G3340">
        <v>12316</v>
      </c>
      <c r="H3340">
        <v>75.599999999999994</v>
      </c>
      <c r="I3340">
        <v>71.5</v>
      </c>
      <c r="J3340">
        <v>79.7</v>
      </c>
      <c r="K3340">
        <v>21853</v>
      </c>
      <c r="L3340">
        <v>15597</v>
      </c>
      <c r="M3340">
        <v>28108</v>
      </c>
      <c r="N3340">
        <v>43.2</v>
      </c>
      <c r="O3340">
        <v>37.4</v>
      </c>
      <c r="P3340">
        <v>49</v>
      </c>
      <c r="Q3340">
        <f t="shared" si="102"/>
        <v>19299981</v>
      </c>
      <c r="R3340">
        <f t="shared" si="103"/>
        <v>113.22809074268</v>
      </c>
      <c r="U3340">
        <v>7562</v>
      </c>
      <c r="V3340">
        <v>5359</v>
      </c>
      <c r="W3340">
        <v>9764</v>
      </c>
      <c r="X3340">
        <v>1616</v>
      </c>
      <c r="Y3340">
        <v>82.4</v>
      </c>
      <c r="Z3340">
        <v>78.3</v>
      </c>
      <c r="AA3340">
        <v>86.5</v>
      </c>
    </row>
    <row r="3341" spans="1:27" x14ac:dyDescent="0.25">
      <c r="A3341" t="s">
        <v>258</v>
      </c>
      <c r="B3341" t="s">
        <v>170</v>
      </c>
      <c r="C3341" s="76">
        <v>43935</v>
      </c>
      <c r="D3341">
        <v>38235</v>
      </c>
      <c r="E3341">
        <v>28435</v>
      </c>
      <c r="F3341">
        <v>48034</v>
      </c>
      <c r="G3341">
        <v>12665</v>
      </c>
      <c r="H3341">
        <v>75.099999999999994</v>
      </c>
      <c r="I3341">
        <v>70.7</v>
      </c>
      <c r="J3341">
        <v>79.5</v>
      </c>
      <c r="K3341">
        <v>21210</v>
      </c>
      <c r="L3341">
        <v>15198</v>
      </c>
      <c r="M3341">
        <v>27221</v>
      </c>
      <c r="N3341">
        <v>41.7</v>
      </c>
      <c r="O3341">
        <v>36.200000000000003</v>
      </c>
      <c r="P3341">
        <v>47.1</v>
      </c>
      <c r="Q3341">
        <f t="shared" si="102"/>
        <v>19299981</v>
      </c>
      <c r="R3341">
        <f t="shared" si="103"/>
        <v>109.89648124524059</v>
      </c>
      <c r="U3341">
        <v>7581</v>
      </c>
      <c r="V3341">
        <v>5303</v>
      </c>
      <c r="W3341">
        <v>9858</v>
      </c>
      <c r="X3341">
        <v>1864</v>
      </c>
      <c r="Y3341">
        <v>80.3</v>
      </c>
      <c r="Z3341">
        <v>75.099999999999994</v>
      </c>
      <c r="AA3341">
        <v>85.4</v>
      </c>
    </row>
    <row r="3342" spans="1:27" x14ac:dyDescent="0.25">
      <c r="A3342" t="s">
        <v>258</v>
      </c>
      <c r="B3342" t="s">
        <v>170</v>
      </c>
      <c r="C3342" s="76">
        <v>43936</v>
      </c>
      <c r="D3342">
        <v>38224</v>
      </c>
      <c r="E3342">
        <v>28469</v>
      </c>
      <c r="F3342">
        <v>47979</v>
      </c>
      <c r="G3342">
        <v>13173</v>
      </c>
      <c r="H3342">
        <v>74.400000000000006</v>
      </c>
      <c r="I3342">
        <v>70.2</v>
      </c>
      <c r="J3342">
        <v>78.599999999999994</v>
      </c>
      <c r="K3342">
        <v>21004</v>
      </c>
      <c r="L3342">
        <v>15070</v>
      </c>
      <c r="M3342">
        <v>26938</v>
      </c>
      <c r="N3342">
        <v>40.9</v>
      </c>
      <c r="O3342">
        <v>35.5</v>
      </c>
      <c r="P3342">
        <v>46.3</v>
      </c>
      <c r="Q3342">
        <f t="shared" si="102"/>
        <v>19299981</v>
      </c>
      <c r="R3342">
        <f t="shared" si="103"/>
        <v>108.82912268151973</v>
      </c>
      <c r="U3342">
        <v>7686</v>
      </c>
      <c r="V3342">
        <v>5387</v>
      </c>
      <c r="W3342">
        <v>9984</v>
      </c>
      <c r="X3342">
        <v>1962</v>
      </c>
      <c r="Y3342">
        <v>79.7</v>
      </c>
      <c r="Z3342">
        <v>74.900000000000006</v>
      </c>
      <c r="AA3342">
        <v>84.5</v>
      </c>
    </row>
    <row r="3343" spans="1:27" x14ac:dyDescent="0.25">
      <c r="A3343" t="s">
        <v>258</v>
      </c>
      <c r="B3343" t="s">
        <v>170</v>
      </c>
      <c r="C3343" s="76">
        <v>43937</v>
      </c>
      <c r="D3343">
        <v>38162</v>
      </c>
      <c r="E3343">
        <v>28251</v>
      </c>
      <c r="F3343">
        <v>48072</v>
      </c>
      <c r="G3343">
        <v>14137</v>
      </c>
      <c r="H3343">
        <v>73</v>
      </c>
      <c r="I3343">
        <v>68.7</v>
      </c>
      <c r="J3343">
        <v>77.2</v>
      </c>
      <c r="K3343">
        <v>20101</v>
      </c>
      <c r="L3343">
        <v>14279</v>
      </c>
      <c r="M3343">
        <v>25923</v>
      </c>
      <c r="N3343">
        <v>38.4</v>
      </c>
      <c r="O3343">
        <v>33.200000000000003</v>
      </c>
      <c r="P3343">
        <v>43.7</v>
      </c>
      <c r="Q3343">
        <f t="shared" si="102"/>
        <v>19299981</v>
      </c>
      <c r="R3343">
        <f t="shared" si="103"/>
        <v>104.15036159880157</v>
      </c>
      <c r="U3343">
        <v>7861</v>
      </c>
      <c r="V3343">
        <v>5477</v>
      </c>
      <c r="W3343">
        <v>10244</v>
      </c>
      <c r="X3343">
        <v>2068</v>
      </c>
      <c r="Y3343">
        <v>79.2</v>
      </c>
      <c r="Z3343">
        <v>72.900000000000006</v>
      </c>
      <c r="AA3343">
        <v>85.4</v>
      </c>
    </row>
    <row r="3344" spans="1:27" x14ac:dyDescent="0.25">
      <c r="A3344" t="s">
        <v>258</v>
      </c>
      <c r="B3344" t="s">
        <v>170</v>
      </c>
      <c r="C3344" s="76">
        <v>43938</v>
      </c>
      <c r="D3344">
        <v>37221</v>
      </c>
      <c r="E3344">
        <v>27473</v>
      </c>
      <c r="F3344">
        <v>46968</v>
      </c>
      <c r="G3344">
        <v>15065</v>
      </c>
      <c r="H3344">
        <v>71.2</v>
      </c>
      <c r="I3344">
        <v>66.8</v>
      </c>
      <c r="J3344">
        <v>75.599999999999994</v>
      </c>
      <c r="K3344">
        <v>19390</v>
      </c>
      <c r="L3344">
        <v>13819</v>
      </c>
      <c r="M3344">
        <v>24961</v>
      </c>
      <c r="N3344">
        <v>37.1</v>
      </c>
      <c r="O3344">
        <v>32.1</v>
      </c>
      <c r="P3344">
        <v>42.1</v>
      </c>
      <c r="Q3344">
        <f t="shared" si="102"/>
        <v>19299981</v>
      </c>
      <c r="R3344">
        <f t="shared" si="103"/>
        <v>100.46642014828926</v>
      </c>
      <c r="U3344">
        <v>7862</v>
      </c>
      <c r="V3344">
        <v>5480</v>
      </c>
      <c r="W3344">
        <v>10243</v>
      </c>
      <c r="X3344">
        <v>2049</v>
      </c>
      <c r="Y3344">
        <v>79.3</v>
      </c>
      <c r="Z3344">
        <v>73.3</v>
      </c>
      <c r="AA3344">
        <v>85.4</v>
      </c>
    </row>
    <row r="3345" spans="1:27" x14ac:dyDescent="0.25">
      <c r="A3345" t="s">
        <v>258</v>
      </c>
      <c r="B3345" t="s">
        <v>170</v>
      </c>
      <c r="C3345" s="76">
        <v>43939</v>
      </c>
      <c r="D3345">
        <v>35340</v>
      </c>
      <c r="E3345">
        <v>26242</v>
      </c>
      <c r="F3345">
        <v>44437</v>
      </c>
      <c r="G3345">
        <v>16710</v>
      </c>
      <c r="H3345">
        <v>67.900000000000006</v>
      </c>
      <c r="I3345">
        <v>63.4</v>
      </c>
      <c r="J3345">
        <v>72.400000000000006</v>
      </c>
      <c r="K3345">
        <v>19002</v>
      </c>
      <c r="L3345">
        <v>13541</v>
      </c>
      <c r="M3345">
        <v>24464</v>
      </c>
      <c r="N3345">
        <v>36.5</v>
      </c>
      <c r="O3345">
        <v>31.5</v>
      </c>
      <c r="P3345">
        <v>41.5</v>
      </c>
      <c r="Q3345">
        <f t="shared" si="102"/>
        <v>19299981</v>
      </c>
      <c r="R3345">
        <f t="shared" si="103"/>
        <v>98.456055474873267</v>
      </c>
      <c r="U3345">
        <v>7381</v>
      </c>
      <c r="V3345">
        <v>5205</v>
      </c>
      <c r="W3345">
        <v>9557</v>
      </c>
      <c r="X3345">
        <v>2533</v>
      </c>
      <c r="Y3345">
        <v>74.400000000000006</v>
      </c>
      <c r="Z3345">
        <v>68.2</v>
      </c>
      <c r="AA3345">
        <v>80.7</v>
      </c>
    </row>
    <row r="3346" spans="1:27" x14ac:dyDescent="0.25">
      <c r="A3346" t="s">
        <v>258</v>
      </c>
      <c r="B3346" t="s">
        <v>170</v>
      </c>
      <c r="C3346" s="76">
        <v>43940</v>
      </c>
      <c r="D3346">
        <v>36308</v>
      </c>
      <c r="E3346">
        <v>26820</v>
      </c>
      <c r="F3346">
        <v>45797</v>
      </c>
      <c r="G3346">
        <v>15573</v>
      </c>
      <c r="H3346">
        <v>70</v>
      </c>
      <c r="I3346">
        <v>65.5</v>
      </c>
      <c r="J3346">
        <v>74.5</v>
      </c>
      <c r="K3346">
        <v>18990</v>
      </c>
      <c r="L3346">
        <v>13578</v>
      </c>
      <c r="M3346">
        <v>24401</v>
      </c>
      <c r="N3346">
        <v>36.6</v>
      </c>
      <c r="O3346">
        <v>31.5</v>
      </c>
      <c r="P3346">
        <v>41.7</v>
      </c>
      <c r="Q3346">
        <f t="shared" si="102"/>
        <v>19299981</v>
      </c>
      <c r="R3346">
        <f t="shared" si="103"/>
        <v>98.393879247860397</v>
      </c>
      <c r="U3346">
        <v>7542</v>
      </c>
      <c r="V3346">
        <v>5231</v>
      </c>
      <c r="W3346">
        <v>9853</v>
      </c>
      <c r="X3346">
        <v>2320</v>
      </c>
      <c r="Y3346">
        <v>76.5</v>
      </c>
      <c r="Z3346">
        <v>70.099999999999994</v>
      </c>
      <c r="AA3346">
        <v>82.8</v>
      </c>
    </row>
    <row r="3347" spans="1:27" x14ac:dyDescent="0.25">
      <c r="A3347" t="s">
        <v>258</v>
      </c>
      <c r="B3347" t="s">
        <v>170</v>
      </c>
      <c r="C3347" s="76">
        <v>43941</v>
      </c>
      <c r="D3347">
        <v>36752</v>
      </c>
      <c r="E3347">
        <v>27198</v>
      </c>
      <c r="F3347">
        <v>46305</v>
      </c>
      <c r="G3347">
        <v>14836</v>
      </c>
      <c r="H3347">
        <v>71.2</v>
      </c>
      <c r="I3347">
        <v>66.7</v>
      </c>
      <c r="J3347">
        <v>75.8</v>
      </c>
      <c r="K3347">
        <v>18478</v>
      </c>
      <c r="L3347">
        <v>13198</v>
      </c>
      <c r="M3347">
        <v>23758</v>
      </c>
      <c r="N3347">
        <v>35.799999999999997</v>
      </c>
      <c r="O3347">
        <v>30.9</v>
      </c>
      <c r="P3347">
        <v>40.799999999999997</v>
      </c>
      <c r="Q3347">
        <f t="shared" si="102"/>
        <v>19299981</v>
      </c>
      <c r="R3347">
        <f t="shared" si="103"/>
        <v>95.74102689531145</v>
      </c>
      <c r="U3347">
        <v>7413</v>
      </c>
      <c r="V3347">
        <v>5120</v>
      </c>
      <c r="W3347">
        <v>9707</v>
      </c>
      <c r="X3347">
        <v>2384</v>
      </c>
      <c r="Y3347">
        <v>75.7</v>
      </c>
      <c r="Z3347">
        <v>68.5</v>
      </c>
      <c r="AA3347">
        <v>82.8</v>
      </c>
    </row>
    <row r="3348" spans="1:27" x14ac:dyDescent="0.25">
      <c r="A3348" t="s">
        <v>258</v>
      </c>
      <c r="B3348" t="s">
        <v>170</v>
      </c>
      <c r="C3348" s="76">
        <v>43942</v>
      </c>
      <c r="D3348">
        <v>38506</v>
      </c>
      <c r="E3348">
        <v>28484</v>
      </c>
      <c r="F3348">
        <v>48528</v>
      </c>
      <c r="G3348">
        <v>15281</v>
      </c>
      <c r="H3348">
        <v>71.599999999999994</v>
      </c>
      <c r="I3348">
        <v>67.099999999999994</v>
      </c>
      <c r="J3348">
        <v>76.099999999999994</v>
      </c>
      <c r="K3348">
        <v>18351</v>
      </c>
      <c r="L3348">
        <v>13097</v>
      </c>
      <c r="M3348">
        <v>23606</v>
      </c>
      <c r="N3348">
        <v>34.1</v>
      </c>
      <c r="O3348">
        <v>29.1</v>
      </c>
      <c r="P3348">
        <v>39.200000000000003</v>
      </c>
      <c r="Q3348">
        <f t="shared" si="102"/>
        <v>19299981</v>
      </c>
      <c r="R3348">
        <f t="shared" si="103"/>
        <v>95.08299515942528</v>
      </c>
      <c r="U3348">
        <v>7768</v>
      </c>
      <c r="V3348">
        <v>5338</v>
      </c>
      <c r="W3348">
        <v>10197</v>
      </c>
      <c r="X3348">
        <v>2488</v>
      </c>
      <c r="Y3348">
        <v>75.7</v>
      </c>
      <c r="Z3348">
        <v>69.5</v>
      </c>
      <c r="AA3348">
        <v>82</v>
      </c>
    </row>
    <row r="3349" spans="1:27" x14ac:dyDescent="0.25">
      <c r="A3349" t="s">
        <v>258</v>
      </c>
      <c r="B3349" t="s">
        <v>170</v>
      </c>
      <c r="C3349" s="76">
        <v>43943</v>
      </c>
      <c r="D3349">
        <v>37735</v>
      </c>
      <c r="E3349">
        <v>27944</v>
      </c>
      <c r="F3349">
        <v>47526</v>
      </c>
      <c r="G3349">
        <v>16151</v>
      </c>
      <c r="H3349">
        <v>70</v>
      </c>
      <c r="I3349">
        <v>65.5</v>
      </c>
      <c r="J3349">
        <v>74.5</v>
      </c>
      <c r="K3349">
        <v>17601</v>
      </c>
      <c r="L3349">
        <v>12682</v>
      </c>
      <c r="M3349">
        <v>22521</v>
      </c>
      <c r="N3349">
        <v>32.700000000000003</v>
      </c>
      <c r="O3349">
        <v>27.9</v>
      </c>
      <c r="P3349">
        <v>37.4</v>
      </c>
      <c r="Q3349">
        <f t="shared" si="102"/>
        <v>19299981</v>
      </c>
      <c r="R3349">
        <f t="shared" si="103"/>
        <v>91.196980971121164</v>
      </c>
      <c r="U3349">
        <v>7706</v>
      </c>
      <c r="V3349">
        <v>5337</v>
      </c>
      <c r="W3349">
        <v>10076</v>
      </c>
      <c r="X3349">
        <v>2493</v>
      </c>
      <c r="Y3349">
        <v>75.599999999999994</v>
      </c>
      <c r="Z3349">
        <v>69.400000000000006</v>
      </c>
      <c r="AA3349">
        <v>81.7</v>
      </c>
    </row>
    <row r="3350" spans="1:27" x14ac:dyDescent="0.25">
      <c r="A3350" t="s">
        <v>258</v>
      </c>
      <c r="B3350" t="s">
        <v>170</v>
      </c>
      <c r="C3350" s="76">
        <v>43944</v>
      </c>
      <c r="D3350">
        <v>37525</v>
      </c>
      <c r="E3350">
        <v>27813</v>
      </c>
      <c r="F3350">
        <v>47237</v>
      </c>
      <c r="G3350">
        <v>16077</v>
      </c>
      <c r="H3350">
        <v>70</v>
      </c>
      <c r="I3350">
        <v>65.8</v>
      </c>
      <c r="J3350">
        <v>74.3</v>
      </c>
      <c r="K3350">
        <v>16827</v>
      </c>
      <c r="L3350">
        <v>12106</v>
      </c>
      <c r="M3350">
        <v>21548</v>
      </c>
      <c r="N3350">
        <v>31.4</v>
      </c>
      <c r="O3350">
        <v>26.8</v>
      </c>
      <c r="P3350">
        <v>36</v>
      </c>
      <c r="Q3350">
        <f t="shared" si="102"/>
        <v>19299981</v>
      </c>
      <c r="R3350">
        <f t="shared" si="103"/>
        <v>87.186614328791308</v>
      </c>
      <c r="U3350">
        <v>7489</v>
      </c>
      <c r="V3350">
        <v>5182</v>
      </c>
      <c r="W3350">
        <v>9797</v>
      </c>
      <c r="X3350">
        <v>2492</v>
      </c>
      <c r="Y3350">
        <v>75</v>
      </c>
      <c r="Z3350">
        <v>67.900000000000006</v>
      </c>
      <c r="AA3350">
        <v>82.2</v>
      </c>
    </row>
    <row r="3351" spans="1:27" x14ac:dyDescent="0.25">
      <c r="A3351" t="s">
        <v>258</v>
      </c>
      <c r="B3351" t="s">
        <v>170</v>
      </c>
      <c r="C3351" s="76">
        <v>43945</v>
      </c>
      <c r="D3351">
        <v>36444</v>
      </c>
      <c r="E3351">
        <v>27044</v>
      </c>
      <c r="F3351">
        <v>45843</v>
      </c>
      <c r="G3351">
        <v>16939</v>
      </c>
      <c r="H3351">
        <v>68.3</v>
      </c>
      <c r="I3351">
        <v>64.099999999999994</v>
      </c>
      <c r="J3351">
        <v>72.400000000000006</v>
      </c>
      <c r="K3351">
        <v>16012</v>
      </c>
      <c r="L3351">
        <v>11515</v>
      </c>
      <c r="M3351">
        <v>20510</v>
      </c>
      <c r="N3351">
        <v>30</v>
      </c>
      <c r="O3351">
        <v>25.6</v>
      </c>
      <c r="P3351">
        <v>34.4</v>
      </c>
      <c r="Q3351">
        <f t="shared" si="102"/>
        <v>19299981</v>
      </c>
      <c r="R3351">
        <f t="shared" si="103"/>
        <v>82.963812244167485</v>
      </c>
      <c r="U3351">
        <v>7354</v>
      </c>
      <c r="V3351">
        <v>5084</v>
      </c>
      <c r="W3351">
        <v>9624</v>
      </c>
      <c r="X3351">
        <v>2602</v>
      </c>
      <c r="Y3351">
        <v>73.900000000000006</v>
      </c>
      <c r="Z3351">
        <v>67.7</v>
      </c>
      <c r="AA3351">
        <v>80.099999999999994</v>
      </c>
    </row>
    <row r="3352" spans="1:27" x14ac:dyDescent="0.25">
      <c r="A3352" t="s">
        <v>258</v>
      </c>
      <c r="B3352" t="s">
        <v>170</v>
      </c>
      <c r="C3352" s="76">
        <v>43946</v>
      </c>
      <c r="D3352">
        <v>36060</v>
      </c>
      <c r="E3352">
        <v>26620</v>
      </c>
      <c r="F3352">
        <v>45500</v>
      </c>
      <c r="G3352">
        <v>17604</v>
      </c>
      <c r="H3352">
        <v>67.2</v>
      </c>
      <c r="I3352">
        <v>63.1</v>
      </c>
      <c r="J3352">
        <v>71.3</v>
      </c>
      <c r="K3352">
        <v>16447</v>
      </c>
      <c r="L3352">
        <v>11477</v>
      </c>
      <c r="M3352">
        <v>21417</v>
      </c>
      <c r="N3352">
        <v>30.6</v>
      </c>
      <c r="O3352">
        <v>24.7</v>
      </c>
      <c r="P3352">
        <v>36.6</v>
      </c>
      <c r="Q3352">
        <f t="shared" si="102"/>
        <v>19299981</v>
      </c>
      <c r="R3352">
        <f t="shared" si="103"/>
        <v>85.217700473383886</v>
      </c>
      <c r="U3352">
        <v>7291</v>
      </c>
      <c r="V3352">
        <v>5001</v>
      </c>
      <c r="W3352">
        <v>9580</v>
      </c>
      <c r="X3352">
        <v>2797</v>
      </c>
      <c r="Y3352">
        <v>72.3</v>
      </c>
      <c r="Z3352">
        <v>65.8</v>
      </c>
      <c r="AA3352">
        <v>78.7</v>
      </c>
    </row>
    <row r="3353" spans="1:27" x14ac:dyDescent="0.25">
      <c r="A3353" t="s">
        <v>258</v>
      </c>
      <c r="B3353" t="s">
        <v>170</v>
      </c>
      <c r="C3353" s="76">
        <v>43947</v>
      </c>
      <c r="D3353">
        <v>36071</v>
      </c>
      <c r="E3353">
        <v>26611</v>
      </c>
      <c r="F3353">
        <v>45531</v>
      </c>
      <c r="G3353">
        <v>17678</v>
      </c>
      <c r="H3353">
        <v>67.099999999999994</v>
      </c>
      <c r="I3353">
        <v>62.8</v>
      </c>
      <c r="J3353">
        <v>71.400000000000006</v>
      </c>
      <c r="K3353">
        <v>16459</v>
      </c>
      <c r="L3353">
        <v>11563</v>
      </c>
      <c r="M3353">
        <v>21354</v>
      </c>
      <c r="N3353">
        <v>30.6</v>
      </c>
      <c r="O3353">
        <v>24.9</v>
      </c>
      <c r="P3353">
        <v>36.4</v>
      </c>
      <c r="Q3353">
        <f t="shared" si="102"/>
        <v>19299981</v>
      </c>
      <c r="R3353">
        <f t="shared" si="103"/>
        <v>85.279876700396755</v>
      </c>
      <c r="U3353">
        <v>7256</v>
      </c>
      <c r="V3353">
        <v>4970</v>
      </c>
      <c r="W3353">
        <v>9542</v>
      </c>
      <c r="X3353">
        <v>2867</v>
      </c>
      <c r="Y3353">
        <v>71.7</v>
      </c>
      <c r="Z3353">
        <v>65.3</v>
      </c>
      <c r="AA3353">
        <v>78</v>
      </c>
    </row>
    <row r="3354" spans="1:27" x14ac:dyDescent="0.25">
      <c r="A3354" t="s">
        <v>258</v>
      </c>
      <c r="B3354" t="s">
        <v>170</v>
      </c>
      <c r="C3354" s="76">
        <v>43948</v>
      </c>
      <c r="D3354">
        <v>36036</v>
      </c>
      <c r="E3354">
        <v>26761</v>
      </c>
      <c r="F3354">
        <v>45311</v>
      </c>
      <c r="G3354">
        <v>17222</v>
      </c>
      <c r="H3354">
        <v>67.7</v>
      </c>
      <c r="I3354">
        <v>63.6</v>
      </c>
      <c r="J3354">
        <v>71.8</v>
      </c>
      <c r="K3354">
        <v>16021</v>
      </c>
      <c r="L3354">
        <v>11273</v>
      </c>
      <c r="M3354">
        <v>20769</v>
      </c>
      <c r="N3354">
        <v>30.1</v>
      </c>
      <c r="O3354">
        <v>24.5</v>
      </c>
      <c r="P3354">
        <v>35.700000000000003</v>
      </c>
      <c r="Q3354">
        <f t="shared" si="102"/>
        <v>19299981</v>
      </c>
      <c r="R3354">
        <f t="shared" si="103"/>
        <v>83.010444414427141</v>
      </c>
      <c r="U3354">
        <v>7234</v>
      </c>
      <c r="V3354">
        <v>4957</v>
      </c>
      <c r="W3354">
        <v>9511</v>
      </c>
      <c r="X3354">
        <v>2755</v>
      </c>
      <c r="Y3354">
        <v>72.400000000000006</v>
      </c>
      <c r="Z3354">
        <v>66.400000000000006</v>
      </c>
      <c r="AA3354">
        <v>78.5</v>
      </c>
    </row>
    <row r="3355" spans="1:27" x14ac:dyDescent="0.25">
      <c r="A3355" t="s">
        <v>258</v>
      </c>
      <c r="B3355" t="s">
        <v>170</v>
      </c>
      <c r="C3355" s="76">
        <v>43949</v>
      </c>
      <c r="D3355">
        <v>34422</v>
      </c>
      <c r="E3355">
        <v>25571</v>
      </c>
      <c r="F3355">
        <v>43272</v>
      </c>
      <c r="G3355">
        <v>16468</v>
      </c>
      <c r="H3355">
        <v>67.599999999999994</v>
      </c>
      <c r="I3355">
        <v>63.8</v>
      </c>
      <c r="J3355">
        <v>71.5</v>
      </c>
      <c r="K3355">
        <v>14231</v>
      </c>
      <c r="L3355">
        <v>10294</v>
      </c>
      <c r="M3355">
        <v>18168</v>
      </c>
      <c r="N3355">
        <v>28</v>
      </c>
      <c r="O3355">
        <v>24.3</v>
      </c>
      <c r="P3355">
        <v>31.6</v>
      </c>
      <c r="Q3355">
        <f t="shared" si="102"/>
        <v>19299981</v>
      </c>
      <c r="R3355">
        <f t="shared" si="103"/>
        <v>73.735823885007974</v>
      </c>
      <c r="U3355">
        <v>6940</v>
      </c>
      <c r="V3355">
        <v>4832</v>
      </c>
      <c r="W3355">
        <v>9048</v>
      </c>
      <c r="X3355">
        <v>2660</v>
      </c>
      <c r="Y3355">
        <v>72.3</v>
      </c>
      <c r="Z3355">
        <v>66.2</v>
      </c>
      <c r="AA3355">
        <v>78.400000000000006</v>
      </c>
    </row>
    <row r="3356" spans="1:27" x14ac:dyDescent="0.25">
      <c r="A3356" t="s">
        <v>258</v>
      </c>
      <c r="B3356" t="s">
        <v>170</v>
      </c>
      <c r="C3356" s="76">
        <v>43950</v>
      </c>
      <c r="D3356">
        <v>34206</v>
      </c>
      <c r="E3356">
        <v>25396</v>
      </c>
      <c r="F3356">
        <v>43015</v>
      </c>
      <c r="G3356">
        <v>16888</v>
      </c>
      <c r="H3356">
        <v>66.900000000000006</v>
      </c>
      <c r="I3356">
        <v>63</v>
      </c>
      <c r="J3356">
        <v>70.900000000000006</v>
      </c>
      <c r="K3356">
        <v>13461</v>
      </c>
      <c r="L3356">
        <v>9753</v>
      </c>
      <c r="M3356">
        <v>17170</v>
      </c>
      <c r="N3356">
        <v>26.3</v>
      </c>
      <c r="O3356">
        <v>23</v>
      </c>
      <c r="P3356">
        <v>29.7</v>
      </c>
      <c r="Q3356">
        <f t="shared" si="102"/>
        <v>19299981</v>
      </c>
      <c r="R3356">
        <f t="shared" si="103"/>
        <v>69.746182651682403</v>
      </c>
      <c r="U3356">
        <v>6729</v>
      </c>
      <c r="V3356">
        <v>4660</v>
      </c>
      <c r="W3356">
        <v>8798</v>
      </c>
      <c r="X3356">
        <v>2798</v>
      </c>
      <c r="Y3356">
        <v>70.599999999999994</v>
      </c>
      <c r="Z3356">
        <v>64.900000000000006</v>
      </c>
      <c r="AA3356">
        <v>76.400000000000006</v>
      </c>
    </row>
    <row r="3357" spans="1:27" x14ac:dyDescent="0.25">
      <c r="A3357" t="s">
        <v>258</v>
      </c>
      <c r="B3357" t="s">
        <v>170</v>
      </c>
      <c r="C3357" s="76">
        <v>43951</v>
      </c>
      <c r="D3357">
        <v>33661</v>
      </c>
      <c r="E3357">
        <v>24812</v>
      </c>
      <c r="F3357">
        <v>42510</v>
      </c>
      <c r="G3357">
        <v>18298</v>
      </c>
      <c r="H3357">
        <v>64.8</v>
      </c>
      <c r="I3357">
        <v>60.8</v>
      </c>
      <c r="J3357">
        <v>68.8</v>
      </c>
      <c r="K3357">
        <v>12960</v>
      </c>
      <c r="L3357">
        <v>9318</v>
      </c>
      <c r="M3357">
        <v>16601</v>
      </c>
      <c r="N3357">
        <v>24.9</v>
      </c>
      <c r="O3357">
        <v>21.7</v>
      </c>
      <c r="P3357">
        <v>28.2</v>
      </c>
      <c r="Q3357">
        <f t="shared" si="102"/>
        <v>19299981</v>
      </c>
      <c r="R3357">
        <f t="shared" si="103"/>
        <v>67.15032517389524</v>
      </c>
      <c r="U3357">
        <v>6612</v>
      </c>
      <c r="V3357">
        <v>4543</v>
      </c>
      <c r="W3357">
        <v>8681</v>
      </c>
      <c r="X3357">
        <v>2876</v>
      </c>
      <c r="Y3357">
        <v>69.7</v>
      </c>
      <c r="Z3357">
        <v>64.400000000000006</v>
      </c>
      <c r="AA3357">
        <v>75</v>
      </c>
    </row>
    <row r="3358" spans="1:27" x14ac:dyDescent="0.25">
      <c r="A3358" t="s">
        <v>258</v>
      </c>
      <c r="B3358" t="s">
        <v>170</v>
      </c>
      <c r="C3358" s="76">
        <v>43952</v>
      </c>
      <c r="D3358">
        <v>32800</v>
      </c>
      <c r="E3358">
        <v>24359</v>
      </c>
      <c r="F3358">
        <v>41241</v>
      </c>
      <c r="G3358">
        <v>18594</v>
      </c>
      <c r="H3358">
        <v>63.8</v>
      </c>
      <c r="I3358">
        <v>59.9</v>
      </c>
      <c r="J3358">
        <v>67.8</v>
      </c>
      <c r="K3358">
        <v>12215</v>
      </c>
      <c r="L3358">
        <v>8814</v>
      </c>
      <c r="M3358">
        <v>15616</v>
      </c>
      <c r="N3358">
        <v>23.8</v>
      </c>
      <c r="O3358">
        <v>20.6</v>
      </c>
      <c r="P3358">
        <v>26.9</v>
      </c>
      <c r="Q3358">
        <f t="shared" si="102"/>
        <v>19299981</v>
      </c>
      <c r="R3358">
        <f t="shared" si="103"/>
        <v>63.290217746846494</v>
      </c>
      <c r="U3358">
        <v>6451</v>
      </c>
      <c r="V3358">
        <v>4454</v>
      </c>
      <c r="W3358">
        <v>8447</v>
      </c>
      <c r="X3358">
        <v>2897</v>
      </c>
      <c r="Y3358">
        <v>69</v>
      </c>
      <c r="Z3358">
        <v>63.8</v>
      </c>
      <c r="AA3358">
        <v>74.2</v>
      </c>
    </row>
    <row r="3359" spans="1:27" x14ac:dyDescent="0.25">
      <c r="A3359" t="s">
        <v>258</v>
      </c>
      <c r="B3359" t="s">
        <v>170</v>
      </c>
      <c r="C3359" s="76">
        <v>43953</v>
      </c>
      <c r="D3359">
        <v>32112</v>
      </c>
      <c r="E3359">
        <v>23726</v>
      </c>
      <c r="F3359">
        <v>40499</v>
      </c>
      <c r="G3359">
        <v>19695</v>
      </c>
      <c r="H3359">
        <v>62</v>
      </c>
      <c r="I3359">
        <v>57.9</v>
      </c>
      <c r="J3359">
        <v>66</v>
      </c>
      <c r="K3359">
        <v>11638</v>
      </c>
      <c r="L3359">
        <v>8374</v>
      </c>
      <c r="M3359">
        <v>14902</v>
      </c>
      <c r="N3359">
        <v>22.5</v>
      </c>
      <c r="O3359">
        <v>19.399999999999999</v>
      </c>
      <c r="P3359">
        <v>25.5</v>
      </c>
      <c r="Q3359">
        <f t="shared" si="102"/>
        <v>19299981</v>
      </c>
      <c r="R3359">
        <f t="shared" si="103"/>
        <v>60.300577497977848</v>
      </c>
      <c r="U3359">
        <v>6375</v>
      </c>
      <c r="V3359">
        <v>4375</v>
      </c>
      <c r="W3359">
        <v>8375</v>
      </c>
      <c r="X3359">
        <v>3063</v>
      </c>
      <c r="Y3359">
        <v>67.5</v>
      </c>
      <c r="Z3359">
        <v>62.2</v>
      </c>
      <c r="AA3359">
        <v>72.900000000000006</v>
      </c>
    </row>
    <row r="3360" spans="1:27" x14ac:dyDescent="0.25">
      <c r="A3360" t="s">
        <v>258</v>
      </c>
      <c r="B3360" t="s">
        <v>170</v>
      </c>
      <c r="C3360" s="76">
        <v>43954</v>
      </c>
      <c r="D3360">
        <v>31867</v>
      </c>
      <c r="E3360">
        <v>23585</v>
      </c>
      <c r="F3360">
        <v>40148</v>
      </c>
      <c r="G3360">
        <v>19642</v>
      </c>
      <c r="H3360">
        <v>61.9</v>
      </c>
      <c r="I3360">
        <v>57.8</v>
      </c>
      <c r="J3360">
        <v>65.900000000000006</v>
      </c>
      <c r="K3360">
        <v>11438</v>
      </c>
      <c r="L3360">
        <v>8270</v>
      </c>
      <c r="M3360">
        <v>14606</v>
      </c>
      <c r="N3360">
        <v>22.2</v>
      </c>
      <c r="O3360">
        <v>19.3</v>
      </c>
      <c r="P3360">
        <v>25.2</v>
      </c>
      <c r="Q3360">
        <f t="shared" si="102"/>
        <v>19299981</v>
      </c>
      <c r="R3360">
        <f t="shared" si="103"/>
        <v>59.264307047763417</v>
      </c>
      <c r="U3360">
        <v>6231</v>
      </c>
      <c r="V3360">
        <v>4289</v>
      </c>
      <c r="W3360">
        <v>8174</v>
      </c>
      <c r="X3360">
        <v>3119</v>
      </c>
      <c r="Y3360">
        <v>66.599999999999994</v>
      </c>
      <c r="Z3360">
        <v>61.2</v>
      </c>
      <c r="AA3360">
        <v>72</v>
      </c>
    </row>
    <row r="3361" spans="1:27" x14ac:dyDescent="0.25">
      <c r="A3361" t="s">
        <v>258</v>
      </c>
      <c r="B3361" t="s">
        <v>170</v>
      </c>
      <c r="C3361" s="76">
        <v>43955</v>
      </c>
      <c r="D3361">
        <v>33018</v>
      </c>
      <c r="E3361">
        <v>24352</v>
      </c>
      <c r="F3361">
        <v>41683</v>
      </c>
      <c r="G3361">
        <v>18675</v>
      </c>
      <c r="H3361">
        <v>63.9</v>
      </c>
      <c r="I3361">
        <v>60.1</v>
      </c>
      <c r="J3361">
        <v>67.7</v>
      </c>
      <c r="K3361">
        <v>11679</v>
      </c>
      <c r="L3361">
        <v>8386</v>
      </c>
      <c r="M3361">
        <v>14971</v>
      </c>
      <c r="N3361">
        <v>22.6</v>
      </c>
      <c r="O3361">
        <v>19.600000000000001</v>
      </c>
      <c r="P3361">
        <v>25.6</v>
      </c>
      <c r="Q3361">
        <f t="shared" si="102"/>
        <v>19299981</v>
      </c>
      <c r="R3361">
        <f t="shared" si="103"/>
        <v>60.513012940271807</v>
      </c>
      <c r="U3361">
        <v>6347</v>
      </c>
      <c r="V3361">
        <v>4340</v>
      </c>
      <c r="W3361">
        <v>8354</v>
      </c>
      <c r="X3361">
        <v>3042</v>
      </c>
      <c r="Y3361">
        <v>67.599999999999994</v>
      </c>
      <c r="Z3361">
        <v>62.6</v>
      </c>
      <c r="AA3361">
        <v>72.599999999999994</v>
      </c>
    </row>
    <row r="3362" spans="1:27" x14ac:dyDescent="0.25">
      <c r="A3362" t="s">
        <v>258</v>
      </c>
      <c r="B3362" t="s">
        <v>170</v>
      </c>
      <c r="C3362" s="76">
        <v>43956</v>
      </c>
      <c r="D3362">
        <v>33801</v>
      </c>
      <c r="E3362">
        <v>25147</v>
      </c>
      <c r="F3362">
        <v>42455</v>
      </c>
      <c r="G3362">
        <v>17482</v>
      </c>
      <c r="H3362">
        <v>65.900000000000006</v>
      </c>
      <c r="I3362">
        <v>62.4</v>
      </c>
      <c r="J3362">
        <v>69.400000000000006</v>
      </c>
      <c r="K3362">
        <v>11305</v>
      </c>
      <c r="L3362">
        <v>8157</v>
      </c>
      <c r="M3362">
        <v>14454</v>
      </c>
      <c r="N3362">
        <v>22</v>
      </c>
      <c r="O3362">
        <v>19.100000000000001</v>
      </c>
      <c r="P3362">
        <v>24.9</v>
      </c>
      <c r="Q3362">
        <f t="shared" si="102"/>
        <v>19299981</v>
      </c>
      <c r="R3362">
        <f t="shared" si="103"/>
        <v>58.575187198370813</v>
      </c>
      <c r="U3362">
        <v>6301</v>
      </c>
      <c r="V3362">
        <v>4365</v>
      </c>
      <c r="W3362">
        <v>8236</v>
      </c>
      <c r="X3362">
        <v>2905</v>
      </c>
      <c r="Y3362">
        <v>68.400000000000006</v>
      </c>
      <c r="Z3362">
        <v>63.4</v>
      </c>
      <c r="AA3362">
        <v>73.5</v>
      </c>
    </row>
    <row r="3363" spans="1:27" x14ac:dyDescent="0.25">
      <c r="A3363" t="s">
        <v>258</v>
      </c>
      <c r="B3363" t="s">
        <v>170</v>
      </c>
      <c r="C3363" s="76">
        <v>43957</v>
      </c>
      <c r="D3363">
        <v>33794</v>
      </c>
      <c r="E3363">
        <v>25063</v>
      </c>
      <c r="F3363">
        <v>42526</v>
      </c>
      <c r="G3363">
        <v>17468</v>
      </c>
      <c r="H3363">
        <v>65.900000000000006</v>
      </c>
      <c r="I3363">
        <v>62.4</v>
      </c>
      <c r="J3363">
        <v>69.5</v>
      </c>
      <c r="K3363">
        <v>10738</v>
      </c>
      <c r="L3363">
        <v>7694</v>
      </c>
      <c r="M3363">
        <v>13783</v>
      </c>
      <c r="N3363">
        <v>20.9</v>
      </c>
      <c r="O3363">
        <v>18.100000000000001</v>
      </c>
      <c r="P3363">
        <v>23.8</v>
      </c>
      <c r="Q3363">
        <f t="shared" si="102"/>
        <v>19299981</v>
      </c>
      <c r="R3363">
        <f t="shared" si="103"/>
        <v>55.637360472012901</v>
      </c>
      <c r="U3363">
        <v>6158</v>
      </c>
      <c r="V3363">
        <v>4256</v>
      </c>
      <c r="W3363">
        <v>8061</v>
      </c>
      <c r="X3363">
        <v>2893</v>
      </c>
      <c r="Y3363">
        <v>68</v>
      </c>
      <c r="Z3363">
        <v>62.9</v>
      </c>
      <c r="AA3363">
        <v>73.2</v>
      </c>
    </row>
    <row r="3364" spans="1:27" x14ac:dyDescent="0.25">
      <c r="A3364" t="s">
        <v>258</v>
      </c>
      <c r="B3364" t="s">
        <v>170</v>
      </c>
      <c r="C3364" s="76">
        <v>43958</v>
      </c>
      <c r="D3364">
        <v>33192</v>
      </c>
      <c r="E3364">
        <v>24544</v>
      </c>
      <c r="F3364">
        <v>41841</v>
      </c>
      <c r="G3364">
        <v>17803</v>
      </c>
      <c r="H3364">
        <v>65.099999999999994</v>
      </c>
      <c r="I3364">
        <v>61.4</v>
      </c>
      <c r="J3364">
        <v>68.8</v>
      </c>
      <c r="K3364">
        <v>10232</v>
      </c>
      <c r="L3364">
        <v>7325</v>
      </c>
      <c r="M3364">
        <v>13139</v>
      </c>
      <c r="N3364">
        <v>20.100000000000001</v>
      </c>
      <c r="O3364">
        <v>17.3</v>
      </c>
      <c r="P3364">
        <v>22.8</v>
      </c>
      <c r="Q3364">
        <f t="shared" si="102"/>
        <v>19299981</v>
      </c>
      <c r="R3364">
        <f t="shared" si="103"/>
        <v>53.015596232970381</v>
      </c>
      <c r="U3364">
        <v>6146</v>
      </c>
      <c r="V3364">
        <v>4239</v>
      </c>
      <c r="W3364">
        <v>8054</v>
      </c>
      <c r="X3364">
        <v>3027</v>
      </c>
      <c r="Y3364">
        <v>67</v>
      </c>
      <c r="Z3364">
        <v>62</v>
      </c>
      <c r="AA3364">
        <v>72</v>
      </c>
    </row>
    <row r="3365" spans="1:27" x14ac:dyDescent="0.25">
      <c r="A3365" t="s">
        <v>258</v>
      </c>
      <c r="B3365" t="s">
        <v>170</v>
      </c>
      <c r="C3365" s="76">
        <v>43959</v>
      </c>
      <c r="D3365">
        <v>32525</v>
      </c>
      <c r="E3365">
        <v>24212</v>
      </c>
      <c r="F3365">
        <v>40838</v>
      </c>
      <c r="G3365">
        <v>18038</v>
      </c>
      <c r="H3365">
        <v>64.3</v>
      </c>
      <c r="I3365">
        <v>60.7</v>
      </c>
      <c r="J3365">
        <v>67.900000000000006</v>
      </c>
      <c r="K3365">
        <v>9480</v>
      </c>
      <c r="L3365">
        <v>6827</v>
      </c>
      <c r="M3365">
        <v>12133</v>
      </c>
      <c r="N3365">
        <v>18.7</v>
      </c>
      <c r="O3365">
        <v>16.3</v>
      </c>
      <c r="P3365">
        <v>21.2</v>
      </c>
      <c r="Q3365">
        <f t="shared" si="102"/>
        <v>19299981</v>
      </c>
      <c r="R3365">
        <f t="shared" si="103"/>
        <v>49.119219340164115</v>
      </c>
      <c r="U3365">
        <v>5904</v>
      </c>
      <c r="V3365">
        <v>4087</v>
      </c>
      <c r="W3365">
        <v>7720</v>
      </c>
      <c r="X3365">
        <v>3147</v>
      </c>
      <c r="Y3365">
        <v>65.2</v>
      </c>
      <c r="Z3365">
        <v>60.3</v>
      </c>
      <c r="AA3365">
        <v>70.2</v>
      </c>
    </row>
    <row r="3366" spans="1:27" x14ac:dyDescent="0.25">
      <c r="A3366" t="s">
        <v>258</v>
      </c>
      <c r="B3366" t="s">
        <v>170</v>
      </c>
      <c r="C3366" s="76">
        <v>43960</v>
      </c>
      <c r="D3366">
        <v>31812</v>
      </c>
      <c r="E3366">
        <v>23466</v>
      </c>
      <c r="F3366">
        <v>40157</v>
      </c>
      <c r="G3366">
        <v>19219</v>
      </c>
      <c r="H3366">
        <v>62.3</v>
      </c>
      <c r="I3366">
        <v>58.6</v>
      </c>
      <c r="J3366">
        <v>66.099999999999994</v>
      </c>
      <c r="K3366">
        <v>9174</v>
      </c>
      <c r="L3366">
        <v>6614</v>
      </c>
      <c r="M3366">
        <v>11734</v>
      </c>
      <c r="N3366">
        <v>18</v>
      </c>
      <c r="O3366">
        <v>15.6</v>
      </c>
      <c r="P3366">
        <v>20.3</v>
      </c>
      <c r="Q3366">
        <f t="shared" si="102"/>
        <v>19299981</v>
      </c>
      <c r="R3366">
        <f t="shared" si="103"/>
        <v>47.533725551336033</v>
      </c>
      <c r="U3366">
        <v>6038</v>
      </c>
      <c r="V3366">
        <v>4091</v>
      </c>
      <c r="W3366">
        <v>7984</v>
      </c>
      <c r="X3366">
        <v>3207</v>
      </c>
      <c r="Y3366">
        <v>65.3</v>
      </c>
      <c r="Z3366">
        <v>59.9</v>
      </c>
      <c r="AA3366">
        <v>70.8</v>
      </c>
    </row>
    <row r="3367" spans="1:27" x14ac:dyDescent="0.25">
      <c r="A3367" t="s">
        <v>258</v>
      </c>
      <c r="B3367" t="s">
        <v>170</v>
      </c>
      <c r="C3367" s="76">
        <v>43961</v>
      </c>
      <c r="D3367">
        <v>31848</v>
      </c>
      <c r="E3367">
        <v>23600</v>
      </c>
      <c r="F3367">
        <v>40097</v>
      </c>
      <c r="G3367">
        <v>18873</v>
      </c>
      <c r="H3367">
        <v>62.8</v>
      </c>
      <c r="I3367">
        <v>59.2</v>
      </c>
      <c r="J3367">
        <v>66.3</v>
      </c>
      <c r="K3367">
        <v>9125</v>
      </c>
      <c r="L3367">
        <v>6588</v>
      </c>
      <c r="M3367">
        <v>11662</v>
      </c>
      <c r="N3367">
        <v>18</v>
      </c>
      <c r="O3367">
        <v>15.7</v>
      </c>
      <c r="P3367">
        <v>20.3</v>
      </c>
      <c r="Q3367">
        <f t="shared" ref="Q3367:Q3430" si="104">VLOOKUP(B3367,$AE$4:$AF$55,2,FALSE)</f>
        <v>19299981</v>
      </c>
      <c r="R3367">
        <f t="shared" si="103"/>
        <v>47.279839291033497</v>
      </c>
      <c r="U3367">
        <v>5777</v>
      </c>
      <c r="V3367">
        <v>3943</v>
      </c>
      <c r="W3367">
        <v>7611</v>
      </c>
      <c r="X3367">
        <v>3315</v>
      </c>
      <c r="Y3367">
        <v>63.5</v>
      </c>
      <c r="Z3367">
        <v>58.2</v>
      </c>
      <c r="AA3367">
        <v>68.8</v>
      </c>
    </row>
    <row r="3368" spans="1:27" x14ac:dyDescent="0.25">
      <c r="A3368" t="s">
        <v>258</v>
      </c>
      <c r="B3368" t="s">
        <v>170</v>
      </c>
      <c r="C3368" s="76">
        <v>43962</v>
      </c>
      <c r="D3368">
        <v>32076</v>
      </c>
      <c r="E3368">
        <v>23749</v>
      </c>
      <c r="F3368">
        <v>40404</v>
      </c>
      <c r="G3368">
        <v>18849</v>
      </c>
      <c r="H3368">
        <v>63</v>
      </c>
      <c r="I3368">
        <v>59.3</v>
      </c>
      <c r="J3368">
        <v>66.7</v>
      </c>
      <c r="K3368">
        <v>8901</v>
      </c>
      <c r="L3368">
        <v>6429</v>
      </c>
      <c r="M3368">
        <v>11372</v>
      </c>
      <c r="N3368">
        <v>17.5</v>
      </c>
      <c r="O3368">
        <v>15.2</v>
      </c>
      <c r="P3368">
        <v>19.8</v>
      </c>
      <c r="Q3368">
        <f t="shared" si="104"/>
        <v>19299981</v>
      </c>
      <c r="R3368">
        <f t="shared" si="103"/>
        <v>46.119216386793333</v>
      </c>
      <c r="U3368">
        <v>5706</v>
      </c>
      <c r="V3368">
        <v>3899</v>
      </c>
      <c r="W3368">
        <v>7513</v>
      </c>
      <c r="X3368">
        <v>3393</v>
      </c>
      <c r="Y3368">
        <v>62.7</v>
      </c>
      <c r="Z3368">
        <v>57.3</v>
      </c>
      <c r="AA3368">
        <v>68.099999999999994</v>
      </c>
    </row>
    <row r="3369" spans="1:27" x14ac:dyDescent="0.25">
      <c r="A3369" t="s">
        <v>258</v>
      </c>
      <c r="B3369" t="s">
        <v>170</v>
      </c>
      <c r="C3369" s="76">
        <v>43963</v>
      </c>
      <c r="D3369">
        <v>32672</v>
      </c>
      <c r="E3369">
        <v>24311</v>
      </c>
      <c r="F3369">
        <v>41033</v>
      </c>
      <c r="G3369">
        <v>18097</v>
      </c>
      <c r="H3369">
        <v>64.400000000000006</v>
      </c>
      <c r="I3369">
        <v>60.8</v>
      </c>
      <c r="J3369">
        <v>67.900000000000006</v>
      </c>
      <c r="K3369">
        <v>8798</v>
      </c>
      <c r="L3369">
        <v>6339</v>
      </c>
      <c r="M3369">
        <v>11258</v>
      </c>
      <c r="N3369">
        <v>17.3</v>
      </c>
      <c r="O3369">
        <v>15</v>
      </c>
      <c r="P3369">
        <v>19.7</v>
      </c>
      <c r="Q3369">
        <f t="shared" si="104"/>
        <v>19299981</v>
      </c>
      <c r="R3369">
        <f t="shared" si="103"/>
        <v>45.585537104932904</v>
      </c>
      <c r="U3369">
        <v>5762</v>
      </c>
      <c r="V3369">
        <v>3916</v>
      </c>
      <c r="W3369">
        <v>7608</v>
      </c>
      <c r="X3369">
        <v>3264</v>
      </c>
      <c r="Y3369">
        <v>63.8</v>
      </c>
      <c r="Z3369">
        <v>58</v>
      </c>
      <c r="AA3369">
        <v>69.7</v>
      </c>
    </row>
    <row r="3370" spans="1:27" x14ac:dyDescent="0.25">
      <c r="A3370" t="s">
        <v>258</v>
      </c>
      <c r="B3370" t="s">
        <v>170</v>
      </c>
      <c r="C3370" s="76">
        <v>43964</v>
      </c>
      <c r="D3370">
        <v>32187</v>
      </c>
      <c r="E3370">
        <v>23788</v>
      </c>
      <c r="F3370">
        <v>40586</v>
      </c>
      <c r="G3370">
        <v>17987</v>
      </c>
      <c r="H3370">
        <v>64.2</v>
      </c>
      <c r="I3370">
        <v>60.5</v>
      </c>
      <c r="J3370">
        <v>67.8</v>
      </c>
      <c r="K3370">
        <v>8379</v>
      </c>
      <c r="L3370">
        <v>5936</v>
      </c>
      <c r="M3370">
        <v>10823</v>
      </c>
      <c r="N3370">
        <v>16.7</v>
      </c>
      <c r="O3370">
        <v>14.3</v>
      </c>
      <c r="P3370">
        <v>19.100000000000001</v>
      </c>
      <c r="Q3370">
        <f t="shared" si="104"/>
        <v>19299981</v>
      </c>
      <c r="R3370">
        <f t="shared" si="103"/>
        <v>43.414550511733665</v>
      </c>
      <c r="U3370">
        <v>5435</v>
      </c>
      <c r="V3370">
        <v>3650</v>
      </c>
      <c r="W3370">
        <v>7219</v>
      </c>
      <c r="X3370">
        <v>3404</v>
      </c>
      <c r="Y3370">
        <v>61.5</v>
      </c>
      <c r="Z3370">
        <v>55.9</v>
      </c>
      <c r="AA3370">
        <v>67</v>
      </c>
    </row>
    <row r="3371" spans="1:27" x14ac:dyDescent="0.25">
      <c r="A3371" t="s">
        <v>258</v>
      </c>
      <c r="B3371" t="s">
        <v>170</v>
      </c>
      <c r="C3371" s="76">
        <v>43965</v>
      </c>
      <c r="D3371">
        <v>32534</v>
      </c>
      <c r="E3371">
        <v>23822</v>
      </c>
      <c r="F3371">
        <v>41246</v>
      </c>
      <c r="G3371">
        <v>18297</v>
      </c>
      <c r="H3371">
        <v>64</v>
      </c>
      <c r="I3371">
        <v>60.4</v>
      </c>
      <c r="J3371">
        <v>67.599999999999994</v>
      </c>
      <c r="K3371">
        <v>8261</v>
      </c>
      <c r="L3371">
        <v>5791</v>
      </c>
      <c r="M3371">
        <v>10731</v>
      </c>
      <c r="N3371">
        <v>16.3</v>
      </c>
      <c r="O3371">
        <v>13.8</v>
      </c>
      <c r="P3371">
        <v>18.7</v>
      </c>
      <c r="Q3371">
        <f t="shared" si="104"/>
        <v>19299981</v>
      </c>
      <c r="R3371">
        <f t="shared" si="103"/>
        <v>42.803150946107145</v>
      </c>
      <c r="U3371">
        <v>5533</v>
      </c>
      <c r="V3371">
        <v>3669</v>
      </c>
      <c r="W3371">
        <v>7398</v>
      </c>
      <c r="X3371">
        <v>3427</v>
      </c>
      <c r="Y3371">
        <v>61.8</v>
      </c>
      <c r="Z3371">
        <v>56</v>
      </c>
      <c r="AA3371">
        <v>67.5</v>
      </c>
    </row>
    <row r="3372" spans="1:27" x14ac:dyDescent="0.25">
      <c r="A3372" t="s">
        <v>258</v>
      </c>
      <c r="B3372" t="s">
        <v>170</v>
      </c>
      <c r="C3372" s="76">
        <v>43966</v>
      </c>
      <c r="D3372">
        <v>31941</v>
      </c>
      <c r="E3372">
        <v>23467</v>
      </c>
      <c r="F3372">
        <v>40416</v>
      </c>
      <c r="G3372">
        <v>18110</v>
      </c>
      <c r="H3372">
        <v>63.8</v>
      </c>
      <c r="I3372">
        <v>60.1</v>
      </c>
      <c r="J3372">
        <v>67.5</v>
      </c>
      <c r="K3372">
        <v>8045</v>
      </c>
      <c r="L3372">
        <v>5696</v>
      </c>
      <c r="M3372">
        <v>10394</v>
      </c>
      <c r="N3372">
        <v>16.100000000000001</v>
      </c>
      <c r="O3372">
        <v>13.7</v>
      </c>
      <c r="P3372">
        <v>18.399999999999999</v>
      </c>
      <c r="Q3372">
        <f t="shared" si="104"/>
        <v>19299981</v>
      </c>
      <c r="R3372">
        <f t="shared" si="103"/>
        <v>41.683978859875559</v>
      </c>
      <c r="U3372">
        <v>5411</v>
      </c>
      <c r="V3372">
        <v>3619</v>
      </c>
      <c r="W3372">
        <v>7203</v>
      </c>
      <c r="X3372">
        <v>3362</v>
      </c>
      <c r="Y3372">
        <v>61.7</v>
      </c>
      <c r="Z3372">
        <v>55.8</v>
      </c>
      <c r="AA3372">
        <v>67.5</v>
      </c>
    </row>
    <row r="3373" spans="1:27" x14ac:dyDescent="0.25">
      <c r="A3373" t="s">
        <v>258</v>
      </c>
      <c r="B3373" t="s">
        <v>170</v>
      </c>
      <c r="C3373" s="76">
        <v>43967</v>
      </c>
      <c r="D3373">
        <v>31404</v>
      </c>
      <c r="E3373">
        <v>23137</v>
      </c>
      <c r="F3373">
        <v>39671</v>
      </c>
      <c r="G3373">
        <v>18639</v>
      </c>
      <c r="H3373">
        <v>62.8</v>
      </c>
      <c r="I3373">
        <v>59.3</v>
      </c>
      <c r="J3373">
        <v>66.2</v>
      </c>
      <c r="K3373">
        <v>7813</v>
      </c>
      <c r="L3373">
        <v>5501</v>
      </c>
      <c r="M3373">
        <v>10125</v>
      </c>
      <c r="N3373">
        <v>15.6</v>
      </c>
      <c r="O3373">
        <v>13.3</v>
      </c>
      <c r="P3373">
        <v>17.899999999999999</v>
      </c>
      <c r="Q3373">
        <f t="shared" si="104"/>
        <v>19299981</v>
      </c>
      <c r="R3373">
        <f t="shared" si="103"/>
        <v>40.481905137626818</v>
      </c>
      <c r="U3373">
        <v>5242</v>
      </c>
      <c r="V3373">
        <v>3501</v>
      </c>
      <c r="W3373">
        <v>6983</v>
      </c>
      <c r="X3373">
        <v>3466</v>
      </c>
      <c r="Y3373">
        <v>60.2</v>
      </c>
      <c r="Z3373">
        <v>54.3</v>
      </c>
      <c r="AA3373">
        <v>66.099999999999994</v>
      </c>
    </row>
    <row r="3374" spans="1:27" x14ac:dyDescent="0.25">
      <c r="A3374" t="s">
        <v>258</v>
      </c>
      <c r="B3374" t="s">
        <v>170</v>
      </c>
      <c r="C3374" s="76">
        <v>43968</v>
      </c>
      <c r="D3374">
        <v>31766</v>
      </c>
      <c r="E3374">
        <v>23421</v>
      </c>
      <c r="F3374">
        <v>40112</v>
      </c>
      <c r="G3374">
        <v>18127</v>
      </c>
      <c r="H3374">
        <v>63.7</v>
      </c>
      <c r="I3374">
        <v>60.1</v>
      </c>
      <c r="J3374">
        <v>67.2</v>
      </c>
      <c r="K3374">
        <v>7753</v>
      </c>
      <c r="L3374">
        <v>5470</v>
      </c>
      <c r="M3374">
        <v>10036</v>
      </c>
      <c r="N3374">
        <v>15.5</v>
      </c>
      <c r="O3374">
        <v>13.3</v>
      </c>
      <c r="P3374">
        <v>17.8</v>
      </c>
      <c r="Q3374">
        <f t="shared" si="104"/>
        <v>19299981</v>
      </c>
      <c r="R3374">
        <f t="shared" si="103"/>
        <v>40.17102400256249</v>
      </c>
      <c r="U3374">
        <v>5082</v>
      </c>
      <c r="V3374">
        <v>3384</v>
      </c>
      <c r="W3374">
        <v>6780</v>
      </c>
      <c r="X3374">
        <v>3516</v>
      </c>
      <c r="Y3374">
        <v>59.1</v>
      </c>
      <c r="Z3374">
        <v>53.2</v>
      </c>
      <c r="AA3374">
        <v>65.099999999999994</v>
      </c>
    </row>
    <row r="3375" spans="1:27" x14ac:dyDescent="0.25">
      <c r="A3375" t="s">
        <v>258</v>
      </c>
      <c r="B3375" t="s">
        <v>170</v>
      </c>
      <c r="C3375" s="76">
        <v>43969</v>
      </c>
      <c r="D3375">
        <v>33343</v>
      </c>
      <c r="E3375">
        <v>24364</v>
      </c>
      <c r="F3375">
        <v>42321</v>
      </c>
      <c r="G3375">
        <v>16977</v>
      </c>
      <c r="H3375">
        <v>66.3</v>
      </c>
      <c r="I3375">
        <v>62.6</v>
      </c>
      <c r="J3375">
        <v>69.900000000000006</v>
      </c>
      <c r="K3375">
        <v>7928</v>
      </c>
      <c r="L3375">
        <v>5529</v>
      </c>
      <c r="M3375">
        <v>10326</v>
      </c>
      <c r="N3375">
        <v>15.8</v>
      </c>
      <c r="O3375">
        <v>13.4</v>
      </c>
      <c r="P3375">
        <v>18.100000000000001</v>
      </c>
      <c r="Q3375">
        <f t="shared" si="104"/>
        <v>19299981</v>
      </c>
      <c r="R3375">
        <f t="shared" si="103"/>
        <v>41.077760646500117</v>
      </c>
      <c r="U3375">
        <v>5232</v>
      </c>
      <c r="V3375">
        <v>3463</v>
      </c>
      <c r="W3375">
        <v>7001</v>
      </c>
      <c r="X3375">
        <v>3516</v>
      </c>
      <c r="Y3375">
        <v>59.8</v>
      </c>
      <c r="Z3375">
        <v>54.2</v>
      </c>
      <c r="AA3375">
        <v>65.5</v>
      </c>
    </row>
    <row r="3376" spans="1:27" x14ac:dyDescent="0.25">
      <c r="A3376" t="s">
        <v>258</v>
      </c>
      <c r="B3376" t="s">
        <v>170</v>
      </c>
      <c r="C3376" s="76">
        <v>43970</v>
      </c>
      <c r="D3376">
        <v>34172</v>
      </c>
      <c r="E3376">
        <v>24975</v>
      </c>
      <c r="F3376">
        <v>43369</v>
      </c>
      <c r="G3376">
        <v>16445</v>
      </c>
      <c r="H3376">
        <v>67.5</v>
      </c>
      <c r="I3376">
        <v>63.9</v>
      </c>
      <c r="J3376">
        <v>71.2</v>
      </c>
      <c r="K3376">
        <v>7710</v>
      </c>
      <c r="L3376">
        <v>5362</v>
      </c>
      <c r="M3376">
        <v>10058</v>
      </c>
      <c r="N3376">
        <v>15.2</v>
      </c>
      <c r="O3376">
        <v>12.9</v>
      </c>
      <c r="P3376">
        <v>17.5</v>
      </c>
      <c r="Q3376">
        <f t="shared" si="104"/>
        <v>19299981</v>
      </c>
      <c r="R3376">
        <f t="shared" si="103"/>
        <v>39.948225855766388</v>
      </c>
      <c r="U3376">
        <v>5413</v>
      </c>
      <c r="V3376">
        <v>3577</v>
      </c>
      <c r="W3376">
        <v>7249</v>
      </c>
      <c r="X3376">
        <v>3411</v>
      </c>
      <c r="Y3376">
        <v>61.3</v>
      </c>
      <c r="Z3376">
        <v>55.3</v>
      </c>
      <c r="AA3376">
        <v>67.3</v>
      </c>
    </row>
    <row r="3377" spans="1:27" x14ac:dyDescent="0.25">
      <c r="A3377" t="s">
        <v>258</v>
      </c>
      <c r="B3377" t="s">
        <v>170</v>
      </c>
      <c r="C3377" s="76">
        <v>43971</v>
      </c>
      <c r="D3377">
        <v>34569</v>
      </c>
      <c r="E3377">
        <v>25318</v>
      </c>
      <c r="F3377">
        <v>43820</v>
      </c>
      <c r="G3377">
        <v>16220</v>
      </c>
      <c r="H3377">
        <v>68.099999999999994</v>
      </c>
      <c r="I3377">
        <v>64.5</v>
      </c>
      <c r="J3377">
        <v>71.599999999999994</v>
      </c>
      <c r="K3377">
        <v>7511</v>
      </c>
      <c r="L3377">
        <v>5253</v>
      </c>
      <c r="M3377">
        <v>9768</v>
      </c>
      <c r="N3377">
        <v>14.8</v>
      </c>
      <c r="O3377">
        <v>12.6</v>
      </c>
      <c r="P3377">
        <v>17</v>
      </c>
      <c r="Q3377">
        <f t="shared" si="104"/>
        <v>19299981</v>
      </c>
      <c r="R3377">
        <f t="shared" si="103"/>
        <v>38.917136757803021</v>
      </c>
      <c r="U3377">
        <v>5135</v>
      </c>
      <c r="V3377">
        <v>3371</v>
      </c>
      <c r="W3377">
        <v>6899</v>
      </c>
      <c r="X3377">
        <v>3802</v>
      </c>
      <c r="Y3377">
        <v>57.5</v>
      </c>
      <c r="Z3377">
        <v>50.2</v>
      </c>
      <c r="AA3377">
        <v>64.8</v>
      </c>
    </row>
    <row r="3378" spans="1:27" x14ac:dyDescent="0.25">
      <c r="A3378" t="s">
        <v>258</v>
      </c>
      <c r="B3378" t="s">
        <v>170</v>
      </c>
      <c r="C3378" s="76">
        <v>43972</v>
      </c>
      <c r="D3378">
        <v>33476</v>
      </c>
      <c r="E3378">
        <v>24500</v>
      </c>
      <c r="F3378">
        <v>42453</v>
      </c>
      <c r="G3378">
        <v>17203</v>
      </c>
      <c r="H3378">
        <v>66.099999999999994</v>
      </c>
      <c r="I3378">
        <v>62.4</v>
      </c>
      <c r="J3378">
        <v>69.7</v>
      </c>
      <c r="K3378">
        <v>7109</v>
      </c>
      <c r="L3378">
        <v>4955</v>
      </c>
      <c r="M3378">
        <v>9262</v>
      </c>
      <c r="N3378">
        <v>14</v>
      </c>
      <c r="O3378">
        <v>11.9</v>
      </c>
      <c r="P3378">
        <v>16.2</v>
      </c>
      <c r="Q3378">
        <f t="shared" si="104"/>
        <v>19299981</v>
      </c>
      <c r="R3378">
        <f t="shared" si="103"/>
        <v>36.834233152872017</v>
      </c>
      <c r="U3378">
        <v>5265</v>
      </c>
      <c r="V3378">
        <v>3470</v>
      </c>
      <c r="W3378">
        <v>7061</v>
      </c>
      <c r="X3378">
        <v>3514</v>
      </c>
      <c r="Y3378">
        <v>60</v>
      </c>
      <c r="Z3378">
        <v>54.1</v>
      </c>
      <c r="AA3378">
        <v>65.8</v>
      </c>
    </row>
    <row r="3379" spans="1:27" x14ac:dyDescent="0.25">
      <c r="A3379" t="s">
        <v>258</v>
      </c>
      <c r="B3379" t="s">
        <v>170</v>
      </c>
      <c r="C3379" s="76">
        <v>43973</v>
      </c>
      <c r="D3379">
        <v>32863</v>
      </c>
      <c r="E3379">
        <v>24049</v>
      </c>
      <c r="F3379">
        <v>41676</v>
      </c>
      <c r="G3379">
        <v>17178</v>
      </c>
      <c r="H3379">
        <v>65.7</v>
      </c>
      <c r="I3379">
        <v>62.1</v>
      </c>
      <c r="J3379">
        <v>69.2</v>
      </c>
      <c r="K3379">
        <v>6714</v>
      </c>
      <c r="L3379">
        <v>4654</v>
      </c>
      <c r="M3379">
        <v>8774</v>
      </c>
      <c r="N3379">
        <v>13.4</v>
      </c>
      <c r="O3379">
        <v>11.3</v>
      </c>
      <c r="P3379">
        <v>15.5</v>
      </c>
      <c r="Q3379">
        <f t="shared" si="104"/>
        <v>19299981</v>
      </c>
      <c r="R3379">
        <f t="shared" si="103"/>
        <v>34.787599013698511</v>
      </c>
      <c r="U3379">
        <v>5177</v>
      </c>
      <c r="V3379">
        <v>3418</v>
      </c>
      <c r="W3379">
        <v>6936</v>
      </c>
      <c r="X3379">
        <v>3612</v>
      </c>
      <c r="Y3379">
        <v>58.9</v>
      </c>
      <c r="Z3379">
        <v>53.2</v>
      </c>
      <c r="AA3379">
        <v>64.599999999999994</v>
      </c>
    </row>
    <row r="3380" spans="1:27" x14ac:dyDescent="0.25">
      <c r="A3380" t="s">
        <v>258</v>
      </c>
      <c r="B3380" t="s">
        <v>170</v>
      </c>
      <c r="C3380" s="76">
        <v>43974</v>
      </c>
      <c r="D3380">
        <v>31532</v>
      </c>
      <c r="E3380">
        <v>22936</v>
      </c>
      <c r="F3380">
        <v>40128</v>
      </c>
      <c r="G3380">
        <v>18610</v>
      </c>
      <c r="H3380">
        <v>62.9</v>
      </c>
      <c r="I3380">
        <v>59</v>
      </c>
      <c r="J3380">
        <v>66.7</v>
      </c>
      <c r="K3380">
        <v>6412</v>
      </c>
      <c r="L3380">
        <v>4489</v>
      </c>
      <c r="M3380">
        <v>8334</v>
      </c>
      <c r="N3380">
        <v>12.8</v>
      </c>
      <c r="O3380">
        <v>11</v>
      </c>
      <c r="P3380">
        <v>14.6</v>
      </c>
      <c r="Q3380">
        <f t="shared" si="104"/>
        <v>19299981</v>
      </c>
      <c r="R3380">
        <f t="shared" si="103"/>
        <v>33.222830633874715</v>
      </c>
      <c r="U3380">
        <v>5033</v>
      </c>
      <c r="V3380">
        <v>3317</v>
      </c>
      <c r="W3380">
        <v>6749</v>
      </c>
      <c r="X3380">
        <v>3745</v>
      </c>
      <c r="Y3380">
        <v>57.3</v>
      </c>
      <c r="Z3380">
        <v>51.5</v>
      </c>
      <c r="AA3380">
        <v>63.2</v>
      </c>
    </row>
    <row r="3381" spans="1:27" x14ac:dyDescent="0.25">
      <c r="A3381" t="s">
        <v>258</v>
      </c>
      <c r="B3381" t="s">
        <v>170</v>
      </c>
      <c r="C3381" s="76">
        <v>43975</v>
      </c>
      <c r="D3381">
        <v>31199</v>
      </c>
      <c r="E3381">
        <v>22700</v>
      </c>
      <c r="F3381">
        <v>39698</v>
      </c>
      <c r="G3381">
        <v>18799</v>
      </c>
      <c r="H3381">
        <v>62.4</v>
      </c>
      <c r="I3381">
        <v>58.5</v>
      </c>
      <c r="J3381">
        <v>66.3</v>
      </c>
      <c r="K3381">
        <v>6316</v>
      </c>
      <c r="L3381">
        <v>4426</v>
      </c>
      <c r="M3381">
        <v>8207</v>
      </c>
      <c r="N3381">
        <v>12.6</v>
      </c>
      <c r="O3381">
        <v>10.9</v>
      </c>
      <c r="P3381">
        <v>14.4</v>
      </c>
      <c r="Q3381">
        <f t="shared" si="104"/>
        <v>19299981</v>
      </c>
      <c r="R3381">
        <f t="shared" si="103"/>
        <v>32.725420817771784</v>
      </c>
      <c r="U3381">
        <v>4958</v>
      </c>
      <c r="V3381">
        <v>3239</v>
      </c>
      <c r="W3381">
        <v>6677</v>
      </c>
      <c r="X3381">
        <v>3876</v>
      </c>
      <c r="Y3381">
        <v>56.1</v>
      </c>
      <c r="Z3381">
        <v>49.9</v>
      </c>
      <c r="AA3381">
        <v>62.4</v>
      </c>
    </row>
    <row r="3382" spans="1:27" x14ac:dyDescent="0.25">
      <c r="A3382" t="s">
        <v>258</v>
      </c>
      <c r="B3382" t="s">
        <v>170</v>
      </c>
      <c r="C3382" s="76">
        <v>43976</v>
      </c>
      <c r="D3382">
        <v>33249</v>
      </c>
      <c r="E3382">
        <v>24012</v>
      </c>
      <c r="F3382">
        <v>42487</v>
      </c>
      <c r="G3382">
        <v>19059</v>
      </c>
      <c r="H3382">
        <v>63.6</v>
      </c>
      <c r="I3382">
        <v>59.7</v>
      </c>
      <c r="J3382">
        <v>67.5</v>
      </c>
      <c r="K3382">
        <v>6503</v>
      </c>
      <c r="L3382">
        <v>4550</v>
      </c>
      <c r="M3382">
        <v>8455</v>
      </c>
      <c r="N3382">
        <v>12.4</v>
      </c>
      <c r="O3382">
        <v>10.7</v>
      </c>
      <c r="P3382">
        <v>14.2</v>
      </c>
      <c r="Q3382">
        <f t="shared" si="104"/>
        <v>19299981</v>
      </c>
      <c r="R3382">
        <f t="shared" si="103"/>
        <v>33.694333688722281</v>
      </c>
      <c r="U3382">
        <v>5181</v>
      </c>
      <c r="V3382">
        <v>3356</v>
      </c>
      <c r="W3382">
        <v>7007</v>
      </c>
      <c r="X3382">
        <v>3938</v>
      </c>
      <c r="Y3382">
        <v>56.8</v>
      </c>
      <c r="Z3382">
        <v>50.8</v>
      </c>
      <c r="AA3382">
        <v>62.9</v>
      </c>
    </row>
    <row r="3383" spans="1:27" x14ac:dyDescent="0.25">
      <c r="A3383" t="s">
        <v>258</v>
      </c>
      <c r="B3383" t="s">
        <v>170</v>
      </c>
      <c r="C3383" s="76">
        <v>43977</v>
      </c>
      <c r="D3383">
        <v>34363</v>
      </c>
      <c r="E3383">
        <v>24089</v>
      </c>
      <c r="F3383">
        <v>44638</v>
      </c>
      <c r="G3383">
        <v>17871</v>
      </c>
      <c r="H3383">
        <v>65.8</v>
      </c>
      <c r="I3383">
        <v>61.7</v>
      </c>
      <c r="J3383">
        <v>69.8</v>
      </c>
      <c r="K3383">
        <v>6298</v>
      </c>
      <c r="L3383">
        <v>4156</v>
      </c>
      <c r="M3383">
        <v>8440</v>
      </c>
      <c r="N3383">
        <v>12.1</v>
      </c>
      <c r="O3383">
        <v>10</v>
      </c>
      <c r="P3383">
        <v>14.1</v>
      </c>
      <c r="Q3383">
        <f t="shared" si="104"/>
        <v>19299981</v>
      </c>
      <c r="R3383">
        <f t="shared" si="103"/>
        <v>32.632156477252487</v>
      </c>
      <c r="U3383">
        <v>5146</v>
      </c>
      <c r="V3383">
        <v>3150</v>
      </c>
      <c r="W3383">
        <v>7143</v>
      </c>
      <c r="X3383">
        <v>3741</v>
      </c>
      <c r="Y3383">
        <v>57.9</v>
      </c>
      <c r="Z3383">
        <v>51.4</v>
      </c>
      <c r="AA3383">
        <v>64.400000000000006</v>
      </c>
    </row>
    <row r="3384" spans="1:27" x14ac:dyDescent="0.25">
      <c r="A3384" t="s">
        <v>258</v>
      </c>
      <c r="B3384" t="s">
        <v>170</v>
      </c>
      <c r="C3384" s="76">
        <v>43978</v>
      </c>
      <c r="D3384">
        <v>36342</v>
      </c>
      <c r="E3384">
        <v>24965</v>
      </c>
      <c r="F3384">
        <v>47720</v>
      </c>
      <c r="G3384">
        <v>17404</v>
      </c>
      <c r="H3384">
        <v>67.599999999999994</v>
      </c>
      <c r="I3384">
        <v>63.4</v>
      </c>
      <c r="J3384">
        <v>71.8</v>
      </c>
      <c r="K3384">
        <v>6206</v>
      </c>
      <c r="L3384">
        <v>3987</v>
      </c>
      <c r="M3384">
        <v>8425</v>
      </c>
      <c r="N3384">
        <v>11.5</v>
      </c>
      <c r="O3384">
        <v>9.5</v>
      </c>
      <c r="P3384">
        <v>13.6</v>
      </c>
      <c r="Q3384">
        <f t="shared" si="104"/>
        <v>19299981</v>
      </c>
      <c r="R3384">
        <f t="shared" si="103"/>
        <v>32.155472070153856</v>
      </c>
      <c r="U3384">
        <v>5548</v>
      </c>
      <c r="V3384">
        <v>3309</v>
      </c>
      <c r="W3384">
        <v>7788</v>
      </c>
      <c r="X3384">
        <v>3858</v>
      </c>
      <c r="Y3384">
        <v>59</v>
      </c>
      <c r="Z3384">
        <v>52.1</v>
      </c>
      <c r="AA3384">
        <v>65.900000000000006</v>
      </c>
    </row>
    <row r="3385" spans="1:27" x14ac:dyDescent="0.25">
      <c r="A3385" t="s">
        <v>258</v>
      </c>
      <c r="B3385" t="s">
        <v>170</v>
      </c>
      <c r="C3385" s="76">
        <v>43979</v>
      </c>
      <c r="D3385">
        <v>36412</v>
      </c>
      <c r="E3385">
        <v>25138</v>
      </c>
      <c r="F3385">
        <v>47685</v>
      </c>
      <c r="G3385">
        <v>16986</v>
      </c>
      <c r="H3385">
        <v>68.2</v>
      </c>
      <c r="I3385">
        <v>64</v>
      </c>
      <c r="J3385">
        <v>72.400000000000006</v>
      </c>
      <c r="K3385">
        <v>5893</v>
      </c>
      <c r="L3385">
        <v>3818</v>
      </c>
      <c r="M3385">
        <v>7967</v>
      </c>
      <c r="N3385">
        <v>11</v>
      </c>
      <c r="O3385">
        <v>9.1999999999999993</v>
      </c>
      <c r="P3385">
        <v>12.9</v>
      </c>
      <c r="Q3385">
        <f t="shared" si="104"/>
        <v>19299981</v>
      </c>
      <c r="R3385">
        <f t="shared" si="103"/>
        <v>30.533708815568264</v>
      </c>
      <c r="U3385">
        <v>5523</v>
      </c>
      <c r="V3385">
        <v>3337</v>
      </c>
      <c r="W3385">
        <v>7709</v>
      </c>
      <c r="X3385">
        <v>3745</v>
      </c>
      <c r="Y3385">
        <v>59.6</v>
      </c>
      <c r="Z3385">
        <v>52.8</v>
      </c>
      <c r="AA3385">
        <v>66.400000000000006</v>
      </c>
    </row>
    <row r="3386" spans="1:27" x14ac:dyDescent="0.25">
      <c r="A3386" t="s">
        <v>258</v>
      </c>
      <c r="B3386" t="s">
        <v>170</v>
      </c>
      <c r="C3386" s="76">
        <v>43980</v>
      </c>
      <c r="D3386">
        <v>34479</v>
      </c>
      <c r="E3386">
        <v>23915</v>
      </c>
      <c r="F3386">
        <v>45043</v>
      </c>
      <c r="G3386">
        <v>15954</v>
      </c>
      <c r="H3386">
        <v>68.400000000000006</v>
      </c>
      <c r="I3386">
        <v>63.2</v>
      </c>
      <c r="J3386">
        <v>73.5</v>
      </c>
      <c r="K3386">
        <v>5269</v>
      </c>
      <c r="L3386">
        <v>3443</v>
      </c>
      <c r="M3386">
        <v>7095</v>
      </c>
      <c r="N3386">
        <v>10.4</v>
      </c>
      <c r="O3386">
        <v>8.6999999999999993</v>
      </c>
      <c r="P3386">
        <v>12.2</v>
      </c>
      <c r="Q3386">
        <f t="shared" si="104"/>
        <v>19299981</v>
      </c>
      <c r="R3386">
        <f t="shared" si="103"/>
        <v>27.300545010899235</v>
      </c>
      <c r="U3386">
        <v>4976</v>
      </c>
      <c r="V3386">
        <v>3052</v>
      </c>
      <c r="W3386">
        <v>6901</v>
      </c>
      <c r="X3386">
        <v>3767</v>
      </c>
      <c r="Y3386">
        <v>56.9</v>
      </c>
      <c r="Z3386">
        <v>50</v>
      </c>
      <c r="AA3386">
        <v>63.9</v>
      </c>
    </row>
    <row r="3387" spans="1:27" x14ac:dyDescent="0.25">
      <c r="A3387" t="s">
        <v>258</v>
      </c>
      <c r="B3387" t="s">
        <v>170</v>
      </c>
      <c r="C3387" s="76">
        <v>43981</v>
      </c>
      <c r="D3387">
        <v>33028</v>
      </c>
      <c r="E3387">
        <v>23380</v>
      </c>
      <c r="F3387">
        <v>42675</v>
      </c>
      <c r="G3387">
        <v>17170</v>
      </c>
      <c r="H3387">
        <v>65.8</v>
      </c>
      <c r="I3387">
        <v>61.7</v>
      </c>
      <c r="J3387">
        <v>69.900000000000006</v>
      </c>
      <c r="K3387">
        <v>5335</v>
      </c>
      <c r="L3387">
        <v>3544</v>
      </c>
      <c r="M3387">
        <v>7126</v>
      </c>
      <c r="N3387">
        <v>10.6</v>
      </c>
      <c r="O3387">
        <v>9</v>
      </c>
      <c r="P3387">
        <v>12.2</v>
      </c>
      <c r="Q3387">
        <f t="shared" si="104"/>
        <v>19299981</v>
      </c>
      <c r="R3387">
        <f t="shared" si="103"/>
        <v>27.642514259469994</v>
      </c>
      <c r="U3387">
        <v>4705</v>
      </c>
      <c r="V3387">
        <v>2940</v>
      </c>
      <c r="W3387">
        <v>6469</v>
      </c>
      <c r="X3387">
        <v>3827</v>
      </c>
      <c r="Y3387">
        <v>55.1</v>
      </c>
      <c r="Z3387">
        <v>48.3</v>
      </c>
      <c r="AA3387">
        <v>62</v>
      </c>
    </row>
    <row r="3388" spans="1:27" x14ac:dyDescent="0.25">
      <c r="A3388" t="s">
        <v>258</v>
      </c>
      <c r="B3388" t="s">
        <v>170</v>
      </c>
      <c r="C3388" s="76">
        <v>43982</v>
      </c>
      <c r="D3388">
        <v>33947</v>
      </c>
      <c r="E3388">
        <v>24042</v>
      </c>
      <c r="F3388">
        <v>43852</v>
      </c>
      <c r="G3388">
        <v>17954</v>
      </c>
      <c r="H3388">
        <v>65.400000000000006</v>
      </c>
      <c r="I3388">
        <v>61.4</v>
      </c>
      <c r="J3388">
        <v>69.400000000000006</v>
      </c>
      <c r="K3388">
        <v>5389</v>
      </c>
      <c r="L3388">
        <v>3608</v>
      </c>
      <c r="M3388">
        <v>7170</v>
      </c>
      <c r="N3388">
        <v>10.4</v>
      </c>
      <c r="O3388">
        <v>8.8000000000000007</v>
      </c>
      <c r="P3388">
        <v>12</v>
      </c>
      <c r="Q3388">
        <f t="shared" si="104"/>
        <v>19299981</v>
      </c>
      <c r="R3388">
        <f t="shared" si="103"/>
        <v>27.922307281027894</v>
      </c>
      <c r="U3388">
        <v>4955</v>
      </c>
      <c r="V3388">
        <v>3075</v>
      </c>
      <c r="W3388">
        <v>6834</v>
      </c>
      <c r="X3388">
        <v>3838</v>
      </c>
      <c r="Y3388">
        <v>56.4</v>
      </c>
      <c r="Z3388">
        <v>49.7</v>
      </c>
      <c r="AA3388">
        <v>63</v>
      </c>
    </row>
    <row r="3389" spans="1:27" x14ac:dyDescent="0.25">
      <c r="A3389" t="s">
        <v>258</v>
      </c>
      <c r="B3389" t="s">
        <v>170</v>
      </c>
      <c r="C3389" s="76">
        <v>43983</v>
      </c>
      <c r="D3389">
        <v>35232</v>
      </c>
      <c r="E3389">
        <v>24118</v>
      </c>
      <c r="F3389">
        <v>46346</v>
      </c>
      <c r="G3389">
        <v>17675</v>
      </c>
      <c r="H3389">
        <v>66.599999999999994</v>
      </c>
      <c r="I3389">
        <v>62.4</v>
      </c>
      <c r="J3389">
        <v>70.8</v>
      </c>
      <c r="K3389">
        <v>5492</v>
      </c>
      <c r="L3389">
        <v>3445</v>
      </c>
      <c r="M3389">
        <v>7539</v>
      </c>
      <c r="N3389">
        <v>10.4</v>
      </c>
      <c r="O3389">
        <v>8.3000000000000007</v>
      </c>
      <c r="P3389">
        <v>12.5</v>
      </c>
      <c r="Q3389">
        <f t="shared" si="104"/>
        <v>19299981</v>
      </c>
      <c r="R3389">
        <f t="shared" si="103"/>
        <v>28.455986562888327</v>
      </c>
      <c r="U3389">
        <v>5139</v>
      </c>
      <c r="V3389">
        <v>2989</v>
      </c>
      <c r="W3389">
        <v>7289</v>
      </c>
      <c r="X3389">
        <v>4060</v>
      </c>
      <c r="Y3389">
        <v>55.9</v>
      </c>
      <c r="Z3389">
        <v>48.4</v>
      </c>
      <c r="AA3389">
        <v>63.3</v>
      </c>
    </row>
    <row r="3390" spans="1:27" x14ac:dyDescent="0.25">
      <c r="A3390" t="s">
        <v>258</v>
      </c>
      <c r="B3390" t="s">
        <v>170</v>
      </c>
      <c r="C3390" s="76">
        <v>43984</v>
      </c>
      <c r="D3390">
        <v>36458</v>
      </c>
      <c r="E3390">
        <v>24870</v>
      </c>
      <c r="F3390">
        <v>48045</v>
      </c>
      <c r="G3390">
        <v>17391</v>
      </c>
      <c r="H3390">
        <v>67.7</v>
      </c>
      <c r="I3390">
        <v>63.5</v>
      </c>
      <c r="J3390">
        <v>71.900000000000006</v>
      </c>
      <c r="K3390">
        <v>5374</v>
      </c>
      <c r="L3390">
        <v>3381</v>
      </c>
      <c r="M3390">
        <v>7367</v>
      </c>
      <c r="N3390">
        <v>10</v>
      </c>
      <c r="O3390">
        <v>8</v>
      </c>
      <c r="P3390">
        <v>12</v>
      </c>
      <c r="Q3390">
        <f t="shared" si="104"/>
        <v>19299981</v>
      </c>
      <c r="R3390">
        <f t="shared" si="103"/>
        <v>27.844586997261807</v>
      </c>
      <c r="U3390">
        <v>5247</v>
      </c>
      <c r="V3390">
        <v>3008</v>
      </c>
      <c r="W3390">
        <v>7485</v>
      </c>
      <c r="X3390">
        <v>4126</v>
      </c>
      <c r="Y3390">
        <v>56</v>
      </c>
      <c r="Z3390">
        <v>48.2</v>
      </c>
      <c r="AA3390">
        <v>63.8</v>
      </c>
    </row>
    <row r="3391" spans="1:27" x14ac:dyDescent="0.25">
      <c r="A3391" t="s">
        <v>258</v>
      </c>
      <c r="B3391" t="s">
        <v>170</v>
      </c>
      <c r="C3391" s="76">
        <v>43985</v>
      </c>
      <c r="D3391">
        <v>37477</v>
      </c>
      <c r="E3391">
        <v>24736</v>
      </c>
      <c r="F3391">
        <v>50218</v>
      </c>
      <c r="G3391">
        <v>17376</v>
      </c>
      <c r="H3391">
        <v>68.3</v>
      </c>
      <c r="I3391">
        <v>63.9</v>
      </c>
      <c r="J3391">
        <v>72.7</v>
      </c>
      <c r="K3391">
        <v>5292</v>
      </c>
      <c r="L3391">
        <v>3254</v>
      </c>
      <c r="M3391">
        <v>7329</v>
      </c>
      <c r="N3391">
        <v>9.6</v>
      </c>
      <c r="O3391">
        <v>7.7</v>
      </c>
      <c r="P3391">
        <v>11.6</v>
      </c>
      <c r="Q3391">
        <f t="shared" si="104"/>
        <v>19299981</v>
      </c>
      <c r="R3391">
        <f t="shared" si="103"/>
        <v>27.419716112673889</v>
      </c>
      <c r="U3391">
        <v>5104</v>
      </c>
      <c r="V3391">
        <v>2774</v>
      </c>
      <c r="W3391">
        <v>7433</v>
      </c>
      <c r="X3391">
        <v>4074</v>
      </c>
      <c r="Y3391">
        <v>55.6</v>
      </c>
      <c r="Z3391">
        <v>47.1</v>
      </c>
      <c r="AA3391">
        <v>64.099999999999994</v>
      </c>
    </row>
    <row r="3392" spans="1:27" x14ac:dyDescent="0.25">
      <c r="A3392" t="s">
        <v>258</v>
      </c>
      <c r="B3392" t="s">
        <v>170</v>
      </c>
      <c r="C3392" s="76">
        <v>43986</v>
      </c>
      <c r="D3392">
        <v>36336</v>
      </c>
      <c r="E3392">
        <v>25110</v>
      </c>
      <c r="F3392">
        <v>47561</v>
      </c>
      <c r="G3392">
        <v>17487</v>
      </c>
      <c r="H3392">
        <v>67.5</v>
      </c>
      <c r="I3392">
        <v>63.9</v>
      </c>
      <c r="J3392">
        <v>71.099999999999994</v>
      </c>
      <c r="K3392">
        <v>5251</v>
      </c>
      <c r="L3392">
        <v>3315</v>
      </c>
      <c r="M3392">
        <v>7186</v>
      </c>
      <c r="N3392">
        <v>9.8000000000000007</v>
      </c>
      <c r="O3392">
        <v>7.8</v>
      </c>
      <c r="P3392">
        <v>11.7</v>
      </c>
      <c r="Q3392">
        <f t="shared" si="104"/>
        <v>19299981</v>
      </c>
      <c r="R3392">
        <f t="shared" si="103"/>
        <v>27.207280670379934</v>
      </c>
      <c r="U3392">
        <v>4921</v>
      </c>
      <c r="V3392">
        <v>2991</v>
      </c>
      <c r="W3392">
        <v>6851</v>
      </c>
      <c r="X3392">
        <v>3898</v>
      </c>
      <c r="Y3392">
        <v>55.8</v>
      </c>
      <c r="Z3392">
        <v>49.1</v>
      </c>
      <c r="AA3392">
        <v>62.5</v>
      </c>
    </row>
    <row r="3393" spans="1:27" x14ac:dyDescent="0.25">
      <c r="A3393" t="s">
        <v>258</v>
      </c>
      <c r="B3393" t="s">
        <v>170</v>
      </c>
      <c r="C3393" s="76">
        <v>43987</v>
      </c>
      <c r="D3393">
        <v>32991</v>
      </c>
      <c r="E3393">
        <v>23121</v>
      </c>
      <c r="F3393">
        <v>42862</v>
      </c>
      <c r="G3393">
        <v>17640</v>
      </c>
      <c r="H3393">
        <v>65.2</v>
      </c>
      <c r="I3393">
        <v>61.6</v>
      </c>
      <c r="J3393">
        <v>68.7</v>
      </c>
      <c r="K3393">
        <v>4750</v>
      </c>
      <c r="L3393">
        <v>3056</v>
      </c>
      <c r="M3393">
        <v>6443</v>
      </c>
      <c r="N3393">
        <v>9.4</v>
      </c>
      <c r="O3393">
        <v>7.6</v>
      </c>
      <c r="P3393">
        <v>11.1</v>
      </c>
      <c r="Q3393">
        <f t="shared" si="104"/>
        <v>19299981</v>
      </c>
      <c r="R3393">
        <f t="shared" si="103"/>
        <v>24.611423192592781</v>
      </c>
      <c r="U3393">
        <v>4461</v>
      </c>
      <c r="V3393">
        <v>2814</v>
      </c>
      <c r="W3393">
        <v>6108</v>
      </c>
      <c r="X3393">
        <v>4106</v>
      </c>
      <c r="Y3393">
        <v>52.1</v>
      </c>
      <c r="Z3393">
        <v>45.7</v>
      </c>
      <c r="AA3393">
        <v>58.5</v>
      </c>
    </row>
    <row r="3394" spans="1:27" x14ac:dyDescent="0.25">
      <c r="A3394" t="s">
        <v>258</v>
      </c>
      <c r="B3394" t="s">
        <v>170</v>
      </c>
      <c r="C3394" s="76">
        <v>43988</v>
      </c>
      <c r="D3394">
        <v>31774</v>
      </c>
      <c r="E3394">
        <v>22477</v>
      </c>
      <c r="F3394">
        <v>41071</v>
      </c>
      <c r="G3394">
        <v>18224</v>
      </c>
      <c r="H3394">
        <v>63.6</v>
      </c>
      <c r="I3394">
        <v>60</v>
      </c>
      <c r="J3394">
        <v>67.099999999999994</v>
      </c>
      <c r="K3394">
        <v>4509</v>
      </c>
      <c r="L3394">
        <v>2879</v>
      </c>
      <c r="M3394">
        <v>6139</v>
      </c>
      <c r="N3394">
        <v>9</v>
      </c>
      <c r="O3394">
        <v>7.2</v>
      </c>
      <c r="P3394">
        <v>10.8</v>
      </c>
      <c r="Q3394">
        <f t="shared" si="104"/>
        <v>19299981</v>
      </c>
      <c r="R3394">
        <f t="shared" si="103"/>
        <v>23.362717300084388</v>
      </c>
      <c r="U3394">
        <v>4473</v>
      </c>
      <c r="V3394">
        <v>2868</v>
      </c>
      <c r="W3394">
        <v>6079</v>
      </c>
      <c r="X3394">
        <v>3964</v>
      </c>
      <c r="Y3394">
        <v>53</v>
      </c>
      <c r="Z3394">
        <v>47.3</v>
      </c>
      <c r="AA3394">
        <v>58.7</v>
      </c>
    </row>
    <row r="3395" spans="1:27" x14ac:dyDescent="0.25">
      <c r="A3395" t="s">
        <v>258</v>
      </c>
      <c r="B3395" t="s">
        <v>170</v>
      </c>
      <c r="C3395" s="76">
        <v>43989</v>
      </c>
      <c r="D3395">
        <v>31334</v>
      </c>
      <c r="E3395">
        <v>22099</v>
      </c>
      <c r="F3395">
        <v>40569</v>
      </c>
      <c r="G3395">
        <v>18412</v>
      </c>
      <c r="H3395">
        <v>63</v>
      </c>
      <c r="I3395">
        <v>59.5</v>
      </c>
      <c r="J3395">
        <v>66.5</v>
      </c>
      <c r="K3395">
        <v>4276</v>
      </c>
      <c r="L3395">
        <v>2723</v>
      </c>
      <c r="M3395">
        <v>5830</v>
      </c>
      <c r="N3395">
        <v>8.6</v>
      </c>
      <c r="O3395">
        <v>6.9</v>
      </c>
      <c r="P3395">
        <v>10.3</v>
      </c>
      <c r="Q3395">
        <f t="shared" si="104"/>
        <v>19299981</v>
      </c>
      <c r="R3395">
        <f t="shared" si="103"/>
        <v>22.155462225584575</v>
      </c>
      <c r="U3395">
        <v>4511</v>
      </c>
      <c r="V3395">
        <v>2901</v>
      </c>
      <c r="W3395">
        <v>6121</v>
      </c>
      <c r="X3395">
        <v>4040</v>
      </c>
      <c r="Y3395">
        <v>52.8</v>
      </c>
      <c r="Z3395">
        <v>47</v>
      </c>
      <c r="AA3395">
        <v>58.5</v>
      </c>
    </row>
    <row r="3396" spans="1:27" x14ac:dyDescent="0.25">
      <c r="A3396" t="s">
        <v>258</v>
      </c>
      <c r="B3396" t="s">
        <v>170</v>
      </c>
      <c r="C3396" s="76">
        <v>43990</v>
      </c>
      <c r="D3396">
        <v>32748</v>
      </c>
      <c r="E3396">
        <v>22910</v>
      </c>
      <c r="F3396">
        <v>42586</v>
      </c>
      <c r="G3396">
        <v>17546</v>
      </c>
      <c r="H3396">
        <v>65.099999999999994</v>
      </c>
      <c r="I3396">
        <v>61</v>
      </c>
      <c r="J3396">
        <v>69.3</v>
      </c>
      <c r="K3396">
        <v>4275</v>
      </c>
      <c r="L3396">
        <v>2774</v>
      </c>
      <c r="M3396">
        <v>5776</v>
      </c>
      <c r="N3396">
        <v>8.5</v>
      </c>
      <c r="O3396">
        <v>7</v>
      </c>
      <c r="P3396">
        <v>10</v>
      </c>
      <c r="Q3396">
        <f t="shared" si="104"/>
        <v>19299981</v>
      </c>
      <c r="R3396">
        <f t="shared" si="103"/>
        <v>22.1502808733335</v>
      </c>
      <c r="U3396">
        <v>4463</v>
      </c>
      <c r="V3396">
        <v>2895</v>
      </c>
      <c r="W3396">
        <v>6030</v>
      </c>
      <c r="X3396">
        <v>4028</v>
      </c>
      <c r="Y3396">
        <v>52.6</v>
      </c>
      <c r="Z3396">
        <v>47.1</v>
      </c>
      <c r="AA3396">
        <v>58</v>
      </c>
    </row>
    <row r="3397" spans="1:27" x14ac:dyDescent="0.25">
      <c r="A3397" t="s">
        <v>258</v>
      </c>
      <c r="B3397" t="s">
        <v>170</v>
      </c>
      <c r="C3397" s="76">
        <v>43991</v>
      </c>
      <c r="D3397">
        <v>32913</v>
      </c>
      <c r="E3397">
        <v>23482</v>
      </c>
      <c r="F3397">
        <v>42345</v>
      </c>
      <c r="G3397">
        <v>16745</v>
      </c>
      <c r="H3397">
        <v>66.3</v>
      </c>
      <c r="I3397">
        <v>62.5</v>
      </c>
      <c r="J3397">
        <v>70</v>
      </c>
      <c r="K3397">
        <v>4166</v>
      </c>
      <c r="L3397">
        <v>2716</v>
      </c>
      <c r="M3397">
        <v>5616</v>
      </c>
      <c r="N3397">
        <v>8.4</v>
      </c>
      <c r="O3397">
        <v>6.8</v>
      </c>
      <c r="P3397">
        <v>9.9</v>
      </c>
      <c r="Q3397">
        <f t="shared" si="104"/>
        <v>19299981</v>
      </c>
      <c r="R3397">
        <f t="shared" ref="R3397:R3460" si="105">K3397/(Q3397)*100000</f>
        <v>21.585513477966636</v>
      </c>
      <c r="U3397">
        <v>4464</v>
      </c>
      <c r="V3397">
        <v>2925</v>
      </c>
      <c r="W3397">
        <v>6003</v>
      </c>
      <c r="X3397">
        <v>3889</v>
      </c>
      <c r="Y3397">
        <v>53.4</v>
      </c>
      <c r="Z3397">
        <v>47.8</v>
      </c>
      <c r="AA3397">
        <v>59.1</v>
      </c>
    </row>
    <row r="3398" spans="1:27" x14ac:dyDescent="0.25">
      <c r="A3398" t="s">
        <v>258</v>
      </c>
      <c r="B3398" t="s">
        <v>170</v>
      </c>
      <c r="C3398" s="76">
        <v>43992</v>
      </c>
      <c r="D3398">
        <v>37142</v>
      </c>
      <c r="E3398">
        <v>24943</v>
      </c>
      <c r="F3398">
        <v>49341</v>
      </c>
      <c r="G3398">
        <v>17427</v>
      </c>
      <c r="H3398">
        <v>68.099999999999994</v>
      </c>
      <c r="I3398">
        <v>63.6</v>
      </c>
      <c r="J3398">
        <v>72.5</v>
      </c>
      <c r="K3398">
        <v>4146</v>
      </c>
      <c r="L3398">
        <v>2544</v>
      </c>
      <c r="M3398">
        <v>5747</v>
      </c>
      <c r="N3398">
        <v>7.6</v>
      </c>
      <c r="O3398">
        <v>6</v>
      </c>
      <c r="P3398">
        <v>9.1999999999999993</v>
      </c>
      <c r="Q3398">
        <f t="shared" si="104"/>
        <v>19299981</v>
      </c>
      <c r="R3398">
        <f t="shared" si="105"/>
        <v>21.481886432945192</v>
      </c>
      <c r="U3398">
        <v>5084</v>
      </c>
      <c r="V3398">
        <v>3001</v>
      </c>
      <c r="W3398">
        <v>7166</v>
      </c>
      <c r="X3398">
        <v>4192</v>
      </c>
      <c r="Y3398">
        <v>54.8</v>
      </c>
      <c r="Z3398">
        <v>47.6</v>
      </c>
      <c r="AA3398">
        <v>62</v>
      </c>
    </row>
    <row r="3399" spans="1:27" x14ac:dyDescent="0.25">
      <c r="A3399" t="s">
        <v>258</v>
      </c>
      <c r="B3399" t="s">
        <v>170</v>
      </c>
      <c r="C3399" s="76">
        <v>43993</v>
      </c>
      <c r="D3399">
        <v>34449</v>
      </c>
      <c r="E3399">
        <v>24065</v>
      </c>
      <c r="F3399">
        <v>44833</v>
      </c>
      <c r="G3399">
        <v>17025</v>
      </c>
      <c r="H3399">
        <v>66.900000000000006</v>
      </c>
      <c r="I3399">
        <v>62.7</v>
      </c>
      <c r="J3399">
        <v>71.2</v>
      </c>
      <c r="K3399">
        <v>4002</v>
      </c>
      <c r="L3399">
        <v>2567</v>
      </c>
      <c r="M3399">
        <v>5437</v>
      </c>
      <c r="N3399">
        <v>7.8</v>
      </c>
      <c r="O3399">
        <v>6.3</v>
      </c>
      <c r="P3399">
        <v>9.1999999999999993</v>
      </c>
      <c r="Q3399">
        <f t="shared" si="104"/>
        <v>19299981</v>
      </c>
      <c r="R3399">
        <f t="shared" si="105"/>
        <v>20.7357717087908</v>
      </c>
      <c r="U3399">
        <v>4526</v>
      </c>
      <c r="V3399">
        <v>2908</v>
      </c>
      <c r="W3399">
        <v>6144</v>
      </c>
      <c r="X3399">
        <v>4025</v>
      </c>
      <c r="Y3399">
        <v>52.9</v>
      </c>
      <c r="Z3399">
        <v>47.2</v>
      </c>
      <c r="AA3399">
        <v>58.6</v>
      </c>
    </row>
    <row r="3400" spans="1:27" x14ac:dyDescent="0.25">
      <c r="A3400" t="s">
        <v>258</v>
      </c>
      <c r="B3400" t="s">
        <v>170</v>
      </c>
      <c r="C3400" s="76">
        <v>43994</v>
      </c>
      <c r="D3400">
        <v>34325</v>
      </c>
      <c r="E3400">
        <v>24220</v>
      </c>
      <c r="F3400">
        <v>44430</v>
      </c>
      <c r="G3400">
        <v>16672</v>
      </c>
      <c r="H3400">
        <v>67.3</v>
      </c>
      <c r="I3400">
        <v>63.5</v>
      </c>
      <c r="J3400">
        <v>71.099999999999994</v>
      </c>
      <c r="K3400">
        <v>3693</v>
      </c>
      <c r="L3400">
        <v>2369</v>
      </c>
      <c r="M3400">
        <v>5017</v>
      </c>
      <c r="N3400">
        <v>7.2</v>
      </c>
      <c r="O3400">
        <v>5.9</v>
      </c>
      <c r="P3400">
        <v>8.6</v>
      </c>
      <c r="Q3400">
        <f t="shared" si="104"/>
        <v>19299981</v>
      </c>
      <c r="R3400">
        <f t="shared" si="105"/>
        <v>19.134733863209501</v>
      </c>
      <c r="U3400">
        <v>4455</v>
      </c>
      <c r="V3400">
        <v>2894</v>
      </c>
      <c r="W3400">
        <v>6015</v>
      </c>
      <c r="X3400">
        <v>4160</v>
      </c>
      <c r="Y3400">
        <v>51.7</v>
      </c>
      <c r="Z3400">
        <v>46</v>
      </c>
      <c r="AA3400">
        <v>57.4</v>
      </c>
    </row>
    <row r="3401" spans="1:27" x14ac:dyDescent="0.25">
      <c r="A3401" t="s">
        <v>258</v>
      </c>
      <c r="B3401" t="s">
        <v>170</v>
      </c>
      <c r="C3401" s="76">
        <v>43995</v>
      </c>
      <c r="D3401">
        <v>33306</v>
      </c>
      <c r="E3401">
        <v>23410</v>
      </c>
      <c r="F3401">
        <v>43202</v>
      </c>
      <c r="G3401">
        <v>17411</v>
      </c>
      <c r="H3401">
        <v>65.7</v>
      </c>
      <c r="I3401">
        <v>61.8</v>
      </c>
      <c r="J3401">
        <v>69.5</v>
      </c>
      <c r="K3401">
        <v>3626</v>
      </c>
      <c r="L3401">
        <v>2321</v>
      </c>
      <c r="M3401">
        <v>4931</v>
      </c>
      <c r="N3401">
        <v>7.1</v>
      </c>
      <c r="O3401">
        <v>5.8</v>
      </c>
      <c r="P3401">
        <v>8.5</v>
      </c>
      <c r="Q3401">
        <f t="shared" si="104"/>
        <v>19299981</v>
      </c>
      <c r="R3401">
        <f t="shared" si="105"/>
        <v>18.787583262387667</v>
      </c>
      <c r="U3401">
        <v>4433</v>
      </c>
      <c r="V3401">
        <v>2878</v>
      </c>
      <c r="W3401">
        <v>5988</v>
      </c>
      <c r="X3401">
        <v>4164</v>
      </c>
      <c r="Y3401">
        <v>51.6</v>
      </c>
      <c r="Z3401">
        <v>45.9</v>
      </c>
      <c r="AA3401">
        <v>57.2</v>
      </c>
    </row>
    <row r="3402" spans="1:27" x14ac:dyDescent="0.25">
      <c r="A3402" t="s">
        <v>258</v>
      </c>
      <c r="B3402" t="s">
        <v>170</v>
      </c>
      <c r="C3402" s="76">
        <v>43996</v>
      </c>
      <c r="D3402">
        <v>32011</v>
      </c>
      <c r="E3402">
        <v>22393</v>
      </c>
      <c r="F3402">
        <v>41630</v>
      </c>
      <c r="G3402">
        <v>18719</v>
      </c>
      <c r="H3402">
        <v>63.1</v>
      </c>
      <c r="I3402">
        <v>59</v>
      </c>
      <c r="J3402">
        <v>67.2</v>
      </c>
      <c r="K3402">
        <v>3348</v>
      </c>
      <c r="L3402">
        <v>2147</v>
      </c>
      <c r="M3402">
        <v>4549</v>
      </c>
      <c r="N3402">
        <v>6.6</v>
      </c>
      <c r="O3402">
        <v>5.4</v>
      </c>
      <c r="P3402">
        <v>7.8</v>
      </c>
      <c r="Q3402">
        <f t="shared" si="104"/>
        <v>19299981</v>
      </c>
      <c r="R3402">
        <f t="shared" si="105"/>
        <v>17.347167336589603</v>
      </c>
      <c r="U3402">
        <v>4371</v>
      </c>
      <c r="V3402">
        <v>2824</v>
      </c>
      <c r="W3402">
        <v>5917</v>
      </c>
      <c r="X3402">
        <v>4185</v>
      </c>
      <c r="Y3402">
        <v>51.1</v>
      </c>
      <c r="Z3402">
        <v>45</v>
      </c>
      <c r="AA3402">
        <v>57.2</v>
      </c>
    </row>
    <row r="3403" spans="1:27" x14ac:dyDescent="0.25">
      <c r="A3403" t="s">
        <v>258</v>
      </c>
      <c r="B3403" t="s">
        <v>170</v>
      </c>
      <c r="C3403" s="76">
        <v>43997</v>
      </c>
      <c r="D3403">
        <v>33285</v>
      </c>
      <c r="E3403">
        <v>23437</v>
      </c>
      <c r="F3403">
        <v>43133</v>
      </c>
      <c r="G3403">
        <v>17451</v>
      </c>
      <c r="H3403">
        <v>65.599999999999994</v>
      </c>
      <c r="I3403">
        <v>61.7</v>
      </c>
      <c r="J3403">
        <v>69.5</v>
      </c>
      <c r="K3403">
        <v>3595</v>
      </c>
      <c r="L3403">
        <v>2287</v>
      </c>
      <c r="M3403">
        <v>4903</v>
      </c>
      <c r="N3403">
        <v>7.1</v>
      </c>
      <c r="O3403">
        <v>5.7</v>
      </c>
      <c r="P3403">
        <v>8.5</v>
      </c>
      <c r="Q3403">
        <f t="shared" si="104"/>
        <v>19299981</v>
      </c>
      <c r="R3403">
        <f t="shared" si="105"/>
        <v>18.626961342604432</v>
      </c>
      <c r="U3403">
        <v>4358</v>
      </c>
      <c r="V3403">
        <v>2825</v>
      </c>
      <c r="W3403">
        <v>5890</v>
      </c>
      <c r="X3403">
        <v>4184</v>
      </c>
      <c r="Y3403">
        <v>51</v>
      </c>
      <c r="Z3403">
        <v>45.1</v>
      </c>
      <c r="AA3403">
        <v>57</v>
      </c>
    </row>
    <row r="3404" spans="1:27" x14ac:dyDescent="0.25">
      <c r="A3404" t="s">
        <v>258</v>
      </c>
      <c r="B3404" t="s">
        <v>170</v>
      </c>
      <c r="C3404" s="76">
        <v>43998</v>
      </c>
      <c r="D3404">
        <v>35899</v>
      </c>
      <c r="E3404">
        <v>25407</v>
      </c>
      <c r="F3404">
        <v>46391</v>
      </c>
      <c r="G3404">
        <v>17596</v>
      </c>
      <c r="H3404">
        <v>67.099999999999994</v>
      </c>
      <c r="I3404">
        <v>63.5</v>
      </c>
      <c r="J3404">
        <v>70.7</v>
      </c>
      <c r="K3404">
        <v>3539</v>
      </c>
      <c r="L3404">
        <v>2286</v>
      </c>
      <c r="M3404">
        <v>4791</v>
      </c>
      <c r="N3404">
        <v>6.6</v>
      </c>
      <c r="O3404">
        <v>5.3</v>
      </c>
      <c r="P3404">
        <v>7.9</v>
      </c>
      <c r="Q3404">
        <f t="shared" si="104"/>
        <v>19299981</v>
      </c>
      <c r="R3404">
        <f t="shared" si="105"/>
        <v>18.336805616544389</v>
      </c>
      <c r="U3404">
        <v>4820</v>
      </c>
      <c r="V3404">
        <v>3053</v>
      </c>
      <c r="W3404">
        <v>6586</v>
      </c>
      <c r="X3404">
        <v>3966</v>
      </c>
      <c r="Y3404">
        <v>54.9</v>
      </c>
      <c r="Z3404">
        <v>48.7</v>
      </c>
      <c r="AA3404">
        <v>61</v>
      </c>
    </row>
    <row r="3405" spans="1:27" x14ac:dyDescent="0.25">
      <c r="A3405" t="s">
        <v>258</v>
      </c>
      <c r="B3405" t="s">
        <v>170</v>
      </c>
      <c r="C3405" s="76">
        <v>43999</v>
      </c>
      <c r="D3405">
        <v>37927</v>
      </c>
      <c r="E3405">
        <v>25058</v>
      </c>
      <c r="F3405">
        <v>50797</v>
      </c>
      <c r="G3405">
        <v>16539</v>
      </c>
      <c r="H3405">
        <v>69.599999999999994</v>
      </c>
      <c r="I3405">
        <v>65.2</v>
      </c>
      <c r="J3405">
        <v>74</v>
      </c>
      <c r="K3405">
        <v>3590</v>
      </c>
      <c r="L3405">
        <v>2109</v>
      </c>
      <c r="M3405">
        <v>5072</v>
      </c>
      <c r="N3405">
        <v>6.6</v>
      </c>
      <c r="O3405">
        <v>5.0999999999999996</v>
      </c>
      <c r="P3405">
        <v>8.1</v>
      </c>
      <c r="Q3405">
        <f t="shared" si="104"/>
        <v>19299981</v>
      </c>
      <c r="R3405">
        <f t="shared" si="105"/>
        <v>18.601054581349068</v>
      </c>
      <c r="U3405">
        <v>4543</v>
      </c>
      <c r="V3405">
        <v>2581</v>
      </c>
      <c r="W3405">
        <v>6506</v>
      </c>
      <c r="X3405">
        <v>3949</v>
      </c>
      <c r="Y3405">
        <v>53.5</v>
      </c>
      <c r="Z3405">
        <v>45.8</v>
      </c>
      <c r="AA3405">
        <v>61.2</v>
      </c>
    </row>
    <row r="3406" spans="1:27" x14ac:dyDescent="0.25">
      <c r="A3406" t="s">
        <v>258</v>
      </c>
      <c r="B3406" t="s">
        <v>170</v>
      </c>
      <c r="C3406" s="76">
        <v>44000</v>
      </c>
      <c r="D3406">
        <v>33818</v>
      </c>
      <c r="E3406">
        <v>23761</v>
      </c>
      <c r="F3406">
        <v>43876</v>
      </c>
      <c r="G3406">
        <v>16756</v>
      </c>
      <c r="H3406">
        <v>66.900000000000006</v>
      </c>
      <c r="I3406">
        <v>63.5</v>
      </c>
      <c r="J3406">
        <v>70.2</v>
      </c>
      <c r="K3406">
        <v>3082</v>
      </c>
      <c r="L3406">
        <v>1889</v>
      </c>
      <c r="M3406">
        <v>4275</v>
      </c>
      <c r="N3406">
        <v>6.1</v>
      </c>
      <c r="O3406">
        <v>4.7</v>
      </c>
      <c r="P3406">
        <v>7.5</v>
      </c>
      <c r="Q3406">
        <f t="shared" si="104"/>
        <v>19299981</v>
      </c>
      <c r="R3406">
        <f t="shared" si="105"/>
        <v>15.968927637804409</v>
      </c>
      <c r="U3406">
        <v>4335</v>
      </c>
      <c r="V3406">
        <v>2781</v>
      </c>
      <c r="W3406">
        <v>5888</v>
      </c>
      <c r="X3406">
        <v>3985</v>
      </c>
      <c r="Y3406">
        <v>52.1</v>
      </c>
      <c r="Z3406">
        <v>46.1</v>
      </c>
      <c r="AA3406">
        <v>58.1</v>
      </c>
    </row>
    <row r="3407" spans="1:27" x14ac:dyDescent="0.25">
      <c r="A3407" t="s">
        <v>258</v>
      </c>
      <c r="B3407" t="s">
        <v>170</v>
      </c>
      <c r="C3407" s="76">
        <v>44001</v>
      </c>
      <c r="D3407">
        <v>34177</v>
      </c>
      <c r="E3407">
        <v>24056</v>
      </c>
      <c r="F3407">
        <v>44298</v>
      </c>
      <c r="G3407">
        <v>17129</v>
      </c>
      <c r="H3407">
        <v>66.599999999999994</v>
      </c>
      <c r="I3407">
        <v>63.3</v>
      </c>
      <c r="J3407">
        <v>70</v>
      </c>
      <c r="K3407">
        <v>3044</v>
      </c>
      <c r="L3407">
        <v>1903</v>
      </c>
      <c r="M3407">
        <v>4185</v>
      </c>
      <c r="N3407">
        <v>5.9</v>
      </c>
      <c r="O3407">
        <v>4.7</v>
      </c>
      <c r="P3407">
        <v>7.1</v>
      </c>
      <c r="Q3407">
        <f t="shared" si="104"/>
        <v>19299981</v>
      </c>
      <c r="R3407">
        <f t="shared" si="105"/>
        <v>15.772036252263666</v>
      </c>
      <c r="U3407">
        <v>4365</v>
      </c>
      <c r="V3407">
        <v>2824</v>
      </c>
      <c r="W3407">
        <v>5906</v>
      </c>
      <c r="X3407">
        <v>3980</v>
      </c>
      <c r="Y3407">
        <v>52.3</v>
      </c>
      <c r="Z3407">
        <v>46.5</v>
      </c>
      <c r="AA3407">
        <v>58.1</v>
      </c>
    </row>
    <row r="3408" spans="1:27" x14ac:dyDescent="0.25">
      <c r="A3408" t="s">
        <v>258</v>
      </c>
      <c r="B3408" t="s">
        <v>170</v>
      </c>
      <c r="C3408" s="76">
        <v>44002</v>
      </c>
      <c r="D3408">
        <v>32249</v>
      </c>
      <c r="E3408">
        <v>22223</v>
      </c>
      <c r="F3408">
        <v>42275</v>
      </c>
      <c r="G3408">
        <v>18561</v>
      </c>
      <c r="H3408">
        <v>63.5</v>
      </c>
      <c r="I3408">
        <v>59.8</v>
      </c>
      <c r="J3408">
        <v>67.099999999999994</v>
      </c>
      <c r="K3408">
        <v>2969</v>
      </c>
      <c r="L3408">
        <v>1843</v>
      </c>
      <c r="M3408">
        <v>4096</v>
      </c>
      <c r="N3408">
        <v>5.8</v>
      </c>
      <c r="O3408">
        <v>4.5999999999999996</v>
      </c>
      <c r="P3408">
        <v>7.1</v>
      </c>
      <c r="Q3408">
        <f t="shared" si="104"/>
        <v>19299981</v>
      </c>
      <c r="R3408">
        <f t="shared" si="105"/>
        <v>15.383434833433256</v>
      </c>
      <c r="U3408">
        <v>4289</v>
      </c>
      <c r="V3408">
        <v>2675</v>
      </c>
      <c r="W3408">
        <v>5902</v>
      </c>
      <c r="X3408">
        <v>4050</v>
      </c>
      <c r="Y3408">
        <v>51.4</v>
      </c>
      <c r="Z3408">
        <v>45.1</v>
      </c>
      <c r="AA3408">
        <v>57.7</v>
      </c>
    </row>
    <row r="3409" spans="1:27" x14ac:dyDescent="0.25">
      <c r="A3409" t="s">
        <v>258</v>
      </c>
      <c r="B3409" t="s">
        <v>170</v>
      </c>
      <c r="C3409" s="76">
        <v>44003</v>
      </c>
      <c r="D3409">
        <v>28597</v>
      </c>
      <c r="E3409">
        <v>18967</v>
      </c>
      <c r="F3409">
        <v>38226</v>
      </c>
      <c r="G3409">
        <v>18533</v>
      </c>
      <c r="H3409">
        <v>60.7</v>
      </c>
      <c r="I3409">
        <v>56.5</v>
      </c>
      <c r="J3409">
        <v>64.900000000000006</v>
      </c>
      <c r="K3409">
        <v>2500</v>
      </c>
      <c r="L3409">
        <v>1494</v>
      </c>
      <c r="M3409">
        <v>3505</v>
      </c>
      <c r="N3409">
        <v>5.3</v>
      </c>
      <c r="O3409">
        <v>4.0999999999999996</v>
      </c>
      <c r="P3409">
        <v>6.5</v>
      </c>
      <c r="Q3409">
        <f t="shared" si="104"/>
        <v>19299981</v>
      </c>
      <c r="R3409">
        <f t="shared" si="105"/>
        <v>12.953380627680412</v>
      </c>
      <c r="U3409">
        <v>3646</v>
      </c>
      <c r="V3409">
        <v>2105</v>
      </c>
      <c r="W3409">
        <v>5186</v>
      </c>
      <c r="X3409">
        <v>4389</v>
      </c>
      <c r="Y3409">
        <v>45.4</v>
      </c>
      <c r="Z3409">
        <v>39.1</v>
      </c>
      <c r="AA3409">
        <v>51.6</v>
      </c>
    </row>
    <row r="3410" spans="1:27" x14ac:dyDescent="0.25">
      <c r="A3410" t="s">
        <v>258</v>
      </c>
      <c r="B3410" t="s">
        <v>170</v>
      </c>
      <c r="C3410" s="76">
        <v>44004</v>
      </c>
      <c r="D3410">
        <v>30196</v>
      </c>
      <c r="E3410">
        <v>20343</v>
      </c>
      <c r="F3410">
        <v>40048</v>
      </c>
      <c r="G3410">
        <v>17930</v>
      </c>
      <c r="H3410">
        <v>62.7</v>
      </c>
      <c r="I3410">
        <v>58.8</v>
      </c>
      <c r="J3410">
        <v>66.599999999999994</v>
      </c>
      <c r="K3410">
        <v>2336</v>
      </c>
      <c r="L3410">
        <v>1448</v>
      </c>
      <c r="M3410">
        <v>3223</v>
      </c>
      <c r="N3410">
        <v>4.9000000000000004</v>
      </c>
      <c r="O3410">
        <v>3.7</v>
      </c>
      <c r="P3410">
        <v>6</v>
      </c>
      <c r="Q3410">
        <f t="shared" si="104"/>
        <v>19299981</v>
      </c>
      <c r="R3410">
        <f t="shared" si="105"/>
        <v>12.103638858504576</v>
      </c>
      <c r="U3410">
        <v>4014</v>
      </c>
      <c r="V3410">
        <v>2453</v>
      </c>
      <c r="W3410">
        <v>5575</v>
      </c>
      <c r="X3410">
        <v>3898</v>
      </c>
      <c r="Y3410">
        <v>50.7</v>
      </c>
      <c r="Z3410">
        <v>45.4</v>
      </c>
      <c r="AA3410">
        <v>56.1</v>
      </c>
    </row>
    <row r="3411" spans="1:27" x14ac:dyDescent="0.25">
      <c r="A3411" t="s">
        <v>258</v>
      </c>
      <c r="B3411" t="s">
        <v>170</v>
      </c>
      <c r="C3411" s="76">
        <v>44005</v>
      </c>
      <c r="D3411">
        <v>35798</v>
      </c>
      <c r="E3411">
        <v>24688</v>
      </c>
      <c r="F3411">
        <v>46907</v>
      </c>
      <c r="G3411">
        <v>16677</v>
      </c>
      <c r="H3411">
        <v>68.2</v>
      </c>
      <c r="I3411">
        <v>64.7</v>
      </c>
      <c r="J3411">
        <v>71.8</v>
      </c>
      <c r="K3411">
        <v>3156</v>
      </c>
      <c r="L3411">
        <v>1921</v>
      </c>
      <c r="M3411">
        <v>4390</v>
      </c>
      <c r="N3411">
        <v>6</v>
      </c>
      <c r="O3411">
        <v>4.7</v>
      </c>
      <c r="P3411">
        <v>7.4</v>
      </c>
      <c r="Q3411">
        <f t="shared" si="104"/>
        <v>19299981</v>
      </c>
      <c r="R3411">
        <f t="shared" si="105"/>
        <v>16.35234770438375</v>
      </c>
      <c r="U3411">
        <v>4400</v>
      </c>
      <c r="V3411">
        <v>2774</v>
      </c>
      <c r="W3411">
        <v>6026</v>
      </c>
      <c r="X3411">
        <v>3946</v>
      </c>
      <c r="Y3411">
        <v>52.7</v>
      </c>
      <c r="Z3411">
        <v>47.3</v>
      </c>
      <c r="AA3411">
        <v>58.2</v>
      </c>
    </row>
    <row r="3412" spans="1:27" x14ac:dyDescent="0.25">
      <c r="A3412" t="s">
        <v>258</v>
      </c>
      <c r="B3412" t="s">
        <v>170</v>
      </c>
      <c r="C3412" s="76">
        <v>44006</v>
      </c>
      <c r="D3412">
        <v>39603</v>
      </c>
      <c r="E3412">
        <v>26128</v>
      </c>
      <c r="F3412">
        <v>53078</v>
      </c>
      <c r="G3412">
        <v>16588</v>
      </c>
      <c r="H3412">
        <v>70.5</v>
      </c>
      <c r="I3412">
        <v>66.7</v>
      </c>
      <c r="J3412">
        <v>74.3</v>
      </c>
      <c r="K3412">
        <v>3499</v>
      </c>
      <c r="L3412">
        <v>1962</v>
      </c>
      <c r="M3412">
        <v>5036</v>
      </c>
      <c r="N3412">
        <v>6.2</v>
      </c>
      <c r="O3412">
        <v>4.5</v>
      </c>
      <c r="P3412">
        <v>8</v>
      </c>
      <c r="Q3412">
        <f t="shared" si="104"/>
        <v>19299981</v>
      </c>
      <c r="R3412">
        <f t="shared" si="105"/>
        <v>18.129551526501501</v>
      </c>
      <c r="U3412">
        <v>4914</v>
      </c>
      <c r="V3412">
        <v>2822</v>
      </c>
      <c r="W3412">
        <v>7007</v>
      </c>
      <c r="X3412">
        <v>4000</v>
      </c>
      <c r="Y3412">
        <v>55.1</v>
      </c>
      <c r="Z3412">
        <v>48.1</v>
      </c>
      <c r="AA3412">
        <v>62.2</v>
      </c>
    </row>
    <row r="3413" spans="1:27" x14ac:dyDescent="0.25">
      <c r="A3413" t="s">
        <v>258</v>
      </c>
      <c r="B3413" t="s">
        <v>170</v>
      </c>
      <c r="C3413" s="76">
        <v>44007</v>
      </c>
      <c r="D3413">
        <v>36883</v>
      </c>
      <c r="E3413">
        <v>24869</v>
      </c>
      <c r="F3413">
        <v>48898</v>
      </c>
      <c r="G3413">
        <v>15940</v>
      </c>
      <c r="H3413">
        <v>69.8</v>
      </c>
      <c r="I3413">
        <v>66.400000000000006</v>
      </c>
      <c r="J3413">
        <v>73.3</v>
      </c>
      <c r="K3413">
        <v>3090</v>
      </c>
      <c r="L3413">
        <v>1782</v>
      </c>
      <c r="M3413">
        <v>4398</v>
      </c>
      <c r="N3413">
        <v>5.8</v>
      </c>
      <c r="O3413">
        <v>4.3</v>
      </c>
      <c r="P3413">
        <v>7.4</v>
      </c>
      <c r="Q3413">
        <f t="shared" si="104"/>
        <v>19299981</v>
      </c>
      <c r="R3413">
        <f t="shared" si="105"/>
        <v>16.010378455812987</v>
      </c>
      <c r="U3413">
        <v>4699</v>
      </c>
      <c r="V3413">
        <v>2774</v>
      </c>
      <c r="W3413">
        <v>6625</v>
      </c>
      <c r="X3413">
        <v>3974</v>
      </c>
      <c r="Y3413">
        <v>54.2</v>
      </c>
      <c r="Z3413">
        <v>47.4</v>
      </c>
      <c r="AA3413">
        <v>60.9</v>
      </c>
    </row>
    <row r="3414" spans="1:27" x14ac:dyDescent="0.25">
      <c r="A3414" t="s">
        <v>258</v>
      </c>
      <c r="B3414" t="s">
        <v>170</v>
      </c>
      <c r="C3414" s="76">
        <v>44008</v>
      </c>
      <c r="D3414">
        <v>32364</v>
      </c>
      <c r="E3414">
        <v>21333</v>
      </c>
      <c r="F3414">
        <v>43396</v>
      </c>
      <c r="G3414">
        <v>15466</v>
      </c>
      <c r="H3414">
        <v>67.7</v>
      </c>
      <c r="I3414">
        <v>63.6</v>
      </c>
      <c r="J3414">
        <v>71.7</v>
      </c>
      <c r="K3414">
        <v>2067</v>
      </c>
      <c r="L3414">
        <v>1227</v>
      </c>
      <c r="M3414">
        <v>2907</v>
      </c>
      <c r="N3414">
        <v>4.3</v>
      </c>
      <c r="O3414">
        <v>3.2</v>
      </c>
      <c r="P3414">
        <v>5.5</v>
      </c>
      <c r="Q3414">
        <f t="shared" si="104"/>
        <v>19299981</v>
      </c>
      <c r="R3414">
        <f t="shared" si="105"/>
        <v>10.709855102966163</v>
      </c>
      <c r="U3414">
        <v>4363</v>
      </c>
      <c r="V3414">
        <v>2476</v>
      </c>
      <c r="W3414">
        <v>6250</v>
      </c>
      <c r="X3414">
        <v>4284</v>
      </c>
      <c r="Y3414">
        <v>50.5</v>
      </c>
      <c r="Z3414">
        <v>43.6</v>
      </c>
      <c r="AA3414">
        <v>57.3</v>
      </c>
    </row>
    <row r="3415" spans="1:27" x14ac:dyDescent="0.25">
      <c r="A3415" t="s">
        <v>258</v>
      </c>
      <c r="B3415" t="s">
        <v>170</v>
      </c>
      <c r="C3415" s="76">
        <v>44009</v>
      </c>
      <c r="D3415">
        <v>31396</v>
      </c>
      <c r="E3415">
        <v>20767</v>
      </c>
      <c r="F3415">
        <v>42025</v>
      </c>
      <c r="G3415">
        <v>17375</v>
      </c>
      <c r="H3415">
        <v>64.400000000000006</v>
      </c>
      <c r="I3415">
        <v>60.4</v>
      </c>
      <c r="J3415">
        <v>68.400000000000006</v>
      </c>
      <c r="K3415">
        <v>1952</v>
      </c>
      <c r="L3415">
        <v>1170</v>
      </c>
      <c r="M3415">
        <v>2734</v>
      </c>
      <c r="N3415">
        <v>4</v>
      </c>
      <c r="O3415">
        <v>2.9</v>
      </c>
      <c r="P3415">
        <v>5.0999999999999996</v>
      </c>
      <c r="Q3415">
        <f t="shared" si="104"/>
        <v>19299981</v>
      </c>
      <c r="R3415">
        <f t="shared" si="105"/>
        <v>10.113999594092864</v>
      </c>
      <c r="U3415">
        <v>4354</v>
      </c>
      <c r="V3415">
        <v>2487</v>
      </c>
      <c r="W3415">
        <v>6221</v>
      </c>
      <c r="X3415">
        <v>4471</v>
      </c>
      <c r="Y3415">
        <v>49.3</v>
      </c>
      <c r="Z3415">
        <v>42.5</v>
      </c>
      <c r="AA3415">
        <v>56.2</v>
      </c>
    </row>
    <row r="3416" spans="1:27" x14ac:dyDescent="0.25">
      <c r="A3416" t="s">
        <v>258</v>
      </c>
      <c r="B3416" t="s">
        <v>170</v>
      </c>
      <c r="C3416" s="76">
        <v>44010</v>
      </c>
      <c r="D3416">
        <v>29792</v>
      </c>
      <c r="E3416">
        <v>19594</v>
      </c>
      <c r="F3416">
        <v>39990</v>
      </c>
      <c r="G3416">
        <v>18578</v>
      </c>
      <c r="H3416">
        <v>61.6</v>
      </c>
      <c r="I3416">
        <v>56.4</v>
      </c>
      <c r="J3416">
        <v>66.8</v>
      </c>
      <c r="K3416">
        <v>2030</v>
      </c>
      <c r="L3416">
        <v>1237</v>
      </c>
      <c r="M3416">
        <v>2823</v>
      </c>
      <c r="N3416">
        <v>4.2</v>
      </c>
      <c r="O3416">
        <v>3.1</v>
      </c>
      <c r="P3416">
        <v>5.3</v>
      </c>
      <c r="Q3416">
        <f t="shared" si="104"/>
        <v>19299981</v>
      </c>
      <c r="R3416">
        <f t="shared" si="105"/>
        <v>10.518145069676494</v>
      </c>
      <c r="U3416">
        <v>4252</v>
      </c>
      <c r="V3416">
        <v>2478</v>
      </c>
      <c r="W3416">
        <v>6026</v>
      </c>
      <c r="X3416">
        <v>4545</v>
      </c>
      <c r="Y3416">
        <v>48.3</v>
      </c>
      <c r="Z3416">
        <v>42.2</v>
      </c>
      <c r="AA3416">
        <v>54.5</v>
      </c>
    </row>
    <row r="3417" spans="1:27" x14ac:dyDescent="0.25">
      <c r="A3417" t="s">
        <v>258</v>
      </c>
      <c r="B3417" t="s">
        <v>170</v>
      </c>
      <c r="C3417" s="76">
        <v>44011</v>
      </c>
      <c r="D3417">
        <v>33942</v>
      </c>
      <c r="E3417">
        <v>23727</v>
      </c>
      <c r="F3417">
        <v>44157</v>
      </c>
      <c r="G3417">
        <v>16907</v>
      </c>
      <c r="H3417">
        <v>66.7</v>
      </c>
      <c r="I3417">
        <v>63.2</v>
      </c>
      <c r="J3417">
        <v>70.3</v>
      </c>
      <c r="K3417">
        <v>2098</v>
      </c>
      <c r="L3417">
        <v>1367</v>
      </c>
      <c r="M3417">
        <v>2830</v>
      </c>
      <c r="N3417">
        <v>4.0999999999999996</v>
      </c>
      <c r="O3417">
        <v>3.3</v>
      </c>
      <c r="P3417">
        <v>5</v>
      </c>
      <c r="Q3417">
        <f t="shared" si="104"/>
        <v>19299981</v>
      </c>
      <c r="R3417">
        <f t="shared" si="105"/>
        <v>10.8704770227494</v>
      </c>
      <c r="U3417">
        <v>4544</v>
      </c>
      <c r="V3417">
        <v>2837</v>
      </c>
      <c r="W3417">
        <v>6251</v>
      </c>
      <c r="X3417">
        <v>4168</v>
      </c>
      <c r="Y3417">
        <v>52.2</v>
      </c>
      <c r="Z3417">
        <v>45.6</v>
      </c>
      <c r="AA3417">
        <v>58.7</v>
      </c>
    </row>
    <row r="3418" spans="1:27" x14ac:dyDescent="0.25">
      <c r="A3418" t="s">
        <v>258</v>
      </c>
      <c r="B3418" t="s">
        <v>170</v>
      </c>
      <c r="C3418" s="76">
        <v>44012</v>
      </c>
      <c r="D3418">
        <v>35007</v>
      </c>
      <c r="E3418">
        <v>24544</v>
      </c>
      <c r="F3418">
        <v>45470</v>
      </c>
      <c r="G3418">
        <v>16354</v>
      </c>
      <c r="H3418">
        <v>68.2</v>
      </c>
      <c r="I3418">
        <v>64.599999999999994</v>
      </c>
      <c r="J3418">
        <v>71.8</v>
      </c>
      <c r="K3418">
        <v>2047</v>
      </c>
      <c r="L3418">
        <v>1338</v>
      </c>
      <c r="M3418">
        <v>2757</v>
      </c>
      <c r="N3418">
        <v>4</v>
      </c>
      <c r="O3418">
        <v>3.1</v>
      </c>
      <c r="P3418">
        <v>4.8</v>
      </c>
      <c r="Q3418">
        <f t="shared" si="104"/>
        <v>19299981</v>
      </c>
      <c r="R3418">
        <f t="shared" si="105"/>
        <v>10.606228057944719</v>
      </c>
      <c r="U3418">
        <v>4761</v>
      </c>
      <c r="V3418">
        <v>3025</v>
      </c>
      <c r="W3418">
        <v>6496</v>
      </c>
      <c r="X3418">
        <v>3798</v>
      </c>
      <c r="Y3418">
        <v>55.6</v>
      </c>
      <c r="Z3418">
        <v>49.8</v>
      </c>
      <c r="AA3418">
        <v>61.5</v>
      </c>
    </row>
    <row r="3419" spans="1:27" x14ac:dyDescent="0.25">
      <c r="A3419" t="s">
        <v>258</v>
      </c>
      <c r="B3419" t="s">
        <v>170</v>
      </c>
      <c r="C3419" s="76">
        <v>44013</v>
      </c>
      <c r="D3419">
        <v>35353</v>
      </c>
      <c r="E3419">
        <v>24371</v>
      </c>
      <c r="F3419">
        <v>46336</v>
      </c>
      <c r="G3419">
        <v>15803</v>
      </c>
      <c r="H3419">
        <v>69.099999999999994</v>
      </c>
      <c r="I3419">
        <v>65.400000000000006</v>
      </c>
      <c r="J3419">
        <v>72.8</v>
      </c>
      <c r="K3419">
        <v>1934</v>
      </c>
      <c r="L3419">
        <v>1217</v>
      </c>
      <c r="M3419">
        <v>2651</v>
      </c>
      <c r="N3419">
        <v>3.8</v>
      </c>
      <c r="O3419">
        <v>2.9</v>
      </c>
      <c r="P3419">
        <v>4.5999999999999996</v>
      </c>
      <c r="Q3419">
        <f t="shared" si="104"/>
        <v>19299981</v>
      </c>
      <c r="R3419">
        <f t="shared" si="105"/>
        <v>10.020735253573566</v>
      </c>
      <c r="U3419">
        <v>4665</v>
      </c>
      <c r="V3419">
        <v>2851</v>
      </c>
      <c r="W3419">
        <v>6479</v>
      </c>
      <c r="X3419">
        <v>3874</v>
      </c>
      <c r="Y3419">
        <v>54.6</v>
      </c>
      <c r="Z3419">
        <v>47.6</v>
      </c>
      <c r="AA3419">
        <v>61.7</v>
      </c>
    </row>
    <row r="3420" spans="1:27" x14ac:dyDescent="0.25">
      <c r="A3420" t="s">
        <v>258</v>
      </c>
      <c r="B3420" t="s">
        <v>170</v>
      </c>
      <c r="C3420" s="76">
        <v>44014</v>
      </c>
      <c r="D3420">
        <v>31835</v>
      </c>
      <c r="E3420">
        <v>21117</v>
      </c>
      <c r="F3420">
        <v>42554</v>
      </c>
      <c r="G3420">
        <v>15369</v>
      </c>
      <c r="H3420">
        <v>67.400000000000006</v>
      </c>
      <c r="I3420">
        <v>63.1</v>
      </c>
      <c r="J3420">
        <v>71.8</v>
      </c>
      <c r="K3420">
        <v>1787</v>
      </c>
      <c r="L3420">
        <v>1054</v>
      </c>
      <c r="M3420">
        <v>2520</v>
      </c>
      <c r="N3420">
        <v>3.8</v>
      </c>
      <c r="O3420">
        <v>2.8</v>
      </c>
      <c r="P3420">
        <v>4.8</v>
      </c>
      <c r="Q3420">
        <f t="shared" si="104"/>
        <v>19299981</v>
      </c>
      <c r="R3420">
        <f t="shared" si="105"/>
        <v>9.2590764726659582</v>
      </c>
      <c r="U3420">
        <v>4081</v>
      </c>
      <c r="V3420">
        <v>2306</v>
      </c>
      <c r="W3420">
        <v>5855</v>
      </c>
      <c r="X3420">
        <v>3921</v>
      </c>
      <c r="Y3420">
        <v>51</v>
      </c>
      <c r="Z3420">
        <v>43.8</v>
      </c>
      <c r="AA3420">
        <v>58.2</v>
      </c>
    </row>
    <row r="3421" spans="1:27" x14ac:dyDescent="0.25">
      <c r="A3421" t="s">
        <v>258</v>
      </c>
      <c r="B3421" t="s">
        <v>170</v>
      </c>
      <c r="C3421" s="76">
        <v>44015</v>
      </c>
      <c r="D3421">
        <v>33489</v>
      </c>
      <c r="E3421">
        <v>23513</v>
      </c>
      <c r="F3421">
        <v>43466</v>
      </c>
      <c r="G3421">
        <v>17281</v>
      </c>
      <c r="H3421">
        <v>66</v>
      </c>
      <c r="I3421">
        <v>62.3</v>
      </c>
      <c r="J3421">
        <v>69.599999999999994</v>
      </c>
      <c r="K3421">
        <v>1920</v>
      </c>
      <c r="L3421">
        <v>1247</v>
      </c>
      <c r="M3421">
        <v>2592</v>
      </c>
      <c r="N3421">
        <v>3.8</v>
      </c>
      <c r="O3421">
        <v>2.9</v>
      </c>
      <c r="P3421">
        <v>4.5999999999999996</v>
      </c>
      <c r="Q3421">
        <f t="shared" si="104"/>
        <v>19299981</v>
      </c>
      <c r="R3421">
        <f t="shared" si="105"/>
        <v>9.9481963220585552</v>
      </c>
      <c r="U3421">
        <v>4640</v>
      </c>
      <c r="V3421">
        <v>2941</v>
      </c>
      <c r="W3421">
        <v>6340</v>
      </c>
      <c r="X3421">
        <v>3985</v>
      </c>
      <c r="Y3421">
        <v>53.8</v>
      </c>
      <c r="Z3421">
        <v>47.1</v>
      </c>
      <c r="AA3421">
        <v>60.4</v>
      </c>
    </row>
    <row r="3422" spans="1:27" x14ac:dyDescent="0.25">
      <c r="A3422" t="s">
        <v>258</v>
      </c>
      <c r="B3422" t="s">
        <v>170</v>
      </c>
      <c r="C3422" s="76">
        <v>44016</v>
      </c>
      <c r="D3422">
        <v>31628</v>
      </c>
      <c r="E3422">
        <v>22140</v>
      </c>
      <c r="F3422">
        <v>41116</v>
      </c>
      <c r="G3422">
        <v>19042</v>
      </c>
      <c r="H3422">
        <v>62.4</v>
      </c>
      <c r="I3422">
        <v>58.9</v>
      </c>
      <c r="J3422">
        <v>66</v>
      </c>
      <c r="K3422">
        <v>1900</v>
      </c>
      <c r="L3422">
        <v>1215</v>
      </c>
      <c r="M3422">
        <v>2586</v>
      </c>
      <c r="N3422">
        <v>3.8</v>
      </c>
      <c r="O3422">
        <v>2.9</v>
      </c>
      <c r="P3422">
        <v>4.5999999999999996</v>
      </c>
      <c r="Q3422">
        <f t="shared" si="104"/>
        <v>19299981</v>
      </c>
      <c r="R3422">
        <f t="shared" si="105"/>
        <v>9.8445692770371114</v>
      </c>
      <c r="U3422">
        <v>4486</v>
      </c>
      <c r="V3422">
        <v>2828</v>
      </c>
      <c r="W3422">
        <v>6144</v>
      </c>
      <c r="X3422">
        <v>4108</v>
      </c>
      <c r="Y3422">
        <v>52.2</v>
      </c>
      <c r="Z3422">
        <v>45.6</v>
      </c>
      <c r="AA3422">
        <v>58.8</v>
      </c>
    </row>
    <row r="3423" spans="1:27" x14ac:dyDescent="0.25">
      <c r="A3423" t="s">
        <v>258</v>
      </c>
      <c r="B3423" t="s">
        <v>170</v>
      </c>
      <c r="C3423" s="76">
        <v>44017</v>
      </c>
      <c r="D3423">
        <v>31553</v>
      </c>
      <c r="E3423">
        <v>22133</v>
      </c>
      <c r="F3423">
        <v>40972</v>
      </c>
      <c r="G3423">
        <v>19139</v>
      </c>
      <c r="H3423">
        <v>62.2</v>
      </c>
      <c r="I3423">
        <v>58.9</v>
      </c>
      <c r="J3423">
        <v>65.599999999999994</v>
      </c>
      <c r="K3423">
        <v>1909</v>
      </c>
      <c r="L3423">
        <v>1230</v>
      </c>
      <c r="M3423">
        <v>2587</v>
      </c>
      <c r="N3423">
        <v>3.8</v>
      </c>
      <c r="O3423">
        <v>2.9</v>
      </c>
      <c r="P3423">
        <v>4.5999999999999996</v>
      </c>
      <c r="Q3423">
        <f t="shared" si="104"/>
        <v>19299981</v>
      </c>
      <c r="R3423">
        <f t="shared" si="105"/>
        <v>9.891201447296762</v>
      </c>
      <c r="U3423">
        <v>4426</v>
      </c>
      <c r="V3423">
        <v>2779</v>
      </c>
      <c r="W3423">
        <v>6074</v>
      </c>
      <c r="X3423">
        <v>4161</v>
      </c>
      <c r="Y3423">
        <v>51.5</v>
      </c>
      <c r="Z3423">
        <v>44.9</v>
      </c>
      <c r="AA3423">
        <v>58.2</v>
      </c>
    </row>
    <row r="3424" spans="1:27" x14ac:dyDescent="0.25">
      <c r="A3424" t="s">
        <v>258</v>
      </c>
      <c r="B3424" t="s">
        <v>170</v>
      </c>
      <c r="C3424" s="76">
        <v>44018</v>
      </c>
      <c r="D3424">
        <v>33156</v>
      </c>
      <c r="E3424">
        <v>23351</v>
      </c>
      <c r="F3424">
        <v>42961</v>
      </c>
      <c r="G3424">
        <v>17636</v>
      </c>
      <c r="H3424">
        <v>65.3</v>
      </c>
      <c r="I3424">
        <v>62</v>
      </c>
      <c r="J3424">
        <v>68.599999999999994</v>
      </c>
      <c r="K3424">
        <v>1886</v>
      </c>
      <c r="L3424">
        <v>1217</v>
      </c>
      <c r="M3424">
        <v>2554</v>
      </c>
      <c r="N3424">
        <v>3.7</v>
      </c>
      <c r="O3424">
        <v>2.9</v>
      </c>
      <c r="P3424">
        <v>4.5</v>
      </c>
      <c r="Q3424">
        <f t="shared" si="104"/>
        <v>19299981</v>
      </c>
      <c r="R3424">
        <f t="shared" si="105"/>
        <v>9.7720303455221007</v>
      </c>
      <c r="U3424">
        <v>4560</v>
      </c>
      <c r="V3424">
        <v>2889</v>
      </c>
      <c r="W3424">
        <v>6232</v>
      </c>
      <c r="X3424">
        <v>4034</v>
      </c>
      <c r="Y3424">
        <v>53.1</v>
      </c>
      <c r="Z3424">
        <v>46.7</v>
      </c>
      <c r="AA3424">
        <v>59.5</v>
      </c>
    </row>
    <row r="3425" spans="1:27" x14ac:dyDescent="0.25">
      <c r="A3425" t="s">
        <v>258</v>
      </c>
      <c r="B3425" t="s">
        <v>170</v>
      </c>
      <c r="C3425" s="76">
        <v>44019</v>
      </c>
      <c r="D3425">
        <v>35310</v>
      </c>
      <c r="E3425">
        <v>24974</v>
      </c>
      <c r="F3425">
        <v>45646</v>
      </c>
      <c r="G3425">
        <v>15399</v>
      </c>
      <c r="H3425">
        <v>69.599999999999994</v>
      </c>
      <c r="I3425">
        <v>66.099999999999994</v>
      </c>
      <c r="J3425">
        <v>73.099999999999994</v>
      </c>
      <c r="K3425">
        <v>1982</v>
      </c>
      <c r="L3425">
        <v>1265</v>
      </c>
      <c r="M3425">
        <v>2699</v>
      </c>
      <c r="N3425">
        <v>3.9</v>
      </c>
      <c r="O3425">
        <v>3</v>
      </c>
      <c r="P3425">
        <v>4.8</v>
      </c>
      <c r="Q3425">
        <f t="shared" si="104"/>
        <v>19299981</v>
      </c>
      <c r="R3425">
        <f t="shared" si="105"/>
        <v>10.269440161625029</v>
      </c>
      <c r="U3425">
        <v>5003</v>
      </c>
      <c r="V3425">
        <v>3190</v>
      </c>
      <c r="W3425">
        <v>6815</v>
      </c>
      <c r="X3425">
        <v>3553</v>
      </c>
      <c r="Y3425">
        <v>58.5</v>
      </c>
      <c r="Z3425">
        <v>51.6</v>
      </c>
      <c r="AA3425">
        <v>65.3</v>
      </c>
    </row>
    <row r="3426" spans="1:27" x14ac:dyDescent="0.25">
      <c r="A3426" t="s">
        <v>259</v>
      </c>
      <c r="B3426" t="s">
        <v>176</v>
      </c>
      <c r="C3426" s="76">
        <v>43922</v>
      </c>
      <c r="D3426">
        <v>14811</v>
      </c>
      <c r="E3426">
        <v>3473</v>
      </c>
      <c r="F3426">
        <v>26148</v>
      </c>
      <c r="G3426">
        <v>15654</v>
      </c>
      <c r="H3426">
        <v>48.6</v>
      </c>
      <c r="I3426">
        <v>37</v>
      </c>
      <c r="J3426">
        <v>60.3</v>
      </c>
      <c r="K3426">
        <v>1252</v>
      </c>
      <c r="L3426">
        <v>383</v>
      </c>
      <c r="M3426">
        <v>2121</v>
      </c>
      <c r="N3426">
        <v>4.0999999999999996</v>
      </c>
      <c r="O3426">
        <v>2.7</v>
      </c>
      <c r="P3426">
        <v>5.6</v>
      </c>
      <c r="Q3426">
        <f t="shared" si="104"/>
        <v>11714618</v>
      </c>
      <c r="R3426">
        <f t="shared" si="105"/>
        <v>10.687501717939075</v>
      </c>
      <c r="U3426">
        <v>2900</v>
      </c>
      <c r="V3426">
        <v>194</v>
      </c>
      <c r="W3426">
        <v>5606</v>
      </c>
      <c r="X3426">
        <v>2633</v>
      </c>
      <c r="Y3426">
        <v>52.4</v>
      </c>
      <c r="Z3426">
        <v>34.799999999999997</v>
      </c>
      <c r="AA3426">
        <v>70</v>
      </c>
    </row>
    <row r="3427" spans="1:27" x14ac:dyDescent="0.25">
      <c r="A3427" t="s">
        <v>259</v>
      </c>
      <c r="B3427" t="s">
        <v>176</v>
      </c>
      <c r="C3427" s="76">
        <v>43923</v>
      </c>
      <c r="D3427">
        <v>18114</v>
      </c>
      <c r="E3427">
        <v>8759</v>
      </c>
      <c r="F3427">
        <v>27470</v>
      </c>
      <c r="G3427">
        <v>20666</v>
      </c>
      <c r="H3427">
        <v>46.7</v>
      </c>
      <c r="I3427">
        <v>40</v>
      </c>
      <c r="J3427">
        <v>53.4</v>
      </c>
      <c r="K3427">
        <v>2340</v>
      </c>
      <c r="L3427">
        <v>900</v>
      </c>
      <c r="M3427">
        <v>3781</v>
      </c>
      <c r="N3427">
        <v>6</v>
      </c>
      <c r="O3427">
        <v>3.5</v>
      </c>
      <c r="P3427">
        <v>8.5</v>
      </c>
      <c r="Q3427">
        <f t="shared" si="104"/>
        <v>11714618</v>
      </c>
      <c r="R3427">
        <f t="shared" si="105"/>
        <v>19.975043146946831</v>
      </c>
      <c r="U3427">
        <v>3405</v>
      </c>
      <c r="V3427">
        <v>1427</v>
      </c>
      <c r="W3427">
        <v>5384</v>
      </c>
      <c r="X3427">
        <v>2891</v>
      </c>
      <c r="Y3427">
        <v>54.1</v>
      </c>
      <c r="Z3427">
        <v>44.8</v>
      </c>
      <c r="AA3427">
        <v>63.3</v>
      </c>
    </row>
    <row r="3428" spans="1:27" x14ac:dyDescent="0.25">
      <c r="A3428" t="s">
        <v>259</v>
      </c>
      <c r="B3428" t="s">
        <v>176</v>
      </c>
      <c r="C3428" s="76">
        <v>43924</v>
      </c>
      <c r="D3428">
        <v>16161</v>
      </c>
      <c r="E3428">
        <v>8293</v>
      </c>
      <c r="F3428">
        <v>24029</v>
      </c>
      <c r="G3428">
        <v>20013</v>
      </c>
      <c r="H3428">
        <v>44.7</v>
      </c>
      <c r="I3428">
        <v>37.4</v>
      </c>
      <c r="J3428">
        <v>51.9</v>
      </c>
      <c r="K3428">
        <v>1773</v>
      </c>
      <c r="L3428">
        <v>788</v>
      </c>
      <c r="M3428">
        <v>2757</v>
      </c>
      <c r="N3428">
        <v>4.9000000000000004</v>
      </c>
      <c r="O3428">
        <v>3</v>
      </c>
      <c r="P3428">
        <v>6.8</v>
      </c>
      <c r="Q3428">
        <f t="shared" si="104"/>
        <v>11714618</v>
      </c>
      <c r="R3428">
        <f t="shared" si="105"/>
        <v>15.134936538263561</v>
      </c>
      <c r="U3428">
        <v>3172</v>
      </c>
      <c r="V3428">
        <v>1417</v>
      </c>
      <c r="W3428">
        <v>4927</v>
      </c>
      <c r="X3428">
        <v>3580</v>
      </c>
      <c r="Y3428">
        <v>47</v>
      </c>
      <c r="Z3428">
        <v>35.700000000000003</v>
      </c>
      <c r="AA3428">
        <v>58.2</v>
      </c>
    </row>
    <row r="3429" spans="1:27" x14ac:dyDescent="0.25">
      <c r="A3429" t="s">
        <v>259</v>
      </c>
      <c r="B3429" t="s">
        <v>176</v>
      </c>
      <c r="C3429" s="76">
        <v>43925</v>
      </c>
      <c r="D3429">
        <v>15976</v>
      </c>
      <c r="E3429">
        <v>8335</v>
      </c>
      <c r="F3429">
        <v>23618</v>
      </c>
      <c r="G3429">
        <v>19790</v>
      </c>
      <c r="H3429">
        <v>44.7</v>
      </c>
      <c r="I3429">
        <v>36.4</v>
      </c>
      <c r="J3429">
        <v>52.9</v>
      </c>
      <c r="K3429">
        <v>1714</v>
      </c>
      <c r="L3429">
        <v>795</v>
      </c>
      <c r="M3429">
        <v>2633</v>
      </c>
      <c r="N3429">
        <v>4.8</v>
      </c>
      <c r="O3429">
        <v>3</v>
      </c>
      <c r="P3429">
        <v>6.6</v>
      </c>
      <c r="Q3429">
        <f t="shared" si="104"/>
        <v>11714618</v>
      </c>
      <c r="R3429">
        <f t="shared" si="105"/>
        <v>14.631292287977296</v>
      </c>
      <c r="U3429">
        <v>3256</v>
      </c>
      <c r="V3429">
        <v>1400</v>
      </c>
      <c r="W3429">
        <v>5112</v>
      </c>
      <c r="X3429">
        <v>2481</v>
      </c>
      <c r="Y3429">
        <v>56.8</v>
      </c>
      <c r="Z3429">
        <v>45.2</v>
      </c>
      <c r="AA3429">
        <v>68.3</v>
      </c>
    </row>
    <row r="3430" spans="1:27" x14ac:dyDescent="0.25">
      <c r="A3430" t="s">
        <v>259</v>
      </c>
      <c r="B3430" t="s">
        <v>176</v>
      </c>
      <c r="C3430" s="76">
        <v>43926</v>
      </c>
      <c r="D3430">
        <v>15642</v>
      </c>
      <c r="E3430">
        <v>8372</v>
      </c>
      <c r="F3430">
        <v>22912</v>
      </c>
      <c r="G3430">
        <v>19653</v>
      </c>
      <c r="H3430">
        <v>44.3</v>
      </c>
      <c r="I3430">
        <v>37.700000000000003</v>
      </c>
      <c r="J3430">
        <v>50.9</v>
      </c>
      <c r="K3430">
        <v>1709</v>
      </c>
      <c r="L3430">
        <v>826</v>
      </c>
      <c r="M3430">
        <v>2592</v>
      </c>
      <c r="N3430">
        <v>4.8</v>
      </c>
      <c r="O3430">
        <v>3.2</v>
      </c>
      <c r="P3430">
        <v>6.5</v>
      </c>
      <c r="Q3430">
        <f t="shared" si="104"/>
        <v>11714618</v>
      </c>
      <c r="R3430">
        <f t="shared" si="105"/>
        <v>14.588610571851339</v>
      </c>
      <c r="U3430">
        <v>2927</v>
      </c>
      <c r="V3430">
        <v>1300</v>
      </c>
      <c r="W3430">
        <v>4554</v>
      </c>
      <c r="X3430">
        <v>2759</v>
      </c>
      <c r="Y3430">
        <v>51.5</v>
      </c>
      <c r="Z3430">
        <v>39.799999999999997</v>
      </c>
      <c r="AA3430">
        <v>63.2</v>
      </c>
    </row>
    <row r="3431" spans="1:27" x14ac:dyDescent="0.25">
      <c r="A3431" t="s">
        <v>259</v>
      </c>
      <c r="B3431" t="s">
        <v>176</v>
      </c>
      <c r="C3431" s="76">
        <v>43927</v>
      </c>
      <c r="D3431">
        <v>15560</v>
      </c>
      <c r="E3431">
        <v>8360</v>
      </c>
      <c r="F3431">
        <v>22761</v>
      </c>
      <c r="G3431">
        <v>19582</v>
      </c>
      <c r="H3431">
        <v>44.3</v>
      </c>
      <c r="I3431">
        <v>38.4</v>
      </c>
      <c r="J3431">
        <v>50.1</v>
      </c>
      <c r="K3431">
        <v>1663</v>
      </c>
      <c r="L3431">
        <v>798</v>
      </c>
      <c r="M3431">
        <v>2528</v>
      </c>
      <c r="N3431">
        <v>4.7</v>
      </c>
      <c r="O3431">
        <v>3</v>
      </c>
      <c r="P3431">
        <v>6.4</v>
      </c>
      <c r="Q3431">
        <f t="shared" ref="Q3431:Q3494" si="106">VLOOKUP(B3431,$AE$4:$AF$55,2,FALSE)</f>
        <v>11714618</v>
      </c>
      <c r="R3431">
        <f t="shared" si="105"/>
        <v>14.195938783492556</v>
      </c>
      <c r="U3431">
        <v>3055</v>
      </c>
      <c r="V3431">
        <v>1358</v>
      </c>
      <c r="W3431">
        <v>4752</v>
      </c>
      <c r="X3431">
        <v>2857</v>
      </c>
      <c r="Y3431">
        <v>51.7</v>
      </c>
      <c r="Z3431">
        <v>41.9</v>
      </c>
      <c r="AA3431">
        <v>61.4</v>
      </c>
    </row>
    <row r="3432" spans="1:27" x14ac:dyDescent="0.25">
      <c r="A3432" t="s">
        <v>259</v>
      </c>
      <c r="B3432" t="s">
        <v>176</v>
      </c>
      <c r="C3432" s="76">
        <v>43928</v>
      </c>
      <c r="D3432">
        <v>16700</v>
      </c>
      <c r="E3432">
        <v>9019</v>
      </c>
      <c r="F3432">
        <v>24380</v>
      </c>
      <c r="G3432">
        <v>23425</v>
      </c>
      <c r="H3432">
        <v>41.6</v>
      </c>
      <c r="I3432">
        <v>33.1</v>
      </c>
      <c r="J3432">
        <v>50.2</v>
      </c>
      <c r="K3432">
        <v>1816</v>
      </c>
      <c r="L3432">
        <v>771</v>
      </c>
      <c r="M3432">
        <v>2861</v>
      </c>
      <c r="N3432">
        <v>4.5</v>
      </c>
      <c r="O3432">
        <v>2.4</v>
      </c>
      <c r="P3432">
        <v>6.7</v>
      </c>
      <c r="Q3432">
        <f t="shared" si="106"/>
        <v>11714618</v>
      </c>
      <c r="R3432">
        <f t="shared" si="105"/>
        <v>15.501999296946773</v>
      </c>
      <c r="U3432">
        <v>3090</v>
      </c>
      <c r="V3432">
        <v>1449</v>
      </c>
      <c r="W3432">
        <v>4731</v>
      </c>
      <c r="X3432">
        <v>3945</v>
      </c>
      <c r="Y3432">
        <v>43.9</v>
      </c>
      <c r="Z3432">
        <v>32.200000000000003</v>
      </c>
      <c r="AA3432">
        <v>55.6</v>
      </c>
    </row>
    <row r="3433" spans="1:27" x14ac:dyDescent="0.25">
      <c r="A3433" t="s">
        <v>259</v>
      </c>
      <c r="B3433" t="s">
        <v>176</v>
      </c>
      <c r="C3433" s="76">
        <v>43929</v>
      </c>
      <c r="D3433">
        <v>15020</v>
      </c>
      <c r="E3433">
        <v>7999</v>
      </c>
      <c r="F3433">
        <v>22041</v>
      </c>
      <c r="G3433">
        <v>22927</v>
      </c>
      <c r="H3433">
        <v>39.6</v>
      </c>
      <c r="I3433">
        <v>30.8</v>
      </c>
      <c r="J3433">
        <v>48.3</v>
      </c>
      <c r="K3433">
        <v>2001</v>
      </c>
      <c r="L3433">
        <v>995</v>
      </c>
      <c r="M3433">
        <v>3006</v>
      </c>
      <c r="N3433">
        <v>5.3</v>
      </c>
      <c r="O3433">
        <v>3.4</v>
      </c>
      <c r="P3433">
        <v>7.2</v>
      </c>
      <c r="Q3433">
        <f t="shared" si="106"/>
        <v>11714618</v>
      </c>
      <c r="R3433">
        <f t="shared" si="105"/>
        <v>17.081222793607097</v>
      </c>
      <c r="U3433">
        <v>3057</v>
      </c>
      <c r="V3433">
        <v>1388</v>
      </c>
      <c r="W3433">
        <v>4725</v>
      </c>
      <c r="X3433">
        <v>3948</v>
      </c>
      <c r="Y3433">
        <v>43.6</v>
      </c>
      <c r="Z3433">
        <v>31.4</v>
      </c>
      <c r="AA3433">
        <v>55.9</v>
      </c>
    </row>
    <row r="3434" spans="1:27" x14ac:dyDescent="0.25">
      <c r="A3434" t="s">
        <v>259</v>
      </c>
      <c r="B3434" t="s">
        <v>176</v>
      </c>
      <c r="C3434" s="76">
        <v>43930</v>
      </c>
      <c r="D3434">
        <v>16166</v>
      </c>
      <c r="E3434">
        <v>9212</v>
      </c>
      <c r="F3434">
        <v>23120</v>
      </c>
      <c r="G3434">
        <v>25386</v>
      </c>
      <c r="H3434">
        <v>38.9</v>
      </c>
      <c r="I3434">
        <v>32.299999999999997</v>
      </c>
      <c r="J3434">
        <v>45.5</v>
      </c>
      <c r="K3434">
        <v>1928</v>
      </c>
      <c r="L3434">
        <v>1057</v>
      </c>
      <c r="M3434">
        <v>2799</v>
      </c>
      <c r="N3434">
        <v>4.5999999999999996</v>
      </c>
      <c r="O3434">
        <v>3.1</v>
      </c>
      <c r="P3434">
        <v>6.2</v>
      </c>
      <c r="Q3434">
        <f t="shared" si="106"/>
        <v>11714618</v>
      </c>
      <c r="R3434">
        <f t="shared" si="105"/>
        <v>16.45806973816816</v>
      </c>
      <c r="U3434">
        <v>3451</v>
      </c>
      <c r="V3434">
        <v>1677</v>
      </c>
      <c r="W3434">
        <v>5226</v>
      </c>
      <c r="X3434">
        <v>5120</v>
      </c>
      <c r="Y3434">
        <v>40.299999999999997</v>
      </c>
      <c r="Z3434">
        <v>28.8</v>
      </c>
      <c r="AA3434">
        <v>51.8</v>
      </c>
    </row>
    <row r="3435" spans="1:27" x14ac:dyDescent="0.25">
      <c r="A3435" t="s">
        <v>259</v>
      </c>
      <c r="B3435" t="s">
        <v>176</v>
      </c>
      <c r="C3435" s="76">
        <v>43931</v>
      </c>
      <c r="D3435">
        <v>16082</v>
      </c>
      <c r="E3435">
        <v>9089</v>
      </c>
      <c r="F3435">
        <v>23075</v>
      </c>
      <c r="G3435">
        <v>25303</v>
      </c>
      <c r="H3435">
        <v>38.9</v>
      </c>
      <c r="I3435">
        <v>31.8</v>
      </c>
      <c r="J3435">
        <v>45.9</v>
      </c>
      <c r="K3435">
        <v>2002</v>
      </c>
      <c r="L3435">
        <v>1055</v>
      </c>
      <c r="M3435">
        <v>2949</v>
      </c>
      <c r="N3435">
        <v>4.8</v>
      </c>
      <c r="O3435">
        <v>3.3</v>
      </c>
      <c r="P3435">
        <v>6.4</v>
      </c>
      <c r="Q3435">
        <f t="shared" si="106"/>
        <v>11714618</v>
      </c>
      <c r="R3435">
        <f t="shared" si="105"/>
        <v>17.089759136832289</v>
      </c>
      <c r="U3435">
        <v>3430</v>
      </c>
      <c r="V3435">
        <v>1662</v>
      </c>
      <c r="W3435">
        <v>5197</v>
      </c>
      <c r="X3435">
        <v>5122</v>
      </c>
      <c r="Y3435">
        <v>40.1</v>
      </c>
      <c r="Z3435">
        <v>27.8</v>
      </c>
      <c r="AA3435">
        <v>52.4</v>
      </c>
    </row>
    <row r="3436" spans="1:27" x14ac:dyDescent="0.25">
      <c r="A3436" t="s">
        <v>259</v>
      </c>
      <c r="B3436" t="s">
        <v>176</v>
      </c>
      <c r="C3436" s="76">
        <v>43932</v>
      </c>
      <c r="D3436">
        <v>15424</v>
      </c>
      <c r="E3436">
        <v>9311</v>
      </c>
      <c r="F3436">
        <v>21537</v>
      </c>
      <c r="G3436">
        <v>25203</v>
      </c>
      <c r="H3436">
        <v>38</v>
      </c>
      <c r="I3436">
        <v>31.7</v>
      </c>
      <c r="J3436">
        <v>44.2</v>
      </c>
      <c r="K3436">
        <v>1810</v>
      </c>
      <c r="L3436">
        <v>956</v>
      </c>
      <c r="M3436">
        <v>2664</v>
      </c>
      <c r="N3436">
        <v>4.5</v>
      </c>
      <c r="O3436">
        <v>2.9</v>
      </c>
      <c r="P3436">
        <v>6</v>
      </c>
      <c r="Q3436">
        <f t="shared" si="106"/>
        <v>11714618</v>
      </c>
      <c r="R3436">
        <f t="shared" si="105"/>
        <v>15.450781237595626</v>
      </c>
      <c r="U3436">
        <v>3545</v>
      </c>
      <c r="V3436">
        <v>1762</v>
      </c>
      <c r="W3436">
        <v>5328</v>
      </c>
      <c r="X3436">
        <v>4336</v>
      </c>
      <c r="Y3436">
        <v>45</v>
      </c>
      <c r="Z3436">
        <v>32.1</v>
      </c>
      <c r="AA3436">
        <v>57.8</v>
      </c>
    </row>
    <row r="3437" spans="1:27" x14ac:dyDescent="0.25">
      <c r="A3437" t="s">
        <v>259</v>
      </c>
      <c r="B3437" t="s">
        <v>176</v>
      </c>
      <c r="C3437" s="76">
        <v>43933</v>
      </c>
      <c r="D3437">
        <v>15648</v>
      </c>
      <c r="E3437">
        <v>9276</v>
      </c>
      <c r="F3437">
        <v>22021</v>
      </c>
      <c r="G3437">
        <v>25140</v>
      </c>
      <c r="H3437">
        <v>38.4</v>
      </c>
      <c r="I3437">
        <v>31.9</v>
      </c>
      <c r="J3437">
        <v>44.9</v>
      </c>
      <c r="K3437">
        <v>1762</v>
      </c>
      <c r="L3437">
        <v>951</v>
      </c>
      <c r="M3437">
        <v>2574</v>
      </c>
      <c r="N3437">
        <v>4.3</v>
      </c>
      <c r="O3437">
        <v>2.8</v>
      </c>
      <c r="P3437">
        <v>5.8</v>
      </c>
      <c r="Q3437">
        <f t="shared" si="106"/>
        <v>11714618</v>
      </c>
      <c r="R3437">
        <f t="shared" si="105"/>
        <v>15.041036762786462</v>
      </c>
      <c r="U3437">
        <v>3429</v>
      </c>
      <c r="V3437">
        <v>1734</v>
      </c>
      <c r="W3437">
        <v>5123</v>
      </c>
      <c r="X3437">
        <v>4550</v>
      </c>
      <c r="Y3437">
        <v>43</v>
      </c>
      <c r="Z3437">
        <v>31.9</v>
      </c>
      <c r="AA3437">
        <v>54.1</v>
      </c>
    </row>
    <row r="3438" spans="1:27" x14ac:dyDescent="0.25">
      <c r="A3438" t="s">
        <v>259</v>
      </c>
      <c r="B3438" t="s">
        <v>176</v>
      </c>
      <c r="C3438" s="76">
        <v>43934</v>
      </c>
      <c r="D3438">
        <v>15324</v>
      </c>
      <c r="E3438">
        <v>9229</v>
      </c>
      <c r="F3438">
        <v>21420</v>
      </c>
      <c r="G3438">
        <v>23337</v>
      </c>
      <c r="H3438">
        <v>39.6</v>
      </c>
      <c r="I3438">
        <v>33.5</v>
      </c>
      <c r="J3438">
        <v>45.8</v>
      </c>
      <c r="K3438">
        <v>1690</v>
      </c>
      <c r="L3438">
        <v>981</v>
      </c>
      <c r="M3438">
        <v>2398</v>
      </c>
      <c r="N3438">
        <v>4.4000000000000004</v>
      </c>
      <c r="O3438">
        <v>2.9</v>
      </c>
      <c r="P3438">
        <v>5.8</v>
      </c>
      <c r="Q3438">
        <f t="shared" si="106"/>
        <v>11714618</v>
      </c>
      <c r="R3438">
        <f t="shared" si="105"/>
        <v>14.426420050572711</v>
      </c>
      <c r="U3438">
        <v>2858</v>
      </c>
      <c r="V3438">
        <v>1428</v>
      </c>
      <c r="W3438">
        <v>4288</v>
      </c>
      <c r="X3438">
        <v>3651</v>
      </c>
      <c r="Y3438">
        <v>43.9</v>
      </c>
      <c r="Z3438">
        <v>32.9</v>
      </c>
      <c r="AA3438">
        <v>54.9</v>
      </c>
    </row>
    <row r="3439" spans="1:27" x14ac:dyDescent="0.25">
      <c r="A3439" t="s">
        <v>259</v>
      </c>
      <c r="B3439" t="s">
        <v>176</v>
      </c>
      <c r="C3439" s="76">
        <v>43935</v>
      </c>
      <c r="D3439">
        <v>16733</v>
      </c>
      <c r="E3439">
        <v>9769</v>
      </c>
      <c r="F3439">
        <v>23697</v>
      </c>
      <c r="G3439">
        <v>21025</v>
      </c>
      <c r="H3439">
        <v>44.3</v>
      </c>
      <c r="I3439">
        <v>39.299999999999997</v>
      </c>
      <c r="J3439">
        <v>49.4</v>
      </c>
      <c r="K3439">
        <v>1782</v>
      </c>
      <c r="L3439">
        <v>985</v>
      </c>
      <c r="M3439">
        <v>2579</v>
      </c>
      <c r="N3439">
        <v>4.7</v>
      </c>
      <c r="O3439">
        <v>3.3</v>
      </c>
      <c r="P3439">
        <v>6.2</v>
      </c>
      <c r="Q3439">
        <f t="shared" si="106"/>
        <v>11714618</v>
      </c>
      <c r="R3439">
        <f t="shared" si="105"/>
        <v>15.211763627290281</v>
      </c>
      <c r="U3439">
        <v>3036</v>
      </c>
      <c r="V3439">
        <v>1519</v>
      </c>
      <c r="W3439">
        <v>4553</v>
      </c>
      <c r="X3439">
        <v>3516</v>
      </c>
      <c r="Y3439">
        <v>46.3</v>
      </c>
      <c r="Z3439">
        <v>32.799999999999997</v>
      </c>
      <c r="AA3439">
        <v>59.9</v>
      </c>
    </row>
    <row r="3440" spans="1:27" x14ac:dyDescent="0.25">
      <c r="A3440" t="s">
        <v>259</v>
      </c>
      <c r="B3440" t="s">
        <v>176</v>
      </c>
      <c r="C3440" s="76">
        <v>43936</v>
      </c>
      <c r="D3440">
        <v>17005</v>
      </c>
      <c r="E3440">
        <v>9943</v>
      </c>
      <c r="F3440">
        <v>24067</v>
      </c>
      <c r="G3440">
        <v>20969</v>
      </c>
      <c r="H3440">
        <v>44.8</v>
      </c>
      <c r="I3440">
        <v>40.200000000000003</v>
      </c>
      <c r="J3440">
        <v>49.3</v>
      </c>
      <c r="K3440">
        <v>1783</v>
      </c>
      <c r="L3440">
        <v>938</v>
      </c>
      <c r="M3440">
        <v>2628</v>
      </c>
      <c r="N3440">
        <v>4.7</v>
      </c>
      <c r="O3440">
        <v>3.2</v>
      </c>
      <c r="P3440">
        <v>6.2</v>
      </c>
      <c r="Q3440">
        <f t="shared" si="106"/>
        <v>11714618</v>
      </c>
      <c r="R3440">
        <f t="shared" si="105"/>
        <v>15.22029997051547</v>
      </c>
      <c r="U3440">
        <v>3147</v>
      </c>
      <c r="V3440">
        <v>1543</v>
      </c>
      <c r="W3440">
        <v>4751</v>
      </c>
      <c r="X3440">
        <v>3492</v>
      </c>
      <c r="Y3440">
        <v>47.4</v>
      </c>
      <c r="Z3440">
        <v>33.799999999999997</v>
      </c>
      <c r="AA3440">
        <v>61</v>
      </c>
    </row>
    <row r="3441" spans="1:27" x14ac:dyDescent="0.25">
      <c r="A3441" t="s">
        <v>259</v>
      </c>
      <c r="B3441" t="s">
        <v>176</v>
      </c>
      <c r="C3441" s="76">
        <v>43937</v>
      </c>
      <c r="D3441">
        <v>16436</v>
      </c>
      <c r="E3441">
        <v>9468</v>
      </c>
      <c r="F3441">
        <v>23403</v>
      </c>
      <c r="G3441">
        <v>20705</v>
      </c>
      <c r="H3441">
        <v>44.3</v>
      </c>
      <c r="I3441">
        <v>39.700000000000003</v>
      </c>
      <c r="J3441">
        <v>48.9</v>
      </c>
      <c r="K3441">
        <v>1695</v>
      </c>
      <c r="L3441">
        <v>803</v>
      </c>
      <c r="M3441">
        <v>2587</v>
      </c>
      <c r="N3441">
        <v>4.5999999999999996</v>
      </c>
      <c r="O3441">
        <v>2.9</v>
      </c>
      <c r="P3441">
        <v>6.3</v>
      </c>
      <c r="Q3441">
        <f t="shared" si="106"/>
        <v>11714618</v>
      </c>
      <c r="R3441">
        <f t="shared" si="105"/>
        <v>14.469101766698667</v>
      </c>
      <c r="U3441">
        <v>2689</v>
      </c>
      <c r="V3441">
        <v>1309</v>
      </c>
      <c r="W3441">
        <v>4070</v>
      </c>
      <c r="X3441">
        <v>3726</v>
      </c>
      <c r="Y3441">
        <v>41.9</v>
      </c>
      <c r="Z3441">
        <v>28.1</v>
      </c>
      <c r="AA3441">
        <v>55.8</v>
      </c>
    </row>
    <row r="3442" spans="1:27" x14ac:dyDescent="0.25">
      <c r="A3442" t="s">
        <v>259</v>
      </c>
      <c r="B3442" t="s">
        <v>176</v>
      </c>
      <c r="C3442" s="76">
        <v>43938</v>
      </c>
      <c r="D3442">
        <v>14452</v>
      </c>
      <c r="E3442">
        <v>8930</v>
      </c>
      <c r="F3442">
        <v>19974</v>
      </c>
      <c r="G3442">
        <v>18178</v>
      </c>
      <c r="H3442">
        <v>44.3</v>
      </c>
      <c r="I3442">
        <v>40</v>
      </c>
      <c r="J3442">
        <v>48.6</v>
      </c>
      <c r="K3442">
        <v>1566</v>
      </c>
      <c r="L3442">
        <v>794</v>
      </c>
      <c r="M3442">
        <v>2337</v>
      </c>
      <c r="N3442">
        <v>4.8</v>
      </c>
      <c r="O3442">
        <v>3.2</v>
      </c>
      <c r="P3442">
        <v>6.4</v>
      </c>
      <c r="Q3442">
        <f t="shared" si="106"/>
        <v>11714618</v>
      </c>
      <c r="R3442">
        <f t="shared" si="105"/>
        <v>13.367913490649036</v>
      </c>
      <c r="U3442">
        <v>2513</v>
      </c>
      <c r="V3442">
        <v>1304</v>
      </c>
      <c r="W3442">
        <v>3722</v>
      </c>
      <c r="X3442">
        <v>2415</v>
      </c>
      <c r="Y3442">
        <v>51</v>
      </c>
      <c r="Z3442">
        <v>42.1</v>
      </c>
      <c r="AA3442">
        <v>59.9</v>
      </c>
    </row>
    <row r="3443" spans="1:27" x14ac:dyDescent="0.25">
      <c r="A3443" t="s">
        <v>259</v>
      </c>
      <c r="B3443" t="s">
        <v>176</v>
      </c>
      <c r="C3443" s="76">
        <v>43939</v>
      </c>
      <c r="D3443">
        <v>15502</v>
      </c>
      <c r="E3443">
        <v>9465</v>
      </c>
      <c r="F3443">
        <v>21540</v>
      </c>
      <c r="G3443">
        <v>20590</v>
      </c>
      <c r="H3443">
        <v>43</v>
      </c>
      <c r="I3443">
        <v>38.200000000000003</v>
      </c>
      <c r="J3443">
        <v>47.7</v>
      </c>
      <c r="K3443">
        <v>1595</v>
      </c>
      <c r="L3443">
        <v>868</v>
      </c>
      <c r="M3443">
        <v>2322</v>
      </c>
      <c r="N3443">
        <v>4.4000000000000004</v>
      </c>
      <c r="O3443">
        <v>3.1</v>
      </c>
      <c r="P3443">
        <v>5.8</v>
      </c>
      <c r="Q3443">
        <f t="shared" si="106"/>
        <v>11714618</v>
      </c>
      <c r="R3443">
        <f t="shared" si="105"/>
        <v>13.615467444179572</v>
      </c>
      <c r="U3443">
        <v>2922</v>
      </c>
      <c r="V3443">
        <v>1560</v>
      </c>
      <c r="W3443">
        <v>4285</v>
      </c>
      <c r="X3443">
        <v>3148</v>
      </c>
      <c r="Y3443">
        <v>48.1</v>
      </c>
      <c r="Z3443">
        <v>36.5</v>
      </c>
      <c r="AA3443">
        <v>59.7</v>
      </c>
    </row>
    <row r="3444" spans="1:27" x14ac:dyDescent="0.25">
      <c r="A3444" t="s">
        <v>259</v>
      </c>
      <c r="B3444" t="s">
        <v>176</v>
      </c>
      <c r="C3444" s="76">
        <v>43940</v>
      </c>
      <c r="D3444">
        <v>15726</v>
      </c>
      <c r="E3444">
        <v>9701</v>
      </c>
      <c r="F3444">
        <v>21750</v>
      </c>
      <c r="G3444">
        <v>19865</v>
      </c>
      <c r="H3444">
        <v>44.2</v>
      </c>
      <c r="I3444">
        <v>39.799999999999997</v>
      </c>
      <c r="J3444">
        <v>48.5</v>
      </c>
      <c r="K3444">
        <v>1564</v>
      </c>
      <c r="L3444">
        <v>843</v>
      </c>
      <c r="M3444">
        <v>2284</v>
      </c>
      <c r="N3444">
        <v>4.4000000000000004</v>
      </c>
      <c r="O3444">
        <v>2.9</v>
      </c>
      <c r="P3444">
        <v>5.8</v>
      </c>
      <c r="Q3444">
        <f t="shared" si="106"/>
        <v>11714618</v>
      </c>
      <c r="R3444">
        <f t="shared" si="105"/>
        <v>13.350840804198652</v>
      </c>
      <c r="U3444">
        <v>2758</v>
      </c>
      <c r="V3444">
        <v>1490</v>
      </c>
      <c r="W3444">
        <v>4025</v>
      </c>
      <c r="X3444">
        <v>3324</v>
      </c>
      <c r="Y3444">
        <v>45.3</v>
      </c>
      <c r="Z3444">
        <v>33.4</v>
      </c>
      <c r="AA3444">
        <v>57.3</v>
      </c>
    </row>
    <row r="3445" spans="1:27" x14ac:dyDescent="0.25">
      <c r="A3445" t="s">
        <v>259</v>
      </c>
      <c r="B3445" t="s">
        <v>176</v>
      </c>
      <c r="C3445" s="76">
        <v>43941</v>
      </c>
      <c r="D3445">
        <v>15846</v>
      </c>
      <c r="E3445">
        <v>9732</v>
      </c>
      <c r="F3445">
        <v>21961</v>
      </c>
      <c r="G3445">
        <v>20205</v>
      </c>
      <c r="H3445">
        <v>44</v>
      </c>
      <c r="I3445">
        <v>39.200000000000003</v>
      </c>
      <c r="J3445">
        <v>48.7</v>
      </c>
      <c r="K3445">
        <v>1864</v>
      </c>
      <c r="L3445">
        <v>710</v>
      </c>
      <c r="M3445">
        <v>3019</v>
      </c>
      <c r="N3445">
        <v>5.2</v>
      </c>
      <c r="O3445">
        <v>2.6</v>
      </c>
      <c r="P3445">
        <v>7.8</v>
      </c>
      <c r="Q3445">
        <f t="shared" si="106"/>
        <v>11714618</v>
      </c>
      <c r="R3445">
        <f t="shared" si="105"/>
        <v>15.911743771755937</v>
      </c>
      <c r="U3445">
        <v>2841</v>
      </c>
      <c r="V3445">
        <v>1492</v>
      </c>
      <c r="W3445">
        <v>4190</v>
      </c>
      <c r="X3445">
        <v>3218</v>
      </c>
      <c r="Y3445">
        <v>46.9</v>
      </c>
      <c r="Z3445">
        <v>33.9</v>
      </c>
      <c r="AA3445">
        <v>59.9</v>
      </c>
    </row>
    <row r="3446" spans="1:27" x14ac:dyDescent="0.25">
      <c r="A3446" t="s">
        <v>259</v>
      </c>
      <c r="B3446" t="s">
        <v>176</v>
      </c>
      <c r="C3446" s="76">
        <v>43942</v>
      </c>
      <c r="D3446">
        <v>16800</v>
      </c>
      <c r="E3446">
        <v>10147</v>
      </c>
      <c r="F3446">
        <v>23454</v>
      </c>
      <c r="G3446">
        <v>19182</v>
      </c>
      <c r="H3446">
        <v>46.7</v>
      </c>
      <c r="I3446">
        <v>41.7</v>
      </c>
      <c r="J3446">
        <v>51.7</v>
      </c>
      <c r="K3446">
        <v>1751</v>
      </c>
      <c r="L3446">
        <v>920</v>
      </c>
      <c r="M3446">
        <v>2581</v>
      </c>
      <c r="N3446">
        <v>4.9000000000000004</v>
      </c>
      <c r="O3446">
        <v>3.3</v>
      </c>
      <c r="P3446">
        <v>6.4</v>
      </c>
      <c r="Q3446">
        <f t="shared" si="106"/>
        <v>11714618</v>
      </c>
      <c r="R3446">
        <f t="shared" si="105"/>
        <v>14.947136987309362</v>
      </c>
      <c r="U3446">
        <v>2616</v>
      </c>
      <c r="V3446">
        <v>1328</v>
      </c>
      <c r="W3446">
        <v>3905</v>
      </c>
      <c r="X3446">
        <v>3074</v>
      </c>
      <c r="Y3446">
        <v>46</v>
      </c>
      <c r="Z3446">
        <v>33.200000000000003</v>
      </c>
      <c r="AA3446">
        <v>58.7</v>
      </c>
    </row>
    <row r="3447" spans="1:27" x14ac:dyDescent="0.25">
      <c r="A3447" t="s">
        <v>259</v>
      </c>
      <c r="B3447" t="s">
        <v>176</v>
      </c>
      <c r="C3447" s="76">
        <v>43943</v>
      </c>
      <c r="D3447">
        <v>16268</v>
      </c>
      <c r="E3447">
        <v>9822</v>
      </c>
      <c r="F3447">
        <v>22713</v>
      </c>
      <c r="G3447">
        <v>19742</v>
      </c>
      <c r="H3447">
        <v>45.2</v>
      </c>
      <c r="I3447">
        <v>40.4</v>
      </c>
      <c r="J3447">
        <v>49.9</v>
      </c>
      <c r="K3447">
        <v>1663</v>
      </c>
      <c r="L3447">
        <v>856</v>
      </c>
      <c r="M3447">
        <v>2469</v>
      </c>
      <c r="N3447">
        <v>4.5999999999999996</v>
      </c>
      <c r="O3447">
        <v>3.2</v>
      </c>
      <c r="P3447">
        <v>6</v>
      </c>
      <c r="Q3447">
        <f t="shared" si="106"/>
        <v>11714618</v>
      </c>
      <c r="R3447">
        <f t="shared" si="105"/>
        <v>14.195938783492556</v>
      </c>
      <c r="U3447">
        <v>2647</v>
      </c>
      <c r="V3447">
        <v>1318</v>
      </c>
      <c r="W3447">
        <v>3976</v>
      </c>
      <c r="X3447">
        <v>3066</v>
      </c>
      <c r="Y3447">
        <v>46.3</v>
      </c>
      <c r="Z3447">
        <v>32.9</v>
      </c>
      <c r="AA3447">
        <v>59.7</v>
      </c>
    </row>
    <row r="3448" spans="1:27" x14ac:dyDescent="0.25">
      <c r="A3448" t="s">
        <v>259</v>
      </c>
      <c r="B3448" t="s">
        <v>176</v>
      </c>
      <c r="C3448" s="76">
        <v>43944</v>
      </c>
      <c r="D3448">
        <v>16502</v>
      </c>
      <c r="E3448">
        <v>9848</v>
      </c>
      <c r="F3448">
        <v>23156</v>
      </c>
      <c r="G3448">
        <v>18846</v>
      </c>
      <c r="H3448">
        <v>46.7</v>
      </c>
      <c r="I3448">
        <v>42.1</v>
      </c>
      <c r="J3448">
        <v>51.3</v>
      </c>
      <c r="K3448">
        <v>1599</v>
      </c>
      <c r="L3448">
        <v>784</v>
      </c>
      <c r="M3448">
        <v>2415</v>
      </c>
      <c r="N3448">
        <v>4.5</v>
      </c>
      <c r="O3448">
        <v>3</v>
      </c>
      <c r="P3448">
        <v>6.1</v>
      </c>
      <c r="Q3448">
        <f t="shared" si="106"/>
        <v>11714618</v>
      </c>
      <c r="R3448">
        <f t="shared" si="105"/>
        <v>13.649612817080335</v>
      </c>
      <c r="U3448">
        <v>2669</v>
      </c>
      <c r="V3448">
        <v>1305</v>
      </c>
      <c r="W3448">
        <v>4032</v>
      </c>
      <c r="X3448">
        <v>2964</v>
      </c>
      <c r="Y3448">
        <v>47.4</v>
      </c>
      <c r="Z3448">
        <v>33.5</v>
      </c>
      <c r="AA3448">
        <v>61.3</v>
      </c>
    </row>
    <row r="3449" spans="1:27" x14ac:dyDescent="0.25">
      <c r="A3449" t="s">
        <v>259</v>
      </c>
      <c r="B3449" t="s">
        <v>176</v>
      </c>
      <c r="C3449" s="76">
        <v>43945</v>
      </c>
      <c r="D3449">
        <v>16513</v>
      </c>
      <c r="E3449">
        <v>9895</v>
      </c>
      <c r="F3449">
        <v>23131</v>
      </c>
      <c r="G3449">
        <v>18788</v>
      </c>
      <c r="H3449">
        <v>46.8</v>
      </c>
      <c r="I3449">
        <v>42.2</v>
      </c>
      <c r="J3449">
        <v>51.3</v>
      </c>
      <c r="K3449">
        <v>1737</v>
      </c>
      <c r="L3449">
        <v>890</v>
      </c>
      <c r="M3449">
        <v>2583</v>
      </c>
      <c r="N3449">
        <v>4.9000000000000004</v>
      </c>
      <c r="O3449">
        <v>3.4</v>
      </c>
      <c r="P3449">
        <v>6.5</v>
      </c>
      <c r="Q3449">
        <f t="shared" si="106"/>
        <v>11714618</v>
      </c>
      <c r="R3449">
        <f t="shared" si="105"/>
        <v>14.827628182156687</v>
      </c>
      <c r="U3449">
        <v>2735</v>
      </c>
      <c r="V3449">
        <v>1379</v>
      </c>
      <c r="W3449">
        <v>4091</v>
      </c>
      <c r="X3449">
        <v>4368</v>
      </c>
      <c r="Y3449">
        <v>38.5</v>
      </c>
      <c r="Z3449">
        <v>28.5</v>
      </c>
      <c r="AA3449">
        <v>48.5</v>
      </c>
    </row>
    <row r="3450" spans="1:27" x14ac:dyDescent="0.25">
      <c r="A3450" t="s">
        <v>259</v>
      </c>
      <c r="B3450" t="s">
        <v>176</v>
      </c>
      <c r="C3450" s="76">
        <v>43946</v>
      </c>
      <c r="D3450">
        <v>16025</v>
      </c>
      <c r="E3450">
        <v>9495</v>
      </c>
      <c r="F3450">
        <v>22555</v>
      </c>
      <c r="G3450">
        <v>19345</v>
      </c>
      <c r="H3450">
        <v>45.3</v>
      </c>
      <c r="I3450">
        <v>41</v>
      </c>
      <c r="J3450">
        <v>49.6</v>
      </c>
      <c r="K3450">
        <v>1670</v>
      </c>
      <c r="L3450">
        <v>816</v>
      </c>
      <c r="M3450">
        <v>2524</v>
      </c>
      <c r="N3450">
        <v>4.7</v>
      </c>
      <c r="O3450">
        <v>3.2</v>
      </c>
      <c r="P3450">
        <v>6.3</v>
      </c>
      <c r="Q3450">
        <f t="shared" si="106"/>
        <v>11714618</v>
      </c>
      <c r="R3450">
        <f t="shared" si="105"/>
        <v>14.255693186068894</v>
      </c>
      <c r="U3450">
        <v>2712</v>
      </c>
      <c r="V3450">
        <v>1343</v>
      </c>
      <c r="W3450">
        <v>4081</v>
      </c>
      <c r="X3450">
        <v>4417</v>
      </c>
      <c r="Y3450">
        <v>38</v>
      </c>
      <c r="Z3450">
        <v>27.9</v>
      </c>
      <c r="AA3450">
        <v>48.2</v>
      </c>
    </row>
    <row r="3451" spans="1:27" x14ac:dyDescent="0.25">
      <c r="A3451" t="s">
        <v>259</v>
      </c>
      <c r="B3451" t="s">
        <v>176</v>
      </c>
      <c r="C3451" s="76">
        <v>43947</v>
      </c>
      <c r="D3451">
        <v>15544</v>
      </c>
      <c r="E3451">
        <v>9559</v>
      </c>
      <c r="F3451">
        <v>21529</v>
      </c>
      <c r="G3451">
        <v>18921</v>
      </c>
      <c r="H3451">
        <v>45.1</v>
      </c>
      <c r="I3451">
        <v>41</v>
      </c>
      <c r="J3451">
        <v>49.2</v>
      </c>
      <c r="K3451">
        <v>1571</v>
      </c>
      <c r="L3451">
        <v>720</v>
      </c>
      <c r="M3451">
        <v>2422</v>
      </c>
      <c r="N3451">
        <v>4.5999999999999996</v>
      </c>
      <c r="O3451">
        <v>2.8</v>
      </c>
      <c r="P3451">
        <v>6.3</v>
      </c>
      <c r="Q3451">
        <f t="shared" si="106"/>
        <v>11714618</v>
      </c>
      <c r="R3451">
        <f t="shared" si="105"/>
        <v>13.410595206774989</v>
      </c>
      <c r="U3451">
        <v>2570</v>
      </c>
      <c r="V3451">
        <v>1332</v>
      </c>
      <c r="W3451">
        <v>3808</v>
      </c>
      <c r="X3451">
        <v>4589</v>
      </c>
      <c r="Y3451">
        <v>35.9</v>
      </c>
      <c r="Z3451">
        <v>26.3</v>
      </c>
      <c r="AA3451">
        <v>45.5</v>
      </c>
    </row>
    <row r="3452" spans="1:27" x14ac:dyDescent="0.25">
      <c r="A3452" t="s">
        <v>259</v>
      </c>
      <c r="B3452" t="s">
        <v>176</v>
      </c>
      <c r="C3452" s="76">
        <v>43948</v>
      </c>
      <c r="D3452">
        <v>15578</v>
      </c>
      <c r="E3452">
        <v>9762</v>
      </c>
      <c r="F3452">
        <v>21394</v>
      </c>
      <c r="G3452">
        <v>19099</v>
      </c>
      <c r="H3452">
        <v>44.9</v>
      </c>
      <c r="I3452">
        <v>40.200000000000003</v>
      </c>
      <c r="J3452">
        <v>49.7</v>
      </c>
      <c r="K3452">
        <v>1555</v>
      </c>
      <c r="L3452">
        <v>773</v>
      </c>
      <c r="M3452">
        <v>2336</v>
      </c>
      <c r="N3452">
        <v>4.5</v>
      </c>
      <c r="O3452">
        <v>2.9</v>
      </c>
      <c r="P3452">
        <v>6</v>
      </c>
      <c r="Q3452">
        <f t="shared" si="106"/>
        <v>11714618</v>
      </c>
      <c r="R3452">
        <f t="shared" si="105"/>
        <v>13.274013715171932</v>
      </c>
      <c r="U3452">
        <v>2432</v>
      </c>
      <c r="V3452">
        <v>1288</v>
      </c>
      <c r="W3452">
        <v>3576</v>
      </c>
      <c r="X3452">
        <v>4397</v>
      </c>
      <c r="Y3452">
        <v>35.6</v>
      </c>
      <c r="Z3452">
        <v>25.8</v>
      </c>
      <c r="AA3452">
        <v>45.4</v>
      </c>
    </row>
    <row r="3453" spans="1:27" x14ac:dyDescent="0.25">
      <c r="A3453" t="s">
        <v>259</v>
      </c>
      <c r="B3453" t="s">
        <v>176</v>
      </c>
      <c r="C3453" s="76">
        <v>43949</v>
      </c>
      <c r="D3453">
        <v>16840</v>
      </c>
      <c r="E3453">
        <v>10315</v>
      </c>
      <c r="F3453">
        <v>23366</v>
      </c>
      <c r="G3453">
        <v>18702</v>
      </c>
      <c r="H3453">
        <v>47.4</v>
      </c>
      <c r="I3453">
        <v>42.5</v>
      </c>
      <c r="J3453">
        <v>52.3</v>
      </c>
      <c r="K3453">
        <v>1609</v>
      </c>
      <c r="L3453">
        <v>839</v>
      </c>
      <c r="M3453">
        <v>2378</v>
      </c>
      <c r="N3453">
        <v>4.5</v>
      </c>
      <c r="O3453">
        <v>3.2</v>
      </c>
      <c r="P3453">
        <v>5.9</v>
      </c>
      <c r="Q3453">
        <f t="shared" si="106"/>
        <v>11714618</v>
      </c>
      <c r="R3453">
        <f t="shared" si="105"/>
        <v>13.734976249332245</v>
      </c>
      <c r="U3453">
        <v>2798</v>
      </c>
      <c r="V3453">
        <v>1482</v>
      </c>
      <c r="W3453">
        <v>4115</v>
      </c>
      <c r="X3453">
        <v>4697</v>
      </c>
      <c r="Y3453">
        <v>37.299999999999997</v>
      </c>
      <c r="Z3453">
        <v>27.6</v>
      </c>
      <c r="AA3453">
        <v>47.1</v>
      </c>
    </row>
    <row r="3454" spans="1:27" x14ac:dyDescent="0.25">
      <c r="A3454" t="s">
        <v>259</v>
      </c>
      <c r="B3454" t="s">
        <v>176</v>
      </c>
      <c r="C3454" s="76">
        <v>43950</v>
      </c>
      <c r="D3454">
        <v>17148</v>
      </c>
      <c r="E3454">
        <v>10510</v>
      </c>
      <c r="F3454">
        <v>23786</v>
      </c>
      <c r="G3454">
        <v>18327</v>
      </c>
      <c r="H3454">
        <v>48.3</v>
      </c>
      <c r="I3454">
        <v>43.4</v>
      </c>
      <c r="J3454">
        <v>53.2</v>
      </c>
      <c r="K3454">
        <v>1644</v>
      </c>
      <c r="L3454">
        <v>902</v>
      </c>
      <c r="M3454">
        <v>2386</v>
      </c>
      <c r="N3454">
        <v>4.5999999999999996</v>
      </c>
      <c r="O3454">
        <v>3.4</v>
      </c>
      <c r="P3454">
        <v>5.9</v>
      </c>
      <c r="Q3454">
        <f t="shared" si="106"/>
        <v>11714618</v>
      </c>
      <c r="R3454">
        <f t="shared" si="105"/>
        <v>14.033748262213928</v>
      </c>
      <c r="U3454">
        <v>2684</v>
      </c>
      <c r="V3454">
        <v>1451</v>
      </c>
      <c r="W3454">
        <v>3918</v>
      </c>
      <c r="X3454">
        <v>4811</v>
      </c>
      <c r="Y3454">
        <v>35.799999999999997</v>
      </c>
      <c r="Z3454">
        <v>27.2</v>
      </c>
      <c r="AA3454">
        <v>44.4</v>
      </c>
    </row>
    <row r="3455" spans="1:27" x14ac:dyDescent="0.25">
      <c r="A3455" t="s">
        <v>259</v>
      </c>
      <c r="B3455" t="s">
        <v>176</v>
      </c>
      <c r="C3455" s="76">
        <v>43951</v>
      </c>
      <c r="D3455">
        <v>17174</v>
      </c>
      <c r="E3455">
        <v>10484</v>
      </c>
      <c r="F3455">
        <v>23864</v>
      </c>
      <c r="G3455">
        <v>18972</v>
      </c>
      <c r="H3455">
        <v>47.5</v>
      </c>
      <c r="I3455">
        <v>42.2</v>
      </c>
      <c r="J3455">
        <v>52.8</v>
      </c>
      <c r="K3455">
        <v>1567</v>
      </c>
      <c r="L3455">
        <v>799</v>
      </c>
      <c r="M3455">
        <v>2336</v>
      </c>
      <c r="N3455">
        <v>4.3</v>
      </c>
      <c r="O3455">
        <v>3</v>
      </c>
      <c r="P3455">
        <v>5.7</v>
      </c>
      <c r="Q3455">
        <f t="shared" si="106"/>
        <v>11714618</v>
      </c>
      <c r="R3455">
        <f t="shared" si="105"/>
        <v>13.376449833874224</v>
      </c>
      <c r="U3455">
        <v>2736</v>
      </c>
      <c r="V3455">
        <v>1493</v>
      </c>
      <c r="W3455">
        <v>3978</v>
      </c>
      <c r="X3455">
        <v>4786</v>
      </c>
      <c r="Y3455">
        <v>36.4</v>
      </c>
      <c r="Z3455">
        <v>27.6</v>
      </c>
      <c r="AA3455">
        <v>45.2</v>
      </c>
    </row>
    <row r="3456" spans="1:27" x14ac:dyDescent="0.25">
      <c r="A3456" t="s">
        <v>259</v>
      </c>
      <c r="B3456" t="s">
        <v>176</v>
      </c>
      <c r="C3456" s="76">
        <v>43952</v>
      </c>
      <c r="D3456">
        <v>17268</v>
      </c>
      <c r="E3456">
        <v>10620</v>
      </c>
      <c r="F3456">
        <v>23916</v>
      </c>
      <c r="G3456">
        <v>18979</v>
      </c>
      <c r="H3456">
        <v>47.6</v>
      </c>
      <c r="I3456">
        <v>42.9</v>
      </c>
      <c r="J3456">
        <v>52.4</v>
      </c>
      <c r="K3456">
        <v>1494</v>
      </c>
      <c r="L3456">
        <v>815</v>
      </c>
      <c r="M3456">
        <v>2173</v>
      </c>
      <c r="N3456">
        <v>4.0999999999999996</v>
      </c>
      <c r="O3456">
        <v>3</v>
      </c>
      <c r="P3456">
        <v>5.3</v>
      </c>
      <c r="Q3456">
        <f t="shared" si="106"/>
        <v>11714618</v>
      </c>
      <c r="R3456">
        <f t="shared" si="105"/>
        <v>12.753296778435285</v>
      </c>
      <c r="U3456">
        <v>2787</v>
      </c>
      <c r="V3456">
        <v>1512</v>
      </c>
      <c r="W3456">
        <v>4061</v>
      </c>
      <c r="X3456">
        <v>4668</v>
      </c>
      <c r="Y3456">
        <v>37.4</v>
      </c>
      <c r="Z3456">
        <v>28.5</v>
      </c>
      <c r="AA3456">
        <v>46.3</v>
      </c>
    </row>
    <row r="3457" spans="1:27" x14ac:dyDescent="0.25">
      <c r="A3457" t="s">
        <v>259</v>
      </c>
      <c r="B3457" t="s">
        <v>176</v>
      </c>
      <c r="C3457" s="76">
        <v>43953</v>
      </c>
      <c r="D3457">
        <v>16558</v>
      </c>
      <c r="E3457">
        <v>10083</v>
      </c>
      <c r="F3457">
        <v>23033</v>
      </c>
      <c r="G3457">
        <v>19238</v>
      </c>
      <c r="H3457">
        <v>46.3</v>
      </c>
      <c r="I3457">
        <v>41</v>
      </c>
      <c r="J3457">
        <v>51.5</v>
      </c>
      <c r="K3457">
        <v>1457</v>
      </c>
      <c r="L3457">
        <v>779</v>
      </c>
      <c r="M3457">
        <v>2136</v>
      </c>
      <c r="N3457">
        <v>4.0999999999999996</v>
      </c>
      <c r="O3457">
        <v>2.9</v>
      </c>
      <c r="P3457">
        <v>5.2</v>
      </c>
      <c r="Q3457">
        <f t="shared" si="106"/>
        <v>11714618</v>
      </c>
      <c r="R3457">
        <f t="shared" si="105"/>
        <v>12.437452079103219</v>
      </c>
      <c r="U3457">
        <v>2695</v>
      </c>
      <c r="V3457">
        <v>1482</v>
      </c>
      <c r="W3457">
        <v>3907</v>
      </c>
      <c r="X3457">
        <v>4639</v>
      </c>
      <c r="Y3457">
        <v>36.700000000000003</v>
      </c>
      <c r="Z3457">
        <v>29.1</v>
      </c>
      <c r="AA3457">
        <v>44.4</v>
      </c>
    </row>
    <row r="3458" spans="1:27" x14ac:dyDescent="0.25">
      <c r="A3458" t="s">
        <v>259</v>
      </c>
      <c r="B3458" t="s">
        <v>176</v>
      </c>
      <c r="C3458" s="76">
        <v>43954</v>
      </c>
      <c r="D3458">
        <v>16136</v>
      </c>
      <c r="E3458">
        <v>9812</v>
      </c>
      <c r="F3458">
        <v>22460</v>
      </c>
      <c r="G3458">
        <v>19640</v>
      </c>
      <c r="H3458">
        <v>45.1</v>
      </c>
      <c r="I3458">
        <v>39.799999999999997</v>
      </c>
      <c r="J3458">
        <v>50.4</v>
      </c>
      <c r="K3458">
        <v>1443</v>
      </c>
      <c r="L3458">
        <v>747</v>
      </c>
      <c r="M3458">
        <v>2139</v>
      </c>
      <c r="N3458">
        <v>4</v>
      </c>
      <c r="O3458">
        <v>2.9</v>
      </c>
      <c r="P3458">
        <v>5.2</v>
      </c>
      <c r="Q3458">
        <f t="shared" si="106"/>
        <v>11714618</v>
      </c>
      <c r="R3458">
        <f t="shared" si="105"/>
        <v>12.317943273950545</v>
      </c>
      <c r="U3458">
        <v>2671</v>
      </c>
      <c r="V3458">
        <v>1456</v>
      </c>
      <c r="W3458">
        <v>3886</v>
      </c>
      <c r="X3458">
        <v>4635</v>
      </c>
      <c r="Y3458">
        <v>36.6</v>
      </c>
      <c r="Z3458">
        <v>27.3</v>
      </c>
      <c r="AA3458">
        <v>45.9</v>
      </c>
    </row>
    <row r="3459" spans="1:27" x14ac:dyDescent="0.25">
      <c r="A3459" t="s">
        <v>259</v>
      </c>
      <c r="B3459" t="s">
        <v>176</v>
      </c>
      <c r="C3459" s="76">
        <v>43955</v>
      </c>
      <c r="D3459">
        <v>16533</v>
      </c>
      <c r="E3459">
        <v>10070</v>
      </c>
      <c r="F3459">
        <v>22996</v>
      </c>
      <c r="G3459">
        <v>19183</v>
      </c>
      <c r="H3459">
        <v>46.3</v>
      </c>
      <c r="I3459">
        <v>41.1</v>
      </c>
      <c r="J3459">
        <v>51.5</v>
      </c>
      <c r="K3459">
        <v>1362</v>
      </c>
      <c r="L3459">
        <v>739</v>
      </c>
      <c r="M3459">
        <v>1986</v>
      </c>
      <c r="N3459">
        <v>3.8</v>
      </c>
      <c r="O3459">
        <v>2.8</v>
      </c>
      <c r="P3459">
        <v>4.8</v>
      </c>
      <c r="Q3459">
        <f t="shared" si="106"/>
        <v>11714618</v>
      </c>
      <c r="R3459">
        <f t="shared" si="105"/>
        <v>11.626499472710078</v>
      </c>
      <c r="U3459">
        <v>2615</v>
      </c>
      <c r="V3459">
        <v>1432</v>
      </c>
      <c r="W3459">
        <v>3799</v>
      </c>
      <c r="X3459">
        <v>4702</v>
      </c>
      <c r="Y3459">
        <v>35.700000000000003</v>
      </c>
      <c r="Z3459">
        <v>26.8</v>
      </c>
      <c r="AA3459">
        <v>44.6</v>
      </c>
    </row>
    <row r="3460" spans="1:27" x14ac:dyDescent="0.25">
      <c r="A3460" t="s">
        <v>259</v>
      </c>
      <c r="B3460" t="s">
        <v>176</v>
      </c>
      <c r="C3460" s="76">
        <v>43956</v>
      </c>
      <c r="D3460">
        <v>17333</v>
      </c>
      <c r="E3460">
        <v>10569</v>
      </c>
      <c r="F3460">
        <v>24097</v>
      </c>
      <c r="G3460">
        <v>18405</v>
      </c>
      <c r="H3460">
        <v>48.5</v>
      </c>
      <c r="I3460">
        <v>43.1</v>
      </c>
      <c r="J3460">
        <v>53.9</v>
      </c>
      <c r="K3460">
        <v>1404</v>
      </c>
      <c r="L3460">
        <v>745</v>
      </c>
      <c r="M3460">
        <v>2064</v>
      </c>
      <c r="N3460">
        <v>3.9</v>
      </c>
      <c r="O3460">
        <v>2.8</v>
      </c>
      <c r="P3460">
        <v>5</v>
      </c>
      <c r="Q3460">
        <f t="shared" si="106"/>
        <v>11714618</v>
      </c>
      <c r="R3460">
        <f t="shared" si="105"/>
        <v>11.985025888168098</v>
      </c>
      <c r="U3460">
        <v>2753</v>
      </c>
      <c r="V3460">
        <v>1473</v>
      </c>
      <c r="W3460">
        <v>4033</v>
      </c>
      <c r="X3460">
        <v>4564</v>
      </c>
      <c r="Y3460">
        <v>37.6</v>
      </c>
      <c r="Z3460">
        <v>27.4</v>
      </c>
      <c r="AA3460">
        <v>47.8</v>
      </c>
    </row>
    <row r="3461" spans="1:27" x14ac:dyDescent="0.25">
      <c r="A3461" t="s">
        <v>259</v>
      </c>
      <c r="B3461" t="s">
        <v>176</v>
      </c>
      <c r="C3461" s="76">
        <v>43957</v>
      </c>
      <c r="D3461">
        <v>17680</v>
      </c>
      <c r="E3461">
        <v>11063</v>
      </c>
      <c r="F3461">
        <v>24297</v>
      </c>
      <c r="G3461">
        <v>18420</v>
      </c>
      <c r="H3461">
        <v>49</v>
      </c>
      <c r="I3461">
        <v>44</v>
      </c>
      <c r="J3461">
        <v>53.9</v>
      </c>
      <c r="K3461">
        <v>1363</v>
      </c>
      <c r="L3461">
        <v>787</v>
      </c>
      <c r="M3461">
        <v>1938</v>
      </c>
      <c r="N3461">
        <v>3.8</v>
      </c>
      <c r="O3461">
        <v>2.9</v>
      </c>
      <c r="P3461">
        <v>4.7</v>
      </c>
      <c r="Q3461">
        <f t="shared" si="106"/>
        <v>11714618</v>
      </c>
      <c r="R3461">
        <f t="shared" ref="R3461:R3524" si="107">K3461/(Q3461)*100000</f>
        <v>11.63503581593527</v>
      </c>
      <c r="U3461">
        <v>2830</v>
      </c>
      <c r="V3461">
        <v>1569</v>
      </c>
      <c r="W3461">
        <v>4092</v>
      </c>
      <c r="X3461">
        <v>4413</v>
      </c>
      <c r="Y3461">
        <v>39.1</v>
      </c>
      <c r="Z3461">
        <v>29.6</v>
      </c>
      <c r="AA3461">
        <v>48.5</v>
      </c>
    </row>
    <row r="3462" spans="1:27" x14ac:dyDescent="0.25">
      <c r="A3462" t="s">
        <v>259</v>
      </c>
      <c r="B3462" t="s">
        <v>176</v>
      </c>
      <c r="C3462" s="76">
        <v>43958</v>
      </c>
      <c r="D3462">
        <v>17743</v>
      </c>
      <c r="E3462">
        <v>11082</v>
      </c>
      <c r="F3462">
        <v>24405</v>
      </c>
      <c r="G3462">
        <v>18290</v>
      </c>
      <c r="H3462">
        <v>49.2</v>
      </c>
      <c r="I3462">
        <v>44.7</v>
      </c>
      <c r="J3462">
        <v>53.8</v>
      </c>
      <c r="K3462">
        <v>1323</v>
      </c>
      <c r="L3462">
        <v>753</v>
      </c>
      <c r="M3462">
        <v>1892</v>
      </c>
      <c r="N3462">
        <v>3.7</v>
      </c>
      <c r="O3462">
        <v>2.8</v>
      </c>
      <c r="P3462">
        <v>4.5</v>
      </c>
      <c r="Q3462">
        <f t="shared" si="106"/>
        <v>11714618</v>
      </c>
      <c r="R3462">
        <f t="shared" si="107"/>
        <v>11.293582086927632</v>
      </c>
      <c r="U3462">
        <v>2801</v>
      </c>
      <c r="V3462">
        <v>1535</v>
      </c>
      <c r="W3462">
        <v>4068</v>
      </c>
      <c r="X3462">
        <v>4446</v>
      </c>
      <c r="Y3462">
        <v>38.700000000000003</v>
      </c>
      <c r="Z3462">
        <v>30.4</v>
      </c>
      <c r="AA3462">
        <v>46.9</v>
      </c>
    </row>
    <row r="3463" spans="1:27" x14ac:dyDescent="0.25">
      <c r="A3463" t="s">
        <v>259</v>
      </c>
      <c r="B3463" t="s">
        <v>176</v>
      </c>
      <c r="C3463" s="76">
        <v>43959</v>
      </c>
      <c r="D3463">
        <v>17545</v>
      </c>
      <c r="E3463">
        <v>10941</v>
      </c>
      <c r="F3463">
        <v>24149</v>
      </c>
      <c r="G3463">
        <v>18589</v>
      </c>
      <c r="H3463">
        <v>48.6</v>
      </c>
      <c r="I3463">
        <v>44</v>
      </c>
      <c r="J3463">
        <v>53.1</v>
      </c>
      <c r="K3463">
        <v>1315</v>
      </c>
      <c r="L3463">
        <v>758</v>
      </c>
      <c r="M3463">
        <v>1872</v>
      </c>
      <c r="N3463">
        <v>3.6</v>
      </c>
      <c r="O3463">
        <v>2.9</v>
      </c>
      <c r="P3463">
        <v>4.4000000000000004</v>
      </c>
      <c r="Q3463">
        <f t="shared" si="106"/>
        <v>11714618</v>
      </c>
      <c r="R3463">
        <f t="shared" si="107"/>
        <v>11.225291341126104</v>
      </c>
      <c r="U3463">
        <v>2863</v>
      </c>
      <c r="V3463">
        <v>1588</v>
      </c>
      <c r="W3463">
        <v>4139</v>
      </c>
      <c r="X3463">
        <v>4411</v>
      </c>
      <c r="Y3463">
        <v>39.4</v>
      </c>
      <c r="Z3463">
        <v>30.9</v>
      </c>
      <c r="AA3463">
        <v>47.8</v>
      </c>
    </row>
    <row r="3464" spans="1:27" x14ac:dyDescent="0.25">
      <c r="A3464" t="s">
        <v>259</v>
      </c>
      <c r="B3464" t="s">
        <v>176</v>
      </c>
      <c r="C3464" s="76">
        <v>43960</v>
      </c>
      <c r="D3464">
        <v>17002</v>
      </c>
      <c r="E3464">
        <v>10459</v>
      </c>
      <c r="F3464">
        <v>23546</v>
      </c>
      <c r="G3464">
        <v>19181</v>
      </c>
      <c r="H3464">
        <v>47</v>
      </c>
      <c r="I3464">
        <v>41.9</v>
      </c>
      <c r="J3464">
        <v>52.1</v>
      </c>
      <c r="K3464">
        <v>1193</v>
      </c>
      <c r="L3464">
        <v>660</v>
      </c>
      <c r="M3464">
        <v>1726</v>
      </c>
      <c r="N3464">
        <v>3.3</v>
      </c>
      <c r="O3464">
        <v>2.5</v>
      </c>
      <c r="P3464">
        <v>4.0999999999999996</v>
      </c>
      <c r="Q3464">
        <f t="shared" si="106"/>
        <v>11714618</v>
      </c>
      <c r="R3464">
        <f t="shared" si="107"/>
        <v>10.183857467652809</v>
      </c>
      <c r="U3464">
        <v>2811</v>
      </c>
      <c r="V3464">
        <v>1549</v>
      </c>
      <c r="W3464">
        <v>4073</v>
      </c>
      <c r="X3464">
        <v>4527</v>
      </c>
      <c r="Y3464">
        <v>38.299999999999997</v>
      </c>
      <c r="Z3464">
        <v>30</v>
      </c>
      <c r="AA3464">
        <v>46.6</v>
      </c>
    </row>
    <row r="3465" spans="1:27" x14ac:dyDescent="0.25">
      <c r="A3465" t="s">
        <v>259</v>
      </c>
      <c r="B3465" t="s">
        <v>176</v>
      </c>
      <c r="C3465" s="76">
        <v>43961</v>
      </c>
      <c r="D3465">
        <v>16622</v>
      </c>
      <c r="E3465">
        <v>10233</v>
      </c>
      <c r="F3465">
        <v>23012</v>
      </c>
      <c r="G3465">
        <v>19458</v>
      </c>
      <c r="H3465">
        <v>46.1</v>
      </c>
      <c r="I3465">
        <v>41.1</v>
      </c>
      <c r="J3465">
        <v>51</v>
      </c>
      <c r="K3465">
        <v>1263</v>
      </c>
      <c r="L3465">
        <v>701</v>
      </c>
      <c r="M3465">
        <v>1826</v>
      </c>
      <c r="N3465">
        <v>3.5</v>
      </c>
      <c r="O3465">
        <v>2.7</v>
      </c>
      <c r="P3465">
        <v>4.3</v>
      </c>
      <c r="Q3465">
        <f t="shared" si="106"/>
        <v>11714618</v>
      </c>
      <c r="R3465">
        <f t="shared" si="107"/>
        <v>10.781401493416174</v>
      </c>
      <c r="U3465">
        <v>2663</v>
      </c>
      <c r="V3465">
        <v>1457</v>
      </c>
      <c r="W3465">
        <v>3869</v>
      </c>
      <c r="X3465">
        <v>4599</v>
      </c>
      <c r="Y3465">
        <v>36.700000000000003</v>
      </c>
      <c r="Z3465">
        <v>28.4</v>
      </c>
      <c r="AA3465">
        <v>45</v>
      </c>
    </row>
    <row r="3466" spans="1:27" x14ac:dyDescent="0.25">
      <c r="A3466" t="s">
        <v>259</v>
      </c>
      <c r="B3466" t="s">
        <v>176</v>
      </c>
      <c r="C3466" s="76">
        <v>43962</v>
      </c>
      <c r="D3466">
        <v>17984</v>
      </c>
      <c r="E3466">
        <v>11155</v>
      </c>
      <c r="F3466">
        <v>24813</v>
      </c>
      <c r="G3466">
        <v>19249</v>
      </c>
      <c r="H3466">
        <v>48.3</v>
      </c>
      <c r="I3466">
        <v>43</v>
      </c>
      <c r="J3466">
        <v>53.6</v>
      </c>
      <c r="K3466">
        <v>1450</v>
      </c>
      <c r="L3466">
        <v>800</v>
      </c>
      <c r="M3466">
        <v>2100</v>
      </c>
      <c r="N3466">
        <v>3.9</v>
      </c>
      <c r="O3466">
        <v>3</v>
      </c>
      <c r="P3466">
        <v>4.7</v>
      </c>
      <c r="Q3466">
        <f t="shared" si="106"/>
        <v>11714618</v>
      </c>
      <c r="R3466">
        <f t="shared" si="107"/>
        <v>12.377697676526882</v>
      </c>
      <c r="U3466">
        <v>2850</v>
      </c>
      <c r="V3466">
        <v>1594</v>
      </c>
      <c r="W3466">
        <v>4107</v>
      </c>
      <c r="X3466">
        <v>4611</v>
      </c>
      <c r="Y3466">
        <v>38.200000000000003</v>
      </c>
      <c r="Z3466">
        <v>29.2</v>
      </c>
      <c r="AA3466">
        <v>47.2</v>
      </c>
    </row>
    <row r="3467" spans="1:27" x14ac:dyDescent="0.25">
      <c r="A3467" t="s">
        <v>259</v>
      </c>
      <c r="B3467" t="s">
        <v>176</v>
      </c>
      <c r="C3467" s="76">
        <v>43963</v>
      </c>
      <c r="D3467">
        <v>18933</v>
      </c>
      <c r="E3467">
        <v>11800</v>
      </c>
      <c r="F3467">
        <v>26066</v>
      </c>
      <c r="G3467">
        <v>18047</v>
      </c>
      <c r="H3467">
        <v>51.2</v>
      </c>
      <c r="I3467">
        <v>45.8</v>
      </c>
      <c r="J3467">
        <v>56.6</v>
      </c>
      <c r="K3467">
        <v>1475</v>
      </c>
      <c r="L3467">
        <v>812</v>
      </c>
      <c r="M3467">
        <v>2138</v>
      </c>
      <c r="N3467">
        <v>4</v>
      </c>
      <c r="O3467">
        <v>3.1</v>
      </c>
      <c r="P3467">
        <v>4.9000000000000004</v>
      </c>
      <c r="Q3467">
        <f t="shared" si="106"/>
        <v>11714618</v>
      </c>
      <c r="R3467">
        <f t="shared" si="107"/>
        <v>12.591106257156657</v>
      </c>
      <c r="U3467">
        <v>3073</v>
      </c>
      <c r="V3467">
        <v>1739</v>
      </c>
      <c r="W3467">
        <v>4407</v>
      </c>
      <c r="X3467">
        <v>4699</v>
      </c>
      <c r="Y3467">
        <v>39.5</v>
      </c>
      <c r="Z3467">
        <v>30.9</v>
      </c>
      <c r="AA3467">
        <v>48.2</v>
      </c>
    </row>
    <row r="3468" spans="1:27" x14ac:dyDescent="0.25">
      <c r="A3468" t="s">
        <v>259</v>
      </c>
      <c r="B3468" t="s">
        <v>176</v>
      </c>
      <c r="C3468" s="76">
        <v>43964</v>
      </c>
      <c r="D3468">
        <v>19142</v>
      </c>
      <c r="E3468">
        <v>12009</v>
      </c>
      <c r="F3468">
        <v>26276</v>
      </c>
      <c r="G3468">
        <v>17843</v>
      </c>
      <c r="H3468">
        <v>51.8</v>
      </c>
      <c r="I3468">
        <v>47.2</v>
      </c>
      <c r="J3468">
        <v>56.4</v>
      </c>
      <c r="K3468">
        <v>1350</v>
      </c>
      <c r="L3468">
        <v>770</v>
      </c>
      <c r="M3468">
        <v>1931</v>
      </c>
      <c r="N3468">
        <v>3.7</v>
      </c>
      <c r="O3468">
        <v>2.9</v>
      </c>
      <c r="P3468">
        <v>4.4000000000000004</v>
      </c>
      <c r="Q3468">
        <f t="shared" si="106"/>
        <v>11714618</v>
      </c>
      <c r="R3468">
        <f t="shared" si="107"/>
        <v>11.524063354007788</v>
      </c>
      <c r="U3468">
        <v>2995</v>
      </c>
      <c r="V3468">
        <v>1754</v>
      </c>
      <c r="W3468">
        <v>4235</v>
      </c>
      <c r="X3468">
        <v>4777</v>
      </c>
      <c r="Y3468">
        <v>38.5</v>
      </c>
      <c r="Z3468">
        <v>30.5</v>
      </c>
      <c r="AA3468">
        <v>46.5</v>
      </c>
    </row>
    <row r="3469" spans="1:27" x14ac:dyDescent="0.25">
      <c r="A3469" t="s">
        <v>259</v>
      </c>
      <c r="B3469" t="s">
        <v>176</v>
      </c>
      <c r="C3469" s="76">
        <v>43965</v>
      </c>
      <c r="D3469">
        <v>19258</v>
      </c>
      <c r="E3469">
        <v>12101</v>
      </c>
      <c r="F3469">
        <v>26414</v>
      </c>
      <c r="G3469">
        <v>17674</v>
      </c>
      <c r="H3469">
        <v>52.1</v>
      </c>
      <c r="I3469">
        <v>47.3</v>
      </c>
      <c r="J3469">
        <v>57</v>
      </c>
      <c r="K3469">
        <v>1209</v>
      </c>
      <c r="L3469">
        <v>647</v>
      </c>
      <c r="M3469">
        <v>1771</v>
      </c>
      <c r="N3469">
        <v>3.3</v>
      </c>
      <c r="O3469">
        <v>2.5</v>
      </c>
      <c r="P3469">
        <v>4.0999999999999996</v>
      </c>
      <c r="Q3469">
        <f t="shared" si="106"/>
        <v>11714618</v>
      </c>
      <c r="R3469">
        <f t="shared" si="107"/>
        <v>10.320438959255863</v>
      </c>
      <c r="U3469">
        <v>2916</v>
      </c>
      <c r="V3469">
        <v>1708</v>
      </c>
      <c r="W3469">
        <v>4124</v>
      </c>
      <c r="X3469">
        <v>4462</v>
      </c>
      <c r="Y3469">
        <v>39.5</v>
      </c>
      <c r="Z3469">
        <v>32</v>
      </c>
      <c r="AA3469">
        <v>47.1</v>
      </c>
    </row>
    <row r="3470" spans="1:27" x14ac:dyDescent="0.25">
      <c r="A3470" t="s">
        <v>259</v>
      </c>
      <c r="B3470" t="s">
        <v>176</v>
      </c>
      <c r="C3470" s="76">
        <v>43966</v>
      </c>
      <c r="D3470">
        <v>19048</v>
      </c>
      <c r="E3470">
        <v>11977</v>
      </c>
      <c r="F3470">
        <v>26118</v>
      </c>
      <c r="G3470">
        <v>17842</v>
      </c>
      <c r="H3470">
        <v>51.6</v>
      </c>
      <c r="I3470">
        <v>47</v>
      </c>
      <c r="J3470">
        <v>56.3</v>
      </c>
      <c r="K3470">
        <v>1249</v>
      </c>
      <c r="L3470">
        <v>688</v>
      </c>
      <c r="M3470">
        <v>1811</v>
      </c>
      <c r="N3470">
        <v>3.4</v>
      </c>
      <c r="O3470">
        <v>2.6</v>
      </c>
      <c r="P3470">
        <v>4.0999999999999996</v>
      </c>
      <c r="Q3470">
        <f t="shared" si="106"/>
        <v>11714618</v>
      </c>
      <c r="R3470">
        <f t="shared" si="107"/>
        <v>10.661892688263501</v>
      </c>
      <c r="U3470">
        <v>3045</v>
      </c>
      <c r="V3470">
        <v>1760</v>
      </c>
      <c r="W3470">
        <v>4330</v>
      </c>
      <c r="X3470">
        <v>4338</v>
      </c>
      <c r="Y3470">
        <v>41.2</v>
      </c>
      <c r="Z3470">
        <v>33.1</v>
      </c>
      <c r="AA3470">
        <v>49.4</v>
      </c>
    </row>
    <row r="3471" spans="1:27" x14ac:dyDescent="0.25">
      <c r="A3471" t="s">
        <v>259</v>
      </c>
      <c r="B3471" t="s">
        <v>176</v>
      </c>
      <c r="C3471" s="76">
        <v>43967</v>
      </c>
      <c r="D3471">
        <v>18940</v>
      </c>
      <c r="E3471">
        <v>12169</v>
      </c>
      <c r="F3471">
        <v>25712</v>
      </c>
      <c r="G3471">
        <v>18191</v>
      </c>
      <c r="H3471">
        <v>51</v>
      </c>
      <c r="I3471">
        <v>46.5</v>
      </c>
      <c r="J3471">
        <v>55.5</v>
      </c>
      <c r="K3471">
        <v>1534</v>
      </c>
      <c r="L3471">
        <v>698</v>
      </c>
      <c r="M3471">
        <v>2371</v>
      </c>
      <c r="N3471">
        <v>4.0999999999999996</v>
      </c>
      <c r="O3471">
        <v>2.6</v>
      </c>
      <c r="P3471">
        <v>5.7</v>
      </c>
      <c r="Q3471">
        <f t="shared" si="106"/>
        <v>11714618</v>
      </c>
      <c r="R3471">
        <f t="shared" si="107"/>
        <v>13.094750507442924</v>
      </c>
      <c r="U3471">
        <v>3198</v>
      </c>
      <c r="V3471">
        <v>1827</v>
      </c>
      <c r="W3471">
        <v>4568</v>
      </c>
      <c r="X3471">
        <v>4324</v>
      </c>
      <c r="Y3471">
        <v>42.5</v>
      </c>
      <c r="Z3471">
        <v>34.4</v>
      </c>
      <c r="AA3471">
        <v>50.6</v>
      </c>
    </row>
    <row r="3472" spans="1:27" x14ac:dyDescent="0.25">
      <c r="A3472" t="s">
        <v>259</v>
      </c>
      <c r="B3472" t="s">
        <v>176</v>
      </c>
      <c r="C3472" s="76">
        <v>43968</v>
      </c>
      <c r="D3472">
        <v>18416</v>
      </c>
      <c r="E3472">
        <v>11833</v>
      </c>
      <c r="F3472">
        <v>24998</v>
      </c>
      <c r="G3472">
        <v>18862</v>
      </c>
      <c r="H3472">
        <v>49.4</v>
      </c>
      <c r="I3472">
        <v>45.1</v>
      </c>
      <c r="J3472">
        <v>53.7</v>
      </c>
      <c r="K3472">
        <v>1422</v>
      </c>
      <c r="L3472">
        <v>683</v>
      </c>
      <c r="M3472">
        <v>2162</v>
      </c>
      <c r="N3472">
        <v>3.8</v>
      </c>
      <c r="O3472">
        <v>2.5</v>
      </c>
      <c r="P3472">
        <v>5.2</v>
      </c>
      <c r="Q3472">
        <f t="shared" si="106"/>
        <v>11714618</v>
      </c>
      <c r="R3472">
        <f t="shared" si="107"/>
        <v>12.138680066221538</v>
      </c>
      <c r="U3472">
        <v>3068</v>
      </c>
      <c r="V3472">
        <v>1762</v>
      </c>
      <c r="W3472">
        <v>4373</v>
      </c>
      <c r="X3472">
        <v>4395</v>
      </c>
      <c r="Y3472">
        <v>41.1</v>
      </c>
      <c r="Z3472">
        <v>32.9</v>
      </c>
      <c r="AA3472">
        <v>49.3</v>
      </c>
    </row>
    <row r="3473" spans="1:27" x14ac:dyDescent="0.25">
      <c r="A3473" t="s">
        <v>259</v>
      </c>
      <c r="B3473" t="s">
        <v>176</v>
      </c>
      <c r="C3473" s="76">
        <v>43969</v>
      </c>
      <c r="D3473">
        <v>19233</v>
      </c>
      <c r="E3473">
        <v>12290</v>
      </c>
      <c r="F3473">
        <v>26177</v>
      </c>
      <c r="G3473">
        <v>18218</v>
      </c>
      <c r="H3473">
        <v>51.4</v>
      </c>
      <c r="I3473">
        <v>46.7</v>
      </c>
      <c r="J3473">
        <v>56</v>
      </c>
      <c r="K3473">
        <v>1613</v>
      </c>
      <c r="L3473">
        <v>635</v>
      </c>
      <c r="M3473">
        <v>2590</v>
      </c>
      <c r="N3473">
        <v>4.3</v>
      </c>
      <c r="O3473">
        <v>2.4</v>
      </c>
      <c r="P3473">
        <v>6.2</v>
      </c>
      <c r="Q3473">
        <f t="shared" si="106"/>
        <v>11714618</v>
      </c>
      <c r="R3473">
        <f t="shared" si="107"/>
        <v>13.769121622233008</v>
      </c>
      <c r="U3473">
        <v>3095</v>
      </c>
      <c r="V3473">
        <v>1772</v>
      </c>
      <c r="W3473">
        <v>4417</v>
      </c>
      <c r="X3473">
        <v>4391</v>
      </c>
      <c r="Y3473">
        <v>41.3</v>
      </c>
      <c r="Z3473">
        <v>33.1</v>
      </c>
      <c r="AA3473">
        <v>49.6</v>
      </c>
    </row>
    <row r="3474" spans="1:27" x14ac:dyDescent="0.25">
      <c r="A3474" t="s">
        <v>259</v>
      </c>
      <c r="B3474" t="s">
        <v>176</v>
      </c>
      <c r="C3474" s="76">
        <v>43970</v>
      </c>
      <c r="D3474">
        <v>20599</v>
      </c>
      <c r="E3474">
        <v>13434</v>
      </c>
      <c r="F3474">
        <v>27765</v>
      </c>
      <c r="G3474">
        <v>16402</v>
      </c>
      <c r="H3474">
        <v>55.7</v>
      </c>
      <c r="I3474">
        <v>50.9</v>
      </c>
      <c r="J3474">
        <v>60.4</v>
      </c>
      <c r="K3474">
        <v>1616</v>
      </c>
      <c r="L3474">
        <v>755</v>
      </c>
      <c r="M3474">
        <v>2477</v>
      </c>
      <c r="N3474">
        <v>4.4000000000000004</v>
      </c>
      <c r="O3474">
        <v>2.7</v>
      </c>
      <c r="P3474">
        <v>6</v>
      </c>
      <c r="Q3474">
        <f t="shared" si="106"/>
        <v>11714618</v>
      </c>
      <c r="R3474">
        <f t="shared" si="107"/>
        <v>13.79473065190858</v>
      </c>
      <c r="U3474">
        <v>3284</v>
      </c>
      <c r="V3474">
        <v>1923</v>
      </c>
      <c r="W3474">
        <v>4646</v>
      </c>
      <c r="X3474">
        <v>3956</v>
      </c>
      <c r="Y3474">
        <v>45.4</v>
      </c>
      <c r="Z3474">
        <v>36.299999999999997</v>
      </c>
      <c r="AA3474">
        <v>54.5</v>
      </c>
    </row>
    <row r="3475" spans="1:27" x14ac:dyDescent="0.25">
      <c r="A3475" t="s">
        <v>259</v>
      </c>
      <c r="B3475" t="s">
        <v>176</v>
      </c>
      <c r="C3475" s="76">
        <v>43971</v>
      </c>
      <c r="D3475">
        <v>20821</v>
      </c>
      <c r="E3475">
        <v>13661</v>
      </c>
      <c r="F3475">
        <v>27982</v>
      </c>
      <c r="G3475">
        <v>15949</v>
      </c>
      <c r="H3475">
        <v>56.6</v>
      </c>
      <c r="I3475">
        <v>51.7</v>
      </c>
      <c r="J3475">
        <v>61.5</v>
      </c>
      <c r="K3475">
        <v>1523</v>
      </c>
      <c r="L3475">
        <v>763</v>
      </c>
      <c r="M3475">
        <v>2283</v>
      </c>
      <c r="N3475">
        <v>4.0999999999999996</v>
      </c>
      <c r="O3475">
        <v>2.7</v>
      </c>
      <c r="P3475">
        <v>5.6</v>
      </c>
      <c r="Q3475">
        <f t="shared" si="106"/>
        <v>11714618</v>
      </c>
      <c r="R3475">
        <f t="shared" si="107"/>
        <v>13.000850731965821</v>
      </c>
      <c r="U3475">
        <v>3278</v>
      </c>
      <c r="V3475">
        <v>1939</v>
      </c>
      <c r="W3475">
        <v>4617</v>
      </c>
      <c r="X3475">
        <v>3940</v>
      </c>
      <c r="Y3475">
        <v>45.4</v>
      </c>
      <c r="Z3475">
        <v>37.200000000000003</v>
      </c>
      <c r="AA3475">
        <v>53.6</v>
      </c>
    </row>
    <row r="3476" spans="1:27" x14ac:dyDescent="0.25">
      <c r="A3476" t="s">
        <v>259</v>
      </c>
      <c r="B3476" t="s">
        <v>176</v>
      </c>
      <c r="C3476" s="76">
        <v>43972</v>
      </c>
      <c r="D3476">
        <v>20374</v>
      </c>
      <c r="E3476">
        <v>13242</v>
      </c>
      <c r="F3476">
        <v>27506</v>
      </c>
      <c r="G3476">
        <v>16605</v>
      </c>
      <c r="H3476">
        <v>55.1</v>
      </c>
      <c r="I3476">
        <v>50</v>
      </c>
      <c r="J3476">
        <v>60.2</v>
      </c>
      <c r="K3476">
        <v>1610</v>
      </c>
      <c r="L3476">
        <v>774</v>
      </c>
      <c r="M3476">
        <v>2446</v>
      </c>
      <c r="N3476">
        <v>4.4000000000000004</v>
      </c>
      <c r="O3476">
        <v>2.8</v>
      </c>
      <c r="P3476">
        <v>6</v>
      </c>
      <c r="Q3476">
        <f t="shared" si="106"/>
        <v>11714618</v>
      </c>
      <c r="R3476">
        <f t="shared" si="107"/>
        <v>13.743512592557435</v>
      </c>
      <c r="U3476">
        <v>3374</v>
      </c>
      <c r="V3476">
        <v>1983</v>
      </c>
      <c r="W3476">
        <v>4765</v>
      </c>
      <c r="X3476">
        <v>3894</v>
      </c>
      <c r="Y3476">
        <v>46.4</v>
      </c>
      <c r="Z3476">
        <v>37.700000000000003</v>
      </c>
      <c r="AA3476">
        <v>55.1</v>
      </c>
    </row>
    <row r="3477" spans="1:27" x14ac:dyDescent="0.25">
      <c r="A3477" t="s">
        <v>259</v>
      </c>
      <c r="B3477" t="s">
        <v>176</v>
      </c>
      <c r="C3477" s="76">
        <v>43973</v>
      </c>
      <c r="D3477">
        <v>20311</v>
      </c>
      <c r="E3477">
        <v>13165</v>
      </c>
      <c r="F3477">
        <v>27458</v>
      </c>
      <c r="G3477">
        <v>16699</v>
      </c>
      <c r="H3477">
        <v>54.9</v>
      </c>
      <c r="I3477">
        <v>49.5</v>
      </c>
      <c r="J3477">
        <v>60.3</v>
      </c>
      <c r="K3477">
        <v>1554</v>
      </c>
      <c r="L3477">
        <v>686</v>
      </c>
      <c r="M3477">
        <v>2422</v>
      </c>
      <c r="N3477">
        <v>4.2</v>
      </c>
      <c r="O3477">
        <v>2.4</v>
      </c>
      <c r="P3477">
        <v>6</v>
      </c>
      <c r="Q3477">
        <f t="shared" si="106"/>
        <v>11714618</v>
      </c>
      <c r="R3477">
        <f t="shared" si="107"/>
        <v>13.265477371946741</v>
      </c>
      <c r="U3477">
        <v>3180</v>
      </c>
      <c r="V3477">
        <v>1875</v>
      </c>
      <c r="W3477">
        <v>4486</v>
      </c>
      <c r="X3477">
        <v>4104</v>
      </c>
      <c r="Y3477">
        <v>43.7</v>
      </c>
      <c r="Z3477">
        <v>35.799999999999997</v>
      </c>
      <c r="AA3477">
        <v>51.6</v>
      </c>
    </row>
    <row r="3478" spans="1:27" x14ac:dyDescent="0.25">
      <c r="A3478" t="s">
        <v>259</v>
      </c>
      <c r="B3478" t="s">
        <v>176</v>
      </c>
      <c r="C3478" s="76">
        <v>43974</v>
      </c>
      <c r="D3478">
        <v>19429</v>
      </c>
      <c r="E3478">
        <v>12571</v>
      </c>
      <c r="F3478">
        <v>26288</v>
      </c>
      <c r="G3478">
        <v>17459</v>
      </c>
      <c r="H3478">
        <v>52.7</v>
      </c>
      <c r="I3478">
        <v>47.3</v>
      </c>
      <c r="J3478">
        <v>58.1</v>
      </c>
      <c r="K3478">
        <v>1441</v>
      </c>
      <c r="L3478">
        <v>726</v>
      </c>
      <c r="M3478">
        <v>2155</v>
      </c>
      <c r="N3478">
        <v>3.9</v>
      </c>
      <c r="O3478">
        <v>2.6</v>
      </c>
      <c r="P3478">
        <v>5.2</v>
      </c>
      <c r="Q3478">
        <f t="shared" si="106"/>
        <v>11714618</v>
      </c>
      <c r="R3478">
        <f t="shared" si="107"/>
        <v>12.300870587500166</v>
      </c>
      <c r="U3478">
        <v>3190</v>
      </c>
      <c r="V3478">
        <v>1892</v>
      </c>
      <c r="W3478">
        <v>4487</v>
      </c>
      <c r="X3478">
        <v>4081</v>
      </c>
      <c r="Y3478">
        <v>43.9</v>
      </c>
      <c r="Z3478">
        <v>35.9</v>
      </c>
      <c r="AA3478">
        <v>51.9</v>
      </c>
    </row>
    <row r="3479" spans="1:27" x14ac:dyDescent="0.25">
      <c r="A3479" t="s">
        <v>259</v>
      </c>
      <c r="B3479" t="s">
        <v>176</v>
      </c>
      <c r="C3479" s="76">
        <v>43975</v>
      </c>
      <c r="D3479">
        <v>18822</v>
      </c>
      <c r="E3479">
        <v>12092</v>
      </c>
      <c r="F3479">
        <v>25552</v>
      </c>
      <c r="G3479">
        <v>17872</v>
      </c>
      <c r="H3479">
        <v>51.3</v>
      </c>
      <c r="I3479">
        <v>45.8</v>
      </c>
      <c r="J3479">
        <v>56.8</v>
      </c>
      <c r="K3479">
        <v>1425</v>
      </c>
      <c r="L3479">
        <v>677</v>
      </c>
      <c r="M3479">
        <v>2173</v>
      </c>
      <c r="N3479">
        <v>3.9</v>
      </c>
      <c r="O3479">
        <v>2.4</v>
      </c>
      <c r="P3479">
        <v>5.3</v>
      </c>
      <c r="Q3479">
        <f t="shared" si="106"/>
        <v>11714618</v>
      </c>
      <c r="R3479">
        <f t="shared" si="107"/>
        <v>12.164289095897109</v>
      </c>
      <c r="U3479">
        <v>3192</v>
      </c>
      <c r="V3479">
        <v>1902</v>
      </c>
      <c r="W3479">
        <v>4483</v>
      </c>
      <c r="X3479">
        <v>4066</v>
      </c>
      <c r="Y3479">
        <v>44</v>
      </c>
      <c r="Z3479">
        <v>36</v>
      </c>
      <c r="AA3479">
        <v>51.9</v>
      </c>
    </row>
    <row r="3480" spans="1:27" x14ac:dyDescent="0.25">
      <c r="A3480" t="s">
        <v>259</v>
      </c>
      <c r="B3480" t="s">
        <v>176</v>
      </c>
      <c r="C3480" s="76">
        <v>43976</v>
      </c>
      <c r="D3480">
        <v>18835</v>
      </c>
      <c r="E3480">
        <v>12019</v>
      </c>
      <c r="F3480">
        <v>25650</v>
      </c>
      <c r="G3480">
        <v>18175</v>
      </c>
      <c r="H3480">
        <v>50.9</v>
      </c>
      <c r="I3480">
        <v>45.7</v>
      </c>
      <c r="J3480">
        <v>56.1</v>
      </c>
      <c r="K3480">
        <v>1471</v>
      </c>
      <c r="L3480">
        <v>669</v>
      </c>
      <c r="M3480">
        <v>2273</v>
      </c>
      <c r="N3480">
        <v>4</v>
      </c>
      <c r="O3480">
        <v>2.4</v>
      </c>
      <c r="P3480">
        <v>5.5</v>
      </c>
      <c r="Q3480">
        <f t="shared" si="106"/>
        <v>11714618</v>
      </c>
      <c r="R3480">
        <f t="shared" si="107"/>
        <v>12.556960884255894</v>
      </c>
      <c r="U3480">
        <v>2916</v>
      </c>
      <c r="V3480">
        <v>1640</v>
      </c>
      <c r="W3480">
        <v>4191</v>
      </c>
      <c r="X3480">
        <v>4002</v>
      </c>
      <c r="Y3480">
        <v>42.1</v>
      </c>
      <c r="Z3480">
        <v>33.4</v>
      </c>
      <c r="AA3480">
        <v>50.9</v>
      </c>
    </row>
    <row r="3481" spans="1:27" x14ac:dyDescent="0.25">
      <c r="A3481" t="s">
        <v>259</v>
      </c>
      <c r="B3481" t="s">
        <v>176</v>
      </c>
      <c r="C3481" s="76">
        <v>43977</v>
      </c>
      <c r="D3481">
        <v>19350</v>
      </c>
      <c r="E3481">
        <v>12408</v>
      </c>
      <c r="F3481">
        <v>26292</v>
      </c>
      <c r="G3481">
        <v>17617</v>
      </c>
      <c r="H3481">
        <v>52.3</v>
      </c>
      <c r="I3481">
        <v>47</v>
      </c>
      <c r="J3481">
        <v>57.7</v>
      </c>
      <c r="K3481">
        <v>1475</v>
      </c>
      <c r="L3481">
        <v>657</v>
      </c>
      <c r="M3481">
        <v>2293</v>
      </c>
      <c r="N3481">
        <v>4</v>
      </c>
      <c r="O3481">
        <v>2.4</v>
      </c>
      <c r="P3481">
        <v>5.6</v>
      </c>
      <c r="Q3481">
        <f t="shared" si="106"/>
        <v>11714618</v>
      </c>
      <c r="R3481">
        <f t="shared" si="107"/>
        <v>12.591106257156657</v>
      </c>
      <c r="U3481">
        <v>2935</v>
      </c>
      <c r="V3481">
        <v>1640</v>
      </c>
      <c r="W3481">
        <v>4230</v>
      </c>
      <c r="X3481">
        <v>4000</v>
      </c>
      <c r="Y3481">
        <v>42.3</v>
      </c>
      <c r="Z3481">
        <v>33.6</v>
      </c>
      <c r="AA3481">
        <v>51.1</v>
      </c>
    </row>
    <row r="3482" spans="1:27" x14ac:dyDescent="0.25">
      <c r="A3482" t="s">
        <v>259</v>
      </c>
      <c r="B3482" t="s">
        <v>176</v>
      </c>
      <c r="C3482" s="76">
        <v>43978</v>
      </c>
      <c r="D3482">
        <v>19755</v>
      </c>
      <c r="E3482">
        <v>12303</v>
      </c>
      <c r="F3482">
        <v>27208</v>
      </c>
      <c r="G3482">
        <v>16766</v>
      </c>
      <c r="H3482">
        <v>54.1</v>
      </c>
      <c r="I3482">
        <v>48.2</v>
      </c>
      <c r="J3482">
        <v>59.9</v>
      </c>
      <c r="K3482">
        <v>1071</v>
      </c>
      <c r="L3482">
        <v>538</v>
      </c>
      <c r="M3482">
        <v>1604</v>
      </c>
      <c r="N3482">
        <v>2.9</v>
      </c>
      <c r="O3482">
        <v>2</v>
      </c>
      <c r="P3482">
        <v>3.8</v>
      </c>
      <c r="Q3482">
        <f t="shared" si="106"/>
        <v>11714618</v>
      </c>
      <c r="R3482">
        <f t="shared" si="107"/>
        <v>9.1424235941795118</v>
      </c>
      <c r="U3482">
        <v>2843</v>
      </c>
      <c r="V3482">
        <v>1595</v>
      </c>
      <c r="W3482">
        <v>4091</v>
      </c>
      <c r="X3482">
        <v>3927</v>
      </c>
      <c r="Y3482">
        <v>42</v>
      </c>
      <c r="Z3482">
        <v>33.299999999999997</v>
      </c>
      <c r="AA3482">
        <v>50.7</v>
      </c>
    </row>
    <row r="3483" spans="1:27" x14ac:dyDescent="0.25">
      <c r="A3483" t="s">
        <v>259</v>
      </c>
      <c r="B3483" t="s">
        <v>176</v>
      </c>
      <c r="C3483" s="76">
        <v>43979</v>
      </c>
      <c r="D3483">
        <v>19620</v>
      </c>
      <c r="E3483">
        <v>11945</v>
      </c>
      <c r="F3483">
        <v>27294</v>
      </c>
      <c r="G3483">
        <v>16250</v>
      </c>
      <c r="H3483">
        <v>54.7</v>
      </c>
      <c r="I3483">
        <v>49.2</v>
      </c>
      <c r="J3483">
        <v>60.1</v>
      </c>
      <c r="K3483">
        <v>966</v>
      </c>
      <c r="L3483">
        <v>559</v>
      </c>
      <c r="M3483">
        <v>1373</v>
      </c>
      <c r="N3483">
        <v>2.7</v>
      </c>
      <c r="O3483">
        <v>2.1</v>
      </c>
      <c r="P3483">
        <v>3.3</v>
      </c>
      <c r="Q3483">
        <f t="shared" si="106"/>
        <v>11714618</v>
      </c>
      <c r="R3483">
        <f t="shared" si="107"/>
        <v>8.2461075555344614</v>
      </c>
      <c r="U3483">
        <v>3023</v>
      </c>
      <c r="V3483">
        <v>1728</v>
      </c>
      <c r="W3483">
        <v>4318</v>
      </c>
      <c r="X3483">
        <v>4291</v>
      </c>
      <c r="Y3483">
        <v>41.3</v>
      </c>
      <c r="Z3483">
        <v>32.700000000000003</v>
      </c>
      <c r="AA3483">
        <v>49.9</v>
      </c>
    </row>
    <row r="3484" spans="1:27" x14ac:dyDescent="0.25">
      <c r="A3484" t="s">
        <v>259</v>
      </c>
      <c r="B3484" t="s">
        <v>176</v>
      </c>
      <c r="C3484" s="76">
        <v>43980</v>
      </c>
      <c r="D3484">
        <v>19627</v>
      </c>
      <c r="E3484">
        <v>12544</v>
      </c>
      <c r="F3484">
        <v>26710</v>
      </c>
      <c r="G3484">
        <v>15359</v>
      </c>
      <c r="H3484">
        <v>56.1</v>
      </c>
      <c r="I3484">
        <v>51.1</v>
      </c>
      <c r="J3484">
        <v>61.1</v>
      </c>
      <c r="K3484">
        <v>926</v>
      </c>
      <c r="L3484">
        <v>550</v>
      </c>
      <c r="M3484">
        <v>1302</v>
      </c>
      <c r="N3484">
        <v>2.6</v>
      </c>
      <c r="O3484">
        <v>2.1</v>
      </c>
      <c r="P3484">
        <v>3.2</v>
      </c>
      <c r="Q3484">
        <f t="shared" si="106"/>
        <v>11714618</v>
      </c>
      <c r="R3484">
        <f t="shared" si="107"/>
        <v>7.9046538265268227</v>
      </c>
      <c r="U3484">
        <v>2931</v>
      </c>
      <c r="V3484">
        <v>1744</v>
      </c>
      <c r="W3484">
        <v>4118</v>
      </c>
      <c r="X3484">
        <v>4053</v>
      </c>
      <c r="Y3484">
        <v>42</v>
      </c>
      <c r="Z3484">
        <v>34.200000000000003</v>
      </c>
      <c r="AA3484">
        <v>49.7</v>
      </c>
    </row>
    <row r="3485" spans="1:27" x14ac:dyDescent="0.25">
      <c r="A3485" t="s">
        <v>259</v>
      </c>
      <c r="B3485" t="s">
        <v>176</v>
      </c>
      <c r="C3485" s="76">
        <v>43981</v>
      </c>
      <c r="D3485">
        <v>19720</v>
      </c>
      <c r="E3485">
        <v>12637</v>
      </c>
      <c r="F3485">
        <v>26803</v>
      </c>
      <c r="G3485">
        <v>16047</v>
      </c>
      <c r="H3485">
        <v>55.1</v>
      </c>
      <c r="I3485">
        <v>50.4</v>
      </c>
      <c r="J3485">
        <v>59.9</v>
      </c>
      <c r="K3485">
        <v>1250</v>
      </c>
      <c r="L3485">
        <v>574</v>
      </c>
      <c r="M3485">
        <v>1927</v>
      </c>
      <c r="N3485">
        <v>3.5</v>
      </c>
      <c r="O3485">
        <v>2.1</v>
      </c>
      <c r="P3485">
        <v>4.9000000000000004</v>
      </c>
      <c r="Q3485">
        <f t="shared" si="106"/>
        <v>11714618</v>
      </c>
      <c r="R3485">
        <f t="shared" si="107"/>
        <v>10.670429031488691</v>
      </c>
      <c r="U3485">
        <v>3118</v>
      </c>
      <c r="V3485">
        <v>1802</v>
      </c>
      <c r="W3485">
        <v>4434</v>
      </c>
      <c r="X3485">
        <v>4188</v>
      </c>
      <c r="Y3485">
        <v>42.7</v>
      </c>
      <c r="Z3485">
        <v>34.5</v>
      </c>
      <c r="AA3485">
        <v>50.8</v>
      </c>
    </row>
    <row r="3486" spans="1:27" x14ac:dyDescent="0.25">
      <c r="A3486" t="s">
        <v>259</v>
      </c>
      <c r="B3486" t="s">
        <v>176</v>
      </c>
      <c r="C3486" s="76">
        <v>43982</v>
      </c>
      <c r="D3486">
        <v>18704</v>
      </c>
      <c r="E3486">
        <v>11770</v>
      </c>
      <c r="F3486">
        <v>25637</v>
      </c>
      <c r="G3486">
        <v>16671</v>
      </c>
      <c r="H3486">
        <v>52.9</v>
      </c>
      <c r="I3486">
        <v>47.8</v>
      </c>
      <c r="J3486">
        <v>57.9</v>
      </c>
      <c r="K3486">
        <v>1150</v>
      </c>
      <c r="L3486">
        <v>536</v>
      </c>
      <c r="M3486">
        <v>1764</v>
      </c>
      <c r="N3486">
        <v>3.2</v>
      </c>
      <c r="O3486">
        <v>2</v>
      </c>
      <c r="P3486">
        <v>4.5</v>
      </c>
      <c r="Q3486">
        <f t="shared" si="106"/>
        <v>11714618</v>
      </c>
      <c r="R3486">
        <f t="shared" si="107"/>
        <v>9.8167947089695975</v>
      </c>
      <c r="U3486">
        <v>2829</v>
      </c>
      <c r="V3486">
        <v>1539</v>
      </c>
      <c r="W3486">
        <v>4119</v>
      </c>
      <c r="X3486">
        <v>4197</v>
      </c>
      <c r="Y3486">
        <v>40.299999999999997</v>
      </c>
      <c r="Z3486">
        <v>31.8</v>
      </c>
      <c r="AA3486">
        <v>48.7</v>
      </c>
    </row>
    <row r="3487" spans="1:27" x14ac:dyDescent="0.25">
      <c r="A3487" t="s">
        <v>259</v>
      </c>
      <c r="B3487" t="s">
        <v>176</v>
      </c>
      <c r="C3487" s="76">
        <v>43983</v>
      </c>
      <c r="D3487">
        <v>18652</v>
      </c>
      <c r="E3487">
        <v>11476</v>
      </c>
      <c r="F3487">
        <v>25827</v>
      </c>
      <c r="G3487">
        <v>16567</v>
      </c>
      <c r="H3487">
        <v>53</v>
      </c>
      <c r="I3487">
        <v>47.9</v>
      </c>
      <c r="J3487">
        <v>58</v>
      </c>
      <c r="K3487">
        <v>895</v>
      </c>
      <c r="L3487">
        <v>470</v>
      </c>
      <c r="M3487">
        <v>1321</v>
      </c>
      <c r="N3487">
        <v>2.5</v>
      </c>
      <c r="O3487">
        <v>1.8</v>
      </c>
      <c r="P3487">
        <v>3.3</v>
      </c>
      <c r="Q3487">
        <f t="shared" si="106"/>
        <v>11714618</v>
      </c>
      <c r="R3487">
        <f t="shared" si="107"/>
        <v>7.6400271865459031</v>
      </c>
      <c r="U3487">
        <v>2631</v>
      </c>
      <c r="V3487">
        <v>1445</v>
      </c>
      <c r="W3487">
        <v>3818</v>
      </c>
      <c r="X3487">
        <v>4288</v>
      </c>
      <c r="Y3487">
        <v>38</v>
      </c>
      <c r="Z3487">
        <v>30.2</v>
      </c>
      <c r="AA3487">
        <v>45.8</v>
      </c>
    </row>
    <row r="3488" spans="1:27" x14ac:dyDescent="0.25">
      <c r="A3488" t="s">
        <v>259</v>
      </c>
      <c r="B3488" t="s">
        <v>176</v>
      </c>
      <c r="C3488" s="76">
        <v>43984</v>
      </c>
      <c r="D3488">
        <v>20065</v>
      </c>
      <c r="E3488">
        <v>12299</v>
      </c>
      <c r="F3488">
        <v>27830</v>
      </c>
      <c r="G3488">
        <v>15288</v>
      </c>
      <c r="H3488">
        <v>56.8</v>
      </c>
      <c r="I3488">
        <v>51.4</v>
      </c>
      <c r="J3488">
        <v>62.1</v>
      </c>
      <c r="K3488">
        <v>889</v>
      </c>
      <c r="L3488">
        <v>458</v>
      </c>
      <c r="M3488">
        <v>1320</v>
      </c>
      <c r="N3488">
        <v>2.5</v>
      </c>
      <c r="O3488">
        <v>1.8</v>
      </c>
      <c r="P3488">
        <v>3.2</v>
      </c>
      <c r="Q3488">
        <f t="shared" si="106"/>
        <v>11714618</v>
      </c>
      <c r="R3488">
        <f t="shared" si="107"/>
        <v>7.5888091271947573</v>
      </c>
      <c r="U3488">
        <v>2950</v>
      </c>
      <c r="V3488">
        <v>1628</v>
      </c>
      <c r="W3488">
        <v>4271</v>
      </c>
      <c r="X3488">
        <v>4049</v>
      </c>
      <c r="Y3488">
        <v>42.1</v>
      </c>
      <c r="Z3488">
        <v>33.4</v>
      </c>
      <c r="AA3488">
        <v>50.9</v>
      </c>
    </row>
    <row r="3489" spans="1:27" x14ac:dyDescent="0.25">
      <c r="A3489" t="s">
        <v>259</v>
      </c>
      <c r="B3489" t="s">
        <v>176</v>
      </c>
      <c r="C3489" s="76">
        <v>43985</v>
      </c>
      <c r="D3489">
        <v>21592</v>
      </c>
      <c r="E3489">
        <v>12104</v>
      </c>
      <c r="F3489">
        <v>31080</v>
      </c>
      <c r="G3489">
        <v>15916</v>
      </c>
      <c r="H3489">
        <v>57.6</v>
      </c>
      <c r="I3489">
        <v>51.4</v>
      </c>
      <c r="J3489">
        <v>63.7</v>
      </c>
      <c r="K3489">
        <v>878</v>
      </c>
      <c r="L3489">
        <v>419</v>
      </c>
      <c r="M3489">
        <v>1338</v>
      </c>
      <c r="N3489">
        <v>2.2999999999999998</v>
      </c>
      <c r="O3489">
        <v>1.6</v>
      </c>
      <c r="P3489">
        <v>3.1</v>
      </c>
      <c r="Q3489">
        <f t="shared" si="106"/>
        <v>11714618</v>
      </c>
      <c r="R3489">
        <f t="shared" si="107"/>
        <v>7.4949093517176575</v>
      </c>
      <c r="U3489">
        <v>3180</v>
      </c>
      <c r="V3489">
        <v>1534</v>
      </c>
      <c r="W3489">
        <v>4826</v>
      </c>
      <c r="X3489">
        <v>4774</v>
      </c>
      <c r="Y3489">
        <v>40</v>
      </c>
      <c r="Z3489">
        <v>30.5</v>
      </c>
      <c r="AA3489">
        <v>49.4</v>
      </c>
    </row>
    <row r="3490" spans="1:27" x14ac:dyDescent="0.25">
      <c r="A3490" t="s">
        <v>259</v>
      </c>
      <c r="B3490" t="s">
        <v>176</v>
      </c>
      <c r="C3490" s="76">
        <v>43986</v>
      </c>
      <c r="D3490">
        <v>21889</v>
      </c>
      <c r="E3490">
        <v>12513</v>
      </c>
      <c r="F3490">
        <v>31264</v>
      </c>
      <c r="G3490">
        <v>14273</v>
      </c>
      <c r="H3490">
        <v>60.5</v>
      </c>
      <c r="I3490">
        <v>52.1</v>
      </c>
      <c r="J3490">
        <v>68.900000000000006</v>
      </c>
      <c r="K3490">
        <v>940</v>
      </c>
      <c r="L3490">
        <v>469</v>
      </c>
      <c r="M3490">
        <v>1412</v>
      </c>
      <c r="N3490">
        <v>2.6</v>
      </c>
      <c r="O3490">
        <v>1.9</v>
      </c>
      <c r="P3490">
        <v>3.3</v>
      </c>
      <c r="Q3490">
        <f t="shared" si="106"/>
        <v>11714618</v>
      </c>
      <c r="R3490">
        <f t="shared" si="107"/>
        <v>8.0241626316794967</v>
      </c>
      <c r="U3490">
        <v>3269</v>
      </c>
      <c r="V3490">
        <v>1624</v>
      </c>
      <c r="W3490">
        <v>4914</v>
      </c>
      <c r="X3490">
        <v>4637</v>
      </c>
      <c r="Y3490">
        <v>41.3</v>
      </c>
      <c r="Z3490">
        <v>31.6</v>
      </c>
      <c r="AA3490">
        <v>51.1</v>
      </c>
    </row>
    <row r="3491" spans="1:27" x14ac:dyDescent="0.25">
      <c r="A3491" t="s">
        <v>259</v>
      </c>
      <c r="B3491" t="s">
        <v>176</v>
      </c>
      <c r="C3491" s="76">
        <v>43987</v>
      </c>
      <c r="D3491">
        <v>22682</v>
      </c>
      <c r="E3491">
        <v>13143</v>
      </c>
      <c r="F3491">
        <v>32221</v>
      </c>
      <c r="G3491">
        <v>14874</v>
      </c>
      <c r="H3491">
        <v>60.4</v>
      </c>
      <c r="I3491">
        <v>51.5</v>
      </c>
      <c r="J3491">
        <v>69.3</v>
      </c>
      <c r="K3491">
        <v>1012</v>
      </c>
      <c r="L3491">
        <v>474</v>
      </c>
      <c r="M3491">
        <v>1550</v>
      </c>
      <c r="N3491">
        <v>2.7</v>
      </c>
      <c r="O3491">
        <v>1.8</v>
      </c>
      <c r="P3491">
        <v>3.6</v>
      </c>
      <c r="Q3491">
        <f t="shared" si="106"/>
        <v>11714618</v>
      </c>
      <c r="R3491">
        <f t="shared" si="107"/>
        <v>8.6387793438932441</v>
      </c>
      <c r="U3491">
        <v>3679</v>
      </c>
      <c r="V3491">
        <v>1890</v>
      </c>
      <c r="W3491">
        <v>5468</v>
      </c>
      <c r="X3491">
        <v>4646</v>
      </c>
      <c r="Y3491">
        <v>44.2</v>
      </c>
      <c r="Z3491">
        <v>33.799999999999997</v>
      </c>
      <c r="AA3491">
        <v>54.6</v>
      </c>
    </row>
    <row r="3492" spans="1:27" x14ac:dyDescent="0.25">
      <c r="A3492" t="s">
        <v>259</v>
      </c>
      <c r="B3492" t="s">
        <v>176</v>
      </c>
      <c r="C3492" s="76">
        <v>43988</v>
      </c>
      <c r="D3492">
        <v>21967</v>
      </c>
      <c r="E3492">
        <v>12824</v>
      </c>
      <c r="F3492">
        <v>31111</v>
      </c>
      <c r="G3492">
        <v>15375</v>
      </c>
      <c r="H3492">
        <v>58.8</v>
      </c>
      <c r="I3492">
        <v>51.1</v>
      </c>
      <c r="J3492">
        <v>66.5</v>
      </c>
      <c r="K3492">
        <v>970</v>
      </c>
      <c r="L3492">
        <v>466</v>
      </c>
      <c r="M3492">
        <v>1474</v>
      </c>
      <c r="N3492">
        <v>2.6</v>
      </c>
      <c r="O3492">
        <v>1.9</v>
      </c>
      <c r="P3492">
        <v>3.4</v>
      </c>
      <c r="Q3492">
        <f t="shared" si="106"/>
        <v>11714618</v>
      </c>
      <c r="R3492">
        <f t="shared" si="107"/>
        <v>8.2802529284352246</v>
      </c>
      <c r="U3492">
        <v>3615</v>
      </c>
      <c r="V3492">
        <v>1878</v>
      </c>
      <c r="W3492">
        <v>5353</v>
      </c>
      <c r="X3492">
        <v>4558</v>
      </c>
      <c r="Y3492">
        <v>44.2</v>
      </c>
      <c r="Z3492">
        <v>33.4</v>
      </c>
      <c r="AA3492">
        <v>55</v>
      </c>
    </row>
    <row r="3493" spans="1:27" x14ac:dyDescent="0.25">
      <c r="A3493" t="s">
        <v>259</v>
      </c>
      <c r="B3493" t="s">
        <v>176</v>
      </c>
      <c r="C3493" s="76">
        <v>43989</v>
      </c>
      <c r="D3493">
        <v>19644</v>
      </c>
      <c r="E3493">
        <v>11445</v>
      </c>
      <c r="F3493">
        <v>27843</v>
      </c>
      <c r="G3493">
        <v>17200</v>
      </c>
      <c r="H3493">
        <v>53.3</v>
      </c>
      <c r="I3493">
        <v>48.1</v>
      </c>
      <c r="J3493">
        <v>58.6</v>
      </c>
      <c r="K3493">
        <v>871</v>
      </c>
      <c r="L3493">
        <v>416</v>
      </c>
      <c r="M3493">
        <v>1327</v>
      </c>
      <c r="N3493">
        <v>2.4</v>
      </c>
      <c r="O3493">
        <v>1.7</v>
      </c>
      <c r="P3493">
        <v>3</v>
      </c>
      <c r="Q3493">
        <f t="shared" si="106"/>
        <v>11714618</v>
      </c>
      <c r="R3493">
        <f t="shared" si="107"/>
        <v>7.4351549491413209</v>
      </c>
      <c r="U3493">
        <v>3118</v>
      </c>
      <c r="V3493">
        <v>1597</v>
      </c>
      <c r="W3493">
        <v>4640</v>
      </c>
      <c r="X3493">
        <v>4605</v>
      </c>
      <c r="Y3493">
        <v>40.4</v>
      </c>
      <c r="Z3493">
        <v>30.4</v>
      </c>
      <c r="AA3493">
        <v>50.4</v>
      </c>
    </row>
    <row r="3494" spans="1:27" x14ac:dyDescent="0.25">
      <c r="A3494" t="s">
        <v>259</v>
      </c>
      <c r="B3494" t="s">
        <v>176</v>
      </c>
      <c r="C3494" s="76">
        <v>43990</v>
      </c>
      <c r="D3494">
        <v>19126</v>
      </c>
      <c r="E3494">
        <v>11132</v>
      </c>
      <c r="F3494">
        <v>27121</v>
      </c>
      <c r="G3494">
        <v>16336</v>
      </c>
      <c r="H3494">
        <v>53.9</v>
      </c>
      <c r="I3494">
        <v>49.2</v>
      </c>
      <c r="J3494">
        <v>58.7</v>
      </c>
      <c r="K3494">
        <v>821</v>
      </c>
      <c r="L3494">
        <v>370</v>
      </c>
      <c r="M3494">
        <v>1273</v>
      </c>
      <c r="N3494">
        <v>2.2999999999999998</v>
      </c>
      <c r="O3494">
        <v>1.7</v>
      </c>
      <c r="P3494">
        <v>3</v>
      </c>
      <c r="Q3494">
        <f t="shared" si="106"/>
        <v>11714618</v>
      </c>
      <c r="R3494">
        <f t="shared" si="107"/>
        <v>7.0083377878817723</v>
      </c>
      <c r="U3494">
        <v>3080</v>
      </c>
      <c r="V3494">
        <v>1562</v>
      </c>
      <c r="W3494">
        <v>4598</v>
      </c>
      <c r="X3494">
        <v>4593</v>
      </c>
      <c r="Y3494">
        <v>40.1</v>
      </c>
      <c r="Z3494">
        <v>30.1</v>
      </c>
      <c r="AA3494">
        <v>50.2</v>
      </c>
    </row>
    <row r="3495" spans="1:27" x14ac:dyDescent="0.25">
      <c r="A3495" t="s">
        <v>259</v>
      </c>
      <c r="B3495" t="s">
        <v>176</v>
      </c>
      <c r="C3495" s="76">
        <v>43991</v>
      </c>
      <c r="D3495">
        <v>20389</v>
      </c>
      <c r="E3495">
        <v>11806</v>
      </c>
      <c r="F3495">
        <v>28973</v>
      </c>
      <c r="G3495">
        <v>15058</v>
      </c>
      <c r="H3495">
        <v>57.5</v>
      </c>
      <c r="I3495">
        <v>52.1</v>
      </c>
      <c r="J3495">
        <v>62.9</v>
      </c>
      <c r="K3495">
        <v>921</v>
      </c>
      <c r="L3495">
        <v>417</v>
      </c>
      <c r="M3495">
        <v>1425</v>
      </c>
      <c r="N3495">
        <v>2.6</v>
      </c>
      <c r="O3495">
        <v>1.8</v>
      </c>
      <c r="P3495">
        <v>3.4</v>
      </c>
      <c r="Q3495">
        <f t="shared" ref="Q3495:Q3558" si="108">VLOOKUP(B3495,$AE$4:$AF$55,2,FALSE)</f>
        <v>11714618</v>
      </c>
      <c r="R3495">
        <f t="shared" si="107"/>
        <v>7.8619721104008686</v>
      </c>
      <c r="U3495">
        <v>3239</v>
      </c>
      <c r="V3495">
        <v>1628</v>
      </c>
      <c r="W3495">
        <v>4849</v>
      </c>
      <c r="X3495">
        <v>4447</v>
      </c>
      <c r="Y3495">
        <v>42.1</v>
      </c>
      <c r="Z3495">
        <v>32.6</v>
      </c>
      <c r="AA3495">
        <v>51.7</v>
      </c>
    </row>
    <row r="3496" spans="1:27" x14ac:dyDescent="0.25">
      <c r="A3496" t="s">
        <v>259</v>
      </c>
      <c r="B3496" t="s">
        <v>176</v>
      </c>
      <c r="C3496" s="76">
        <v>43992</v>
      </c>
      <c r="D3496">
        <v>21518</v>
      </c>
      <c r="E3496">
        <v>11220</v>
      </c>
      <c r="F3496">
        <v>31817</v>
      </c>
      <c r="G3496">
        <v>14316</v>
      </c>
      <c r="H3496">
        <v>60</v>
      </c>
      <c r="I3496">
        <v>54.1</v>
      </c>
      <c r="J3496">
        <v>66</v>
      </c>
      <c r="K3496">
        <v>857</v>
      </c>
      <c r="L3496">
        <v>325</v>
      </c>
      <c r="M3496">
        <v>1389</v>
      </c>
      <c r="N3496">
        <v>2.4</v>
      </c>
      <c r="O3496">
        <v>1.6</v>
      </c>
      <c r="P3496">
        <v>3.2</v>
      </c>
      <c r="Q3496">
        <f t="shared" si="108"/>
        <v>11714618</v>
      </c>
      <c r="R3496">
        <f t="shared" si="107"/>
        <v>7.3156461439886478</v>
      </c>
      <c r="U3496">
        <v>3627</v>
      </c>
      <c r="V3496">
        <v>1442</v>
      </c>
      <c r="W3496">
        <v>5812</v>
      </c>
      <c r="X3496">
        <v>4623</v>
      </c>
      <c r="Y3496">
        <v>44</v>
      </c>
      <c r="Z3496">
        <v>31.2</v>
      </c>
      <c r="AA3496">
        <v>56.8</v>
      </c>
    </row>
    <row r="3497" spans="1:27" x14ac:dyDescent="0.25">
      <c r="A3497" t="s">
        <v>259</v>
      </c>
      <c r="B3497" t="s">
        <v>176</v>
      </c>
      <c r="C3497" s="76">
        <v>43993</v>
      </c>
      <c r="D3497">
        <v>22728</v>
      </c>
      <c r="E3497">
        <v>13106</v>
      </c>
      <c r="F3497">
        <v>32350</v>
      </c>
      <c r="G3497">
        <v>15098</v>
      </c>
      <c r="H3497">
        <v>60.1</v>
      </c>
      <c r="I3497">
        <v>54.1</v>
      </c>
      <c r="J3497">
        <v>66.099999999999994</v>
      </c>
      <c r="K3497">
        <v>1015</v>
      </c>
      <c r="L3497">
        <v>473</v>
      </c>
      <c r="M3497">
        <v>1557</v>
      </c>
      <c r="N3497">
        <v>2.7</v>
      </c>
      <c r="O3497">
        <v>1.8</v>
      </c>
      <c r="P3497">
        <v>3.5</v>
      </c>
      <c r="Q3497">
        <f t="shared" si="108"/>
        <v>11714618</v>
      </c>
      <c r="R3497">
        <f t="shared" si="107"/>
        <v>8.6643883735688174</v>
      </c>
      <c r="U3497">
        <v>3576</v>
      </c>
      <c r="V3497">
        <v>1786</v>
      </c>
      <c r="W3497">
        <v>5365</v>
      </c>
      <c r="X3497">
        <v>4581</v>
      </c>
      <c r="Y3497">
        <v>43.8</v>
      </c>
      <c r="Z3497">
        <v>33</v>
      </c>
      <c r="AA3497">
        <v>54.7</v>
      </c>
    </row>
    <row r="3498" spans="1:27" x14ac:dyDescent="0.25">
      <c r="A3498" t="s">
        <v>259</v>
      </c>
      <c r="B3498" t="s">
        <v>176</v>
      </c>
      <c r="C3498" s="76">
        <v>43994</v>
      </c>
      <c r="D3498">
        <v>22965</v>
      </c>
      <c r="E3498">
        <v>12635</v>
      </c>
      <c r="F3498">
        <v>33295</v>
      </c>
      <c r="G3498">
        <v>14779</v>
      </c>
      <c r="H3498">
        <v>60.8</v>
      </c>
      <c r="I3498">
        <v>54.6</v>
      </c>
      <c r="J3498">
        <v>67.099999999999994</v>
      </c>
      <c r="K3498">
        <v>910</v>
      </c>
      <c r="L3498">
        <v>348</v>
      </c>
      <c r="M3498">
        <v>1471</v>
      </c>
      <c r="N3498">
        <v>2.4</v>
      </c>
      <c r="O3498">
        <v>1.6</v>
      </c>
      <c r="P3498">
        <v>3.2</v>
      </c>
      <c r="Q3498">
        <f t="shared" si="108"/>
        <v>11714618</v>
      </c>
      <c r="R3498">
        <f t="shared" si="107"/>
        <v>7.768072334923767</v>
      </c>
      <c r="U3498">
        <v>3504</v>
      </c>
      <c r="V3498">
        <v>1609</v>
      </c>
      <c r="W3498">
        <v>5398</v>
      </c>
      <c r="X3498">
        <v>4757</v>
      </c>
      <c r="Y3498">
        <v>42.4</v>
      </c>
      <c r="Z3498">
        <v>31.8</v>
      </c>
      <c r="AA3498">
        <v>53</v>
      </c>
    </row>
    <row r="3499" spans="1:27" x14ac:dyDescent="0.25">
      <c r="A3499" t="s">
        <v>259</v>
      </c>
      <c r="B3499" t="s">
        <v>176</v>
      </c>
      <c r="C3499" s="76">
        <v>43995</v>
      </c>
      <c r="D3499">
        <v>21060</v>
      </c>
      <c r="E3499">
        <v>11370</v>
      </c>
      <c r="F3499">
        <v>30751</v>
      </c>
      <c r="G3499">
        <v>15643</v>
      </c>
      <c r="H3499">
        <v>57.4</v>
      </c>
      <c r="I3499">
        <v>51.2</v>
      </c>
      <c r="J3499">
        <v>63.5</v>
      </c>
      <c r="K3499">
        <v>924</v>
      </c>
      <c r="L3499">
        <v>349</v>
      </c>
      <c r="M3499">
        <v>1499</v>
      </c>
      <c r="N3499">
        <v>2.5</v>
      </c>
      <c r="O3499">
        <v>1.7</v>
      </c>
      <c r="P3499">
        <v>3.4</v>
      </c>
      <c r="Q3499">
        <f t="shared" si="108"/>
        <v>11714618</v>
      </c>
      <c r="R3499">
        <f t="shared" si="107"/>
        <v>7.8875811400764411</v>
      </c>
      <c r="U3499">
        <v>3326</v>
      </c>
      <c r="V3499">
        <v>1502</v>
      </c>
      <c r="W3499">
        <v>5151</v>
      </c>
      <c r="X3499">
        <v>4770</v>
      </c>
      <c r="Y3499">
        <v>41.1</v>
      </c>
      <c r="Z3499">
        <v>30.2</v>
      </c>
      <c r="AA3499">
        <v>52</v>
      </c>
    </row>
    <row r="3500" spans="1:27" x14ac:dyDescent="0.25">
      <c r="A3500" t="s">
        <v>259</v>
      </c>
      <c r="B3500" t="s">
        <v>176</v>
      </c>
      <c r="C3500" s="76">
        <v>43996</v>
      </c>
      <c r="D3500">
        <v>20088</v>
      </c>
      <c r="E3500">
        <v>11398</v>
      </c>
      <c r="F3500">
        <v>28778</v>
      </c>
      <c r="G3500">
        <v>16779</v>
      </c>
      <c r="H3500">
        <v>54.5</v>
      </c>
      <c r="I3500">
        <v>48.8</v>
      </c>
      <c r="J3500">
        <v>60.2</v>
      </c>
      <c r="K3500">
        <v>935</v>
      </c>
      <c r="L3500">
        <v>430</v>
      </c>
      <c r="M3500">
        <v>1440</v>
      </c>
      <c r="N3500">
        <v>2.5</v>
      </c>
      <c r="O3500">
        <v>1.8</v>
      </c>
      <c r="P3500">
        <v>3.3</v>
      </c>
      <c r="Q3500">
        <f t="shared" si="108"/>
        <v>11714618</v>
      </c>
      <c r="R3500">
        <f t="shared" si="107"/>
        <v>7.9814809155535418</v>
      </c>
      <c r="U3500">
        <v>3516</v>
      </c>
      <c r="V3500">
        <v>1759</v>
      </c>
      <c r="W3500">
        <v>5273</v>
      </c>
      <c r="X3500">
        <v>4396</v>
      </c>
      <c r="Y3500">
        <v>44.4</v>
      </c>
      <c r="Z3500">
        <v>33.700000000000003</v>
      </c>
      <c r="AA3500">
        <v>55.2</v>
      </c>
    </row>
    <row r="3501" spans="1:27" x14ac:dyDescent="0.25">
      <c r="A3501" t="s">
        <v>259</v>
      </c>
      <c r="B3501" t="s">
        <v>176</v>
      </c>
      <c r="C3501" s="76">
        <v>43997</v>
      </c>
      <c r="D3501">
        <v>19129</v>
      </c>
      <c r="E3501">
        <v>11234</v>
      </c>
      <c r="F3501">
        <v>27025</v>
      </c>
      <c r="G3501">
        <v>16696</v>
      </c>
      <c r="H3501">
        <v>53.4</v>
      </c>
      <c r="I3501">
        <v>47.4</v>
      </c>
      <c r="J3501">
        <v>59.4</v>
      </c>
      <c r="K3501">
        <v>915</v>
      </c>
      <c r="L3501">
        <v>419</v>
      </c>
      <c r="M3501">
        <v>1411</v>
      </c>
      <c r="N3501">
        <v>2.6</v>
      </c>
      <c r="O3501">
        <v>1.7</v>
      </c>
      <c r="P3501">
        <v>3.4</v>
      </c>
      <c r="Q3501">
        <f t="shared" si="108"/>
        <v>11714618</v>
      </c>
      <c r="R3501">
        <f t="shared" si="107"/>
        <v>7.8107540510497229</v>
      </c>
      <c r="U3501">
        <v>2932</v>
      </c>
      <c r="V3501">
        <v>1491</v>
      </c>
      <c r="W3501">
        <v>4373</v>
      </c>
      <c r="X3501">
        <v>4659</v>
      </c>
      <c r="Y3501">
        <v>38.6</v>
      </c>
      <c r="Z3501">
        <v>29</v>
      </c>
      <c r="AA3501">
        <v>48.3</v>
      </c>
    </row>
    <row r="3502" spans="1:27" x14ac:dyDescent="0.25">
      <c r="A3502" t="s">
        <v>259</v>
      </c>
      <c r="B3502" t="s">
        <v>176</v>
      </c>
      <c r="C3502" s="76">
        <v>43998</v>
      </c>
      <c r="D3502">
        <v>22054</v>
      </c>
      <c r="E3502">
        <v>11523</v>
      </c>
      <c r="F3502">
        <v>32585</v>
      </c>
      <c r="G3502">
        <v>14936</v>
      </c>
      <c r="H3502">
        <v>59.6</v>
      </c>
      <c r="I3502">
        <v>52.8</v>
      </c>
      <c r="J3502">
        <v>66.400000000000006</v>
      </c>
      <c r="K3502">
        <v>981</v>
      </c>
      <c r="L3502">
        <v>349</v>
      </c>
      <c r="M3502">
        <v>1613</v>
      </c>
      <c r="N3502">
        <v>2.7</v>
      </c>
      <c r="O3502">
        <v>1.7</v>
      </c>
      <c r="P3502">
        <v>3.6</v>
      </c>
      <c r="Q3502">
        <f t="shared" si="108"/>
        <v>11714618</v>
      </c>
      <c r="R3502">
        <f t="shared" si="107"/>
        <v>8.3741527039123245</v>
      </c>
      <c r="U3502">
        <v>3200</v>
      </c>
      <c r="V3502">
        <v>1307</v>
      </c>
      <c r="W3502">
        <v>5093</v>
      </c>
      <c r="X3502">
        <v>4745</v>
      </c>
      <c r="Y3502">
        <v>40.299999999999997</v>
      </c>
      <c r="Z3502">
        <v>28.8</v>
      </c>
      <c r="AA3502">
        <v>51.7</v>
      </c>
    </row>
    <row r="3503" spans="1:27" x14ac:dyDescent="0.25">
      <c r="A3503" t="s">
        <v>259</v>
      </c>
      <c r="B3503" t="s">
        <v>176</v>
      </c>
      <c r="C3503" s="76">
        <v>43999</v>
      </c>
      <c r="D3503">
        <v>22320</v>
      </c>
      <c r="E3503">
        <v>11370</v>
      </c>
      <c r="F3503">
        <v>33269</v>
      </c>
      <c r="G3503">
        <v>14322</v>
      </c>
      <c r="H3503">
        <v>60.9</v>
      </c>
      <c r="I3503">
        <v>54</v>
      </c>
      <c r="J3503">
        <v>67.8</v>
      </c>
      <c r="K3503">
        <v>997</v>
      </c>
      <c r="L3503">
        <v>343</v>
      </c>
      <c r="M3503">
        <v>1652</v>
      </c>
      <c r="N3503">
        <v>2.7</v>
      </c>
      <c r="O3503">
        <v>1.7</v>
      </c>
      <c r="P3503">
        <v>3.7</v>
      </c>
      <c r="Q3503">
        <f t="shared" si="108"/>
        <v>11714618</v>
      </c>
      <c r="R3503">
        <f t="shared" si="107"/>
        <v>8.510734195515381</v>
      </c>
      <c r="U3503">
        <v>3620</v>
      </c>
      <c r="V3503">
        <v>1347</v>
      </c>
      <c r="W3503">
        <v>5894</v>
      </c>
      <c r="X3503">
        <v>5278</v>
      </c>
      <c r="Y3503">
        <v>40.700000000000003</v>
      </c>
      <c r="Z3503">
        <v>29.1</v>
      </c>
      <c r="AA3503">
        <v>52.2</v>
      </c>
    </row>
    <row r="3504" spans="1:27" x14ac:dyDescent="0.25">
      <c r="A3504" t="s">
        <v>259</v>
      </c>
      <c r="B3504" t="s">
        <v>176</v>
      </c>
      <c r="C3504" s="76">
        <v>44000</v>
      </c>
      <c r="D3504">
        <v>21214</v>
      </c>
      <c r="E3504">
        <v>12055</v>
      </c>
      <c r="F3504">
        <v>30374</v>
      </c>
      <c r="G3504">
        <v>14576</v>
      </c>
      <c r="H3504">
        <v>59.3</v>
      </c>
      <c r="I3504">
        <v>53.3</v>
      </c>
      <c r="J3504">
        <v>65.2</v>
      </c>
      <c r="K3504">
        <v>887</v>
      </c>
      <c r="L3504">
        <v>369</v>
      </c>
      <c r="M3504">
        <v>1405</v>
      </c>
      <c r="N3504">
        <v>2.5</v>
      </c>
      <c r="O3504">
        <v>1.6</v>
      </c>
      <c r="P3504">
        <v>3.3</v>
      </c>
      <c r="Q3504">
        <f t="shared" si="108"/>
        <v>11714618</v>
      </c>
      <c r="R3504">
        <f t="shared" si="107"/>
        <v>7.5717364407443766</v>
      </c>
      <c r="U3504">
        <v>3458</v>
      </c>
      <c r="V3504">
        <v>1667</v>
      </c>
      <c r="W3504">
        <v>5249</v>
      </c>
      <c r="X3504">
        <v>4496</v>
      </c>
      <c r="Y3504">
        <v>43.5</v>
      </c>
      <c r="Z3504">
        <v>33.299999999999997</v>
      </c>
      <c r="AA3504">
        <v>53.6</v>
      </c>
    </row>
    <row r="3505" spans="1:27" x14ac:dyDescent="0.25">
      <c r="A3505" t="s">
        <v>259</v>
      </c>
      <c r="B3505" t="s">
        <v>176</v>
      </c>
      <c r="C3505" s="76">
        <v>44001</v>
      </c>
      <c r="D3505">
        <v>20499</v>
      </c>
      <c r="E3505">
        <v>11447</v>
      </c>
      <c r="F3505">
        <v>29551</v>
      </c>
      <c r="G3505">
        <v>15401</v>
      </c>
      <c r="H3505">
        <v>57.1</v>
      </c>
      <c r="I3505">
        <v>51.4</v>
      </c>
      <c r="J3505">
        <v>62.8</v>
      </c>
      <c r="K3505">
        <v>852</v>
      </c>
      <c r="L3505">
        <v>370</v>
      </c>
      <c r="M3505">
        <v>1334</v>
      </c>
      <c r="N3505">
        <v>2.4</v>
      </c>
      <c r="O3505">
        <v>1.7</v>
      </c>
      <c r="P3505">
        <v>3.1</v>
      </c>
      <c r="Q3505">
        <f t="shared" si="108"/>
        <v>11714618</v>
      </c>
      <c r="R3505">
        <f t="shared" si="107"/>
        <v>7.2729644278626919</v>
      </c>
      <c r="U3505">
        <v>3254</v>
      </c>
      <c r="V3505">
        <v>1585</v>
      </c>
      <c r="W3505">
        <v>4922</v>
      </c>
      <c r="X3505">
        <v>4657</v>
      </c>
      <c r="Y3505">
        <v>41.1</v>
      </c>
      <c r="Z3505">
        <v>31.8</v>
      </c>
      <c r="AA3505">
        <v>50.5</v>
      </c>
    </row>
    <row r="3506" spans="1:27" x14ac:dyDescent="0.25">
      <c r="A3506" t="s">
        <v>259</v>
      </c>
      <c r="B3506" t="s">
        <v>176</v>
      </c>
      <c r="C3506" s="76">
        <v>44002</v>
      </c>
      <c r="D3506">
        <v>20161</v>
      </c>
      <c r="E3506">
        <v>11278</v>
      </c>
      <c r="F3506">
        <v>29044</v>
      </c>
      <c r="G3506">
        <v>15906</v>
      </c>
      <c r="H3506">
        <v>55.9</v>
      </c>
      <c r="I3506">
        <v>50.3</v>
      </c>
      <c r="J3506">
        <v>61.5</v>
      </c>
      <c r="K3506">
        <v>836</v>
      </c>
      <c r="L3506">
        <v>360</v>
      </c>
      <c r="M3506">
        <v>1311</v>
      </c>
      <c r="N3506">
        <v>2.2999999999999998</v>
      </c>
      <c r="O3506">
        <v>1.6</v>
      </c>
      <c r="P3506">
        <v>3</v>
      </c>
      <c r="Q3506">
        <f t="shared" si="108"/>
        <v>11714618</v>
      </c>
      <c r="R3506">
        <f t="shared" si="107"/>
        <v>7.1363829362596372</v>
      </c>
      <c r="U3506">
        <v>3262</v>
      </c>
      <c r="V3506">
        <v>1567</v>
      </c>
      <c r="W3506">
        <v>4957</v>
      </c>
      <c r="X3506">
        <v>4591</v>
      </c>
      <c r="Y3506">
        <v>41.5</v>
      </c>
      <c r="Z3506">
        <v>31.7</v>
      </c>
      <c r="AA3506">
        <v>51.3</v>
      </c>
    </row>
    <row r="3507" spans="1:27" x14ac:dyDescent="0.25">
      <c r="A3507" t="s">
        <v>259</v>
      </c>
      <c r="B3507" t="s">
        <v>176</v>
      </c>
      <c r="C3507" s="76">
        <v>44003</v>
      </c>
      <c r="D3507">
        <v>20422</v>
      </c>
      <c r="E3507">
        <v>11609</v>
      </c>
      <c r="F3507">
        <v>29235</v>
      </c>
      <c r="G3507">
        <v>17207</v>
      </c>
      <c r="H3507">
        <v>54.3</v>
      </c>
      <c r="I3507">
        <v>48.8</v>
      </c>
      <c r="J3507">
        <v>59.7</v>
      </c>
      <c r="K3507">
        <v>864</v>
      </c>
      <c r="L3507">
        <v>374</v>
      </c>
      <c r="M3507">
        <v>1354</v>
      </c>
      <c r="N3507">
        <v>2.2999999999999998</v>
      </c>
      <c r="O3507">
        <v>1.6</v>
      </c>
      <c r="P3507">
        <v>3</v>
      </c>
      <c r="Q3507">
        <f t="shared" si="108"/>
        <v>11714618</v>
      </c>
      <c r="R3507">
        <f t="shared" si="107"/>
        <v>7.3754005465649835</v>
      </c>
      <c r="U3507">
        <v>3088</v>
      </c>
      <c r="V3507">
        <v>1528</v>
      </c>
      <c r="W3507">
        <v>4649</v>
      </c>
      <c r="X3507">
        <v>4837</v>
      </c>
      <c r="Y3507">
        <v>39</v>
      </c>
      <c r="Z3507">
        <v>29.6</v>
      </c>
      <c r="AA3507">
        <v>48.3</v>
      </c>
    </row>
    <row r="3508" spans="1:27" x14ac:dyDescent="0.25">
      <c r="A3508" t="s">
        <v>259</v>
      </c>
      <c r="B3508" t="s">
        <v>176</v>
      </c>
      <c r="C3508" s="76">
        <v>44004</v>
      </c>
      <c r="D3508">
        <v>20341</v>
      </c>
      <c r="E3508">
        <v>11532</v>
      </c>
      <c r="F3508">
        <v>29151</v>
      </c>
      <c r="G3508">
        <v>17125</v>
      </c>
      <c r="H3508">
        <v>54.3</v>
      </c>
      <c r="I3508">
        <v>49</v>
      </c>
      <c r="J3508">
        <v>59.6</v>
      </c>
      <c r="K3508">
        <v>930</v>
      </c>
      <c r="L3508">
        <v>360</v>
      </c>
      <c r="M3508">
        <v>1499</v>
      </c>
      <c r="N3508">
        <v>2.5</v>
      </c>
      <c r="O3508">
        <v>1.6</v>
      </c>
      <c r="P3508">
        <v>3.4</v>
      </c>
      <c r="Q3508">
        <f t="shared" si="108"/>
        <v>11714618</v>
      </c>
      <c r="R3508">
        <f t="shared" si="107"/>
        <v>7.9387991994275868</v>
      </c>
      <c r="U3508">
        <v>3110</v>
      </c>
      <c r="V3508">
        <v>1516</v>
      </c>
      <c r="W3508">
        <v>4705</v>
      </c>
      <c r="X3508">
        <v>4740</v>
      </c>
      <c r="Y3508">
        <v>39.6</v>
      </c>
      <c r="Z3508">
        <v>29.1</v>
      </c>
      <c r="AA3508">
        <v>50.1</v>
      </c>
    </row>
    <row r="3509" spans="1:27" x14ac:dyDescent="0.25">
      <c r="A3509" t="s">
        <v>259</v>
      </c>
      <c r="B3509" t="s">
        <v>176</v>
      </c>
      <c r="C3509" s="76">
        <v>44005</v>
      </c>
      <c r="D3509">
        <v>22170</v>
      </c>
      <c r="E3509">
        <v>12737</v>
      </c>
      <c r="F3509">
        <v>31603</v>
      </c>
      <c r="G3509">
        <v>15074</v>
      </c>
      <c r="H3509">
        <v>59.5</v>
      </c>
      <c r="I3509">
        <v>54.1</v>
      </c>
      <c r="J3509">
        <v>64.900000000000006</v>
      </c>
      <c r="K3509">
        <v>1027</v>
      </c>
      <c r="L3509">
        <v>458</v>
      </c>
      <c r="M3509">
        <v>1596</v>
      </c>
      <c r="N3509">
        <v>2.8</v>
      </c>
      <c r="O3509">
        <v>1.9</v>
      </c>
      <c r="P3509">
        <v>3.6</v>
      </c>
      <c r="Q3509">
        <f t="shared" si="108"/>
        <v>11714618</v>
      </c>
      <c r="R3509">
        <f t="shared" si="107"/>
        <v>8.7668244922711107</v>
      </c>
      <c r="U3509">
        <v>3288</v>
      </c>
      <c r="V3509">
        <v>1639</v>
      </c>
      <c r="W3509">
        <v>4938</v>
      </c>
      <c r="X3509">
        <v>4480</v>
      </c>
      <c r="Y3509">
        <v>42.3</v>
      </c>
      <c r="Z3509">
        <v>31.6</v>
      </c>
      <c r="AA3509">
        <v>53</v>
      </c>
    </row>
    <row r="3510" spans="1:27" x14ac:dyDescent="0.25">
      <c r="A3510" t="s">
        <v>259</v>
      </c>
      <c r="B3510" t="s">
        <v>176</v>
      </c>
      <c r="C3510" s="76">
        <v>44006</v>
      </c>
      <c r="D3510">
        <v>21949</v>
      </c>
      <c r="E3510">
        <v>11435</v>
      </c>
      <c r="F3510">
        <v>32464</v>
      </c>
      <c r="G3510">
        <v>13997</v>
      </c>
      <c r="H3510">
        <v>61.1</v>
      </c>
      <c r="I3510">
        <v>55.2</v>
      </c>
      <c r="J3510">
        <v>66.900000000000006</v>
      </c>
      <c r="K3510">
        <v>1118</v>
      </c>
      <c r="L3510">
        <v>423</v>
      </c>
      <c r="M3510">
        <v>1812</v>
      </c>
      <c r="N3510">
        <v>3.1</v>
      </c>
      <c r="O3510">
        <v>2.2000000000000002</v>
      </c>
      <c r="P3510">
        <v>4.0999999999999996</v>
      </c>
      <c r="Q3510">
        <f t="shared" si="108"/>
        <v>11714618</v>
      </c>
      <c r="R3510">
        <f t="shared" si="107"/>
        <v>9.5436317257634862</v>
      </c>
      <c r="U3510">
        <v>3339</v>
      </c>
      <c r="V3510">
        <v>1364</v>
      </c>
      <c r="W3510">
        <v>5315</v>
      </c>
      <c r="X3510">
        <v>4901</v>
      </c>
      <c r="Y3510">
        <v>40.5</v>
      </c>
      <c r="Z3510">
        <v>28.5</v>
      </c>
      <c r="AA3510">
        <v>52.6</v>
      </c>
    </row>
    <row r="3511" spans="1:27" x14ac:dyDescent="0.25">
      <c r="A3511" t="s">
        <v>259</v>
      </c>
      <c r="B3511" t="s">
        <v>176</v>
      </c>
      <c r="C3511" s="76">
        <v>44007</v>
      </c>
      <c r="D3511">
        <v>21169</v>
      </c>
      <c r="E3511">
        <v>11899</v>
      </c>
      <c r="F3511">
        <v>30438</v>
      </c>
      <c r="G3511">
        <v>14272</v>
      </c>
      <c r="H3511">
        <v>59.7</v>
      </c>
      <c r="I3511">
        <v>54.2</v>
      </c>
      <c r="J3511">
        <v>65.3</v>
      </c>
      <c r="K3511">
        <v>1055</v>
      </c>
      <c r="L3511">
        <v>482</v>
      </c>
      <c r="M3511">
        <v>1627</v>
      </c>
      <c r="N3511">
        <v>3</v>
      </c>
      <c r="O3511">
        <v>2.2000000000000002</v>
      </c>
      <c r="P3511">
        <v>3.8</v>
      </c>
      <c r="Q3511">
        <f t="shared" si="108"/>
        <v>11714618</v>
      </c>
      <c r="R3511">
        <f t="shared" si="107"/>
        <v>9.0058421025764552</v>
      </c>
      <c r="U3511">
        <v>3361</v>
      </c>
      <c r="V3511">
        <v>1603</v>
      </c>
      <c r="W3511">
        <v>5118</v>
      </c>
      <c r="X3511">
        <v>4350</v>
      </c>
      <c r="Y3511">
        <v>43.6</v>
      </c>
      <c r="Z3511">
        <v>33.1</v>
      </c>
      <c r="AA3511">
        <v>54.1</v>
      </c>
    </row>
    <row r="3512" spans="1:27" x14ac:dyDescent="0.25">
      <c r="A3512" t="s">
        <v>259</v>
      </c>
      <c r="B3512" t="s">
        <v>176</v>
      </c>
      <c r="C3512" s="76">
        <v>44008</v>
      </c>
      <c r="D3512">
        <v>21198</v>
      </c>
      <c r="E3512">
        <v>11934</v>
      </c>
      <c r="F3512">
        <v>30461</v>
      </c>
      <c r="G3512">
        <v>14907</v>
      </c>
      <c r="H3512">
        <v>58.7</v>
      </c>
      <c r="I3512">
        <v>53.2</v>
      </c>
      <c r="J3512">
        <v>64.2</v>
      </c>
      <c r="K3512">
        <v>1078</v>
      </c>
      <c r="L3512">
        <v>470</v>
      </c>
      <c r="M3512">
        <v>1686</v>
      </c>
      <c r="N3512">
        <v>3</v>
      </c>
      <c r="O3512">
        <v>2</v>
      </c>
      <c r="P3512">
        <v>4</v>
      </c>
      <c r="Q3512">
        <f t="shared" si="108"/>
        <v>11714618</v>
      </c>
      <c r="R3512">
        <f t="shared" si="107"/>
        <v>9.2021779967558484</v>
      </c>
      <c r="U3512">
        <v>3317</v>
      </c>
      <c r="V3512">
        <v>1572</v>
      </c>
      <c r="W3512">
        <v>5063</v>
      </c>
      <c r="X3512">
        <v>4492</v>
      </c>
      <c r="Y3512">
        <v>42.5</v>
      </c>
      <c r="Z3512">
        <v>32.5</v>
      </c>
      <c r="AA3512">
        <v>52.4</v>
      </c>
    </row>
    <row r="3513" spans="1:27" x14ac:dyDescent="0.25">
      <c r="A3513" t="s">
        <v>259</v>
      </c>
      <c r="B3513" t="s">
        <v>176</v>
      </c>
      <c r="C3513" s="76">
        <v>44009</v>
      </c>
      <c r="D3513">
        <v>19923</v>
      </c>
      <c r="E3513">
        <v>11150</v>
      </c>
      <c r="F3513">
        <v>28696</v>
      </c>
      <c r="G3513">
        <v>16256</v>
      </c>
      <c r="H3513">
        <v>55.1</v>
      </c>
      <c r="I3513">
        <v>49</v>
      </c>
      <c r="J3513">
        <v>61.1</v>
      </c>
      <c r="K3513">
        <v>1031</v>
      </c>
      <c r="L3513">
        <v>510</v>
      </c>
      <c r="M3513">
        <v>1552</v>
      </c>
      <c r="N3513">
        <v>2.8</v>
      </c>
      <c r="O3513">
        <v>2.1</v>
      </c>
      <c r="P3513">
        <v>3.6</v>
      </c>
      <c r="Q3513">
        <f t="shared" si="108"/>
        <v>11714618</v>
      </c>
      <c r="R3513">
        <f t="shared" si="107"/>
        <v>8.8009698651718722</v>
      </c>
      <c r="U3513">
        <v>3221</v>
      </c>
      <c r="V3513">
        <v>1515</v>
      </c>
      <c r="W3513">
        <v>4926</v>
      </c>
      <c r="X3513">
        <v>4605</v>
      </c>
      <c r="Y3513">
        <v>41.2</v>
      </c>
      <c r="Z3513">
        <v>30.1</v>
      </c>
      <c r="AA3513">
        <v>52.2</v>
      </c>
    </row>
    <row r="3514" spans="1:27" x14ac:dyDescent="0.25">
      <c r="A3514" t="s">
        <v>259</v>
      </c>
      <c r="B3514" t="s">
        <v>176</v>
      </c>
      <c r="C3514" s="76">
        <v>44010</v>
      </c>
      <c r="D3514">
        <v>20081</v>
      </c>
      <c r="E3514">
        <v>11388</v>
      </c>
      <c r="F3514">
        <v>28773</v>
      </c>
      <c r="G3514">
        <v>16672</v>
      </c>
      <c r="H3514">
        <v>54.6</v>
      </c>
      <c r="I3514">
        <v>49</v>
      </c>
      <c r="J3514">
        <v>60.2</v>
      </c>
      <c r="K3514">
        <v>1071</v>
      </c>
      <c r="L3514">
        <v>481</v>
      </c>
      <c r="M3514">
        <v>1660</v>
      </c>
      <c r="N3514">
        <v>2.9</v>
      </c>
      <c r="O3514">
        <v>2.1</v>
      </c>
      <c r="P3514">
        <v>3.8</v>
      </c>
      <c r="Q3514">
        <f t="shared" si="108"/>
        <v>11714618</v>
      </c>
      <c r="R3514">
        <f t="shared" si="107"/>
        <v>9.1424235941795118</v>
      </c>
      <c r="U3514">
        <v>3156</v>
      </c>
      <c r="V3514">
        <v>1523</v>
      </c>
      <c r="W3514">
        <v>4788</v>
      </c>
      <c r="X3514">
        <v>5030</v>
      </c>
      <c r="Y3514">
        <v>38.5</v>
      </c>
      <c r="Z3514">
        <v>27.7</v>
      </c>
      <c r="AA3514">
        <v>49.4</v>
      </c>
    </row>
    <row r="3515" spans="1:27" x14ac:dyDescent="0.25">
      <c r="A3515" t="s">
        <v>259</v>
      </c>
      <c r="B3515" t="s">
        <v>176</v>
      </c>
      <c r="C3515" s="76">
        <v>44011</v>
      </c>
      <c r="D3515">
        <v>21261</v>
      </c>
      <c r="E3515">
        <v>12003</v>
      </c>
      <c r="F3515">
        <v>30519</v>
      </c>
      <c r="G3515">
        <v>16206</v>
      </c>
      <c r="H3515">
        <v>56.7</v>
      </c>
      <c r="I3515">
        <v>50.5</v>
      </c>
      <c r="J3515">
        <v>63</v>
      </c>
      <c r="K3515">
        <v>1177</v>
      </c>
      <c r="L3515">
        <v>491</v>
      </c>
      <c r="M3515">
        <v>1862</v>
      </c>
      <c r="N3515">
        <v>3.1</v>
      </c>
      <c r="O3515">
        <v>2.1</v>
      </c>
      <c r="P3515">
        <v>4.2</v>
      </c>
      <c r="Q3515">
        <f t="shared" si="108"/>
        <v>11714618</v>
      </c>
      <c r="R3515">
        <f t="shared" si="107"/>
        <v>10.047275976049752</v>
      </c>
      <c r="U3515">
        <v>3257</v>
      </c>
      <c r="V3515">
        <v>1597</v>
      </c>
      <c r="W3515">
        <v>4916</v>
      </c>
      <c r="X3515">
        <v>4706</v>
      </c>
      <c r="Y3515">
        <v>40.9</v>
      </c>
      <c r="Z3515">
        <v>29.6</v>
      </c>
      <c r="AA3515">
        <v>52.2</v>
      </c>
    </row>
    <row r="3516" spans="1:27" x14ac:dyDescent="0.25">
      <c r="A3516" t="s">
        <v>259</v>
      </c>
      <c r="B3516" t="s">
        <v>176</v>
      </c>
      <c r="C3516" s="76">
        <v>44012</v>
      </c>
      <c r="D3516">
        <v>23271</v>
      </c>
      <c r="E3516">
        <v>13227</v>
      </c>
      <c r="F3516">
        <v>33314</v>
      </c>
      <c r="G3516">
        <v>14996</v>
      </c>
      <c r="H3516">
        <v>60.8</v>
      </c>
      <c r="I3516">
        <v>54.6</v>
      </c>
      <c r="J3516">
        <v>67</v>
      </c>
      <c r="K3516">
        <v>1256</v>
      </c>
      <c r="L3516">
        <v>560</v>
      </c>
      <c r="M3516">
        <v>1953</v>
      </c>
      <c r="N3516">
        <v>3.3</v>
      </c>
      <c r="O3516">
        <v>2.2999999999999998</v>
      </c>
      <c r="P3516">
        <v>4.3</v>
      </c>
      <c r="Q3516">
        <f t="shared" si="108"/>
        <v>11714618</v>
      </c>
      <c r="R3516">
        <f t="shared" si="107"/>
        <v>10.721647090839838</v>
      </c>
      <c r="U3516">
        <v>3641</v>
      </c>
      <c r="V3516">
        <v>1715</v>
      </c>
      <c r="W3516">
        <v>5567</v>
      </c>
      <c r="X3516">
        <v>4450</v>
      </c>
      <c r="Y3516">
        <v>45</v>
      </c>
      <c r="Z3516">
        <v>33.200000000000003</v>
      </c>
      <c r="AA3516">
        <v>56.9</v>
      </c>
    </row>
    <row r="3517" spans="1:27" x14ac:dyDescent="0.25">
      <c r="A3517" t="s">
        <v>259</v>
      </c>
      <c r="B3517" t="s">
        <v>176</v>
      </c>
      <c r="C3517" s="76">
        <v>44013</v>
      </c>
      <c r="D3517">
        <v>23963</v>
      </c>
      <c r="E3517">
        <v>13592</v>
      </c>
      <c r="F3517">
        <v>34335</v>
      </c>
      <c r="G3517">
        <v>15151</v>
      </c>
      <c r="H3517">
        <v>61.3</v>
      </c>
      <c r="I3517">
        <v>55.1</v>
      </c>
      <c r="J3517">
        <v>67.5</v>
      </c>
      <c r="K3517">
        <v>1471</v>
      </c>
      <c r="L3517">
        <v>651</v>
      </c>
      <c r="M3517">
        <v>2290</v>
      </c>
      <c r="N3517">
        <v>3.8</v>
      </c>
      <c r="O3517">
        <v>2.6</v>
      </c>
      <c r="P3517">
        <v>4.9000000000000004</v>
      </c>
      <c r="Q3517">
        <f t="shared" si="108"/>
        <v>11714618</v>
      </c>
      <c r="R3517">
        <f t="shared" si="107"/>
        <v>12.556960884255894</v>
      </c>
      <c r="U3517">
        <v>3723</v>
      </c>
      <c r="V3517">
        <v>1746</v>
      </c>
      <c r="W3517">
        <v>5699</v>
      </c>
      <c r="X3517">
        <v>4690</v>
      </c>
      <c r="Y3517">
        <v>44.3</v>
      </c>
      <c r="Z3517">
        <v>32</v>
      </c>
      <c r="AA3517">
        <v>56.5</v>
      </c>
    </row>
    <row r="3518" spans="1:27" x14ac:dyDescent="0.25">
      <c r="A3518" t="s">
        <v>259</v>
      </c>
      <c r="B3518" t="s">
        <v>176</v>
      </c>
      <c r="C3518" s="76">
        <v>44014</v>
      </c>
      <c r="D3518">
        <v>23349</v>
      </c>
      <c r="E3518">
        <v>13117</v>
      </c>
      <c r="F3518">
        <v>33580</v>
      </c>
      <c r="G3518">
        <v>15726</v>
      </c>
      <c r="H3518">
        <v>59.8</v>
      </c>
      <c r="I3518">
        <v>52.9</v>
      </c>
      <c r="J3518">
        <v>66.599999999999994</v>
      </c>
      <c r="K3518">
        <v>1422</v>
      </c>
      <c r="L3518">
        <v>650</v>
      </c>
      <c r="M3518">
        <v>2193</v>
      </c>
      <c r="N3518">
        <v>3.6</v>
      </c>
      <c r="O3518">
        <v>2.6</v>
      </c>
      <c r="P3518">
        <v>4.7</v>
      </c>
      <c r="Q3518">
        <f t="shared" si="108"/>
        <v>11714618</v>
      </c>
      <c r="R3518">
        <f t="shared" si="107"/>
        <v>12.138680066221538</v>
      </c>
      <c r="U3518">
        <v>3876</v>
      </c>
      <c r="V3518">
        <v>1821</v>
      </c>
      <c r="W3518">
        <v>5930</v>
      </c>
      <c r="X3518">
        <v>4533</v>
      </c>
      <c r="Y3518">
        <v>46.1</v>
      </c>
      <c r="Z3518">
        <v>33.4</v>
      </c>
      <c r="AA3518">
        <v>58.8</v>
      </c>
    </row>
    <row r="3519" spans="1:27" x14ac:dyDescent="0.25">
      <c r="A3519" t="s">
        <v>259</v>
      </c>
      <c r="B3519" t="s">
        <v>176</v>
      </c>
      <c r="C3519" s="76">
        <v>44015</v>
      </c>
      <c r="D3519">
        <v>22363</v>
      </c>
      <c r="E3519">
        <v>12546</v>
      </c>
      <c r="F3519">
        <v>32180</v>
      </c>
      <c r="G3519">
        <v>16279</v>
      </c>
      <c r="H3519">
        <v>57.9</v>
      </c>
      <c r="I3519">
        <v>51.1</v>
      </c>
      <c r="J3519">
        <v>64.599999999999994</v>
      </c>
      <c r="K3519">
        <v>1495</v>
      </c>
      <c r="L3519">
        <v>673</v>
      </c>
      <c r="M3519">
        <v>2317</v>
      </c>
      <c r="N3519">
        <v>3.9</v>
      </c>
      <c r="O3519">
        <v>2.8</v>
      </c>
      <c r="P3519">
        <v>5</v>
      </c>
      <c r="Q3519">
        <f t="shared" si="108"/>
        <v>11714618</v>
      </c>
      <c r="R3519">
        <f t="shared" si="107"/>
        <v>12.761833121660477</v>
      </c>
      <c r="U3519">
        <v>3574</v>
      </c>
      <c r="V3519">
        <v>1710</v>
      </c>
      <c r="W3519">
        <v>5438</v>
      </c>
      <c r="X3519">
        <v>4587</v>
      </c>
      <c r="Y3519">
        <v>43.8</v>
      </c>
      <c r="Z3519">
        <v>31.3</v>
      </c>
      <c r="AA3519">
        <v>56.3</v>
      </c>
    </row>
    <row r="3520" spans="1:27" x14ac:dyDescent="0.25">
      <c r="A3520" t="s">
        <v>259</v>
      </c>
      <c r="B3520" t="s">
        <v>176</v>
      </c>
      <c r="C3520" s="76">
        <v>44016</v>
      </c>
      <c r="D3520">
        <v>20755</v>
      </c>
      <c r="E3520">
        <v>11582</v>
      </c>
      <c r="F3520">
        <v>29928</v>
      </c>
      <c r="G3520">
        <v>17889</v>
      </c>
      <c r="H3520">
        <v>53.7</v>
      </c>
      <c r="I3520">
        <v>47.1</v>
      </c>
      <c r="J3520">
        <v>60.3</v>
      </c>
      <c r="K3520">
        <v>1483</v>
      </c>
      <c r="L3520">
        <v>628</v>
      </c>
      <c r="M3520">
        <v>2338</v>
      </c>
      <c r="N3520">
        <v>3.8</v>
      </c>
      <c r="O3520">
        <v>2.6</v>
      </c>
      <c r="P3520">
        <v>5.0999999999999996</v>
      </c>
      <c r="Q3520">
        <f t="shared" si="108"/>
        <v>11714618</v>
      </c>
      <c r="R3520">
        <f t="shared" si="107"/>
        <v>12.659397002958185</v>
      </c>
      <c r="U3520">
        <v>3363</v>
      </c>
      <c r="V3520">
        <v>1607</v>
      </c>
      <c r="W3520">
        <v>5118</v>
      </c>
      <c r="X3520">
        <v>4791</v>
      </c>
      <c r="Y3520">
        <v>41.2</v>
      </c>
      <c r="Z3520">
        <v>29.7</v>
      </c>
      <c r="AA3520">
        <v>52.8</v>
      </c>
    </row>
    <row r="3521" spans="1:27" x14ac:dyDescent="0.25">
      <c r="A3521" t="s">
        <v>259</v>
      </c>
      <c r="B3521" t="s">
        <v>176</v>
      </c>
      <c r="C3521" s="76">
        <v>44017</v>
      </c>
      <c r="D3521">
        <v>20507</v>
      </c>
      <c r="E3521">
        <v>11367</v>
      </c>
      <c r="F3521">
        <v>29647</v>
      </c>
      <c r="G3521">
        <v>18093</v>
      </c>
      <c r="H3521">
        <v>53.1</v>
      </c>
      <c r="I3521">
        <v>46.5</v>
      </c>
      <c r="J3521">
        <v>59.7</v>
      </c>
      <c r="K3521">
        <v>1480</v>
      </c>
      <c r="L3521">
        <v>617</v>
      </c>
      <c r="M3521">
        <v>2342</v>
      </c>
      <c r="N3521">
        <v>3.8</v>
      </c>
      <c r="O3521">
        <v>2.6</v>
      </c>
      <c r="P3521">
        <v>5.0999999999999996</v>
      </c>
      <c r="Q3521">
        <f t="shared" si="108"/>
        <v>11714618</v>
      </c>
      <c r="R3521">
        <f t="shared" si="107"/>
        <v>12.63378797328261</v>
      </c>
      <c r="U3521">
        <v>3361</v>
      </c>
      <c r="V3521">
        <v>1576</v>
      </c>
      <c r="W3521">
        <v>5147</v>
      </c>
      <c r="X3521">
        <v>4789</v>
      </c>
      <c r="Y3521">
        <v>41.2</v>
      </c>
      <c r="Z3521">
        <v>28.9</v>
      </c>
      <c r="AA3521">
        <v>53.6</v>
      </c>
    </row>
    <row r="3522" spans="1:27" x14ac:dyDescent="0.25">
      <c r="A3522" t="s">
        <v>259</v>
      </c>
      <c r="B3522" t="s">
        <v>176</v>
      </c>
      <c r="C3522" s="76">
        <v>44018</v>
      </c>
      <c r="D3522">
        <v>21475</v>
      </c>
      <c r="E3522">
        <v>11996</v>
      </c>
      <c r="F3522">
        <v>30954</v>
      </c>
      <c r="G3522">
        <v>17135</v>
      </c>
      <c r="H3522">
        <v>55.6</v>
      </c>
      <c r="I3522">
        <v>49.2</v>
      </c>
      <c r="J3522">
        <v>62</v>
      </c>
      <c r="K3522">
        <v>1539</v>
      </c>
      <c r="L3522">
        <v>656</v>
      </c>
      <c r="M3522">
        <v>2421</v>
      </c>
      <c r="N3522">
        <v>4</v>
      </c>
      <c r="O3522">
        <v>2.7</v>
      </c>
      <c r="P3522">
        <v>5.2</v>
      </c>
      <c r="Q3522">
        <f t="shared" si="108"/>
        <v>11714618</v>
      </c>
      <c r="R3522">
        <f t="shared" si="107"/>
        <v>13.137432223568878</v>
      </c>
      <c r="U3522">
        <v>3505</v>
      </c>
      <c r="V3522">
        <v>1657</v>
      </c>
      <c r="W3522">
        <v>5353</v>
      </c>
      <c r="X3522">
        <v>4636</v>
      </c>
      <c r="Y3522">
        <v>43.1</v>
      </c>
      <c r="Z3522">
        <v>30.9</v>
      </c>
      <c r="AA3522">
        <v>55.2</v>
      </c>
    </row>
    <row r="3523" spans="1:27" x14ac:dyDescent="0.25">
      <c r="A3523" t="s">
        <v>259</v>
      </c>
      <c r="B3523" t="s">
        <v>176</v>
      </c>
      <c r="C3523" s="76">
        <v>44019</v>
      </c>
      <c r="D3523">
        <v>23192</v>
      </c>
      <c r="E3523">
        <v>13189</v>
      </c>
      <c r="F3523">
        <v>33195</v>
      </c>
      <c r="G3523">
        <v>15430</v>
      </c>
      <c r="H3523">
        <v>60</v>
      </c>
      <c r="I3523">
        <v>53.8</v>
      </c>
      <c r="J3523">
        <v>66.3</v>
      </c>
      <c r="K3523">
        <v>1638</v>
      </c>
      <c r="L3523">
        <v>725</v>
      </c>
      <c r="M3523">
        <v>2552</v>
      </c>
      <c r="N3523">
        <v>4.2</v>
      </c>
      <c r="O3523">
        <v>2.9</v>
      </c>
      <c r="P3523">
        <v>5.6</v>
      </c>
      <c r="Q3523">
        <f t="shared" si="108"/>
        <v>11714618</v>
      </c>
      <c r="R3523">
        <f t="shared" si="107"/>
        <v>13.982530202862783</v>
      </c>
      <c r="U3523">
        <v>3834</v>
      </c>
      <c r="V3523">
        <v>1894</v>
      </c>
      <c r="W3523">
        <v>5774</v>
      </c>
      <c r="X3523">
        <v>4300</v>
      </c>
      <c r="Y3523">
        <v>47.1</v>
      </c>
      <c r="Z3523">
        <v>35.4</v>
      </c>
      <c r="AA3523">
        <v>58.9</v>
      </c>
    </row>
    <row r="3524" spans="1:27" x14ac:dyDescent="0.25">
      <c r="A3524" t="s">
        <v>260</v>
      </c>
      <c r="B3524" t="s">
        <v>199</v>
      </c>
      <c r="C3524" s="76">
        <v>43922</v>
      </c>
      <c r="D3524">
        <v>5795</v>
      </c>
      <c r="E3524">
        <v>2890</v>
      </c>
      <c r="F3524">
        <v>8700</v>
      </c>
      <c r="G3524">
        <v>6333</v>
      </c>
      <c r="H3524">
        <v>47.8</v>
      </c>
      <c r="I3524">
        <v>37.299999999999997</v>
      </c>
      <c r="J3524">
        <v>58.3</v>
      </c>
      <c r="K3524">
        <v>446</v>
      </c>
      <c r="L3524">
        <v>217</v>
      </c>
      <c r="M3524">
        <v>676</v>
      </c>
      <c r="N3524">
        <v>3.7</v>
      </c>
      <c r="O3524">
        <v>2.6</v>
      </c>
      <c r="P3524">
        <v>4.7</v>
      </c>
      <c r="Q3524">
        <f t="shared" si="108"/>
        <v>3990443</v>
      </c>
      <c r="R3524">
        <f t="shared" si="107"/>
        <v>11.176703939888379</v>
      </c>
      <c r="U3524">
        <v>698</v>
      </c>
      <c r="V3524">
        <v>222</v>
      </c>
      <c r="W3524">
        <v>1174</v>
      </c>
      <c r="X3524">
        <v>454</v>
      </c>
      <c r="Y3524">
        <v>60.6</v>
      </c>
      <c r="Z3524">
        <v>47</v>
      </c>
      <c r="AA3524">
        <v>74.099999999999994</v>
      </c>
    </row>
    <row r="3525" spans="1:27" x14ac:dyDescent="0.25">
      <c r="A3525" t="s">
        <v>260</v>
      </c>
      <c r="B3525" t="s">
        <v>199</v>
      </c>
      <c r="C3525" s="76">
        <v>43923</v>
      </c>
      <c r="D3525">
        <v>5887</v>
      </c>
      <c r="E3525">
        <v>3052</v>
      </c>
      <c r="F3525">
        <v>8722</v>
      </c>
      <c r="G3525">
        <v>6215</v>
      </c>
      <c r="H3525">
        <v>48.6</v>
      </c>
      <c r="I3525">
        <v>38.700000000000003</v>
      </c>
      <c r="J3525">
        <v>58.6</v>
      </c>
      <c r="K3525">
        <v>448</v>
      </c>
      <c r="L3525">
        <v>227</v>
      </c>
      <c r="M3525">
        <v>670</v>
      </c>
      <c r="N3525">
        <v>3.7</v>
      </c>
      <c r="O3525">
        <v>2.8</v>
      </c>
      <c r="P3525">
        <v>4.5999999999999996</v>
      </c>
      <c r="Q3525">
        <f t="shared" si="108"/>
        <v>3990443</v>
      </c>
      <c r="R3525">
        <f t="shared" ref="R3525:R3588" si="109">K3525/(Q3525)*100000</f>
        <v>11.226823688497744</v>
      </c>
      <c r="U3525">
        <v>698</v>
      </c>
      <c r="V3525">
        <v>225</v>
      </c>
      <c r="W3525">
        <v>1171</v>
      </c>
      <c r="X3525">
        <v>486</v>
      </c>
      <c r="Y3525">
        <v>59</v>
      </c>
      <c r="Z3525">
        <v>44.1</v>
      </c>
      <c r="AA3525">
        <v>73.8</v>
      </c>
    </row>
    <row r="3526" spans="1:27" x14ac:dyDescent="0.25">
      <c r="A3526" t="s">
        <v>260</v>
      </c>
      <c r="B3526" t="s">
        <v>199</v>
      </c>
      <c r="C3526" s="76">
        <v>43924</v>
      </c>
      <c r="D3526">
        <v>5736</v>
      </c>
      <c r="E3526">
        <v>3001</v>
      </c>
      <c r="F3526">
        <v>8471</v>
      </c>
      <c r="G3526">
        <v>6459</v>
      </c>
      <c r="H3526">
        <v>47</v>
      </c>
      <c r="I3526">
        <v>37.5</v>
      </c>
      <c r="J3526">
        <v>56.5</v>
      </c>
      <c r="K3526">
        <v>444</v>
      </c>
      <c r="L3526">
        <v>219</v>
      </c>
      <c r="M3526">
        <v>670</v>
      </c>
      <c r="N3526">
        <v>3.6</v>
      </c>
      <c r="O3526">
        <v>2.7</v>
      </c>
      <c r="P3526">
        <v>4.5999999999999996</v>
      </c>
      <c r="Q3526">
        <f t="shared" si="108"/>
        <v>3990443</v>
      </c>
      <c r="R3526">
        <f t="shared" si="109"/>
        <v>11.126584191279013</v>
      </c>
      <c r="U3526">
        <v>671</v>
      </c>
      <c r="V3526">
        <v>228</v>
      </c>
      <c r="W3526">
        <v>1114</v>
      </c>
      <c r="X3526">
        <v>520</v>
      </c>
      <c r="Y3526">
        <v>56.3</v>
      </c>
      <c r="Z3526">
        <v>43.4</v>
      </c>
      <c r="AA3526">
        <v>69.3</v>
      </c>
    </row>
    <row r="3527" spans="1:27" x14ac:dyDescent="0.25">
      <c r="A3527" t="s">
        <v>260</v>
      </c>
      <c r="B3527" t="s">
        <v>199</v>
      </c>
      <c r="C3527" s="76">
        <v>43925</v>
      </c>
      <c r="D3527">
        <v>5436</v>
      </c>
      <c r="E3527">
        <v>2819</v>
      </c>
      <c r="F3527">
        <v>8054</v>
      </c>
      <c r="G3527">
        <v>6544</v>
      </c>
      <c r="H3527">
        <v>45.4</v>
      </c>
      <c r="I3527">
        <v>36.1</v>
      </c>
      <c r="J3527">
        <v>54.7</v>
      </c>
      <c r="K3527">
        <v>482</v>
      </c>
      <c r="L3527">
        <v>237</v>
      </c>
      <c r="M3527">
        <v>726</v>
      </c>
      <c r="N3527">
        <v>4</v>
      </c>
      <c r="O3527">
        <v>2.9</v>
      </c>
      <c r="P3527">
        <v>5.2</v>
      </c>
      <c r="Q3527">
        <f t="shared" si="108"/>
        <v>3990443</v>
      </c>
      <c r="R3527">
        <f t="shared" si="109"/>
        <v>12.078859414856947</v>
      </c>
      <c r="U3527">
        <v>686</v>
      </c>
      <c r="V3527">
        <v>229</v>
      </c>
      <c r="W3527">
        <v>1143</v>
      </c>
      <c r="X3527">
        <v>492</v>
      </c>
      <c r="Y3527">
        <v>58.2</v>
      </c>
      <c r="Z3527">
        <v>45.3</v>
      </c>
      <c r="AA3527">
        <v>71.2</v>
      </c>
    </row>
    <row r="3528" spans="1:27" x14ac:dyDescent="0.25">
      <c r="A3528" t="s">
        <v>260</v>
      </c>
      <c r="B3528" t="s">
        <v>199</v>
      </c>
      <c r="C3528" s="76">
        <v>43926</v>
      </c>
      <c r="D3528">
        <v>5069</v>
      </c>
      <c r="E3528">
        <v>2619</v>
      </c>
      <c r="F3528">
        <v>7519</v>
      </c>
      <c r="G3528">
        <v>6822</v>
      </c>
      <c r="H3528">
        <v>42.6</v>
      </c>
      <c r="I3528">
        <v>33.700000000000003</v>
      </c>
      <c r="J3528">
        <v>51.6</v>
      </c>
      <c r="K3528">
        <v>417</v>
      </c>
      <c r="L3528">
        <v>194</v>
      </c>
      <c r="M3528">
        <v>640</v>
      </c>
      <c r="N3528">
        <v>3.5</v>
      </c>
      <c r="O3528">
        <v>2.2999999999999998</v>
      </c>
      <c r="P3528">
        <v>4.7</v>
      </c>
      <c r="Q3528">
        <f t="shared" si="108"/>
        <v>3990443</v>
      </c>
      <c r="R3528">
        <f t="shared" si="109"/>
        <v>10.449967585052587</v>
      </c>
      <c r="U3528">
        <v>662</v>
      </c>
      <c r="V3528">
        <v>224</v>
      </c>
      <c r="W3528">
        <v>1099</v>
      </c>
      <c r="X3528">
        <v>518</v>
      </c>
      <c r="Y3528">
        <v>56.1</v>
      </c>
      <c r="Z3528">
        <v>43.1</v>
      </c>
      <c r="AA3528">
        <v>69.099999999999994</v>
      </c>
    </row>
    <row r="3529" spans="1:27" x14ac:dyDescent="0.25">
      <c r="A3529" t="s">
        <v>260</v>
      </c>
      <c r="B3529" t="s">
        <v>199</v>
      </c>
      <c r="C3529" s="76">
        <v>43927</v>
      </c>
      <c r="D3529">
        <v>5220</v>
      </c>
      <c r="E3529">
        <v>2714</v>
      </c>
      <c r="F3529">
        <v>7726</v>
      </c>
      <c r="G3529">
        <v>6583</v>
      </c>
      <c r="H3529">
        <v>44.2</v>
      </c>
      <c r="I3529">
        <v>36.1</v>
      </c>
      <c r="J3529">
        <v>52.4</v>
      </c>
      <c r="K3529">
        <v>423</v>
      </c>
      <c r="L3529">
        <v>174</v>
      </c>
      <c r="M3529">
        <v>671</v>
      </c>
      <c r="N3529">
        <v>3.6</v>
      </c>
      <c r="O3529">
        <v>2</v>
      </c>
      <c r="P3529">
        <v>5.2</v>
      </c>
      <c r="Q3529">
        <f t="shared" si="108"/>
        <v>3990443</v>
      </c>
      <c r="R3529">
        <f t="shared" si="109"/>
        <v>10.600326830880682</v>
      </c>
      <c r="U3529">
        <v>614</v>
      </c>
      <c r="V3529">
        <v>219</v>
      </c>
      <c r="W3529">
        <v>1009</v>
      </c>
      <c r="X3529">
        <v>582</v>
      </c>
      <c r="Y3529">
        <v>51.3</v>
      </c>
      <c r="Z3529">
        <v>41.6</v>
      </c>
      <c r="AA3529">
        <v>61.1</v>
      </c>
    </row>
    <row r="3530" spans="1:27" x14ac:dyDescent="0.25">
      <c r="A3530" t="s">
        <v>260</v>
      </c>
      <c r="B3530" t="s">
        <v>199</v>
      </c>
      <c r="C3530" s="76">
        <v>43928</v>
      </c>
      <c r="D3530">
        <v>5465</v>
      </c>
      <c r="E3530">
        <v>2909</v>
      </c>
      <c r="F3530">
        <v>8020</v>
      </c>
      <c r="G3530">
        <v>6134</v>
      </c>
      <c r="H3530">
        <v>47.1</v>
      </c>
      <c r="I3530">
        <v>38.6</v>
      </c>
      <c r="J3530">
        <v>55.6</v>
      </c>
      <c r="K3530">
        <v>388</v>
      </c>
      <c r="L3530">
        <v>203</v>
      </c>
      <c r="M3530">
        <v>573</v>
      </c>
      <c r="N3530">
        <v>3.3</v>
      </c>
      <c r="O3530">
        <v>2.5</v>
      </c>
      <c r="P3530">
        <v>4.2</v>
      </c>
      <c r="Q3530">
        <f t="shared" si="108"/>
        <v>3990443</v>
      </c>
      <c r="R3530">
        <f t="shared" si="109"/>
        <v>9.7232312302167951</v>
      </c>
      <c r="U3530">
        <v>657</v>
      </c>
      <c r="V3530">
        <v>255</v>
      </c>
      <c r="W3530">
        <v>1059</v>
      </c>
      <c r="X3530">
        <v>507</v>
      </c>
      <c r="Y3530">
        <v>56.4</v>
      </c>
      <c r="Z3530">
        <v>47.2</v>
      </c>
      <c r="AA3530">
        <v>65.7</v>
      </c>
    </row>
    <row r="3531" spans="1:27" x14ac:dyDescent="0.25">
      <c r="A3531" t="s">
        <v>260</v>
      </c>
      <c r="B3531" t="s">
        <v>199</v>
      </c>
      <c r="C3531" s="76">
        <v>43929</v>
      </c>
      <c r="D3531">
        <v>5502</v>
      </c>
      <c r="E3531">
        <v>2908</v>
      </c>
      <c r="F3531">
        <v>8096</v>
      </c>
      <c r="G3531">
        <v>6069</v>
      </c>
      <c r="H3531">
        <v>47.5</v>
      </c>
      <c r="I3531">
        <v>38.9</v>
      </c>
      <c r="J3531">
        <v>56.2</v>
      </c>
      <c r="K3531">
        <v>379</v>
      </c>
      <c r="L3531">
        <v>201</v>
      </c>
      <c r="M3531">
        <v>557</v>
      </c>
      <c r="N3531">
        <v>3.3</v>
      </c>
      <c r="O3531">
        <v>2.5</v>
      </c>
      <c r="P3531">
        <v>4.0999999999999996</v>
      </c>
      <c r="Q3531">
        <f t="shared" si="108"/>
        <v>3990443</v>
      </c>
      <c r="R3531">
        <f t="shared" si="109"/>
        <v>9.4976923614746536</v>
      </c>
      <c r="U3531">
        <v>666</v>
      </c>
      <c r="V3531">
        <v>265</v>
      </c>
      <c r="W3531">
        <v>1067</v>
      </c>
      <c r="X3531">
        <v>507</v>
      </c>
      <c r="Y3531">
        <v>56.8</v>
      </c>
      <c r="Z3531">
        <v>46.8</v>
      </c>
      <c r="AA3531">
        <v>66.7</v>
      </c>
    </row>
    <row r="3532" spans="1:27" x14ac:dyDescent="0.25">
      <c r="A3532" t="s">
        <v>260</v>
      </c>
      <c r="B3532" t="s">
        <v>199</v>
      </c>
      <c r="C3532" s="76">
        <v>43930</v>
      </c>
      <c r="D3532">
        <v>5500</v>
      </c>
      <c r="E3532">
        <v>2900</v>
      </c>
      <c r="F3532">
        <v>8100</v>
      </c>
      <c r="G3532">
        <v>6109</v>
      </c>
      <c r="H3532">
        <v>47.4</v>
      </c>
      <c r="I3532">
        <v>38.799999999999997</v>
      </c>
      <c r="J3532">
        <v>56</v>
      </c>
      <c r="K3532">
        <v>388</v>
      </c>
      <c r="L3532">
        <v>203</v>
      </c>
      <c r="M3532">
        <v>573</v>
      </c>
      <c r="N3532">
        <v>3.3</v>
      </c>
      <c r="O3532">
        <v>2.5</v>
      </c>
      <c r="P3532">
        <v>4.2</v>
      </c>
      <c r="Q3532">
        <f t="shared" si="108"/>
        <v>3990443</v>
      </c>
      <c r="R3532">
        <f t="shared" si="109"/>
        <v>9.7232312302167951</v>
      </c>
      <c r="U3532">
        <v>677</v>
      </c>
      <c r="V3532">
        <v>264</v>
      </c>
      <c r="W3532">
        <v>1091</v>
      </c>
      <c r="X3532">
        <v>507</v>
      </c>
      <c r="Y3532">
        <v>57.2</v>
      </c>
      <c r="Z3532">
        <v>46.5</v>
      </c>
      <c r="AA3532">
        <v>67.900000000000006</v>
      </c>
    </row>
    <row r="3533" spans="1:27" x14ac:dyDescent="0.25">
      <c r="A3533" t="s">
        <v>260</v>
      </c>
      <c r="B3533" t="s">
        <v>199</v>
      </c>
      <c r="C3533" s="76">
        <v>43931</v>
      </c>
      <c r="D3533">
        <v>5551</v>
      </c>
      <c r="E3533">
        <v>2953</v>
      </c>
      <c r="F3533">
        <v>8148</v>
      </c>
      <c r="G3533">
        <v>6254</v>
      </c>
      <c r="H3533">
        <v>47</v>
      </c>
      <c r="I3533">
        <v>38.299999999999997</v>
      </c>
      <c r="J3533">
        <v>55.8</v>
      </c>
      <c r="K3533">
        <v>380</v>
      </c>
      <c r="L3533">
        <v>201</v>
      </c>
      <c r="M3533">
        <v>560</v>
      </c>
      <c r="N3533">
        <v>3.2</v>
      </c>
      <c r="O3533">
        <v>2.4</v>
      </c>
      <c r="P3533">
        <v>4.0999999999999996</v>
      </c>
      <c r="Q3533">
        <f t="shared" si="108"/>
        <v>3990443</v>
      </c>
      <c r="R3533">
        <f t="shared" si="109"/>
        <v>9.5227522357793362</v>
      </c>
      <c r="U3533">
        <v>681</v>
      </c>
      <c r="V3533">
        <v>257</v>
      </c>
      <c r="W3533">
        <v>1105</v>
      </c>
      <c r="X3533">
        <v>506</v>
      </c>
      <c r="Y3533">
        <v>57.4</v>
      </c>
      <c r="Z3533">
        <v>45.8</v>
      </c>
      <c r="AA3533">
        <v>69</v>
      </c>
    </row>
    <row r="3534" spans="1:27" x14ac:dyDescent="0.25">
      <c r="A3534" t="s">
        <v>260</v>
      </c>
      <c r="B3534" t="s">
        <v>199</v>
      </c>
      <c r="C3534" s="76">
        <v>43932</v>
      </c>
      <c r="D3534">
        <v>5298</v>
      </c>
      <c r="E3534">
        <v>2788</v>
      </c>
      <c r="F3534">
        <v>7808</v>
      </c>
      <c r="G3534">
        <v>6562</v>
      </c>
      <c r="H3534">
        <v>44.7</v>
      </c>
      <c r="I3534">
        <v>36</v>
      </c>
      <c r="J3534">
        <v>53.3</v>
      </c>
      <c r="K3534">
        <v>374</v>
      </c>
      <c r="L3534">
        <v>185</v>
      </c>
      <c r="M3534">
        <v>562</v>
      </c>
      <c r="N3534">
        <v>3.2</v>
      </c>
      <c r="O3534">
        <v>2.2000000000000002</v>
      </c>
      <c r="P3534">
        <v>4.0999999999999996</v>
      </c>
      <c r="Q3534">
        <f t="shared" si="108"/>
        <v>3990443</v>
      </c>
      <c r="R3534">
        <f t="shared" si="109"/>
        <v>9.3723929899512406</v>
      </c>
      <c r="U3534">
        <v>667</v>
      </c>
      <c r="V3534">
        <v>241</v>
      </c>
      <c r="W3534">
        <v>1093</v>
      </c>
      <c r="X3534">
        <v>528</v>
      </c>
      <c r="Y3534">
        <v>55.8</v>
      </c>
      <c r="Z3534">
        <v>43.4</v>
      </c>
      <c r="AA3534">
        <v>68.2</v>
      </c>
    </row>
    <row r="3535" spans="1:27" x14ac:dyDescent="0.25">
      <c r="A3535" t="s">
        <v>260</v>
      </c>
      <c r="B3535" t="s">
        <v>199</v>
      </c>
      <c r="C3535" s="76">
        <v>43933</v>
      </c>
      <c r="D3535">
        <v>5110</v>
      </c>
      <c r="E3535">
        <v>2708</v>
      </c>
      <c r="F3535">
        <v>7513</v>
      </c>
      <c r="G3535">
        <v>6783</v>
      </c>
      <c r="H3535">
        <v>43</v>
      </c>
      <c r="I3535">
        <v>34.4</v>
      </c>
      <c r="J3535">
        <v>51.6</v>
      </c>
      <c r="K3535">
        <v>420</v>
      </c>
      <c r="L3535">
        <v>175</v>
      </c>
      <c r="M3535">
        <v>666</v>
      </c>
      <c r="N3535">
        <v>3.5</v>
      </c>
      <c r="O3535">
        <v>2.1</v>
      </c>
      <c r="P3535">
        <v>4.9000000000000004</v>
      </c>
      <c r="Q3535">
        <f t="shared" si="108"/>
        <v>3990443</v>
      </c>
      <c r="R3535">
        <f t="shared" si="109"/>
        <v>10.525147207966635</v>
      </c>
      <c r="U3535">
        <v>645</v>
      </c>
      <c r="V3535">
        <v>216</v>
      </c>
      <c r="W3535">
        <v>1073</v>
      </c>
      <c r="X3535">
        <v>552</v>
      </c>
      <c r="Y3535">
        <v>53.9</v>
      </c>
      <c r="Z3535">
        <v>40.1</v>
      </c>
      <c r="AA3535">
        <v>67.599999999999994</v>
      </c>
    </row>
    <row r="3536" spans="1:27" x14ac:dyDescent="0.25">
      <c r="A3536" t="s">
        <v>260</v>
      </c>
      <c r="B3536" t="s">
        <v>199</v>
      </c>
      <c r="C3536" s="76">
        <v>43934</v>
      </c>
      <c r="D3536">
        <v>5530</v>
      </c>
      <c r="E3536">
        <v>3280</v>
      </c>
      <c r="F3536">
        <v>7779</v>
      </c>
      <c r="G3536">
        <v>6399</v>
      </c>
      <c r="H3536">
        <v>46.4</v>
      </c>
      <c r="I3536">
        <v>38.9</v>
      </c>
      <c r="J3536">
        <v>53.8</v>
      </c>
      <c r="K3536">
        <v>463</v>
      </c>
      <c r="L3536">
        <v>260</v>
      </c>
      <c r="M3536">
        <v>665</v>
      </c>
      <c r="N3536">
        <v>3.9</v>
      </c>
      <c r="O3536">
        <v>2.9</v>
      </c>
      <c r="P3536">
        <v>4.9000000000000004</v>
      </c>
      <c r="Q3536">
        <f t="shared" si="108"/>
        <v>3990443</v>
      </c>
      <c r="R3536">
        <f t="shared" si="109"/>
        <v>11.602721803067981</v>
      </c>
      <c r="U3536">
        <v>655</v>
      </c>
      <c r="V3536">
        <v>299</v>
      </c>
      <c r="W3536">
        <v>1011</v>
      </c>
      <c r="X3536">
        <v>550</v>
      </c>
      <c r="Y3536">
        <v>54.4</v>
      </c>
      <c r="Z3536">
        <v>42.9</v>
      </c>
      <c r="AA3536">
        <v>65.900000000000006</v>
      </c>
    </row>
    <row r="3537" spans="1:27" x14ac:dyDescent="0.25">
      <c r="A3537" t="s">
        <v>260</v>
      </c>
      <c r="B3537" t="s">
        <v>199</v>
      </c>
      <c r="C3537" s="76">
        <v>43935</v>
      </c>
      <c r="D3537">
        <v>5583</v>
      </c>
      <c r="E3537">
        <v>3334</v>
      </c>
      <c r="F3537">
        <v>7833</v>
      </c>
      <c r="G3537">
        <v>6310</v>
      </c>
      <c r="H3537">
        <v>46.9</v>
      </c>
      <c r="I3537">
        <v>39.799999999999997</v>
      </c>
      <c r="J3537">
        <v>54.1</v>
      </c>
      <c r="K3537">
        <v>473</v>
      </c>
      <c r="L3537">
        <v>263</v>
      </c>
      <c r="M3537">
        <v>683</v>
      </c>
      <c r="N3537">
        <v>4</v>
      </c>
      <c r="O3537">
        <v>3</v>
      </c>
      <c r="P3537">
        <v>5</v>
      </c>
      <c r="Q3537">
        <f t="shared" si="108"/>
        <v>3990443</v>
      </c>
      <c r="R3537">
        <f t="shared" si="109"/>
        <v>11.853320546114805</v>
      </c>
      <c r="U3537">
        <v>650</v>
      </c>
      <c r="V3537">
        <v>296</v>
      </c>
      <c r="W3537">
        <v>1003</v>
      </c>
      <c r="X3537">
        <v>561</v>
      </c>
      <c r="Y3537">
        <v>53.7</v>
      </c>
      <c r="Z3537">
        <v>42.7</v>
      </c>
      <c r="AA3537">
        <v>64.7</v>
      </c>
    </row>
    <row r="3538" spans="1:27" x14ac:dyDescent="0.25">
      <c r="A3538" t="s">
        <v>260</v>
      </c>
      <c r="B3538" t="s">
        <v>199</v>
      </c>
      <c r="C3538" s="76">
        <v>43936</v>
      </c>
      <c r="D3538">
        <v>5518</v>
      </c>
      <c r="E3538">
        <v>3430</v>
      </c>
      <c r="F3538">
        <v>7605</v>
      </c>
      <c r="G3538">
        <v>6660</v>
      </c>
      <c r="H3538">
        <v>45.3</v>
      </c>
      <c r="I3538">
        <v>38.1</v>
      </c>
      <c r="J3538">
        <v>52.5</v>
      </c>
      <c r="K3538">
        <v>406</v>
      </c>
      <c r="L3538">
        <v>222</v>
      </c>
      <c r="M3538">
        <v>589</v>
      </c>
      <c r="N3538">
        <v>3.3</v>
      </c>
      <c r="O3538">
        <v>2.4</v>
      </c>
      <c r="P3538">
        <v>4.3</v>
      </c>
      <c r="Q3538">
        <f t="shared" si="108"/>
        <v>3990443</v>
      </c>
      <c r="R3538">
        <f t="shared" si="109"/>
        <v>10.17430896770108</v>
      </c>
      <c r="U3538">
        <v>658</v>
      </c>
      <c r="V3538">
        <v>329</v>
      </c>
      <c r="W3538">
        <v>988</v>
      </c>
      <c r="X3538">
        <v>664</v>
      </c>
      <c r="Y3538">
        <v>49.8</v>
      </c>
      <c r="Z3538">
        <v>37.9</v>
      </c>
      <c r="AA3538">
        <v>61.7</v>
      </c>
    </row>
    <row r="3539" spans="1:27" x14ac:dyDescent="0.25">
      <c r="A3539" t="s">
        <v>260</v>
      </c>
      <c r="B3539" t="s">
        <v>199</v>
      </c>
      <c r="C3539" s="76">
        <v>43937</v>
      </c>
      <c r="D3539">
        <v>5407</v>
      </c>
      <c r="E3539">
        <v>3377</v>
      </c>
      <c r="F3539">
        <v>7438</v>
      </c>
      <c r="G3539">
        <v>6669</v>
      </c>
      <c r="H3539">
        <v>44.8</v>
      </c>
      <c r="I3539">
        <v>38</v>
      </c>
      <c r="J3539">
        <v>51.6</v>
      </c>
      <c r="K3539">
        <v>382</v>
      </c>
      <c r="L3539">
        <v>210</v>
      </c>
      <c r="M3539">
        <v>555</v>
      </c>
      <c r="N3539">
        <v>3.2</v>
      </c>
      <c r="O3539">
        <v>2.2000000000000002</v>
      </c>
      <c r="P3539">
        <v>4.0999999999999996</v>
      </c>
      <c r="Q3539">
        <f t="shared" si="108"/>
        <v>3990443</v>
      </c>
      <c r="R3539">
        <f t="shared" si="109"/>
        <v>9.5728719843886996</v>
      </c>
      <c r="U3539">
        <v>681</v>
      </c>
      <c r="V3539">
        <v>360</v>
      </c>
      <c r="W3539">
        <v>1002</v>
      </c>
      <c r="X3539">
        <v>662</v>
      </c>
      <c r="Y3539">
        <v>50.7</v>
      </c>
      <c r="Z3539">
        <v>40</v>
      </c>
      <c r="AA3539">
        <v>61.4</v>
      </c>
    </row>
    <row r="3540" spans="1:27" x14ac:dyDescent="0.25">
      <c r="A3540" t="s">
        <v>260</v>
      </c>
      <c r="B3540" t="s">
        <v>199</v>
      </c>
      <c r="C3540" s="76">
        <v>43938</v>
      </c>
      <c r="D3540">
        <v>5354</v>
      </c>
      <c r="E3540">
        <v>3314</v>
      </c>
      <c r="F3540">
        <v>7394</v>
      </c>
      <c r="G3540">
        <v>6753</v>
      </c>
      <c r="H3540">
        <v>44.2</v>
      </c>
      <c r="I3540">
        <v>37.200000000000003</v>
      </c>
      <c r="J3540">
        <v>51.3</v>
      </c>
      <c r="K3540">
        <v>405</v>
      </c>
      <c r="L3540">
        <v>232</v>
      </c>
      <c r="M3540">
        <v>578</v>
      </c>
      <c r="N3540">
        <v>3.3</v>
      </c>
      <c r="O3540">
        <v>2.5</v>
      </c>
      <c r="P3540">
        <v>4.2</v>
      </c>
      <c r="Q3540">
        <f t="shared" si="108"/>
        <v>3990443</v>
      </c>
      <c r="R3540">
        <f t="shared" si="109"/>
        <v>10.149249093396397</v>
      </c>
      <c r="U3540">
        <v>667</v>
      </c>
      <c r="V3540">
        <v>346</v>
      </c>
      <c r="W3540">
        <v>988</v>
      </c>
      <c r="X3540">
        <v>669</v>
      </c>
      <c r="Y3540">
        <v>49.9</v>
      </c>
      <c r="Z3540">
        <v>38.799999999999997</v>
      </c>
      <c r="AA3540">
        <v>61</v>
      </c>
    </row>
    <row r="3541" spans="1:27" x14ac:dyDescent="0.25">
      <c r="A3541" t="s">
        <v>260</v>
      </c>
      <c r="B3541" t="s">
        <v>199</v>
      </c>
      <c r="C3541" s="76">
        <v>43939</v>
      </c>
      <c r="D3541">
        <v>5152</v>
      </c>
      <c r="E3541">
        <v>3195</v>
      </c>
      <c r="F3541">
        <v>7108</v>
      </c>
      <c r="G3541">
        <v>7000</v>
      </c>
      <c r="H3541">
        <v>42.4</v>
      </c>
      <c r="I3541">
        <v>35.5</v>
      </c>
      <c r="J3541">
        <v>49.3</v>
      </c>
      <c r="K3541">
        <v>383</v>
      </c>
      <c r="L3541">
        <v>233</v>
      </c>
      <c r="M3541">
        <v>534</v>
      </c>
      <c r="N3541">
        <v>3.2</v>
      </c>
      <c r="O3541">
        <v>2.4</v>
      </c>
      <c r="P3541">
        <v>3.9</v>
      </c>
      <c r="Q3541">
        <f t="shared" si="108"/>
        <v>3990443</v>
      </c>
      <c r="R3541">
        <f t="shared" si="109"/>
        <v>9.5979318586933839</v>
      </c>
      <c r="U3541">
        <v>696</v>
      </c>
      <c r="V3541">
        <v>358</v>
      </c>
      <c r="W3541">
        <v>1035</v>
      </c>
      <c r="X3541">
        <v>673</v>
      </c>
      <c r="Y3541">
        <v>50.9</v>
      </c>
      <c r="Z3541">
        <v>38.799999999999997</v>
      </c>
      <c r="AA3541">
        <v>62.9</v>
      </c>
    </row>
    <row r="3542" spans="1:27" x14ac:dyDescent="0.25">
      <c r="A3542" t="s">
        <v>260</v>
      </c>
      <c r="B3542" t="s">
        <v>199</v>
      </c>
      <c r="C3542" s="76">
        <v>43940</v>
      </c>
      <c r="D3542">
        <v>5141</v>
      </c>
      <c r="E3542">
        <v>3150</v>
      </c>
      <c r="F3542">
        <v>7131</v>
      </c>
      <c r="G3542">
        <v>6952</v>
      </c>
      <c r="H3542">
        <v>42.5</v>
      </c>
      <c r="I3542">
        <v>34.9</v>
      </c>
      <c r="J3542">
        <v>50.1</v>
      </c>
      <c r="K3542">
        <v>362</v>
      </c>
      <c r="L3542">
        <v>208</v>
      </c>
      <c r="M3542">
        <v>516</v>
      </c>
      <c r="N3542">
        <v>3</v>
      </c>
      <c r="O3542">
        <v>2.2000000000000002</v>
      </c>
      <c r="P3542">
        <v>3.8</v>
      </c>
      <c r="Q3542">
        <f t="shared" si="108"/>
        <v>3990443</v>
      </c>
      <c r="R3542">
        <f t="shared" si="109"/>
        <v>9.0716744982950512</v>
      </c>
      <c r="U3542">
        <v>702</v>
      </c>
      <c r="V3542">
        <v>369</v>
      </c>
      <c r="W3542">
        <v>1035</v>
      </c>
      <c r="X3542">
        <v>698</v>
      </c>
      <c r="Y3542">
        <v>50.2</v>
      </c>
      <c r="Z3542">
        <v>38.6</v>
      </c>
      <c r="AA3542">
        <v>61.8</v>
      </c>
    </row>
    <row r="3543" spans="1:27" x14ac:dyDescent="0.25">
      <c r="A3543" t="s">
        <v>260</v>
      </c>
      <c r="B3543" t="s">
        <v>199</v>
      </c>
      <c r="C3543" s="76">
        <v>43941</v>
      </c>
      <c r="D3543">
        <v>5250</v>
      </c>
      <c r="E3543">
        <v>3213</v>
      </c>
      <c r="F3543">
        <v>7286</v>
      </c>
      <c r="G3543">
        <v>6909</v>
      </c>
      <c r="H3543">
        <v>43.2</v>
      </c>
      <c r="I3543">
        <v>36</v>
      </c>
      <c r="J3543">
        <v>50.3</v>
      </c>
      <c r="K3543">
        <v>415</v>
      </c>
      <c r="L3543">
        <v>233</v>
      </c>
      <c r="M3543">
        <v>597</v>
      </c>
      <c r="N3543">
        <v>3.4</v>
      </c>
      <c r="O3543">
        <v>2.5</v>
      </c>
      <c r="P3543">
        <v>4.3</v>
      </c>
      <c r="Q3543">
        <f t="shared" si="108"/>
        <v>3990443</v>
      </c>
      <c r="R3543">
        <f t="shared" si="109"/>
        <v>10.399847836443222</v>
      </c>
      <c r="U3543">
        <v>708</v>
      </c>
      <c r="V3543">
        <v>377</v>
      </c>
      <c r="W3543">
        <v>1039</v>
      </c>
      <c r="X3543">
        <v>633</v>
      </c>
      <c r="Y3543">
        <v>52.8</v>
      </c>
      <c r="Z3543">
        <v>39.799999999999997</v>
      </c>
      <c r="AA3543">
        <v>65.8</v>
      </c>
    </row>
    <row r="3544" spans="1:27" x14ac:dyDescent="0.25">
      <c r="A3544" t="s">
        <v>260</v>
      </c>
      <c r="B3544" t="s">
        <v>199</v>
      </c>
      <c r="C3544" s="76">
        <v>43942</v>
      </c>
      <c r="D3544">
        <v>5365</v>
      </c>
      <c r="E3544">
        <v>3303</v>
      </c>
      <c r="F3544">
        <v>7427</v>
      </c>
      <c r="G3544">
        <v>6567</v>
      </c>
      <c r="H3544">
        <v>45</v>
      </c>
      <c r="I3544">
        <v>37.6</v>
      </c>
      <c r="J3544">
        <v>52.4</v>
      </c>
      <c r="K3544">
        <v>470</v>
      </c>
      <c r="L3544">
        <v>195</v>
      </c>
      <c r="M3544">
        <v>746</v>
      </c>
      <c r="N3544">
        <v>3.9</v>
      </c>
      <c r="O3544">
        <v>2.1</v>
      </c>
      <c r="P3544">
        <v>5.8</v>
      </c>
      <c r="Q3544">
        <f t="shared" si="108"/>
        <v>3990443</v>
      </c>
      <c r="R3544">
        <f t="shared" si="109"/>
        <v>11.778140923200757</v>
      </c>
      <c r="U3544">
        <v>700</v>
      </c>
      <c r="V3544">
        <v>370</v>
      </c>
      <c r="W3544">
        <v>1029</v>
      </c>
      <c r="X3544">
        <v>645</v>
      </c>
      <c r="Y3544">
        <v>52</v>
      </c>
      <c r="Z3544">
        <v>40.9</v>
      </c>
      <c r="AA3544">
        <v>63.1</v>
      </c>
    </row>
    <row r="3545" spans="1:27" x14ac:dyDescent="0.25">
      <c r="A3545" t="s">
        <v>260</v>
      </c>
      <c r="B3545" t="s">
        <v>199</v>
      </c>
      <c r="C3545" s="76">
        <v>43943</v>
      </c>
      <c r="D3545">
        <v>5586</v>
      </c>
      <c r="E3545">
        <v>3443</v>
      </c>
      <c r="F3545">
        <v>7729</v>
      </c>
      <c r="G3545">
        <v>6333</v>
      </c>
      <c r="H3545">
        <v>46.9</v>
      </c>
      <c r="I3545">
        <v>39.5</v>
      </c>
      <c r="J3545">
        <v>54.3</v>
      </c>
      <c r="K3545">
        <v>378</v>
      </c>
      <c r="L3545">
        <v>211</v>
      </c>
      <c r="M3545">
        <v>544</v>
      </c>
      <c r="N3545">
        <v>3.2</v>
      </c>
      <c r="O3545">
        <v>2.2999999999999998</v>
      </c>
      <c r="P3545">
        <v>4.0999999999999996</v>
      </c>
      <c r="Q3545">
        <f t="shared" si="108"/>
        <v>3990443</v>
      </c>
      <c r="R3545">
        <f t="shared" si="109"/>
        <v>9.472632487169971</v>
      </c>
      <c r="U3545">
        <v>703</v>
      </c>
      <c r="V3545">
        <v>386</v>
      </c>
      <c r="W3545">
        <v>1020</v>
      </c>
      <c r="X3545">
        <v>633</v>
      </c>
      <c r="Y3545">
        <v>52.6</v>
      </c>
      <c r="Z3545">
        <v>41.7</v>
      </c>
      <c r="AA3545">
        <v>63.6</v>
      </c>
    </row>
    <row r="3546" spans="1:27" x14ac:dyDescent="0.25">
      <c r="A3546" t="s">
        <v>260</v>
      </c>
      <c r="B3546" t="s">
        <v>199</v>
      </c>
      <c r="C3546" s="76">
        <v>43944</v>
      </c>
      <c r="D3546">
        <v>5469</v>
      </c>
      <c r="E3546">
        <v>3161</v>
      </c>
      <c r="F3546">
        <v>7777</v>
      </c>
      <c r="G3546">
        <v>6735</v>
      </c>
      <c r="H3546">
        <v>44.8</v>
      </c>
      <c r="I3546">
        <v>37.200000000000003</v>
      </c>
      <c r="J3546">
        <v>52.5</v>
      </c>
      <c r="K3546">
        <v>384</v>
      </c>
      <c r="L3546">
        <v>183</v>
      </c>
      <c r="M3546">
        <v>584</v>
      </c>
      <c r="N3546">
        <v>3.1</v>
      </c>
      <c r="O3546">
        <v>2</v>
      </c>
      <c r="P3546">
        <v>4.3</v>
      </c>
      <c r="Q3546">
        <f t="shared" si="108"/>
        <v>3990443</v>
      </c>
      <c r="R3546">
        <f t="shared" si="109"/>
        <v>9.6229917329980648</v>
      </c>
      <c r="U3546">
        <v>682</v>
      </c>
      <c r="V3546">
        <v>376</v>
      </c>
      <c r="W3546">
        <v>987</v>
      </c>
      <c r="X3546">
        <v>566</v>
      </c>
      <c r="Y3546">
        <v>54.6</v>
      </c>
      <c r="Z3546">
        <v>46.9</v>
      </c>
      <c r="AA3546">
        <v>62.4</v>
      </c>
    </row>
    <row r="3547" spans="1:27" x14ac:dyDescent="0.25">
      <c r="A3547" t="s">
        <v>260</v>
      </c>
      <c r="B3547" t="s">
        <v>199</v>
      </c>
      <c r="C3547" s="76">
        <v>43945</v>
      </c>
      <c r="D3547">
        <v>5314</v>
      </c>
      <c r="E3547">
        <v>3023</v>
      </c>
      <c r="F3547">
        <v>7604</v>
      </c>
      <c r="G3547">
        <v>6909</v>
      </c>
      <c r="H3547">
        <v>43.5</v>
      </c>
      <c r="I3547">
        <v>35.299999999999997</v>
      </c>
      <c r="J3547">
        <v>51.6</v>
      </c>
      <c r="K3547">
        <v>389</v>
      </c>
      <c r="L3547">
        <v>206</v>
      </c>
      <c r="M3547">
        <v>572</v>
      </c>
      <c r="N3547">
        <v>3.2</v>
      </c>
      <c r="O3547">
        <v>2.2000000000000002</v>
      </c>
      <c r="P3547">
        <v>4.2</v>
      </c>
      <c r="Q3547">
        <f t="shared" si="108"/>
        <v>3990443</v>
      </c>
      <c r="R3547">
        <f t="shared" si="109"/>
        <v>9.7482911045214777</v>
      </c>
      <c r="U3547">
        <v>641</v>
      </c>
      <c r="V3547">
        <v>348</v>
      </c>
      <c r="W3547">
        <v>934</v>
      </c>
      <c r="X3547">
        <v>597</v>
      </c>
      <c r="Y3547">
        <v>51.8</v>
      </c>
      <c r="Z3547">
        <v>45.9</v>
      </c>
      <c r="AA3547">
        <v>57.7</v>
      </c>
    </row>
    <row r="3548" spans="1:27" x14ac:dyDescent="0.25">
      <c r="A3548" t="s">
        <v>260</v>
      </c>
      <c r="B3548" t="s">
        <v>199</v>
      </c>
      <c r="C3548" s="76">
        <v>43946</v>
      </c>
      <c r="D3548">
        <v>5110</v>
      </c>
      <c r="E3548">
        <v>2879</v>
      </c>
      <c r="F3548">
        <v>7341</v>
      </c>
      <c r="G3548">
        <v>7085</v>
      </c>
      <c r="H3548">
        <v>41.9</v>
      </c>
      <c r="I3548">
        <v>33.5</v>
      </c>
      <c r="J3548">
        <v>50.3</v>
      </c>
      <c r="K3548">
        <v>384</v>
      </c>
      <c r="L3548">
        <v>213</v>
      </c>
      <c r="M3548">
        <v>555</v>
      </c>
      <c r="N3548">
        <v>3.1</v>
      </c>
      <c r="O3548">
        <v>2.2000000000000002</v>
      </c>
      <c r="P3548">
        <v>4.0999999999999996</v>
      </c>
      <c r="Q3548">
        <f t="shared" si="108"/>
        <v>3990443</v>
      </c>
      <c r="R3548">
        <f t="shared" si="109"/>
        <v>9.6229917329980648</v>
      </c>
      <c r="U3548">
        <v>636</v>
      </c>
      <c r="V3548">
        <v>331</v>
      </c>
      <c r="W3548">
        <v>941</v>
      </c>
      <c r="X3548">
        <v>584</v>
      </c>
      <c r="Y3548">
        <v>52.1</v>
      </c>
      <c r="Z3548">
        <v>44.8</v>
      </c>
      <c r="AA3548">
        <v>59.5</v>
      </c>
    </row>
    <row r="3549" spans="1:27" x14ac:dyDescent="0.25">
      <c r="A3549" t="s">
        <v>260</v>
      </c>
      <c r="B3549" t="s">
        <v>199</v>
      </c>
      <c r="C3549" s="76">
        <v>43947</v>
      </c>
      <c r="D3549">
        <v>5028</v>
      </c>
      <c r="E3549">
        <v>2863</v>
      </c>
      <c r="F3549">
        <v>7193</v>
      </c>
      <c r="G3549">
        <v>7246</v>
      </c>
      <c r="H3549">
        <v>41</v>
      </c>
      <c r="I3549">
        <v>33</v>
      </c>
      <c r="J3549">
        <v>48.9</v>
      </c>
      <c r="K3549">
        <v>329</v>
      </c>
      <c r="L3549">
        <v>176</v>
      </c>
      <c r="M3549">
        <v>482</v>
      </c>
      <c r="N3549">
        <v>2.7</v>
      </c>
      <c r="O3549">
        <v>1.8</v>
      </c>
      <c r="P3549">
        <v>3.5</v>
      </c>
      <c r="Q3549">
        <f t="shared" si="108"/>
        <v>3990443</v>
      </c>
      <c r="R3549">
        <f t="shared" si="109"/>
        <v>8.2446986462405309</v>
      </c>
      <c r="U3549">
        <v>617</v>
      </c>
      <c r="V3549">
        <v>325</v>
      </c>
      <c r="W3549">
        <v>910</v>
      </c>
      <c r="X3549">
        <v>601</v>
      </c>
      <c r="Y3549">
        <v>50.7</v>
      </c>
      <c r="Z3549">
        <v>43.6</v>
      </c>
      <c r="AA3549">
        <v>57.8</v>
      </c>
    </row>
    <row r="3550" spans="1:27" x14ac:dyDescent="0.25">
      <c r="A3550" t="s">
        <v>260</v>
      </c>
      <c r="B3550" t="s">
        <v>199</v>
      </c>
      <c r="C3550" s="76">
        <v>43948</v>
      </c>
      <c r="D3550">
        <v>5358</v>
      </c>
      <c r="E3550">
        <v>3067</v>
      </c>
      <c r="F3550">
        <v>7650</v>
      </c>
      <c r="G3550">
        <v>6896</v>
      </c>
      <c r="H3550">
        <v>43.7</v>
      </c>
      <c r="I3550">
        <v>35.6</v>
      </c>
      <c r="J3550">
        <v>51.9</v>
      </c>
      <c r="K3550">
        <v>364</v>
      </c>
      <c r="L3550">
        <v>177</v>
      </c>
      <c r="M3550">
        <v>551</v>
      </c>
      <c r="N3550">
        <v>3</v>
      </c>
      <c r="O3550">
        <v>1.9</v>
      </c>
      <c r="P3550">
        <v>4</v>
      </c>
      <c r="Q3550">
        <f t="shared" si="108"/>
        <v>3990443</v>
      </c>
      <c r="R3550">
        <f t="shared" si="109"/>
        <v>9.1217942469044164</v>
      </c>
      <c r="U3550">
        <v>604</v>
      </c>
      <c r="V3550">
        <v>320</v>
      </c>
      <c r="W3550">
        <v>887</v>
      </c>
      <c r="X3550">
        <v>611</v>
      </c>
      <c r="Y3550">
        <v>49.7</v>
      </c>
      <c r="Z3550">
        <v>42.4</v>
      </c>
      <c r="AA3550">
        <v>57</v>
      </c>
    </row>
    <row r="3551" spans="1:27" x14ac:dyDescent="0.25">
      <c r="A3551" t="s">
        <v>260</v>
      </c>
      <c r="B3551" t="s">
        <v>199</v>
      </c>
      <c r="C3551" s="76">
        <v>43949</v>
      </c>
      <c r="D3551">
        <v>5795</v>
      </c>
      <c r="E3551">
        <v>3419</v>
      </c>
      <c r="F3551">
        <v>8170</v>
      </c>
      <c r="G3551">
        <v>6732</v>
      </c>
      <c r="H3551">
        <v>46.3</v>
      </c>
      <c r="I3551">
        <v>38.5</v>
      </c>
      <c r="J3551">
        <v>54</v>
      </c>
      <c r="K3551">
        <v>444</v>
      </c>
      <c r="L3551">
        <v>219</v>
      </c>
      <c r="M3551">
        <v>668</v>
      </c>
      <c r="N3551">
        <v>3.5</v>
      </c>
      <c r="O3551">
        <v>2.2999999999999998</v>
      </c>
      <c r="P3551">
        <v>4.8</v>
      </c>
      <c r="Q3551">
        <f t="shared" si="108"/>
        <v>3990443</v>
      </c>
      <c r="R3551">
        <f t="shared" si="109"/>
        <v>11.126584191279013</v>
      </c>
      <c r="U3551">
        <v>622</v>
      </c>
      <c r="V3551">
        <v>326</v>
      </c>
      <c r="W3551">
        <v>918</v>
      </c>
      <c r="X3551">
        <v>615</v>
      </c>
      <c r="Y3551">
        <v>50.3</v>
      </c>
      <c r="Z3551">
        <v>43.5</v>
      </c>
      <c r="AA3551">
        <v>57.1</v>
      </c>
    </row>
    <row r="3552" spans="1:27" x14ac:dyDescent="0.25">
      <c r="A3552" t="s">
        <v>260</v>
      </c>
      <c r="B3552" t="s">
        <v>199</v>
      </c>
      <c r="C3552" s="76">
        <v>43950</v>
      </c>
      <c r="D3552">
        <v>5925</v>
      </c>
      <c r="E3552">
        <v>3534</v>
      </c>
      <c r="F3552">
        <v>8317</v>
      </c>
      <c r="G3552">
        <v>6717</v>
      </c>
      <c r="H3552">
        <v>46.9</v>
      </c>
      <c r="I3552">
        <v>39.200000000000003</v>
      </c>
      <c r="J3552">
        <v>54.6</v>
      </c>
      <c r="K3552">
        <v>441</v>
      </c>
      <c r="L3552">
        <v>217</v>
      </c>
      <c r="M3552">
        <v>666</v>
      </c>
      <c r="N3552">
        <v>3.5</v>
      </c>
      <c r="O3552">
        <v>2.2000000000000002</v>
      </c>
      <c r="P3552">
        <v>4.7</v>
      </c>
      <c r="Q3552">
        <f t="shared" si="108"/>
        <v>3990443</v>
      </c>
      <c r="R3552">
        <f t="shared" si="109"/>
        <v>11.051404568364966</v>
      </c>
      <c r="U3552">
        <v>675</v>
      </c>
      <c r="V3552">
        <v>347</v>
      </c>
      <c r="W3552">
        <v>1003</v>
      </c>
      <c r="X3552">
        <v>573</v>
      </c>
      <c r="Y3552">
        <v>54.1</v>
      </c>
      <c r="Z3552">
        <v>46.3</v>
      </c>
      <c r="AA3552">
        <v>61.8</v>
      </c>
    </row>
    <row r="3553" spans="1:27" x14ac:dyDescent="0.25">
      <c r="A3553" t="s">
        <v>260</v>
      </c>
      <c r="B3553" t="s">
        <v>199</v>
      </c>
      <c r="C3553" s="76">
        <v>43951</v>
      </c>
      <c r="D3553">
        <v>5823</v>
      </c>
      <c r="E3553">
        <v>3446</v>
      </c>
      <c r="F3553">
        <v>8200</v>
      </c>
      <c r="G3553">
        <v>6926</v>
      </c>
      <c r="H3553">
        <v>45.7</v>
      </c>
      <c r="I3553">
        <v>37.799999999999997</v>
      </c>
      <c r="J3553">
        <v>53.5</v>
      </c>
      <c r="K3553">
        <v>372</v>
      </c>
      <c r="L3553">
        <v>200</v>
      </c>
      <c r="M3553">
        <v>545</v>
      </c>
      <c r="N3553">
        <v>2.9</v>
      </c>
      <c r="O3553">
        <v>2</v>
      </c>
      <c r="P3553">
        <v>3.8</v>
      </c>
      <c r="Q3553">
        <f t="shared" si="108"/>
        <v>3990443</v>
      </c>
      <c r="R3553">
        <f t="shared" si="109"/>
        <v>9.3222732413418754</v>
      </c>
      <c r="U3553">
        <v>704</v>
      </c>
      <c r="V3553">
        <v>372</v>
      </c>
      <c r="W3553">
        <v>1037</v>
      </c>
      <c r="X3553">
        <v>551</v>
      </c>
      <c r="Y3553">
        <v>56.1</v>
      </c>
      <c r="Z3553">
        <v>48.9</v>
      </c>
      <c r="AA3553">
        <v>63.3</v>
      </c>
    </row>
    <row r="3554" spans="1:27" x14ac:dyDescent="0.25">
      <c r="A3554" t="s">
        <v>260</v>
      </c>
      <c r="B3554" t="s">
        <v>199</v>
      </c>
      <c r="C3554" s="76">
        <v>43952</v>
      </c>
      <c r="D3554">
        <v>5889</v>
      </c>
      <c r="E3554">
        <v>3465</v>
      </c>
      <c r="F3554">
        <v>8313</v>
      </c>
      <c r="G3554">
        <v>6837</v>
      </c>
      <c r="H3554">
        <v>46.3</v>
      </c>
      <c r="I3554">
        <v>38.200000000000003</v>
      </c>
      <c r="J3554">
        <v>54.4</v>
      </c>
      <c r="K3554">
        <v>397</v>
      </c>
      <c r="L3554">
        <v>213</v>
      </c>
      <c r="M3554">
        <v>581</v>
      </c>
      <c r="N3554">
        <v>3.1</v>
      </c>
      <c r="O3554">
        <v>2.1</v>
      </c>
      <c r="P3554">
        <v>4.0999999999999996</v>
      </c>
      <c r="Q3554">
        <f t="shared" si="108"/>
        <v>3990443</v>
      </c>
      <c r="R3554">
        <f t="shared" si="109"/>
        <v>9.9487700989589385</v>
      </c>
      <c r="U3554">
        <v>708</v>
      </c>
      <c r="V3554">
        <v>375</v>
      </c>
      <c r="W3554">
        <v>1041</v>
      </c>
      <c r="X3554">
        <v>548</v>
      </c>
      <c r="Y3554">
        <v>56.4</v>
      </c>
      <c r="Z3554">
        <v>48.2</v>
      </c>
      <c r="AA3554">
        <v>64.5</v>
      </c>
    </row>
    <row r="3555" spans="1:27" x14ac:dyDescent="0.25">
      <c r="A3555" t="s">
        <v>260</v>
      </c>
      <c r="B3555" t="s">
        <v>199</v>
      </c>
      <c r="C3555" s="76">
        <v>43953</v>
      </c>
      <c r="D3555">
        <v>5361</v>
      </c>
      <c r="E3555">
        <v>3079</v>
      </c>
      <c r="F3555">
        <v>7643</v>
      </c>
      <c r="G3555">
        <v>7299</v>
      </c>
      <c r="H3555">
        <v>42.3</v>
      </c>
      <c r="I3555">
        <v>34.4</v>
      </c>
      <c r="J3555">
        <v>50.3</v>
      </c>
      <c r="K3555">
        <v>310</v>
      </c>
      <c r="L3555">
        <v>164</v>
      </c>
      <c r="M3555">
        <v>456</v>
      </c>
      <c r="N3555">
        <v>2.5</v>
      </c>
      <c r="O3555">
        <v>1.7</v>
      </c>
      <c r="P3555">
        <v>3.2</v>
      </c>
      <c r="Q3555">
        <f t="shared" si="108"/>
        <v>3990443</v>
      </c>
      <c r="R3555">
        <f t="shared" si="109"/>
        <v>7.7685610344515634</v>
      </c>
      <c r="U3555">
        <v>703</v>
      </c>
      <c r="V3555">
        <v>369</v>
      </c>
      <c r="W3555">
        <v>1037</v>
      </c>
      <c r="X3555">
        <v>544</v>
      </c>
      <c r="Y3555">
        <v>56.4</v>
      </c>
      <c r="Z3555">
        <v>47.4</v>
      </c>
      <c r="AA3555">
        <v>65.3</v>
      </c>
    </row>
    <row r="3556" spans="1:27" x14ac:dyDescent="0.25">
      <c r="A3556" t="s">
        <v>260</v>
      </c>
      <c r="B3556" t="s">
        <v>199</v>
      </c>
      <c r="C3556" s="76">
        <v>43954</v>
      </c>
      <c r="D3556">
        <v>5234</v>
      </c>
      <c r="E3556">
        <v>2979</v>
      </c>
      <c r="F3556">
        <v>7489</v>
      </c>
      <c r="G3556">
        <v>7481</v>
      </c>
      <c r="H3556">
        <v>41.2</v>
      </c>
      <c r="I3556">
        <v>33</v>
      </c>
      <c r="J3556">
        <v>49.4</v>
      </c>
      <c r="K3556">
        <v>307</v>
      </c>
      <c r="L3556">
        <v>165</v>
      </c>
      <c r="M3556">
        <v>449</v>
      </c>
      <c r="N3556">
        <v>2.4</v>
      </c>
      <c r="O3556">
        <v>1.7</v>
      </c>
      <c r="P3556">
        <v>3.1</v>
      </c>
      <c r="Q3556">
        <f t="shared" si="108"/>
        <v>3990443</v>
      </c>
      <c r="R3556">
        <f t="shared" si="109"/>
        <v>7.6933814115375165</v>
      </c>
      <c r="U3556">
        <v>691</v>
      </c>
      <c r="V3556">
        <v>370</v>
      </c>
      <c r="W3556">
        <v>1012</v>
      </c>
      <c r="X3556">
        <v>547</v>
      </c>
      <c r="Y3556">
        <v>55.8</v>
      </c>
      <c r="Z3556">
        <v>46.6</v>
      </c>
      <c r="AA3556">
        <v>65</v>
      </c>
    </row>
    <row r="3557" spans="1:27" x14ac:dyDescent="0.25">
      <c r="A3557" t="s">
        <v>260</v>
      </c>
      <c r="B3557" t="s">
        <v>199</v>
      </c>
      <c r="C3557" s="76">
        <v>43955</v>
      </c>
      <c r="D3557">
        <v>5598</v>
      </c>
      <c r="E3557">
        <v>3196</v>
      </c>
      <c r="F3557">
        <v>7999</v>
      </c>
      <c r="G3557">
        <v>7073</v>
      </c>
      <c r="H3557">
        <v>44.2</v>
      </c>
      <c r="I3557">
        <v>35.9</v>
      </c>
      <c r="J3557">
        <v>52.4</v>
      </c>
      <c r="K3557">
        <v>382</v>
      </c>
      <c r="L3557">
        <v>183</v>
      </c>
      <c r="M3557">
        <v>581</v>
      </c>
      <c r="N3557">
        <v>3</v>
      </c>
      <c r="O3557">
        <v>2</v>
      </c>
      <c r="P3557">
        <v>4.0999999999999996</v>
      </c>
      <c r="Q3557">
        <f t="shared" si="108"/>
        <v>3990443</v>
      </c>
      <c r="R3557">
        <f t="shared" si="109"/>
        <v>9.5728719843886996</v>
      </c>
      <c r="U3557">
        <v>838</v>
      </c>
      <c r="V3557">
        <v>363</v>
      </c>
      <c r="W3557">
        <v>1313</v>
      </c>
      <c r="X3557">
        <v>534</v>
      </c>
      <c r="Y3557">
        <v>61.1</v>
      </c>
      <c r="Z3557">
        <v>52.8</v>
      </c>
      <c r="AA3557">
        <v>69.3</v>
      </c>
    </row>
    <row r="3558" spans="1:27" x14ac:dyDescent="0.25">
      <c r="A3558" t="s">
        <v>260</v>
      </c>
      <c r="B3558" t="s">
        <v>199</v>
      </c>
      <c r="C3558" s="76">
        <v>43956</v>
      </c>
      <c r="D3558">
        <v>6036</v>
      </c>
      <c r="E3558">
        <v>3492</v>
      </c>
      <c r="F3558">
        <v>8581</v>
      </c>
      <c r="G3558">
        <v>6691</v>
      </c>
      <c r="H3558">
        <v>47.4</v>
      </c>
      <c r="I3558">
        <v>39.1</v>
      </c>
      <c r="J3558">
        <v>55.7</v>
      </c>
      <c r="K3558">
        <v>461</v>
      </c>
      <c r="L3558">
        <v>197</v>
      </c>
      <c r="M3558">
        <v>725</v>
      </c>
      <c r="N3558">
        <v>3.6</v>
      </c>
      <c r="O3558">
        <v>2.1</v>
      </c>
      <c r="P3558">
        <v>5.0999999999999996</v>
      </c>
      <c r="Q3558">
        <f t="shared" si="108"/>
        <v>3990443</v>
      </c>
      <c r="R3558">
        <f t="shared" si="109"/>
        <v>11.552602054458616</v>
      </c>
      <c r="U3558">
        <v>812</v>
      </c>
      <c r="V3558">
        <v>344</v>
      </c>
      <c r="W3558">
        <v>1281</v>
      </c>
      <c r="X3558">
        <v>563</v>
      </c>
      <c r="Y3558">
        <v>59.1</v>
      </c>
      <c r="Z3558">
        <v>51</v>
      </c>
      <c r="AA3558">
        <v>67.2</v>
      </c>
    </row>
    <row r="3559" spans="1:27" x14ac:dyDescent="0.25">
      <c r="A3559" t="s">
        <v>260</v>
      </c>
      <c r="B3559" t="s">
        <v>199</v>
      </c>
      <c r="C3559" s="76">
        <v>43957</v>
      </c>
      <c r="D3559">
        <v>6293</v>
      </c>
      <c r="E3559">
        <v>3683</v>
      </c>
      <c r="F3559">
        <v>8903</v>
      </c>
      <c r="G3559">
        <v>6443</v>
      </c>
      <c r="H3559">
        <v>49.4</v>
      </c>
      <c r="I3559">
        <v>41.1</v>
      </c>
      <c r="J3559">
        <v>57.8</v>
      </c>
      <c r="K3559">
        <v>406</v>
      </c>
      <c r="L3559">
        <v>201</v>
      </c>
      <c r="M3559">
        <v>612</v>
      </c>
      <c r="N3559">
        <v>3.2</v>
      </c>
      <c r="O3559">
        <v>2.1</v>
      </c>
      <c r="P3559">
        <v>4.3</v>
      </c>
      <c r="Q3559">
        <f t="shared" ref="Q3559:Q3622" si="110">VLOOKUP(B3559,$AE$4:$AF$55,2,FALSE)</f>
        <v>3990443</v>
      </c>
      <c r="R3559">
        <f t="shared" si="109"/>
        <v>10.17430896770108</v>
      </c>
      <c r="U3559">
        <v>840</v>
      </c>
      <c r="V3559">
        <v>373</v>
      </c>
      <c r="W3559">
        <v>1307</v>
      </c>
      <c r="X3559">
        <v>533</v>
      </c>
      <c r="Y3559">
        <v>61.2</v>
      </c>
      <c r="Z3559">
        <v>53.4</v>
      </c>
      <c r="AA3559">
        <v>68.900000000000006</v>
      </c>
    </row>
    <row r="3560" spans="1:27" x14ac:dyDescent="0.25">
      <c r="A3560" t="s">
        <v>260</v>
      </c>
      <c r="B3560" t="s">
        <v>199</v>
      </c>
      <c r="C3560" s="76">
        <v>43958</v>
      </c>
      <c r="D3560">
        <v>6130</v>
      </c>
      <c r="E3560">
        <v>3632</v>
      </c>
      <c r="F3560">
        <v>8629</v>
      </c>
      <c r="G3560">
        <v>6520</v>
      </c>
      <c r="H3560">
        <v>48.5</v>
      </c>
      <c r="I3560">
        <v>40.5</v>
      </c>
      <c r="J3560">
        <v>56.4</v>
      </c>
      <c r="K3560">
        <v>366</v>
      </c>
      <c r="L3560">
        <v>189</v>
      </c>
      <c r="M3560">
        <v>544</v>
      </c>
      <c r="N3560">
        <v>2.9</v>
      </c>
      <c r="O3560">
        <v>1.9</v>
      </c>
      <c r="P3560">
        <v>3.9</v>
      </c>
      <c r="Q3560">
        <f t="shared" si="110"/>
        <v>3990443</v>
      </c>
      <c r="R3560">
        <f t="shared" si="109"/>
        <v>9.1719139955137816</v>
      </c>
      <c r="U3560">
        <v>830</v>
      </c>
      <c r="V3560">
        <v>352</v>
      </c>
      <c r="W3560">
        <v>1308</v>
      </c>
      <c r="X3560">
        <v>583</v>
      </c>
      <c r="Y3560">
        <v>58.7</v>
      </c>
      <c r="Z3560">
        <v>49.5</v>
      </c>
      <c r="AA3560">
        <v>68</v>
      </c>
    </row>
    <row r="3561" spans="1:27" x14ac:dyDescent="0.25">
      <c r="A3561" t="s">
        <v>260</v>
      </c>
      <c r="B3561" t="s">
        <v>199</v>
      </c>
      <c r="C3561" s="76">
        <v>43959</v>
      </c>
      <c r="D3561">
        <v>6163</v>
      </c>
      <c r="E3561">
        <v>3640</v>
      </c>
      <c r="F3561">
        <v>8686</v>
      </c>
      <c r="G3561">
        <v>6495</v>
      </c>
      <c r="H3561">
        <v>48.7</v>
      </c>
      <c r="I3561">
        <v>40.4</v>
      </c>
      <c r="J3561">
        <v>56.9</v>
      </c>
      <c r="K3561">
        <v>310</v>
      </c>
      <c r="L3561">
        <v>148</v>
      </c>
      <c r="M3561">
        <v>473</v>
      </c>
      <c r="N3561">
        <v>2.5</v>
      </c>
      <c r="O3561">
        <v>1.5</v>
      </c>
      <c r="P3561">
        <v>3.4</v>
      </c>
      <c r="Q3561">
        <f t="shared" si="110"/>
        <v>3990443</v>
      </c>
      <c r="R3561">
        <f t="shared" si="109"/>
        <v>7.7685610344515634</v>
      </c>
      <c r="U3561">
        <v>853</v>
      </c>
      <c r="V3561">
        <v>358</v>
      </c>
      <c r="W3561">
        <v>1349</v>
      </c>
      <c r="X3561">
        <v>518</v>
      </c>
      <c r="Y3561">
        <v>62.2</v>
      </c>
      <c r="Z3561">
        <v>52.9</v>
      </c>
      <c r="AA3561">
        <v>71.5</v>
      </c>
    </row>
    <row r="3562" spans="1:27" x14ac:dyDescent="0.25">
      <c r="A3562" t="s">
        <v>260</v>
      </c>
      <c r="B3562" t="s">
        <v>199</v>
      </c>
      <c r="C3562" s="76">
        <v>43960</v>
      </c>
      <c r="D3562">
        <v>5645</v>
      </c>
      <c r="E3562">
        <v>3275</v>
      </c>
      <c r="F3562">
        <v>8014</v>
      </c>
      <c r="G3562">
        <v>6932</v>
      </c>
      <c r="H3562">
        <v>44.9</v>
      </c>
      <c r="I3562">
        <v>36.9</v>
      </c>
      <c r="J3562">
        <v>52.9</v>
      </c>
      <c r="K3562">
        <v>307</v>
      </c>
      <c r="L3562">
        <v>178</v>
      </c>
      <c r="M3562">
        <v>437</v>
      </c>
      <c r="N3562">
        <v>2.4</v>
      </c>
      <c r="O3562">
        <v>1.8</v>
      </c>
      <c r="P3562">
        <v>3.1</v>
      </c>
      <c r="Q3562">
        <f t="shared" si="110"/>
        <v>3990443</v>
      </c>
      <c r="R3562">
        <f t="shared" si="109"/>
        <v>7.6933814115375165</v>
      </c>
      <c r="U3562">
        <v>820</v>
      </c>
      <c r="V3562">
        <v>325</v>
      </c>
      <c r="W3562">
        <v>1314</v>
      </c>
      <c r="X3562">
        <v>582</v>
      </c>
      <c r="Y3562">
        <v>58.5</v>
      </c>
      <c r="Z3562">
        <v>48.3</v>
      </c>
      <c r="AA3562">
        <v>68.7</v>
      </c>
    </row>
    <row r="3563" spans="1:27" x14ac:dyDescent="0.25">
      <c r="A3563" t="s">
        <v>260</v>
      </c>
      <c r="B3563" t="s">
        <v>199</v>
      </c>
      <c r="C3563" s="76">
        <v>43961</v>
      </c>
      <c r="D3563">
        <v>5458</v>
      </c>
      <c r="E3563">
        <v>3132</v>
      </c>
      <c r="F3563">
        <v>7783</v>
      </c>
      <c r="G3563">
        <v>7221</v>
      </c>
      <c r="H3563">
        <v>43</v>
      </c>
      <c r="I3563">
        <v>35</v>
      </c>
      <c r="J3563">
        <v>51.1</v>
      </c>
      <c r="K3563">
        <v>292</v>
      </c>
      <c r="L3563">
        <v>166</v>
      </c>
      <c r="M3563">
        <v>417</v>
      </c>
      <c r="N3563">
        <v>2.2999999999999998</v>
      </c>
      <c r="O3563">
        <v>1.7</v>
      </c>
      <c r="P3563">
        <v>2.9</v>
      </c>
      <c r="Q3563">
        <f t="shared" si="110"/>
        <v>3990443</v>
      </c>
      <c r="R3563">
        <f t="shared" si="109"/>
        <v>7.3174832969672785</v>
      </c>
      <c r="U3563">
        <v>838</v>
      </c>
      <c r="V3563">
        <v>333</v>
      </c>
      <c r="W3563">
        <v>1342</v>
      </c>
      <c r="X3563">
        <v>529</v>
      </c>
      <c r="Y3563">
        <v>61.3</v>
      </c>
      <c r="Z3563">
        <v>50.5</v>
      </c>
      <c r="AA3563">
        <v>72</v>
      </c>
    </row>
    <row r="3564" spans="1:27" x14ac:dyDescent="0.25">
      <c r="A3564" t="s">
        <v>260</v>
      </c>
      <c r="B3564" t="s">
        <v>199</v>
      </c>
      <c r="C3564" s="76">
        <v>43962</v>
      </c>
      <c r="D3564">
        <v>5847</v>
      </c>
      <c r="E3564">
        <v>3403</v>
      </c>
      <c r="F3564">
        <v>8291</v>
      </c>
      <c r="G3564">
        <v>6816</v>
      </c>
      <c r="H3564">
        <v>46.2</v>
      </c>
      <c r="I3564">
        <v>38.4</v>
      </c>
      <c r="J3564">
        <v>54</v>
      </c>
      <c r="K3564">
        <v>309</v>
      </c>
      <c r="L3564">
        <v>158</v>
      </c>
      <c r="M3564">
        <v>461</v>
      </c>
      <c r="N3564">
        <v>2.4</v>
      </c>
      <c r="O3564">
        <v>1.7</v>
      </c>
      <c r="P3564">
        <v>3.2</v>
      </c>
      <c r="Q3564">
        <f t="shared" si="110"/>
        <v>3990443</v>
      </c>
      <c r="R3564">
        <f t="shared" si="109"/>
        <v>7.7435011601468817</v>
      </c>
      <c r="U3564">
        <v>821</v>
      </c>
      <c r="V3564">
        <v>318</v>
      </c>
      <c r="W3564">
        <v>1323</v>
      </c>
      <c r="X3564">
        <v>551</v>
      </c>
      <c r="Y3564">
        <v>59.8</v>
      </c>
      <c r="Z3564">
        <v>48.7</v>
      </c>
      <c r="AA3564">
        <v>71</v>
      </c>
    </row>
    <row r="3565" spans="1:27" x14ac:dyDescent="0.25">
      <c r="A3565" t="s">
        <v>260</v>
      </c>
      <c r="B3565" t="s">
        <v>199</v>
      </c>
      <c r="C3565" s="76">
        <v>43963</v>
      </c>
      <c r="D3565">
        <v>6334</v>
      </c>
      <c r="E3565">
        <v>3724</v>
      </c>
      <c r="F3565">
        <v>8945</v>
      </c>
      <c r="G3565">
        <v>6410</v>
      </c>
      <c r="H3565">
        <v>49.7</v>
      </c>
      <c r="I3565">
        <v>41.4</v>
      </c>
      <c r="J3565">
        <v>58</v>
      </c>
      <c r="K3565">
        <v>375</v>
      </c>
      <c r="L3565">
        <v>172</v>
      </c>
      <c r="M3565">
        <v>579</v>
      </c>
      <c r="N3565">
        <v>2.9</v>
      </c>
      <c r="O3565">
        <v>1.9</v>
      </c>
      <c r="P3565">
        <v>4</v>
      </c>
      <c r="Q3565">
        <f t="shared" si="110"/>
        <v>3990443</v>
      </c>
      <c r="R3565">
        <f t="shared" si="109"/>
        <v>9.3974528642559232</v>
      </c>
      <c r="U3565">
        <v>857</v>
      </c>
      <c r="V3565">
        <v>354</v>
      </c>
      <c r="W3565">
        <v>1359</v>
      </c>
      <c r="X3565">
        <v>561</v>
      </c>
      <c r="Y3565">
        <v>60.4</v>
      </c>
      <c r="Z3565">
        <v>50.4</v>
      </c>
      <c r="AA3565">
        <v>70.400000000000006</v>
      </c>
    </row>
    <row r="3566" spans="1:27" x14ac:dyDescent="0.25">
      <c r="A3566" t="s">
        <v>260</v>
      </c>
      <c r="B3566" t="s">
        <v>199</v>
      </c>
      <c r="C3566" s="76">
        <v>43964</v>
      </c>
      <c r="D3566">
        <v>6517</v>
      </c>
      <c r="E3566">
        <v>3907</v>
      </c>
      <c r="F3566">
        <v>9127</v>
      </c>
      <c r="G3566">
        <v>6155</v>
      </c>
      <c r="H3566">
        <v>51.4</v>
      </c>
      <c r="I3566">
        <v>43.5</v>
      </c>
      <c r="J3566">
        <v>59.3</v>
      </c>
      <c r="K3566">
        <v>369</v>
      </c>
      <c r="L3566">
        <v>180</v>
      </c>
      <c r="M3566">
        <v>558</v>
      </c>
      <c r="N3566">
        <v>2.9</v>
      </c>
      <c r="O3566">
        <v>1.9</v>
      </c>
      <c r="P3566">
        <v>3.9</v>
      </c>
      <c r="Q3566">
        <f t="shared" si="110"/>
        <v>3990443</v>
      </c>
      <c r="R3566">
        <f t="shared" si="109"/>
        <v>9.2470936184278294</v>
      </c>
      <c r="U3566">
        <v>890</v>
      </c>
      <c r="V3566">
        <v>387</v>
      </c>
      <c r="W3566">
        <v>1393</v>
      </c>
      <c r="X3566">
        <v>523</v>
      </c>
      <c r="Y3566">
        <v>63</v>
      </c>
      <c r="Z3566">
        <v>53.7</v>
      </c>
      <c r="AA3566">
        <v>72.3</v>
      </c>
    </row>
    <row r="3567" spans="1:27" x14ac:dyDescent="0.25">
      <c r="A3567" t="s">
        <v>260</v>
      </c>
      <c r="B3567" t="s">
        <v>199</v>
      </c>
      <c r="C3567" s="76">
        <v>43965</v>
      </c>
      <c r="D3567">
        <v>6504</v>
      </c>
      <c r="E3567">
        <v>3886</v>
      </c>
      <c r="F3567">
        <v>9122</v>
      </c>
      <c r="G3567">
        <v>6119</v>
      </c>
      <c r="H3567">
        <v>51.5</v>
      </c>
      <c r="I3567">
        <v>43.3</v>
      </c>
      <c r="J3567">
        <v>59.7</v>
      </c>
      <c r="K3567">
        <v>353</v>
      </c>
      <c r="L3567">
        <v>163</v>
      </c>
      <c r="M3567">
        <v>544</v>
      </c>
      <c r="N3567">
        <v>2.8</v>
      </c>
      <c r="O3567">
        <v>1.7</v>
      </c>
      <c r="P3567">
        <v>3.9</v>
      </c>
      <c r="Q3567">
        <f t="shared" si="110"/>
        <v>3990443</v>
      </c>
      <c r="R3567">
        <f t="shared" si="109"/>
        <v>8.8461356295529097</v>
      </c>
      <c r="U3567">
        <v>893</v>
      </c>
      <c r="V3567">
        <v>387</v>
      </c>
      <c r="W3567">
        <v>1399</v>
      </c>
      <c r="X3567">
        <v>669</v>
      </c>
      <c r="Y3567">
        <v>57.2</v>
      </c>
      <c r="Z3567">
        <v>43.5</v>
      </c>
      <c r="AA3567">
        <v>70.8</v>
      </c>
    </row>
    <row r="3568" spans="1:27" x14ac:dyDescent="0.25">
      <c r="A3568" t="s">
        <v>260</v>
      </c>
      <c r="B3568" t="s">
        <v>199</v>
      </c>
      <c r="C3568" s="76">
        <v>43966</v>
      </c>
      <c r="D3568">
        <v>6393</v>
      </c>
      <c r="E3568">
        <v>3771</v>
      </c>
      <c r="F3568">
        <v>9016</v>
      </c>
      <c r="G3568">
        <v>6273</v>
      </c>
      <c r="H3568">
        <v>50.5</v>
      </c>
      <c r="I3568">
        <v>42</v>
      </c>
      <c r="J3568">
        <v>58.9</v>
      </c>
      <c r="K3568">
        <v>357</v>
      </c>
      <c r="L3568">
        <v>183</v>
      </c>
      <c r="M3568">
        <v>532</v>
      </c>
      <c r="N3568">
        <v>2.8</v>
      </c>
      <c r="O3568">
        <v>1.9</v>
      </c>
      <c r="P3568">
        <v>3.7</v>
      </c>
      <c r="Q3568">
        <f t="shared" si="110"/>
        <v>3990443</v>
      </c>
      <c r="R3568">
        <f t="shared" si="109"/>
        <v>8.94637512677164</v>
      </c>
      <c r="U3568">
        <v>885</v>
      </c>
      <c r="V3568">
        <v>386</v>
      </c>
      <c r="W3568">
        <v>1385</v>
      </c>
      <c r="X3568">
        <v>641</v>
      </c>
      <c r="Y3568">
        <v>58</v>
      </c>
      <c r="Z3568">
        <v>45</v>
      </c>
      <c r="AA3568">
        <v>71.099999999999994</v>
      </c>
    </row>
    <row r="3569" spans="1:27" x14ac:dyDescent="0.25">
      <c r="A3569" t="s">
        <v>260</v>
      </c>
      <c r="B3569" t="s">
        <v>199</v>
      </c>
      <c r="C3569" s="76">
        <v>43967</v>
      </c>
      <c r="D3569">
        <v>5863</v>
      </c>
      <c r="E3569">
        <v>3364</v>
      </c>
      <c r="F3569">
        <v>8363</v>
      </c>
      <c r="G3569">
        <v>6733</v>
      </c>
      <c r="H3569">
        <v>46.5</v>
      </c>
      <c r="I3569">
        <v>37.9</v>
      </c>
      <c r="J3569">
        <v>55.2</v>
      </c>
      <c r="K3569">
        <v>303</v>
      </c>
      <c r="L3569">
        <v>158</v>
      </c>
      <c r="M3569">
        <v>448</v>
      </c>
      <c r="N3569">
        <v>2.4</v>
      </c>
      <c r="O3569">
        <v>1.7</v>
      </c>
      <c r="P3569">
        <v>3.2</v>
      </c>
      <c r="Q3569">
        <f t="shared" si="110"/>
        <v>3990443</v>
      </c>
      <c r="R3569">
        <f t="shared" si="109"/>
        <v>7.5931419143187862</v>
      </c>
      <c r="U3569">
        <v>868</v>
      </c>
      <c r="V3569">
        <v>370</v>
      </c>
      <c r="W3569">
        <v>1366</v>
      </c>
      <c r="X3569">
        <v>700</v>
      </c>
      <c r="Y3569">
        <v>55.4</v>
      </c>
      <c r="Z3569">
        <v>41.5</v>
      </c>
      <c r="AA3569">
        <v>69.2</v>
      </c>
    </row>
    <row r="3570" spans="1:27" x14ac:dyDescent="0.25">
      <c r="A3570" t="s">
        <v>260</v>
      </c>
      <c r="B3570" t="s">
        <v>199</v>
      </c>
      <c r="C3570" s="76">
        <v>43968</v>
      </c>
      <c r="D3570">
        <v>5735</v>
      </c>
      <c r="E3570">
        <v>3249</v>
      </c>
      <c r="F3570">
        <v>8221</v>
      </c>
      <c r="G3570">
        <v>7076</v>
      </c>
      <c r="H3570">
        <v>44.8</v>
      </c>
      <c r="I3570">
        <v>33.5</v>
      </c>
      <c r="J3570">
        <v>56.1</v>
      </c>
      <c r="K3570">
        <v>320</v>
      </c>
      <c r="L3570">
        <v>159</v>
      </c>
      <c r="M3570">
        <v>481</v>
      </c>
      <c r="N3570">
        <v>2.5</v>
      </c>
      <c r="O3570">
        <v>1.5</v>
      </c>
      <c r="P3570">
        <v>3.4</v>
      </c>
      <c r="Q3570">
        <f t="shared" si="110"/>
        <v>3990443</v>
      </c>
      <c r="R3570">
        <f t="shared" si="109"/>
        <v>8.0191597774983876</v>
      </c>
      <c r="U3570">
        <v>834</v>
      </c>
      <c r="V3570">
        <v>354</v>
      </c>
      <c r="W3570">
        <v>1314</v>
      </c>
      <c r="X3570">
        <v>728</v>
      </c>
      <c r="Y3570">
        <v>53.4</v>
      </c>
      <c r="Z3570">
        <v>40.299999999999997</v>
      </c>
      <c r="AA3570">
        <v>66.400000000000006</v>
      </c>
    </row>
    <row r="3571" spans="1:27" x14ac:dyDescent="0.25">
      <c r="A3571" t="s">
        <v>260</v>
      </c>
      <c r="B3571" t="s">
        <v>199</v>
      </c>
      <c r="C3571" s="76">
        <v>43969</v>
      </c>
      <c r="D3571">
        <v>6114</v>
      </c>
      <c r="E3571">
        <v>3501</v>
      </c>
      <c r="F3571">
        <v>8726</v>
      </c>
      <c r="G3571">
        <v>6735</v>
      </c>
      <c r="H3571">
        <v>47.6</v>
      </c>
      <c r="I3571">
        <v>36</v>
      </c>
      <c r="J3571">
        <v>59.2</v>
      </c>
      <c r="K3571">
        <v>369</v>
      </c>
      <c r="L3571">
        <v>161</v>
      </c>
      <c r="M3571">
        <v>576</v>
      </c>
      <c r="N3571">
        <v>2.9</v>
      </c>
      <c r="O3571">
        <v>1.6</v>
      </c>
      <c r="P3571">
        <v>4.2</v>
      </c>
      <c r="Q3571">
        <f t="shared" si="110"/>
        <v>3990443</v>
      </c>
      <c r="R3571">
        <f t="shared" si="109"/>
        <v>9.2470936184278294</v>
      </c>
      <c r="U3571">
        <v>847</v>
      </c>
      <c r="V3571">
        <v>359</v>
      </c>
      <c r="W3571">
        <v>1336</v>
      </c>
      <c r="X3571">
        <v>539</v>
      </c>
      <c r="Y3571">
        <v>61.1</v>
      </c>
      <c r="Z3571">
        <v>52.1</v>
      </c>
      <c r="AA3571">
        <v>70.099999999999994</v>
      </c>
    </row>
    <row r="3572" spans="1:27" x14ac:dyDescent="0.25">
      <c r="A3572" t="s">
        <v>260</v>
      </c>
      <c r="B3572" t="s">
        <v>199</v>
      </c>
      <c r="C3572" s="76">
        <v>43970</v>
      </c>
      <c r="D3572">
        <v>6538</v>
      </c>
      <c r="E3572">
        <v>3824</v>
      </c>
      <c r="F3572">
        <v>9251</v>
      </c>
      <c r="G3572">
        <v>6400</v>
      </c>
      <c r="H3572">
        <v>50.5</v>
      </c>
      <c r="I3572">
        <v>39.1</v>
      </c>
      <c r="J3572">
        <v>62</v>
      </c>
      <c r="K3572">
        <v>411</v>
      </c>
      <c r="L3572">
        <v>195</v>
      </c>
      <c r="M3572">
        <v>628</v>
      </c>
      <c r="N3572">
        <v>3.2</v>
      </c>
      <c r="O3572">
        <v>1.9</v>
      </c>
      <c r="P3572">
        <v>4.5</v>
      </c>
      <c r="Q3572">
        <f t="shared" si="110"/>
        <v>3990443</v>
      </c>
      <c r="R3572">
        <f t="shared" si="109"/>
        <v>10.299608339224491</v>
      </c>
      <c r="U3572">
        <v>853</v>
      </c>
      <c r="V3572">
        <v>366</v>
      </c>
      <c r="W3572">
        <v>1340</v>
      </c>
      <c r="X3572">
        <v>504</v>
      </c>
      <c r="Y3572">
        <v>62.9</v>
      </c>
      <c r="Z3572">
        <v>54.8</v>
      </c>
      <c r="AA3572">
        <v>70.900000000000006</v>
      </c>
    </row>
    <row r="3573" spans="1:27" x14ac:dyDescent="0.25">
      <c r="A3573" t="s">
        <v>260</v>
      </c>
      <c r="B3573" t="s">
        <v>199</v>
      </c>
      <c r="C3573" s="76">
        <v>43971</v>
      </c>
      <c r="D3573">
        <v>6930</v>
      </c>
      <c r="E3573">
        <v>4088</v>
      </c>
      <c r="F3573">
        <v>9771</v>
      </c>
      <c r="G3573">
        <v>6083</v>
      </c>
      <c r="H3573">
        <v>53.3</v>
      </c>
      <c r="I3573">
        <v>41.7</v>
      </c>
      <c r="J3573">
        <v>64.8</v>
      </c>
      <c r="K3573">
        <v>399</v>
      </c>
      <c r="L3573">
        <v>183</v>
      </c>
      <c r="M3573">
        <v>615</v>
      </c>
      <c r="N3573">
        <v>3.1</v>
      </c>
      <c r="O3573">
        <v>1.7</v>
      </c>
      <c r="P3573">
        <v>4.4000000000000004</v>
      </c>
      <c r="Q3573">
        <f t="shared" si="110"/>
        <v>3990443</v>
      </c>
      <c r="R3573">
        <f t="shared" si="109"/>
        <v>9.9988898475683019</v>
      </c>
      <c r="U3573">
        <v>896</v>
      </c>
      <c r="V3573">
        <v>400</v>
      </c>
      <c r="W3573">
        <v>1392</v>
      </c>
      <c r="X3573">
        <v>475</v>
      </c>
      <c r="Y3573">
        <v>65.400000000000006</v>
      </c>
      <c r="Z3573">
        <v>57.3</v>
      </c>
      <c r="AA3573">
        <v>73.400000000000006</v>
      </c>
    </row>
    <row r="3574" spans="1:27" x14ac:dyDescent="0.25">
      <c r="A3574" t="s">
        <v>260</v>
      </c>
      <c r="B3574" t="s">
        <v>199</v>
      </c>
      <c r="C3574" s="76">
        <v>43972</v>
      </c>
      <c r="D3574">
        <v>6869</v>
      </c>
      <c r="E3574">
        <v>4023</v>
      </c>
      <c r="F3574">
        <v>9715</v>
      </c>
      <c r="G3574">
        <v>6145</v>
      </c>
      <c r="H3574">
        <v>52.8</v>
      </c>
      <c r="I3574">
        <v>40.9</v>
      </c>
      <c r="J3574">
        <v>64.7</v>
      </c>
      <c r="K3574">
        <v>370</v>
      </c>
      <c r="L3574">
        <v>179</v>
      </c>
      <c r="M3574">
        <v>562</v>
      </c>
      <c r="N3574">
        <v>2.8</v>
      </c>
      <c r="O3574">
        <v>1.7</v>
      </c>
      <c r="P3574">
        <v>4</v>
      </c>
      <c r="Q3574">
        <f t="shared" si="110"/>
        <v>3990443</v>
      </c>
      <c r="R3574">
        <f t="shared" si="109"/>
        <v>9.272153492732512</v>
      </c>
      <c r="U3574">
        <v>912</v>
      </c>
      <c r="V3574">
        <v>397</v>
      </c>
      <c r="W3574">
        <v>1428</v>
      </c>
      <c r="X3574">
        <v>518</v>
      </c>
      <c r="Y3574">
        <v>63.8</v>
      </c>
      <c r="Z3574">
        <v>53.9</v>
      </c>
      <c r="AA3574">
        <v>73.7</v>
      </c>
    </row>
    <row r="3575" spans="1:27" x14ac:dyDescent="0.25">
      <c r="A3575" t="s">
        <v>260</v>
      </c>
      <c r="B3575" t="s">
        <v>199</v>
      </c>
      <c r="C3575" s="76">
        <v>43973</v>
      </c>
      <c r="D3575">
        <v>6649</v>
      </c>
      <c r="E3575">
        <v>3846</v>
      </c>
      <c r="F3575">
        <v>9451</v>
      </c>
      <c r="G3575">
        <v>6362</v>
      </c>
      <c r="H3575">
        <v>51.1</v>
      </c>
      <c r="I3575">
        <v>39.200000000000003</v>
      </c>
      <c r="J3575">
        <v>63</v>
      </c>
      <c r="K3575">
        <v>384</v>
      </c>
      <c r="L3575">
        <v>188</v>
      </c>
      <c r="M3575">
        <v>579</v>
      </c>
      <c r="N3575">
        <v>2.9</v>
      </c>
      <c r="O3575">
        <v>1.8</v>
      </c>
      <c r="P3575">
        <v>4.0999999999999996</v>
      </c>
      <c r="Q3575">
        <f t="shared" si="110"/>
        <v>3990443</v>
      </c>
      <c r="R3575">
        <f t="shared" si="109"/>
        <v>9.6229917329980648</v>
      </c>
      <c r="U3575">
        <v>899</v>
      </c>
      <c r="V3575">
        <v>382</v>
      </c>
      <c r="W3575">
        <v>1416</v>
      </c>
      <c r="X3575">
        <v>485</v>
      </c>
      <c r="Y3575">
        <v>64.900000000000006</v>
      </c>
      <c r="Z3575">
        <v>55.7</v>
      </c>
      <c r="AA3575">
        <v>74.2</v>
      </c>
    </row>
    <row r="3576" spans="1:27" x14ac:dyDescent="0.25">
      <c r="A3576" t="s">
        <v>260</v>
      </c>
      <c r="B3576" t="s">
        <v>199</v>
      </c>
      <c r="C3576" s="76">
        <v>43974</v>
      </c>
      <c r="D3576">
        <v>6055</v>
      </c>
      <c r="E3576">
        <v>3455</v>
      </c>
      <c r="F3576">
        <v>8656</v>
      </c>
      <c r="G3576">
        <v>6894</v>
      </c>
      <c r="H3576">
        <v>46.8</v>
      </c>
      <c r="I3576">
        <v>35.6</v>
      </c>
      <c r="J3576">
        <v>57.9</v>
      </c>
      <c r="K3576">
        <v>288</v>
      </c>
      <c r="L3576">
        <v>142</v>
      </c>
      <c r="M3576">
        <v>434</v>
      </c>
      <c r="N3576">
        <v>2.2000000000000002</v>
      </c>
      <c r="O3576">
        <v>1.4</v>
      </c>
      <c r="P3576">
        <v>3.1</v>
      </c>
      <c r="Q3576">
        <f t="shared" si="110"/>
        <v>3990443</v>
      </c>
      <c r="R3576">
        <f t="shared" si="109"/>
        <v>7.217243799748549</v>
      </c>
      <c r="U3576">
        <v>854</v>
      </c>
      <c r="V3576">
        <v>345</v>
      </c>
      <c r="W3576">
        <v>1363</v>
      </c>
      <c r="X3576">
        <v>531</v>
      </c>
      <c r="Y3576">
        <v>61.6</v>
      </c>
      <c r="Z3576">
        <v>51.4</v>
      </c>
      <c r="AA3576">
        <v>71.900000000000006</v>
      </c>
    </row>
    <row r="3577" spans="1:27" x14ac:dyDescent="0.25">
      <c r="A3577" t="s">
        <v>260</v>
      </c>
      <c r="B3577" t="s">
        <v>199</v>
      </c>
      <c r="C3577" s="76">
        <v>43975</v>
      </c>
      <c r="D3577">
        <v>5697</v>
      </c>
      <c r="E3577">
        <v>3164</v>
      </c>
      <c r="F3577">
        <v>8230</v>
      </c>
      <c r="G3577">
        <v>7240</v>
      </c>
      <c r="H3577">
        <v>44</v>
      </c>
      <c r="I3577">
        <v>32.700000000000003</v>
      </c>
      <c r="J3577">
        <v>55.4</v>
      </c>
      <c r="K3577">
        <v>309</v>
      </c>
      <c r="L3577">
        <v>168</v>
      </c>
      <c r="M3577">
        <v>450</v>
      </c>
      <c r="N3577">
        <v>2.4</v>
      </c>
      <c r="O3577">
        <v>1.6</v>
      </c>
      <c r="P3577">
        <v>3.2</v>
      </c>
      <c r="Q3577">
        <f t="shared" si="110"/>
        <v>3990443</v>
      </c>
      <c r="R3577">
        <f t="shared" si="109"/>
        <v>7.7435011601468817</v>
      </c>
      <c r="U3577">
        <v>833</v>
      </c>
      <c r="V3577">
        <v>305</v>
      </c>
      <c r="W3577">
        <v>1361</v>
      </c>
      <c r="X3577">
        <v>547</v>
      </c>
      <c r="Y3577">
        <v>60.4</v>
      </c>
      <c r="Z3577">
        <v>47.2</v>
      </c>
      <c r="AA3577">
        <v>73.5</v>
      </c>
    </row>
    <row r="3578" spans="1:27" x14ac:dyDescent="0.25">
      <c r="A3578" t="s">
        <v>260</v>
      </c>
      <c r="B3578" t="s">
        <v>199</v>
      </c>
      <c r="C3578" s="76">
        <v>43976</v>
      </c>
      <c r="D3578">
        <v>5269</v>
      </c>
      <c r="E3578">
        <v>2883</v>
      </c>
      <c r="F3578">
        <v>7655</v>
      </c>
      <c r="G3578">
        <v>7499</v>
      </c>
      <c r="H3578">
        <v>41.3</v>
      </c>
      <c r="I3578">
        <v>29.6</v>
      </c>
      <c r="J3578">
        <v>53</v>
      </c>
      <c r="K3578">
        <v>242</v>
      </c>
      <c r="L3578">
        <v>110</v>
      </c>
      <c r="M3578">
        <v>375</v>
      </c>
      <c r="N3578">
        <v>1.9</v>
      </c>
      <c r="O3578">
        <v>1.1000000000000001</v>
      </c>
      <c r="P3578">
        <v>2.7</v>
      </c>
      <c r="Q3578">
        <f t="shared" si="110"/>
        <v>3990443</v>
      </c>
      <c r="R3578">
        <f t="shared" si="109"/>
        <v>6.0644895817331559</v>
      </c>
      <c r="U3578">
        <v>822</v>
      </c>
      <c r="V3578">
        <v>309</v>
      </c>
      <c r="W3578">
        <v>1334</v>
      </c>
      <c r="X3578">
        <v>514</v>
      </c>
      <c r="Y3578">
        <v>61.5</v>
      </c>
      <c r="Z3578">
        <v>49.8</v>
      </c>
      <c r="AA3578">
        <v>73.2</v>
      </c>
    </row>
    <row r="3579" spans="1:27" x14ac:dyDescent="0.25">
      <c r="A3579" t="s">
        <v>260</v>
      </c>
      <c r="B3579" t="s">
        <v>199</v>
      </c>
      <c r="C3579" s="76">
        <v>43977</v>
      </c>
      <c r="D3579">
        <v>6029</v>
      </c>
      <c r="E3579">
        <v>3343</v>
      </c>
      <c r="F3579">
        <v>8714</v>
      </c>
      <c r="G3579">
        <v>6948</v>
      </c>
      <c r="H3579">
        <v>46.5</v>
      </c>
      <c r="I3579">
        <v>34.700000000000003</v>
      </c>
      <c r="J3579">
        <v>58.2</v>
      </c>
      <c r="K3579">
        <v>370</v>
      </c>
      <c r="L3579">
        <v>163</v>
      </c>
      <c r="M3579">
        <v>578</v>
      </c>
      <c r="N3579">
        <v>2.9</v>
      </c>
      <c r="O3579">
        <v>1.6</v>
      </c>
      <c r="P3579">
        <v>4.2</v>
      </c>
      <c r="Q3579">
        <f t="shared" si="110"/>
        <v>3990443</v>
      </c>
      <c r="R3579">
        <f t="shared" si="109"/>
        <v>9.272153492732512</v>
      </c>
      <c r="U3579">
        <v>863</v>
      </c>
      <c r="V3579">
        <v>332</v>
      </c>
      <c r="W3579">
        <v>1395</v>
      </c>
      <c r="X3579">
        <v>485</v>
      </c>
      <c r="Y3579">
        <v>64</v>
      </c>
      <c r="Z3579">
        <v>53.5</v>
      </c>
      <c r="AA3579">
        <v>74.599999999999994</v>
      </c>
    </row>
    <row r="3580" spans="1:27" x14ac:dyDescent="0.25">
      <c r="A3580" t="s">
        <v>260</v>
      </c>
      <c r="B3580" t="s">
        <v>199</v>
      </c>
      <c r="C3580" s="76">
        <v>43978</v>
      </c>
      <c r="D3580">
        <v>6818</v>
      </c>
      <c r="E3580">
        <v>3949</v>
      </c>
      <c r="F3580">
        <v>9688</v>
      </c>
      <c r="G3580">
        <v>6208</v>
      </c>
      <c r="H3580">
        <v>52.3</v>
      </c>
      <c r="I3580">
        <v>40.5</v>
      </c>
      <c r="J3580">
        <v>64.2</v>
      </c>
      <c r="K3580">
        <v>398</v>
      </c>
      <c r="L3580">
        <v>174</v>
      </c>
      <c r="M3580">
        <v>622</v>
      </c>
      <c r="N3580">
        <v>3.1</v>
      </c>
      <c r="O3580">
        <v>1.6</v>
      </c>
      <c r="P3580">
        <v>4.5</v>
      </c>
      <c r="Q3580">
        <f t="shared" si="110"/>
        <v>3990443</v>
      </c>
      <c r="R3580">
        <f t="shared" si="109"/>
        <v>9.9738299732636193</v>
      </c>
      <c r="U3580">
        <v>899</v>
      </c>
      <c r="V3580">
        <v>368</v>
      </c>
      <c r="W3580">
        <v>1430</v>
      </c>
      <c r="X3580">
        <v>458</v>
      </c>
      <c r="Y3580">
        <v>66.2</v>
      </c>
      <c r="Z3580">
        <v>56.3</v>
      </c>
      <c r="AA3580">
        <v>76.2</v>
      </c>
    </row>
    <row r="3581" spans="1:27" x14ac:dyDescent="0.25">
      <c r="A3581" t="s">
        <v>260</v>
      </c>
      <c r="B3581" t="s">
        <v>199</v>
      </c>
      <c r="C3581" s="76">
        <v>43979</v>
      </c>
      <c r="D3581">
        <v>6626</v>
      </c>
      <c r="E3581">
        <v>3788</v>
      </c>
      <c r="F3581">
        <v>9464</v>
      </c>
      <c r="G3581">
        <v>6357</v>
      </c>
      <c r="H3581">
        <v>51</v>
      </c>
      <c r="I3581">
        <v>38.6</v>
      </c>
      <c r="J3581">
        <v>63.4</v>
      </c>
      <c r="K3581">
        <v>315</v>
      </c>
      <c r="L3581">
        <v>123</v>
      </c>
      <c r="M3581">
        <v>506</v>
      </c>
      <c r="N3581">
        <v>2.4</v>
      </c>
      <c r="O3581">
        <v>1.2</v>
      </c>
      <c r="P3581">
        <v>3.7</v>
      </c>
      <c r="Q3581">
        <f t="shared" si="110"/>
        <v>3990443</v>
      </c>
      <c r="R3581">
        <f t="shared" si="109"/>
        <v>7.8938604059749755</v>
      </c>
      <c r="U3581">
        <v>898</v>
      </c>
      <c r="V3581">
        <v>365</v>
      </c>
      <c r="W3581">
        <v>1431</v>
      </c>
      <c r="X3581">
        <v>441</v>
      </c>
      <c r="Y3581">
        <v>67</v>
      </c>
      <c r="Z3581">
        <v>56.8</v>
      </c>
      <c r="AA3581">
        <v>77.2</v>
      </c>
    </row>
    <row r="3582" spans="1:27" x14ac:dyDescent="0.25">
      <c r="A3582" t="s">
        <v>260</v>
      </c>
      <c r="B3582" t="s">
        <v>199</v>
      </c>
      <c r="C3582" s="76">
        <v>43980</v>
      </c>
      <c r="D3582">
        <v>6563</v>
      </c>
      <c r="E3582">
        <v>3575</v>
      </c>
      <c r="F3582">
        <v>9552</v>
      </c>
      <c r="G3582">
        <v>6610</v>
      </c>
      <c r="H3582">
        <v>49.8</v>
      </c>
      <c r="I3582">
        <v>40.700000000000003</v>
      </c>
      <c r="J3582">
        <v>59</v>
      </c>
      <c r="K3582">
        <v>203</v>
      </c>
      <c r="L3582">
        <v>111</v>
      </c>
      <c r="M3582">
        <v>295</v>
      </c>
      <c r="N3582">
        <v>1.5</v>
      </c>
      <c r="O3582">
        <v>1.1000000000000001</v>
      </c>
      <c r="P3582">
        <v>2</v>
      </c>
      <c r="Q3582">
        <f t="shared" si="110"/>
        <v>3990443</v>
      </c>
      <c r="R3582">
        <f t="shared" si="109"/>
        <v>5.08715448385054</v>
      </c>
      <c r="U3582">
        <v>957</v>
      </c>
      <c r="V3582">
        <v>289</v>
      </c>
      <c r="W3582">
        <v>1625</v>
      </c>
      <c r="X3582">
        <v>555</v>
      </c>
      <c r="Y3582">
        <v>63.3</v>
      </c>
      <c r="Z3582">
        <v>52</v>
      </c>
      <c r="AA3582">
        <v>74.599999999999994</v>
      </c>
    </row>
    <row r="3583" spans="1:27" x14ac:dyDescent="0.25">
      <c r="A3583" t="s">
        <v>260</v>
      </c>
      <c r="B3583" t="s">
        <v>199</v>
      </c>
      <c r="C3583" s="76">
        <v>43981</v>
      </c>
      <c r="D3583">
        <v>6043</v>
      </c>
      <c r="E3583">
        <v>3200</v>
      </c>
      <c r="F3583">
        <v>8887</v>
      </c>
      <c r="G3583">
        <v>6942</v>
      </c>
      <c r="H3583">
        <v>46.5</v>
      </c>
      <c r="I3583">
        <v>37.299999999999997</v>
      </c>
      <c r="J3583">
        <v>55.7</v>
      </c>
      <c r="K3583">
        <v>225</v>
      </c>
      <c r="L3583">
        <v>126</v>
      </c>
      <c r="M3583">
        <v>324</v>
      </c>
      <c r="N3583">
        <v>1.7</v>
      </c>
      <c r="O3583">
        <v>1.2</v>
      </c>
      <c r="P3583">
        <v>2.2999999999999998</v>
      </c>
      <c r="Q3583">
        <f t="shared" si="110"/>
        <v>3990443</v>
      </c>
      <c r="R3583">
        <f t="shared" si="109"/>
        <v>5.6384717185535544</v>
      </c>
      <c r="U3583">
        <v>911</v>
      </c>
      <c r="V3583">
        <v>271</v>
      </c>
      <c r="W3583">
        <v>1551</v>
      </c>
      <c r="X3583">
        <v>445</v>
      </c>
      <c r="Y3583">
        <v>67.2</v>
      </c>
      <c r="Z3583">
        <v>50</v>
      </c>
      <c r="AA3583">
        <v>84.4</v>
      </c>
    </row>
    <row r="3584" spans="1:27" x14ac:dyDescent="0.25">
      <c r="A3584" t="s">
        <v>260</v>
      </c>
      <c r="B3584" t="s">
        <v>199</v>
      </c>
      <c r="C3584" s="76">
        <v>43982</v>
      </c>
      <c r="D3584">
        <v>5931</v>
      </c>
      <c r="E3584">
        <v>3037</v>
      </c>
      <c r="F3584">
        <v>8824</v>
      </c>
      <c r="G3584">
        <v>6893</v>
      </c>
      <c r="H3584">
        <v>46.3</v>
      </c>
      <c r="I3584">
        <v>36</v>
      </c>
      <c r="J3584">
        <v>56.5</v>
      </c>
      <c r="K3584">
        <v>188</v>
      </c>
      <c r="L3584">
        <v>108</v>
      </c>
      <c r="M3584">
        <v>269</v>
      </c>
      <c r="N3584">
        <v>1.5</v>
      </c>
      <c r="O3584">
        <v>1</v>
      </c>
      <c r="P3584">
        <v>1.9</v>
      </c>
      <c r="Q3584">
        <f t="shared" si="110"/>
        <v>3990443</v>
      </c>
      <c r="R3584">
        <f t="shared" si="109"/>
        <v>4.7112563692803029</v>
      </c>
      <c r="U3584">
        <v>838</v>
      </c>
      <c r="V3584">
        <v>220</v>
      </c>
      <c r="W3584">
        <v>1457</v>
      </c>
      <c r="X3584">
        <v>613</v>
      </c>
      <c r="Y3584">
        <v>57.7</v>
      </c>
      <c r="Z3584">
        <v>45.7</v>
      </c>
      <c r="AA3584">
        <v>69.8</v>
      </c>
    </row>
    <row r="3585" spans="1:27" x14ac:dyDescent="0.25">
      <c r="A3585" t="s">
        <v>260</v>
      </c>
      <c r="B3585" t="s">
        <v>199</v>
      </c>
      <c r="C3585" s="76">
        <v>43983</v>
      </c>
      <c r="D3585">
        <v>5589</v>
      </c>
      <c r="E3585">
        <v>2884</v>
      </c>
      <c r="F3585">
        <v>8293</v>
      </c>
      <c r="G3585">
        <v>6814</v>
      </c>
      <c r="H3585">
        <v>45.1</v>
      </c>
      <c r="I3585">
        <v>36.200000000000003</v>
      </c>
      <c r="J3585">
        <v>53.9</v>
      </c>
      <c r="K3585">
        <v>206</v>
      </c>
      <c r="L3585">
        <v>93</v>
      </c>
      <c r="M3585">
        <v>319</v>
      </c>
      <c r="N3585">
        <v>1.7</v>
      </c>
      <c r="O3585">
        <v>1.1000000000000001</v>
      </c>
      <c r="P3585">
        <v>2.2000000000000002</v>
      </c>
      <c r="Q3585">
        <f t="shared" si="110"/>
        <v>3990443</v>
      </c>
      <c r="R3585">
        <f t="shared" si="109"/>
        <v>5.1623341067645869</v>
      </c>
      <c r="U3585">
        <v>604</v>
      </c>
      <c r="V3585">
        <v>258</v>
      </c>
      <c r="W3585">
        <v>949</v>
      </c>
      <c r="X3585">
        <v>618</v>
      </c>
      <c r="Y3585">
        <v>49.4</v>
      </c>
      <c r="Z3585">
        <v>41.7</v>
      </c>
      <c r="AA3585">
        <v>57.2</v>
      </c>
    </row>
    <row r="3586" spans="1:27" x14ac:dyDescent="0.25">
      <c r="A3586" t="s">
        <v>260</v>
      </c>
      <c r="B3586" t="s">
        <v>199</v>
      </c>
      <c r="C3586" s="76">
        <v>43984</v>
      </c>
      <c r="D3586">
        <v>5967</v>
      </c>
      <c r="E3586">
        <v>3146</v>
      </c>
      <c r="F3586">
        <v>8787</v>
      </c>
      <c r="G3586">
        <v>6866</v>
      </c>
      <c r="H3586">
        <v>46.5</v>
      </c>
      <c r="I3586">
        <v>37.6</v>
      </c>
      <c r="J3586">
        <v>55.4</v>
      </c>
      <c r="K3586">
        <v>206</v>
      </c>
      <c r="L3586">
        <v>106</v>
      </c>
      <c r="M3586">
        <v>306</v>
      </c>
      <c r="N3586">
        <v>1.6</v>
      </c>
      <c r="O3586">
        <v>1.1000000000000001</v>
      </c>
      <c r="P3586">
        <v>2.1</v>
      </c>
      <c r="Q3586">
        <f t="shared" si="110"/>
        <v>3990443</v>
      </c>
      <c r="R3586">
        <f t="shared" si="109"/>
        <v>5.1623341067645869</v>
      </c>
      <c r="U3586">
        <v>630</v>
      </c>
      <c r="V3586">
        <v>267</v>
      </c>
      <c r="W3586">
        <v>992</v>
      </c>
      <c r="X3586">
        <v>619</v>
      </c>
      <c r="Y3586">
        <v>50.4</v>
      </c>
      <c r="Z3586">
        <v>43</v>
      </c>
      <c r="AA3586">
        <v>57.9</v>
      </c>
    </row>
    <row r="3587" spans="1:27" x14ac:dyDescent="0.25">
      <c r="A3587" t="s">
        <v>260</v>
      </c>
      <c r="B3587" t="s">
        <v>199</v>
      </c>
      <c r="C3587" s="76">
        <v>43985</v>
      </c>
      <c r="D3587">
        <v>6698</v>
      </c>
      <c r="E3587">
        <v>3053</v>
      </c>
      <c r="F3587">
        <v>10343</v>
      </c>
      <c r="G3587">
        <v>4695</v>
      </c>
      <c r="H3587">
        <v>58.8</v>
      </c>
      <c r="I3587">
        <v>51.8</v>
      </c>
      <c r="J3587">
        <v>65.8</v>
      </c>
      <c r="K3587">
        <v>231</v>
      </c>
      <c r="L3587">
        <v>117</v>
      </c>
      <c r="M3587">
        <v>345</v>
      </c>
      <c r="N3587">
        <v>2</v>
      </c>
      <c r="O3587">
        <v>1.4</v>
      </c>
      <c r="P3587">
        <v>2.7</v>
      </c>
      <c r="Q3587">
        <f t="shared" si="110"/>
        <v>3990443</v>
      </c>
      <c r="R3587">
        <f t="shared" si="109"/>
        <v>5.7888309643816482</v>
      </c>
      <c r="U3587">
        <v>753</v>
      </c>
      <c r="V3587">
        <v>303</v>
      </c>
      <c r="W3587">
        <v>1202</v>
      </c>
      <c r="X3587">
        <v>555</v>
      </c>
      <c r="Y3587">
        <v>57.5</v>
      </c>
      <c r="Z3587">
        <v>47.8</v>
      </c>
      <c r="AA3587">
        <v>67.3</v>
      </c>
    </row>
    <row r="3588" spans="1:27" x14ac:dyDescent="0.25">
      <c r="A3588" t="s">
        <v>260</v>
      </c>
      <c r="B3588" t="s">
        <v>199</v>
      </c>
      <c r="C3588" s="76">
        <v>43986</v>
      </c>
      <c r="D3588">
        <v>6926</v>
      </c>
      <c r="E3588">
        <v>3880</v>
      </c>
      <c r="F3588">
        <v>9972</v>
      </c>
      <c r="G3588">
        <v>6439</v>
      </c>
      <c r="H3588">
        <v>51.8</v>
      </c>
      <c r="I3588">
        <v>38</v>
      </c>
      <c r="J3588">
        <v>65.599999999999994</v>
      </c>
      <c r="K3588">
        <v>291</v>
      </c>
      <c r="L3588">
        <v>120</v>
      </c>
      <c r="M3588">
        <v>463</v>
      </c>
      <c r="N3588">
        <v>2.2000000000000002</v>
      </c>
      <c r="O3588">
        <v>1.1000000000000001</v>
      </c>
      <c r="P3588">
        <v>3.2</v>
      </c>
      <c r="Q3588">
        <f t="shared" si="110"/>
        <v>3990443</v>
      </c>
      <c r="R3588">
        <f t="shared" si="109"/>
        <v>7.2924234226625968</v>
      </c>
      <c r="U3588">
        <v>871</v>
      </c>
      <c r="V3588">
        <v>298</v>
      </c>
      <c r="W3588">
        <v>1444</v>
      </c>
      <c r="X3588">
        <v>406</v>
      </c>
      <c r="Y3588">
        <v>68.2</v>
      </c>
      <c r="Z3588">
        <v>58.9</v>
      </c>
      <c r="AA3588">
        <v>77.5</v>
      </c>
    </row>
    <row r="3589" spans="1:27" x14ac:dyDescent="0.25">
      <c r="A3589" t="s">
        <v>260</v>
      </c>
      <c r="B3589" t="s">
        <v>199</v>
      </c>
      <c r="C3589" s="76">
        <v>43987</v>
      </c>
      <c r="D3589">
        <v>6323</v>
      </c>
      <c r="E3589">
        <v>3213</v>
      </c>
      <c r="F3589">
        <v>9432</v>
      </c>
      <c r="G3589">
        <v>6703</v>
      </c>
      <c r="H3589">
        <v>48.5</v>
      </c>
      <c r="I3589">
        <v>39</v>
      </c>
      <c r="J3589">
        <v>58</v>
      </c>
      <c r="K3589">
        <v>245</v>
      </c>
      <c r="L3589">
        <v>118</v>
      </c>
      <c r="M3589">
        <v>373</v>
      </c>
      <c r="N3589">
        <v>1.9</v>
      </c>
      <c r="O3589">
        <v>1.2</v>
      </c>
      <c r="P3589">
        <v>2.6</v>
      </c>
      <c r="Q3589">
        <f t="shared" si="110"/>
        <v>3990443</v>
      </c>
      <c r="R3589">
        <f t="shared" ref="R3589:R3652" si="111">K3589/(Q3589)*100000</f>
        <v>6.1396692046472028</v>
      </c>
      <c r="U3589">
        <v>1006</v>
      </c>
      <c r="V3589">
        <v>172</v>
      </c>
      <c r="W3589">
        <v>1840</v>
      </c>
      <c r="X3589">
        <v>544</v>
      </c>
      <c r="Y3589">
        <v>64.900000000000006</v>
      </c>
      <c r="Z3589">
        <v>51</v>
      </c>
      <c r="AA3589">
        <v>78.8</v>
      </c>
    </row>
    <row r="3590" spans="1:27" x14ac:dyDescent="0.25">
      <c r="A3590" t="s">
        <v>260</v>
      </c>
      <c r="B3590" t="s">
        <v>199</v>
      </c>
      <c r="C3590" s="76">
        <v>43988</v>
      </c>
      <c r="D3590">
        <v>6296</v>
      </c>
      <c r="E3590">
        <v>3590</v>
      </c>
      <c r="F3590">
        <v>9001</v>
      </c>
      <c r="G3590">
        <v>6848</v>
      </c>
      <c r="H3590">
        <v>47.9</v>
      </c>
      <c r="I3590">
        <v>36.4</v>
      </c>
      <c r="J3590">
        <v>59.4</v>
      </c>
      <c r="K3590">
        <v>252</v>
      </c>
      <c r="L3590">
        <v>133</v>
      </c>
      <c r="M3590">
        <v>371</v>
      </c>
      <c r="N3590">
        <v>1.9</v>
      </c>
      <c r="O3590">
        <v>1.2</v>
      </c>
      <c r="P3590">
        <v>2.6</v>
      </c>
      <c r="Q3590">
        <f t="shared" si="110"/>
        <v>3990443</v>
      </c>
      <c r="R3590">
        <f t="shared" si="111"/>
        <v>6.3150883247799801</v>
      </c>
      <c r="U3590">
        <v>890</v>
      </c>
      <c r="V3590">
        <v>365</v>
      </c>
      <c r="W3590">
        <v>1415</v>
      </c>
      <c r="X3590">
        <v>568</v>
      </c>
      <c r="Y3590">
        <v>61</v>
      </c>
      <c r="Z3590">
        <v>50.5</v>
      </c>
      <c r="AA3590">
        <v>71.5</v>
      </c>
    </row>
    <row r="3591" spans="1:27" x14ac:dyDescent="0.25">
      <c r="A3591" t="s">
        <v>260</v>
      </c>
      <c r="B3591" t="s">
        <v>199</v>
      </c>
      <c r="C3591" s="76">
        <v>43989</v>
      </c>
      <c r="D3591">
        <v>6146</v>
      </c>
      <c r="E3591">
        <v>3192</v>
      </c>
      <c r="F3591">
        <v>9100</v>
      </c>
      <c r="G3591">
        <v>7100</v>
      </c>
      <c r="H3591">
        <v>46.4</v>
      </c>
      <c r="I3591">
        <v>37.200000000000003</v>
      </c>
      <c r="J3591">
        <v>55.6</v>
      </c>
      <c r="K3591">
        <v>230</v>
      </c>
      <c r="L3591">
        <v>118</v>
      </c>
      <c r="M3591">
        <v>343</v>
      </c>
      <c r="N3591">
        <v>1.7</v>
      </c>
      <c r="O3591">
        <v>1.2</v>
      </c>
      <c r="P3591">
        <v>2.2999999999999998</v>
      </c>
      <c r="Q3591">
        <f t="shared" si="110"/>
        <v>3990443</v>
      </c>
      <c r="R3591">
        <f t="shared" si="111"/>
        <v>5.7637710900769665</v>
      </c>
      <c r="U3591">
        <v>950</v>
      </c>
      <c r="V3591">
        <v>280</v>
      </c>
      <c r="W3591">
        <v>1621</v>
      </c>
      <c r="X3591">
        <v>620</v>
      </c>
      <c r="Y3591">
        <v>60.5</v>
      </c>
      <c r="Z3591">
        <v>49.4</v>
      </c>
      <c r="AA3591">
        <v>71.7</v>
      </c>
    </row>
    <row r="3592" spans="1:27" x14ac:dyDescent="0.25">
      <c r="A3592" t="s">
        <v>260</v>
      </c>
      <c r="B3592" t="s">
        <v>199</v>
      </c>
      <c r="C3592" s="76">
        <v>43990</v>
      </c>
      <c r="D3592">
        <v>6231</v>
      </c>
      <c r="E3592">
        <v>3321</v>
      </c>
      <c r="F3592">
        <v>9140</v>
      </c>
      <c r="G3592">
        <v>6831</v>
      </c>
      <c r="H3592">
        <v>47.7</v>
      </c>
      <c r="I3592">
        <v>38.700000000000003</v>
      </c>
      <c r="J3592">
        <v>56.7</v>
      </c>
      <c r="K3592">
        <v>213</v>
      </c>
      <c r="L3592">
        <v>95</v>
      </c>
      <c r="M3592">
        <v>331</v>
      </c>
      <c r="N3592">
        <v>1.6</v>
      </c>
      <c r="O3592">
        <v>1</v>
      </c>
      <c r="P3592">
        <v>2.2999999999999998</v>
      </c>
      <c r="Q3592">
        <f t="shared" si="110"/>
        <v>3990443</v>
      </c>
      <c r="R3592">
        <f t="shared" si="111"/>
        <v>5.3377532268973651</v>
      </c>
      <c r="U3592">
        <v>961</v>
      </c>
      <c r="V3592">
        <v>262</v>
      </c>
      <c r="W3592">
        <v>1659</v>
      </c>
      <c r="X3592">
        <v>558</v>
      </c>
      <c r="Y3592">
        <v>63.3</v>
      </c>
      <c r="Z3592">
        <v>50.3</v>
      </c>
      <c r="AA3592">
        <v>76.2</v>
      </c>
    </row>
    <row r="3593" spans="1:27" x14ac:dyDescent="0.25">
      <c r="A3593" t="s">
        <v>260</v>
      </c>
      <c r="B3593" t="s">
        <v>199</v>
      </c>
      <c r="C3593" s="76">
        <v>43991</v>
      </c>
      <c r="D3593">
        <v>6705</v>
      </c>
      <c r="E3593">
        <v>3633</v>
      </c>
      <c r="F3593">
        <v>9776</v>
      </c>
      <c r="G3593">
        <v>5767</v>
      </c>
      <c r="H3593">
        <v>53.8</v>
      </c>
      <c r="I3593">
        <v>46</v>
      </c>
      <c r="J3593">
        <v>61.5</v>
      </c>
      <c r="K3593">
        <v>200</v>
      </c>
      <c r="L3593">
        <v>90</v>
      </c>
      <c r="M3593">
        <v>310</v>
      </c>
      <c r="N3593">
        <v>1.6</v>
      </c>
      <c r="O3593">
        <v>1</v>
      </c>
      <c r="P3593">
        <v>2.2000000000000002</v>
      </c>
      <c r="Q3593">
        <f t="shared" si="110"/>
        <v>3990443</v>
      </c>
      <c r="R3593">
        <f t="shared" si="111"/>
        <v>5.0119748609364922</v>
      </c>
      <c r="U3593">
        <v>1009</v>
      </c>
      <c r="V3593">
        <v>309</v>
      </c>
      <c r="W3593">
        <v>1710</v>
      </c>
      <c r="X3593">
        <v>496</v>
      </c>
      <c r="Y3593">
        <v>67.099999999999994</v>
      </c>
      <c r="Z3593">
        <v>57</v>
      </c>
      <c r="AA3593">
        <v>77.099999999999994</v>
      </c>
    </row>
    <row r="3594" spans="1:27" x14ac:dyDescent="0.25">
      <c r="A3594" t="s">
        <v>260</v>
      </c>
      <c r="B3594" t="s">
        <v>199</v>
      </c>
      <c r="C3594" s="76">
        <v>43992</v>
      </c>
      <c r="D3594">
        <v>6496</v>
      </c>
      <c r="E3594">
        <v>2852</v>
      </c>
      <c r="F3594">
        <v>10140</v>
      </c>
      <c r="G3594">
        <v>4636</v>
      </c>
      <c r="H3594">
        <v>58.4</v>
      </c>
      <c r="I3594">
        <v>50.4</v>
      </c>
      <c r="J3594">
        <v>66.3</v>
      </c>
      <c r="K3594">
        <v>153</v>
      </c>
      <c r="L3594">
        <v>45</v>
      </c>
      <c r="M3594">
        <v>260</v>
      </c>
      <c r="N3594">
        <v>1.4</v>
      </c>
      <c r="O3594">
        <v>0.9</v>
      </c>
      <c r="P3594">
        <v>1.8</v>
      </c>
      <c r="Q3594">
        <f t="shared" si="110"/>
        <v>3990443</v>
      </c>
      <c r="R3594">
        <f t="shared" si="111"/>
        <v>3.834160768616417</v>
      </c>
      <c r="U3594">
        <v>835</v>
      </c>
      <c r="V3594">
        <v>230</v>
      </c>
      <c r="W3594">
        <v>1439</v>
      </c>
      <c r="X3594">
        <v>474</v>
      </c>
      <c r="Y3594">
        <v>63.8</v>
      </c>
      <c r="Z3594">
        <v>55.4</v>
      </c>
      <c r="AA3594">
        <v>72.2</v>
      </c>
    </row>
    <row r="3595" spans="1:27" x14ac:dyDescent="0.25">
      <c r="A3595" t="s">
        <v>260</v>
      </c>
      <c r="B3595" t="s">
        <v>199</v>
      </c>
      <c r="C3595" s="76">
        <v>43993</v>
      </c>
      <c r="D3595">
        <v>7238</v>
      </c>
      <c r="E3595">
        <v>4116</v>
      </c>
      <c r="F3595">
        <v>10359</v>
      </c>
      <c r="G3595">
        <v>6137</v>
      </c>
      <c r="H3595">
        <v>54.1</v>
      </c>
      <c r="I3595">
        <v>41</v>
      </c>
      <c r="J3595">
        <v>67.2</v>
      </c>
      <c r="K3595">
        <v>381</v>
      </c>
      <c r="L3595">
        <v>158</v>
      </c>
      <c r="M3595">
        <v>605</v>
      </c>
      <c r="N3595">
        <v>2.9</v>
      </c>
      <c r="O3595">
        <v>1.5</v>
      </c>
      <c r="P3595">
        <v>4.2</v>
      </c>
      <c r="Q3595">
        <f t="shared" si="110"/>
        <v>3990443</v>
      </c>
      <c r="R3595">
        <f t="shared" si="111"/>
        <v>9.5478121100840188</v>
      </c>
      <c r="U3595">
        <v>1003</v>
      </c>
      <c r="V3595">
        <v>382</v>
      </c>
      <c r="W3595">
        <v>1623</v>
      </c>
      <c r="X3595">
        <v>440</v>
      </c>
      <c r="Y3595">
        <v>69.5</v>
      </c>
      <c r="Z3595">
        <v>59.7</v>
      </c>
      <c r="AA3595">
        <v>79.3</v>
      </c>
    </row>
    <row r="3596" spans="1:27" x14ac:dyDescent="0.25">
      <c r="A3596" t="s">
        <v>260</v>
      </c>
      <c r="B3596" t="s">
        <v>199</v>
      </c>
      <c r="C3596" s="76">
        <v>43994</v>
      </c>
      <c r="D3596">
        <v>6612</v>
      </c>
      <c r="E3596">
        <v>3375</v>
      </c>
      <c r="F3596">
        <v>9850</v>
      </c>
      <c r="G3596">
        <v>6331</v>
      </c>
      <c r="H3596">
        <v>51.1</v>
      </c>
      <c r="I3596">
        <v>41.5</v>
      </c>
      <c r="J3596">
        <v>60.7</v>
      </c>
      <c r="K3596">
        <v>276</v>
      </c>
      <c r="L3596">
        <v>131</v>
      </c>
      <c r="M3596">
        <v>421</v>
      </c>
      <c r="N3596">
        <v>2.1</v>
      </c>
      <c r="O3596">
        <v>1.4</v>
      </c>
      <c r="P3596">
        <v>2.9</v>
      </c>
      <c r="Q3596">
        <f t="shared" si="110"/>
        <v>3990443</v>
      </c>
      <c r="R3596">
        <f t="shared" si="111"/>
        <v>6.9165253080923605</v>
      </c>
      <c r="U3596">
        <v>1012</v>
      </c>
      <c r="V3596">
        <v>200</v>
      </c>
      <c r="W3596">
        <v>1823</v>
      </c>
      <c r="X3596">
        <v>519</v>
      </c>
      <c r="Y3596">
        <v>66.099999999999994</v>
      </c>
      <c r="Z3596">
        <v>53.9</v>
      </c>
      <c r="AA3596">
        <v>78.3</v>
      </c>
    </row>
    <row r="3597" spans="1:27" x14ac:dyDescent="0.25">
      <c r="A3597" t="s">
        <v>260</v>
      </c>
      <c r="B3597" t="s">
        <v>199</v>
      </c>
      <c r="C3597" s="76">
        <v>43995</v>
      </c>
      <c r="D3597">
        <v>6259</v>
      </c>
      <c r="E3597">
        <v>3374</v>
      </c>
      <c r="F3597">
        <v>9143</v>
      </c>
      <c r="G3597">
        <v>6627</v>
      </c>
      <c r="H3597">
        <v>48.6</v>
      </c>
      <c r="I3597">
        <v>40</v>
      </c>
      <c r="J3597">
        <v>57.1</v>
      </c>
      <c r="K3597">
        <v>232</v>
      </c>
      <c r="L3597">
        <v>124</v>
      </c>
      <c r="M3597">
        <v>339</v>
      </c>
      <c r="N3597">
        <v>1.8</v>
      </c>
      <c r="O3597">
        <v>1.3</v>
      </c>
      <c r="P3597">
        <v>2.2999999999999998</v>
      </c>
      <c r="Q3597">
        <f t="shared" si="110"/>
        <v>3990443</v>
      </c>
      <c r="R3597">
        <f t="shared" si="111"/>
        <v>5.8138908386863317</v>
      </c>
      <c r="U3597">
        <v>993</v>
      </c>
      <c r="V3597">
        <v>294</v>
      </c>
      <c r="W3597">
        <v>1691</v>
      </c>
      <c r="X3597">
        <v>550</v>
      </c>
      <c r="Y3597">
        <v>64.400000000000006</v>
      </c>
      <c r="Z3597">
        <v>54.5</v>
      </c>
      <c r="AA3597">
        <v>74.2</v>
      </c>
    </row>
    <row r="3598" spans="1:27" x14ac:dyDescent="0.25">
      <c r="A3598" t="s">
        <v>260</v>
      </c>
      <c r="B3598" t="s">
        <v>199</v>
      </c>
      <c r="C3598" s="76">
        <v>43996</v>
      </c>
      <c r="D3598">
        <v>6028</v>
      </c>
      <c r="E3598">
        <v>3181</v>
      </c>
      <c r="F3598">
        <v>8876</v>
      </c>
      <c r="G3598">
        <v>7045</v>
      </c>
      <c r="H3598">
        <v>46.1</v>
      </c>
      <c r="I3598">
        <v>37.5</v>
      </c>
      <c r="J3598">
        <v>54.8</v>
      </c>
      <c r="K3598">
        <v>264</v>
      </c>
      <c r="L3598">
        <v>136</v>
      </c>
      <c r="M3598">
        <v>392</v>
      </c>
      <c r="N3598">
        <v>2</v>
      </c>
      <c r="O3598">
        <v>1.4</v>
      </c>
      <c r="P3598">
        <v>2.7</v>
      </c>
      <c r="Q3598">
        <f t="shared" si="110"/>
        <v>3990443</v>
      </c>
      <c r="R3598">
        <f t="shared" si="111"/>
        <v>6.6158068164361703</v>
      </c>
      <c r="U3598">
        <v>965</v>
      </c>
      <c r="V3598">
        <v>277</v>
      </c>
      <c r="W3598">
        <v>1654</v>
      </c>
      <c r="X3598">
        <v>580</v>
      </c>
      <c r="Y3598">
        <v>62.5</v>
      </c>
      <c r="Z3598">
        <v>52.3</v>
      </c>
      <c r="AA3598">
        <v>72.599999999999994</v>
      </c>
    </row>
    <row r="3599" spans="1:27" x14ac:dyDescent="0.25">
      <c r="A3599" t="s">
        <v>260</v>
      </c>
      <c r="B3599" t="s">
        <v>199</v>
      </c>
      <c r="C3599" s="76">
        <v>43997</v>
      </c>
      <c r="D3599">
        <v>6871</v>
      </c>
      <c r="E3599">
        <v>3315</v>
      </c>
      <c r="F3599">
        <v>10427</v>
      </c>
      <c r="G3599">
        <v>5641</v>
      </c>
      <c r="H3599">
        <v>54.9</v>
      </c>
      <c r="I3599">
        <v>46.3</v>
      </c>
      <c r="J3599">
        <v>63.6</v>
      </c>
      <c r="K3599">
        <v>193</v>
      </c>
      <c r="L3599">
        <v>87</v>
      </c>
      <c r="M3599">
        <v>299</v>
      </c>
      <c r="N3599">
        <v>1.5</v>
      </c>
      <c r="O3599">
        <v>1</v>
      </c>
      <c r="P3599">
        <v>2.1</v>
      </c>
      <c r="Q3599">
        <f t="shared" si="110"/>
        <v>3990443</v>
      </c>
      <c r="R3599">
        <f t="shared" si="111"/>
        <v>4.8365557408037159</v>
      </c>
      <c r="U3599">
        <v>1102</v>
      </c>
      <c r="V3599">
        <v>234</v>
      </c>
      <c r="W3599">
        <v>1969</v>
      </c>
      <c r="X3599">
        <v>531</v>
      </c>
      <c r="Y3599">
        <v>67.5</v>
      </c>
      <c r="Z3599">
        <v>54.6</v>
      </c>
      <c r="AA3599">
        <v>80.400000000000006</v>
      </c>
    </row>
    <row r="3600" spans="1:27" x14ac:dyDescent="0.25">
      <c r="A3600" t="s">
        <v>260</v>
      </c>
      <c r="B3600" t="s">
        <v>199</v>
      </c>
      <c r="C3600" s="76">
        <v>43998</v>
      </c>
      <c r="D3600">
        <v>7070</v>
      </c>
      <c r="E3600">
        <v>3353</v>
      </c>
      <c r="F3600">
        <v>10787</v>
      </c>
      <c r="G3600">
        <v>5171</v>
      </c>
      <c r="H3600">
        <v>57.8</v>
      </c>
      <c r="I3600">
        <v>48.8</v>
      </c>
      <c r="J3600">
        <v>66.7</v>
      </c>
      <c r="K3600">
        <v>224</v>
      </c>
      <c r="L3600">
        <v>101</v>
      </c>
      <c r="M3600">
        <v>347</v>
      </c>
      <c r="N3600">
        <v>1.8</v>
      </c>
      <c r="O3600">
        <v>1.2</v>
      </c>
      <c r="P3600">
        <v>2.5</v>
      </c>
      <c r="Q3600">
        <f t="shared" si="110"/>
        <v>3990443</v>
      </c>
      <c r="R3600">
        <f t="shared" si="111"/>
        <v>5.6134118442488719</v>
      </c>
      <c r="U3600">
        <v>1120</v>
      </c>
      <c r="V3600">
        <v>241</v>
      </c>
      <c r="W3600">
        <v>1998</v>
      </c>
      <c r="X3600">
        <v>433</v>
      </c>
      <c r="Y3600">
        <v>72.099999999999994</v>
      </c>
      <c r="Z3600">
        <v>63.7</v>
      </c>
      <c r="AA3600">
        <v>80.599999999999994</v>
      </c>
    </row>
    <row r="3601" spans="1:27" x14ac:dyDescent="0.25">
      <c r="A3601" t="s">
        <v>260</v>
      </c>
      <c r="B3601" t="s">
        <v>199</v>
      </c>
      <c r="C3601" s="76">
        <v>43999</v>
      </c>
      <c r="D3601">
        <v>6670</v>
      </c>
      <c r="E3601">
        <v>2843</v>
      </c>
      <c r="F3601">
        <v>10497</v>
      </c>
      <c r="G3601">
        <v>4143</v>
      </c>
      <c r="H3601">
        <v>61.7</v>
      </c>
      <c r="I3601">
        <v>52.6</v>
      </c>
      <c r="J3601">
        <v>70.8</v>
      </c>
      <c r="K3601">
        <v>307</v>
      </c>
      <c r="L3601">
        <v>122</v>
      </c>
      <c r="M3601">
        <v>492</v>
      </c>
      <c r="N3601">
        <v>2.8</v>
      </c>
      <c r="O3601">
        <v>2.1</v>
      </c>
      <c r="P3601">
        <v>3.6</v>
      </c>
      <c r="Q3601">
        <f t="shared" si="110"/>
        <v>3990443</v>
      </c>
      <c r="R3601">
        <f t="shared" si="111"/>
        <v>7.6933814115375165</v>
      </c>
      <c r="U3601">
        <v>908</v>
      </c>
      <c r="V3601">
        <v>252</v>
      </c>
      <c r="W3601">
        <v>1564</v>
      </c>
      <c r="X3601">
        <v>359</v>
      </c>
      <c r="Y3601">
        <v>71.7</v>
      </c>
      <c r="Z3601">
        <v>67.099999999999994</v>
      </c>
      <c r="AA3601">
        <v>76.3</v>
      </c>
    </row>
    <row r="3602" spans="1:27" x14ac:dyDescent="0.25">
      <c r="A3602" t="s">
        <v>260</v>
      </c>
      <c r="B3602" t="s">
        <v>199</v>
      </c>
      <c r="C3602" s="76">
        <v>44000</v>
      </c>
      <c r="D3602">
        <v>7519</v>
      </c>
      <c r="E3602">
        <v>3985</v>
      </c>
      <c r="F3602">
        <v>11054</v>
      </c>
      <c r="G3602">
        <v>5292</v>
      </c>
      <c r="H3602">
        <v>58.7</v>
      </c>
      <c r="I3602">
        <v>45.3</v>
      </c>
      <c r="J3602">
        <v>72.099999999999994</v>
      </c>
      <c r="K3602">
        <v>477</v>
      </c>
      <c r="L3602">
        <v>71</v>
      </c>
      <c r="M3602">
        <v>883</v>
      </c>
      <c r="N3602">
        <v>3.7</v>
      </c>
      <c r="O3602">
        <v>1</v>
      </c>
      <c r="P3602">
        <v>6.4</v>
      </c>
      <c r="Q3602">
        <f t="shared" si="110"/>
        <v>3990443</v>
      </c>
      <c r="R3602">
        <f t="shared" si="111"/>
        <v>11.953560043333535</v>
      </c>
      <c r="U3602">
        <v>1122</v>
      </c>
      <c r="V3602">
        <v>388</v>
      </c>
      <c r="W3602">
        <v>1855</v>
      </c>
      <c r="X3602">
        <v>646</v>
      </c>
      <c r="Y3602">
        <v>63.5</v>
      </c>
      <c r="Z3602">
        <v>47.3</v>
      </c>
      <c r="AA3602">
        <v>79.599999999999994</v>
      </c>
    </row>
    <row r="3603" spans="1:27" x14ac:dyDescent="0.25">
      <c r="A3603" t="s">
        <v>260</v>
      </c>
      <c r="B3603" t="s">
        <v>199</v>
      </c>
      <c r="C3603" s="76">
        <v>44001</v>
      </c>
      <c r="D3603">
        <v>6783</v>
      </c>
      <c r="E3603">
        <v>3727</v>
      </c>
      <c r="F3603">
        <v>9839</v>
      </c>
      <c r="G3603">
        <v>6404</v>
      </c>
      <c r="H3603">
        <v>51.4</v>
      </c>
      <c r="I3603">
        <v>42.6</v>
      </c>
      <c r="J3603">
        <v>60.3</v>
      </c>
      <c r="K3603">
        <v>263</v>
      </c>
      <c r="L3603">
        <v>119</v>
      </c>
      <c r="M3603">
        <v>408</v>
      </c>
      <c r="N3603">
        <v>2</v>
      </c>
      <c r="O3603">
        <v>1.2</v>
      </c>
      <c r="P3603">
        <v>2.7</v>
      </c>
      <c r="Q3603">
        <f t="shared" si="110"/>
        <v>3990443</v>
      </c>
      <c r="R3603">
        <f t="shared" si="111"/>
        <v>6.5907469421314877</v>
      </c>
      <c r="U3603">
        <v>1075</v>
      </c>
      <c r="V3603">
        <v>355</v>
      </c>
      <c r="W3603">
        <v>1796</v>
      </c>
      <c r="X3603">
        <v>721</v>
      </c>
      <c r="Y3603">
        <v>59.9</v>
      </c>
      <c r="Z3603">
        <v>43.8</v>
      </c>
      <c r="AA3603">
        <v>75.900000000000006</v>
      </c>
    </row>
    <row r="3604" spans="1:27" x14ac:dyDescent="0.25">
      <c r="A3604" t="s">
        <v>260</v>
      </c>
      <c r="B3604" t="s">
        <v>199</v>
      </c>
      <c r="C3604" s="76">
        <v>44002</v>
      </c>
      <c r="D3604">
        <v>6309</v>
      </c>
      <c r="E3604">
        <v>3371</v>
      </c>
      <c r="F3604">
        <v>9246</v>
      </c>
      <c r="G3604">
        <v>6574</v>
      </c>
      <c r="H3604">
        <v>49</v>
      </c>
      <c r="I3604">
        <v>40.1</v>
      </c>
      <c r="J3604">
        <v>57.8</v>
      </c>
      <c r="K3604">
        <v>314</v>
      </c>
      <c r="L3604">
        <v>146</v>
      </c>
      <c r="M3604">
        <v>481</v>
      </c>
      <c r="N3604">
        <v>2.4</v>
      </c>
      <c r="O3604">
        <v>1.6</v>
      </c>
      <c r="P3604">
        <v>3.3</v>
      </c>
      <c r="Q3604">
        <f t="shared" si="110"/>
        <v>3990443</v>
      </c>
      <c r="R3604">
        <f t="shared" si="111"/>
        <v>7.8688005316702929</v>
      </c>
      <c r="U3604">
        <v>1020</v>
      </c>
      <c r="V3604">
        <v>321</v>
      </c>
      <c r="W3604">
        <v>1720</v>
      </c>
      <c r="X3604">
        <v>750</v>
      </c>
      <c r="Y3604">
        <v>57.6</v>
      </c>
      <c r="Z3604">
        <v>42.4</v>
      </c>
      <c r="AA3604">
        <v>72.900000000000006</v>
      </c>
    </row>
    <row r="3605" spans="1:27" x14ac:dyDescent="0.25">
      <c r="A3605" t="s">
        <v>260</v>
      </c>
      <c r="B3605" t="s">
        <v>199</v>
      </c>
      <c r="C3605" s="76">
        <v>44003</v>
      </c>
      <c r="D3605">
        <v>6172</v>
      </c>
      <c r="E3605">
        <v>3286</v>
      </c>
      <c r="F3605">
        <v>9058</v>
      </c>
      <c r="G3605">
        <v>6809</v>
      </c>
      <c r="H3605">
        <v>47.5</v>
      </c>
      <c r="I3605">
        <v>38.700000000000003</v>
      </c>
      <c r="J3605">
        <v>56.4</v>
      </c>
      <c r="K3605">
        <v>348</v>
      </c>
      <c r="L3605">
        <v>169</v>
      </c>
      <c r="M3605">
        <v>526</v>
      </c>
      <c r="N3605">
        <v>2.7</v>
      </c>
      <c r="O3605">
        <v>1.8</v>
      </c>
      <c r="P3605">
        <v>3.5</v>
      </c>
      <c r="Q3605">
        <f t="shared" si="110"/>
        <v>3990443</v>
      </c>
      <c r="R3605">
        <f t="shared" si="111"/>
        <v>8.7208362580294967</v>
      </c>
      <c r="U3605">
        <v>994</v>
      </c>
      <c r="V3605">
        <v>305</v>
      </c>
      <c r="W3605">
        <v>1682</v>
      </c>
      <c r="X3605">
        <v>786</v>
      </c>
      <c r="Y3605">
        <v>55.8</v>
      </c>
      <c r="Z3605">
        <v>40.5</v>
      </c>
      <c r="AA3605">
        <v>71.2</v>
      </c>
    </row>
    <row r="3606" spans="1:27" x14ac:dyDescent="0.25">
      <c r="A3606" t="s">
        <v>260</v>
      </c>
      <c r="B3606" t="s">
        <v>199</v>
      </c>
      <c r="C3606" s="76">
        <v>44004</v>
      </c>
      <c r="D3606">
        <v>6646</v>
      </c>
      <c r="E3606">
        <v>3794</v>
      </c>
      <c r="F3606">
        <v>9498</v>
      </c>
      <c r="G3606">
        <v>6295</v>
      </c>
      <c r="H3606">
        <v>51.4</v>
      </c>
      <c r="I3606">
        <v>39.5</v>
      </c>
      <c r="J3606">
        <v>63.2</v>
      </c>
      <c r="K3606">
        <v>433</v>
      </c>
      <c r="L3606">
        <v>155</v>
      </c>
      <c r="M3606">
        <v>711</v>
      </c>
      <c r="N3606">
        <v>3.3</v>
      </c>
      <c r="O3606">
        <v>1.6</v>
      </c>
      <c r="P3606">
        <v>5.0999999999999996</v>
      </c>
      <c r="Q3606">
        <f t="shared" si="110"/>
        <v>3990443</v>
      </c>
      <c r="R3606">
        <f t="shared" si="111"/>
        <v>10.850925573927507</v>
      </c>
      <c r="U3606">
        <v>939</v>
      </c>
      <c r="V3606">
        <v>364</v>
      </c>
      <c r="W3606">
        <v>1514</v>
      </c>
      <c r="X3606">
        <v>630</v>
      </c>
      <c r="Y3606">
        <v>59.8</v>
      </c>
      <c r="Z3606">
        <v>45.9</v>
      </c>
      <c r="AA3606">
        <v>73.8</v>
      </c>
    </row>
    <row r="3607" spans="1:27" x14ac:dyDescent="0.25">
      <c r="A3607" t="s">
        <v>260</v>
      </c>
      <c r="B3607" t="s">
        <v>199</v>
      </c>
      <c r="C3607" s="76">
        <v>44005</v>
      </c>
      <c r="D3607">
        <v>7587</v>
      </c>
      <c r="E3607">
        <v>3739</v>
      </c>
      <c r="F3607">
        <v>11434</v>
      </c>
      <c r="G3607">
        <v>5119</v>
      </c>
      <c r="H3607">
        <v>59.7</v>
      </c>
      <c r="I3607">
        <v>51.3</v>
      </c>
      <c r="J3607">
        <v>68.099999999999994</v>
      </c>
      <c r="K3607">
        <v>370</v>
      </c>
      <c r="L3607">
        <v>158</v>
      </c>
      <c r="M3607">
        <v>582</v>
      </c>
      <c r="N3607">
        <v>2.9</v>
      </c>
      <c r="O3607">
        <v>1.9</v>
      </c>
      <c r="P3607">
        <v>3.9</v>
      </c>
      <c r="Q3607">
        <f t="shared" si="110"/>
        <v>3990443</v>
      </c>
      <c r="R3607">
        <f t="shared" si="111"/>
        <v>9.272153492732512</v>
      </c>
      <c r="U3607">
        <v>1170</v>
      </c>
      <c r="V3607">
        <v>262</v>
      </c>
      <c r="W3607">
        <v>2079</v>
      </c>
      <c r="X3607">
        <v>516</v>
      </c>
      <c r="Y3607">
        <v>69.400000000000006</v>
      </c>
      <c r="Z3607">
        <v>57.4</v>
      </c>
      <c r="AA3607">
        <v>81.400000000000006</v>
      </c>
    </row>
    <row r="3608" spans="1:27" x14ac:dyDescent="0.25">
      <c r="A3608" t="s">
        <v>260</v>
      </c>
      <c r="B3608" t="s">
        <v>199</v>
      </c>
      <c r="C3608" s="76">
        <v>44006</v>
      </c>
      <c r="D3608">
        <v>6726</v>
      </c>
      <c r="E3608">
        <v>2886</v>
      </c>
      <c r="F3608">
        <v>10565</v>
      </c>
      <c r="G3608">
        <v>5221</v>
      </c>
      <c r="H3608">
        <v>56.3</v>
      </c>
      <c r="I3608">
        <v>45.6</v>
      </c>
      <c r="J3608">
        <v>67</v>
      </c>
      <c r="K3608">
        <v>333</v>
      </c>
      <c r="L3608">
        <v>103</v>
      </c>
      <c r="M3608">
        <v>563</v>
      </c>
      <c r="N3608">
        <v>2.8</v>
      </c>
      <c r="O3608">
        <v>1.7</v>
      </c>
      <c r="P3608">
        <v>3.9</v>
      </c>
      <c r="Q3608">
        <f t="shared" si="110"/>
        <v>3990443</v>
      </c>
      <c r="R3608">
        <f t="shared" si="111"/>
        <v>8.3449381434592595</v>
      </c>
      <c r="U3608">
        <v>822</v>
      </c>
      <c r="V3608">
        <v>177</v>
      </c>
      <c r="W3608">
        <v>1466</v>
      </c>
      <c r="X3608">
        <v>431</v>
      </c>
      <c r="Y3608">
        <v>65.599999999999994</v>
      </c>
      <c r="Z3608">
        <v>57.4</v>
      </c>
      <c r="AA3608">
        <v>73.8</v>
      </c>
    </row>
    <row r="3609" spans="1:27" x14ac:dyDescent="0.25">
      <c r="A3609" t="s">
        <v>260</v>
      </c>
      <c r="B3609" t="s">
        <v>199</v>
      </c>
      <c r="C3609" s="76">
        <v>44007</v>
      </c>
      <c r="D3609">
        <v>7259</v>
      </c>
      <c r="E3609">
        <v>4066</v>
      </c>
      <c r="F3609">
        <v>10452</v>
      </c>
      <c r="G3609">
        <v>5740</v>
      </c>
      <c r="H3609">
        <v>55.8</v>
      </c>
      <c r="I3609">
        <v>42.5</v>
      </c>
      <c r="J3609">
        <v>69.2</v>
      </c>
      <c r="K3609">
        <v>604</v>
      </c>
      <c r="L3609">
        <v>244</v>
      </c>
      <c r="M3609">
        <v>964</v>
      </c>
      <c r="N3609">
        <v>4.5999999999999996</v>
      </c>
      <c r="O3609">
        <v>2.5</v>
      </c>
      <c r="P3609">
        <v>6.8</v>
      </c>
      <c r="Q3609">
        <f t="shared" si="110"/>
        <v>3990443</v>
      </c>
      <c r="R3609">
        <f t="shared" si="111"/>
        <v>15.136164080028205</v>
      </c>
      <c r="U3609">
        <v>1087</v>
      </c>
      <c r="V3609">
        <v>402</v>
      </c>
      <c r="W3609">
        <v>1772</v>
      </c>
      <c r="X3609">
        <v>519</v>
      </c>
      <c r="Y3609">
        <v>67.7</v>
      </c>
      <c r="Z3609">
        <v>55.3</v>
      </c>
      <c r="AA3609">
        <v>80.099999999999994</v>
      </c>
    </row>
    <row r="3610" spans="1:27" x14ac:dyDescent="0.25">
      <c r="A3610" t="s">
        <v>260</v>
      </c>
      <c r="B3610" t="s">
        <v>199</v>
      </c>
      <c r="C3610" s="76">
        <v>44008</v>
      </c>
      <c r="D3610">
        <v>6951</v>
      </c>
      <c r="E3610">
        <v>3741</v>
      </c>
      <c r="F3610">
        <v>10161</v>
      </c>
      <c r="G3610">
        <v>6074</v>
      </c>
      <c r="H3610">
        <v>53.4</v>
      </c>
      <c r="I3610">
        <v>44.4</v>
      </c>
      <c r="J3610">
        <v>62.4</v>
      </c>
      <c r="K3610">
        <v>384</v>
      </c>
      <c r="L3610">
        <v>199</v>
      </c>
      <c r="M3610">
        <v>569</v>
      </c>
      <c r="N3610">
        <v>2.9</v>
      </c>
      <c r="O3610">
        <v>2.2000000000000002</v>
      </c>
      <c r="P3610">
        <v>3.7</v>
      </c>
      <c r="Q3610">
        <f t="shared" si="110"/>
        <v>3990443</v>
      </c>
      <c r="R3610">
        <f t="shared" si="111"/>
        <v>9.6229917329980648</v>
      </c>
      <c r="U3610">
        <v>1127</v>
      </c>
      <c r="V3610">
        <v>377</v>
      </c>
      <c r="W3610">
        <v>1876</v>
      </c>
      <c r="X3610">
        <v>565</v>
      </c>
      <c r="Y3610">
        <v>66.599999999999994</v>
      </c>
      <c r="Z3610">
        <v>53.1</v>
      </c>
      <c r="AA3610">
        <v>80.2</v>
      </c>
    </row>
    <row r="3611" spans="1:27" x14ac:dyDescent="0.25">
      <c r="A3611" t="s">
        <v>260</v>
      </c>
      <c r="B3611" t="s">
        <v>199</v>
      </c>
      <c r="C3611" s="76">
        <v>44009</v>
      </c>
      <c r="D3611">
        <v>6329</v>
      </c>
      <c r="E3611">
        <v>3330</v>
      </c>
      <c r="F3611">
        <v>9328</v>
      </c>
      <c r="G3611">
        <v>5996</v>
      </c>
      <c r="H3611">
        <v>51.4</v>
      </c>
      <c r="I3611">
        <v>43.2</v>
      </c>
      <c r="J3611">
        <v>59.5</v>
      </c>
      <c r="K3611">
        <v>359</v>
      </c>
      <c r="L3611">
        <v>179</v>
      </c>
      <c r="M3611">
        <v>539</v>
      </c>
      <c r="N3611">
        <v>2.9</v>
      </c>
      <c r="O3611">
        <v>2.2000000000000002</v>
      </c>
      <c r="P3611">
        <v>3.6</v>
      </c>
      <c r="Q3611">
        <f t="shared" si="110"/>
        <v>3990443</v>
      </c>
      <c r="R3611">
        <f t="shared" si="111"/>
        <v>8.9964948753810052</v>
      </c>
      <c r="U3611">
        <v>1066</v>
      </c>
      <c r="V3611">
        <v>351</v>
      </c>
      <c r="W3611">
        <v>1781</v>
      </c>
      <c r="X3611">
        <v>620</v>
      </c>
      <c r="Y3611">
        <v>63.2</v>
      </c>
      <c r="Z3611">
        <v>51.3</v>
      </c>
      <c r="AA3611">
        <v>75.099999999999994</v>
      </c>
    </row>
    <row r="3612" spans="1:27" x14ac:dyDescent="0.25">
      <c r="A3612" t="s">
        <v>260</v>
      </c>
      <c r="B3612" t="s">
        <v>199</v>
      </c>
      <c r="C3612" s="76">
        <v>44010</v>
      </c>
      <c r="D3612">
        <v>6362</v>
      </c>
      <c r="E3612">
        <v>3653</v>
      </c>
      <c r="F3612">
        <v>9072</v>
      </c>
      <c r="G3612">
        <v>6479</v>
      </c>
      <c r="H3612">
        <v>49.5</v>
      </c>
      <c r="I3612">
        <v>38.1</v>
      </c>
      <c r="J3612">
        <v>61</v>
      </c>
      <c r="K3612">
        <v>475</v>
      </c>
      <c r="L3612">
        <v>197</v>
      </c>
      <c r="M3612">
        <v>754</v>
      </c>
      <c r="N3612">
        <v>3.7</v>
      </c>
      <c r="O3612">
        <v>2</v>
      </c>
      <c r="P3612">
        <v>5.4</v>
      </c>
      <c r="Q3612">
        <f t="shared" si="110"/>
        <v>3990443</v>
      </c>
      <c r="R3612">
        <f t="shared" si="111"/>
        <v>11.90344029472417</v>
      </c>
      <c r="U3612">
        <v>975</v>
      </c>
      <c r="V3612">
        <v>394</v>
      </c>
      <c r="W3612">
        <v>1557</v>
      </c>
      <c r="X3612">
        <v>594</v>
      </c>
      <c r="Y3612">
        <v>62.1</v>
      </c>
      <c r="Z3612">
        <v>51.1</v>
      </c>
      <c r="AA3612">
        <v>73.2</v>
      </c>
    </row>
    <row r="3613" spans="1:27" x14ac:dyDescent="0.25">
      <c r="A3613" t="s">
        <v>260</v>
      </c>
      <c r="B3613" t="s">
        <v>199</v>
      </c>
      <c r="C3613" s="76">
        <v>44011</v>
      </c>
      <c r="D3613">
        <v>6561</v>
      </c>
      <c r="E3613">
        <v>3496</v>
      </c>
      <c r="F3613">
        <v>9626</v>
      </c>
      <c r="G3613">
        <v>6114</v>
      </c>
      <c r="H3613">
        <v>51.8</v>
      </c>
      <c r="I3613">
        <v>42.7</v>
      </c>
      <c r="J3613">
        <v>60.8</v>
      </c>
      <c r="K3613">
        <v>422</v>
      </c>
      <c r="L3613">
        <v>198</v>
      </c>
      <c r="M3613">
        <v>646</v>
      </c>
      <c r="N3613">
        <v>3.3</v>
      </c>
      <c r="O3613">
        <v>2.2999999999999998</v>
      </c>
      <c r="P3613">
        <v>4.3</v>
      </c>
      <c r="Q3613">
        <f t="shared" si="110"/>
        <v>3990443</v>
      </c>
      <c r="R3613">
        <f t="shared" si="111"/>
        <v>10.575266956575998</v>
      </c>
      <c r="U3613">
        <v>1051</v>
      </c>
      <c r="V3613">
        <v>304</v>
      </c>
      <c r="W3613">
        <v>1798</v>
      </c>
      <c r="X3613">
        <v>598</v>
      </c>
      <c r="Y3613">
        <v>63.7</v>
      </c>
      <c r="Z3613">
        <v>49.8</v>
      </c>
      <c r="AA3613">
        <v>77.7</v>
      </c>
    </row>
    <row r="3614" spans="1:27" x14ac:dyDescent="0.25">
      <c r="A3614" t="s">
        <v>260</v>
      </c>
      <c r="B3614" t="s">
        <v>199</v>
      </c>
      <c r="C3614" s="76">
        <v>44012</v>
      </c>
      <c r="D3614">
        <v>7165</v>
      </c>
      <c r="E3614">
        <v>3908</v>
      </c>
      <c r="F3614">
        <v>10422</v>
      </c>
      <c r="G3614">
        <v>5820</v>
      </c>
      <c r="H3614">
        <v>55.2</v>
      </c>
      <c r="I3614">
        <v>45.9</v>
      </c>
      <c r="J3614">
        <v>64.5</v>
      </c>
      <c r="K3614">
        <v>493</v>
      </c>
      <c r="L3614">
        <v>251</v>
      </c>
      <c r="M3614">
        <v>735</v>
      </c>
      <c r="N3614">
        <v>3.8</v>
      </c>
      <c r="O3614">
        <v>2.8</v>
      </c>
      <c r="P3614">
        <v>4.8</v>
      </c>
      <c r="Q3614">
        <f t="shared" si="110"/>
        <v>3990443</v>
      </c>
      <c r="R3614">
        <f t="shared" si="111"/>
        <v>12.354518032208455</v>
      </c>
      <c r="U3614">
        <v>1087</v>
      </c>
      <c r="V3614">
        <v>335</v>
      </c>
      <c r="W3614">
        <v>1839</v>
      </c>
      <c r="X3614">
        <v>532</v>
      </c>
      <c r="Y3614">
        <v>67.2</v>
      </c>
      <c r="Z3614">
        <v>53.3</v>
      </c>
      <c r="AA3614">
        <v>81</v>
      </c>
    </row>
    <row r="3615" spans="1:27" x14ac:dyDescent="0.25">
      <c r="A3615" t="s">
        <v>260</v>
      </c>
      <c r="B3615" t="s">
        <v>199</v>
      </c>
      <c r="C3615" s="76">
        <v>44013</v>
      </c>
      <c r="D3615">
        <v>7565</v>
      </c>
      <c r="E3615">
        <v>4192</v>
      </c>
      <c r="F3615">
        <v>10938</v>
      </c>
      <c r="G3615">
        <v>5536</v>
      </c>
      <c r="H3615">
        <v>57.7</v>
      </c>
      <c r="I3615">
        <v>47.6</v>
      </c>
      <c r="J3615">
        <v>67.900000000000006</v>
      </c>
      <c r="K3615">
        <v>490</v>
      </c>
      <c r="L3615">
        <v>245</v>
      </c>
      <c r="M3615">
        <v>735</v>
      </c>
      <c r="N3615">
        <v>3.7</v>
      </c>
      <c r="O3615">
        <v>2.7</v>
      </c>
      <c r="P3615">
        <v>4.8</v>
      </c>
      <c r="Q3615">
        <f t="shared" si="110"/>
        <v>3990443</v>
      </c>
      <c r="R3615">
        <f t="shared" si="111"/>
        <v>12.279338409294406</v>
      </c>
      <c r="U3615">
        <v>1103</v>
      </c>
      <c r="V3615">
        <v>363</v>
      </c>
      <c r="W3615">
        <v>1843</v>
      </c>
      <c r="X3615">
        <v>508</v>
      </c>
      <c r="Y3615">
        <v>68.5</v>
      </c>
      <c r="Z3615">
        <v>54.8</v>
      </c>
      <c r="AA3615">
        <v>82.2</v>
      </c>
    </row>
    <row r="3616" spans="1:27" x14ac:dyDescent="0.25">
      <c r="A3616" t="s">
        <v>260</v>
      </c>
      <c r="B3616" t="s">
        <v>199</v>
      </c>
      <c r="C3616" s="76">
        <v>44014</v>
      </c>
      <c r="D3616">
        <v>7339</v>
      </c>
      <c r="E3616">
        <v>4014</v>
      </c>
      <c r="F3616">
        <v>10664</v>
      </c>
      <c r="G3616">
        <v>5764</v>
      </c>
      <c r="H3616">
        <v>56</v>
      </c>
      <c r="I3616">
        <v>45.4</v>
      </c>
      <c r="J3616">
        <v>66.599999999999994</v>
      </c>
      <c r="K3616">
        <v>485</v>
      </c>
      <c r="L3616">
        <v>240</v>
      </c>
      <c r="M3616">
        <v>729</v>
      </c>
      <c r="N3616">
        <v>3.7</v>
      </c>
      <c r="O3616">
        <v>2.7</v>
      </c>
      <c r="P3616">
        <v>4.7</v>
      </c>
      <c r="Q3616">
        <f t="shared" si="110"/>
        <v>3990443</v>
      </c>
      <c r="R3616">
        <f t="shared" si="111"/>
        <v>12.154039037770994</v>
      </c>
      <c r="U3616">
        <v>1104</v>
      </c>
      <c r="V3616">
        <v>365</v>
      </c>
      <c r="W3616">
        <v>1843</v>
      </c>
      <c r="X3616">
        <v>508</v>
      </c>
      <c r="Y3616">
        <v>68.5</v>
      </c>
      <c r="Z3616">
        <v>53.8</v>
      </c>
      <c r="AA3616">
        <v>83.1</v>
      </c>
    </row>
    <row r="3617" spans="1:27" x14ac:dyDescent="0.25">
      <c r="A3617" t="s">
        <v>260</v>
      </c>
      <c r="B3617" t="s">
        <v>199</v>
      </c>
      <c r="C3617" s="76">
        <v>44015</v>
      </c>
      <c r="D3617">
        <v>6874</v>
      </c>
      <c r="E3617">
        <v>3729</v>
      </c>
      <c r="F3617">
        <v>10020</v>
      </c>
      <c r="G3617">
        <v>6272</v>
      </c>
      <c r="H3617">
        <v>52.3</v>
      </c>
      <c r="I3617">
        <v>42.4</v>
      </c>
      <c r="J3617">
        <v>62.2</v>
      </c>
      <c r="K3617">
        <v>497</v>
      </c>
      <c r="L3617">
        <v>262</v>
      </c>
      <c r="M3617">
        <v>732</v>
      </c>
      <c r="N3617">
        <v>3.8</v>
      </c>
      <c r="O3617">
        <v>2.9</v>
      </c>
      <c r="P3617">
        <v>4.5999999999999996</v>
      </c>
      <c r="Q3617">
        <f t="shared" si="110"/>
        <v>3990443</v>
      </c>
      <c r="R3617">
        <f t="shared" si="111"/>
        <v>12.454757529427182</v>
      </c>
      <c r="U3617">
        <v>1113</v>
      </c>
      <c r="V3617">
        <v>403</v>
      </c>
      <c r="W3617">
        <v>1823</v>
      </c>
      <c r="X3617">
        <v>650</v>
      </c>
      <c r="Y3617">
        <v>63.1</v>
      </c>
      <c r="Z3617">
        <v>47.9</v>
      </c>
      <c r="AA3617">
        <v>78.400000000000006</v>
      </c>
    </row>
    <row r="3618" spans="1:27" x14ac:dyDescent="0.25">
      <c r="A3618" t="s">
        <v>260</v>
      </c>
      <c r="B3618" t="s">
        <v>199</v>
      </c>
      <c r="C3618" s="76">
        <v>44016</v>
      </c>
      <c r="D3618">
        <v>6509</v>
      </c>
      <c r="E3618">
        <v>3451</v>
      </c>
      <c r="F3618">
        <v>9568</v>
      </c>
      <c r="G3618">
        <v>6618</v>
      </c>
      <c r="H3618">
        <v>49.6</v>
      </c>
      <c r="I3618">
        <v>38.9</v>
      </c>
      <c r="J3618">
        <v>60.3</v>
      </c>
      <c r="K3618">
        <v>440</v>
      </c>
      <c r="L3618">
        <v>227</v>
      </c>
      <c r="M3618">
        <v>653</v>
      </c>
      <c r="N3618">
        <v>3.4</v>
      </c>
      <c r="O3618">
        <v>2.6</v>
      </c>
      <c r="P3618">
        <v>4.0999999999999996</v>
      </c>
      <c r="Q3618">
        <f t="shared" si="110"/>
        <v>3990443</v>
      </c>
      <c r="R3618">
        <f t="shared" si="111"/>
        <v>11.026344694060285</v>
      </c>
      <c r="U3618">
        <v>1075</v>
      </c>
      <c r="V3618">
        <v>368</v>
      </c>
      <c r="W3618">
        <v>1782</v>
      </c>
      <c r="X3618">
        <v>688</v>
      </c>
      <c r="Y3618">
        <v>61</v>
      </c>
      <c r="Z3618">
        <v>45.4</v>
      </c>
      <c r="AA3618">
        <v>76.5</v>
      </c>
    </row>
    <row r="3619" spans="1:27" x14ac:dyDescent="0.25">
      <c r="A3619" t="s">
        <v>260</v>
      </c>
      <c r="B3619" t="s">
        <v>199</v>
      </c>
      <c r="C3619" s="76">
        <v>44017</v>
      </c>
      <c r="D3619">
        <v>6417</v>
      </c>
      <c r="E3619">
        <v>3394</v>
      </c>
      <c r="F3619">
        <v>9441</v>
      </c>
      <c r="G3619">
        <v>6621</v>
      </c>
      <c r="H3619">
        <v>49.2</v>
      </c>
      <c r="I3619">
        <v>38.6</v>
      </c>
      <c r="J3619">
        <v>59.8</v>
      </c>
      <c r="K3619">
        <v>471</v>
      </c>
      <c r="L3619">
        <v>240</v>
      </c>
      <c r="M3619">
        <v>702</v>
      </c>
      <c r="N3619">
        <v>3.6</v>
      </c>
      <c r="O3619">
        <v>2.7</v>
      </c>
      <c r="P3619">
        <v>4.5</v>
      </c>
      <c r="Q3619">
        <f t="shared" si="110"/>
        <v>3990443</v>
      </c>
      <c r="R3619">
        <f t="shared" si="111"/>
        <v>11.80320079750544</v>
      </c>
      <c r="U3619">
        <v>1079</v>
      </c>
      <c r="V3619">
        <v>364</v>
      </c>
      <c r="W3619">
        <v>1794</v>
      </c>
      <c r="X3619">
        <v>678</v>
      </c>
      <c r="Y3619">
        <v>61.4</v>
      </c>
      <c r="Z3619">
        <v>44.7</v>
      </c>
      <c r="AA3619">
        <v>78</v>
      </c>
    </row>
    <row r="3620" spans="1:27" x14ac:dyDescent="0.25">
      <c r="A3620" t="s">
        <v>260</v>
      </c>
      <c r="B3620" t="s">
        <v>199</v>
      </c>
      <c r="C3620" s="76">
        <v>44018</v>
      </c>
      <c r="D3620">
        <v>6582</v>
      </c>
      <c r="E3620">
        <v>3611</v>
      </c>
      <c r="F3620">
        <v>9553</v>
      </c>
      <c r="G3620">
        <v>6513</v>
      </c>
      <c r="H3620">
        <v>50.3</v>
      </c>
      <c r="I3620">
        <v>41.1</v>
      </c>
      <c r="J3620">
        <v>59.4</v>
      </c>
      <c r="K3620">
        <v>522</v>
      </c>
      <c r="L3620">
        <v>276</v>
      </c>
      <c r="M3620">
        <v>768</v>
      </c>
      <c r="N3620">
        <v>4</v>
      </c>
      <c r="O3620">
        <v>3.1</v>
      </c>
      <c r="P3620">
        <v>4.9000000000000004</v>
      </c>
      <c r="Q3620">
        <f t="shared" si="110"/>
        <v>3990443</v>
      </c>
      <c r="R3620">
        <f t="shared" si="111"/>
        <v>13.081254387044245</v>
      </c>
      <c r="U3620">
        <v>1088</v>
      </c>
      <c r="V3620">
        <v>382</v>
      </c>
      <c r="W3620">
        <v>1795</v>
      </c>
      <c r="X3620">
        <v>662</v>
      </c>
      <c r="Y3620">
        <v>62.2</v>
      </c>
      <c r="Z3620">
        <v>45.9</v>
      </c>
      <c r="AA3620">
        <v>78.5</v>
      </c>
    </row>
    <row r="3621" spans="1:27" x14ac:dyDescent="0.25">
      <c r="A3621" t="s">
        <v>260</v>
      </c>
      <c r="B3621" t="s">
        <v>199</v>
      </c>
      <c r="C3621" s="76">
        <v>44019</v>
      </c>
      <c r="D3621">
        <v>7275</v>
      </c>
      <c r="E3621">
        <v>4046</v>
      </c>
      <c r="F3621">
        <v>10503</v>
      </c>
      <c r="G3621">
        <v>5884</v>
      </c>
      <c r="H3621">
        <v>55.3</v>
      </c>
      <c r="I3621">
        <v>46.1</v>
      </c>
      <c r="J3621">
        <v>64.5</v>
      </c>
      <c r="K3621">
        <v>556</v>
      </c>
      <c r="L3621">
        <v>277</v>
      </c>
      <c r="M3621">
        <v>835</v>
      </c>
      <c r="N3621">
        <v>4.2</v>
      </c>
      <c r="O3621">
        <v>3.1</v>
      </c>
      <c r="P3621">
        <v>5.3</v>
      </c>
      <c r="Q3621">
        <f t="shared" si="110"/>
        <v>3990443</v>
      </c>
      <c r="R3621">
        <f t="shared" si="111"/>
        <v>13.933290113403448</v>
      </c>
      <c r="U3621">
        <v>1123</v>
      </c>
      <c r="V3621">
        <v>423</v>
      </c>
      <c r="W3621">
        <v>1823</v>
      </c>
      <c r="X3621">
        <v>634</v>
      </c>
      <c r="Y3621">
        <v>63.9</v>
      </c>
      <c r="Z3621">
        <v>51.6</v>
      </c>
      <c r="AA3621">
        <v>76.2</v>
      </c>
    </row>
    <row r="3622" spans="1:27" x14ac:dyDescent="0.25">
      <c r="A3622" t="s">
        <v>261</v>
      </c>
      <c r="B3622" t="s">
        <v>198</v>
      </c>
      <c r="C3622" s="76">
        <v>43922</v>
      </c>
      <c r="D3622">
        <v>4267</v>
      </c>
      <c r="E3622">
        <v>36</v>
      </c>
      <c r="F3622">
        <v>8498</v>
      </c>
      <c r="G3622">
        <v>3029</v>
      </c>
      <c r="H3622">
        <v>58.5</v>
      </c>
      <c r="I3622">
        <v>48.5</v>
      </c>
      <c r="J3622">
        <v>68.400000000000006</v>
      </c>
      <c r="K3622">
        <v>552</v>
      </c>
      <c r="L3622">
        <v>0</v>
      </c>
      <c r="M3622">
        <v>1118</v>
      </c>
      <c r="N3622">
        <v>7.6</v>
      </c>
      <c r="O3622">
        <v>3.3</v>
      </c>
      <c r="P3622">
        <v>11.8</v>
      </c>
      <c r="Q3622">
        <f t="shared" si="110"/>
        <v>4289439</v>
      </c>
      <c r="R3622">
        <f t="shared" si="111"/>
        <v>12.868815712264471</v>
      </c>
      <c r="U3622">
        <v>756</v>
      </c>
      <c r="V3622">
        <v>0</v>
      </c>
      <c r="W3622">
        <v>1659</v>
      </c>
      <c r="X3622">
        <v>481</v>
      </c>
      <c r="Y3622">
        <v>61.1</v>
      </c>
      <c r="Z3622">
        <v>54.4</v>
      </c>
      <c r="AA3622">
        <v>67.8</v>
      </c>
    </row>
    <row r="3623" spans="1:27" x14ac:dyDescent="0.25">
      <c r="A3623" t="s">
        <v>261</v>
      </c>
      <c r="B3623" t="s">
        <v>198</v>
      </c>
      <c r="C3623" s="76">
        <v>43923</v>
      </c>
      <c r="D3623">
        <v>3764</v>
      </c>
      <c r="E3623">
        <v>7</v>
      </c>
      <c r="F3623">
        <v>7520</v>
      </c>
      <c r="G3623">
        <v>3526</v>
      </c>
      <c r="H3623">
        <v>51.6</v>
      </c>
      <c r="I3623">
        <v>43.2</v>
      </c>
      <c r="J3623">
        <v>60.1</v>
      </c>
      <c r="K3623">
        <v>404</v>
      </c>
      <c r="L3623">
        <v>0</v>
      </c>
      <c r="M3623">
        <v>824</v>
      </c>
      <c r="N3623">
        <v>5.5</v>
      </c>
      <c r="O3623">
        <v>2.2999999999999998</v>
      </c>
      <c r="P3623">
        <v>8.6999999999999993</v>
      </c>
      <c r="Q3623">
        <f t="shared" ref="Q3623:Q3686" si="112">VLOOKUP(B3623,$AE$4:$AF$55,2,FALSE)</f>
        <v>4289439</v>
      </c>
      <c r="R3623">
        <f t="shared" si="111"/>
        <v>9.4184810647732711</v>
      </c>
      <c r="U3623">
        <v>683</v>
      </c>
      <c r="V3623">
        <v>0</v>
      </c>
      <c r="W3623">
        <v>1527</v>
      </c>
      <c r="X3623">
        <v>548</v>
      </c>
      <c r="Y3623">
        <v>55.5</v>
      </c>
      <c r="Z3623">
        <v>48.2</v>
      </c>
      <c r="AA3623">
        <v>62.7</v>
      </c>
    </row>
    <row r="3624" spans="1:27" x14ac:dyDescent="0.25">
      <c r="A3624" t="s">
        <v>261</v>
      </c>
      <c r="B3624" t="s">
        <v>198</v>
      </c>
      <c r="C3624" s="76">
        <v>43924</v>
      </c>
      <c r="D3624">
        <v>3608</v>
      </c>
      <c r="E3624">
        <v>0</v>
      </c>
      <c r="F3624">
        <v>7296</v>
      </c>
      <c r="G3624">
        <v>3645</v>
      </c>
      <c r="H3624">
        <v>49.7</v>
      </c>
      <c r="I3624">
        <v>40.200000000000003</v>
      </c>
      <c r="J3624">
        <v>59.3</v>
      </c>
      <c r="K3624">
        <v>402</v>
      </c>
      <c r="L3624">
        <v>8</v>
      </c>
      <c r="M3624">
        <v>797</v>
      </c>
      <c r="N3624">
        <v>5.5</v>
      </c>
      <c r="O3624">
        <v>3.2</v>
      </c>
      <c r="P3624">
        <v>7.9</v>
      </c>
      <c r="Q3624">
        <f t="shared" si="112"/>
        <v>4289439</v>
      </c>
      <c r="R3624">
        <f t="shared" si="111"/>
        <v>9.3718549208882553</v>
      </c>
      <c r="U3624">
        <v>708</v>
      </c>
      <c r="V3624">
        <v>0</v>
      </c>
      <c r="W3624">
        <v>1547</v>
      </c>
      <c r="X3624">
        <v>522</v>
      </c>
      <c r="Y3624">
        <v>57.5</v>
      </c>
      <c r="Z3624">
        <v>52.5</v>
      </c>
      <c r="AA3624">
        <v>62.6</v>
      </c>
    </row>
    <row r="3625" spans="1:27" x14ac:dyDescent="0.25">
      <c r="A3625" t="s">
        <v>261</v>
      </c>
      <c r="B3625" t="s">
        <v>198</v>
      </c>
      <c r="C3625" s="76">
        <v>43925</v>
      </c>
      <c r="D3625">
        <v>3463</v>
      </c>
      <c r="E3625">
        <v>0</v>
      </c>
      <c r="F3625">
        <v>7098</v>
      </c>
      <c r="G3625">
        <v>3825</v>
      </c>
      <c r="H3625">
        <v>47.5</v>
      </c>
      <c r="I3625">
        <v>37.1</v>
      </c>
      <c r="J3625">
        <v>58</v>
      </c>
      <c r="K3625">
        <v>445</v>
      </c>
      <c r="L3625">
        <v>0</v>
      </c>
      <c r="M3625">
        <v>925</v>
      </c>
      <c r="N3625">
        <v>6.1</v>
      </c>
      <c r="O3625">
        <v>2.6</v>
      </c>
      <c r="P3625">
        <v>9.6</v>
      </c>
      <c r="Q3625">
        <f t="shared" si="112"/>
        <v>4289439</v>
      </c>
      <c r="R3625">
        <f t="shared" si="111"/>
        <v>10.374317014416105</v>
      </c>
      <c r="U3625">
        <v>695</v>
      </c>
      <c r="V3625">
        <v>0</v>
      </c>
      <c r="W3625">
        <v>1547</v>
      </c>
      <c r="X3625">
        <v>516</v>
      </c>
      <c r="Y3625">
        <v>57.4</v>
      </c>
      <c r="Z3625">
        <v>53.2</v>
      </c>
      <c r="AA3625">
        <v>61.5</v>
      </c>
    </row>
    <row r="3626" spans="1:27" x14ac:dyDescent="0.25">
      <c r="A3626" t="s">
        <v>261</v>
      </c>
      <c r="B3626" t="s">
        <v>198</v>
      </c>
      <c r="C3626" s="76">
        <v>43926</v>
      </c>
      <c r="D3626">
        <v>3458</v>
      </c>
      <c r="E3626">
        <v>0</v>
      </c>
      <c r="F3626">
        <v>7013</v>
      </c>
      <c r="G3626">
        <v>3851</v>
      </c>
      <c r="H3626">
        <v>47.3</v>
      </c>
      <c r="I3626">
        <v>38.700000000000003</v>
      </c>
      <c r="J3626">
        <v>55.9</v>
      </c>
      <c r="K3626">
        <v>506</v>
      </c>
      <c r="L3626">
        <v>0</v>
      </c>
      <c r="M3626">
        <v>1041</v>
      </c>
      <c r="N3626">
        <v>6.9</v>
      </c>
      <c r="O3626">
        <v>4</v>
      </c>
      <c r="P3626">
        <v>9.9</v>
      </c>
      <c r="Q3626">
        <f t="shared" si="112"/>
        <v>4289439</v>
      </c>
      <c r="R3626">
        <f t="shared" si="111"/>
        <v>11.796414402909098</v>
      </c>
      <c r="U3626">
        <v>626</v>
      </c>
      <c r="V3626">
        <v>0</v>
      </c>
      <c r="W3626">
        <v>1428</v>
      </c>
      <c r="X3626">
        <v>585</v>
      </c>
      <c r="Y3626">
        <v>51.7</v>
      </c>
      <c r="Z3626">
        <v>45.7</v>
      </c>
      <c r="AA3626">
        <v>57.6</v>
      </c>
    </row>
    <row r="3627" spans="1:27" x14ac:dyDescent="0.25">
      <c r="A3627" t="s">
        <v>261</v>
      </c>
      <c r="B3627" t="s">
        <v>198</v>
      </c>
      <c r="C3627" s="76">
        <v>43927</v>
      </c>
      <c r="D3627">
        <v>3514</v>
      </c>
      <c r="E3627">
        <v>0</v>
      </c>
      <c r="F3627">
        <v>7182</v>
      </c>
      <c r="G3627">
        <v>3753</v>
      </c>
      <c r="H3627">
        <v>48.4</v>
      </c>
      <c r="I3627">
        <v>38.9</v>
      </c>
      <c r="J3627">
        <v>57.8</v>
      </c>
      <c r="K3627">
        <v>502</v>
      </c>
      <c r="L3627">
        <v>0</v>
      </c>
      <c r="M3627">
        <v>1026</v>
      </c>
      <c r="N3627">
        <v>6.9</v>
      </c>
      <c r="O3627">
        <v>3.8</v>
      </c>
      <c r="P3627">
        <v>10</v>
      </c>
      <c r="Q3627">
        <f t="shared" si="112"/>
        <v>4289439</v>
      </c>
      <c r="R3627">
        <f t="shared" si="111"/>
        <v>11.703162115139065</v>
      </c>
      <c r="U3627">
        <v>661</v>
      </c>
      <c r="V3627">
        <v>0</v>
      </c>
      <c r="W3627">
        <v>1511</v>
      </c>
      <c r="X3627">
        <v>550</v>
      </c>
      <c r="Y3627">
        <v>54.6</v>
      </c>
      <c r="Z3627">
        <v>50.1</v>
      </c>
      <c r="AA3627">
        <v>59.1</v>
      </c>
    </row>
    <row r="3628" spans="1:27" x14ac:dyDescent="0.25">
      <c r="A3628" t="s">
        <v>261</v>
      </c>
      <c r="B3628" t="s">
        <v>198</v>
      </c>
      <c r="C3628" s="76">
        <v>43928</v>
      </c>
      <c r="D3628">
        <v>3701</v>
      </c>
      <c r="E3628">
        <v>0</v>
      </c>
      <c r="F3628">
        <v>7576</v>
      </c>
      <c r="G3628">
        <v>3586</v>
      </c>
      <c r="H3628">
        <v>50.8</v>
      </c>
      <c r="I3628">
        <v>41.4</v>
      </c>
      <c r="J3628">
        <v>60.2</v>
      </c>
      <c r="K3628">
        <v>470</v>
      </c>
      <c r="L3628">
        <v>0</v>
      </c>
      <c r="M3628">
        <v>970</v>
      </c>
      <c r="N3628">
        <v>6.4</v>
      </c>
      <c r="O3628">
        <v>3</v>
      </c>
      <c r="P3628">
        <v>9.8000000000000007</v>
      </c>
      <c r="Q3628">
        <f t="shared" si="112"/>
        <v>4289439</v>
      </c>
      <c r="R3628">
        <f t="shared" si="111"/>
        <v>10.957143812978806</v>
      </c>
      <c r="U3628">
        <v>667</v>
      </c>
      <c r="V3628">
        <v>0</v>
      </c>
      <c r="W3628">
        <v>1497</v>
      </c>
      <c r="X3628">
        <v>548</v>
      </c>
      <c r="Y3628">
        <v>54.9</v>
      </c>
      <c r="Z3628">
        <v>48.5</v>
      </c>
      <c r="AA3628">
        <v>61.3</v>
      </c>
    </row>
    <row r="3629" spans="1:27" x14ac:dyDescent="0.25">
      <c r="A3629" t="s">
        <v>261</v>
      </c>
      <c r="B3629" t="s">
        <v>198</v>
      </c>
      <c r="C3629" s="76">
        <v>43929</v>
      </c>
      <c r="D3629">
        <v>3787</v>
      </c>
      <c r="E3629">
        <v>0</v>
      </c>
      <c r="F3629">
        <v>7722</v>
      </c>
      <c r="G3629">
        <v>3504</v>
      </c>
      <c r="H3629">
        <v>51.9</v>
      </c>
      <c r="I3629">
        <v>41.8</v>
      </c>
      <c r="J3629">
        <v>62.1</v>
      </c>
      <c r="K3629">
        <v>427</v>
      </c>
      <c r="L3629">
        <v>0</v>
      </c>
      <c r="M3629">
        <v>872</v>
      </c>
      <c r="N3629">
        <v>5.9</v>
      </c>
      <c r="O3629">
        <v>2.6</v>
      </c>
      <c r="P3629">
        <v>9.1</v>
      </c>
      <c r="Q3629">
        <f t="shared" si="112"/>
        <v>4289439</v>
      </c>
      <c r="R3629">
        <f t="shared" si="111"/>
        <v>9.9546817194509583</v>
      </c>
      <c r="U3629">
        <v>695</v>
      </c>
      <c r="V3629">
        <v>0</v>
      </c>
      <c r="W3629">
        <v>1541</v>
      </c>
      <c r="X3629">
        <v>514</v>
      </c>
      <c r="Y3629">
        <v>57.5</v>
      </c>
      <c r="Z3629">
        <v>49.9</v>
      </c>
      <c r="AA3629">
        <v>65.099999999999994</v>
      </c>
    </row>
    <row r="3630" spans="1:27" x14ac:dyDescent="0.25">
      <c r="A3630" t="s">
        <v>261</v>
      </c>
      <c r="B3630" t="s">
        <v>198</v>
      </c>
      <c r="C3630" s="76">
        <v>43930</v>
      </c>
      <c r="D3630">
        <v>3609</v>
      </c>
      <c r="E3630">
        <v>0</v>
      </c>
      <c r="F3630">
        <v>7265</v>
      </c>
      <c r="G3630">
        <v>3280</v>
      </c>
      <c r="H3630">
        <v>52.4</v>
      </c>
      <c r="I3630">
        <v>41.6</v>
      </c>
      <c r="J3630">
        <v>63.2</v>
      </c>
      <c r="K3630">
        <v>299</v>
      </c>
      <c r="L3630">
        <v>0</v>
      </c>
      <c r="M3630">
        <v>600</v>
      </c>
      <c r="N3630">
        <v>4.3</v>
      </c>
      <c r="O3630">
        <v>3.1</v>
      </c>
      <c r="P3630">
        <v>5.6</v>
      </c>
      <c r="Q3630">
        <f t="shared" si="112"/>
        <v>4289439</v>
      </c>
      <c r="R3630">
        <f t="shared" si="111"/>
        <v>6.9706085108099209</v>
      </c>
      <c r="U3630">
        <v>649</v>
      </c>
      <c r="V3630">
        <v>0</v>
      </c>
      <c r="W3630">
        <v>1438</v>
      </c>
      <c r="X3630">
        <v>464</v>
      </c>
      <c r="Y3630">
        <v>58.3</v>
      </c>
      <c r="Z3630">
        <v>52.5</v>
      </c>
      <c r="AA3630">
        <v>64.2</v>
      </c>
    </row>
    <row r="3631" spans="1:27" x14ac:dyDescent="0.25">
      <c r="A3631" t="s">
        <v>261</v>
      </c>
      <c r="B3631" t="s">
        <v>198</v>
      </c>
      <c r="C3631" s="76">
        <v>43931</v>
      </c>
      <c r="D3631">
        <v>3562</v>
      </c>
      <c r="E3631">
        <v>676</v>
      </c>
      <c r="F3631">
        <v>6447</v>
      </c>
      <c r="G3631">
        <v>3208</v>
      </c>
      <c r="H3631">
        <v>52.6</v>
      </c>
      <c r="I3631">
        <v>42.8</v>
      </c>
      <c r="J3631">
        <v>62.4</v>
      </c>
      <c r="K3631">
        <v>278</v>
      </c>
      <c r="L3631">
        <v>48</v>
      </c>
      <c r="M3631">
        <v>507</v>
      </c>
      <c r="N3631">
        <v>4.0999999999999996</v>
      </c>
      <c r="O3631">
        <v>2.8</v>
      </c>
      <c r="P3631">
        <v>5.4</v>
      </c>
      <c r="Q3631">
        <f t="shared" si="112"/>
        <v>4289439</v>
      </c>
      <c r="R3631">
        <f t="shared" si="111"/>
        <v>6.4810340000172522</v>
      </c>
      <c r="U3631">
        <v>568</v>
      </c>
      <c r="V3631">
        <v>0</v>
      </c>
      <c r="W3631">
        <v>1177</v>
      </c>
      <c r="X3631">
        <v>415</v>
      </c>
      <c r="Y3631">
        <v>57.8</v>
      </c>
      <c r="Z3631">
        <v>48.9</v>
      </c>
      <c r="AA3631">
        <v>66.7</v>
      </c>
    </row>
    <row r="3632" spans="1:27" x14ac:dyDescent="0.25">
      <c r="A3632" t="s">
        <v>261</v>
      </c>
      <c r="B3632" t="s">
        <v>198</v>
      </c>
      <c r="C3632" s="76">
        <v>43932</v>
      </c>
      <c r="D3632">
        <v>3371</v>
      </c>
      <c r="E3632">
        <v>595</v>
      </c>
      <c r="F3632">
        <v>6148</v>
      </c>
      <c r="G3632">
        <v>3379</v>
      </c>
      <c r="H3632">
        <v>49.9</v>
      </c>
      <c r="I3632">
        <v>39.799999999999997</v>
      </c>
      <c r="J3632">
        <v>60.1</v>
      </c>
      <c r="K3632">
        <v>308</v>
      </c>
      <c r="L3632">
        <v>66</v>
      </c>
      <c r="M3632">
        <v>550</v>
      </c>
      <c r="N3632">
        <v>4.5999999999999996</v>
      </c>
      <c r="O3632">
        <v>2.2999999999999998</v>
      </c>
      <c r="P3632">
        <v>6.8</v>
      </c>
      <c r="Q3632">
        <f t="shared" si="112"/>
        <v>4289439</v>
      </c>
      <c r="R3632">
        <f t="shared" si="111"/>
        <v>7.1804261582924953</v>
      </c>
      <c r="U3632">
        <v>586</v>
      </c>
      <c r="V3632">
        <v>0</v>
      </c>
      <c r="W3632">
        <v>1225</v>
      </c>
      <c r="X3632">
        <v>393</v>
      </c>
      <c r="Y3632">
        <v>59.9</v>
      </c>
      <c r="Z3632">
        <v>50.2</v>
      </c>
      <c r="AA3632">
        <v>69.5</v>
      </c>
    </row>
    <row r="3633" spans="1:27" x14ac:dyDescent="0.25">
      <c r="A3633" t="s">
        <v>261</v>
      </c>
      <c r="B3633" t="s">
        <v>198</v>
      </c>
      <c r="C3633" s="76">
        <v>43933</v>
      </c>
      <c r="D3633">
        <v>3336</v>
      </c>
      <c r="E3633">
        <v>619</v>
      </c>
      <c r="F3633">
        <v>6052</v>
      </c>
      <c r="G3633">
        <v>3484</v>
      </c>
      <c r="H3633">
        <v>48.9</v>
      </c>
      <c r="I3633">
        <v>39.200000000000003</v>
      </c>
      <c r="J3633">
        <v>58.6</v>
      </c>
      <c r="K3633">
        <v>308</v>
      </c>
      <c r="L3633">
        <v>59</v>
      </c>
      <c r="M3633">
        <v>557</v>
      </c>
      <c r="N3633">
        <v>4.5</v>
      </c>
      <c r="O3633">
        <v>1.7</v>
      </c>
      <c r="P3633">
        <v>7.3</v>
      </c>
      <c r="Q3633">
        <f t="shared" si="112"/>
        <v>4289439</v>
      </c>
      <c r="R3633">
        <f t="shared" si="111"/>
        <v>7.1804261582924953</v>
      </c>
      <c r="U3633">
        <v>563</v>
      </c>
      <c r="V3633">
        <v>0</v>
      </c>
      <c r="W3633">
        <v>1161</v>
      </c>
      <c r="X3633">
        <v>417</v>
      </c>
      <c r="Y3633">
        <v>57.3</v>
      </c>
      <c r="Z3633">
        <v>47.1</v>
      </c>
      <c r="AA3633">
        <v>67.5</v>
      </c>
    </row>
    <row r="3634" spans="1:27" x14ac:dyDescent="0.25">
      <c r="A3634" t="s">
        <v>261</v>
      </c>
      <c r="B3634" t="s">
        <v>198</v>
      </c>
      <c r="C3634" s="76">
        <v>43934</v>
      </c>
      <c r="D3634">
        <v>3643</v>
      </c>
      <c r="E3634">
        <v>554</v>
      </c>
      <c r="F3634">
        <v>6733</v>
      </c>
      <c r="G3634">
        <v>3899</v>
      </c>
      <c r="H3634">
        <v>48.3</v>
      </c>
      <c r="I3634">
        <v>39.1</v>
      </c>
      <c r="J3634">
        <v>57.5</v>
      </c>
      <c r="K3634">
        <v>264</v>
      </c>
      <c r="L3634">
        <v>67</v>
      </c>
      <c r="M3634">
        <v>460</v>
      </c>
      <c r="N3634">
        <v>3.5</v>
      </c>
      <c r="O3634">
        <v>2.4</v>
      </c>
      <c r="P3634">
        <v>4.5999999999999996</v>
      </c>
      <c r="Q3634">
        <f t="shared" si="112"/>
        <v>4289439</v>
      </c>
      <c r="R3634">
        <f t="shared" si="111"/>
        <v>6.1546509928221376</v>
      </c>
      <c r="U3634">
        <v>655</v>
      </c>
      <c r="V3634">
        <v>0</v>
      </c>
      <c r="W3634">
        <v>1415</v>
      </c>
      <c r="X3634">
        <v>586</v>
      </c>
      <c r="Y3634">
        <v>52.8</v>
      </c>
      <c r="Z3634">
        <v>43.3</v>
      </c>
      <c r="AA3634">
        <v>62.2</v>
      </c>
    </row>
    <row r="3635" spans="1:27" x14ac:dyDescent="0.25">
      <c r="A3635" t="s">
        <v>261</v>
      </c>
      <c r="B3635" t="s">
        <v>198</v>
      </c>
      <c r="C3635" s="76">
        <v>43935</v>
      </c>
      <c r="D3635">
        <v>3617</v>
      </c>
      <c r="E3635">
        <v>809</v>
      </c>
      <c r="F3635">
        <v>6425</v>
      </c>
      <c r="G3635">
        <v>3210</v>
      </c>
      <c r="H3635">
        <v>53</v>
      </c>
      <c r="I3635">
        <v>42.8</v>
      </c>
      <c r="J3635">
        <v>63.1</v>
      </c>
      <c r="K3635">
        <v>246</v>
      </c>
      <c r="L3635">
        <v>76</v>
      </c>
      <c r="M3635">
        <v>416</v>
      </c>
      <c r="N3635">
        <v>3.6</v>
      </c>
      <c r="O3635">
        <v>2.9</v>
      </c>
      <c r="P3635">
        <v>4.3</v>
      </c>
      <c r="Q3635">
        <f t="shared" si="112"/>
        <v>4289439</v>
      </c>
      <c r="R3635">
        <f t="shared" si="111"/>
        <v>5.7350156978569924</v>
      </c>
      <c r="U3635">
        <v>586</v>
      </c>
      <c r="V3635">
        <v>0</v>
      </c>
      <c r="W3635">
        <v>1216</v>
      </c>
      <c r="X3635">
        <v>477</v>
      </c>
      <c r="Y3635">
        <v>55.1</v>
      </c>
      <c r="Z3635">
        <v>43.2</v>
      </c>
      <c r="AA3635">
        <v>67</v>
      </c>
    </row>
    <row r="3636" spans="1:27" x14ac:dyDescent="0.25">
      <c r="A3636" t="s">
        <v>261</v>
      </c>
      <c r="B3636" t="s">
        <v>198</v>
      </c>
      <c r="C3636" s="76">
        <v>43936</v>
      </c>
      <c r="D3636">
        <v>3193</v>
      </c>
      <c r="E3636">
        <v>1190</v>
      </c>
      <c r="F3636">
        <v>5197</v>
      </c>
      <c r="G3636">
        <v>4496</v>
      </c>
      <c r="H3636">
        <v>41.5</v>
      </c>
      <c r="I3636">
        <v>30.9</v>
      </c>
      <c r="J3636">
        <v>52.2</v>
      </c>
      <c r="K3636">
        <v>259</v>
      </c>
      <c r="L3636">
        <v>82</v>
      </c>
      <c r="M3636">
        <v>436</v>
      </c>
      <c r="N3636">
        <v>3.4</v>
      </c>
      <c r="O3636">
        <v>2.4</v>
      </c>
      <c r="P3636">
        <v>4.3</v>
      </c>
      <c r="Q3636">
        <f t="shared" si="112"/>
        <v>4289439</v>
      </c>
      <c r="R3636">
        <f t="shared" si="111"/>
        <v>6.0380856331095982</v>
      </c>
      <c r="U3636">
        <v>464</v>
      </c>
      <c r="V3636">
        <v>70</v>
      </c>
      <c r="W3636">
        <v>858</v>
      </c>
      <c r="X3636">
        <v>716</v>
      </c>
      <c r="Y3636">
        <v>39.299999999999997</v>
      </c>
      <c r="Z3636">
        <v>19.8</v>
      </c>
      <c r="AA3636">
        <v>58.8</v>
      </c>
    </row>
    <row r="3637" spans="1:27" x14ac:dyDescent="0.25">
      <c r="A3637" t="s">
        <v>261</v>
      </c>
      <c r="B3637" t="s">
        <v>198</v>
      </c>
      <c r="C3637" s="76">
        <v>43937</v>
      </c>
      <c r="D3637">
        <v>3137</v>
      </c>
      <c r="E3637">
        <v>1173</v>
      </c>
      <c r="F3637">
        <v>5100</v>
      </c>
      <c r="G3637">
        <v>4534</v>
      </c>
      <c r="H3637">
        <v>40.9</v>
      </c>
      <c r="I3637">
        <v>31.3</v>
      </c>
      <c r="J3637">
        <v>50.5</v>
      </c>
      <c r="K3637">
        <v>279</v>
      </c>
      <c r="L3637">
        <v>99</v>
      </c>
      <c r="M3637">
        <v>459</v>
      </c>
      <c r="N3637">
        <v>3.6</v>
      </c>
      <c r="O3637">
        <v>2.6</v>
      </c>
      <c r="P3637">
        <v>4.7</v>
      </c>
      <c r="Q3637">
        <f t="shared" si="112"/>
        <v>4289439</v>
      </c>
      <c r="R3637">
        <f t="shared" si="111"/>
        <v>6.50434707195976</v>
      </c>
      <c r="U3637">
        <v>477</v>
      </c>
      <c r="V3637">
        <v>82</v>
      </c>
      <c r="W3637">
        <v>873</v>
      </c>
      <c r="X3637">
        <v>714</v>
      </c>
      <c r="Y3637">
        <v>40.1</v>
      </c>
      <c r="Z3637">
        <v>21.4</v>
      </c>
      <c r="AA3637">
        <v>58.7</v>
      </c>
    </row>
    <row r="3638" spans="1:27" x14ac:dyDescent="0.25">
      <c r="A3638" t="s">
        <v>261</v>
      </c>
      <c r="B3638" t="s">
        <v>198</v>
      </c>
      <c r="C3638" s="76">
        <v>43938</v>
      </c>
      <c r="D3638">
        <v>3136</v>
      </c>
      <c r="E3638">
        <v>1195</v>
      </c>
      <c r="F3638">
        <v>5077</v>
      </c>
      <c r="G3638">
        <v>4471</v>
      </c>
      <c r="H3638">
        <v>41.2</v>
      </c>
      <c r="I3638">
        <v>31.1</v>
      </c>
      <c r="J3638">
        <v>51.3</v>
      </c>
      <c r="K3638">
        <v>268</v>
      </c>
      <c r="L3638">
        <v>93</v>
      </c>
      <c r="M3638">
        <v>442</v>
      </c>
      <c r="N3638">
        <v>3.5</v>
      </c>
      <c r="O3638">
        <v>2.5</v>
      </c>
      <c r="P3638">
        <v>4.5</v>
      </c>
      <c r="Q3638">
        <f t="shared" si="112"/>
        <v>4289439</v>
      </c>
      <c r="R3638">
        <f t="shared" si="111"/>
        <v>6.2479032805921708</v>
      </c>
      <c r="U3638">
        <v>480</v>
      </c>
      <c r="V3638">
        <v>58</v>
      </c>
      <c r="W3638">
        <v>902</v>
      </c>
      <c r="X3638">
        <v>723</v>
      </c>
      <c r="Y3638">
        <v>39.9</v>
      </c>
      <c r="Z3638">
        <v>18.600000000000001</v>
      </c>
      <c r="AA3638">
        <v>61.2</v>
      </c>
    </row>
    <row r="3639" spans="1:27" x14ac:dyDescent="0.25">
      <c r="A3639" t="s">
        <v>261</v>
      </c>
      <c r="B3639" t="s">
        <v>198</v>
      </c>
      <c r="C3639" s="76">
        <v>43939</v>
      </c>
      <c r="D3639">
        <v>3160</v>
      </c>
      <c r="E3639">
        <v>1178</v>
      </c>
      <c r="F3639">
        <v>5141</v>
      </c>
      <c r="G3639">
        <v>4478</v>
      </c>
      <c r="H3639">
        <v>41.4</v>
      </c>
      <c r="I3639">
        <v>30.5</v>
      </c>
      <c r="J3639">
        <v>52.3</v>
      </c>
      <c r="K3639">
        <v>325</v>
      </c>
      <c r="L3639">
        <v>128</v>
      </c>
      <c r="M3639">
        <v>521</v>
      </c>
      <c r="N3639">
        <v>4.2</v>
      </c>
      <c r="O3639">
        <v>3</v>
      </c>
      <c r="P3639">
        <v>5.5</v>
      </c>
      <c r="Q3639">
        <f t="shared" si="112"/>
        <v>4289439</v>
      </c>
      <c r="R3639">
        <f t="shared" si="111"/>
        <v>7.5767483813151317</v>
      </c>
      <c r="U3639">
        <v>465</v>
      </c>
      <c r="V3639">
        <v>54</v>
      </c>
      <c r="W3639">
        <v>876</v>
      </c>
      <c r="X3639">
        <v>727</v>
      </c>
      <c r="Y3639">
        <v>39</v>
      </c>
      <c r="Z3639">
        <v>17.8</v>
      </c>
      <c r="AA3639">
        <v>60.3</v>
      </c>
    </row>
    <row r="3640" spans="1:27" x14ac:dyDescent="0.25">
      <c r="A3640" t="s">
        <v>261</v>
      </c>
      <c r="B3640" t="s">
        <v>198</v>
      </c>
      <c r="C3640" s="76">
        <v>43940</v>
      </c>
      <c r="D3640">
        <v>2801</v>
      </c>
      <c r="E3640">
        <v>1093</v>
      </c>
      <c r="F3640">
        <v>4508</v>
      </c>
      <c r="G3640">
        <v>4330</v>
      </c>
      <c r="H3640">
        <v>39.299999999999997</v>
      </c>
      <c r="I3640">
        <v>29.3</v>
      </c>
      <c r="J3640">
        <v>49.3</v>
      </c>
      <c r="K3640">
        <v>292</v>
      </c>
      <c r="L3640">
        <v>109</v>
      </c>
      <c r="M3640">
        <v>474</v>
      </c>
      <c r="N3640">
        <v>4.0999999999999996</v>
      </c>
      <c r="O3640">
        <v>2.6</v>
      </c>
      <c r="P3640">
        <v>5.5</v>
      </c>
      <c r="Q3640">
        <f t="shared" si="112"/>
        <v>4289439</v>
      </c>
      <c r="R3640">
        <f t="shared" si="111"/>
        <v>6.807417007212365</v>
      </c>
      <c r="U3640">
        <v>433</v>
      </c>
      <c r="V3640">
        <v>51</v>
      </c>
      <c r="W3640">
        <v>816</v>
      </c>
      <c r="X3640">
        <v>676</v>
      </c>
      <c r="Y3640">
        <v>39.1</v>
      </c>
      <c r="Z3640">
        <v>16.600000000000001</v>
      </c>
      <c r="AA3640">
        <v>61.5</v>
      </c>
    </row>
    <row r="3641" spans="1:27" x14ac:dyDescent="0.25">
      <c r="A3641" t="s">
        <v>261</v>
      </c>
      <c r="B3641" t="s">
        <v>198</v>
      </c>
      <c r="C3641" s="76">
        <v>43941</v>
      </c>
      <c r="D3641">
        <v>3033</v>
      </c>
      <c r="E3641">
        <v>1117</v>
      </c>
      <c r="F3641">
        <v>4950</v>
      </c>
      <c r="G3641">
        <v>4612</v>
      </c>
      <c r="H3641">
        <v>39.700000000000003</v>
      </c>
      <c r="I3641">
        <v>29.4</v>
      </c>
      <c r="J3641">
        <v>49.9</v>
      </c>
      <c r="K3641">
        <v>310</v>
      </c>
      <c r="L3641">
        <v>122</v>
      </c>
      <c r="M3641">
        <v>499</v>
      </c>
      <c r="N3641">
        <v>4.0999999999999996</v>
      </c>
      <c r="O3641">
        <v>2.6</v>
      </c>
      <c r="P3641">
        <v>5.5</v>
      </c>
      <c r="Q3641">
        <f t="shared" si="112"/>
        <v>4289439</v>
      </c>
      <c r="R3641">
        <f t="shared" si="111"/>
        <v>7.227052302177511</v>
      </c>
      <c r="U3641">
        <v>460</v>
      </c>
      <c r="V3641">
        <v>71</v>
      </c>
      <c r="W3641">
        <v>849</v>
      </c>
      <c r="X3641">
        <v>705</v>
      </c>
      <c r="Y3641">
        <v>39.5</v>
      </c>
      <c r="Z3641">
        <v>18.899999999999999</v>
      </c>
      <c r="AA3641">
        <v>60</v>
      </c>
    </row>
    <row r="3642" spans="1:27" x14ac:dyDescent="0.25">
      <c r="A3642" t="s">
        <v>261</v>
      </c>
      <c r="B3642" t="s">
        <v>198</v>
      </c>
      <c r="C3642" s="76">
        <v>43942</v>
      </c>
      <c r="D3642">
        <v>2944</v>
      </c>
      <c r="E3642">
        <v>1175</v>
      </c>
      <c r="F3642">
        <v>4713</v>
      </c>
      <c r="G3642">
        <v>4353</v>
      </c>
      <c r="H3642">
        <v>40.299999999999997</v>
      </c>
      <c r="I3642">
        <v>29.6</v>
      </c>
      <c r="J3642">
        <v>51.1</v>
      </c>
      <c r="K3642">
        <v>298</v>
      </c>
      <c r="L3642">
        <v>121</v>
      </c>
      <c r="M3642">
        <v>474</v>
      </c>
      <c r="N3642">
        <v>4.0999999999999996</v>
      </c>
      <c r="O3642">
        <v>2.5</v>
      </c>
      <c r="P3642">
        <v>5.6</v>
      </c>
      <c r="Q3642">
        <f t="shared" si="112"/>
        <v>4289439</v>
      </c>
      <c r="R3642">
        <f t="shared" si="111"/>
        <v>6.9472954388674131</v>
      </c>
      <c r="U3642">
        <v>446</v>
      </c>
      <c r="V3642">
        <v>72</v>
      </c>
      <c r="W3642">
        <v>819</v>
      </c>
      <c r="X3642">
        <v>647</v>
      </c>
      <c r="Y3642">
        <v>40.799999999999997</v>
      </c>
      <c r="Z3642">
        <v>17.8</v>
      </c>
      <c r="AA3642">
        <v>63.8</v>
      </c>
    </row>
    <row r="3643" spans="1:27" x14ac:dyDescent="0.25">
      <c r="A3643" t="s">
        <v>261</v>
      </c>
      <c r="B3643" t="s">
        <v>198</v>
      </c>
      <c r="C3643" s="76">
        <v>43943</v>
      </c>
      <c r="D3643">
        <v>2784</v>
      </c>
      <c r="E3643">
        <v>1058</v>
      </c>
      <c r="F3643">
        <v>4509</v>
      </c>
      <c r="G3643">
        <v>4354</v>
      </c>
      <c r="H3643">
        <v>39</v>
      </c>
      <c r="I3643">
        <v>28.4</v>
      </c>
      <c r="J3643">
        <v>49.6</v>
      </c>
      <c r="K3643">
        <v>237</v>
      </c>
      <c r="L3643">
        <v>76</v>
      </c>
      <c r="M3643">
        <v>398</v>
      </c>
      <c r="N3643">
        <v>3.3</v>
      </c>
      <c r="O3643">
        <v>2.2000000000000002</v>
      </c>
      <c r="P3643">
        <v>4.5</v>
      </c>
      <c r="Q3643">
        <f t="shared" si="112"/>
        <v>4289439</v>
      </c>
      <c r="R3643">
        <f t="shared" si="111"/>
        <v>5.5251980503744189</v>
      </c>
      <c r="U3643">
        <v>405</v>
      </c>
      <c r="V3643">
        <v>58</v>
      </c>
      <c r="W3643">
        <v>753</v>
      </c>
      <c r="X3643">
        <v>634</v>
      </c>
      <c r="Y3643">
        <v>39</v>
      </c>
      <c r="Z3643">
        <v>18.5</v>
      </c>
      <c r="AA3643">
        <v>59.6</v>
      </c>
    </row>
    <row r="3644" spans="1:27" x14ac:dyDescent="0.25">
      <c r="A3644" t="s">
        <v>261</v>
      </c>
      <c r="B3644" t="s">
        <v>198</v>
      </c>
      <c r="C3644" s="76">
        <v>43944</v>
      </c>
      <c r="D3644">
        <v>2868</v>
      </c>
      <c r="E3644">
        <v>1070</v>
      </c>
      <c r="F3644">
        <v>4666</v>
      </c>
      <c r="G3644">
        <v>4287</v>
      </c>
      <c r="H3644">
        <v>40.1</v>
      </c>
      <c r="I3644">
        <v>28.9</v>
      </c>
      <c r="J3644">
        <v>51.2</v>
      </c>
      <c r="K3644">
        <v>245</v>
      </c>
      <c r="L3644">
        <v>90</v>
      </c>
      <c r="M3644">
        <v>399</v>
      </c>
      <c r="N3644">
        <v>3.4</v>
      </c>
      <c r="O3644">
        <v>2.2999999999999998</v>
      </c>
      <c r="P3644">
        <v>4.5999999999999996</v>
      </c>
      <c r="Q3644">
        <f t="shared" si="112"/>
        <v>4289439</v>
      </c>
      <c r="R3644">
        <f t="shared" si="111"/>
        <v>5.7117026259144845</v>
      </c>
      <c r="U3644">
        <v>416</v>
      </c>
      <c r="V3644">
        <v>41</v>
      </c>
      <c r="W3644">
        <v>791</v>
      </c>
      <c r="X3644">
        <v>634</v>
      </c>
      <c r="Y3644">
        <v>39.6</v>
      </c>
      <c r="Z3644">
        <v>17.5</v>
      </c>
      <c r="AA3644">
        <v>61.7</v>
      </c>
    </row>
    <row r="3645" spans="1:27" x14ac:dyDescent="0.25">
      <c r="A3645" t="s">
        <v>261</v>
      </c>
      <c r="B3645" t="s">
        <v>198</v>
      </c>
      <c r="C3645" s="76">
        <v>43945</v>
      </c>
      <c r="D3645">
        <v>2993</v>
      </c>
      <c r="E3645">
        <v>1156</v>
      </c>
      <c r="F3645">
        <v>4831</v>
      </c>
      <c r="G3645">
        <v>4135</v>
      </c>
      <c r="H3645">
        <v>42</v>
      </c>
      <c r="I3645">
        <v>31.7</v>
      </c>
      <c r="J3645">
        <v>52.3</v>
      </c>
      <c r="K3645">
        <v>246</v>
      </c>
      <c r="L3645">
        <v>86</v>
      </c>
      <c r="M3645">
        <v>407</v>
      </c>
      <c r="N3645">
        <v>3.5</v>
      </c>
      <c r="O3645">
        <v>2.5</v>
      </c>
      <c r="P3645">
        <v>4.4000000000000004</v>
      </c>
      <c r="Q3645">
        <f t="shared" si="112"/>
        <v>4289439</v>
      </c>
      <c r="R3645">
        <f t="shared" si="111"/>
        <v>5.7350156978569924</v>
      </c>
      <c r="U3645">
        <v>434</v>
      </c>
      <c r="V3645">
        <v>77</v>
      </c>
      <c r="W3645">
        <v>790</v>
      </c>
      <c r="X3645">
        <v>607</v>
      </c>
      <c r="Y3645">
        <v>41.7</v>
      </c>
      <c r="Z3645">
        <v>26.4</v>
      </c>
      <c r="AA3645">
        <v>56.9</v>
      </c>
    </row>
    <row r="3646" spans="1:27" x14ac:dyDescent="0.25">
      <c r="A3646" t="s">
        <v>261</v>
      </c>
      <c r="B3646" t="s">
        <v>198</v>
      </c>
      <c r="C3646" s="76">
        <v>43946</v>
      </c>
      <c r="D3646">
        <v>2920</v>
      </c>
      <c r="E3646">
        <v>1131</v>
      </c>
      <c r="F3646">
        <v>4710</v>
      </c>
      <c r="G3646">
        <v>4142</v>
      </c>
      <c r="H3646">
        <v>41.3</v>
      </c>
      <c r="I3646">
        <v>30.7</v>
      </c>
      <c r="J3646">
        <v>52</v>
      </c>
      <c r="K3646">
        <v>256</v>
      </c>
      <c r="L3646">
        <v>91</v>
      </c>
      <c r="M3646">
        <v>420</v>
      </c>
      <c r="N3646">
        <v>3.6</v>
      </c>
      <c r="O3646">
        <v>2.5</v>
      </c>
      <c r="P3646">
        <v>4.8</v>
      </c>
      <c r="Q3646">
        <f t="shared" si="112"/>
        <v>4289439</v>
      </c>
      <c r="R3646">
        <f t="shared" si="111"/>
        <v>5.9681464172820737</v>
      </c>
      <c r="U3646">
        <v>431</v>
      </c>
      <c r="V3646">
        <v>56</v>
      </c>
      <c r="W3646">
        <v>807</v>
      </c>
      <c r="X3646">
        <v>610</v>
      </c>
      <c r="Y3646">
        <v>41.4</v>
      </c>
      <c r="Z3646">
        <v>22.1</v>
      </c>
      <c r="AA3646">
        <v>60.7</v>
      </c>
    </row>
    <row r="3647" spans="1:27" x14ac:dyDescent="0.25">
      <c r="A3647" t="s">
        <v>261</v>
      </c>
      <c r="B3647" t="s">
        <v>198</v>
      </c>
      <c r="C3647" s="76">
        <v>43947</v>
      </c>
      <c r="D3647">
        <v>3439</v>
      </c>
      <c r="E3647">
        <v>1219</v>
      </c>
      <c r="F3647">
        <v>5659</v>
      </c>
      <c r="G3647">
        <v>3730</v>
      </c>
      <c r="H3647">
        <v>48</v>
      </c>
      <c r="I3647">
        <v>36.6</v>
      </c>
      <c r="J3647">
        <v>59.3</v>
      </c>
      <c r="K3647">
        <v>464</v>
      </c>
      <c r="L3647">
        <v>76</v>
      </c>
      <c r="M3647">
        <v>852</v>
      </c>
      <c r="N3647">
        <v>6.5</v>
      </c>
      <c r="O3647">
        <v>2.7</v>
      </c>
      <c r="P3647">
        <v>10.199999999999999</v>
      </c>
      <c r="Q3647">
        <f t="shared" si="112"/>
        <v>4289439</v>
      </c>
      <c r="R3647">
        <f t="shared" si="111"/>
        <v>10.817265381323757</v>
      </c>
      <c r="U3647">
        <v>451</v>
      </c>
      <c r="V3647">
        <v>74</v>
      </c>
      <c r="W3647">
        <v>827</v>
      </c>
      <c r="X3647">
        <v>595</v>
      </c>
      <c r="Y3647">
        <v>43.1</v>
      </c>
      <c r="Z3647">
        <v>22.5</v>
      </c>
      <c r="AA3647">
        <v>63.7</v>
      </c>
    </row>
    <row r="3648" spans="1:27" x14ac:dyDescent="0.25">
      <c r="A3648" t="s">
        <v>261</v>
      </c>
      <c r="B3648" t="s">
        <v>198</v>
      </c>
      <c r="C3648" s="76">
        <v>43948</v>
      </c>
      <c r="D3648">
        <v>3758</v>
      </c>
      <c r="E3648">
        <v>1416</v>
      </c>
      <c r="F3648">
        <v>6100</v>
      </c>
      <c r="G3648">
        <v>3386</v>
      </c>
      <c r="H3648">
        <v>52.6</v>
      </c>
      <c r="I3648">
        <v>43.2</v>
      </c>
      <c r="J3648">
        <v>62</v>
      </c>
      <c r="K3648">
        <v>482</v>
      </c>
      <c r="L3648">
        <v>83</v>
      </c>
      <c r="M3648">
        <v>882</v>
      </c>
      <c r="N3648">
        <v>6.8</v>
      </c>
      <c r="O3648">
        <v>3</v>
      </c>
      <c r="P3648">
        <v>10.5</v>
      </c>
      <c r="Q3648">
        <f t="shared" si="112"/>
        <v>4289439</v>
      </c>
      <c r="R3648">
        <f t="shared" si="111"/>
        <v>11.236900676288904</v>
      </c>
      <c r="U3648">
        <v>533</v>
      </c>
      <c r="V3648">
        <v>119</v>
      </c>
      <c r="W3648">
        <v>947</v>
      </c>
      <c r="X3648">
        <v>548</v>
      </c>
      <c r="Y3648">
        <v>49.3</v>
      </c>
      <c r="Z3648">
        <v>29.3</v>
      </c>
      <c r="AA3648">
        <v>69.3</v>
      </c>
    </row>
    <row r="3649" spans="1:27" x14ac:dyDescent="0.25">
      <c r="A3649" t="s">
        <v>261</v>
      </c>
      <c r="B3649" t="s">
        <v>198</v>
      </c>
      <c r="C3649" s="76">
        <v>43949</v>
      </c>
      <c r="D3649">
        <v>4014</v>
      </c>
      <c r="E3649">
        <v>1596</v>
      </c>
      <c r="F3649">
        <v>6432</v>
      </c>
      <c r="G3649">
        <v>3305</v>
      </c>
      <c r="H3649">
        <v>54.8</v>
      </c>
      <c r="I3649">
        <v>45.2</v>
      </c>
      <c r="J3649">
        <v>64.5</v>
      </c>
      <c r="K3649">
        <v>433</v>
      </c>
      <c r="L3649">
        <v>89</v>
      </c>
      <c r="M3649">
        <v>777</v>
      </c>
      <c r="N3649">
        <v>5.9</v>
      </c>
      <c r="O3649">
        <v>2.8</v>
      </c>
      <c r="P3649">
        <v>9</v>
      </c>
      <c r="Q3649">
        <f t="shared" si="112"/>
        <v>4289439</v>
      </c>
      <c r="R3649">
        <f t="shared" si="111"/>
        <v>10.094560151106007</v>
      </c>
      <c r="U3649">
        <v>524</v>
      </c>
      <c r="V3649">
        <v>106</v>
      </c>
      <c r="W3649">
        <v>942</v>
      </c>
      <c r="X3649">
        <v>592</v>
      </c>
      <c r="Y3649">
        <v>47</v>
      </c>
      <c r="Z3649">
        <v>25.5</v>
      </c>
      <c r="AA3649">
        <v>68.400000000000006</v>
      </c>
    </row>
    <row r="3650" spans="1:27" x14ac:dyDescent="0.25">
      <c r="A3650" t="s">
        <v>261</v>
      </c>
      <c r="B3650" t="s">
        <v>198</v>
      </c>
      <c r="C3650" s="76">
        <v>43950</v>
      </c>
      <c r="D3650">
        <v>4010</v>
      </c>
      <c r="E3650">
        <v>1637</v>
      </c>
      <c r="F3650">
        <v>6383</v>
      </c>
      <c r="G3650">
        <v>3286</v>
      </c>
      <c r="H3650">
        <v>55</v>
      </c>
      <c r="I3650">
        <v>46.1</v>
      </c>
      <c r="J3650">
        <v>63.9</v>
      </c>
      <c r="K3650">
        <v>397</v>
      </c>
      <c r="L3650">
        <v>81</v>
      </c>
      <c r="M3650">
        <v>714</v>
      </c>
      <c r="N3650">
        <v>5.4</v>
      </c>
      <c r="O3650">
        <v>2.4</v>
      </c>
      <c r="P3650">
        <v>8.4</v>
      </c>
      <c r="Q3650">
        <f t="shared" si="112"/>
        <v>4289439</v>
      </c>
      <c r="R3650">
        <f t="shared" si="111"/>
        <v>9.2552895611757151</v>
      </c>
      <c r="U3650">
        <v>528</v>
      </c>
      <c r="V3650">
        <v>89</v>
      </c>
      <c r="W3650">
        <v>968</v>
      </c>
      <c r="X3650">
        <v>577</v>
      </c>
      <c r="Y3650">
        <v>47.8</v>
      </c>
      <c r="Z3650">
        <v>28.3</v>
      </c>
      <c r="AA3650">
        <v>67.400000000000006</v>
      </c>
    </row>
    <row r="3651" spans="1:27" x14ac:dyDescent="0.25">
      <c r="A3651" t="s">
        <v>261</v>
      </c>
      <c r="B3651" t="s">
        <v>198</v>
      </c>
      <c r="C3651" s="76">
        <v>43951</v>
      </c>
      <c r="D3651">
        <v>3179</v>
      </c>
      <c r="E3651">
        <v>1242</v>
      </c>
      <c r="F3651">
        <v>5116</v>
      </c>
      <c r="G3651">
        <v>4128</v>
      </c>
      <c r="H3651">
        <v>43.5</v>
      </c>
      <c r="I3651">
        <v>31.4</v>
      </c>
      <c r="J3651">
        <v>55.6</v>
      </c>
      <c r="K3651">
        <v>231</v>
      </c>
      <c r="L3651">
        <v>92</v>
      </c>
      <c r="M3651">
        <v>371</v>
      </c>
      <c r="N3651">
        <v>3.2</v>
      </c>
      <c r="O3651">
        <v>2</v>
      </c>
      <c r="P3651">
        <v>4.3</v>
      </c>
      <c r="Q3651">
        <f t="shared" si="112"/>
        <v>4289439</v>
      </c>
      <c r="R3651">
        <f t="shared" si="111"/>
        <v>5.3853196187193708</v>
      </c>
      <c r="U3651">
        <v>501</v>
      </c>
      <c r="V3651">
        <v>76</v>
      </c>
      <c r="W3651">
        <v>927</v>
      </c>
      <c r="X3651">
        <v>604</v>
      </c>
      <c r="Y3651">
        <v>45.4</v>
      </c>
      <c r="Z3651">
        <v>24</v>
      </c>
      <c r="AA3651">
        <v>66.8</v>
      </c>
    </row>
    <row r="3652" spans="1:27" x14ac:dyDescent="0.25">
      <c r="A3652" t="s">
        <v>261</v>
      </c>
      <c r="B3652" t="s">
        <v>198</v>
      </c>
      <c r="C3652" s="76">
        <v>43952</v>
      </c>
      <c r="D3652">
        <v>4083</v>
      </c>
      <c r="E3652">
        <v>1636</v>
      </c>
      <c r="F3652">
        <v>6530</v>
      </c>
      <c r="G3652">
        <v>3290</v>
      </c>
      <c r="H3652">
        <v>55.4</v>
      </c>
      <c r="I3652">
        <v>46.7</v>
      </c>
      <c r="J3652">
        <v>64.099999999999994</v>
      </c>
      <c r="K3652">
        <v>397</v>
      </c>
      <c r="L3652">
        <v>102</v>
      </c>
      <c r="M3652">
        <v>692</v>
      </c>
      <c r="N3652">
        <v>5.4</v>
      </c>
      <c r="O3652">
        <v>2.9</v>
      </c>
      <c r="P3652">
        <v>7.9</v>
      </c>
      <c r="Q3652">
        <f t="shared" si="112"/>
        <v>4289439</v>
      </c>
      <c r="R3652">
        <f t="shared" si="111"/>
        <v>9.2552895611757151</v>
      </c>
      <c r="U3652">
        <v>555</v>
      </c>
      <c r="V3652">
        <v>107</v>
      </c>
      <c r="W3652">
        <v>1003</v>
      </c>
      <c r="X3652">
        <v>554</v>
      </c>
      <c r="Y3652">
        <v>50</v>
      </c>
      <c r="Z3652">
        <v>30.6</v>
      </c>
      <c r="AA3652">
        <v>69.5</v>
      </c>
    </row>
    <row r="3653" spans="1:27" x14ac:dyDescent="0.25">
      <c r="A3653" t="s">
        <v>261</v>
      </c>
      <c r="B3653" t="s">
        <v>198</v>
      </c>
      <c r="C3653" s="76">
        <v>43953</v>
      </c>
      <c r="D3653">
        <v>3635</v>
      </c>
      <c r="E3653">
        <v>1444</v>
      </c>
      <c r="F3653">
        <v>5827</v>
      </c>
      <c r="G3653">
        <v>3655</v>
      </c>
      <c r="H3653">
        <v>49.9</v>
      </c>
      <c r="I3653">
        <v>40.5</v>
      </c>
      <c r="J3653">
        <v>59.2</v>
      </c>
      <c r="K3653">
        <v>338</v>
      </c>
      <c r="L3653">
        <v>58</v>
      </c>
      <c r="M3653">
        <v>617</v>
      </c>
      <c r="N3653">
        <v>4.5999999999999996</v>
      </c>
      <c r="O3653">
        <v>2</v>
      </c>
      <c r="P3653">
        <v>7.3</v>
      </c>
      <c r="Q3653">
        <f t="shared" si="112"/>
        <v>4289439</v>
      </c>
      <c r="R3653">
        <f t="shared" ref="R3653:R3716" si="113">K3653/(Q3653)*100000</f>
        <v>7.8798183165677385</v>
      </c>
      <c r="U3653">
        <v>498</v>
      </c>
      <c r="V3653">
        <v>72</v>
      </c>
      <c r="W3653">
        <v>924</v>
      </c>
      <c r="X3653">
        <v>604</v>
      </c>
      <c r="Y3653">
        <v>45.2</v>
      </c>
      <c r="Z3653">
        <v>24.9</v>
      </c>
      <c r="AA3653">
        <v>65.5</v>
      </c>
    </row>
    <row r="3654" spans="1:27" x14ac:dyDescent="0.25">
      <c r="A3654" t="s">
        <v>261</v>
      </c>
      <c r="B3654" t="s">
        <v>198</v>
      </c>
      <c r="C3654" s="76">
        <v>43954</v>
      </c>
      <c r="D3654">
        <v>3123</v>
      </c>
      <c r="E3654">
        <v>1197</v>
      </c>
      <c r="F3654">
        <v>5048</v>
      </c>
      <c r="G3654">
        <v>3706</v>
      </c>
      <c r="H3654">
        <v>45.7</v>
      </c>
      <c r="I3654">
        <v>29</v>
      </c>
      <c r="J3654">
        <v>62.4</v>
      </c>
      <c r="K3654">
        <v>210</v>
      </c>
      <c r="L3654">
        <v>71</v>
      </c>
      <c r="M3654">
        <v>349</v>
      </c>
      <c r="N3654">
        <v>3.1</v>
      </c>
      <c r="O3654">
        <v>1.8</v>
      </c>
      <c r="P3654">
        <v>4.3</v>
      </c>
      <c r="Q3654">
        <f t="shared" si="112"/>
        <v>4289439</v>
      </c>
      <c r="R3654">
        <f t="shared" si="113"/>
        <v>4.8957451079267011</v>
      </c>
      <c r="U3654">
        <v>488</v>
      </c>
      <c r="V3654">
        <v>82</v>
      </c>
      <c r="W3654">
        <v>895</v>
      </c>
      <c r="X3654">
        <v>450</v>
      </c>
      <c r="Y3654">
        <v>52.1</v>
      </c>
      <c r="Z3654">
        <v>16.399999999999999</v>
      </c>
      <c r="AA3654">
        <v>87.7</v>
      </c>
    </row>
    <row r="3655" spans="1:27" x14ac:dyDescent="0.25">
      <c r="A3655" t="s">
        <v>261</v>
      </c>
      <c r="B3655" t="s">
        <v>198</v>
      </c>
      <c r="C3655" s="76">
        <v>43955</v>
      </c>
      <c r="D3655">
        <v>3112</v>
      </c>
      <c r="E3655">
        <v>1196</v>
      </c>
      <c r="F3655">
        <v>5029</v>
      </c>
      <c r="G3655">
        <v>4156</v>
      </c>
      <c r="H3655">
        <v>42.8</v>
      </c>
      <c r="I3655">
        <v>30.9</v>
      </c>
      <c r="J3655">
        <v>54.8</v>
      </c>
      <c r="K3655">
        <v>198</v>
      </c>
      <c r="L3655">
        <v>82</v>
      </c>
      <c r="M3655">
        <v>313</v>
      </c>
      <c r="N3655">
        <v>2.7</v>
      </c>
      <c r="O3655">
        <v>2</v>
      </c>
      <c r="P3655">
        <v>3.5</v>
      </c>
      <c r="Q3655">
        <f t="shared" si="112"/>
        <v>4289439</v>
      </c>
      <c r="R3655">
        <f t="shared" si="113"/>
        <v>4.6159882446166032</v>
      </c>
      <c r="U3655">
        <v>457</v>
      </c>
      <c r="V3655">
        <v>87</v>
      </c>
      <c r="W3655">
        <v>826</v>
      </c>
      <c r="X3655">
        <v>648</v>
      </c>
      <c r="Y3655">
        <v>41.3</v>
      </c>
      <c r="Z3655">
        <v>21.5</v>
      </c>
      <c r="AA3655">
        <v>61.2</v>
      </c>
    </row>
    <row r="3656" spans="1:27" x14ac:dyDescent="0.25">
      <c r="A3656" t="s">
        <v>261</v>
      </c>
      <c r="B3656" t="s">
        <v>198</v>
      </c>
      <c r="C3656" s="76">
        <v>43956</v>
      </c>
      <c r="D3656">
        <v>3193</v>
      </c>
      <c r="E3656">
        <v>1255</v>
      </c>
      <c r="F3656">
        <v>5131</v>
      </c>
      <c r="G3656">
        <v>3796</v>
      </c>
      <c r="H3656">
        <v>45.7</v>
      </c>
      <c r="I3656">
        <v>33.200000000000003</v>
      </c>
      <c r="J3656">
        <v>58.2</v>
      </c>
      <c r="K3656">
        <v>216</v>
      </c>
      <c r="L3656">
        <v>85</v>
      </c>
      <c r="M3656">
        <v>347</v>
      </c>
      <c r="N3656">
        <v>3.1</v>
      </c>
      <c r="O3656">
        <v>2.2000000000000002</v>
      </c>
      <c r="P3656">
        <v>4</v>
      </c>
      <c r="Q3656">
        <f t="shared" si="112"/>
        <v>4289439</v>
      </c>
      <c r="R3656">
        <f t="shared" si="113"/>
        <v>5.0356235395817492</v>
      </c>
      <c r="U3656">
        <v>470</v>
      </c>
      <c r="V3656">
        <v>88</v>
      </c>
      <c r="W3656">
        <v>852</v>
      </c>
      <c r="X3656">
        <v>629</v>
      </c>
      <c r="Y3656">
        <v>42.8</v>
      </c>
      <c r="Z3656">
        <v>21.9</v>
      </c>
      <c r="AA3656">
        <v>63.7</v>
      </c>
    </row>
    <row r="3657" spans="1:27" x14ac:dyDescent="0.25">
      <c r="A3657" t="s">
        <v>261</v>
      </c>
      <c r="B3657" t="s">
        <v>198</v>
      </c>
      <c r="C3657" s="76">
        <v>43957</v>
      </c>
      <c r="D3657">
        <v>3405</v>
      </c>
      <c r="E3657">
        <v>1137</v>
      </c>
      <c r="F3657">
        <v>5674</v>
      </c>
      <c r="G3657">
        <v>3042</v>
      </c>
      <c r="H3657">
        <v>52.8</v>
      </c>
      <c r="I3657">
        <v>40.5</v>
      </c>
      <c r="J3657">
        <v>65.099999999999994</v>
      </c>
      <c r="K3657">
        <v>193</v>
      </c>
      <c r="L3657">
        <v>63</v>
      </c>
      <c r="M3657">
        <v>322</v>
      </c>
      <c r="N3657">
        <v>3</v>
      </c>
      <c r="O3657">
        <v>2</v>
      </c>
      <c r="P3657">
        <v>4</v>
      </c>
      <c r="Q3657">
        <f t="shared" si="112"/>
        <v>4289439</v>
      </c>
      <c r="R3657">
        <f t="shared" si="113"/>
        <v>4.4994228849040629</v>
      </c>
      <c r="U3657">
        <v>522</v>
      </c>
      <c r="V3657">
        <v>57</v>
      </c>
      <c r="W3657">
        <v>988</v>
      </c>
      <c r="X3657">
        <v>389</v>
      </c>
      <c r="Y3657">
        <v>57.3</v>
      </c>
      <c r="Z3657">
        <v>44.8</v>
      </c>
      <c r="AA3657">
        <v>69.8</v>
      </c>
    </row>
    <row r="3658" spans="1:27" x14ac:dyDescent="0.25">
      <c r="A3658" t="s">
        <v>261</v>
      </c>
      <c r="B3658" t="s">
        <v>198</v>
      </c>
      <c r="C3658" s="76">
        <v>43958</v>
      </c>
      <c r="D3658">
        <v>3769</v>
      </c>
      <c r="E3658">
        <v>1386</v>
      </c>
      <c r="F3658">
        <v>6153</v>
      </c>
      <c r="G3658">
        <v>3191</v>
      </c>
      <c r="H3658">
        <v>54.2</v>
      </c>
      <c r="I3658">
        <v>39.799999999999997</v>
      </c>
      <c r="J3658">
        <v>68.5</v>
      </c>
      <c r="K3658">
        <v>168</v>
      </c>
      <c r="L3658">
        <v>49</v>
      </c>
      <c r="M3658">
        <v>287</v>
      </c>
      <c r="N3658">
        <v>2.4</v>
      </c>
      <c r="O3658">
        <v>1.6</v>
      </c>
      <c r="P3658">
        <v>3.3</v>
      </c>
      <c r="Q3658">
        <f t="shared" si="112"/>
        <v>4289439</v>
      </c>
      <c r="R3658">
        <f t="shared" si="113"/>
        <v>3.9165960863413609</v>
      </c>
      <c r="U3658">
        <v>441</v>
      </c>
      <c r="V3658">
        <v>123</v>
      </c>
      <c r="W3658">
        <v>759</v>
      </c>
      <c r="X3658">
        <v>397</v>
      </c>
      <c r="Y3658">
        <v>52.6</v>
      </c>
      <c r="Z3658">
        <v>39.700000000000003</v>
      </c>
      <c r="AA3658">
        <v>65.599999999999994</v>
      </c>
    </row>
    <row r="3659" spans="1:27" x14ac:dyDescent="0.25">
      <c r="A3659" t="s">
        <v>261</v>
      </c>
      <c r="B3659" t="s">
        <v>198</v>
      </c>
      <c r="C3659" s="76">
        <v>43959</v>
      </c>
      <c r="D3659">
        <v>3456</v>
      </c>
      <c r="E3659">
        <v>1330</v>
      </c>
      <c r="F3659">
        <v>5582</v>
      </c>
      <c r="G3659">
        <v>3379</v>
      </c>
      <c r="H3659">
        <v>50.6</v>
      </c>
      <c r="I3659">
        <v>37</v>
      </c>
      <c r="J3659">
        <v>64.099999999999994</v>
      </c>
      <c r="K3659">
        <v>183</v>
      </c>
      <c r="L3659">
        <v>70</v>
      </c>
      <c r="M3659">
        <v>296</v>
      </c>
      <c r="N3659">
        <v>2.7</v>
      </c>
      <c r="O3659">
        <v>1.9</v>
      </c>
      <c r="P3659">
        <v>3.4</v>
      </c>
      <c r="Q3659">
        <f t="shared" si="112"/>
        <v>4289439</v>
      </c>
      <c r="R3659">
        <f t="shared" si="113"/>
        <v>4.2662921654789816</v>
      </c>
      <c r="U3659">
        <v>427</v>
      </c>
      <c r="V3659">
        <v>123</v>
      </c>
      <c r="W3659">
        <v>731</v>
      </c>
      <c r="X3659">
        <v>403</v>
      </c>
      <c r="Y3659">
        <v>51.5</v>
      </c>
      <c r="Z3659">
        <v>39.4</v>
      </c>
      <c r="AA3659">
        <v>63.5</v>
      </c>
    </row>
    <row r="3660" spans="1:27" x14ac:dyDescent="0.25">
      <c r="A3660" t="s">
        <v>261</v>
      </c>
      <c r="B3660" t="s">
        <v>198</v>
      </c>
      <c r="C3660" s="76">
        <v>43960</v>
      </c>
      <c r="D3660">
        <v>3531</v>
      </c>
      <c r="E3660">
        <v>1387</v>
      </c>
      <c r="F3660">
        <v>5675</v>
      </c>
      <c r="G3660">
        <v>3516</v>
      </c>
      <c r="H3660">
        <v>50.1</v>
      </c>
      <c r="I3660">
        <v>39.700000000000003</v>
      </c>
      <c r="J3660">
        <v>60.5</v>
      </c>
      <c r="K3660">
        <v>180</v>
      </c>
      <c r="L3660">
        <v>60</v>
      </c>
      <c r="M3660">
        <v>299</v>
      </c>
      <c r="N3660">
        <v>2.5</v>
      </c>
      <c r="O3660">
        <v>1.7</v>
      </c>
      <c r="P3660">
        <v>3.4</v>
      </c>
      <c r="Q3660">
        <f t="shared" si="112"/>
        <v>4289439</v>
      </c>
      <c r="R3660">
        <f t="shared" si="113"/>
        <v>4.196352949651458</v>
      </c>
      <c r="U3660">
        <v>452</v>
      </c>
      <c r="V3660">
        <v>136</v>
      </c>
      <c r="W3660">
        <v>769</v>
      </c>
      <c r="X3660">
        <v>304</v>
      </c>
      <c r="Y3660">
        <v>59.8</v>
      </c>
      <c r="Z3660">
        <v>49.8</v>
      </c>
      <c r="AA3660">
        <v>69.7</v>
      </c>
    </row>
    <row r="3661" spans="1:27" x14ac:dyDescent="0.25">
      <c r="A3661" t="s">
        <v>261</v>
      </c>
      <c r="B3661" t="s">
        <v>198</v>
      </c>
      <c r="C3661" s="76">
        <v>43961</v>
      </c>
      <c r="D3661">
        <v>3905</v>
      </c>
      <c r="E3661">
        <v>1441</v>
      </c>
      <c r="F3661">
        <v>6369</v>
      </c>
      <c r="G3661">
        <v>3598</v>
      </c>
      <c r="H3661">
        <v>52</v>
      </c>
      <c r="I3661">
        <v>44.5</v>
      </c>
      <c r="J3661">
        <v>59.6</v>
      </c>
      <c r="K3661">
        <v>211</v>
      </c>
      <c r="L3661">
        <v>84</v>
      </c>
      <c r="M3661">
        <v>338</v>
      </c>
      <c r="N3661">
        <v>2.8</v>
      </c>
      <c r="O3661">
        <v>1.9</v>
      </c>
      <c r="P3661">
        <v>3.7</v>
      </c>
      <c r="Q3661">
        <f t="shared" si="112"/>
        <v>4289439</v>
      </c>
      <c r="R3661">
        <f t="shared" si="113"/>
        <v>4.919058179869209</v>
      </c>
      <c r="U3661">
        <v>438</v>
      </c>
      <c r="V3661">
        <v>140</v>
      </c>
      <c r="W3661">
        <v>737</v>
      </c>
      <c r="X3661">
        <v>335</v>
      </c>
      <c r="Y3661">
        <v>56.7</v>
      </c>
      <c r="Z3661">
        <v>47.7</v>
      </c>
      <c r="AA3661">
        <v>65.7</v>
      </c>
    </row>
    <row r="3662" spans="1:27" x14ac:dyDescent="0.25">
      <c r="A3662" t="s">
        <v>261</v>
      </c>
      <c r="B3662" t="s">
        <v>198</v>
      </c>
      <c r="C3662" s="76">
        <v>43962</v>
      </c>
      <c r="D3662">
        <v>3862</v>
      </c>
      <c r="E3662">
        <v>1415</v>
      </c>
      <c r="F3662">
        <v>6309</v>
      </c>
      <c r="G3662">
        <v>2314</v>
      </c>
      <c r="H3662">
        <v>62.5</v>
      </c>
      <c r="I3662">
        <v>55.8</v>
      </c>
      <c r="J3662">
        <v>69.2</v>
      </c>
      <c r="K3662">
        <v>156</v>
      </c>
      <c r="L3662">
        <v>23</v>
      </c>
      <c r="M3662">
        <v>289</v>
      </c>
      <c r="N3662">
        <v>2.5</v>
      </c>
      <c r="O3662">
        <v>1</v>
      </c>
      <c r="P3662">
        <v>4.0999999999999996</v>
      </c>
      <c r="Q3662">
        <f t="shared" si="112"/>
        <v>4289439</v>
      </c>
      <c r="R3662">
        <f t="shared" si="113"/>
        <v>3.6368392230312638</v>
      </c>
      <c r="U3662">
        <v>444</v>
      </c>
      <c r="V3662">
        <v>137</v>
      </c>
      <c r="W3662">
        <v>750</v>
      </c>
      <c r="X3662">
        <v>243</v>
      </c>
      <c r="Y3662">
        <v>64.7</v>
      </c>
      <c r="Z3662">
        <v>56.7</v>
      </c>
      <c r="AA3662">
        <v>72.599999999999994</v>
      </c>
    </row>
    <row r="3663" spans="1:27" x14ac:dyDescent="0.25">
      <c r="A3663" t="s">
        <v>261</v>
      </c>
      <c r="B3663" t="s">
        <v>198</v>
      </c>
      <c r="C3663" s="76">
        <v>43963</v>
      </c>
      <c r="D3663">
        <v>4819</v>
      </c>
      <c r="E3663">
        <v>1883</v>
      </c>
      <c r="F3663">
        <v>7755</v>
      </c>
      <c r="G3663">
        <v>2192</v>
      </c>
      <c r="H3663">
        <v>68.7</v>
      </c>
      <c r="I3663">
        <v>59.1</v>
      </c>
      <c r="J3663">
        <v>78.400000000000006</v>
      </c>
      <c r="K3663">
        <v>162</v>
      </c>
      <c r="L3663">
        <v>69</v>
      </c>
      <c r="M3663">
        <v>254</v>
      </c>
      <c r="N3663">
        <v>2.2999999999999998</v>
      </c>
      <c r="O3663">
        <v>1.6</v>
      </c>
      <c r="P3663">
        <v>3</v>
      </c>
      <c r="Q3663">
        <f t="shared" si="112"/>
        <v>4289439</v>
      </c>
      <c r="R3663">
        <f t="shared" si="113"/>
        <v>3.7767176546863119</v>
      </c>
      <c r="U3663">
        <v>604</v>
      </c>
      <c r="V3663">
        <v>131</v>
      </c>
      <c r="W3663">
        <v>1077</v>
      </c>
      <c r="X3663">
        <v>268</v>
      </c>
      <c r="Y3663">
        <v>69.2</v>
      </c>
      <c r="Z3663">
        <v>63.4</v>
      </c>
      <c r="AA3663">
        <v>75.099999999999994</v>
      </c>
    </row>
    <row r="3664" spans="1:27" x14ac:dyDescent="0.25">
      <c r="A3664" t="s">
        <v>261</v>
      </c>
      <c r="B3664" t="s">
        <v>198</v>
      </c>
      <c r="C3664" s="76">
        <v>43964</v>
      </c>
      <c r="D3664">
        <v>4473</v>
      </c>
      <c r="E3664">
        <v>1824</v>
      </c>
      <c r="F3664">
        <v>7122</v>
      </c>
      <c r="G3664">
        <v>2099</v>
      </c>
      <c r="H3664">
        <v>68.099999999999994</v>
      </c>
      <c r="I3664">
        <v>56.7</v>
      </c>
      <c r="J3664">
        <v>79.400000000000006</v>
      </c>
      <c r="K3664">
        <v>160</v>
      </c>
      <c r="L3664">
        <v>67</v>
      </c>
      <c r="M3664">
        <v>254</v>
      </c>
      <c r="N3664">
        <v>2.4</v>
      </c>
      <c r="O3664">
        <v>1.7</v>
      </c>
      <c r="P3664">
        <v>3.2</v>
      </c>
      <c r="Q3664">
        <f t="shared" si="112"/>
        <v>4289439</v>
      </c>
      <c r="R3664">
        <f t="shared" si="113"/>
        <v>3.7300915108012958</v>
      </c>
      <c r="U3664">
        <v>487</v>
      </c>
      <c r="V3664">
        <v>182</v>
      </c>
      <c r="W3664">
        <v>792</v>
      </c>
      <c r="X3664">
        <v>210</v>
      </c>
      <c r="Y3664">
        <v>69.900000000000006</v>
      </c>
      <c r="Z3664">
        <v>60.1</v>
      </c>
      <c r="AA3664">
        <v>79.7</v>
      </c>
    </row>
    <row r="3665" spans="1:27" x14ac:dyDescent="0.25">
      <c r="A3665" t="s">
        <v>261</v>
      </c>
      <c r="B3665" t="s">
        <v>198</v>
      </c>
      <c r="C3665" s="76">
        <v>43965</v>
      </c>
      <c r="D3665">
        <v>4619</v>
      </c>
      <c r="E3665">
        <v>1781</v>
      </c>
      <c r="F3665">
        <v>7457</v>
      </c>
      <c r="G3665">
        <v>2240</v>
      </c>
      <c r="H3665">
        <v>67.3</v>
      </c>
      <c r="I3665">
        <v>57.3</v>
      </c>
      <c r="J3665">
        <v>77.400000000000006</v>
      </c>
      <c r="K3665">
        <v>152</v>
      </c>
      <c r="L3665">
        <v>48</v>
      </c>
      <c r="M3665">
        <v>255</v>
      </c>
      <c r="N3665">
        <v>2.2000000000000002</v>
      </c>
      <c r="O3665">
        <v>1.4</v>
      </c>
      <c r="P3665">
        <v>3</v>
      </c>
      <c r="Q3665">
        <f t="shared" si="112"/>
        <v>4289439</v>
      </c>
      <c r="R3665">
        <f t="shared" si="113"/>
        <v>3.5435869352612315</v>
      </c>
      <c r="U3665">
        <v>484</v>
      </c>
      <c r="V3665">
        <v>176</v>
      </c>
      <c r="W3665">
        <v>792</v>
      </c>
      <c r="X3665">
        <v>274</v>
      </c>
      <c r="Y3665">
        <v>63.9</v>
      </c>
      <c r="Z3665">
        <v>54.4</v>
      </c>
      <c r="AA3665">
        <v>73.3</v>
      </c>
    </row>
    <row r="3666" spans="1:27" x14ac:dyDescent="0.25">
      <c r="A3666" t="s">
        <v>261</v>
      </c>
      <c r="B3666" t="s">
        <v>198</v>
      </c>
      <c r="C3666" s="76">
        <v>43966</v>
      </c>
      <c r="D3666">
        <v>4320</v>
      </c>
      <c r="E3666">
        <v>1682</v>
      </c>
      <c r="F3666">
        <v>6959</v>
      </c>
      <c r="G3666">
        <v>2372</v>
      </c>
      <c r="H3666">
        <v>64.599999999999994</v>
      </c>
      <c r="I3666">
        <v>54.3</v>
      </c>
      <c r="J3666">
        <v>74.8</v>
      </c>
      <c r="K3666">
        <v>123</v>
      </c>
      <c r="L3666">
        <v>37</v>
      </c>
      <c r="M3666">
        <v>209</v>
      </c>
      <c r="N3666">
        <v>1.8</v>
      </c>
      <c r="O3666">
        <v>1.1000000000000001</v>
      </c>
      <c r="P3666">
        <v>2.6</v>
      </c>
      <c r="Q3666">
        <f t="shared" si="112"/>
        <v>4289439</v>
      </c>
      <c r="R3666">
        <f t="shared" si="113"/>
        <v>2.8675078489284962</v>
      </c>
      <c r="U3666">
        <v>473</v>
      </c>
      <c r="V3666">
        <v>154</v>
      </c>
      <c r="W3666">
        <v>792</v>
      </c>
      <c r="X3666">
        <v>261</v>
      </c>
      <c r="Y3666">
        <v>64.5</v>
      </c>
      <c r="Z3666">
        <v>56.6</v>
      </c>
      <c r="AA3666">
        <v>72.3</v>
      </c>
    </row>
    <row r="3667" spans="1:27" x14ac:dyDescent="0.25">
      <c r="A3667" t="s">
        <v>261</v>
      </c>
      <c r="B3667" t="s">
        <v>198</v>
      </c>
      <c r="C3667" s="76">
        <v>43967</v>
      </c>
      <c r="D3667">
        <v>4299</v>
      </c>
      <c r="E3667">
        <v>1712</v>
      </c>
      <c r="F3667">
        <v>6885</v>
      </c>
      <c r="G3667">
        <v>2298</v>
      </c>
      <c r="H3667">
        <v>65.2</v>
      </c>
      <c r="I3667">
        <v>55.6</v>
      </c>
      <c r="J3667">
        <v>74.7</v>
      </c>
      <c r="K3667">
        <v>135</v>
      </c>
      <c r="L3667">
        <v>56</v>
      </c>
      <c r="M3667">
        <v>215</v>
      </c>
      <c r="N3667">
        <v>2.1</v>
      </c>
      <c r="O3667">
        <v>1.4</v>
      </c>
      <c r="P3667">
        <v>2.7</v>
      </c>
      <c r="Q3667">
        <f t="shared" si="112"/>
        <v>4289439</v>
      </c>
      <c r="R3667">
        <f t="shared" si="113"/>
        <v>3.1472647122385937</v>
      </c>
      <c r="U3667">
        <v>508</v>
      </c>
      <c r="V3667">
        <v>171</v>
      </c>
      <c r="W3667">
        <v>844</v>
      </c>
      <c r="X3667">
        <v>226</v>
      </c>
      <c r="Y3667">
        <v>69.2</v>
      </c>
      <c r="Z3667">
        <v>60.2</v>
      </c>
      <c r="AA3667">
        <v>78.099999999999994</v>
      </c>
    </row>
    <row r="3668" spans="1:27" x14ac:dyDescent="0.25">
      <c r="A3668" t="s">
        <v>261</v>
      </c>
      <c r="B3668" t="s">
        <v>198</v>
      </c>
      <c r="C3668" s="76">
        <v>43968</v>
      </c>
      <c r="D3668">
        <v>4239</v>
      </c>
      <c r="E3668">
        <v>1652</v>
      </c>
      <c r="F3668">
        <v>6826</v>
      </c>
      <c r="G3668">
        <v>2349</v>
      </c>
      <c r="H3668">
        <v>64.3</v>
      </c>
      <c r="I3668">
        <v>54.8</v>
      </c>
      <c r="J3668">
        <v>73.900000000000006</v>
      </c>
      <c r="K3668">
        <v>133</v>
      </c>
      <c r="L3668">
        <v>46</v>
      </c>
      <c r="M3668">
        <v>221</v>
      </c>
      <c r="N3668">
        <v>2</v>
      </c>
      <c r="O3668">
        <v>1.4</v>
      </c>
      <c r="P3668">
        <v>2.6</v>
      </c>
      <c r="Q3668">
        <f t="shared" si="112"/>
        <v>4289439</v>
      </c>
      <c r="R3668">
        <f t="shared" si="113"/>
        <v>3.1006385683535775</v>
      </c>
      <c r="U3668">
        <v>483</v>
      </c>
      <c r="V3668">
        <v>166</v>
      </c>
      <c r="W3668">
        <v>801</v>
      </c>
      <c r="X3668">
        <v>256</v>
      </c>
      <c r="Y3668">
        <v>65.400000000000006</v>
      </c>
      <c r="Z3668">
        <v>56.4</v>
      </c>
      <c r="AA3668">
        <v>74.400000000000006</v>
      </c>
    </row>
    <row r="3669" spans="1:27" x14ac:dyDescent="0.25">
      <c r="A3669" t="s">
        <v>261</v>
      </c>
      <c r="B3669" t="s">
        <v>198</v>
      </c>
      <c r="C3669" s="76">
        <v>43969</v>
      </c>
      <c r="D3669">
        <v>4090</v>
      </c>
      <c r="E3669">
        <v>1258</v>
      </c>
      <c r="F3669">
        <v>6923</v>
      </c>
      <c r="G3669">
        <v>2595</v>
      </c>
      <c r="H3669">
        <v>61.2</v>
      </c>
      <c r="I3669">
        <v>49.7</v>
      </c>
      <c r="J3669">
        <v>72.7</v>
      </c>
      <c r="K3669">
        <v>97</v>
      </c>
      <c r="L3669">
        <v>33</v>
      </c>
      <c r="M3669">
        <v>161</v>
      </c>
      <c r="N3669">
        <v>1.5</v>
      </c>
      <c r="O3669">
        <v>0.8</v>
      </c>
      <c r="P3669">
        <v>2.1</v>
      </c>
      <c r="Q3669">
        <f t="shared" si="112"/>
        <v>4289439</v>
      </c>
      <c r="R3669">
        <f t="shared" si="113"/>
        <v>2.2613679784232859</v>
      </c>
      <c r="U3669">
        <v>472</v>
      </c>
      <c r="V3669">
        <v>122</v>
      </c>
      <c r="W3669">
        <v>821</v>
      </c>
      <c r="X3669">
        <v>295</v>
      </c>
      <c r="Y3669">
        <v>61.6</v>
      </c>
      <c r="Z3669">
        <v>50.3</v>
      </c>
      <c r="AA3669">
        <v>72.8</v>
      </c>
    </row>
    <row r="3670" spans="1:27" x14ac:dyDescent="0.25">
      <c r="A3670" t="s">
        <v>261</v>
      </c>
      <c r="B3670" t="s">
        <v>198</v>
      </c>
      <c r="C3670" s="76">
        <v>43970</v>
      </c>
      <c r="D3670">
        <v>4302</v>
      </c>
      <c r="E3670">
        <v>886</v>
      </c>
      <c r="F3670">
        <v>7718</v>
      </c>
      <c r="G3670">
        <v>3057</v>
      </c>
      <c r="H3670">
        <v>58.5</v>
      </c>
      <c r="I3670">
        <v>47.8</v>
      </c>
      <c r="J3670">
        <v>69.099999999999994</v>
      </c>
      <c r="K3670">
        <v>140</v>
      </c>
      <c r="L3670">
        <v>46</v>
      </c>
      <c r="M3670">
        <v>235</v>
      </c>
      <c r="N3670">
        <v>1.9</v>
      </c>
      <c r="O3670">
        <v>1.4</v>
      </c>
      <c r="P3670">
        <v>2.5</v>
      </c>
      <c r="Q3670">
        <f t="shared" si="112"/>
        <v>4289439</v>
      </c>
      <c r="R3670">
        <f t="shared" si="113"/>
        <v>3.2638300719511339</v>
      </c>
      <c r="U3670">
        <v>516</v>
      </c>
      <c r="V3670">
        <v>39</v>
      </c>
      <c r="W3670">
        <v>992</v>
      </c>
      <c r="X3670">
        <v>343</v>
      </c>
      <c r="Y3670">
        <v>60.1</v>
      </c>
      <c r="Z3670">
        <v>47.2</v>
      </c>
      <c r="AA3670">
        <v>72.900000000000006</v>
      </c>
    </row>
    <row r="3671" spans="1:27" x14ac:dyDescent="0.25">
      <c r="A3671" t="s">
        <v>261</v>
      </c>
      <c r="B3671" t="s">
        <v>198</v>
      </c>
      <c r="C3671" s="76">
        <v>43971</v>
      </c>
      <c r="D3671">
        <v>4544</v>
      </c>
      <c r="E3671">
        <v>685</v>
      </c>
      <c r="F3671">
        <v>8404</v>
      </c>
      <c r="G3671">
        <v>2661</v>
      </c>
      <c r="H3671">
        <v>63.1</v>
      </c>
      <c r="I3671">
        <v>48.3</v>
      </c>
      <c r="J3671">
        <v>77.8</v>
      </c>
      <c r="K3671">
        <v>131</v>
      </c>
      <c r="L3671">
        <v>36</v>
      </c>
      <c r="M3671">
        <v>225</v>
      </c>
      <c r="N3671">
        <v>1.8</v>
      </c>
      <c r="O3671">
        <v>1.3</v>
      </c>
      <c r="P3671">
        <v>2.4</v>
      </c>
      <c r="Q3671">
        <f t="shared" si="112"/>
        <v>4289439</v>
      </c>
      <c r="R3671">
        <f t="shared" si="113"/>
        <v>3.0540124244685609</v>
      </c>
      <c r="U3671">
        <v>533</v>
      </c>
      <c r="V3671">
        <v>64</v>
      </c>
      <c r="W3671">
        <v>1001</v>
      </c>
      <c r="X3671">
        <v>336</v>
      </c>
      <c r="Y3671">
        <v>61.3</v>
      </c>
      <c r="Z3671">
        <v>51.1</v>
      </c>
      <c r="AA3671">
        <v>71.400000000000006</v>
      </c>
    </row>
    <row r="3672" spans="1:27" x14ac:dyDescent="0.25">
      <c r="A3672" t="s">
        <v>261</v>
      </c>
      <c r="B3672" t="s">
        <v>198</v>
      </c>
      <c r="C3672" s="76">
        <v>43972</v>
      </c>
      <c r="D3672">
        <v>4477</v>
      </c>
      <c r="E3672">
        <v>891</v>
      </c>
      <c r="F3672">
        <v>8064</v>
      </c>
      <c r="G3672">
        <v>2763</v>
      </c>
      <c r="H3672">
        <v>61.8</v>
      </c>
      <c r="I3672">
        <v>51.7</v>
      </c>
      <c r="J3672">
        <v>71.900000000000006</v>
      </c>
      <c r="K3672">
        <v>107</v>
      </c>
      <c r="L3672">
        <v>31</v>
      </c>
      <c r="M3672">
        <v>184</v>
      </c>
      <c r="N3672">
        <v>1.5</v>
      </c>
      <c r="O3672">
        <v>0.9</v>
      </c>
      <c r="P3672">
        <v>2.1</v>
      </c>
      <c r="Q3672">
        <f t="shared" si="112"/>
        <v>4289439</v>
      </c>
      <c r="R3672">
        <f t="shared" si="113"/>
        <v>2.4944986978483668</v>
      </c>
      <c r="U3672">
        <v>560</v>
      </c>
      <c r="V3672">
        <v>32</v>
      </c>
      <c r="W3672">
        <v>1088</v>
      </c>
      <c r="X3672">
        <v>312</v>
      </c>
      <c r="Y3672">
        <v>64.2</v>
      </c>
      <c r="Z3672">
        <v>53.5</v>
      </c>
      <c r="AA3672">
        <v>74.900000000000006</v>
      </c>
    </row>
    <row r="3673" spans="1:27" x14ac:dyDescent="0.25">
      <c r="A3673" t="s">
        <v>261</v>
      </c>
      <c r="B3673" t="s">
        <v>198</v>
      </c>
      <c r="C3673" s="76">
        <v>43973</v>
      </c>
      <c r="D3673">
        <v>4465</v>
      </c>
      <c r="E3673">
        <v>786</v>
      </c>
      <c r="F3673">
        <v>8144</v>
      </c>
      <c r="G3673">
        <v>2686</v>
      </c>
      <c r="H3673">
        <v>62.4</v>
      </c>
      <c r="I3673">
        <v>50.8</v>
      </c>
      <c r="J3673">
        <v>74.099999999999994</v>
      </c>
      <c r="K3673">
        <v>104</v>
      </c>
      <c r="L3673">
        <v>22</v>
      </c>
      <c r="M3673">
        <v>187</v>
      </c>
      <c r="N3673">
        <v>1.5</v>
      </c>
      <c r="O3673">
        <v>0.9</v>
      </c>
      <c r="P3673">
        <v>2.1</v>
      </c>
      <c r="Q3673">
        <f t="shared" si="112"/>
        <v>4289439</v>
      </c>
      <c r="R3673">
        <f t="shared" si="113"/>
        <v>2.4245594820208423</v>
      </c>
      <c r="U3673">
        <v>572</v>
      </c>
      <c r="V3673">
        <v>27</v>
      </c>
      <c r="W3673">
        <v>1117</v>
      </c>
      <c r="X3673">
        <v>295</v>
      </c>
      <c r="Y3673">
        <v>66</v>
      </c>
      <c r="Z3673">
        <v>55.2</v>
      </c>
      <c r="AA3673">
        <v>76.8</v>
      </c>
    </row>
    <row r="3674" spans="1:27" x14ac:dyDescent="0.25">
      <c r="A3674" t="s">
        <v>261</v>
      </c>
      <c r="B3674" t="s">
        <v>198</v>
      </c>
      <c r="C3674" s="76">
        <v>43974</v>
      </c>
      <c r="D3674">
        <v>4305</v>
      </c>
      <c r="E3674">
        <v>819</v>
      </c>
      <c r="F3674">
        <v>7790</v>
      </c>
      <c r="G3674">
        <v>2822</v>
      </c>
      <c r="H3674">
        <v>60.4</v>
      </c>
      <c r="I3674">
        <v>50</v>
      </c>
      <c r="J3674">
        <v>70.8</v>
      </c>
      <c r="K3674">
        <v>56</v>
      </c>
      <c r="L3674">
        <v>21</v>
      </c>
      <c r="M3674">
        <v>91</v>
      </c>
      <c r="N3674">
        <v>0.8</v>
      </c>
      <c r="O3674">
        <v>0.5</v>
      </c>
      <c r="P3674">
        <v>1.1000000000000001</v>
      </c>
      <c r="Q3674">
        <f t="shared" si="112"/>
        <v>4289439</v>
      </c>
      <c r="R3674">
        <f t="shared" si="113"/>
        <v>1.3055320287804537</v>
      </c>
      <c r="U3674">
        <v>578</v>
      </c>
      <c r="V3674">
        <v>11</v>
      </c>
      <c r="W3674">
        <v>1144</v>
      </c>
      <c r="X3674">
        <v>289</v>
      </c>
      <c r="Y3674">
        <v>66.7</v>
      </c>
      <c r="Z3674">
        <v>54.2</v>
      </c>
      <c r="AA3674">
        <v>79.099999999999994</v>
      </c>
    </row>
    <row r="3675" spans="1:27" x14ac:dyDescent="0.25">
      <c r="A3675" t="s">
        <v>261</v>
      </c>
      <c r="B3675" t="s">
        <v>198</v>
      </c>
      <c r="C3675" s="76">
        <v>43975</v>
      </c>
      <c r="D3675">
        <v>4116</v>
      </c>
      <c r="E3675">
        <v>771</v>
      </c>
      <c r="F3675">
        <v>7461</v>
      </c>
      <c r="G3675">
        <v>3020</v>
      </c>
      <c r="H3675">
        <v>57.7</v>
      </c>
      <c r="I3675">
        <v>46.7</v>
      </c>
      <c r="J3675">
        <v>68.7</v>
      </c>
      <c r="K3675">
        <v>104</v>
      </c>
      <c r="L3675">
        <v>26</v>
      </c>
      <c r="M3675">
        <v>181</v>
      </c>
      <c r="N3675">
        <v>1.5</v>
      </c>
      <c r="O3675">
        <v>1</v>
      </c>
      <c r="P3675">
        <v>1.9</v>
      </c>
      <c r="Q3675">
        <f t="shared" si="112"/>
        <v>4289439</v>
      </c>
      <c r="R3675">
        <f t="shared" si="113"/>
        <v>2.4245594820208423</v>
      </c>
      <c r="U3675">
        <v>562</v>
      </c>
      <c r="V3675">
        <v>29</v>
      </c>
      <c r="W3675">
        <v>1095</v>
      </c>
      <c r="X3675">
        <v>309</v>
      </c>
      <c r="Y3675">
        <v>64.5</v>
      </c>
      <c r="Z3675">
        <v>53.4</v>
      </c>
      <c r="AA3675">
        <v>75.7</v>
      </c>
    </row>
    <row r="3676" spans="1:27" x14ac:dyDescent="0.25">
      <c r="A3676" t="s">
        <v>261</v>
      </c>
      <c r="B3676" t="s">
        <v>198</v>
      </c>
      <c r="C3676" s="76">
        <v>43976</v>
      </c>
      <c r="D3676">
        <v>3932</v>
      </c>
      <c r="E3676">
        <v>724</v>
      </c>
      <c r="F3676">
        <v>7140</v>
      </c>
      <c r="G3676">
        <v>3016</v>
      </c>
      <c r="H3676">
        <v>56.6</v>
      </c>
      <c r="I3676">
        <v>46</v>
      </c>
      <c r="J3676">
        <v>67.2</v>
      </c>
      <c r="K3676">
        <v>70</v>
      </c>
      <c r="L3676">
        <v>19</v>
      </c>
      <c r="M3676">
        <v>122</v>
      </c>
      <c r="N3676">
        <v>1</v>
      </c>
      <c r="O3676">
        <v>0.6</v>
      </c>
      <c r="P3676">
        <v>1.4</v>
      </c>
      <c r="Q3676">
        <f t="shared" si="112"/>
        <v>4289439</v>
      </c>
      <c r="R3676">
        <f t="shared" si="113"/>
        <v>1.631915035975567</v>
      </c>
      <c r="U3676">
        <v>508</v>
      </c>
      <c r="V3676">
        <v>27</v>
      </c>
      <c r="W3676">
        <v>989</v>
      </c>
      <c r="X3676">
        <v>324</v>
      </c>
      <c r="Y3676">
        <v>61</v>
      </c>
      <c r="Z3676">
        <v>50.5</v>
      </c>
      <c r="AA3676">
        <v>71.5</v>
      </c>
    </row>
    <row r="3677" spans="1:27" x14ac:dyDescent="0.25">
      <c r="A3677" t="s">
        <v>261</v>
      </c>
      <c r="B3677" t="s">
        <v>198</v>
      </c>
      <c r="C3677" s="76">
        <v>43977</v>
      </c>
      <c r="D3677">
        <v>3921</v>
      </c>
      <c r="E3677">
        <v>763</v>
      </c>
      <c r="F3677">
        <v>7080</v>
      </c>
      <c r="G3677">
        <v>2995</v>
      </c>
      <c r="H3677">
        <v>56.7</v>
      </c>
      <c r="I3677">
        <v>48.4</v>
      </c>
      <c r="J3677">
        <v>65</v>
      </c>
      <c r="K3677">
        <v>83</v>
      </c>
      <c r="L3677">
        <v>13</v>
      </c>
      <c r="M3677">
        <v>154</v>
      </c>
      <c r="N3677">
        <v>1.2</v>
      </c>
      <c r="O3677">
        <v>0.6</v>
      </c>
      <c r="P3677">
        <v>1.8</v>
      </c>
      <c r="Q3677">
        <f t="shared" si="112"/>
        <v>4289439</v>
      </c>
      <c r="R3677">
        <f t="shared" si="113"/>
        <v>1.9349849712281721</v>
      </c>
      <c r="U3677">
        <v>513</v>
      </c>
      <c r="V3677">
        <v>35</v>
      </c>
      <c r="W3677">
        <v>992</v>
      </c>
      <c r="X3677">
        <v>334</v>
      </c>
      <c r="Y3677">
        <v>60.5</v>
      </c>
      <c r="Z3677">
        <v>49.8</v>
      </c>
      <c r="AA3677">
        <v>71.3</v>
      </c>
    </row>
    <row r="3678" spans="1:27" x14ac:dyDescent="0.25">
      <c r="A3678" t="s">
        <v>261</v>
      </c>
      <c r="B3678" t="s">
        <v>198</v>
      </c>
      <c r="C3678" s="76">
        <v>43978</v>
      </c>
      <c r="D3678">
        <v>4168</v>
      </c>
      <c r="E3678">
        <v>730</v>
      </c>
      <c r="F3678">
        <v>7606</v>
      </c>
      <c r="G3678">
        <v>2739</v>
      </c>
      <c r="H3678">
        <v>60.3</v>
      </c>
      <c r="I3678">
        <v>50.6</v>
      </c>
      <c r="J3678">
        <v>70</v>
      </c>
      <c r="K3678">
        <v>85</v>
      </c>
      <c r="L3678">
        <v>26</v>
      </c>
      <c r="M3678">
        <v>144</v>
      </c>
      <c r="N3678">
        <v>1.2</v>
      </c>
      <c r="O3678">
        <v>0.7</v>
      </c>
      <c r="P3678">
        <v>1.8</v>
      </c>
      <c r="Q3678">
        <f t="shared" si="112"/>
        <v>4289439</v>
      </c>
      <c r="R3678">
        <f t="shared" si="113"/>
        <v>1.9816111151131885</v>
      </c>
      <c r="U3678">
        <v>493</v>
      </c>
      <c r="V3678">
        <v>11</v>
      </c>
      <c r="W3678">
        <v>975</v>
      </c>
      <c r="X3678">
        <v>350</v>
      </c>
      <c r="Y3678">
        <v>58.5</v>
      </c>
      <c r="Z3678">
        <v>47.9</v>
      </c>
      <c r="AA3678">
        <v>69.099999999999994</v>
      </c>
    </row>
    <row r="3679" spans="1:27" x14ac:dyDescent="0.25">
      <c r="A3679" t="s">
        <v>261</v>
      </c>
      <c r="B3679" t="s">
        <v>198</v>
      </c>
      <c r="C3679" s="76">
        <v>43979</v>
      </c>
      <c r="D3679">
        <v>4762</v>
      </c>
      <c r="E3679">
        <v>0</v>
      </c>
      <c r="F3679">
        <v>10526</v>
      </c>
      <c r="G3679">
        <v>2606</v>
      </c>
      <c r="H3679">
        <v>64.599999999999994</v>
      </c>
      <c r="I3679">
        <v>51.6</v>
      </c>
      <c r="J3679">
        <v>77.599999999999994</v>
      </c>
      <c r="K3679">
        <v>114</v>
      </c>
      <c r="L3679">
        <v>5</v>
      </c>
      <c r="M3679">
        <v>223</v>
      </c>
      <c r="N3679">
        <v>1.5</v>
      </c>
      <c r="O3679">
        <v>1</v>
      </c>
      <c r="P3679">
        <v>2.1</v>
      </c>
      <c r="Q3679">
        <f t="shared" si="112"/>
        <v>4289439</v>
      </c>
      <c r="R3679">
        <f t="shared" si="113"/>
        <v>2.6576902014459232</v>
      </c>
      <c r="U3679">
        <v>665</v>
      </c>
      <c r="V3679">
        <v>0</v>
      </c>
      <c r="W3679">
        <v>1630</v>
      </c>
      <c r="X3679">
        <v>439</v>
      </c>
      <c r="Y3679">
        <v>60.3</v>
      </c>
      <c r="Z3679">
        <v>44.5</v>
      </c>
      <c r="AA3679">
        <v>76</v>
      </c>
    </row>
    <row r="3680" spans="1:27" x14ac:dyDescent="0.25">
      <c r="A3680" t="s">
        <v>261</v>
      </c>
      <c r="B3680" t="s">
        <v>198</v>
      </c>
      <c r="C3680" s="76">
        <v>43980</v>
      </c>
      <c r="D3680">
        <v>4285</v>
      </c>
      <c r="E3680">
        <v>812</v>
      </c>
      <c r="F3680">
        <v>7758</v>
      </c>
      <c r="G3680">
        <v>2811</v>
      </c>
      <c r="H3680">
        <v>60.4</v>
      </c>
      <c r="I3680">
        <v>50.6</v>
      </c>
      <c r="J3680">
        <v>70.2</v>
      </c>
      <c r="K3680">
        <v>117</v>
      </c>
      <c r="L3680">
        <v>11</v>
      </c>
      <c r="M3680">
        <v>222</v>
      </c>
      <c r="N3680">
        <v>1.6</v>
      </c>
      <c r="O3680">
        <v>0.8</v>
      </c>
      <c r="P3680">
        <v>2.5</v>
      </c>
      <c r="Q3680">
        <f t="shared" si="112"/>
        <v>4289439</v>
      </c>
      <c r="R3680">
        <f t="shared" si="113"/>
        <v>2.7276294172734477</v>
      </c>
      <c r="U3680">
        <v>573</v>
      </c>
      <c r="V3680">
        <v>43</v>
      </c>
      <c r="W3680">
        <v>1103</v>
      </c>
      <c r="X3680">
        <v>302</v>
      </c>
      <c r="Y3680">
        <v>65.5</v>
      </c>
      <c r="Z3680">
        <v>52.4</v>
      </c>
      <c r="AA3680">
        <v>78.599999999999994</v>
      </c>
    </row>
    <row r="3681" spans="1:27" x14ac:dyDescent="0.25">
      <c r="A3681" t="s">
        <v>261</v>
      </c>
      <c r="B3681" t="s">
        <v>198</v>
      </c>
      <c r="C3681" s="76">
        <v>43981</v>
      </c>
      <c r="D3681">
        <v>4328</v>
      </c>
      <c r="E3681">
        <v>842</v>
      </c>
      <c r="F3681">
        <v>7814</v>
      </c>
      <c r="G3681">
        <v>2833</v>
      </c>
      <c r="H3681">
        <v>60.4</v>
      </c>
      <c r="I3681">
        <v>50.2</v>
      </c>
      <c r="J3681">
        <v>70.7</v>
      </c>
      <c r="K3681">
        <v>106</v>
      </c>
      <c r="L3681">
        <v>17</v>
      </c>
      <c r="M3681">
        <v>194</v>
      </c>
      <c r="N3681">
        <v>1.5</v>
      </c>
      <c r="O3681">
        <v>0.7</v>
      </c>
      <c r="P3681">
        <v>2.2000000000000002</v>
      </c>
      <c r="Q3681">
        <f t="shared" si="112"/>
        <v>4289439</v>
      </c>
      <c r="R3681">
        <f t="shared" si="113"/>
        <v>2.4711856259058584</v>
      </c>
      <c r="U3681">
        <v>610</v>
      </c>
      <c r="V3681">
        <v>16</v>
      </c>
      <c r="W3681">
        <v>1205</v>
      </c>
      <c r="X3681">
        <v>268</v>
      </c>
      <c r="Y3681">
        <v>69.5</v>
      </c>
      <c r="Z3681">
        <v>56.7</v>
      </c>
      <c r="AA3681">
        <v>82.2</v>
      </c>
    </row>
    <row r="3682" spans="1:27" x14ac:dyDescent="0.25">
      <c r="A3682" t="s">
        <v>261</v>
      </c>
      <c r="B3682" t="s">
        <v>198</v>
      </c>
      <c r="C3682" s="76">
        <v>43982</v>
      </c>
      <c r="D3682">
        <v>3799</v>
      </c>
      <c r="E3682">
        <v>804</v>
      </c>
      <c r="F3682">
        <v>6794</v>
      </c>
      <c r="G3682">
        <v>3199</v>
      </c>
      <c r="H3682">
        <v>54.3</v>
      </c>
      <c r="I3682">
        <v>46.7</v>
      </c>
      <c r="J3682">
        <v>61.8</v>
      </c>
      <c r="K3682">
        <v>84</v>
      </c>
      <c r="L3682">
        <v>21</v>
      </c>
      <c r="M3682">
        <v>146</v>
      </c>
      <c r="N3682">
        <v>1.2</v>
      </c>
      <c r="O3682">
        <v>0.5</v>
      </c>
      <c r="P3682">
        <v>1.9</v>
      </c>
      <c r="Q3682">
        <f t="shared" si="112"/>
        <v>4289439</v>
      </c>
      <c r="R3682">
        <f t="shared" si="113"/>
        <v>1.9582980431706805</v>
      </c>
      <c r="U3682">
        <v>505</v>
      </c>
      <c r="V3682">
        <v>28</v>
      </c>
      <c r="W3682">
        <v>981</v>
      </c>
      <c r="X3682">
        <v>342</v>
      </c>
      <c r="Y3682">
        <v>59.6</v>
      </c>
      <c r="Z3682">
        <v>48.6</v>
      </c>
      <c r="AA3682">
        <v>70.5</v>
      </c>
    </row>
    <row r="3683" spans="1:27" x14ac:dyDescent="0.25">
      <c r="A3683" t="s">
        <v>261</v>
      </c>
      <c r="B3683" t="s">
        <v>198</v>
      </c>
      <c r="C3683" s="76">
        <v>43983</v>
      </c>
      <c r="D3683">
        <v>3933</v>
      </c>
      <c r="E3683">
        <v>803</v>
      </c>
      <c r="F3683">
        <v>7063</v>
      </c>
      <c r="G3683">
        <v>3056</v>
      </c>
      <c r="H3683">
        <v>56.3</v>
      </c>
      <c r="I3683">
        <v>48</v>
      </c>
      <c r="J3683">
        <v>64.599999999999994</v>
      </c>
      <c r="K3683">
        <v>66</v>
      </c>
      <c r="L3683">
        <v>19</v>
      </c>
      <c r="M3683">
        <v>114</v>
      </c>
      <c r="N3683">
        <v>0.9</v>
      </c>
      <c r="O3683">
        <v>0.5</v>
      </c>
      <c r="P3683">
        <v>1.4</v>
      </c>
      <c r="Q3683">
        <f t="shared" si="112"/>
        <v>4289439</v>
      </c>
      <c r="R3683">
        <f t="shared" si="113"/>
        <v>1.5386627482055344</v>
      </c>
      <c r="U3683">
        <v>503</v>
      </c>
      <c r="V3683">
        <v>43</v>
      </c>
      <c r="W3683">
        <v>963</v>
      </c>
      <c r="X3683">
        <v>344</v>
      </c>
      <c r="Y3683">
        <v>59.4</v>
      </c>
      <c r="Z3683">
        <v>48.2</v>
      </c>
      <c r="AA3683">
        <v>70.599999999999994</v>
      </c>
    </row>
    <row r="3684" spans="1:27" x14ac:dyDescent="0.25">
      <c r="A3684" t="s">
        <v>261</v>
      </c>
      <c r="B3684" t="s">
        <v>198</v>
      </c>
      <c r="C3684" s="76">
        <v>43984</v>
      </c>
      <c r="D3684">
        <v>4603</v>
      </c>
      <c r="E3684">
        <v>597</v>
      </c>
      <c r="F3684">
        <v>8608</v>
      </c>
      <c r="G3684">
        <v>2418</v>
      </c>
      <c r="H3684">
        <v>65.599999999999994</v>
      </c>
      <c r="I3684">
        <v>50.5</v>
      </c>
      <c r="J3684">
        <v>80.599999999999994</v>
      </c>
      <c r="K3684">
        <v>70</v>
      </c>
      <c r="L3684">
        <v>13</v>
      </c>
      <c r="M3684">
        <v>126</v>
      </c>
      <c r="N3684">
        <v>1</v>
      </c>
      <c r="O3684">
        <v>0.5</v>
      </c>
      <c r="P3684">
        <v>1.5</v>
      </c>
      <c r="Q3684">
        <f t="shared" si="112"/>
        <v>4289439</v>
      </c>
      <c r="R3684">
        <f t="shared" si="113"/>
        <v>1.631915035975567</v>
      </c>
      <c r="U3684">
        <v>524</v>
      </c>
      <c r="V3684">
        <v>15</v>
      </c>
      <c r="W3684">
        <v>1033</v>
      </c>
      <c r="X3684">
        <v>347</v>
      </c>
      <c r="Y3684">
        <v>60.2</v>
      </c>
      <c r="Z3684">
        <v>47.8</v>
      </c>
      <c r="AA3684">
        <v>72.599999999999994</v>
      </c>
    </row>
    <row r="3685" spans="1:27" x14ac:dyDescent="0.25">
      <c r="A3685" t="s">
        <v>261</v>
      </c>
      <c r="B3685" t="s">
        <v>198</v>
      </c>
      <c r="C3685" s="76">
        <v>43985</v>
      </c>
      <c r="D3685">
        <v>4576</v>
      </c>
      <c r="E3685">
        <v>643</v>
      </c>
      <c r="F3685">
        <v>8508</v>
      </c>
      <c r="G3685">
        <v>2537</v>
      </c>
      <c r="H3685">
        <v>64.3</v>
      </c>
      <c r="I3685">
        <v>48.9</v>
      </c>
      <c r="J3685">
        <v>79.8</v>
      </c>
      <c r="K3685">
        <v>102</v>
      </c>
      <c r="L3685">
        <v>14</v>
      </c>
      <c r="M3685">
        <v>190</v>
      </c>
      <c r="N3685">
        <v>1.4</v>
      </c>
      <c r="O3685">
        <v>0.8</v>
      </c>
      <c r="P3685">
        <v>2.1</v>
      </c>
      <c r="Q3685">
        <f t="shared" si="112"/>
        <v>4289439</v>
      </c>
      <c r="R3685">
        <f t="shared" si="113"/>
        <v>2.3779333381358261</v>
      </c>
      <c r="U3685">
        <v>671</v>
      </c>
      <c r="V3685">
        <v>7</v>
      </c>
      <c r="W3685">
        <v>1335</v>
      </c>
      <c r="X3685">
        <v>444</v>
      </c>
      <c r="Y3685">
        <v>60.2</v>
      </c>
      <c r="Z3685">
        <v>50.6</v>
      </c>
      <c r="AA3685">
        <v>69.8</v>
      </c>
    </row>
    <row r="3686" spans="1:27" x14ac:dyDescent="0.25">
      <c r="A3686" t="s">
        <v>261</v>
      </c>
      <c r="B3686" t="s">
        <v>198</v>
      </c>
      <c r="C3686" s="76">
        <v>43986</v>
      </c>
      <c r="D3686">
        <v>4154</v>
      </c>
      <c r="E3686">
        <v>702</v>
      </c>
      <c r="F3686">
        <v>7607</v>
      </c>
      <c r="G3686">
        <v>2898</v>
      </c>
      <c r="H3686">
        <v>58.9</v>
      </c>
      <c r="I3686">
        <v>48.1</v>
      </c>
      <c r="J3686">
        <v>69.7</v>
      </c>
      <c r="K3686">
        <v>113</v>
      </c>
      <c r="L3686">
        <v>25</v>
      </c>
      <c r="M3686">
        <v>200</v>
      </c>
      <c r="N3686">
        <v>1.6</v>
      </c>
      <c r="O3686">
        <v>1.2</v>
      </c>
      <c r="P3686">
        <v>2</v>
      </c>
      <c r="Q3686">
        <f t="shared" si="112"/>
        <v>4289439</v>
      </c>
      <c r="R3686">
        <f t="shared" si="113"/>
        <v>2.6343771295034153</v>
      </c>
      <c r="U3686">
        <v>707</v>
      </c>
      <c r="V3686">
        <v>8</v>
      </c>
      <c r="W3686">
        <v>1406</v>
      </c>
      <c r="X3686">
        <v>404</v>
      </c>
      <c r="Y3686">
        <v>63.6</v>
      </c>
      <c r="Z3686">
        <v>53.5</v>
      </c>
      <c r="AA3686">
        <v>73.8</v>
      </c>
    </row>
    <row r="3687" spans="1:27" x14ac:dyDescent="0.25">
      <c r="A3687" t="s">
        <v>261</v>
      </c>
      <c r="B3687" t="s">
        <v>198</v>
      </c>
      <c r="C3687" s="76">
        <v>43987</v>
      </c>
      <c r="D3687">
        <v>4352</v>
      </c>
      <c r="E3687">
        <v>864</v>
      </c>
      <c r="F3687">
        <v>7839</v>
      </c>
      <c r="G3687">
        <v>2859</v>
      </c>
      <c r="H3687">
        <v>60.4</v>
      </c>
      <c r="I3687">
        <v>50.3</v>
      </c>
      <c r="J3687">
        <v>70.400000000000006</v>
      </c>
      <c r="K3687">
        <v>121</v>
      </c>
      <c r="L3687">
        <v>53</v>
      </c>
      <c r="M3687">
        <v>189</v>
      </c>
      <c r="N3687">
        <v>1.7</v>
      </c>
      <c r="O3687">
        <v>1</v>
      </c>
      <c r="P3687">
        <v>2.4</v>
      </c>
      <c r="Q3687">
        <f t="shared" ref="Q3687:Q3750" si="114">VLOOKUP(B3687,$AE$4:$AF$55,2,FALSE)</f>
        <v>4289439</v>
      </c>
      <c r="R3687">
        <f t="shared" si="113"/>
        <v>2.82088170504348</v>
      </c>
      <c r="U3687">
        <v>718</v>
      </c>
      <c r="V3687">
        <v>53</v>
      </c>
      <c r="W3687">
        <v>1383</v>
      </c>
      <c r="X3687">
        <v>424</v>
      </c>
      <c r="Y3687">
        <v>62.9</v>
      </c>
      <c r="Z3687">
        <v>55.6</v>
      </c>
      <c r="AA3687">
        <v>70.2</v>
      </c>
    </row>
    <row r="3688" spans="1:27" x14ac:dyDescent="0.25">
      <c r="A3688" t="s">
        <v>261</v>
      </c>
      <c r="B3688" t="s">
        <v>198</v>
      </c>
      <c r="C3688" s="76">
        <v>43988</v>
      </c>
      <c r="D3688">
        <v>4213</v>
      </c>
      <c r="E3688">
        <v>1720</v>
      </c>
      <c r="F3688">
        <v>6705</v>
      </c>
      <c r="G3688">
        <v>3168</v>
      </c>
      <c r="H3688">
        <v>57.1</v>
      </c>
      <c r="I3688">
        <v>48.2</v>
      </c>
      <c r="J3688">
        <v>65.900000000000006</v>
      </c>
      <c r="K3688">
        <v>142</v>
      </c>
      <c r="L3688">
        <v>52</v>
      </c>
      <c r="M3688">
        <v>232</v>
      </c>
      <c r="N3688">
        <v>1.9</v>
      </c>
      <c r="O3688">
        <v>1.4</v>
      </c>
      <c r="P3688">
        <v>2.5</v>
      </c>
      <c r="Q3688">
        <f t="shared" si="114"/>
        <v>4289439</v>
      </c>
      <c r="R3688">
        <f t="shared" si="113"/>
        <v>3.3104562158361501</v>
      </c>
      <c r="U3688">
        <v>605</v>
      </c>
      <c r="V3688">
        <v>184</v>
      </c>
      <c r="W3688">
        <v>1025</v>
      </c>
      <c r="X3688">
        <v>506</v>
      </c>
      <c r="Y3688">
        <v>54.4</v>
      </c>
      <c r="Z3688">
        <v>43.2</v>
      </c>
      <c r="AA3688">
        <v>65.7</v>
      </c>
    </row>
    <row r="3689" spans="1:27" x14ac:dyDescent="0.25">
      <c r="A3689" t="s">
        <v>261</v>
      </c>
      <c r="B3689" t="s">
        <v>198</v>
      </c>
      <c r="C3689" s="76">
        <v>43989</v>
      </c>
      <c r="D3689">
        <v>3981</v>
      </c>
      <c r="E3689">
        <v>1665</v>
      </c>
      <c r="F3689">
        <v>6298</v>
      </c>
      <c r="G3689">
        <v>3473</v>
      </c>
      <c r="H3689">
        <v>53.4</v>
      </c>
      <c r="I3689">
        <v>45.9</v>
      </c>
      <c r="J3689">
        <v>61</v>
      </c>
      <c r="K3689">
        <v>143</v>
      </c>
      <c r="L3689">
        <v>60</v>
      </c>
      <c r="M3689">
        <v>225</v>
      </c>
      <c r="N3689">
        <v>1.9</v>
      </c>
      <c r="O3689">
        <v>1.3</v>
      </c>
      <c r="P3689">
        <v>2.5</v>
      </c>
      <c r="Q3689">
        <f t="shared" si="114"/>
        <v>4289439</v>
      </c>
      <c r="R3689">
        <f t="shared" si="113"/>
        <v>3.333769287778658</v>
      </c>
      <c r="U3689">
        <v>567</v>
      </c>
      <c r="V3689">
        <v>183</v>
      </c>
      <c r="W3689">
        <v>951</v>
      </c>
      <c r="X3689">
        <v>565</v>
      </c>
      <c r="Y3689">
        <v>50.1</v>
      </c>
      <c r="Z3689">
        <v>40.200000000000003</v>
      </c>
      <c r="AA3689">
        <v>59.9</v>
      </c>
    </row>
    <row r="3690" spans="1:27" x14ac:dyDescent="0.25">
      <c r="A3690" t="s">
        <v>261</v>
      </c>
      <c r="B3690" t="s">
        <v>198</v>
      </c>
      <c r="C3690" s="76">
        <v>43990</v>
      </c>
      <c r="D3690">
        <v>3953</v>
      </c>
      <c r="E3690">
        <v>864</v>
      </c>
      <c r="F3690">
        <v>7041</v>
      </c>
      <c r="G3690">
        <v>3254</v>
      </c>
      <c r="H3690">
        <v>54.8</v>
      </c>
      <c r="I3690">
        <v>44.8</v>
      </c>
      <c r="J3690">
        <v>64.900000000000006</v>
      </c>
      <c r="K3690">
        <v>128</v>
      </c>
      <c r="L3690">
        <v>48</v>
      </c>
      <c r="M3690">
        <v>209</v>
      </c>
      <c r="N3690">
        <v>1.8</v>
      </c>
      <c r="O3690">
        <v>0.9</v>
      </c>
      <c r="P3690">
        <v>2.6</v>
      </c>
      <c r="Q3690">
        <f t="shared" si="114"/>
        <v>4289439</v>
      </c>
      <c r="R3690">
        <f t="shared" si="113"/>
        <v>2.9840732086410369</v>
      </c>
      <c r="U3690">
        <v>641</v>
      </c>
      <c r="V3690">
        <v>34</v>
      </c>
      <c r="W3690">
        <v>1247</v>
      </c>
      <c r="X3690">
        <v>506</v>
      </c>
      <c r="Y3690">
        <v>55.9</v>
      </c>
      <c r="Z3690">
        <v>47.2</v>
      </c>
      <c r="AA3690">
        <v>64.599999999999994</v>
      </c>
    </row>
    <row r="3691" spans="1:27" x14ac:dyDescent="0.25">
      <c r="A3691" t="s">
        <v>261</v>
      </c>
      <c r="B3691" t="s">
        <v>198</v>
      </c>
      <c r="C3691" s="76">
        <v>43991</v>
      </c>
      <c r="D3691">
        <v>4292</v>
      </c>
      <c r="E3691">
        <v>884</v>
      </c>
      <c r="F3691">
        <v>7700</v>
      </c>
      <c r="G3691">
        <v>2990</v>
      </c>
      <c r="H3691">
        <v>58.9</v>
      </c>
      <c r="I3691">
        <v>47.9</v>
      </c>
      <c r="J3691">
        <v>70</v>
      </c>
      <c r="K3691">
        <v>149</v>
      </c>
      <c r="L3691">
        <v>46</v>
      </c>
      <c r="M3691">
        <v>251</v>
      </c>
      <c r="N3691">
        <v>2</v>
      </c>
      <c r="O3691">
        <v>1.1000000000000001</v>
      </c>
      <c r="P3691">
        <v>3</v>
      </c>
      <c r="Q3691">
        <f t="shared" si="114"/>
        <v>4289439</v>
      </c>
      <c r="R3691">
        <f t="shared" si="113"/>
        <v>3.4736477194337065</v>
      </c>
      <c r="U3691">
        <v>700</v>
      </c>
      <c r="V3691">
        <v>47</v>
      </c>
      <c r="W3691">
        <v>1354</v>
      </c>
      <c r="X3691">
        <v>416</v>
      </c>
      <c r="Y3691">
        <v>62.7</v>
      </c>
      <c r="Z3691">
        <v>54.2</v>
      </c>
      <c r="AA3691">
        <v>71.3</v>
      </c>
    </row>
    <row r="3692" spans="1:27" x14ac:dyDescent="0.25">
      <c r="A3692" t="s">
        <v>261</v>
      </c>
      <c r="B3692" t="s">
        <v>198</v>
      </c>
      <c r="C3692" s="76">
        <v>43992</v>
      </c>
      <c r="D3692">
        <v>4384</v>
      </c>
      <c r="E3692">
        <v>869</v>
      </c>
      <c r="F3692">
        <v>7900</v>
      </c>
      <c r="G3692">
        <v>2764</v>
      </c>
      <c r="H3692">
        <v>61.3</v>
      </c>
      <c r="I3692">
        <v>50.7</v>
      </c>
      <c r="J3692">
        <v>72</v>
      </c>
      <c r="K3692">
        <v>136</v>
      </c>
      <c r="L3692">
        <v>17</v>
      </c>
      <c r="M3692">
        <v>254</v>
      </c>
      <c r="N3692">
        <v>1.9</v>
      </c>
      <c r="O3692">
        <v>0.9</v>
      </c>
      <c r="P3692">
        <v>2.9</v>
      </c>
      <c r="Q3692">
        <f t="shared" si="114"/>
        <v>4289439</v>
      </c>
      <c r="R3692">
        <f t="shared" si="113"/>
        <v>3.1705777841811016</v>
      </c>
      <c r="U3692">
        <v>709</v>
      </c>
      <c r="V3692">
        <v>32</v>
      </c>
      <c r="W3692">
        <v>1386</v>
      </c>
      <c r="X3692">
        <v>384</v>
      </c>
      <c r="Y3692">
        <v>64.900000000000006</v>
      </c>
      <c r="Z3692">
        <v>55.9</v>
      </c>
      <c r="AA3692">
        <v>73.900000000000006</v>
      </c>
    </row>
    <row r="3693" spans="1:27" x14ac:dyDescent="0.25">
      <c r="A3693" t="s">
        <v>261</v>
      </c>
      <c r="B3693" t="s">
        <v>198</v>
      </c>
      <c r="C3693" s="76">
        <v>43993</v>
      </c>
      <c r="D3693">
        <v>4486</v>
      </c>
      <c r="E3693">
        <v>941</v>
      </c>
      <c r="F3693">
        <v>8032</v>
      </c>
      <c r="G3693">
        <v>2904</v>
      </c>
      <c r="H3693">
        <v>60.7</v>
      </c>
      <c r="I3693">
        <v>50.2</v>
      </c>
      <c r="J3693">
        <v>71.2</v>
      </c>
      <c r="K3693">
        <v>152</v>
      </c>
      <c r="L3693">
        <v>34</v>
      </c>
      <c r="M3693">
        <v>271</v>
      </c>
      <c r="N3693">
        <v>2.1</v>
      </c>
      <c r="O3693">
        <v>1.4</v>
      </c>
      <c r="P3693">
        <v>2.8</v>
      </c>
      <c r="Q3693">
        <f t="shared" si="114"/>
        <v>4289439</v>
      </c>
      <c r="R3693">
        <f t="shared" si="113"/>
        <v>3.5435869352612315</v>
      </c>
      <c r="U3693">
        <v>760</v>
      </c>
      <c r="V3693">
        <v>63</v>
      </c>
      <c r="W3693">
        <v>1457</v>
      </c>
      <c r="X3693">
        <v>379</v>
      </c>
      <c r="Y3693">
        <v>66.7</v>
      </c>
      <c r="Z3693">
        <v>57.3</v>
      </c>
      <c r="AA3693">
        <v>76.099999999999994</v>
      </c>
    </row>
    <row r="3694" spans="1:27" x14ac:dyDescent="0.25">
      <c r="A3694" t="s">
        <v>261</v>
      </c>
      <c r="B3694" t="s">
        <v>198</v>
      </c>
      <c r="C3694" s="76">
        <v>43994</v>
      </c>
      <c r="D3694">
        <v>4803</v>
      </c>
      <c r="E3694">
        <v>851</v>
      </c>
      <c r="F3694">
        <v>8754</v>
      </c>
      <c r="G3694">
        <v>2641</v>
      </c>
      <c r="H3694">
        <v>64.5</v>
      </c>
      <c r="I3694">
        <v>50.4</v>
      </c>
      <c r="J3694">
        <v>78.599999999999994</v>
      </c>
      <c r="K3694">
        <v>122</v>
      </c>
      <c r="L3694">
        <v>43</v>
      </c>
      <c r="M3694">
        <v>201</v>
      </c>
      <c r="N3694">
        <v>1.6</v>
      </c>
      <c r="O3694">
        <v>1.1000000000000001</v>
      </c>
      <c r="P3694">
        <v>2.2000000000000002</v>
      </c>
      <c r="Q3694">
        <f t="shared" si="114"/>
        <v>4289439</v>
      </c>
      <c r="R3694">
        <f t="shared" si="113"/>
        <v>2.8441947769859883</v>
      </c>
      <c r="U3694">
        <v>718</v>
      </c>
      <c r="V3694">
        <v>54</v>
      </c>
      <c r="W3694">
        <v>1382</v>
      </c>
      <c r="X3694">
        <v>424</v>
      </c>
      <c r="Y3694">
        <v>62.9</v>
      </c>
      <c r="Z3694">
        <v>51.3</v>
      </c>
      <c r="AA3694">
        <v>74.5</v>
      </c>
    </row>
    <row r="3695" spans="1:27" x14ac:dyDescent="0.25">
      <c r="A3695" t="s">
        <v>261</v>
      </c>
      <c r="B3695" t="s">
        <v>198</v>
      </c>
      <c r="C3695" s="76">
        <v>43995</v>
      </c>
      <c r="D3695">
        <v>4467</v>
      </c>
      <c r="E3695">
        <v>1876</v>
      </c>
      <c r="F3695">
        <v>7058</v>
      </c>
      <c r="G3695">
        <v>3062</v>
      </c>
      <c r="H3695">
        <v>59.3</v>
      </c>
      <c r="I3695">
        <v>51.3</v>
      </c>
      <c r="J3695">
        <v>67.400000000000006</v>
      </c>
      <c r="K3695">
        <v>160</v>
      </c>
      <c r="L3695">
        <v>65</v>
      </c>
      <c r="M3695">
        <v>255</v>
      </c>
      <c r="N3695">
        <v>2.1</v>
      </c>
      <c r="O3695">
        <v>1.6</v>
      </c>
      <c r="P3695">
        <v>2.7</v>
      </c>
      <c r="Q3695">
        <f t="shared" si="114"/>
        <v>4289439</v>
      </c>
      <c r="R3695">
        <f t="shared" si="113"/>
        <v>3.7300915108012958</v>
      </c>
      <c r="U3695">
        <v>627</v>
      </c>
      <c r="V3695">
        <v>202</v>
      </c>
      <c r="W3695">
        <v>1053</v>
      </c>
      <c r="X3695">
        <v>477</v>
      </c>
      <c r="Y3695">
        <v>56.8</v>
      </c>
      <c r="Z3695">
        <v>42.1</v>
      </c>
      <c r="AA3695">
        <v>71.599999999999994</v>
      </c>
    </row>
    <row r="3696" spans="1:27" x14ac:dyDescent="0.25">
      <c r="A3696" t="s">
        <v>261</v>
      </c>
      <c r="B3696" t="s">
        <v>198</v>
      </c>
      <c r="C3696" s="76">
        <v>43996</v>
      </c>
      <c r="D3696">
        <v>4237</v>
      </c>
      <c r="E3696">
        <v>1780</v>
      </c>
      <c r="F3696">
        <v>6694</v>
      </c>
      <c r="G3696">
        <v>3297</v>
      </c>
      <c r="H3696">
        <v>56.2</v>
      </c>
      <c r="I3696">
        <v>48.7</v>
      </c>
      <c r="J3696">
        <v>63.7</v>
      </c>
      <c r="K3696">
        <v>153</v>
      </c>
      <c r="L3696">
        <v>62</v>
      </c>
      <c r="M3696">
        <v>244</v>
      </c>
      <c r="N3696">
        <v>2</v>
      </c>
      <c r="O3696">
        <v>1.5</v>
      </c>
      <c r="P3696">
        <v>2.6</v>
      </c>
      <c r="Q3696">
        <f t="shared" si="114"/>
        <v>4289439</v>
      </c>
      <c r="R3696">
        <f t="shared" si="113"/>
        <v>3.5669000072037393</v>
      </c>
      <c r="U3696">
        <v>572</v>
      </c>
      <c r="V3696">
        <v>180</v>
      </c>
      <c r="W3696">
        <v>963</v>
      </c>
      <c r="X3696">
        <v>533</v>
      </c>
      <c r="Y3696">
        <v>51.7</v>
      </c>
      <c r="Z3696">
        <v>36.5</v>
      </c>
      <c r="AA3696">
        <v>67</v>
      </c>
    </row>
    <row r="3697" spans="1:27" x14ac:dyDescent="0.25">
      <c r="A3697" t="s">
        <v>261</v>
      </c>
      <c r="B3697" t="s">
        <v>198</v>
      </c>
      <c r="C3697" s="76">
        <v>43997</v>
      </c>
      <c r="D3697">
        <v>4315</v>
      </c>
      <c r="E3697">
        <v>798</v>
      </c>
      <c r="F3697">
        <v>7833</v>
      </c>
      <c r="G3697">
        <v>2956</v>
      </c>
      <c r="H3697">
        <v>59.3</v>
      </c>
      <c r="I3697">
        <v>47.6</v>
      </c>
      <c r="J3697">
        <v>71.099999999999994</v>
      </c>
      <c r="K3697">
        <v>144</v>
      </c>
      <c r="L3697">
        <v>38</v>
      </c>
      <c r="M3697">
        <v>250</v>
      </c>
      <c r="N3697">
        <v>2</v>
      </c>
      <c r="O3697">
        <v>1.5</v>
      </c>
      <c r="P3697">
        <v>2.4</v>
      </c>
      <c r="Q3697">
        <f t="shared" si="114"/>
        <v>4289439</v>
      </c>
      <c r="R3697">
        <f t="shared" si="113"/>
        <v>3.3570823597211663</v>
      </c>
      <c r="U3697">
        <v>684</v>
      </c>
      <c r="V3697">
        <v>23</v>
      </c>
      <c r="W3697">
        <v>1345</v>
      </c>
      <c r="X3697">
        <v>427</v>
      </c>
      <c r="Y3697">
        <v>61.5</v>
      </c>
      <c r="Z3697">
        <v>49</v>
      </c>
      <c r="AA3697">
        <v>74.099999999999994</v>
      </c>
    </row>
    <row r="3698" spans="1:27" x14ac:dyDescent="0.25">
      <c r="A3698" t="s">
        <v>261</v>
      </c>
      <c r="B3698" t="s">
        <v>198</v>
      </c>
      <c r="C3698" s="76">
        <v>43998</v>
      </c>
      <c r="D3698">
        <v>4498</v>
      </c>
      <c r="E3698">
        <v>801</v>
      </c>
      <c r="F3698">
        <v>8194</v>
      </c>
      <c r="G3698">
        <v>2627</v>
      </c>
      <c r="H3698">
        <v>63.1</v>
      </c>
      <c r="I3698">
        <v>52.1</v>
      </c>
      <c r="J3698">
        <v>74.099999999999994</v>
      </c>
      <c r="K3698">
        <v>154</v>
      </c>
      <c r="L3698">
        <v>31</v>
      </c>
      <c r="M3698">
        <v>278</v>
      </c>
      <c r="N3698">
        <v>2.2000000000000002</v>
      </c>
      <c r="O3698">
        <v>1.5</v>
      </c>
      <c r="P3698">
        <v>2.9</v>
      </c>
      <c r="Q3698">
        <f t="shared" si="114"/>
        <v>4289439</v>
      </c>
      <c r="R3698">
        <f t="shared" si="113"/>
        <v>3.5902130791462477</v>
      </c>
      <c r="U3698">
        <v>752</v>
      </c>
      <c r="V3698">
        <v>4</v>
      </c>
      <c r="W3698">
        <v>1499</v>
      </c>
      <c r="X3698">
        <v>338</v>
      </c>
      <c r="Y3698">
        <v>69</v>
      </c>
      <c r="Z3698">
        <v>53.8</v>
      </c>
      <c r="AA3698">
        <v>84.1</v>
      </c>
    </row>
    <row r="3699" spans="1:27" x14ac:dyDescent="0.25">
      <c r="A3699" t="s">
        <v>261</v>
      </c>
      <c r="B3699" t="s">
        <v>198</v>
      </c>
      <c r="C3699" s="76">
        <v>43999</v>
      </c>
      <c r="D3699">
        <v>4592</v>
      </c>
      <c r="E3699">
        <v>899</v>
      </c>
      <c r="F3699">
        <v>8286</v>
      </c>
      <c r="G3699">
        <v>2557</v>
      </c>
      <c r="H3699">
        <v>64.2</v>
      </c>
      <c r="I3699">
        <v>53.4</v>
      </c>
      <c r="J3699">
        <v>75.099999999999994</v>
      </c>
      <c r="K3699">
        <v>158</v>
      </c>
      <c r="L3699">
        <v>50</v>
      </c>
      <c r="M3699">
        <v>265</v>
      </c>
      <c r="N3699">
        <v>2.2000000000000002</v>
      </c>
      <c r="O3699">
        <v>1.5</v>
      </c>
      <c r="P3699">
        <v>2.9</v>
      </c>
      <c r="Q3699">
        <f t="shared" si="114"/>
        <v>4289439</v>
      </c>
      <c r="R3699">
        <f t="shared" si="113"/>
        <v>3.6834653669162796</v>
      </c>
      <c r="U3699">
        <v>712</v>
      </c>
      <c r="V3699">
        <v>11</v>
      </c>
      <c r="W3699">
        <v>1413</v>
      </c>
      <c r="X3699">
        <v>375</v>
      </c>
      <c r="Y3699">
        <v>65.5</v>
      </c>
      <c r="Z3699">
        <v>53.6</v>
      </c>
      <c r="AA3699">
        <v>77.400000000000006</v>
      </c>
    </row>
    <row r="3700" spans="1:27" x14ac:dyDescent="0.25">
      <c r="A3700" t="s">
        <v>261</v>
      </c>
      <c r="B3700" t="s">
        <v>198</v>
      </c>
      <c r="C3700" s="76">
        <v>44000</v>
      </c>
      <c r="D3700">
        <v>4749</v>
      </c>
      <c r="E3700">
        <v>1005</v>
      </c>
      <c r="F3700">
        <v>8493</v>
      </c>
      <c r="G3700">
        <v>2570</v>
      </c>
      <c r="H3700">
        <v>64.900000000000006</v>
      </c>
      <c r="I3700">
        <v>53.9</v>
      </c>
      <c r="J3700">
        <v>75.900000000000006</v>
      </c>
      <c r="K3700">
        <v>138</v>
      </c>
      <c r="L3700">
        <v>55</v>
      </c>
      <c r="M3700">
        <v>221</v>
      </c>
      <c r="N3700">
        <v>1.9</v>
      </c>
      <c r="O3700">
        <v>1.4</v>
      </c>
      <c r="P3700">
        <v>2.4</v>
      </c>
      <c r="Q3700">
        <f t="shared" si="114"/>
        <v>4289439</v>
      </c>
      <c r="R3700">
        <f t="shared" si="113"/>
        <v>3.2172039280661178</v>
      </c>
      <c r="U3700">
        <v>734</v>
      </c>
      <c r="V3700">
        <v>30</v>
      </c>
      <c r="W3700">
        <v>1437</v>
      </c>
      <c r="X3700">
        <v>392</v>
      </c>
      <c r="Y3700">
        <v>65.2</v>
      </c>
      <c r="Z3700">
        <v>53.2</v>
      </c>
      <c r="AA3700">
        <v>77.2</v>
      </c>
    </row>
    <row r="3701" spans="1:27" x14ac:dyDescent="0.25">
      <c r="A3701" t="s">
        <v>261</v>
      </c>
      <c r="B3701" t="s">
        <v>198</v>
      </c>
      <c r="C3701" s="76">
        <v>44001</v>
      </c>
      <c r="D3701">
        <v>4691</v>
      </c>
      <c r="E3701">
        <v>904</v>
      </c>
      <c r="F3701">
        <v>8479</v>
      </c>
      <c r="G3701">
        <v>2607</v>
      </c>
      <c r="H3701">
        <v>64.3</v>
      </c>
      <c r="I3701">
        <v>52.7</v>
      </c>
      <c r="J3701">
        <v>75.900000000000006</v>
      </c>
      <c r="K3701">
        <v>175</v>
      </c>
      <c r="L3701">
        <v>55</v>
      </c>
      <c r="M3701">
        <v>296</v>
      </c>
      <c r="N3701">
        <v>2.4</v>
      </c>
      <c r="O3701">
        <v>1.7</v>
      </c>
      <c r="P3701">
        <v>3.1</v>
      </c>
      <c r="Q3701">
        <f t="shared" si="114"/>
        <v>4289439</v>
      </c>
      <c r="R3701">
        <f t="shared" si="113"/>
        <v>4.0797875899389178</v>
      </c>
      <c r="U3701">
        <v>736</v>
      </c>
      <c r="V3701">
        <v>33</v>
      </c>
      <c r="W3701">
        <v>1440</v>
      </c>
      <c r="X3701">
        <v>386</v>
      </c>
      <c r="Y3701">
        <v>65.599999999999994</v>
      </c>
      <c r="Z3701">
        <v>52.5</v>
      </c>
      <c r="AA3701">
        <v>78.7</v>
      </c>
    </row>
    <row r="3702" spans="1:27" x14ac:dyDescent="0.25">
      <c r="A3702" t="s">
        <v>261</v>
      </c>
      <c r="B3702" t="s">
        <v>198</v>
      </c>
      <c r="C3702" s="76">
        <v>44002</v>
      </c>
      <c r="D3702">
        <v>4561</v>
      </c>
      <c r="E3702">
        <v>1890</v>
      </c>
      <c r="F3702">
        <v>7233</v>
      </c>
      <c r="G3702">
        <v>2943</v>
      </c>
      <c r="H3702">
        <v>60.8</v>
      </c>
      <c r="I3702">
        <v>51.7</v>
      </c>
      <c r="J3702">
        <v>69.8</v>
      </c>
      <c r="K3702">
        <v>177</v>
      </c>
      <c r="L3702">
        <v>69</v>
      </c>
      <c r="M3702">
        <v>285</v>
      </c>
      <c r="N3702">
        <v>2.4</v>
      </c>
      <c r="O3702">
        <v>1.5</v>
      </c>
      <c r="P3702">
        <v>3.2</v>
      </c>
      <c r="Q3702">
        <f t="shared" si="114"/>
        <v>4289439</v>
      </c>
      <c r="R3702">
        <f t="shared" si="113"/>
        <v>4.1264137338239335</v>
      </c>
      <c r="U3702">
        <v>614</v>
      </c>
      <c r="V3702">
        <v>207</v>
      </c>
      <c r="W3702">
        <v>1022</v>
      </c>
      <c r="X3702">
        <v>484</v>
      </c>
      <c r="Y3702">
        <v>55.9</v>
      </c>
      <c r="Z3702">
        <v>43.1</v>
      </c>
      <c r="AA3702">
        <v>68.8</v>
      </c>
    </row>
    <row r="3703" spans="1:27" x14ac:dyDescent="0.25">
      <c r="A3703" t="s">
        <v>261</v>
      </c>
      <c r="B3703" t="s">
        <v>198</v>
      </c>
      <c r="C3703" s="76">
        <v>44003</v>
      </c>
      <c r="D3703">
        <v>4326</v>
      </c>
      <c r="E3703">
        <v>1845</v>
      </c>
      <c r="F3703">
        <v>6807</v>
      </c>
      <c r="G3703">
        <v>3161</v>
      </c>
      <c r="H3703">
        <v>57.8</v>
      </c>
      <c r="I3703">
        <v>50.9</v>
      </c>
      <c r="J3703">
        <v>64.599999999999994</v>
      </c>
      <c r="K3703">
        <v>180</v>
      </c>
      <c r="L3703">
        <v>75</v>
      </c>
      <c r="M3703">
        <v>285</v>
      </c>
      <c r="N3703">
        <v>2.4</v>
      </c>
      <c r="O3703">
        <v>1.7</v>
      </c>
      <c r="P3703">
        <v>3.1</v>
      </c>
      <c r="Q3703">
        <f t="shared" si="114"/>
        <v>4289439</v>
      </c>
      <c r="R3703">
        <f t="shared" si="113"/>
        <v>4.196352949651458</v>
      </c>
      <c r="U3703">
        <v>579</v>
      </c>
      <c r="V3703">
        <v>196</v>
      </c>
      <c r="W3703">
        <v>963</v>
      </c>
      <c r="X3703">
        <v>515</v>
      </c>
      <c r="Y3703">
        <v>52.9</v>
      </c>
      <c r="Z3703">
        <v>41</v>
      </c>
      <c r="AA3703">
        <v>64.900000000000006</v>
      </c>
    </row>
    <row r="3704" spans="1:27" x14ac:dyDescent="0.25">
      <c r="A3704" t="s">
        <v>261</v>
      </c>
      <c r="B3704" t="s">
        <v>198</v>
      </c>
      <c r="C3704" s="76">
        <v>44004</v>
      </c>
      <c r="D3704">
        <v>4543</v>
      </c>
      <c r="E3704">
        <v>1059</v>
      </c>
      <c r="F3704">
        <v>8028</v>
      </c>
      <c r="G3704">
        <v>2788</v>
      </c>
      <c r="H3704">
        <v>62</v>
      </c>
      <c r="I3704">
        <v>53.6</v>
      </c>
      <c r="J3704">
        <v>70.3</v>
      </c>
      <c r="K3704">
        <v>133</v>
      </c>
      <c r="L3704">
        <v>48</v>
      </c>
      <c r="M3704">
        <v>218</v>
      </c>
      <c r="N3704">
        <v>1.8</v>
      </c>
      <c r="O3704">
        <v>1.1000000000000001</v>
      </c>
      <c r="P3704">
        <v>2.6</v>
      </c>
      <c r="Q3704">
        <f t="shared" si="114"/>
        <v>4289439</v>
      </c>
      <c r="R3704">
        <f t="shared" si="113"/>
        <v>3.1006385683535775</v>
      </c>
      <c r="U3704">
        <v>701</v>
      </c>
      <c r="V3704">
        <v>79</v>
      </c>
      <c r="W3704">
        <v>1324</v>
      </c>
      <c r="X3704">
        <v>438</v>
      </c>
      <c r="Y3704">
        <v>61.5</v>
      </c>
      <c r="Z3704">
        <v>55.4</v>
      </c>
      <c r="AA3704">
        <v>67.7</v>
      </c>
    </row>
    <row r="3705" spans="1:27" x14ac:dyDescent="0.25">
      <c r="A3705" t="s">
        <v>261</v>
      </c>
      <c r="B3705" t="s">
        <v>198</v>
      </c>
      <c r="C3705" s="76">
        <v>44005</v>
      </c>
      <c r="D3705">
        <v>4813</v>
      </c>
      <c r="E3705">
        <v>1191</v>
      </c>
      <c r="F3705">
        <v>8434</v>
      </c>
      <c r="G3705">
        <v>2566</v>
      </c>
      <c r="H3705">
        <v>65.2</v>
      </c>
      <c r="I3705">
        <v>57</v>
      </c>
      <c r="J3705">
        <v>73.400000000000006</v>
      </c>
      <c r="K3705">
        <v>191</v>
      </c>
      <c r="L3705">
        <v>77</v>
      </c>
      <c r="M3705">
        <v>304</v>
      </c>
      <c r="N3705">
        <v>2.6</v>
      </c>
      <c r="O3705">
        <v>1.5</v>
      </c>
      <c r="P3705">
        <v>3.7</v>
      </c>
      <c r="Q3705">
        <f t="shared" si="114"/>
        <v>4289439</v>
      </c>
      <c r="R3705">
        <f t="shared" si="113"/>
        <v>4.4527967410190472</v>
      </c>
      <c r="U3705">
        <v>726</v>
      </c>
      <c r="V3705">
        <v>67</v>
      </c>
      <c r="W3705">
        <v>1385</v>
      </c>
      <c r="X3705">
        <v>419</v>
      </c>
      <c r="Y3705">
        <v>63.4</v>
      </c>
      <c r="Z3705">
        <v>54.4</v>
      </c>
      <c r="AA3705">
        <v>72.400000000000006</v>
      </c>
    </row>
    <row r="3706" spans="1:27" x14ac:dyDescent="0.25">
      <c r="A3706" t="s">
        <v>261</v>
      </c>
      <c r="B3706" t="s">
        <v>198</v>
      </c>
      <c r="C3706" s="76">
        <v>44006</v>
      </c>
      <c r="D3706">
        <v>4719</v>
      </c>
      <c r="E3706">
        <v>1006</v>
      </c>
      <c r="F3706">
        <v>8433</v>
      </c>
      <c r="G3706">
        <v>2361</v>
      </c>
      <c r="H3706">
        <v>66.7</v>
      </c>
      <c r="I3706">
        <v>57.7</v>
      </c>
      <c r="J3706">
        <v>75.599999999999994</v>
      </c>
      <c r="K3706">
        <v>198</v>
      </c>
      <c r="L3706">
        <v>83</v>
      </c>
      <c r="M3706">
        <v>314</v>
      </c>
      <c r="N3706">
        <v>2.8</v>
      </c>
      <c r="O3706">
        <v>1.6</v>
      </c>
      <c r="P3706">
        <v>4</v>
      </c>
      <c r="Q3706">
        <f t="shared" si="114"/>
        <v>4289439</v>
      </c>
      <c r="R3706">
        <f t="shared" si="113"/>
        <v>4.6159882446166032</v>
      </c>
      <c r="U3706">
        <v>709</v>
      </c>
      <c r="V3706">
        <v>44</v>
      </c>
      <c r="W3706">
        <v>1374</v>
      </c>
      <c r="X3706">
        <v>382</v>
      </c>
      <c r="Y3706">
        <v>65</v>
      </c>
      <c r="Z3706">
        <v>57</v>
      </c>
      <c r="AA3706">
        <v>72.900000000000006</v>
      </c>
    </row>
    <row r="3707" spans="1:27" x14ac:dyDescent="0.25">
      <c r="A3707" t="s">
        <v>261</v>
      </c>
      <c r="B3707" t="s">
        <v>198</v>
      </c>
      <c r="C3707" s="76">
        <v>44007</v>
      </c>
      <c r="D3707">
        <v>4994</v>
      </c>
      <c r="E3707">
        <v>1212</v>
      </c>
      <c r="F3707">
        <v>8776</v>
      </c>
      <c r="G3707">
        <v>2381</v>
      </c>
      <c r="H3707">
        <v>67.7</v>
      </c>
      <c r="I3707">
        <v>59.2</v>
      </c>
      <c r="J3707">
        <v>76.3</v>
      </c>
      <c r="K3707">
        <v>234</v>
      </c>
      <c r="L3707">
        <v>84</v>
      </c>
      <c r="M3707">
        <v>385</v>
      </c>
      <c r="N3707">
        <v>3.2</v>
      </c>
      <c r="O3707">
        <v>2.1</v>
      </c>
      <c r="P3707">
        <v>4.3</v>
      </c>
      <c r="Q3707">
        <f t="shared" si="114"/>
        <v>4289439</v>
      </c>
      <c r="R3707">
        <f t="shared" si="113"/>
        <v>5.4552588345468953</v>
      </c>
      <c r="U3707">
        <v>750</v>
      </c>
      <c r="V3707">
        <v>87</v>
      </c>
      <c r="W3707">
        <v>1413</v>
      </c>
      <c r="X3707">
        <v>391</v>
      </c>
      <c r="Y3707">
        <v>65.7</v>
      </c>
      <c r="Z3707">
        <v>60</v>
      </c>
      <c r="AA3707">
        <v>71.5</v>
      </c>
    </row>
    <row r="3708" spans="1:27" x14ac:dyDescent="0.25">
      <c r="A3708" t="s">
        <v>261</v>
      </c>
      <c r="B3708" t="s">
        <v>198</v>
      </c>
      <c r="C3708" s="76">
        <v>44008</v>
      </c>
      <c r="D3708">
        <v>4968</v>
      </c>
      <c r="E3708">
        <v>1147</v>
      </c>
      <c r="F3708">
        <v>8789</v>
      </c>
      <c r="G3708">
        <v>2408</v>
      </c>
      <c r="H3708">
        <v>67.400000000000006</v>
      </c>
      <c r="I3708">
        <v>57.8</v>
      </c>
      <c r="J3708">
        <v>76.900000000000006</v>
      </c>
      <c r="K3708">
        <v>167</v>
      </c>
      <c r="L3708">
        <v>53</v>
      </c>
      <c r="M3708">
        <v>281</v>
      </c>
      <c r="N3708">
        <v>2.2999999999999998</v>
      </c>
      <c r="O3708">
        <v>1.5</v>
      </c>
      <c r="P3708">
        <v>3</v>
      </c>
      <c r="Q3708">
        <f t="shared" si="114"/>
        <v>4289439</v>
      </c>
      <c r="R3708">
        <f t="shared" si="113"/>
        <v>3.8932830143988522</v>
      </c>
      <c r="U3708">
        <v>719</v>
      </c>
      <c r="V3708">
        <v>69</v>
      </c>
      <c r="W3708">
        <v>1369</v>
      </c>
      <c r="X3708">
        <v>426</v>
      </c>
      <c r="Y3708">
        <v>62.8</v>
      </c>
      <c r="Z3708">
        <v>56.7</v>
      </c>
      <c r="AA3708">
        <v>68.900000000000006</v>
      </c>
    </row>
    <row r="3709" spans="1:27" x14ac:dyDescent="0.25">
      <c r="A3709" t="s">
        <v>261</v>
      </c>
      <c r="B3709" t="s">
        <v>198</v>
      </c>
      <c r="C3709" s="76">
        <v>44009</v>
      </c>
      <c r="D3709">
        <v>4570</v>
      </c>
      <c r="E3709">
        <v>2018</v>
      </c>
      <c r="F3709">
        <v>7122</v>
      </c>
      <c r="G3709">
        <v>2979</v>
      </c>
      <c r="H3709">
        <v>60.5</v>
      </c>
      <c r="I3709">
        <v>53.3</v>
      </c>
      <c r="J3709">
        <v>67.8</v>
      </c>
      <c r="K3709">
        <v>154</v>
      </c>
      <c r="L3709">
        <v>66</v>
      </c>
      <c r="M3709">
        <v>242</v>
      </c>
      <c r="N3709">
        <v>2</v>
      </c>
      <c r="O3709">
        <v>1.5</v>
      </c>
      <c r="P3709">
        <v>2.5</v>
      </c>
      <c r="Q3709">
        <f t="shared" si="114"/>
        <v>4289439</v>
      </c>
      <c r="R3709">
        <f t="shared" si="113"/>
        <v>3.5902130791462477</v>
      </c>
      <c r="U3709">
        <v>669</v>
      </c>
      <c r="V3709">
        <v>224</v>
      </c>
      <c r="W3709">
        <v>1113</v>
      </c>
      <c r="X3709">
        <v>446</v>
      </c>
      <c r="Y3709">
        <v>60</v>
      </c>
      <c r="Z3709">
        <v>51.7</v>
      </c>
      <c r="AA3709">
        <v>68.3</v>
      </c>
    </row>
    <row r="3710" spans="1:27" x14ac:dyDescent="0.25">
      <c r="A3710" t="s">
        <v>261</v>
      </c>
      <c r="B3710" t="s">
        <v>198</v>
      </c>
      <c r="C3710" s="76">
        <v>44010</v>
      </c>
      <c r="D3710">
        <v>4396</v>
      </c>
      <c r="E3710">
        <v>1898</v>
      </c>
      <c r="F3710">
        <v>6894</v>
      </c>
      <c r="G3710">
        <v>3061</v>
      </c>
      <c r="H3710">
        <v>59</v>
      </c>
      <c r="I3710">
        <v>51.9</v>
      </c>
      <c r="J3710">
        <v>66</v>
      </c>
      <c r="K3710">
        <v>156</v>
      </c>
      <c r="L3710">
        <v>62</v>
      </c>
      <c r="M3710">
        <v>249</v>
      </c>
      <c r="N3710">
        <v>2.1</v>
      </c>
      <c r="O3710">
        <v>1.5</v>
      </c>
      <c r="P3710">
        <v>2.7</v>
      </c>
      <c r="Q3710">
        <f t="shared" si="114"/>
        <v>4289439</v>
      </c>
      <c r="R3710">
        <f t="shared" si="113"/>
        <v>3.6368392230312638</v>
      </c>
      <c r="U3710">
        <v>633</v>
      </c>
      <c r="V3710">
        <v>208</v>
      </c>
      <c r="W3710">
        <v>1058</v>
      </c>
      <c r="X3710">
        <v>467</v>
      </c>
      <c r="Y3710">
        <v>57.6</v>
      </c>
      <c r="Z3710">
        <v>48</v>
      </c>
      <c r="AA3710">
        <v>67.099999999999994</v>
      </c>
    </row>
    <row r="3711" spans="1:27" x14ac:dyDescent="0.25">
      <c r="A3711" t="s">
        <v>261</v>
      </c>
      <c r="B3711" t="s">
        <v>198</v>
      </c>
      <c r="C3711" s="76">
        <v>44011</v>
      </c>
      <c r="D3711">
        <v>4315</v>
      </c>
      <c r="E3711">
        <v>992</v>
      </c>
      <c r="F3711">
        <v>7639</v>
      </c>
      <c r="G3711">
        <v>2986</v>
      </c>
      <c r="H3711">
        <v>59.1</v>
      </c>
      <c r="I3711">
        <v>51.9</v>
      </c>
      <c r="J3711">
        <v>66.3</v>
      </c>
      <c r="K3711">
        <v>153</v>
      </c>
      <c r="L3711">
        <v>53</v>
      </c>
      <c r="M3711">
        <v>253</v>
      </c>
      <c r="N3711">
        <v>2.1</v>
      </c>
      <c r="O3711">
        <v>1.2</v>
      </c>
      <c r="P3711">
        <v>3</v>
      </c>
      <c r="Q3711">
        <f t="shared" si="114"/>
        <v>4289439</v>
      </c>
      <c r="R3711">
        <f t="shared" si="113"/>
        <v>3.5669000072037393</v>
      </c>
      <c r="U3711">
        <v>657</v>
      </c>
      <c r="V3711">
        <v>64</v>
      </c>
      <c r="W3711">
        <v>1250</v>
      </c>
      <c r="X3711">
        <v>468</v>
      </c>
      <c r="Y3711">
        <v>58.4</v>
      </c>
      <c r="Z3711">
        <v>54</v>
      </c>
      <c r="AA3711">
        <v>62.8</v>
      </c>
    </row>
    <row r="3712" spans="1:27" x14ac:dyDescent="0.25">
      <c r="A3712" t="s">
        <v>261</v>
      </c>
      <c r="B3712" t="s">
        <v>198</v>
      </c>
      <c r="C3712" s="76">
        <v>44012</v>
      </c>
      <c r="D3712">
        <v>4513</v>
      </c>
      <c r="E3712">
        <v>1254</v>
      </c>
      <c r="F3712">
        <v>7773</v>
      </c>
      <c r="G3712">
        <v>2805</v>
      </c>
      <c r="H3712">
        <v>61.7</v>
      </c>
      <c r="I3712">
        <v>57.1</v>
      </c>
      <c r="J3712">
        <v>66.2</v>
      </c>
      <c r="K3712">
        <v>183</v>
      </c>
      <c r="L3712">
        <v>65</v>
      </c>
      <c r="M3712">
        <v>300</v>
      </c>
      <c r="N3712">
        <v>2.5</v>
      </c>
      <c r="O3712">
        <v>1.2</v>
      </c>
      <c r="P3712">
        <v>3.8</v>
      </c>
      <c r="Q3712">
        <f t="shared" si="114"/>
        <v>4289439</v>
      </c>
      <c r="R3712">
        <f t="shared" si="113"/>
        <v>4.2662921654789816</v>
      </c>
      <c r="U3712">
        <v>728</v>
      </c>
      <c r="V3712">
        <v>61</v>
      </c>
      <c r="W3712">
        <v>1395</v>
      </c>
      <c r="X3712">
        <v>406</v>
      </c>
      <c r="Y3712">
        <v>64.2</v>
      </c>
      <c r="Z3712">
        <v>58.1</v>
      </c>
      <c r="AA3712">
        <v>70.3</v>
      </c>
    </row>
    <row r="3713" spans="1:27" x14ac:dyDescent="0.25">
      <c r="A3713" t="s">
        <v>261</v>
      </c>
      <c r="B3713" t="s">
        <v>198</v>
      </c>
      <c r="C3713" s="76">
        <v>44013</v>
      </c>
      <c r="D3713">
        <v>4693</v>
      </c>
      <c r="E3713">
        <v>1076</v>
      </c>
      <c r="F3713">
        <v>8310</v>
      </c>
      <c r="G3713">
        <v>2610</v>
      </c>
      <c r="H3713">
        <v>64.3</v>
      </c>
      <c r="I3713">
        <v>55.2</v>
      </c>
      <c r="J3713">
        <v>73.400000000000006</v>
      </c>
      <c r="K3713">
        <v>183</v>
      </c>
      <c r="L3713">
        <v>66</v>
      </c>
      <c r="M3713">
        <v>300</v>
      </c>
      <c r="N3713">
        <v>2.5</v>
      </c>
      <c r="O3713">
        <v>1.1000000000000001</v>
      </c>
      <c r="P3713">
        <v>3.9</v>
      </c>
      <c r="Q3713">
        <f t="shared" si="114"/>
        <v>4289439</v>
      </c>
      <c r="R3713">
        <f t="shared" si="113"/>
        <v>4.2662921654789816</v>
      </c>
      <c r="U3713">
        <v>715</v>
      </c>
      <c r="V3713">
        <v>64</v>
      </c>
      <c r="W3713">
        <v>1367</v>
      </c>
      <c r="X3713">
        <v>426</v>
      </c>
      <c r="Y3713">
        <v>62.6</v>
      </c>
      <c r="Z3713">
        <v>55.2</v>
      </c>
      <c r="AA3713">
        <v>70.099999999999994</v>
      </c>
    </row>
    <row r="3714" spans="1:27" x14ac:dyDescent="0.25">
      <c r="A3714" t="s">
        <v>261</v>
      </c>
      <c r="B3714" t="s">
        <v>198</v>
      </c>
      <c r="C3714" s="76">
        <v>44014</v>
      </c>
      <c r="D3714">
        <v>4758</v>
      </c>
      <c r="E3714">
        <v>1104</v>
      </c>
      <c r="F3714">
        <v>8412</v>
      </c>
      <c r="G3714">
        <v>2629</v>
      </c>
      <c r="H3714">
        <v>64.400000000000006</v>
      </c>
      <c r="I3714">
        <v>55.1</v>
      </c>
      <c r="J3714">
        <v>73.7</v>
      </c>
      <c r="K3714">
        <v>172</v>
      </c>
      <c r="L3714">
        <v>74</v>
      </c>
      <c r="M3714">
        <v>271</v>
      </c>
      <c r="N3714">
        <v>2.2999999999999998</v>
      </c>
      <c r="O3714">
        <v>1.1000000000000001</v>
      </c>
      <c r="P3714">
        <v>3.6</v>
      </c>
      <c r="Q3714">
        <f t="shared" si="114"/>
        <v>4289439</v>
      </c>
      <c r="R3714">
        <f t="shared" si="113"/>
        <v>4.0098483741113933</v>
      </c>
      <c r="U3714">
        <v>711</v>
      </c>
      <c r="V3714">
        <v>77</v>
      </c>
      <c r="W3714">
        <v>1345</v>
      </c>
      <c r="X3714">
        <v>432</v>
      </c>
      <c r="Y3714">
        <v>62.2</v>
      </c>
      <c r="Z3714">
        <v>53.3</v>
      </c>
      <c r="AA3714">
        <v>71.099999999999994</v>
      </c>
    </row>
    <row r="3715" spans="1:27" x14ac:dyDescent="0.25">
      <c r="A3715" t="s">
        <v>261</v>
      </c>
      <c r="B3715" t="s">
        <v>198</v>
      </c>
      <c r="C3715" s="76">
        <v>44015</v>
      </c>
      <c r="D3715">
        <v>4722</v>
      </c>
      <c r="E3715">
        <v>1142</v>
      </c>
      <c r="F3715">
        <v>8302</v>
      </c>
      <c r="G3715">
        <v>2668</v>
      </c>
      <c r="H3715">
        <v>63.9</v>
      </c>
      <c r="I3715">
        <v>55.7</v>
      </c>
      <c r="J3715">
        <v>72.099999999999994</v>
      </c>
      <c r="K3715">
        <v>182</v>
      </c>
      <c r="L3715">
        <v>81</v>
      </c>
      <c r="M3715">
        <v>282</v>
      </c>
      <c r="N3715">
        <v>2.5</v>
      </c>
      <c r="O3715">
        <v>1</v>
      </c>
      <c r="P3715">
        <v>3.9</v>
      </c>
      <c r="Q3715">
        <f t="shared" si="114"/>
        <v>4289439</v>
      </c>
      <c r="R3715">
        <f t="shared" si="113"/>
        <v>4.2429790935364737</v>
      </c>
      <c r="U3715">
        <v>730</v>
      </c>
      <c r="V3715">
        <v>72</v>
      </c>
      <c r="W3715">
        <v>1388</v>
      </c>
      <c r="X3715">
        <v>420</v>
      </c>
      <c r="Y3715">
        <v>63.5</v>
      </c>
      <c r="Z3715">
        <v>55.5</v>
      </c>
      <c r="AA3715">
        <v>71.400000000000006</v>
      </c>
    </row>
    <row r="3716" spans="1:27" x14ac:dyDescent="0.25">
      <c r="A3716" t="s">
        <v>261</v>
      </c>
      <c r="B3716" t="s">
        <v>198</v>
      </c>
      <c r="C3716" s="76">
        <v>44016</v>
      </c>
      <c r="D3716">
        <v>4446</v>
      </c>
      <c r="E3716">
        <v>1101</v>
      </c>
      <c r="F3716">
        <v>7791</v>
      </c>
      <c r="G3716">
        <v>2961</v>
      </c>
      <c r="H3716">
        <v>60</v>
      </c>
      <c r="I3716">
        <v>52.3</v>
      </c>
      <c r="J3716">
        <v>67.7</v>
      </c>
      <c r="K3716">
        <v>174</v>
      </c>
      <c r="L3716">
        <v>76</v>
      </c>
      <c r="M3716">
        <v>272</v>
      </c>
      <c r="N3716">
        <v>2.2999999999999998</v>
      </c>
      <c r="O3716">
        <v>1.4</v>
      </c>
      <c r="P3716">
        <v>3.3</v>
      </c>
      <c r="Q3716">
        <f t="shared" si="114"/>
        <v>4289439</v>
      </c>
      <c r="R3716">
        <f t="shared" si="113"/>
        <v>4.056474517996409</v>
      </c>
      <c r="U3716">
        <v>678</v>
      </c>
      <c r="V3716">
        <v>72</v>
      </c>
      <c r="W3716">
        <v>1285</v>
      </c>
      <c r="X3716">
        <v>465</v>
      </c>
      <c r="Y3716">
        <v>59.4</v>
      </c>
      <c r="Z3716">
        <v>53.3</v>
      </c>
      <c r="AA3716">
        <v>65.400000000000006</v>
      </c>
    </row>
    <row r="3717" spans="1:27" x14ac:dyDescent="0.25">
      <c r="A3717" t="s">
        <v>261</v>
      </c>
      <c r="B3717" t="s">
        <v>198</v>
      </c>
      <c r="C3717" s="76">
        <v>44017</v>
      </c>
      <c r="D3717">
        <v>4408</v>
      </c>
      <c r="E3717">
        <v>979</v>
      </c>
      <c r="F3717">
        <v>7836</v>
      </c>
      <c r="G3717">
        <v>2993</v>
      </c>
      <c r="H3717">
        <v>59.6</v>
      </c>
      <c r="I3717">
        <v>50.5</v>
      </c>
      <c r="J3717">
        <v>68.599999999999994</v>
      </c>
      <c r="K3717">
        <v>190</v>
      </c>
      <c r="L3717">
        <v>95</v>
      </c>
      <c r="M3717">
        <v>286</v>
      </c>
      <c r="N3717">
        <v>2.6</v>
      </c>
      <c r="O3717">
        <v>1.5</v>
      </c>
      <c r="P3717">
        <v>3.6</v>
      </c>
      <c r="Q3717">
        <f t="shared" si="114"/>
        <v>4289439</v>
      </c>
      <c r="R3717">
        <f t="shared" ref="R3717:R3780" si="115">K3717/(Q3717)*100000</f>
        <v>4.4294836690765393</v>
      </c>
      <c r="U3717">
        <v>675</v>
      </c>
      <c r="V3717">
        <v>67</v>
      </c>
      <c r="W3717">
        <v>1283</v>
      </c>
      <c r="X3717">
        <v>477</v>
      </c>
      <c r="Y3717">
        <v>58.6</v>
      </c>
      <c r="Z3717">
        <v>51.3</v>
      </c>
      <c r="AA3717">
        <v>65.8</v>
      </c>
    </row>
    <row r="3718" spans="1:27" x14ac:dyDescent="0.25">
      <c r="A3718" t="s">
        <v>261</v>
      </c>
      <c r="B3718" t="s">
        <v>198</v>
      </c>
      <c r="C3718" s="76">
        <v>44018</v>
      </c>
      <c r="D3718">
        <v>4611</v>
      </c>
      <c r="E3718">
        <v>1067</v>
      </c>
      <c r="F3718">
        <v>8155</v>
      </c>
      <c r="G3718">
        <v>2784</v>
      </c>
      <c r="H3718">
        <v>62.4</v>
      </c>
      <c r="I3718">
        <v>54</v>
      </c>
      <c r="J3718">
        <v>70.7</v>
      </c>
      <c r="K3718">
        <v>211</v>
      </c>
      <c r="L3718">
        <v>90</v>
      </c>
      <c r="M3718">
        <v>332</v>
      </c>
      <c r="N3718">
        <v>2.9</v>
      </c>
      <c r="O3718">
        <v>2</v>
      </c>
      <c r="P3718">
        <v>3.7</v>
      </c>
      <c r="Q3718">
        <f t="shared" si="114"/>
        <v>4289439</v>
      </c>
      <c r="R3718">
        <f t="shared" si="115"/>
        <v>4.919058179869209</v>
      </c>
      <c r="U3718">
        <v>708</v>
      </c>
      <c r="V3718">
        <v>59</v>
      </c>
      <c r="W3718">
        <v>1357</v>
      </c>
      <c r="X3718">
        <v>442</v>
      </c>
      <c r="Y3718">
        <v>61.6</v>
      </c>
      <c r="Z3718">
        <v>54.6</v>
      </c>
      <c r="AA3718">
        <v>68.599999999999994</v>
      </c>
    </row>
    <row r="3719" spans="1:27" x14ac:dyDescent="0.25">
      <c r="A3719" t="s">
        <v>261</v>
      </c>
      <c r="B3719" t="s">
        <v>198</v>
      </c>
      <c r="C3719" s="76">
        <v>44019</v>
      </c>
      <c r="D3719">
        <v>4921</v>
      </c>
      <c r="E3719">
        <v>1189</v>
      </c>
      <c r="F3719">
        <v>8653</v>
      </c>
      <c r="G3719">
        <v>2453</v>
      </c>
      <c r="H3719">
        <v>66.7</v>
      </c>
      <c r="I3719">
        <v>58.3</v>
      </c>
      <c r="J3719">
        <v>75.2</v>
      </c>
      <c r="K3719">
        <v>238</v>
      </c>
      <c r="L3719">
        <v>77</v>
      </c>
      <c r="M3719">
        <v>400</v>
      </c>
      <c r="N3719">
        <v>3.2</v>
      </c>
      <c r="O3719">
        <v>2.2000000000000002</v>
      </c>
      <c r="P3719">
        <v>4.2</v>
      </c>
      <c r="Q3719">
        <f t="shared" si="114"/>
        <v>4289439</v>
      </c>
      <c r="R3719">
        <f t="shared" si="115"/>
        <v>5.5485111223169277</v>
      </c>
      <c r="U3719">
        <v>762</v>
      </c>
      <c r="V3719">
        <v>82</v>
      </c>
      <c r="W3719">
        <v>1442</v>
      </c>
      <c r="X3719">
        <v>390</v>
      </c>
      <c r="Y3719">
        <v>66.099999999999994</v>
      </c>
      <c r="Z3719">
        <v>57.8</v>
      </c>
      <c r="AA3719">
        <v>74.400000000000006</v>
      </c>
    </row>
    <row r="3720" spans="1:27" x14ac:dyDescent="0.25">
      <c r="A3720" t="s">
        <v>262</v>
      </c>
      <c r="B3720" t="s">
        <v>172</v>
      </c>
      <c r="C3720" s="76">
        <v>43922</v>
      </c>
      <c r="D3720">
        <v>21953</v>
      </c>
      <c r="E3720">
        <v>15728</v>
      </c>
      <c r="F3720">
        <v>28177</v>
      </c>
      <c r="G3720">
        <v>19928</v>
      </c>
      <c r="H3720">
        <v>52.4</v>
      </c>
      <c r="I3720">
        <v>48.2</v>
      </c>
      <c r="J3720">
        <v>56.6</v>
      </c>
      <c r="K3720">
        <v>2438</v>
      </c>
      <c r="L3720">
        <v>1504</v>
      </c>
      <c r="M3720">
        <v>3371</v>
      </c>
      <c r="N3720">
        <v>5.8</v>
      </c>
      <c r="O3720">
        <v>4</v>
      </c>
      <c r="P3720">
        <v>7.6</v>
      </c>
      <c r="Q3720">
        <f t="shared" si="114"/>
        <v>12804123</v>
      </c>
      <c r="R3720">
        <f t="shared" si="115"/>
        <v>19.040741798559729</v>
      </c>
      <c r="U3720">
        <v>3501</v>
      </c>
      <c r="V3720">
        <v>2006</v>
      </c>
      <c r="W3720">
        <v>4995</v>
      </c>
      <c r="X3720">
        <v>2434</v>
      </c>
      <c r="Y3720">
        <v>59</v>
      </c>
      <c r="Z3720">
        <v>52.2</v>
      </c>
      <c r="AA3720">
        <v>65.8</v>
      </c>
    </row>
    <row r="3721" spans="1:27" x14ac:dyDescent="0.25">
      <c r="A3721" t="s">
        <v>262</v>
      </c>
      <c r="B3721" t="s">
        <v>172</v>
      </c>
      <c r="C3721" s="76">
        <v>43923</v>
      </c>
      <c r="D3721">
        <v>22494</v>
      </c>
      <c r="E3721">
        <v>15831</v>
      </c>
      <c r="F3721">
        <v>29157</v>
      </c>
      <c r="G3721">
        <v>20005</v>
      </c>
      <c r="H3721">
        <v>52.9</v>
      </c>
      <c r="I3721">
        <v>48.8</v>
      </c>
      <c r="J3721">
        <v>57</v>
      </c>
      <c r="K3721">
        <v>2365</v>
      </c>
      <c r="L3721">
        <v>1421</v>
      </c>
      <c r="M3721">
        <v>3308</v>
      </c>
      <c r="N3721">
        <v>5.6</v>
      </c>
      <c r="O3721">
        <v>3.7</v>
      </c>
      <c r="P3721">
        <v>7.5</v>
      </c>
      <c r="Q3721">
        <f t="shared" si="114"/>
        <v>12804123</v>
      </c>
      <c r="R3721">
        <f t="shared" si="115"/>
        <v>18.470612942409254</v>
      </c>
      <c r="U3721">
        <v>3431</v>
      </c>
      <c r="V3721">
        <v>2027</v>
      </c>
      <c r="W3721">
        <v>4835</v>
      </c>
      <c r="X3721">
        <v>2086</v>
      </c>
      <c r="Y3721">
        <v>62.2</v>
      </c>
      <c r="Z3721">
        <v>55</v>
      </c>
      <c r="AA3721">
        <v>69.400000000000006</v>
      </c>
    </row>
    <row r="3722" spans="1:27" x14ac:dyDescent="0.25">
      <c r="A3722" t="s">
        <v>262</v>
      </c>
      <c r="B3722" t="s">
        <v>172</v>
      </c>
      <c r="C3722" s="76">
        <v>43924</v>
      </c>
      <c r="D3722">
        <v>20672</v>
      </c>
      <c r="E3722">
        <v>15209</v>
      </c>
      <c r="F3722">
        <v>26136</v>
      </c>
      <c r="G3722">
        <v>19716</v>
      </c>
      <c r="H3722">
        <v>51.2</v>
      </c>
      <c r="I3722">
        <v>47.5</v>
      </c>
      <c r="J3722">
        <v>54.9</v>
      </c>
      <c r="K3722">
        <v>2553</v>
      </c>
      <c r="L3722">
        <v>1670</v>
      </c>
      <c r="M3722">
        <v>3436</v>
      </c>
      <c r="N3722">
        <v>6.3</v>
      </c>
      <c r="O3722">
        <v>4.5</v>
      </c>
      <c r="P3722">
        <v>8.1</v>
      </c>
      <c r="Q3722">
        <f t="shared" si="114"/>
        <v>12804123</v>
      </c>
      <c r="R3722">
        <f t="shared" si="115"/>
        <v>19.938889996604999</v>
      </c>
      <c r="U3722">
        <v>3239</v>
      </c>
      <c r="V3722">
        <v>1925</v>
      </c>
      <c r="W3722">
        <v>4554</v>
      </c>
      <c r="X3722">
        <v>2298</v>
      </c>
      <c r="Y3722">
        <v>58.5</v>
      </c>
      <c r="Z3722">
        <v>52.1</v>
      </c>
      <c r="AA3722">
        <v>64.900000000000006</v>
      </c>
    </row>
    <row r="3723" spans="1:27" x14ac:dyDescent="0.25">
      <c r="A3723" t="s">
        <v>262</v>
      </c>
      <c r="B3723" t="s">
        <v>172</v>
      </c>
      <c r="C3723" s="76">
        <v>43925</v>
      </c>
      <c r="D3723">
        <v>20415</v>
      </c>
      <c r="E3723">
        <v>14997</v>
      </c>
      <c r="F3723">
        <v>25832</v>
      </c>
      <c r="G3723">
        <v>19515</v>
      </c>
      <c r="H3723">
        <v>51.1</v>
      </c>
      <c r="I3723">
        <v>47.4</v>
      </c>
      <c r="J3723">
        <v>54.8</v>
      </c>
      <c r="K3723">
        <v>2748</v>
      </c>
      <c r="L3723">
        <v>1819</v>
      </c>
      <c r="M3723">
        <v>3677</v>
      </c>
      <c r="N3723">
        <v>6.9</v>
      </c>
      <c r="O3723">
        <v>5</v>
      </c>
      <c r="P3723">
        <v>8.8000000000000007</v>
      </c>
      <c r="Q3723">
        <f t="shared" si="114"/>
        <v>12804123</v>
      </c>
      <c r="R3723">
        <f t="shared" si="115"/>
        <v>21.461836941116545</v>
      </c>
      <c r="U3723">
        <v>3438</v>
      </c>
      <c r="V3723">
        <v>2078</v>
      </c>
      <c r="W3723">
        <v>4797</v>
      </c>
      <c r="X3723">
        <v>2226</v>
      </c>
      <c r="Y3723">
        <v>60.7</v>
      </c>
      <c r="Z3723">
        <v>54.2</v>
      </c>
      <c r="AA3723">
        <v>67.2</v>
      </c>
    </row>
    <row r="3724" spans="1:27" x14ac:dyDescent="0.25">
      <c r="A3724" t="s">
        <v>262</v>
      </c>
      <c r="B3724" t="s">
        <v>172</v>
      </c>
      <c r="C3724" s="76">
        <v>43926</v>
      </c>
      <c r="D3724">
        <v>21193</v>
      </c>
      <c r="E3724">
        <v>15481</v>
      </c>
      <c r="F3724">
        <v>26905</v>
      </c>
      <c r="G3724">
        <v>18588</v>
      </c>
      <c r="H3724">
        <v>53.3</v>
      </c>
      <c r="I3724">
        <v>49.1</v>
      </c>
      <c r="J3724">
        <v>57.4</v>
      </c>
      <c r="K3724">
        <v>2863</v>
      </c>
      <c r="L3724">
        <v>1900</v>
      </c>
      <c r="M3724">
        <v>3826</v>
      </c>
      <c r="N3724">
        <v>7.2</v>
      </c>
      <c r="O3724">
        <v>5.3</v>
      </c>
      <c r="P3724">
        <v>9.1</v>
      </c>
      <c r="Q3724">
        <f t="shared" si="114"/>
        <v>12804123</v>
      </c>
      <c r="R3724">
        <f t="shared" si="115"/>
        <v>22.359985139161815</v>
      </c>
      <c r="U3724">
        <v>3416</v>
      </c>
      <c r="V3724">
        <v>2072</v>
      </c>
      <c r="W3724">
        <v>4760</v>
      </c>
      <c r="X3724">
        <v>2288</v>
      </c>
      <c r="Y3724">
        <v>59.9</v>
      </c>
      <c r="Z3724">
        <v>53.4</v>
      </c>
      <c r="AA3724">
        <v>66.400000000000006</v>
      </c>
    </row>
    <row r="3725" spans="1:27" x14ac:dyDescent="0.25">
      <c r="A3725" t="s">
        <v>262</v>
      </c>
      <c r="B3725" t="s">
        <v>172</v>
      </c>
      <c r="C3725" s="76">
        <v>43927</v>
      </c>
      <c r="D3725">
        <v>21355</v>
      </c>
      <c r="E3725">
        <v>15711</v>
      </c>
      <c r="F3725">
        <v>27000</v>
      </c>
      <c r="G3725">
        <v>18828</v>
      </c>
      <c r="H3725">
        <v>53.1</v>
      </c>
      <c r="I3725">
        <v>49.3</v>
      </c>
      <c r="J3725">
        <v>57</v>
      </c>
      <c r="K3725">
        <v>3087</v>
      </c>
      <c r="L3725">
        <v>2082</v>
      </c>
      <c r="M3725">
        <v>4091</v>
      </c>
      <c r="N3725">
        <v>7.7</v>
      </c>
      <c r="O3725">
        <v>5.7</v>
      </c>
      <c r="P3725">
        <v>9.6999999999999993</v>
      </c>
      <c r="Q3725">
        <f t="shared" si="114"/>
        <v>12804123</v>
      </c>
      <c r="R3725">
        <f t="shared" si="115"/>
        <v>24.109421629267384</v>
      </c>
      <c r="U3725">
        <v>3404</v>
      </c>
      <c r="V3725">
        <v>2072</v>
      </c>
      <c r="W3725">
        <v>4735</v>
      </c>
      <c r="X3725">
        <v>2239</v>
      </c>
      <c r="Y3725">
        <v>60.3</v>
      </c>
      <c r="Z3725">
        <v>53.8</v>
      </c>
      <c r="AA3725">
        <v>66.900000000000006</v>
      </c>
    </row>
    <row r="3726" spans="1:27" x14ac:dyDescent="0.25">
      <c r="A3726" t="s">
        <v>262</v>
      </c>
      <c r="B3726" t="s">
        <v>172</v>
      </c>
      <c r="C3726" s="76">
        <v>43928</v>
      </c>
      <c r="D3726">
        <v>22248</v>
      </c>
      <c r="E3726">
        <v>16452</v>
      </c>
      <c r="F3726">
        <v>28044</v>
      </c>
      <c r="G3726">
        <v>18077</v>
      </c>
      <c r="H3726">
        <v>55.2</v>
      </c>
      <c r="I3726">
        <v>51.2</v>
      </c>
      <c r="J3726">
        <v>59.2</v>
      </c>
      <c r="K3726">
        <v>3115</v>
      </c>
      <c r="L3726">
        <v>2113</v>
      </c>
      <c r="M3726">
        <v>4117</v>
      </c>
      <c r="N3726">
        <v>7.7</v>
      </c>
      <c r="O3726">
        <v>5.7</v>
      </c>
      <c r="P3726">
        <v>9.8000000000000007</v>
      </c>
      <c r="Q3726">
        <f t="shared" si="114"/>
        <v>12804123</v>
      </c>
      <c r="R3726">
        <f t="shared" si="115"/>
        <v>24.328101190530582</v>
      </c>
      <c r="U3726">
        <v>3294</v>
      </c>
      <c r="V3726">
        <v>1981</v>
      </c>
      <c r="W3726">
        <v>4607</v>
      </c>
      <c r="X3726">
        <v>2273</v>
      </c>
      <c r="Y3726">
        <v>59.2</v>
      </c>
      <c r="Z3726">
        <v>52.5</v>
      </c>
      <c r="AA3726">
        <v>65.8</v>
      </c>
    </row>
    <row r="3727" spans="1:27" x14ac:dyDescent="0.25">
      <c r="A3727" t="s">
        <v>262</v>
      </c>
      <c r="B3727" t="s">
        <v>172</v>
      </c>
      <c r="C3727" s="76">
        <v>43929</v>
      </c>
      <c r="D3727">
        <v>22052</v>
      </c>
      <c r="E3727">
        <v>16389</v>
      </c>
      <c r="F3727">
        <v>27716</v>
      </c>
      <c r="G3727">
        <v>18039</v>
      </c>
      <c r="H3727">
        <v>55</v>
      </c>
      <c r="I3727">
        <v>51.1</v>
      </c>
      <c r="J3727">
        <v>58.9</v>
      </c>
      <c r="K3727">
        <v>3069</v>
      </c>
      <c r="L3727">
        <v>2047</v>
      </c>
      <c r="M3727">
        <v>4091</v>
      </c>
      <c r="N3727">
        <v>7.7</v>
      </c>
      <c r="O3727">
        <v>5.6</v>
      </c>
      <c r="P3727">
        <v>9.8000000000000007</v>
      </c>
      <c r="Q3727">
        <f t="shared" si="114"/>
        <v>12804123</v>
      </c>
      <c r="R3727">
        <f t="shared" si="115"/>
        <v>23.968841911312474</v>
      </c>
      <c r="U3727">
        <v>3427</v>
      </c>
      <c r="V3727">
        <v>2097</v>
      </c>
      <c r="W3727">
        <v>4757</v>
      </c>
      <c r="X3727">
        <v>2147</v>
      </c>
      <c r="Y3727">
        <v>61.5</v>
      </c>
      <c r="Z3727">
        <v>54.7</v>
      </c>
      <c r="AA3727">
        <v>68.2</v>
      </c>
    </row>
    <row r="3728" spans="1:27" x14ac:dyDescent="0.25">
      <c r="A3728" t="s">
        <v>262</v>
      </c>
      <c r="B3728" t="s">
        <v>172</v>
      </c>
      <c r="C3728" s="76">
        <v>43930</v>
      </c>
      <c r="D3728">
        <v>21332</v>
      </c>
      <c r="E3728">
        <v>16104</v>
      </c>
      <c r="F3728">
        <v>26561</v>
      </c>
      <c r="G3728">
        <v>17726</v>
      </c>
      <c r="H3728">
        <v>54.6</v>
      </c>
      <c r="I3728">
        <v>51.5</v>
      </c>
      <c r="J3728">
        <v>57.8</v>
      </c>
      <c r="K3728">
        <v>3236</v>
      </c>
      <c r="L3728">
        <v>2116</v>
      </c>
      <c r="M3728">
        <v>4355</v>
      </c>
      <c r="N3728">
        <v>8.3000000000000007</v>
      </c>
      <c r="O3728">
        <v>5.9</v>
      </c>
      <c r="P3728">
        <v>10.7</v>
      </c>
      <c r="Q3728">
        <f t="shared" si="114"/>
        <v>12804123</v>
      </c>
      <c r="R3728">
        <f t="shared" si="115"/>
        <v>25.273109294560822</v>
      </c>
      <c r="U3728">
        <v>3369</v>
      </c>
      <c r="V3728">
        <v>2094</v>
      </c>
      <c r="W3728">
        <v>4643</v>
      </c>
      <c r="X3728">
        <v>2047</v>
      </c>
      <c r="Y3728">
        <v>62.2</v>
      </c>
      <c r="Z3728">
        <v>55.9</v>
      </c>
      <c r="AA3728">
        <v>68.5</v>
      </c>
    </row>
    <row r="3729" spans="1:27" x14ac:dyDescent="0.25">
      <c r="A3729" t="s">
        <v>262</v>
      </c>
      <c r="B3729" t="s">
        <v>172</v>
      </c>
      <c r="C3729" s="76">
        <v>43931</v>
      </c>
      <c r="D3729">
        <v>20995</v>
      </c>
      <c r="E3729">
        <v>15872</v>
      </c>
      <c r="F3729">
        <v>26118</v>
      </c>
      <c r="G3729">
        <v>18013</v>
      </c>
      <c r="H3729">
        <v>53.8</v>
      </c>
      <c r="I3729">
        <v>50.7</v>
      </c>
      <c r="J3729">
        <v>57</v>
      </c>
      <c r="K3729">
        <v>3279</v>
      </c>
      <c r="L3729">
        <v>2117</v>
      </c>
      <c r="M3729">
        <v>4442</v>
      </c>
      <c r="N3729">
        <v>8.4</v>
      </c>
      <c r="O3729">
        <v>5.9</v>
      </c>
      <c r="P3729">
        <v>10.9</v>
      </c>
      <c r="Q3729">
        <f t="shared" si="114"/>
        <v>12804123</v>
      </c>
      <c r="R3729">
        <f t="shared" si="115"/>
        <v>25.608938620786443</v>
      </c>
      <c r="U3729">
        <v>3256</v>
      </c>
      <c r="V3729">
        <v>2042</v>
      </c>
      <c r="W3729">
        <v>4469</v>
      </c>
      <c r="X3729">
        <v>2123</v>
      </c>
      <c r="Y3729">
        <v>60.5</v>
      </c>
      <c r="Z3729">
        <v>54.1</v>
      </c>
      <c r="AA3729">
        <v>67</v>
      </c>
    </row>
    <row r="3730" spans="1:27" x14ac:dyDescent="0.25">
      <c r="A3730" t="s">
        <v>262</v>
      </c>
      <c r="B3730" t="s">
        <v>172</v>
      </c>
      <c r="C3730" s="76">
        <v>43932</v>
      </c>
      <c r="D3730">
        <v>20333</v>
      </c>
      <c r="E3730">
        <v>15302</v>
      </c>
      <c r="F3730">
        <v>25363</v>
      </c>
      <c r="G3730">
        <v>18702</v>
      </c>
      <c r="H3730">
        <v>52.1</v>
      </c>
      <c r="I3730">
        <v>48.9</v>
      </c>
      <c r="J3730">
        <v>55.3</v>
      </c>
      <c r="K3730">
        <v>3006</v>
      </c>
      <c r="L3730">
        <v>1971</v>
      </c>
      <c r="M3730">
        <v>4040</v>
      </c>
      <c r="N3730">
        <v>7.7</v>
      </c>
      <c r="O3730">
        <v>5.5</v>
      </c>
      <c r="P3730">
        <v>9.9</v>
      </c>
      <c r="Q3730">
        <f t="shared" si="114"/>
        <v>12804123</v>
      </c>
      <c r="R3730">
        <f t="shared" si="115"/>
        <v>23.476812898470282</v>
      </c>
      <c r="U3730">
        <v>3193</v>
      </c>
      <c r="V3730">
        <v>1986</v>
      </c>
      <c r="W3730">
        <v>4400</v>
      </c>
      <c r="X3730">
        <v>2155</v>
      </c>
      <c r="Y3730">
        <v>59.7</v>
      </c>
      <c r="Z3730">
        <v>53.3</v>
      </c>
      <c r="AA3730">
        <v>66.099999999999994</v>
      </c>
    </row>
    <row r="3731" spans="1:27" x14ac:dyDescent="0.25">
      <c r="A3731" t="s">
        <v>262</v>
      </c>
      <c r="B3731" t="s">
        <v>172</v>
      </c>
      <c r="C3731" s="76">
        <v>43933</v>
      </c>
      <c r="D3731">
        <v>20980</v>
      </c>
      <c r="E3731">
        <v>15779</v>
      </c>
      <c r="F3731">
        <v>26181</v>
      </c>
      <c r="G3731">
        <v>18608</v>
      </c>
      <c r="H3731">
        <v>53</v>
      </c>
      <c r="I3731">
        <v>49.4</v>
      </c>
      <c r="J3731">
        <v>56.6</v>
      </c>
      <c r="K3731">
        <v>3242</v>
      </c>
      <c r="L3731">
        <v>2127</v>
      </c>
      <c r="M3731">
        <v>4358</v>
      </c>
      <c r="N3731">
        <v>8.1999999999999993</v>
      </c>
      <c r="O3731">
        <v>5.9</v>
      </c>
      <c r="P3731">
        <v>10.5</v>
      </c>
      <c r="Q3731">
        <f t="shared" si="114"/>
        <v>12804123</v>
      </c>
      <c r="R3731">
        <f t="shared" si="115"/>
        <v>25.319969200545795</v>
      </c>
      <c r="U3731">
        <v>3198</v>
      </c>
      <c r="V3731">
        <v>2005</v>
      </c>
      <c r="W3731">
        <v>4390</v>
      </c>
      <c r="X3731">
        <v>2199</v>
      </c>
      <c r="Y3731">
        <v>59.3</v>
      </c>
      <c r="Z3731">
        <v>52</v>
      </c>
      <c r="AA3731">
        <v>66.5</v>
      </c>
    </row>
    <row r="3732" spans="1:27" x14ac:dyDescent="0.25">
      <c r="A3732" t="s">
        <v>262</v>
      </c>
      <c r="B3732" t="s">
        <v>172</v>
      </c>
      <c r="C3732" s="76">
        <v>43934</v>
      </c>
      <c r="D3732">
        <v>20684</v>
      </c>
      <c r="E3732">
        <v>16026</v>
      </c>
      <c r="F3732">
        <v>25341</v>
      </c>
      <c r="G3732">
        <v>18197</v>
      </c>
      <c r="H3732">
        <v>53.2</v>
      </c>
      <c r="I3732">
        <v>49.9</v>
      </c>
      <c r="J3732">
        <v>56.5</v>
      </c>
      <c r="K3732">
        <v>3340</v>
      </c>
      <c r="L3732">
        <v>2246</v>
      </c>
      <c r="M3732">
        <v>4434</v>
      </c>
      <c r="N3732">
        <v>8.6</v>
      </c>
      <c r="O3732">
        <v>6.4</v>
      </c>
      <c r="P3732">
        <v>10.8</v>
      </c>
      <c r="Q3732">
        <f t="shared" si="114"/>
        <v>12804123</v>
      </c>
      <c r="R3732">
        <f t="shared" si="115"/>
        <v>26.085347664966978</v>
      </c>
      <c r="U3732">
        <v>3038</v>
      </c>
      <c r="V3732">
        <v>2094</v>
      </c>
      <c r="W3732">
        <v>3982</v>
      </c>
      <c r="X3732">
        <v>2151</v>
      </c>
      <c r="Y3732">
        <v>58.5</v>
      </c>
      <c r="Z3732">
        <v>53.1</v>
      </c>
      <c r="AA3732">
        <v>64</v>
      </c>
    </row>
    <row r="3733" spans="1:27" x14ac:dyDescent="0.25">
      <c r="A3733" t="s">
        <v>262</v>
      </c>
      <c r="B3733" t="s">
        <v>172</v>
      </c>
      <c r="C3733" s="76">
        <v>43935</v>
      </c>
      <c r="D3733">
        <v>21336</v>
      </c>
      <c r="E3733">
        <v>16553</v>
      </c>
      <c r="F3733">
        <v>26119</v>
      </c>
      <c r="G3733">
        <v>17857</v>
      </c>
      <c r="H3733">
        <v>54.4</v>
      </c>
      <c r="I3733">
        <v>51.1</v>
      </c>
      <c r="J3733">
        <v>57.8</v>
      </c>
      <c r="K3733">
        <v>3589</v>
      </c>
      <c r="L3733">
        <v>2353</v>
      </c>
      <c r="M3733">
        <v>4824</v>
      </c>
      <c r="N3733">
        <v>9.1999999999999993</v>
      </c>
      <c r="O3733">
        <v>6.6</v>
      </c>
      <c r="P3733">
        <v>11.7</v>
      </c>
      <c r="Q3733">
        <f t="shared" si="114"/>
        <v>12804123</v>
      </c>
      <c r="R3733">
        <f t="shared" si="115"/>
        <v>28.030033763343258</v>
      </c>
      <c r="U3733">
        <v>3181</v>
      </c>
      <c r="V3733">
        <v>2191</v>
      </c>
      <c r="W3733">
        <v>4171</v>
      </c>
      <c r="X3733">
        <v>2046</v>
      </c>
      <c r="Y3733">
        <v>60.9</v>
      </c>
      <c r="Z3733">
        <v>55.4</v>
      </c>
      <c r="AA3733">
        <v>66.3</v>
      </c>
    </row>
    <row r="3734" spans="1:27" x14ac:dyDescent="0.25">
      <c r="A3734" t="s">
        <v>262</v>
      </c>
      <c r="B3734" t="s">
        <v>172</v>
      </c>
      <c r="C3734" s="76">
        <v>43936</v>
      </c>
      <c r="D3734">
        <v>22008</v>
      </c>
      <c r="E3734">
        <v>17097</v>
      </c>
      <c r="F3734">
        <v>26919</v>
      </c>
      <c r="G3734">
        <v>17043</v>
      </c>
      <c r="H3734">
        <v>56.4</v>
      </c>
      <c r="I3734">
        <v>53.1</v>
      </c>
      <c r="J3734">
        <v>59.6</v>
      </c>
      <c r="K3734">
        <v>3653</v>
      </c>
      <c r="L3734">
        <v>2395</v>
      </c>
      <c r="M3734">
        <v>4911</v>
      </c>
      <c r="N3734">
        <v>9.4</v>
      </c>
      <c r="O3734">
        <v>6.7</v>
      </c>
      <c r="P3734">
        <v>12</v>
      </c>
      <c r="Q3734">
        <f t="shared" si="114"/>
        <v>12804123</v>
      </c>
      <c r="R3734">
        <f t="shared" si="115"/>
        <v>28.529872760516284</v>
      </c>
      <c r="U3734">
        <v>3245</v>
      </c>
      <c r="V3734">
        <v>2237</v>
      </c>
      <c r="W3734">
        <v>4253</v>
      </c>
      <c r="X3734">
        <v>1995</v>
      </c>
      <c r="Y3734">
        <v>61.9</v>
      </c>
      <c r="Z3734">
        <v>56.2</v>
      </c>
      <c r="AA3734">
        <v>67.599999999999994</v>
      </c>
    </row>
    <row r="3735" spans="1:27" x14ac:dyDescent="0.25">
      <c r="A3735" t="s">
        <v>262</v>
      </c>
      <c r="B3735" t="s">
        <v>172</v>
      </c>
      <c r="C3735" s="76">
        <v>43937</v>
      </c>
      <c r="D3735">
        <v>21862</v>
      </c>
      <c r="E3735">
        <v>16980</v>
      </c>
      <c r="F3735">
        <v>26745</v>
      </c>
      <c r="G3735">
        <v>16978</v>
      </c>
      <c r="H3735">
        <v>56.3</v>
      </c>
      <c r="I3735">
        <v>52.9</v>
      </c>
      <c r="J3735">
        <v>59.7</v>
      </c>
      <c r="K3735">
        <v>3568</v>
      </c>
      <c r="L3735">
        <v>2350</v>
      </c>
      <c r="M3735">
        <v>4786</v>
      </c>
      <c r="N3735">
        <v>9.1999999999999993</v>
      </c>
      <c r="O3735">
        <v>6.7</v>
      </c>
      <c r="P3735">
        <v>11.7</v>
      </c>
      <c r="Q3735">
        <f t="shared" si="114"/>
        <v>12804123</v>
      </c>
      <c r="R3735">
        <f t="shared" si="115"/>
        <v>27.866024092395865</v>
      </c>
      <c r="U3735">
        <v>3122</v>
      </c>
      <c r="V3735">
        <v>2164</v>
      </c>
      <c r="W3735">
        <v>4080</v>
      </c>
      <c r="X3735">
        <v>2098</v>
      </c>
      <c r="Y3735">
        <v>59.8</v>
      </c>
      <c r="Z3735">
        <v>54</v>
      </c>
      <c r="AA3735">
        <v>65.599999999999994</v>
      </c>
    </row>
    <row r="3736" spans="1:27" x14ac:dyDescent="0.25">
      <c r="A3736" t="s">
        <v>262</v>
      </c>
      <c r="B3736" t="s">
        <v>172</v>
      </c>
      <c r="C3736" s="76">
        <v>43938</v>
      </c>
      <c r="D3736">
        <v>21542</v>
      </c>
      <c r="E3736">
        <v>16721</v>
      </c>
      <c r="F3736">
        <v>26364</v>
      </c>
      <c r="G3736">
        <v>17117</v>
      </c>
      <c r="H3736">
        <v>55.7</v>
      </c>
      <c r="I3736">
        <v>52.2</v>
      </c>
      <c r="J3736">
        <v>59.2</v>
      </c>
      <c r="K3736">
        <v>3487</v>
      </c>
      <c r="L3736">
        <v>2327</v>
      </c>
      <c r="M3736">
        <v>4648</v>
      </c>
      <c r="N3736">
        <v>9</v>
      </c>
      <c r="O3736">
        <v>6.7</v>
      </c>
      <c r="P3736">
        <v>11.4</v>
      </c>
      <c r="Q3736">
        <f t="shared" si="114"/>
        <v>12804123</v>
      </c>
      <c r="R3736">
        <f t="shared" si="115"/>
        <v>27.233415361598759</v>
      </c>
      <c r="U3736">
        <v>3114</v>
      </c>
      <c r="V3736">
        <v>2137</v>
      </c>
      <c r="W3736">
        <v>4092</v>
      </c>
      <c r="X3736">
        <v>2083</v>
      </c>
      <c r="Y3736">
        <v>59.9</v>
      </c>
      <c r="Z3736">
        <v>53.8</v>
      </c>
      <c r="AA3736">
        <v>66</v>
      </c>
    </row>
    <row r="3737" spans="1:27" x14ac:dyDescent="0.25">
      <c r="A3737" t="s">
        <v>262</v>
      </c>
      <c r="B3737" t="s">
        <v>172</v>
      </c>
      <c r="C3737" s="76">
        <v>43939</v>
      </c>
      <c r="D3737">
        <v>21377</v>
      </c>
      <c r="E3737">
        <v>16564</v>
      </c>
      <c r="F3737">
        <v>26189</v>
      </c>
      <c r="G3737">
        <v>17224</v>
      </c>
      <c r="H3737">
        <v>55.4</v>
      </c>
      <c r="I3737">
        <v>51.8</v>
      </c>
      <c r="J3737">
        <v>59</v>
      </c>
      <c r="K3737">
        <v>3406</v>
      </c>
      <c r="L3737">
        <v>2271</v>
      </c>
      <c r="M3737">
        <v>4540</v>
      </c>
      <c r="N3737">
        <v>8.8000000000000007</v>
      </c>
      <c r="O3737">
        <v>6.5</v>
      </c>
      <c r="P3737">
        <v>11.1</v>
      </c>
      <c r="Q3737">
        <f t="shared" si="114"/>
        <v>12804123</v>
      </c>
      <c r="R3737">
        <f t="shared" si="115"/>
        <v>26.600806630801657</v>
      </c>
      <c r="U3737">
        <v>3120</v>
      </c>
      <c r="V3737">
        <v>2137</v>
      </c>
      <c r="W3737">
        <v>4103</v>
      </c>
      <c r="X3737">
        <v>2064</v>
      </c>
      <c r="Y3737">
        <v>60.2</v>
      </c>
      <c r="Z3737">
        <v>54.3</v>
      </c>
      <c r="AA3737">
        <v>66.099999999999994</v>
      </c>
    </row>
    <row r="3738" spans="1:27" x14ac:dyDescent="0.25">
      <c r="A3738" t="s">
        <v>262</v>
      </c>
      <c r="B3738" t="s">
        <v>172</v>
      </c>
      <c r="C3738" s="76">
        <v>43940</v>
      </c>
      <c r="D3738">
        <v>21422</v>
      </c>
      <c r="E3738">
        <v>16563</v>
      </c>
      <c r="F3738">
        <v>26281</v>
      </c>
      <c r="G3738">
        <v>17158</v>
      </c>
      <c r="H3738">
        <v>55.5</v>
      </c>
      <c r="I3738">
        <v>51.7</v>
      </c>
      <c r="J3738">
        <v>59.3</v>
      </c>
      <c r="K3738">
        <v>3680</v>
      </c>
      <c r="L3738">
        <v>2484</v>
      </c>
      <c r="M3738">
        <v>4876</v>
      </c>
      <c r="N3738">
        <v>9.5</v>
      </c>
      <c r="O3738">
        <v>7.1</v>
      </c>
      <c r="P3738">
        <v>11.9</v>
      </c>
      <c r="Q3738">
        <f t="shared" si="114"/>
        <v>12804123</v>
      </c>
      <c r="R3738">
        <f t="shared" si="115"/>
        <v>28.740742337448651</v>
      </c>
      <c r="U3738">
        <v>3182</v>
      </c>
      <c r="V3738">
        <v>2195</v>
      </c>
      <c r="W3738">
        <v>4170</v>
      </c>
      <c r="X3738">
        <v>2045</v>
      </c>
      <c r="Y3738">
        <v>60.9</v>
      </c>
      <c r="Z3738">
        <v>55.2</v>
      </c>
      <c r="AA3738">
        <v>66.599999999999994</v>
      </c>
    </row>
    <row r="3739" spans="1:27" x14ac:dyDescent="0.25">
      <c r="A3739" t="s">
        <v>262</v>
      </c>
      <c r="B3739" t="s">
        <v>172</v>
      </c>
      <c r="C3739" s="76">
        <v>43941</v>
      </c>
      <c r="D3739">
        <v>22296</v>
      </c>
      <c r="E3739">
        <v>16870</v>
      </c>
      <c r="F3739">
        <v>27721</v>
      </c>
      <c r="G3739">
        <v>15895</v>
      </c>
      <c r="H3739">
        <v>58.4</v>
      </c>
      <c r="I3739">
        <v>54.2</v>
      </c>
      <c r="J3739">
        <v>62.5</v>
      </c>
      <c r="K3739">
        <v>4050</v>
      </c>
      <c r="L3739">
        <v>2698</v>
      </c>
      <c r="M3739">
        <v>5401</v>
      </c>
      <c r="N3739">
        <v>10.6</v>
      </c>
      <c r="O3739">
        <v>8</v>
      </c>
      <c r="P3739">
        <v>13.2</v>
      </c>
      <c r="Q3739">
        <f t="shared" si="114"/>
        <v>12804123</v>
      </c>
      <c r="R3739">
        <f t="shared" si="115"/>
        <v>31.630436539855168</v>
      </c>
      <c r="U3739">
        <v>3093</v>
      </c>
      <c r="V3739">
        <v>2080</v>
      </c>
      <c r="W3739">
        <v>4107</v>
      </c>
      <c r="X3739">
        <v>1972</v>
      </c>
      <c r="Y3739">
        <v>61.1</v>
      </c>
      <c r="Z3739">
        <v>55.2</v>
      </c>
      <c r="AA3739">
        <v>66.900000000000006</v>
      </c>
    </row>
    <row r="3740" spans="1:27" x14ac:dyDescent="0.25">
      <c r="A3740" t="s">
        <v>262</v>
      </c>
      <c r="B3740" t="s">
        <v>172</v>
      </c>
      <c r="C3740" s="76">
        <v>43942</v>
      </c>
      <c r="D3740">
        <v>22228</v>
      </c>
      <c r="E3740">
        <v>16163</v>
      </c>
      <c r="F3740">
        <v>28293</v>
      </c>
      <c r="G3740">
        <v>14864</v>
      </c>
      <c r="H3740">
        <v>59.9</v>
      </c>
      <c r="I3740">
        <v>55.2</v>
      </c>
      <c r="J3740">
        <v>64.7</v>
      </c>
      <c r="K3740">
        <v>4610</v>
      </c>
      <c r="L3740">
        <v>2887</v>
      </c>
      <c r="M3740">
        <v>6332</v>
      </c>
      <c r="N3740">
        <v>12.4</v>
      </c>
      <c r="O3740">
        <v>9.1</v>
      </c>
      <c r="P3740">
        <v>15.8</v>
      </c>
      <c r="Q3740">
        <f t="shared" si="114"/>
        <v>12804123</v>
      </c>
      <c r="R3740">
        <f t="shared" si="115"/>
        <v>36.004027765119091</v>
      </c>
      <c r="U3740">
        <v>2970</v>
      </c>
      <c r="V3740">
        <v>1842</v>
      </c>
      <c r="W3740">
        <v>4097</v>
      </c>
      <c r="X3740">
        <v>1720</v>
      </c>
      <c r="Y3740">
        <v>63.3</v>
      </c>
      <c r="Z3740">
        <v>56.8</v>
      </c>
      <c r="AA3740">
        <v>69.900000000000006</v>
      </c>
    </row>
    <row r="3741" spans="1:27" x14ac:dyDescent="0.25">
      <c r="A3741" t="s">
        <v>262</v>
      </c>
      <c r="B3741" t="s">
        <v>172</v>
      </c>
      <c r="C3741" s="76">
        <v>43943</v>
      </c>
      <c r="D3741">
        <v>21970</v>
      </c>
      <c r="E3741">
        <v>15753</v>
      </c>
      <c r="F3741">
        <v>28188</v>
      </c>
      <c r="G3741">
        <v>14856</v>
      </c>
      <c r="H3741">
        <v>59.7</v>
      </c>
      <c r="I3741">
        <v>55</v>
      </c>
      <c r="J3741">
        <v>64.3</v>
      </c>
      <c r="K3741">
        <v>4128</v>
      </c>
      <c r="L3741">
        <v>2596</v>
      </c>
      <c r="M3741">
        <v>5660</v>
      </c>
      <c r="N3741">
        <v>11.2</v>
      </c>
      <c r="O3741">
        <v>8.3000000000000007</v>
      </c>
      <c r="P3741">
        <v>14.1</v>
      </c>
      <c r="Q3741">
        <f t="shared" si="114"/>
        <v>12804123</v>
      </c>
      <c r="R3741">
        <f t="shared" si="115"/>
        <v>32.239615317659791</v>
      </c>
      <c r="U3741">
        <v>2944</v>
      </c>
      <c r="V3741">
        <v>1768</v>
      </c>
      <c r="W3741">
        <v>4120</v>
      </c>
      <c r="X3741">
        <v>1737</v>
      </c>
      <c r="Y3741">
        <v>62.9</v>
      </c>
      <c r="Z3741">
        <v>56.1</v>
      </c>
      <c r="AA3741">
        <v>69.7</v>
      </c>
    </row>
    <row r="3742" spans="1:27" x14ac:dyDescent="0.25">
      <c r="A3742" t="s">
        <v>262</v>
      </c>
      <c r="B3742" t="s">
        <v>172</v>
      </c>
      <c r="C3742" s="76">
        <v>43944</v>
      </c>
      <c r="D3742">
        <v>22001</v>
      </c>
      <c r="E3742">
        <v>15278</v>
      </c>
      <c r="F3742">
        <v>28725</v>
      </c>
      <c r="G3742">
        <v>15224</v>
      </c>
      <c r="H3742">
        <v>59.1</v>
      </c>
      <c r="I3742">
        <v>53.4</v>
      </c>
      <c r="J3742">
        <v>64.8</v>
      </c>
      <c r="K3742">
        <v>4365</v>
      </c>
      <c r="L3742">
        <v>2647</v>
      </c>
      <c r="M3742">
        <v>6082</v>
      </c>
      <c r="N3742">
        <v>11.7</v>
      </c>
      <c r="O3742">
        <v>8.6</v>
      </c>
      <c r="P3742">
        <v>14.8</v>
      </c>
      <c r="Q3742">
        <f t="shared" si="114"/>
        <v>12804123</v>
      </c>
      <c r="R3742">
        <f t="shared" si="115"/>
        <v>34.090581604066131</v>
      </c>
      <c r="U3742">
        <v>2957</v>
      </c>
      <c r="V3742">
        <v>1655</v>
      </c>
      <c r="W3742">
        <v>4260</v>
      </c>
      <c r="X3742">
        <v>1693</v>
      </c>
      <c r="Y3742">
        <v>63.6</v>
      </c>
      <c r="Z3742">
        <v>56.3</v>
      </c>
      <c r="AA3742">
        <v>70.900000000000006</v>
      </c>
    </row>
    <row r="3743" spans="1:27" x14ac:dyDescent="0.25">
      <c r="A3743" t="s">
        <v>262</v>
      </c>
      <c r="B3743" t="s">
        <v>172</v>
      </c>
      <c r="C3743" s="76">
        <v>43945</v>
      </c>
      <c r="D3743">
        <v>21553</v>
      </c>
      <c r="E3743">
        <v>14981</v>
      </c>
      <c r="F3743">
        <v>28124</v>
      </c>
      <c r="G3743">
        <v>15548</v>
      </c>
      <c r="H3743">
        <v>58.1</v>
      </c>
      <c r="I3743">
        <v>53.2</v>
      </c>
      <c r="J3743">
        <v>63</v>
      </c>
      <c r="K3743">
        <v>4378</v>
      </c>
      <c r="L3743">
        <v>2679</v>
      </c>
      <c r="M3743">
        <v>6076</v>
      </c>
      <c r="N3743">
        <v>11.8</v>
      </c>
      <c r="O3743">
        <v>8.6999999999999993</v>
      </c>
      <c r="P3743">
        <v>14.9</v>
      </c>
      <c r="Q3743">
        <f t="shared" si="114"/>
        <v>12804123</v>
      </c>
      <c r="R3743">
        <f t="shared" si="115"/>
        <v>34.192111400366898</v>
      </c>
      <c r="U3743">
        <v>3010</v>
      </c>
      <c r="V3743">
        <v>1693</v>
      </c>
      <c r="W3743">
        <v>4326</v>
      </c>
      <c r="X3743">
        <v>1672</v>
      </c>
      <c r="Y3743">
        <v>64.3</v>
      </c>
      <c r="Z3743">
        <v>57.7</v>
      </c>
      <c r="AA3743">
        <v>70.900000000000006</v>
      </c>
    </row>
    <row r="3744" spans="1:27" x14ac:dyDescent="0.25">
      <c r="A3744" t="s">
        <v>262</v>
      </c>
      <c r="B3744" t="s">
        <v>172</v>
      </c>
      <c r="C3744" s="76">
        <v>43946</v>
      </c>
      <c r="D3744">
        <v>21015</v>
      </c>
      <c r="E3744">
        <v>14676</v>
      </c>
      <c r="F3744">
        <v>27353</v>
      </c>
      <c r="G3744">
        <v>15972</v>
      </c>
      <c r="H3744">
        <v>56.8</v>
      </c>
      <c r="I3744">
        <v>51.3</v>
      </c>
      <c r="J3744">
        <v>62.4</v>
      </c>
      <c r="K3744">
        <v>4354</v>
      </c>
      <c r="L3744">
        <v>2683</v>
      </c>
      <c r="M3744">
        <v>6025</v>
      </c>
      <c r="N3744">
        <v>11.8</v>
      </c>
      <c r="O3744">
        <v>8.8000000000000007</v>
      </c>
      <c r="P3744">
        <v>14.7</v>
      </c>
      <c r="Q3744">
        <f t="shared" si="114"/>
        <v>12804123</v>
      </c>
      <c r="R3744">
        <f t="shared" si="115"/>
        <v>34.004671776427017</v>
      </c>
      <c r="U3744">
        <v>3058</v>
      </c>
      <c r="V3744">
        <v>1714</v>
      </c>
      <c r="W3744">
        <v>4403</v>
      </c>
      <c r="X3744">
        <v>1658</v>
      </c>
      <c r="Y3744">
        <v>64.8</v>
      </c>
      <c r="Z3744">
        <v>57</v>
      </c>
      <c r="AA3744">
        <v>72.7</v>
      </c>
    </row>
    <row r="3745" spans="1:27" x14ac:dyDescent="0.25">
      <c r="A3745" t="s">
        <v>262</v>
      </c>
      <c r="B3745" t="s">
        <v>172</v>
      </c>
      <c r="C3745" s="76">
        <v>43947</v>
      </c>
      <c r="D3745">
        <v>21672</v>
      </c>
      <c r="E3745">
        <v>15210</v>
      </c>
      <c r="F3745">
        <v>28134</v>
      </c>
      <c r="G3745">
        <v>15467</v>
      </c>
      <c r="H3745">
        <v>58.4</v>
      </c>
      <c r="I3745">
        <v>53.3</v>
      </c>
      <c r="J3745">
        <v>63.4</v>
      </c>
      <c r="K3745">
        <v>4597</v>
      </c>
      <c r="L3745">
        <v>2807</v>
      </c>
      <c r="M3745">
        <v>6387</v>
      </c>
      <c r="N3745">
        <v>12.4</v>
      </c>
      <c r="O3745">
        <v>9</v>
      </c>
      <c r="P3745">
        <v>15.8</v>
      </c>
      <c r="Q3745">
        <f t="shared" si="114"/>
        <v>12804123</v>
      </c>
      <c r="R3745">
        <f t="shared" si="115"/>
        <v>35.902497968818331</v>
      </c>
      <c r="U3745">
        <v>3041</v>
      </c>
      <c r="V3745">
        <v>1713</v>
      </c>
      <c r="W3745">
        <v>4369</v>
      </c>
      <c r="X3745">
        <v>1669</v>
      </c>
      <c r="Y3745">
        <v>64.599999999999994</v>
      </c>
      <c r="Z3745">
        <v>57.3</v>
      </c>
      <c r="AA3745">
        <v>71.8</v>
      </c>
    </row>
    <row r="3746" spans="1:27" x14ac:dyDescent="0.25">
      <c r="A3746" t="s">
        <v>262</v>
      </c>
      <c r="B3746" t="s">
        <v>172</v>
      </c>
      <c r="C3746" s="76">
        <v>43948</v>
      </c>
      <c r="D3746">
        <v>24226</v>
      </c>
      <c r="E3746">
        <v>16698</v>
      </c>
      <c r="F3746">
        <v>31754</v>
      </c>
      <c r="G3746">
        <v>14912</v>
      </c>
      <c r="H3746">
        <v>61.9</v>
      </c>
      <c r="I3746">
        <v>56.7</v>
      </c>
      <c r="J3746">
        <v>67.099999999999994</v>
      </c>
      <c r="K3746">
        <v>4735</v>
      </c>
      <c r="L3746">
        <v>2947</v>
      </c>
      <c r="M3746">
        <v>6523</v>
      </c>
      <c r="N3746">
        <v>12.1</v>
      </c>
      <c r="O3746">
        <v>8.9</v>
      </c>
      <c r="P3746">
        <v>15.2</v>
      </c>
      <c r="Q3746">
        <f t="shared" si="114"/>
        <v>12804123</v>
      </c>
      <c r="R3746">
        <f t="shared" si="115"/>
        <v>36.980275806472655</v>
      </c>
      <c r="U3746">
        <v>3374</v>
      </c>
      <c r="V3746">
        <v>1837</v>
      </c>
      <c r="W3746">
        <v>4911</v>
      </c>
      <c r="X3746">
        <v>2069</v>
      </c>
      <c r="Y3746">
        <v>62</v>
      </c>
      <c r="Z3746">
        <v>53.1</v>
      </c>
      <c r="AA3746">
        <v>70.900000000000006</v>
      </c>
    </row>
    <row r="3747" spans="1:27" x14ac:dyDescent="0.25">
      <c r="A3747" t="s">
        <v>262</v>
      </c>
      <c r="B3747" t="s">
        <v>172</v>
      </c>
      <c r="C3747" s="76">
        <v>43949</v>
      </c>
      <c r="D3747">
        <v>23837</v>
      </c>
      <c r="E3747">
        <v>16739</v>
      </c>
      <c r="F3747">
        <v>30936</v>
      </c>
      <c r="G3747">
        <v>15516</v>
      </c>
      <c r="H3747">
        <v>60.6</v>
      </c>
      <c r="I3747">
        <v>55.7</v>
      </c>
      <c r="J3747">
        <v>65.400000000000006</v>
      </c>
      <c r="K3747">
        <v>4676</v>
      </c>
      <c r="L3747">
        <v>2930</v>
      </c>
      <c r="M3747">
        <v>6422</v>
      </c>
      <c r="N3747">
        <v>11.9</v>
      </c>
      <c r="O3747">
        <v>8.8000000000000007</v>
      </c>
      <c r="P3747">
        <v>15</v>
      </c>
      <c r="Q3747">
        <f t="shared" si="114"/>
        <v>12804123</v>
      </c>
      <c r="R3747">
        <f t="shared" si="115"/>
        <v>36.519486730953773</v>
      </c>
      <c r="U3747">
        <v>3207</v>
      </c>
      <c r="V3747">
        <v>1871</v>
      </c>
      <c r="W3747">
        <v>4543</v>
      </c>
      <c r="X3747">
        <v>1916</v>
      </c>
      <c r="Y3747">
        <v>62.6</v>
      </c>
      <c r="Z3747">
        <v>55.3</v>
      </c>
      <c r="AA3747">
        <v>69.900000000000006</v>
      </c>
    </row>
    <row r="3748" spans="1:27" x14ac:dyDescent="0.25">
      <c r="A3748" t="s">
        <v>262</v>
      </c>
      <c r="B3748" t="s">
        <v>172</v>
      </c>
      <c r="C3748" s="76">
        <v>43950</v>
      </c>
      <c r="D3748">
        <v>23713</v>
      </c>
      <c r="E3748">
        <v>16673</v>
      </c>
      <c r="F3748">
        <v>30754</v>
      </c>
      <c r="G3748">
        <v>15408</v>
      </c>
      <c r="H3748">
        <v>60.6</v>
      </c>
      <c r="I3748">
        <v>55.5</v>
      </c>
      <c r="J3748">
        <v>65.7</v>
      </c>
      <c r="K3748">
        <v>4658</v>
      </c>
      <c r="L3748">
        <v>2923</v>
      </c>
      <c r="M3748">
        <v>6392</v>
      </c>
      <c r="N3748">
        <v>11.9</v>
      </c>
      <c r="O3748">
        <v>8.9</v>
      </c>
      <c r="P3748">
        <v>14.9</v>
      </c>
      <c r="Q3748">
        <f t="shared" si="114"/>
        <v>12804123</v>
      </c>
      <c r="R3748">
        <f t="shared" si="115"/>
        <v>36.378907012998859</v>
      </c>
      <c r="U3748">
        <v>3254</v>
      </c>
      <c r="V3748">
        <v>1901</v>
      </c>
      <c r="W3748">
        <v>4607</v>
      </c>
      <c r="X3748">
        <v>1849</v>
      </c>
      <c r="Y3748">
        <v>63.8</v>
      </c>
      <c r="Z3748">
        <v>56</v>
      </c>
      <c r="AA3748">
        <v>71.5</v>
      </c>
    </row>
    <row r="3749" spans="1:27" x14ac:dyDescent="0.25">
      <c r="A3749" t="s">
        <v>262</v>
      </c>
      <c r="B3749" t="s">
        <v>172</v>
      </c>
      <c r="C3749" s="76">
        <v>43951</v>
      </c>
      <c r="D3749">
        <v>23591</v>
      </c>
      <c r="E3749">
        <v>16557</v>
      </c>
      <c r="F3749">
        <v>30624</v>
      </c>
      <c r="G3749">
        <v>15318</v>
      </c>
      <c r="H3749">
        <v>60.6</v>
      </c>
      <c r="I3749">
        <v>55.6</v>
      </c>
      <c r="J3749">
        <v>65.7</v>
      </c>
      <c r="K3749">
        <v>4466</v>
      </c>
      <c r="L3749">
        <v>2836</v>
      </c>
      <c r="M3749">
        <v>6097</v>
      </c>
      <c r="N3749">
        <v>11.5</v>
      </c>
      <c r="O3749">
        <v>8.6</v>
      </c>
      <c r="P3749">
        <v>14.3</v>
      </c>
      <c r="Q3749">
        <f t="shared" si="114"/>
        <v>12804123</v>
      </c>
      <c r="R3749">
        <f t="shared" si="115"/>
        <v>34.8793900214798</v>
      </c>
      <c r="U3749">
        <v>3145</v>
      </c>
      <c r="V3749">
        <v>1835</v>
      </c>
      <c r="W3749">
        <v>4454</v>
      </c>
      <c r="X3749">
        <v>1945</v>
      </c>
      <c r="Y3749">
        <v>61.8</v>
      </c>
      <c r="Z3749">
        <v>54.5</v>
      </c>
      <c r="AA3749">
        <v>69</v>
      </c>
    </row>
    <row r="3750" spans="1:27" x14ac:dyDescent="0.25">
      <c r="A3750" t="s">
        <v>262</v>
      </c>
      <c r="B3750" t="s">
        <v>172</v>
      </c>
      <c r="C3750" s="76">
        <v>43952</v>
      </c>
      <c r="D3750">
        <v>23181</v>
      </c>
      <c r="E3750">
        <v>16221</v>
      </c>
      <c r="F3750">
        <v>30141</v>
      </c>
      <c r="G3750">
        <v>15362</v>
      </c>
      <c r="H3750">
        <v>60.1</v>
      </c>
      <c r="I3750">
        <v>55.1</v>
      </c>
      <c r="J3750">
        <v>65.2</v>
      </c>
      <c r="K3750">
        <v>4433</v>
      </c>
      <c r="L3750">
        <v>2838</v>
      </c>
      <c r="M3750">
        <v>6027</v>
      </c>
      <c r="N3750">
        <v>11.5</v>
      </c>
      <c r="O3750">
        <v>8.6999999999999993</v>
      </c>
      <c r="P3750">
        <v>14.3</v>
      </c>
      <c r="Q3750">
        <f t="shared" si="114"/>
        <v>12804123</v>
      </c>
      <c r="R3750">
        <f t="shared" si="115"/>
        <v>34.621660538562459</v>
      </c>
      <c r="U3750">
        <v>3222</v>
      </c>
      <c r="V3750">
        <v>1881</v>
      </c>
      <c r="W3750">
        <v>4564</v>
      </c>
      <c r="X3750">
        <v>1865</v>
      </c>
      <c r="Y3750">
        <v>63.3</v>
      </c>
      <c r="Z3750">
        <v>56.3</v>
      </c>
      <c r="AA3750">
        <v>70.400000000000006</v>
      </c>
    </row>
    <row r="3751" spans="1:27" x14ac:dyDescent="0.25">
      <c r="A3751" t="s">
        <v>262</v>
      </c>
      <c r="B3751" t="s">
        <v>172</v>
      </c>
      <c r="C3751" s="76">
        <v>43953</v>
      </c>
      <c r="D3751">
        <v>22803</v>
      </c>
      <c r="E3751">
        <v>15932</v>
      </c>
      <c r="F3751">
        <v>29674</v>
      </c>
      <c r="G3751">
        <v>15925</v>
      </c>
      <c r="H3751">
        <v>58.9</v>
      </c>
      <c r="I3751">
        <v>54.3</v>
      </c>
      <c r="J3751">
        <v>63.5</v>
      </c>
      <c r="K3751">
        <v>4553</v>
      </c>
      <c r="L3751">
        <v>2854</v>
      </c>
      <c r="M3751">
        <v>6252</v>
      </c>
      <c r="N3751">
        <v>11.8</v>
      </c>
      <c r="O3751">
        <v>8.8000000000000007</v>
      </c>
      <c r="P3751">
        <v>14.7</v>
      </c>
      <c r="Q3751">
        <f t="shared" ref="Q3751:Q3814" si="116">VLOOKUP(B3751,$AE$4:$AF$55,2,FALSE)</f>
        <v>12804123</v>
      </c>
      <c r="R3751">
        <f t="shared" si="115"/>
        <v>35.558858658261876</v>
      </c>
      <c r="U3751">
        <v>3056</v>
      </c>
      <c r="V3751">
        <v>1755</v>
      </c>
      <c r="W3751">
        <v>4356</v>
      </c>
      <c r="X3751">
        <v>2047</v>
      </c>
      <c r="Y3751">
        <v>59.9</v>
      </c>
      <c r="Z3751">
        <v>52.1</v>
      </c>
      <c r="AA3751">
        <v>67.7</v>
      </c>
    </row>
    <row r="3752" spans="1:27" x14ac:dyDescent="0.25">
      <c r="A3752" t="s">
        <v>262</v>
      </c>
      <c r="B3752" t="s">
        <v>172</v>
      </c>
      <c r="C3752" s="76">
        <v>43954</v>
      </c>
      <c r="D3752">
        <v>22822</v>
      </c>
      <c r="E3752">
        <v>16057</v>
      </c>
      <c r="F3752">
        <v>29586</v>
      </c>
      <c r="G3752">
        <v>15721</v>
      </c>
      <c r="H3752">
        <v>59.2</v>
      </c>
      <c r="I3752">
        <v>54.8</v>
      </c>
      <c r="J3752">
        <v>63.6</v>
      </c>
      <c r="K3752">
        <v>4462</v>
      </c>
      <c r="L3752">
        <v>2818</v>
      </c>
      <c r="M3752">
        <v>6106</v>
      </c>
      <c r="N3752">
        <v>11.6</v>
      </c>
      <c r="O3752">
        <v>8.6999999999999993</v>
      </c>
      <c r="P3752">
        <v>14.4</v>
      </c>
      <c r="Q3752">
        <f t="shared" si="116"/>
        <v>12804123</v>
      </c>
      <c r="R3752">
        <f t="shared" si="115"/>
        <v>34.848150084156487</v>
      </c>
      <c r="U3752">
        <v>3079</v>
      </c>
      <c r="V3752">
        <v>1784</v>
      </c>
      <c r="W3752">
        <v>4373</v>
      </c>
      <c r="X3752">
        <v>1977</v>
      </c>
      <c r="Y3752">
        <v>60.9</v>
      </c>
      <c r="Z3752">
        <v>53.9</v>
      </c>
      <c r="AA3752">
        <v>67.900000000000006</v>
      </c>
    </row>
    <row r="3753" spans="1:27" x14ac:dyDescent="0.25">
      <c r="A3753" t="s">
        <v>262</v>
      </c>
      <c r="B3753" t="s">
        <v>172</v>
      </c>
      <c r="C3753" s="76">
        <v>43955</v>
      </c>
      <c r="D3753">
        <v>23606</v>
      </c>
      <c r="E3753">
        <v>16509</v>
      </c>
      <c r="F3753">
        <v>30703</v>
      </c>
      <c r="G3753">
        <v>14701</v>
      </c>
      <c r="H3753">
        <v>61.6</v>
      </c>
      <c r="I3753">
        <v>56.9</v>
      </c>
      <c r="J3753">
        <v>66.3</v>
      </c>
      <c r="K3753">
        <v>4498</v>
      </c>
      <c r="L3753">
        <v>2881</v>
      </c>
      <c r="M3753">
        <v>6114</v>
      </c>
      <c r="N3753">
        <v>11.7</v>
      </c>
      <c r="O3753">
        <v>9</v>
      </c>
      <c r="P3753">
        <v>14.5</v>
      </c>
      <c r="Q3753">
        <f t="shared" si="116"/>
        <v>12804123</v>
      </c>
      <c r="R3753">
        <f t="shared" si="115"/>
        <v>35.129309520066307</v>
      </c>
      <c r="U3753">
        <v>3160</v>
      </c>
      <c r="V3753">
        <v>1819</v>
      </c>
      <c r="W3753">
        <v>4501</v>
      </c>
      <c r="X3753">
        <v>1955</v>
      </c>
      <c r="Y3753">
        <v>61.8</v>
      </c>
      <c r="Z3753">
        <v>54.7</v>
      </c>
      <c r="AA3753">
        <v>68.900000000000006</v>
      </c>
    </row>
    <row r="3754" spans="1:27" x14ac:dyDescent="0.25">
      <c r="A3754" t="s">
        <v>262</v>
      </c>
      <c r="B3754" t="s">
        <v>172</v>
      </c>
      <c r="C3754" s="76">
        <v>43956</v>
      </c>
      <c r="D3754">
        <v>23839</v>
      </c>
      <c r="E3754">
        <v>16817</v>
      </c>
      <c r="F3754">
        <v>30861</v>
      </c>
      <c r="G3754">
        <v>14329</v>
      </c>
      <c r="H3754">
        <v>62.5</v>
      </c>
      <c r="I3754">
        <v>57.8</v>
      </c>
      <c r="J3754">
        <v>67.099999999999994</v>
      </c>
      <c r="K3754">
        <v>4306</v>
      </c>
      <c r="L3754">
        <v>2769</v>
      </c>
      <c r="M3754">
        <v>5844</v>
      </c>
      <c r="N3754">
        <v>11.3</v>
      </c>
      <c r="O3754">
        <v>8.6</v>
      </c>
      <c r="P3754">
        <v>13.9</v>
      </c>
      <c r="Q3754">
        <f t="shared" si="116"/>
        <v>12804123</v>
      </c>
      <c r="R3754">
        <f t="shared" si="115"/>
        <v>33.629792528547249</v>
      </c>
      <c r="U3754">
        <v>3215</v>
      </c>
      <c r="V3754">
        <v>1919</v>
      </c>
      <c r="W3754">
        <v>4510</v>
      </c>
      <c r="X3754">
        <v>1841</v>
      </c>
      <c r="Y3754">
        <v>63.6</v>
      </c>
      <c r="Z3754">
        <v>57</v>
      </c>
      <c r="AA3754">
        <v>70.2</v>
      </c>
    </row>
    <row r="3755" spans="1:27" x14ac:dyDescent="0.25">
      <c r="A3755" t="s">
        <v>262</v>
      </c>
      <c r="B3755" t="s">
        <v>172</v>
      </c>
      <c r="C3755" s="76">
        <v>43957</v>
      </c>
      <c r="D3755">
        <v>24011</v>
      </c>
      <c r="E3755">
        <v>16952</v>
      </c>
      <c r="F3755">
        <v>31069</v>
      </c>
      <c r="G3755">
        <v>13949</v>
      </c>
      <c r="H3755">
        <v>63.3</v>
      </c>
      <c r="I3755">
        <v>58.4</v>
      </c>
      <c r="J3755">
        <v>68.099999999999994</v>
      </c>
      <c r="K3755">
        <v>4098</v>
      </c>
      <c r="L3755">
        <v>2629</v>
      </c>
      <c r="M3755">
        <v>5567</v>
      </c>
      <c r="N3755">
        <v>10.8</v>
      </c>
      <c r="O3755">
        <v>8.1999999999999993</v>
      </c>
      <c r="P3755">
        <v>13.4</v>
      </c>
      <c r="Q3755">
        <f t="shared" si="116"/>
        <v>12804123</v>
      </c>
      <c r="R3755">
        <f t="shared" si="115"/>
        <v>32.005315787734936</v>
      </c>
      <c r="U3755">
        <v>3191</v>
      </c>
      <c r="V3755">
        <v>1876</v>
      </c>
      <c r="W3755">
        <v>4507</v>
      </c>
      <c r="X3755">
        <v>1791</v>
      </c>
      <c r="Y3755">
        <v>64.099999999999994</v>
      </c>
      <c r="Z3755">
        <v>57.6</v>
      </c>
      <c r="AA3755">
        <v>70.5</v>
      </c>
    </row>
    <row r="3756" spans="1:27" x14ac:dyDescent="0.25">
      <c r="A3756" t="s">
        <v>262</v>
      </c>
      <c r="B3756" t="s">
        <v>172</v>
      </c>
      <c r="C3756" s="76">
        <v>43958</v>
      </c>
      <c r="D3756">
        <v>24105</v>
      </c>
      <c r="E3756">
        <v>16848</v>
      </c>
      <c r="F3756">
        <v>31363</v>
      </c>
      <c r="G3756">
        <v>14756</v>
      </c>
      <c r="H3756">
        <v>62</v>
      </c>
      <c r="I3756">
        <v>57.6</v>
      </c>
      <c r="J3756">
        <v>66.400000000000006</v>
      </c>
      <c r="K3756">
        <v>4333</v>
      </c>
      <c r="L3756">
        <v>2752</v>
      </c>
      <c r="M3756">
        <v>5914</v>
      </c>
      <c r="N3756">
        <v>11.1</v>
      </c>
      <c r="O3756">
        <v>8.5</v>
      </c>
      <c r="P3756">
        <v>13.8</v>
      </c>
      <c r="Q3756">
        <f t="shared" si="116"/>
        <v>12804123</v>
      </c>
      <c r="R3756">
        <f t="shared" si="115"/>
        <v>33.840662105479616</v>
      </c>
      <c r="U3756">
        <v>3279</v>
      </c>
      <c r="V3756">
        <v>1906</v>
      </c>
      <c r="W3756">
        <v>4653</v>
      </c>
      <c r="X3756">
        <v>1874</v>
      </c>
      <c r="Y3756">
        <v>63.6</v>
      </c>
      <c r="Z3756">
        <v>57.3</v>
      </c>
      <c r="AA3756">
        <v>69.900000000000006</v>
      </c>
    </row>
    <row r="3757" spans="1:27" x14ac:dyDescent="0.25">
      <c r="A3757" t="s">
        <v>262</v>
      </c>
      <c r="B3757" t="s">
        <v>172</v>
      </c>
      <c r="C3757" s="76">
        <v>43959</v>
      </c>
      <c r="D3757">
        <v>23910</v>
      </c>
      <c r="E3757">
        <v>16879</v>
      </c>
      <c r="F3757">
        <v>30940</v>
      </c>
      <c r="G3757">
        <v>14376</v>
      </c>
      <c r="H3757">
        <v>62.5</v>
      </c>
      <c r="I3757">
        <v>57.8</v>
      </c>
      <c r="J3757">
        <v>67.099999999999994</v>
      </c>
      <c r="K3757">
        <v>3825</v>
      </c>
      <c r="L3757">
        <v>2471</v>
      </c>
      <c r="M3757">
        <v>5179</v>
      </c>
      <c r="N3757">
        <v>10</v>
      </c>
      <c r="O3757">
        <v>7.7</v>
      </c>
      <c r="P3757">
        <v>12.3</v>
      </c>
      <c r="Q3757">
        <f t="shared" si="116"/>
        <v>12804123</v>
      </c>
      <c r="R3757">
        <f t="shared" si="115"/>
        <v>29.873190065418772</v>
      </c>
      <c r="U3757">
        <v>3109</v>
      </c>
      <c r="V3757">
        <v>1810</v>
      </c>
      <c r="W3757">
        <v>4408</v>
      </c>
      <c r="X3757">
        <v>1884</v>
      </c>
      <c r="Y3757">
        <v>62.3</v>
      </c>
      <c r="Z3757">
        <v>56</v>
      </c>
      <c r="AA3757">
        <v>68.5</v>
      </c>
    </row>
    <row r="3758" spans="1:27" x14ac:dyDescent="0.25">
      <c r="A3758" t="s">
        <v>262</v>
      </c>
      <c r="B3758" t="s">
        <v>172</v>
      </c>
      <c r="C3758" s="76">
        <v>43960</v>
      </c>
      <c r="D3758">
        <v>23898</v>
      </c>
      <c r="E3758">
        <v>16714</v>
      </c>
      <c r="F3758">
        <v>31081</v>
      </c>
      <c r="G3758">
        <v>15373</v>
      </c>
      <c r="H3758">
        <v>60.9</v>
      </c>
      <c r="I3758">
        <v>56.2</v>
      </c>
      <c r="J3758">
        <v>65.5</v>
      </c>
      <c r="K3758">
        <v>3910</v>
      </c>
      <c r="L3758">
        <v>2424</v>
      </c>
      <c r="M3758">
        <v>5395</v>
      </c>
      <c r="N3758">
        <v>10</v>
      </c>
      <c r="O3758">
        <v>7.4</v>
      </c>
      <c r="P3758">
        <v>12.5</v>
      </c>
      <c r="Q3758">
        <f t="shared" si="116"/>
        <v>12804123</v>
      </c>
      <c r="R3758">
        <f t="shared" si="115"/>
        <v>30.537038733539191</v>
      </c>
      <c r="U3758">
        <v>3031</v>
      </c>
      <c r="V3758">
        <v>1779</v>
      </c>
      <c r="W3758">
        <v>4284</v>
      </c>
      <c r="X3758">
        <v>2189</v>
      </c>
      <c r="Y3758">
        <v>58.1</v>
      </c>
      <c r="Z3758">
        <v>52.3</v>
      </c>
      <c r="AA3758">
        <v>63.8</v>
      </c>
    </row>
    <row r="3759" spans="1:27" x14ac:dyDescent="0.25">
      <c r="A3759" t="s">
        <v>262</v>
      </c>
      <c r="B3759" t="s">
        <v>172</v>
      </c>
      <c r="C3759" s="76">
        <v>43961</v>
      </c>
      <c r="D3759">
        <v>23260</v>
      </c>
      <c r="E3759">
        <v>16406</v>
      </c>
      <c r="F3759">
        <v>30115</v>
      </c>
      <c r="G3759">
        <v>15387</v>
      </c>
      <c r="H3759">
        <v>60.2</v>
      </c>
      <c r="I3759">
        <v>55</v>
      </c>
      <c r="J3759">
        <v>65.3</v>
      </c>
      <c r="K3759">
        <v>3911</v>
      </c>
      <c r="L3759">
        <v>2448</v>
      </c>
      <c r="M3759">
        <v>5375</v>
      </c>
      <c r="N3759">
        <v>10.1</v>
      </c>
      <c r="O3759">
        <v>7.6</v>
      </c>
      <c r="P3759">
        <v>12.7</v>
      </c>
      <c r="Q3759">
        <f t="shared" si="116"/>
        <v>12804123</v>
      </c>
      <c r="R3759">
        <f t="shared" si="115"/>
        <v>30.544848717870014</v>
      </c>
      <c r="U3759">
        <v>3071</v>
      </c>
      <c r="V3759">
        <v>1750</v>
      </c>
      <c r="W3759">
        <v>4392</v>
      </c>
      <c r="X3759">
        <v>2129</v>
      </c>
      <c r="Y3759">
        <v>59.1</v>
      </c>
      <c r="Z3759">
        <v>51.4</v>
      </c>
      <c r="AA3759">
        <v>66.7</v>
      </c>
    </row>
    <row r="3760" spans="1:27" x14ac:dyDescent="0.25">
      <c r="A3760" t="s">
        <v>262</v>
      </c>
      <c r="B3760" t="s">
        <v>172</v>
      </c>
      <c r="C3760" s="76">
        <v>43962</v>
      </c>
      <c r="D3760">
        <v>23892</v>
      </c>
      <c r="E3760">
        <v>16728</v>
      </c>
      <c r="F3760">
        <v>31057</v>
      </c>
      <c r="G3760">
        <v>14855</v>
      </c>
      <c r="H3760">
        <v>61.7</v>
      </c>
      <c r="I3760">
        <v>57</v>
      </c>
      <c r="J3760">
        <v>66.3</v>
      </c>
      <c r="K3760">
        <v>3668</v>
      </c>
      <c r="L3760">
        <v>2291</v>
      </c>
      <c r="M3760">
        <v>5045</v>
      </c>
      <c r="N3760">
        <v>9.5</v>
      </c>
      <c r="O3760">
        <v>7.1</v>
      </c>
      <c r="P3760">
        <v>11.8</v>
      </c>
      <c r="Q3760">
        <f t="shared" si="116"/>
        <v>12804123</v>
      </c>
      <c r="R3760">
        <f t="shared" si="115"/>
        <v>28.647022525478707</v>
      </c>
      <c r="U3760">
        <v>3219</v>
      </c>
      <c r="V3760">
        <v>1839</v>
      </c>
      <c r="W3760">
        <v>4598</v>
      </c>
      <c r="X3760">
        <v>1990</v>
      </c>
      <c r="Y3760">
        <v>61.8</v>
      </c>
      <c r="Z3760">
        <v>55</v>
      </c>
      <c r="AA3760">
        <v>68.599999999999994</v>
      </c>
    </row>
    <row r="3761" spans="1:27" x14ac:dyDescent="0.25">
      <c r="A3761" t="s">
        <v>262</v>
      </c>
      <c r="B3761" t="s">
        <v>172</v>
      </c>
      <c r="C3761" s="76">
        <v>43963</v>
      </c>
      <c r="D3761">
        <v>25480</v>
      </c>
      <c r="E3761">
        <v>17944</v>
      </c>
      <c r="F3761">
        <v>33015</v>
      </c>
      <c r="G3761">
        <v>14505</v>
      </c>
      <c r="H3761">
        <v>63.7</v>
      </c>
      <c r="I3761">
        <v>59.3</v>
      </c>
      <c r="J3761">
        <v>68.099999999999994</v>
      </c>
      <c r="K3761">
        <v>3902</v>
      </c>
      <c r="L3761">
        <v>2541</v>
      </c>
      <c r="M3761">
        <v>5263</v>
      </c>
      <c r="N3761">
        <v>9.8000000000000007</v>
      </c>
      <c r="O3761">
        <v>7.7</v>
      </c>
      <c r="P3761">
        <v>11.8</v>
      </c>
      <c r="Q3761">
        <f t="shared" si="116"/>
        <v>12804123</v>
      </c>
      <c r="R3761">
        <f t="shared" si="115"/>
        <v>30.474558858892564</v>
      </c>
      <c r="U3761">
        <v>3382</v>
      </c>
      <c r="V3761">
        <v>1949</v>
      </c>
      <c r="W3761">
        <v>4816</v>
      </c>
      <c r="X3761">
        <v>2084</v>
      </c>
      <c r="Y3761">
        <v>61.9</v>
      </c>
      <c r="Z3761">
        <v>54.8</v>
      </c>
      <c r="AA3761">
        <v>69</v>
      </c>
    </row>
    <row r="3762" spans="1:27" x14ac:dyDescent="0.25">
      <c r="A3762" t="s">
        <v>262</v>
      </c>
      <c r="B3762" t="s">
        <v>172</v>
      </c>
      <c r="C3762" s="76">
        <v>43964</v>
      </c>
      <c r="D3762">
        <v>25064</v>
      </c>
      <c r="E3762">
        <v>17545</v>
      </c>
      <c r="F3762">
        <v>32583</v>
      </c>
      <c r="G3762">
        <v>14093</v>
      </c>
      <c r="H3762">
        <v>64</v>
      </c>
      <c r="I3762">
        <v>59.1</v>
      </c>
      <c r="J3762">
        <v>68.900000000000006</v>
      </c>
      <c r="K3762">
        <v>3482</v>
      </c>
      <c r="L3762">
        <v>2237</v>
      </c>
      <c r="M3762">
        <v>4727</v>
      </c>
      <c r="N3762">
        <v>8.9</v>
      </c>
      <c r="O3762">
        <v>7</v>
      </c>
      <c r="P3762">
        <v>10.8</v>
      </c>
      <c r="Q3762">
        <f t="shared" si="116"/>
        <v>12804123</v>
      </c>
      <c r="R3762">
        <f t="shared" si="115"/>
        <v>27.194365439944615</v>
      </c>
      <c r="U3762">
        <v>3155</v>
      </c>
      <c r="V3762">
        <v>1814</v>
      </c>
      <c r="W3762">
        <v>4496</v>
      </c>
      <c r="X3762">
        <v>2101</v>
      </c>
      <c r="Y3762">
        <v>60</v>
      </c>
      <c r="Z3762">
        <v>52.4</v>
      </c>
      <c r="AA3762">
        <v>67.7</v>
      </c>
    </row>
    <row r="3763" spans="1:27" x14ac:dyDescent="0.25">
      <c r="A3763" t="s">
        <v>262</v>
      </c>
      <c r="B3763" t="s">
        <v>172</v>
      </c>
      <c r="C3763" s="76">
        <v>43965</v>
      </c>
      <c r="D3763">
        <v>24932</v>
      </c>
      <c r="E3763">
        <v>17310</v>
      </c>
      <c r="F3763">
        <v>32554</v>
      </c>
      <c r="G3763">
        <v>14452</v>
      </c>
      <c r="H3763">
        <v>63.3</v>
      </c>
      <c r="I3763">
        <v>58.9</v>
      </c>
      <c r="J3763">
        <v>67.7</v>
      </c>
      <c r="K3763">
        <v>3298</v>
      </c>
      <c r="L3763">
        <v>2120</v>
      </c>
      <c r="M3763">
        <v>4476</v>
      </c>
      <c r="N3763">
        <v>8.4</v>
      </c>
      <c r="O3763">
        <v>6.5</v>
      </c>
      <c r="P3763">
        <v>10.199999999999999</v>
      </c>
      <c r="Q3763">
        <f t="shared" si="116"/>
        <v>12804123</v>
      </c>
      <c r="R3763">
        <f t="shared" si="115"/>
        <v>25.757328323072183</v>
      </c>
      <c r="U3763">
        <v>3187</v>
      </c>
      <c r="V3763">
        <v>1822</v>
      </c>
      <c r="W3763">
        <v>4553</v>
      </c>
      <c r="X3763">
        <v>2000</v>
      </c>
      <c r="Y3763">
        <v>61.4</v>
      </c>
      <c r="Z3763">
        <v>54.7</v>
      </c>
      <c r="AA3763">
        <v>68.2</v>
      </c>
    </row>
    <row r="3764" spans="1:27" x14ac:dyDescent="0.25">
      <c r="A3764" t="s">
        <v>262</v>
      </c>
      <c r="B3764" t="s">
        <v>172</v>
      </c>
      <c r="C3764" s="76">
        <v>43966</v>
      </c>
      <c r="D3764">
        <v>24041</v>
      </c>
      <c r="E3764">
        <v>16596</v>
      </c>
      <c r="F3764">
        <v>31485</v>
      </c>
      <c r="G3764">
        <v>14893</v>
      </c>
      <c r="H3764">
        <v>61.7</v>
      </c>
      <c r="I3764">
        <v>56.4</v>
      </c>
      <c r="J3764">
        <v>67.099999999999994</v>
      </c>
      <c r="K3764">
        <v>3154</v>
      </c>
      <c r="L3764">
        <v>2002</v>
      </c>
      <c r="M3764">
        <v>4306</v>
      </c>
      <c r="N3764">
        <v>8.1</v>
      </c>
      <c r="O3764">
        <v>6.3</v>
      </c>
      <c r="P3764">
        <v>9.9</v>
      </c>
      <c r="Q3764">
        <f t="shared" si="116"/>
        <v>12804123</v>
      </c>
      <c r="R3764">
        <f t="shared" si="115"/>
        <v>24.632690579432893</v>
      </c>
      <c r="U3764">
        <v>3139</v>
      </c>
      <c r="V3764">
        <v>1791</v>
      </c>
      <c r="W3764">
        <v>4487</v>
      </c>
      <c r="X3764">
        <v>2076</v>
      </c>
      <c r="Y3764">
        <v>60.2</v>
      </c>
      <c r="Z3764">
        <v>53.4</v>
      </c>
      <c r="AA3764">
        <v>66.900000000000006</v>
      </c>
    </row>
    <row r="3765" spans="1:27" x14ac:dyDescent="0.25">
      <c r="A3765" t="s">
        <v>262</v>
      </c>
      <c r="B3765" t="s">
        <v>172</v>
      </c>
      <c r="C3765" s="76">
        <v>43967</v>
      </c>
      <c r="D3765">
        <v>23222</v>
      </c>
      <c r="E3765">
        <v>16088</v>
      </c>
      <c r="F3765">
        <v>30357</v>
      </c>
      <c r="G3765">
        <v>15388</v>
      </c>
      <c r="H3765">
        <v>60.1</v>
      </c>
      <c r="I3765">
        <v>54.7</v>
      </c>
      <c r="J3765">
        <v>65.599999999999994</v>
      </c>
      <c r="K3765">
        <v>3103</v>
      </c>
      <c r="L3765">
        <v>1979</v>
      </c>
      <c r="M3765">
        <v>4227</v>
      </c>
      <c r="N3765">
        <v>8</v>
      </c>
      <c r="O3765">
        <v>6.3</v>
      </c>
      <c r="P3765">
        <v>9.8000000000000007</v>
      </c>
      <c r="Q3765">
        <f t="shared" si="116"/>
        <v>12804123</v>
      </c>
      <c r="R3765">
        <f t="shared" si="115"/>
        <v>24.234381378560641</v>
      </c>
      <c r="U3765">
        <v>3087</v>
      </c>
      <c r="V3765">
        <v>1757</v>
      </c>
      <c r="W3765">
        <v>4416</v>
      </c>
      <c r="X3765">
        <v>2054</v>
      </c>
      <c r="Y3765">
        <v>60</v>
      </c>
      <c r="Z3765">
        <v>52.8</v>
      </c>
      <c r="AA3765">
        <v>67.3</v>
      </c>
    </row>
    <row r="3766" spans="1:27" x14ac:dyDescent="0.25">
      <c r="A3766" t="s">
        <v>262</v>
      </c>
      <c r="B3766" t="s">
        <v>172</v>
      </c>
      <c r="C3766" s="76">
        <v>43968</v>
      </c>
      <c r="D3766">
        <v>23865</v>
      </c>
      <c r="E3766">
        <v>16043</v>
      </c>
      <c r="F3766">
        <v>31688</v>
      </c>
      <c r="G3766">
        <v>15274</v>
      </c>
      <c r="H3766">
        <v>61</v>
      </c>
      <c r="I3766">
        <v>55.5</v>
      </c>
      <c r="J3766">
        <v>66.400000000000006</v>
      </c>
      <c r="K3766">
        <v>3280</v>
      </c>
      <c r="L3766">
        <v>2034</v>
      </c>
      <c r="M3766">
        <v>4527</v>
      </c>
      <c r="N3766">
        <v>8.4</v>
      </c>
      <c r="O3766">
        <v>6.4</v>
      </c>
      <c r="P3766">
        <v>10.3</v>
      </c>
      <c r="Q3766">
        <f t="shared" si="116"/>
        <v>12804123</v>
      </c>
      <c r="R3766">
        <f t="shared" si="115"/>
        <v>25.616748605117273</v>
      </c>
      <c r="U3766">
        <v>3155</v>
      </c>
      <c r="V3766">
        <v>1698</v>
      </c>
      <c r="W3766">
        <v>4611</v>
      </c>
      <c r="X3766">
        <v>2123</v>
      </c>
      <c r="Y3766">
        <v>59.8</v>
      </c>
      <c r="Z3766">
        <v>52.2</v>
      </c>
      <c r="AA3766">
        <v>67.400000000000006</v>
      </c>
    </row>
    <row r="3767" spans="1:27" x14ac:dyDescent="0.25">
      <c r="A3767" t="s">
        <v>262</v>
      </c>
      <c r="B3767" t="s">
        <v>172</v>
      </c>
      <c r="C3767" s="76">
        <v>43969</v>
      </c>
      <c r="D3767">
        <v>25009</v>
      </c>
      <c r="E3767">
        <v>16998</v>
      </c>
      <c r="F3767">
        <v>33020</v>
      </c>
      <c r="G3767">
        <v>14400</v>
      </c>
      <c r="H3767">
        <v>63.5</v>
      </c>
      <c r="I3767">
        <v>59</v>
      </c>
      <c r="J3767">
        <v>68</v>
      </c>
      <c r="K3767">
        <v>3261</v>
      </c>
      <c r="L3767">
        <v>2058</v>
      </c>
      <c r="M3767">
        <v>4465</v>
      </c>
      <c r="N3767">
        <v>8.3000000000000007</v>
      </c>
      <c r="O3767">
        <v>6.4</v>
      </c>
      <c r="P3767">
        <v>10.199999999999999</v>
      </c>
      <c r="Q3767">
        <f t="shared" si="116"/>
        <v>12804123</v>
      </c>
      <c r="R3767">
        <f t="shared" si="115"/>
        <v>25.468358902831532</v>
      </c>
      <c r="U3767">
        <v>3277</v>
      </c>
      <c r="V3767">
        <v>1796</v>
      </c>
      <c r="W3767">
        <v>4758</v>
      </c>
      <c r="X3767">
        <v>2017</v>
      </c>
      <c r="Y3767">
        <v>61.9</v>
      </c>
      <c r="Z3767">
        <v>54.4</v>
      </c>
      <c r="AA3767">
        <v>69.400000000000006</v>
      </c>
    </row>
    <row r="3768" spans="1:27" x14ac:dyDescent="0.25">
      <c r="A3768" t="s">
        <v>262</v>
      </c>
      <c r="B3768" t="s">
        <v>172</v>
      </c>
      <c r="C3768" s="76">
        <v>43970</v>
      </c>
      <c r="D3768">
        <v>25374</v>
      </c>
      <c r="E3768">
        <v>17096</v>
      </c>
      <c r="F3768">
        <v>33651</v>
      </c>
      <c r="G3768">
        <v>14176</v>
      </c>
      <c r="H3768">
        <v>64.2</v>
      </c>
      <c r="I3768">
        <v>58.9</v>
      </c>
      <c r="J3768">
        <v>69.400000000000006</v>
      </c>
      <c r="K3768">
        <v>3194</v>
      </c>
      <c r="L3768">
        <v>1994</v>
      </c>
      <c r="M3768">
        <v>4395</v>
      </c>
      <c r="N3768">
        <v>8.1</v>
      </c>
      <c r="O3768">
        <v>6.3</v>
      </c>
      <c r="P3768">
        <v>9.9</v>
      </c>
      <c r="Q3768">
        <f t="shared" si="116"/>
        <v>12804123</v>
      </c>
      <c r="R3768">
        <f t="shared" si="115"/>
        <v>24.945089952666027</v>
      </c>
      <c r="U3768">
        <v>3340</v>
      </c>
      <c r="V3768">
        <v>1799</v>
      </c>
      <c r="W3768">
        <v>4881</v>
      </c>
      <c r="X3768">
        <v>2003</v>
      </c>
      <c r="Y3768">
        <v>62.5</v>
      </c>
      <c r="Z3768">
        <v>54.2</v>
      </c>
      <c r="AA3768">
        <v>70.8</v>
      </c>
    </row>
    <row r="3769" spans="1:27" x14ac:dyDescent="0.25">
      <c r="A3769" t="s">
        <v>262</v>
      </c>
      <c r="B3769" t="s">
        <v>172</v>
      </c>
      <c r="C3769" s="76">
        <v>43971</v>
      </c>
      <c r="D3769">
        <v>25642</v>
      </c>
      <c r="E3769">
        <v>17120</v>
      </c>
      <c r="F3769">
        <v>34164</v>
      </c>
      <c r="G3769">
        <v>13893</v>
      </c>
      <c r="H3769">
        <v>64.900000000000006</v>
      </c>
      <c r="I3769">
        <v>59.5</v>
      </c>
      <c r="J3769">
        <v>70.2</v>
      </c>
      <c r="K3769">
        <v>3011</v>
      </c>
      <c r="L3769">
        <v>1894</v>
      </c>
      <c r="M3769">
        <v>4129</v>
      </c>
      <c r="N3769">
        <v>7.6</v>
      </c>
      <c r="O3769">
        <v>6</v>
      </c>
      <c r="P3769">
        <v>9.3000000000000007</v>
      </c>
      <c r="Q3769">
        <f t="shared" si="116"/>
        <v>12804123</v>
      </c>
      <c r="R3769">
        <f t="shared" si="115"/>
        <v>23.515862820124426</v>
      </c>
      <c r="U3769">
        <v>3361</v>
      </c>
      <c r="V3769">
        <v>1817</v>
      </c>
      <c r="W3769">
        <v>4905</v>
      </c>
      <c r="X3769">
        <v>1990</v>
      </c>
      <c r="Y3769">
        <v>62.8</v>
      </c>
      <c r="Z3769">
        <v>55.6</v>
      </c>
      <c r="AA3769">
        <v>70.099999999999994</v>
      </c>
    </row>
    <row r="3770" spans="1:27" x14ac:dyDescent="0.25">
      <c r="A3770" t="s">
        <v>262</v>
      </c>
      <c r="B3770" t="s">
        <v>172</v>
      </c>
      <c r="C3770" s="76">
        <v>43972</v>
      </c>
      <c r="D3770">
        <v>25616</v>
      </c>
      <c r="E3770">
        <v>17024</v>
      </c>
      <c r="F3770">
        <v>34209</v>
      </c>
      <c r="G3770">
        <v>13987</v>
      </c>
      <c r="H3770">
        <v>64.7</v>
      </c>
      <c r="I3770">
        <v>59.4</v>
      </c>
      <c r="J3770">
        <v>70</v>
      </c>
      <c r="K3770">
        <v>2810</v>
      </c>
      <c r="L3770">
        <v>1724</v>
      </c>
      <c r="M3770">
        <v>3897</v>
      </c>
      <c r="N3770">
        <v>7.1</v>
      </c>
      <c r="O3770">
        <v>5.5</v>
      </c>
      <c r="P3770">
        <v>8.6999999999999993</v>
      </c>
      <c r="Q3770">
        <f t="shared" si="116"/>
        <v>12804123</v>
      </c>
      <c r="R3770">
        <f t="shared" si="115"/>
        <v>21.94605596962791</v>
      </c>
      <c r="U3770">
        <v>3368</v>
      </c>
      <c r="V3770">
        <v>1835</v>
      </c>
      <c r="W3770">
        <v>4901</v>
      </c>
      <c r="X3770">
        <v>1972</v>
      </c>
      <c r="Y3770">
        <v>63.1</v>
      </c>
      <c r="Z3770">
        <v>56</v>
      </c>
      <c r="AA3770">
        <v>70.099999999999994</v>
      </c>
    </row>
    <row r="3771" spans="1:27" x14ac:dyDescent="0.25">
      <c r="A3771" t="s">
        <v>262</v>
      </c>
      <c r="B3771" t="s">
        <v>172</v>
      </c>
      <c r="C3771" s="76">
        <v>43973</v>
      </c>
      <c r="D3771">
        <v>24686</v>
      </c>
      <c r="E3771">
        <v>16510</v>
      </c>
      <c r="F3771">
        <v>32862</v>
      </c>
      <c r="G3771">
        <v>14867</v>
      </c>
      <c r="H3771">
        <v>62.4</v>
      </c>
      <c r="I3771">
        <v>56.7</v>
      </c>
      <c r="J3771">
        <v>68.099999999999994</v>
      </c>
      <c r="K3771">
        <v>2739</v>
      </c>
      <c r="L3771">
        <v>1703</v>
      </c>
      <c r="M3771">
        <v>3775</v>
      </c>
      <c r="N3771">
        <v>6.9</v>
      </c>
      <c r="O3771">
        <v>5.3</v>
      </c>
      <c r="P3771">
        <v>8.5</v>
      </c>
      <c r="Q3771">
        <f t="shared" si="116"/>
        <v>12804123</v>
      </c>
      <c r="R3771">
        <f t="shared" si="115"/>
        <v>21.391547082139091</v>
      </c>
      <c r="U3771">
        <v>3358</v>
      </c>
      <c r="V3771">
        <v>1813</v>
      </c>
      <c r="W3771">
        <v>4904</v>
      </c>
      <c r="X3771">
        <v>1988</v>
      </c>
      <c r="Y3771">
        <v>62.8</v>
      </c>
      <c r="Z3771">
        <v>55.4</v>
      </c>
      <c r="AA3771">
        <v>70.3</v>
      </c>
    </row>
    <row r="3772" spans="1:27" x14ac:dyDescent="0.25">
      <c r="A3772" t="s">
        <v>262</v>
      </c>
      <c r="B3772" t="s">
        <v>172</v>
      </c>
      <c r="C3772" s="76">
        <v>43974</v>
      </c>
      <c r="D3772">
        <v>23466</v>
      </c>
      <c r="E3772">
        <v>15574</v>
      </c>
      <c r="F3772">
        <v>31358</v>
      </c>
      <c r="G3772">
        <v>15568</v>
      </c>
      <c r="H3772">
        <v>60.1</v>
      </c>
      <c r="I3772">
        <v>53.9</v>
      </c>
      <c r="J3772">
        <v>66.400000000000006</v>
      </c>
      <c r="K3772">
        <v>2559</v>
      </c>
      <c r="L3772">
        <v>1598</v>
      </c>
      <c r="M3772">
        <v>3520</v>
      </c>
      <c r="N3772">
        <v>6.6</v>
      </c>
      <c r="O3772">
        <v>5</v>
      </c>
      <c r="P3772">
        <v>8.1</v>
      </c>
      <c r="Q3772">
        <f t="shared" si="116"/>
        <v>12804123</v>
      </c>
      <c r="R3772">
        <f t="shared" si="115"/>
        <v>19.985749902589973</v>
      </c>
      <c r="U3772">
        <v>3092</v>
      </c>
      <c r="V3772">
        <v>1645</v>
      </c>
      <c r="W3772">
        <v>4538</v>
      </c>
      <c r="X3772">
        <v>2179</v>
      </c>
      <c r="Y3772">
        <v>58.7</v>
      </c>
      <c r="Z3772">
        <v>51</v>
      </c>
      <c r="AA3772">
        <v>66.400000000000006</v>
      </c>
    </row>
    <row r="3773" spans="1:27" x14ac:dyDescent="0.25">
      <c r="A3773" t="s">
        <v>262</v>
      </c>
      <c r="B3773" t="s">
        <v>172</v>
      </c>
      <c r="C3773" s="76">
        <v>43975</v>
      </c>
      <c r="D3773">
        <v>23712</v>
      </c>
      <c r="E3773">
        <v>15138</v>
      </c>
      <c r="F3773">
        <v>32287</v>
      </c>
      <c r="G3773">
        <v>15945</v>
      </c>
      <c r="H3773">
        <v>59.8</v>
      </c>
      <c r="I3773">
        <v>54.6</v>
      </c>
      <c r="J3773">
        <v>65</v>
      </c>
      <c r="K3773">
        <v>2792</v>
      </c>
      <c r="L3773">
        <v>1611</v>
      </c>
      <c r="M3773">
        <v>3974</v>
      </c>
      <c r="N3773">
        <v>7</v>
      </c>
      <c r="O3773">
        <v>5.3</v>
      </c>
      <c r="P3773">
        <v>8.6999999999999993</v>
      </c>
      <c r="Q3773">
        <f t="shared" si="116"/>
        <v>12804123</v>
      </c>
      <c r="R3773">
        <f t="shared" si="115"/>
        <v>21.805476251672996</v>
      </c>
      <c r="U3773">
        <v>3146</v>
      </c>
      <c r="V3773">
        <v>1516</v>
      </c>
      <c r="W3773">
        <v>4776</v>
      </c>
      <c r="X3773">
        <v>2031</v>
      </c>
      <c r="Y3773">
        <v>60.8</v>
      </c>
      <c r="Z3773">
        <v>53.1</v>
      </c>
      <c r="AA3773">
        <v>68.5</v>
      </c>
    </row>
    <row r="3774" spans="1:27" x14ac:dyDescent="0.25">
      <c r="A3774" t="s">
        <v>262</v>
      </c>
      <c r="B3774" t="s">
        <v>172</v>
      </c>
      <c r="C3774" s="76">
        <v>43976</v>
      </c>
      <c r="D3774">
        <v>24826</v>
      </c>
      <c r="E3774">
        <v>14270</v>
      </c>
      <c r="F3774">
        <v>35382</v>
      </c>
      <c r="G3774">
        <v>16754</v>
      </c>
      <c r="H3774">
        <v>59.7</v>
      </c>
      <c r="I3774">
        <v>54.7</v>
      </c>
      <c r="J3774">
        <v>64.7</v>
      </c>
      <c r="K3774">
        <v>2772</v>
      </c>
      <c r="L3774">
        <v>1461</v>
      </c>
      <c r="M3774">
        <v>4084</v>
      </c>
      <c r="N3774">
        <v>6.7</v>
      </c>
      <c r="O3774">
        <v>5</v>
      </c>
      <c r="P3774">
        <v>8.4</v>
      </c>
      <c r="Q3774">
        <f t="shared" si="116"/>
        <v>12804123</v>
      </c>
      <c r="R3774">
        <f t="shared" si="115"/>
        <v>21.649276565056429</v>
      </c>
      <c r="U3774">
        <v>3619</v>
      </c>
      <c r="V3774">
        <v>1297</v>
      </c>
      <c r="W3774">
        <v>5942</v>
      </c>
      <c r="X3774">
        <v>2511</v>
      </c>
      <c r="Y3774">
        <v>59</v>
      </c>
      <c r="Z3774">
        <v>47.9</v>
      </c>
      <c r="AA3774">
        <v>70.2</v>
      </c>
    </row>
    <row r="3775" spans="1:27" x14ac:dyDescent="0.25">
      <c r="A3775" t="s">
        <v>262</v>
      </c>
      <c r="B3775" t="s">
        <v>172</v>
      </c>
      <c r="C3775" s="76">
        <v>43977</v>
      </c>
      <c r="D3775">
        <v>25614</v>
      </c>
      <c r="E3775">
        <v>14422</v>
      </c>
      <c r="F3775">
        <v>36806</v>
      </c>
      <c r="G3775">
        <v>16383</v>
      </c>
      <c r="H3775">
        <v>61</v>
      </c>
      <c r="I3775">
        <v>55</v>
      </c>
      <c r="J3775">
        <v>66.900000000000006</v>
      </c>
      <c r="K3775">
        <v>2795</v>
      </c>
      <c r="L3775">
        <v>1454</v>
      </c>
      <c r="M3775">
        <v>4137</v>
      </c>
      <c r="N3775">
        <v>6.7</v>
      </c>
      <c r="O3775">
        <v>4.9000000000000004</v>
      </c>
      <c r="P3775">
        <v>8.4</v>
      </c>
      <c r="Q3775">
        <f t="shared" si="116"/>
        <v>12804123</v>
      </c>
      <c r="R3775">
        <f t="shared" si="115"/>
        <v>21.828906204665483</v>
      </c>
      <c r="U3775">
        <v>3725</v>
      </c>
      <c r="V3775">
        <v>1347</v>
      </c>
      <c r="W3775">
        <v>6104</v>
      </c>
      <c r="X3775">
        <v>2405</v>
      </c>
      <c r="Y3775">
        <v>60.8</v>
      </c>
      <c r="Z3775">
        <v>48.5</v>
      </c>
      <c r="AA3775">
        <v>73.099999999999994</v>
      </c>
    </row>
    <row r="3776" spans="1:27" x14ac:dyDescent="0.25">
      <c r="A3776" t="s">
        <v>262</v>
      </c>
      <c r="B3776" t="s">
        <v>172</v>
      </c>
      <c r="C3776" s="76">
        <v>43978</v>
      </c>
      <c r="D3776">
        <v>27396</v>
      </c>
      <c r="E3776">
        <v>15580</v>
      </c>
      <c r="F3776">
        <v>39213</v>
      </c>
      <c r="G3776">
        <v>14551</v>
      </c>
      <c r="H3776">
        <v>65.3</v>
      </c>
      <c r="I3776">
        <v>59.8</v>
      </c>
      <c r="J3776">
        <v>70.900000000000006</v>
      </c>
      <c r="K3776">
        <v>2914</v>
      </c>
      <c r="L3776">
        <v>1527</v>
      </c>
      <c r="M3776">
        <v>4301</v>
      </c>
      <c r="N3776">
        <v>6.9</v>
      </c>
      <c r="O3776">
        <v>5.2</v>
      </c>
      <c r="P3776">
        <v>8.6999999999999993</v>
      </c>
      <c r="Q3776">
        <f t="shared" si="116"/>
        <v>12804123</v>
      </c>
      <c r="R3776">
        <f t="shared" si="115"/>
        <v>22.758294340034066</v>
      </c>
      <c r="U3776">
        <v>3969</v>
      </c>
      <c r="V3776">
        <v>1344</v>
      </c>
      <c r="W3776">
        <v>6594</v>
      </c>
      <c r="X3776">
        <v>2208</v>
      </c>
      <c r="Y3776">
        <v>64.3</v>
      </c>
      <c r="Z3776">
        <v>47.5</v>
      </c>
      <c r="AA3776">
        <v>81</v>
      </c>
    </row>
    <row r="3777" spans="1:27" x14ac:dyDescent="0.25">
      <c r="A3777" t="s">
        <v>262</v>
      </c>
      <c r="B3777" t="s">
        <v>172</v>
      </c>
      <c r="C3777" s="76">
        <v>43979</v>
      </c>
      <c r="D3777">
        <v>27751</v>
      </c>
      <c r="E3777">
        <v>14939</v>
      </c>
      <c r="F3777">
        <v>40563</v>
      </c>
      <c r="G3777">
        <v>13820</v>
      </c>
      <c r="H3777">
        <v>66.8</v>
      </c>
      <c r="I3777">
        <v>61.6</v>
      </c>
      <c r="J3777">
        <v>71.900000000000006</v>
      </c>
      <c r="K3777">
        <v>2911</v>
      </c>
      <c r="L3777">
        <v>1589</v>
      </c>
      <c r="M3777">
        <v>4232</v>
      </c>
      <c r="N3777">
        <v>7</v>
      </c>
      <c r="O3777">
        <v>5.4</v>
      </c>
      <c r="P3777">
        <v>8.6</v>
      </c>
      <c r="Q3777">
        <f t="shared" si="116"/>
        <v>12804123</v>
      </c>
      <c r="R3777">
        <f t="shared" si="115"/>
        <v>22.734864387041579</v>
      </c>
      <c r="U3777">
        <v>4329</v>
      </c>
      <c r="V3777">
        <v>1584</v>
      </c>
      <c r="W3777">
        <v>7073</v>
      </c>
      <c r="X3777">
        <v>2612</v>
      </c>
      <c r="Y3777">
        <v>62.4</v>
      </c>
      <c r="Z3777">
        <v>51.7</v>
      </c>
      <c r="AA3777">
        <v>73.099999999999994</v>
      </c>
    </row>
    <row r="3778" spans="1:27" x14ac:dyDescent="0.25">
      <c r="A3778" t="s">
        <v>262</v>
      </c>
      <c r="B3778" t="s">
        <v>172</v>
      </c>
      <c r="C3778" s="76">
        <v>43980</v>
      </c>
      <c r="D3778">
        <v>27138</v>
      </c>
      <c r="E3778">
        <v>14942</v>
      </c>
      <c r="F3778">
        <v>39335</v>
      </c>
      <c r="G3778">
        <v>14598</v>
      </c>
      <c r="H3778">
        <v>65</v>
      </c>
      <c r="I3778">
        <v>58.4</v>
      </c>
      <c r="J3778">
        <v>71.599999999999994</v>
      </c>
      <c r="K3778">
        <v>2411</v>
      </c>
      <c r="L3778">
        <v>1252</v>
      </c>
      <c r="M3778">
        <v>3570</v>
      </c>
      <c r="N3778">
        <v>5.8</v>
      </c>
      <c r="O3778">
        <v>4.5</v>
      </c>
      <c r="P3778">
        <v>7.1</v>
      </c>
      <c r="Q3778">
        <f t="shared" si="116"/>
        <v>12804123</v>
      </c>
      <c r="R3778">
        <f t="shared" si="115"/>
        <v>18.829872221627362</v>
      </c>
      <c r="U3778">
        <v>3443</v>
      </c>
      <c r="V3778">
        <v>1263</v>
      </c>
      <c r="W3778">
        <v>5622</v>
      </c>
      <c r="X3778">
        <v>2176</v>
      </c>
      <c r="Y3778">
        <v>61.3</v>
      </c>
      <c r="Z3778">
        <v>51</v>
      </c>
      <c r="AA3778">
        <v>71.599999999999994</v>
      </c>
    </row>
    <row r="3779" spans="1:27" x14ac:dyDescent="0.25">
      <c r="A3779" t="s">
        <v>262</v>
      </c>
      <c r="B3779" t="s">
        <v>172</v>
      </c>
      <c r="C3779" s="76">
        <v>43981</v>
      </c>
      <c r="D3779">
        <v>25439</v>
      </c>
      <c r="E3779">
        <v>15340</v>
      </c>
      <c r="F3779">
        <v>35538</v>
      </c>
      <c r="G3779">
        <v>14843</v>
      </c>
      <c r="H3779">
        <v>63.2</v>
      </c>
      <c r="I3779">
        <v>57.4</v>
      </c>
      <c r="J3779">
        <v>68.900000000000006</v>
      </c>
      <c r="K3779">
        <v>2471</v>
      </c>
      <c r="L3779">
        <v>1379</v>
      </c>
      <c r="M3779">
        <v>3562</v>
      </c>
      <c r="N3779">
        <v>6.1</v>
      </c>
      <c r="O3779">
        <v>4.5999999999999996</v>
      </c>
      <c r="P3779">
        <v>7.7</v>
      </c>
      <c r="Q3779">
        <f t="shared" si="116"/>
        <v>12804123</v>
      </c>
      <c r="R3779">
        <f t="shared" si="115"/>
        <v>19.29847128147707</v>
      </c>
      <c r="U3779">
        <v>3215</v>
      </c>
      <c r="V3779">
        <v>1378</v>
      </c>
      <c r="W3779">
        <v>5052</v>
      </c>
      <c r="X3779">
        <v>2005</v>
      </c>
      <c r="Y3779">
        <v>61.6</v>
      </c>
      <c r="Z3779">
        <v>52.1</v>
      </c>
      <c r="AA3779">
        <v>71.099999999999994</v>
      </c>
    </row>
    <row r="3780" spans="1:27" x14ac:dyDescent="0.25">
      <c r="A3780" t="s">
        <v>262</v>
      </c>
      <c r="B3780" t="s">
        <v>172</v>
      </c>
      <c r="C3780" s="76">
        <v>43982</v>
      </c>
      <c r="D3780">
        <v>24492</v>
      </c>
      <c r="E3780">
        <v>14564</v>
      </c>
      <c r="F3780">
        <v>34419</v>
      </c>
      <c r="G3780">
        <v>15498</v>
      </c>
      <c r="H3780">
        <v>61.2</v>
      </c>
      <c r="I3780">
        <v>54.9</v>
      </c>
      <c r="J3780">
        <v>67.599999999999994</v>
      </c>
      <c r="K3780">
        <v>2379</v>
      </c>
      <c r="L3780">
        <v>1300</v>
      </c>
      <c r="M3780">
        <v>3459</v>
      </c>
      <c r="N3780">
        <v>6</v>
      </c>
      <c r="O3780">
        <v>4.4000000000000004</v>
      </c>
      <c r="P3780">
        <v>7.5</v>
      </c>
      <c r="Q3780">
        <f t="shared" si="116"/>
        <v>12804123</v>
      </c>
      <c r="R3780">
        <f t="shared" si="115"/>
        <v>18.579952723040854</v>
      </c>
      <c r="U3780">
        <v>2732</v>
      </c>
      <c r="V3780">
        <v>999</v>
      </c>
      <c r="W3780">
        <v>4465</v>
      </c>
      <c r="X3780">
        <v>2010</v>
      </c>
      <c r="Y3780">
        <v>57.6</v>
      </c>
      <c r="Z3780">
        <v>47.4</v>
      </c>
      <c r="AA3780">
        <v>67.8</v>
      </c>
    </row>
    <row r="3781" spans="1:27" x14ac:dyDescent="0.25">
      <c r="A3781" t="s">
        <v>262</v>
      </c>
      <c r="B3781" t="s">
        <v>172</v>
      </c>
      <c r="C3781" s="76">
        <v>43983</v>
      </c>
      <c r="D3781">
        <v>26316</v>
      </c>
      <c r="E3781">
        <v>16043</v>
      </c>
      <c r="F3781">
        <v>36589</v>
      </c>
      <c r="G3781">
        <v>15103</v>
      </c>
      <c r="H3781">
        <v>63.5</v>
      </c>
      <c r="I3781">
        <v>58.1</v>
      </c>
      <c r="J3781">
        <v>69</v>
      </c>
      <c r="K3781">
        <v>2378</v>
      </c>
      <c r="L3781">
        <v>1301</v>
      </c>
      <c r="M3781">
        <v>3455</v>
      </c>
      <c r="N3781">
        <v>5.7</v>
      </c>
      <c r="O3781">
        <v>4.2</v>
      </c>
      <c r="P3781">
        <v>7.3</v>
      </c>
      <c r="Q3781">
        <f t="shared" si="116"/>
        <v>12804123</v>
      </c>
      <c r="R3781">
        <f t="shared" ref="R3781:R3844" si="117">K3781/(Q3781)*100000</f>
        <v>18.572142738710024</v>
      </c>
      <c r="U3781">
        <v>2927</v>
      </c>
      <c r="V3781">
        <v>1222</v>
      </c>
      <c r="W3781">
        <v>4632</v>
      </c>
      <c r="X3781">
        <v>2083</v>
      </c>
      <c r="Y3781">
        <v>58.4</v>
      </c>
      <c r="Z3781">
        <v>49.9</v>
      </c>
      <c r="AA3781">
        <v>66.900000000000006</v>
      </c>
    </row>
    <row r="3782" spans="1:27" x14ac:dyDescent="0.25">
      <c r="A3782" t="s">
        <v>262</v>
      </c>
      <c r="B3782" t="s">
        <v>172</v>
      </c>
      <c r="C3782" s="76">
        <v>43984</v>
      </c>
      <c r="D3782">
        <v>26938</v>
      </c>
      <c r="E3782">
        <v>14984</v>
      </c>
      <c r="F3782">
        <v>38892</v>
      </c>
      <c r="G3782">
        <v>14171</v>
      </c>
      <c r="H3782">
        <v>65.5</v>
      </c>
      <c r="I3782">
        <v>59.2</v>
      </c>
      <c r="J3782">
        <v>71.8</v>
      </c>
      <c r="K3782">
        <v>2225</v>
      </c>
      <c r="L3782">
        <v>1179</v>
      </c>
      <c r="M3782">
        <v>3272</v>
      </c>
      <c r="N3782">
        <v>5.4</v>
      </c>
      <c r="O3782">
        <v>4.0999999999999996</v>
      </c>
      <c r="P3782">
        <v>6.8</v>
      </c>
      <c r="Q3782">
        <f t="shared" si="116"/>
        <v>12804123</v>
      </c>
      <c r="R3782">
        <f t="shared" si="117"/>
        <v>17.377215136093273</v>
      </c>
      <c r="U3782">
        <v>3240</v>
      </c>
      <c r="V3782">
        <v>1208</v>
      </c>
      <c r="W3782">
        <v>5272</v>
      </c>
      <c r="X3782">
        <v>1956</v>
      </c>
      <c r="Y3782">
        <v>62.4</v>
      </c>
      <c r="Z3782">
        <v>55</v>
      </c>
      <c r="AA3782">
        <v>69.7</v>
      </c>
    </row>
    <row r="3783" spans="1:27" x14ac:dyDescent="0.25">
      <c r="A3783" t="s">
        <v>262</v>
      </c>
      <c r="B3783" t="s">
        <v>172</v>
      </c>
      <c r="C3783" s="76">
        <v>43985</v>
      </c>
      <c r="D3783">
        <v>28261</v>
      </c>
      <c r="E3783">
        <v>14048</v>
      </c>
      <c r="F3783">
        <v>42473</v>
      </c>
      <c r="G3783">
        <v>13360</v>
      </c>
      <c r="H3783">
        <v>67.900000000000006</v>
      </c>
      <c r="I3783">
        <v>61.5</v>
      </c>
      <c r="J3783">
        <v>74.3</v>
      </c>
      <c r="K3783">
        <v>2180</v>
      </c>
      <c r="L3783">
        <v>1035</v>
      </c>
      <c r="M3783">
        <v>3326</v>
      </c>
      <c r="N3783">
        <v>5.2</v>
      </c>
      <c r="O3783">
        <v>3.9</v>
      </c>
      <c r="P3783">
        <v>6.6</v>
      </c>
      <c r="Q3783">
        <f t="shared" si="116"/>
        <v>12804123</v>
      </c>
      <c r="R3783">
        <f t="shared" si="117"/>
        <v>17.025765841205992</v>
      </c>
      <c r="U3783">
        <v>3425</v>
      </c>
      <c r="V3783">
        <v>1051</v>
      </c>
      <c r="W3783">
        <v>5799</v>
      </c>
      <c r="X3783">
        <v>2071</v>
      </c>
      <c r="Y3783">
        <v>62.3</v>
      </c>
      <c r="Z3783">
        <v>53.9</v>
      </c>
      <c r="AA3783">
        <v>70.8</v>
      </c>
    </row>
    <row r="3784" spans="1:27" x14ac:dyDescent="0.25">
      <c r="A3784" t="s">
        <v>262</v>
      </c>
      <c r="B3784" t="s">
        <v>172</v>
      </c>
      <c r="C3784" s="76">
        <v>43986</v>
      </c>
      <c r="D3784">
        <v>24901</v>
      </c>
      <c r="E3784">
        <v>12885</v>
      </c>
      <c r="F3784">
        <v>36917</v>
      </c>
      <c r="G3784">
        <v>14779</v>
      </c>
      <c r="H3784">
        <v>62.8</v>
      </c>
      <c r="I3784">
        <v>56.2</v>
      </c>
      <c r="J3784">
        <v>69.3</v>
      </c>
      <c r="K3784">
        <v>2045</v>
      </c>
      <c r="L3784">
        <v>842</v>
      </c>
      <c r="M3784">
        <v>3248</v>
      </c>
      <c r="N3784">
        <v>5.2</v>
      </c>
      <c r="O3784">
        <v>3.7</v>
      </c>
      <c r="P3784">
        <v>6.6</v>
      </c>
      <c r="Q3784">
        <f t="shared" si="116"/>
        <v>12804123</v>
      </c>
      <c r="R3784">
        <f t="shared" si="117"/>
        <v>15.971417956544155</v>
      </c>
      <c r="U3784">
        <v>2681</v>
      </c>
      <c r="V3784">
        <v>771</v>
      </c>
      <c r="W3784">
        <v>4591</v>
      </c>
      <c r="X3784">
        <v>2192</v>
      </c>
      <c r="Y3784">
        <v>55</v>
      </c>
      <c r="Z3784">
        <v>43.1</v>
      </c>
      <c r="AA3784">
        <v>67</v>
      </c>
    </row>
    <row r="3785" spans="1:27" x14ac:dyDescent="0.25">
      <c r="A3785" t="s">
        <v>262</v>
      </c>
      <c r="B3785" t="s">
        <v>172</v>
      </c>
      <c r="C3785" s="76">
        <v>43987</v>
      </c>
      <c r="D3785">
        <v>25419</v>
      </c>
      <c r="E3785">
        <v>10222</v>
      </c>
      <c r="F3785">
        <v>40616</v>
      </c>
      <c r="G3785">
        <v>16131</v>
      </c>
      <c r="H3785">
        <v>61.2</v>
      </c>
      <c r="I3785">
        <v>53.6</v>
      </c>
      <c r="J3785">
        <v>68.7</v>
      </c>
      <c r="K3785">
        <v>2262</v>
      </c>
      <c r="L3785">
        <v>713</v>
      </c>
      <c r="M3785">
        <v>3810</v>
      </c>
      <c r="N3785">
        <v>5.4</v>
      </c>
      <c r="O3785">
        <v>3.9</v>
      </c>
      <c r="P3785">
        <v>7</v>
      </c>
      <c r="Q3785">
        <f t="shared" si="116"/>
        <v>12804123</v>
      </c>
      <c r="R3785">
        <f t="shared" si="117"/>
        <v>17.666184556333924</v>
      </c>
      <c r="U3785">
        <v>3368</v>
      </c>
      <c r="V3785">
        <v>563</v>
      </c>
      <c r="W3785">
        <v>6173</v>
      </c>
      <c r="X3785">
        <v>2078</v>
      </c>
      <c r="Y3785">
        <v>61.8</v>
      </c>
      <c r="Z3785">
        <v>50.9</v>
      </c>
      <c r="AA3785">
        <v>72.7</v>
      </c>
    </row>
    <row r="3786" spans="1:27" x14ac:dyDescent="0.25">
      <c r="A3786" t="s">
        <v>262</v>
      </c>
      <c r="B3786" t="s">
        <v>172</v>
      </c>
      <c r="C3786" s="76">
        <v>43988</v>
      </c>
      <c r="D3786">
        <v>24143</v>
      </c>
      <c r="E3786">
        <v>12505</v>
      </c>
      <c r="F3786">
        <v>35781</v>
      </c>
      <c r="G3786">
        <v>14860</v>
      </c>
      <c r="H3786">
        <v>61.9</v>
      </c>
      <c r="I3786">
        <v>54.5</v>
      </c>
      <c r="J3786">
        <v>69.3</v>
      </c>
      <c r="K3786">
        <v>2374</v>
      </c>
      <c r="L3786">
        <v>1025</v>
      </c>
      <c r="M3786">
        <v>3722</v>
      </c>
      <c r="N3786">
        <v>6.1</v>
      </c>
      <c r="O3786">
        <v>4.2</v>
      </c>
      <c r="P3786">
        <v>8</v>
      </c>
      <c r="Q3786">
        <f t="shared" si="116"/>
        <v>12804123</v>
      </c>
      <c r="R3786">
        <f t="shared" si="117"/>
        <v>18.540902801386711</v>
      </c>
      <c r="U3786">
        <v>3085</v>
      </c>
      <c r="V3786">
        <v>1034</v>
      </c>
      <c r="W3786">
        <v>5137</v>
      </c>
      <c r="X3786">
        <v>2044</v>
      </c>
      <c r="Y3786">
        <v>60.2</v>
      </c>
      <c r="Z3786">
        <v>51.2</v>
      </c>
      <c r="AA3786">
        <v>69.099999999999994</v>
      </c>
    </row>
    <row r="3787" spans="1:27" x14ac:dyDescent="0.25">
      <c r="A3787" t="s">
        <v>262</v>
      </c>
      <c r="B3787" t="s">
        <v>172</v>
      </c>
      <c r="C3787" s="76">
        <v>43989</v>
      </c>
      <c r="D3787">
        <v>24491</v>
      </c>
      <c r="E3787">
        <v>13406</v>
      </c>
      <c r="F3787">
        <v>35577</v>
      </c>
      <c r="G3787">
        <v>15641</v>
      </c>
      <c r="H3787">
        <v>61</v>
      </c>
      <c r="I3787">
        <v>54.2</v>
      </c>
      <c r="J3787">
        <v>67.900000000000006</v>
      </c>
      <c r="K3787">
        <v>2140</v>
      </c>
      <c r="L3787">
        <v>1104</v>
      </c>
      <c r="M3787">
        <v>3176</v>
      </c>
      <c r="N3787">
        <v>5.3</v>
      </c>
      <c r="O3787">
        <v>4</v>
      </c>
      <c r="P3787">
        <v>6.7</v>
      </c>
      <c r="Q3787">
        <f t="shared" si="116"/>
        <v>12804123</v>
      </c>
      <c r="R3787">
        <f t="shared" si="117"/>
        <v>16.713366467972854</v>
      </c>
      <c r="U3787">
        <v>3087</v>
      </c>
      <c r="V3787">
        <v>1235</v>
      </c>
      <c r="W3787">
        <v>4940</v>
      </c>
      <c r="X3787">
        <v>2081</v>
      </c>
      <c r="Y3787">
        <v>59.7</v>
      </c>
      <c r="Z3787">
        <v>48.1</v>
      </c>
      <c r="AA3787">
        <v>71.400000000000006</v>
      </c>
    </row>
    <row r="3788" spans="1:27" x14ac:dyDescent="0.25">
      <c r="A3788" t="s">
        <v>262</v>
      </c>
      <c r="B3788" t="s">
        <v>172</v>
      </c>
      <c r="C3788" s="76">
        <v>43990</v>
      </c>
      <c r="D3788">
        <v>25705</v>
      </c>
      <c r="E3788">
        <v>13004</v>
      </c>
      <c r="F3788">
        <v>38407</v>
      </c>
      <c r="G3788">
        <v>15679</v>
      </c>
      <c r="H3788">
        <v>62.1</v>
      </c>
      <c r="I3788">
        <v>56.1</v>
      </c>
      <c r="J3788">
        <v>68.099999999999994</v>
      </c>
      <c r="K3788">
        <v>2382</v>
      </c>
      <c r="L3788">
        <v>881</v>
      </c>
      <c r="M3788">
        <v>3883</v>
      </c>
      <c r="N3788">
        <v>5.8</v>
      </c>
      <c r="O3788">
        <v>3.7</v>
      </c>
      <c r="P3788">
        <v>7.9</v>
      </c>
      <c r="Q3788">
        <f t="shared" si="116"/>
        <v>12804123</v>
      </c>
      <c r="R3788">
        <f t="shared" si="117"/>
        <v>18.603382676033338</v>
      </c>
      <c r="U3788">
        <v>3019</v>
      </c>
      <c r="V3788">
        <v>967</v>
      </c>
      <c r="W3788">
        <v>5072</v>
      </c>
      <c r="X3788">
        <v>1933</v>
      </c>
      <c r="Y3788">
        <v>61</v>
      </c>
      <c r="Z3788">
        <v>45.7</v>
      </c>
      <c r="AA3788">
        <v>76.2</v>
      </c>
    </row>
    <row r="3789" spans="1:27" x14ac:dyDescent="0.25">
      <c r="A3789" t="s">
        <v>262</v>
      </c>
      <c r="B3789" t="s">
        <v>172</v>
      </c>
      <c r="C3789" s="76">
        <v>43991</v>
      </c>
      <c r="D3789">
        <v>26176</v>
      </c>
      <c r="E3789">
        <v>14552</v>
      </c>
      <c r="F3789">
        <v>37799</v>
      </c>
      <c r="G3789">
        <v>13820</v>
      </c>
      <c r="H3789">
        <v>65.400000000000006</v>
      </c>
      <c r="I3789">
        <v>60.3</v>
      </c>
      <c r="J3789">
        <v>70.599999999999994</v>
      </c>
      <c r="K3789">
        <v>2188</v>
      </c>
      <c r="L3789">
        <v>956</v>
      </c>
      <c r="M3789">
        <v>3420</v>
      </c>
      <c r="N3789">
        <v>5.5</v>
      </c>
      <c r="O3789">
        <v>3.8</v>
      </c>
      <c r="P3789">
        <v>7.2</v>
      </c>
      <c r="Q3789">
        <f t="shared" si="116"/>
        <v>12804123</v>
      </c>
      <c r="R3789">
        <f t="shared" si="117"/>
        <v>17.088245715852619</v>
      </c>
      <c r="U3789">
        <v>3099</v>
      </c>
      <c r="V3789">
        <v>1289</v>
      </c>
      <c r="W3789">
        <v>4908</v>
      </c>
      <c r="X3789">
        <v>1695</v>
      </c>
      <c r="Y3789">
        <v>64.599999999999994</v>
      </c>
      <c r="Z3789">
        <v>53.2</v>
      </c>
      <c r="AA3789">
        <v>76.099999999999994</v>
      </c>
    </row>
    <row r="3790" spans="1:27" x14ac:dyDescent="0.25">
      <c r="A3790" t="s">
        <v>262</v>
      </c>
      <c r="B3790" t="s">
        <v>172</v>
      </c>
      <c r="C3790" s="76">
        <v>43992</v>
      </c>
      <c r="D3790">
        <v>25683</v>
      </c>
      <c r="E3790">
        <v>13241</v>
      </c>
      <c r="F3790">
        <v>38125</v>
      </c>
      <c r="G3790">
        <v>13886</v>
      </c>
      <c r="H3790">
        <v>64.900000000000006</v>
      </c>
      <c r="I3790">
        <v>60</v>
      </c>
      <c r="J3790">
        <v>69.8</v>
      </c>
      <c r="K3790">
        <v>2393</v>
      </c>
      <c r="L3790">
        <v>1043</v>
      </c>
      <c r="M3790">
        <v>3743</v>
      </c>
      <c r="N3790">
        <v>6</v>
      </c>
      <c r="O3790">
        <v>4.5</v>
      </c>
      <c r="P3790">
        <v>7.6</v>
      </c>
      <c r="Q3790">
        <f t="shared" si="116"/>
        <v>12804123</v>
      </c>
      <c r="R3790">
        <f t="shared" si="117"/>
        <v>18.689292503672448</v>
      </c>
      <c r="U3790">
        <v>3634</v>
      </c>
      <c r="V3790">
        <v>1116</v>
      </c>
      <c r="W3790">
        <v>6152</v>
      </c>
      <c r="X3790">
        <v>1887</v>
      </c>
      <c r="Y3790">
        <v>65.8</v>
      </c>
      <c r="Z3790">
        <v>53.7</v>
      </c>
      <c r="AA3790">
        <v>77.900000000000006</v>
      </c>
    </row>
    <row r="3791" spans="1:27" x14ac:dyDescent="0.25">
      <c r="A3791" t="s">
        <v>262</v>
      </c>
      <c r="B3791" t="s">
        <v>172</v>
      </c>
      <c r="C3791" s="76">
        <v>43993</v>
      </c>
      <c r="D3791">
        <v>26116</v>
      </c>
      <c r="E3791">
        <v>13109</v>
      </c>
      <c r="F3791">
        <v>39123</v>
      </c>
      <c r="G3791">
        <v>10922</v>
      </c>
      <c r="H3791">
        <v>70.5</v>
      </c>
      <c r="I3791">
        <v>62.7</v>
      </c>
      <c r="J3791">
        <v>78.3</v>
      </c>
      <c r="K3791">
        <v>2213</v>
      </c>
      <c r="L3791">
        <v>1023</v>
      </c>
      <c r="M3791">
        <v>3403</v>
      </c>
      <c r="N3791">
        <v>6</v>
      </c>
      <c r="O3791">
        <v>4.5</v>
      </c>
      <c r="P3791">
        <v>7.5</v>
      </c>
      <c r="Q3791">
        <f t="shared" si="116"/>
        <v>12804123</v>
      </c>
      <c r="R3791">
        <f t="shared" si="117"/>
        <v>17.283495324123329</v>
      </c>
      <c r="U3791">
        <v>3942</v>
      </c>
      <c r="V3791">
        <v>1437</v>
      </c>
      <c r="W3791">
        <v>6447</v>
      </c>
      <c r="X3791">
        <v>1800</v>
      </c>
      <c r="Y3791">
        <v>68.7</v>
      </c>
      <c r="Z3791">
        <v>57.4</v>
      </c>
      <c r="AA3791">
        <v>79.900000000000006</v>
      </c>
    </row>
    <row r="3792" spans="1:27" x14ac:dyDescent="0.25">
      <c r="A3792" t="s">
        <v>262</v>
      </c>
      <c r="B3792" t="s">
        <v>172</v>
      </c>
      <c r="C3792" s="76">
        <v>43994</v>
      </c>
      <c r="D3792">
        <v>27833</v>
      </c>
      <c r="E3792">
        <v>14212</v>
      </c>
      <c r="F3792">
        <v>41455</v>
      </c>
      <c r="G3792">
        <v>12133</v>
      </c>
      <c r="H3792">
        <v>69.599999999999994</v>
      </c>
      <c r="I3792">
        <v>61.8</v>
      </c>
      <c r="J3792">
        <v>77.5</v>
      </c>
      <c r="K3792">
        <v>2051</v>
      </c>
      <c r="L3792">
        <v>1001</v>
      </c>
      <c r="M3792">
        <v>3102</v>
      </c>
      <c r="N3792">
        <v>5.0999999999999996</v>
      </c>
      <c r="O3792">
        <v>3.8</v>
      </c>
      <c r="P3792">
        <v>6.5</v>
      </c>
      <c r="Q3792">
        <f t="shared" si="116"/>
        <v>12804123</v>
      </c>
      <c r="R3792">
        <f t="shared" si="117"/>
        <v>16.018277862529125</v>
      </c>
      <c r="U3792">
        <v>4148</v>
      </c>
      <c r="V3792">
        <v>1447</v>
      </c>
      <c r="W3792">
        <v>6848</v>
      </c>
      <c r="X3792">
        <v>2238</v>
      </c>
      <c r="Y3792">
        <v>65</v>
      </c>
      <c r="Z3792">
        <v>55.7</v>
      </c>
      <c r="AA3792">
        <v>74.3</v>
      </c>
    </row>
    <row r="3793" spans="1:27" x14ac:dyDescent="0.25">
      <c r="A3793" t="s">
        <v>262</v>
      </c>
      <c r="B3793" t="s">
        <v>172</v>
      </c>
      <c r="C3793" s="76">
        <v>43995</v>
      </c>
      <c r="D3793">
        <v>31097</v>
      </c>
      <c r="E3793">
        <v>10249</v>
      </c>
      <c r="F3793">
        <v>51946</v>
      </c>
      <c r="G3793">
        <v>13270</v>
      </c>
      <c r="H3793">
        <v>70.099999999999994</v>
      </c>
      <c r="I3793">
        <v>60.2</v>
      </c>
      <c r="J3793">
        <v>80</v>
      </c>
      <c r="K3793">
        <v>1979</v>
      </c>
      <c r="L3793">
        <v>694</v>
      </c>
      <c r="M3793">
        <v>3265</v>
      </c>
      <c r="N3793">
        <v>4.5</v>
      </c>
      <c r="O3793">
        <v>3.3</v>
      </c>
      <c r="P3793">
        <v>5.6</v>
      </c>
      <c r="Q3793">
        <f t="shared" si="116"/>
        <v>12804123</v>
      </c>
      <c r="R3793">
        <f t="shared" si="117"/>
        <v>15.455958990709476</v>
      </c>
      <c r="U3793">
        <v>4949</v>
      </c>
      <c r="V3793">
        <v>544</v>
      </c>
      <c r="W3793">
        <v>9353</v>
      </c>
      <c r="X3793">
        <v>2471</v>
      </c>
      <c r="Y3793">
        <v>66.7</v>
      </c>
      <c r="Z3793">
        <v>57.3</v>
      </c>
      <c r="AA3793">
        <v>76.099999999999994</v>
      </c>
    </row>
    <row r="3794" spans="1:27" x14ac:dyDescent="0.25">
      <c r="A3794" t="s">
        <v>262</v>
      </c>
      <c r="B3794" t="s">
        <v>172</v>
      </c>
      <c r="C3794" s="76">
        <v>43996</v>
      </c>
      <c r="D3794">
        <v>27084</v>
      </c>
      <c r="E3794">
        <v>12031</v>
      </c>
      <c r="F3794">
        <v>42137</v>
      </c>
      <c r="G3794">
        <v>13327</v>
      </c>
      <c r="H3794">
        <v>67</v>
      </c>
      <c r="I3794">
        <v>59.4</v>
      </c>
      <c r="J3794">
        <v>74.599999999999994</v>
      </c>
      <c r="K3794">
        <v>1821</v>
      </c>
      <c r="L3794">
        <v>803</v>
      </c>
      <c r="M3794">
        <v>2839</v>
      </c>
      <c r="N3794">
        <v>4.5</v>
      </c>
      <c r="O3794">
        <v>3.3</v>
      </c>
      <c r="P3794">
        <v>5.7</v>
      </c>
      <c r="Q3794">
        <f t="shared" si="116"/>
        <v>12804123</v>
      </c>
      <c r="R3794">
        <f t="shared" si="117"/>
        <v>14.221981466438585</v>
      </c>
      <c r="U3794">
        <v>4082</v>
      </c>
      <c r="V3794">
        <v>956</v>
      </c>
      <c r="W3794">
        <v>7209</v>
      </c>
      <c r="X3794">
        <v>2390</v>
      </c>
      <c r="Y3794">
        <v>63.1</v>
      </c>
      <c r="Z3794">
        <v>54.1</v>
      </c>
      <c r="AA3794">
        <v>72.099999999999994</v>
      </c>
    </row>
    <row r="3795" spans="1:27" x14ac:dyDescent="0.25">
      <c r="A3795" t="s">
        <v>262</v>
      </c>
      <c r="B3795" t="s">
        <v>172</v>
      </c>
      <c r="C3795" s="76">
        <v>43997</v>
      </c>
      <c r="D3795">
        <v>24881</v>
      </c>
      <c r="E3795">
        <v>15030</v>
      </c>
      <c r="F3795">
        <v>34732</v>
      </c>
      <c r="G3795">
        <v>14200</v>
      </c>
      <c r="H3795">
        <v>63.7</v>
      </c>
      <c r="I3795">
        <v>57.2</v>
      </c>
      <c r="J3795">
        <v>70.2</v>
      </c>
      <c r="K3795">
        <v>1710</v>
      </c>
      <c r="L3795">
        <v>913</v>
      </c>
      <c r="M3795">
        <v>2507</v>
      </c>
      <c r="N3795">
        <v>4.4000000000000004</v>
      </c>
      <c r="O3795">
        <v>3.1</v>
      </c>
      <c r="P3795">
        <v>5.6</v>
      </c>
      <c r="Q3795">
        <f t="shared" si="116"/>
        <v>12804123</v>
      </c>
      <c r="R3795">
        <f t="shared" si="117"/>
        <v>13.355073205716627</v>
      </c>
      <c r="U3795">
        <v>3311</v>
      </c>
      <c r="V3795">
        <v>1441</v>
      </c>
      <c r="W3795">
        <v>5181</v>
      </c>
      <c r="X3795">
        <v>2432</v>
      </c>
      <c r="Y3795">
        <v>57.7</v>
      </c>
      <c r="Z3795">
        <v>48.2</v>
      </c>
      <c r="AA3795">
        <v>67.099999999999994</v>
      </c>
    </row>
    <row r="3796" spans="1:27" x14ac:dyDescent="0.25">
      <c r="A3796" t="s">
        <v>262</v>
      </c>
      <c r="B3796" t="s">
        <v>172</v>
      </c>
      <c r="C3796" s="76">
        <v>43998</v>
      </c>
      <c r="D3796">
        <v>27383</v>
      </c>
      <c r="E3796">
        <v>15477</v>
      </c>
      <c r="F3796">
        <v>39289</v>
      </c>
      <c r="G3796">
        <v>13710</v>
      </c>
      <c r="H3796">
        <v>66.599999999999994</v>
      </c>
      <c r="I3796">
        <v>60</v>
      </c>
      <c r="J3796">
        <v>73.3</v>
      </c>
      <c r="K3796">
        <v>1789</v>
      </c>
      <c r="L3796">
        <v>940</v>
      </c>
      <c r="M3796">
        <v>2638</v>
      </c>
      <c r="N3796">
        <v>4.4000000000000004</v>
      </c>
      <c r="O3796">
        <v>3.2</v>
      </c>
      <c r="P3796">
        <v>5.5</v>
      </c>
      <c r="Q3796">
        <f t="shared" si="116"/>
        <v>12804123</v>
      </c>
      <c r="R3796">
        <f t="shared" si="117"/>
        <v>13.972061967852074</v>
      </c>
      <c r="U3796">
        <v>3791</v>
      </c>
      <c r="V3796">
        <v>1453</v>
      </c>
      <c r="W3796">
        <v>6129</v>
      </c>
      <c r="X3796">
        <v>2185</v>
      </c>
      <c r="Y3796">
        <v>63.4</v>
      </c>
      <c r="Z3796">
        <v>55.7</v>
      </c>
      <c r="AA3796">
        <v>71.099999999999994</v>
      </c>
    </row>
    <row r="3797" spans="1:27" x14ac:dyDescent="0.25">
      <c r="A3797" t="s">
        <v>262</v>
      </c>
      <c r="B3797" t="s">
        <v>172</v>
      </c>
      <c r="C3797" s="76">
        <v>43999</v>
      </c>
      <c r="D3797">
        <v>29147</v>
      </c>
      <c r="E3797">
        <v>14038</v>
      </c>
      <c r="F3797">
        <v>44255</v>
      </c>
      <c r="G3797">
        <v>12976</v>
      </c>
      <c r="H3797">
        <v>69.2</v>
      </c>
      <c r="I3797">
        <v>62.5</v>
      </c>
      <c r="J3797">
        <v>75.900000000000006</v>
      </c>
      <c r="K3797">
        <v>1911</v>
      </c>
      <c r="L3797">
        <v>928</v>
      </c>
      <c r="M3797">
        <v>2894</v>
      </c>
      <c r="N3797">
        <v>4.5</v>
      </c>
      <c r="O3797">
        <v>3.1</v>
      </c>
      <c r="P3797">
        <v>6</v>
      </c>
      <c r="Q3797">
        <f t="shared" si="116"/>
        <v>12804123</v>
      </c>
      <c r="R3797">
        <f t="shared" si="117"/>
        <v>14.924880056213144</v>
      </c>
      <c r="U3797">
        <v>4454</v>
      </c>
      <c r="V3797">
        <v>776</v>
      </c>
      <c r="W3797">
        <v>8132</v>
      </c>
      <c r="X3797">
        <v>2181</v>
      </c>
      <c r="Y3797">
        <v>67.099999999999994</v>
      </c>
      <c r="Z3797">
        <v>57.8</v>
      </c>
      <c r="AA3797">
        <v>76.5</v>
      </c>
    </row>
    <row r="3798" spans="1:27" x14ac:dyDescent="0.25">
      <c r="A3798" t="s">
        <v>262</v>
      </c>
      <c r="B3798" t="s">
        <v>172</v>
      </c>
      <c r="C3798" s="76">
        <v>44000</v>
      </c>
      <c r="D3798">
        <v>25318</v>
      </c>
      <c r="E3798">
        <v>14547</v>
      </c>
      <c r="F3798">
        <v>36088</v>
      </c>
      <c r="G3798">
        <v>12175</v>
      </c>
      <c r="H3798">
        <v>67.5</v>
      </c>
      <c r="I3798">
        <v>62.8</v>
      </c>
      <c r="J3798">
        <v>72.3</v>
      </c>
      <c r="K3798">
        <v>1733</v>
      </c>
      <c r="L3798">
        <v>829</v>
      </c>
      <c r="M3798">
        <v>2637</v>
      </c>
      <c r="N3798">
        <v>4.5999999999999996</v>
      </c>
      <c r="O3798">
        <v>3.4</v>
      </c>
      <c r="P3798">
        <v>5.8</v>
      </c>
      <c r="Q3798">
        <f t="shared" si="116"/>
        <v>12804123</v>
      </c>
      <c r="R3798">
        <f t="shared" si="117"/>
        <v>13.534702845325681</v>
      </c>
      <c r="U3798">
        <v>3000</v>
      </c>
      <c r="V3798">
        <v>1382</v>
      </c>
      <c r="W3798">
        <v>4617</v>
      </c>
      <c r="X3798">
        <v>1687</v>
      </c>
      <c r="Y3798">
        <v>64</v>
      </c>
      <c r="Z3798">
        <v>57.2</v>
      </c>
      <c r="AA3798">
        <v>70.8</v>
      </c>
    </row>
    <row r="3799" spans="1:27" x14ac:dyDescent="0.25">
      <c r="A3799" t="s">
        <v>262</v>
      </c>
      <c r="B3799" t="s">
        <v>172</v>
      </c>
      <c r="C3799" s="76">
        <v>44001</v>
      </c>
      <c r="D3799">
        <v>25600</v>
      </c>
      <c r="E3799">
        <v>14553</v>
      </c>
      <c r="F3799">
        <v>36646</v>
      </c>
      <c r="G3799">
        <v>12216</v>
      </c>
      <c r="H3799">
        <v>67.7</v>
      </c>
      <c r="I3799">
        <v>61.9</v>
      </c>
      <c r="J3799">
        <v>73.5</v>
      </c>
      <c r="K3799">
        <v>1768</v>
      </c>
      <c r="L3799">
        <v>905</v>
      </c>
      <c r="M3799">
        <v>2631</v>
      </c>
      <c r="N3799">
        <v>4.7</v>
      </c>
      <c r="O3799">
        <v>3.5</v>
      </c>
      <c r="P3799">
        <v>5.8</v>
      </c>
      <c r="Q3799">
        <f t="shared" si="116"/>
        <v>12804123</v>
      </c>
      <c r="R3799">
        <f t="shared" si="117"/>
        <v>13.808052296904677</v>
      </c>
      <c r="U3799">
        <v>3198</v>
      </c>
      <c r="V3799">
        <v>1479</v>
      </c>
      <c r="W3799">
        <v>4918</v>
      </c>
      <c r="X3799">
        <v>1701</v>
      </c>
      <c r="Y3799">
        <v>65.3</v>
      </c>
      <c r="Z3799">
        <v>59.3</v>
      </c>
      <c r="AA3799">
        <v>71.3</v>
      </c>
    </row>
    <row r="3800" spans="1:27" x14ac:dyDescent="0.25">
      <c r="A3800" t="s">
        <v>262</v>
      </c>
      <c r="B3800" t="s">
        <v>172</v>
      </c>
      <c r="C3800" s="76">
        <v>44002</v>
      </c>
      <c r="D3800">
        <v>25052</v>
      </c>
      <c r="E3800">
        <v>12689</v>
      </c>
      <c r="F3800">
        <v>37414</v>
      </c>
      <c r="G3800">
        <v>13089</v>
      </c>
      <c r="H3800">
        <v>65.7</v>
      </c>
      <c r="I3800">
        <v>59.1</v>
      </c>
      <c r="J3800">
        <v>72.3</v>
      </c>
      <c r="K3800">
        <v>1776</v>
      </c>
      <c r="L3800">
        <v>606</v>
      </c>
      <c r="M3800">
        <v>2945</v>
      </c>
      <c r="N3800">
        <v>4.7</v>
      </c>
      <c r="O3800">
        <v>2.9</v>
      </c>
      <c r="P3800">
        <v>6.4</v>
      </c>
      <c r="Q3800">
        <f t="shared" si="116"/>
        <v>12804123</v>
      </c>
      <c r="R3800">
        <f t="shared" si="117"/>
        <v>13.870532171551304</v>
      </c>
      <c r="U3800">
        <v>3058</v>
      </c>
      <c r="V3800">
        <v>941</v>
      </c>
      <c r="W3800">
        <v>5174</v>
      </c>
      <c r="X3800">
        <v>1810</v>
      </c>
      <c r="Y3800">
        <v>62.8</v>
      </c>
      <c r="Z3800">
        <v>51.5</v>
      </c>
      <c r="AA3800">
        <v>74.099999999999994</v>
      </c>
    </row>
    <row r="3801" spans="1:27" x14ac:dyDescent="0.25">
      <c r="A3801" t="s">
        <v>262</v>
      </c>
      <c r="B3801" t="s">
        <v>172</v>
      </c>
      <c r="C3801" s="76">
        <v>44003</v>
      </c>
      <c r="D3801">
        <v>24314</v>
      </c>
      <c r="E3801">
        <v>12776</v>
      </c>
      <c r="F3801">
        <v>35852</v>
      </c>
      <c r="G3801">
        <v>14545</v>
      </c>
      <c r="H3801">
        <v>62.6</v>
      </c>
      <c r="I3801">
        <v>55.6</v>
      </c>
      <c r="J3801">
        <v>69.599999999999994</v>
      </c>
      <c r="K3801">
        <v>1478</v>
      </c>
      <c r="L3801">
        <v>726</v>
      </c>
      <c r="M3801">
        <v>2230</v>
      </c>
      <c r="N3801">
        <v>3.8</v>
      </c>
      <c r="O3801">
        <v>2.7</v>
      </c>
      <c r="P3801">
        <v>5</v>
      </c>
      <c r="Q3801">
        <f t="shared" si="116"/>
        <v>12804123</v>
      </c>
      <c r="R3801">
        <f t="shared" si="117"/>
        <v>11.54315684096443</v>
      </c>
      <c r="U3801">
        <v>3287</v>
      </c>
      <c r="V3801">
        <v>1233</v>
      </c>
      <c r="W3801">
        <v>5341</v>
      </c>
      <c r="X3801">
        <v>2414</v>
      </c>
      <c r="Y3801">
        <v>57.7</v>
      </c>
      <c r="Z3801">
        <v>47.2</v>
      </c>
      <c r="AA3801">
        <v>68.099999999999994</v>
      </c>
    </row>
    <row r="3802" spans="1:27" x14ac:dyDescent="0.25">
      <c r="A3802" t="s">
        <v>262</v>
      </c>
      <c r="B3802" t="s">
        <v>172</v>
      </c>
      <c r="C3802" s="76">
        <v>44004</v>
      </c>
      <c r="D3802">
        <v>26606</v>
      </c>
      <c r="E3802">
        <v>15222</v>
      </c>
      <c r="F3802">
        <v>37991</v>
      </c>
      <c r="G3802">
        <v>13552</v>
      </c>
      <c r="H3802">
        <v>66.3</v>
      </c>
      <c r="I3802">
        <v>59.5</v>
      </c>
      <c r="J3802">
        <v>73</v>
      </c>
      <c r="K3802">
        <v>1804</v>
      </c>
      <c r="L3802">
        <v>943</v>
      </c>
      <c r="M3802">
        <v>2666</v>
      </c>
      <c r="N3802">
        <v>4.5</v>
      </c>
      <c r="O3802">
        <v>3.1</v>
      </c>
      <c r="P3802">
        <v>5.9</v>
      </c>
      <c r="Q3802">
        <f t="shared" si="116"/>
        <v>12804123</v>
      </c>
      <c r="R3802">
        <f t="shared" si="117"/>
        <v>14.089211732814499</v>
      </c>
      <c r="U3802">
        <v>3822</v>
      </c>
      <c r="V3802">
        <v>1555</v>
      </c>
      <c r="W3802">
        <v>6088</v>
      </c>
      <c r="X3802">
        <v>2255</v>
      </c>
      <c r="Y3802">
        <v>62.9</v>
      </c>
      <c r="Z3802">
        <v>54</v>
      </c>
      <c r="AA3802">
        <v>71.8</v>
      </c>
    </row>
    <row r="3803" spans="1:27" x14ac:dyDescent="0.25">
      <c r="A3803" t="s">
        <v>262</v>
      </c>
      <c r="B3803" t="s">
        <v>172</v>
      </c>
      <c r="C3803" s="76">
        <v>44005</v>
      </c>
      <c r="D3803">
        <v>28732</v>
      </c>
      <c r="E3803">
        <v>14639</v>
      </c>
      <c r="F3803">
        <v>42826</v>
      </c>
      <c r="G3803">
        <v>11320</v>
      </c>
      <c r="H3803">
        <v>71.7</v>
      </c>
      <c r="I3803">
        <v>65.3</v>
      </c>
      <c r="J3803">
        <v>78.099999999999994</v>
      </c>
      <c r="K3803">
        <v>1834</v>
      </c>
      <c r="L3803">
        <v>917</v>
      </c>
      <c r="M3803">
        <v>2750</v>
      </c>
      <c r="N3803">
        <v>4.5999999999999996</v>
      </c>
      <c r="O3803">
        <v>3.3</v>
      </c>
      <c r="P3803">
        <v>5.9</v>
      </c>
      <c r="Q3803">
        <f t="shared" si="116"/>
        <v>12804123</v>
      </c>
      <c r="R3803">
        <f t="shared" si="117"/>
        <v>14.323511262739354</v>
      </c>
      <c r="U3803">
        <v>4254</v>
      </c>
      <c r="V3803">
        <v>1378</v>
      </c>
      <c r="W3803">
        <v>7131</v>
      </c>
      <c r="X3803">
        <v>2004</v>
      </c>
      <c r="Y3803">
        <v>68</v>
      </c>
      <c r="Z3803">
        <v>57.7</v>
      </c>
      <c r="AA3803">
        <v>78.2</v>
      </c>
    </row>
    <row r="3804" spans="1:27" x14ac:dyDescent="0.25">
      <c r="A3804" t="s">
        <v>262</v>
      </c>
      <c r="B3804" t="s">
        <v>172</v>
      </c>
      <c r="C3804" s="76">
        <v>44006</v>
      </c>
      <c r="D3804">
        <v>29870</v>
      </c>
      <c r="E3804">
        <v>15198</v>
      </c>
      <c r="F3804">
        <v>44542</v>
      </c>
      <c r="G3804">
        <v>12012</v>
      </c>
      <c r="H3804">
        <v>71.3</v>
      </c>
      <c r="I3804">
        <v>64.3</v>
      </c>
      <c r="J3804">
        <v>78.400000000000006</v>
      </c>
      <c r="K3804">
        <v>1671</v>
      </c>
      <c r="L3804">
        <v>817</v>
      </c>
      <c r="M3804">
        <v>2524</v>
      </c>
      <c r="N3804">
        <v>4</v>
      </c>
      <c r="O3804">
        <v>2.7</v>
      </c>
      <c r="P3804">
        <v>5.3</v>
      </c>
      <c r="Q3804">
        <f t="shared" si="116"/>
        <v>12804123</v>
      </c>
      <c r="R3804">
        <f t="shared" si="117"/>
        <v>13.050483816814319</v>
      </c>
      <c r="U3804">
        <v>4326</v>
      </c>
      <c r="V3804">
        <v>1263</v>
      </c>
      <c r="W3804">
        <v>7388</v>
      </c>
      <c r="X3804">
        <v>2047</v>
      </c>
      <c r="Y3804">
        <v>67.900000000000006</v>
      </c>
      <c r="Z3804">
        <v>58.5</v>
      </c>
      <c r="AA3804">
        <v>77.3</v>
      </c>
    </row>
    <row r="3805" spans="1:27" x14ac:dyDescent="0.25">
      <c r="A3805" t="s">
        <v>262</v>
      </c>
      <c r="B3805" t="s">
        <v>172</v>
      </c>
      <c r="C3805" s="76">
        <v>44007</v>
      </c>
      <c r="D3805">
        <v>29819</v>
      </c>
      <c r="E3805">
        <v>15297</v>
      </c>
      <c r="F3805">
        <v>44341</v>
      </c>
      <c r="G3805">
        <v>11421</v>
      </c>
      <c r="H3805">
        <v>72.3</v>
      </c>
      <c r="I3805">
        <v>65.2</v>
      </c>
      <c r="J3805">
        <v>79.5</v>
      </c>
      <c r="K3805">
        <v>1708</v>
      </c>
      <c r="L3805">
        <v>810</v>
      </c>
      <c r="M3805">
        <v>2605</v>
      </c>
      <c r="N3805">
        <v>4.0999999999999996</v>
      </c>
      <c r="O3805">
        <v>2.8</v>
      </c>
      <c r="P3805">
        <v>5.5</v>
      </c>
      <c r="Q3805">
        <f t="shared" si="116"/>
        <v>12804123</v>
      </c>
      <c r="R3805">
        <f t="shared" si="117"/>
        <v>13.33945323705497</v>
      </c>
      <c r="U3805">
        <v>4354</v>
      </c>
      <c r="V3805">
        <v>1454</v>
      </c>
      <c r="W3805">
        <v>7255</v>
      </c>
      <c r="X3805">
        <v>2041</v>
      </c>
      <c r="Y3805">
        <v>68.099999999999994</v>
      </c>
      <c r="Z3805">
        <v>57.4</v>
      </c>
      <c r="AA3805">
        <v>78.8</v>
      </c>
    </row>
    <row r="3806" spans="1:27" x14ac:dyDescent="0.25">
      <c r="A3806" t="s">
        <v>262</v>
      </c>
      <c r="B3806" t="s">
        <v>172</v>
      </c>
      <c r="C3806" s="76">
        <v>44008</v>
      </c>
      <c r="D3806">
        <v>29353</v>
      </c>
      <c r="E3806">
        <v>15134</v>
      </c>
      <c r="F3806">
        <v>43572</v>
      </c>
      <c r="G3806">
        <v>12073</v>
      </c>
      <c r="H3806">
        <v>70.900000000000006</v>
      </c>
      <c r="I3806">
        <v>63.1</v>
      </c>
      <c r="J3806">
        <v>78.599999999999994</v>
      </c>
      <c r="K3806">
        <v>1435</v>
      </c>
      <c r="L3806">
        <v>711</v>
      </c>
      <c r="M3806">
        <v>2159</v>
      </c>
      <c r="N3806">
        <v>3.5</v>
      </c>
      <c r="O3806">
        <v>2.4</v>
      </c>
      <c r="P3806">
        <v>4.5</v>
      </c>
      <c r="Q3806">
        <f t="shared" si="116"/>
        <v>12804123</v>
      </c>
      <c r="R3806">
        <f t="shared" si="117"/>
        <v>11.207327514738807</v>
      </c>
      <c r="U3806">
        <v>4256</v>
      </c>
      <c r="V3806">
        <v>1332</v>
      </c>
      <c r="W3806">
        <v>7180</v>
      </c>
      <c r="X3806">
        <v>1993</v>
      </c>
      <c r="Y3806">
        <v>68.099999999999994</v>
      </c>
      <c r="Z3806">
        <v>55.9</v>
      </c>
      <c r="AA3806">
        <v>80.400000000000006</v>
      </c>
    </row>
    <row r="3807" spans="1:27" x14ac:dyDescent="0.25">
      <c r="A3807" t="s">
        <v>262</v>
      </c>
      <c r="B3807" t="s">
        <v>172</v>
      </c>
      <c r="C3807" s="76">
        <v>44009</v>
      </c>
      <c r="D3807">
        <v>26878</v>
      </c>
      <c r="E3807">
        <v>13228</v>
      </c>
      <c r="F3807">
        <v>40528</v>
      </c>
      <c r="G3807">
        <v>13396</v>
      </c>
      <c r="H3807">
        <v>66.7</v>
      </c>
      <c r="I3807">
        <v>57.8</v>
      </c>
      <c r="J3807">
        <v>75.7</v>
      </c>
      <c r="K3807">
        <v>1241</v>
      </c>
      <c r="L3807">
        <v>594</v>
      </c>
      <c r="M3807">
        <v>1888</v>
      </c>
      <c r="N3807">
        <v>3.1</v>
      </c>
      <c r="O3807">
        <v>2.1</v>
      </c>
      <c r="P3807">
        <v>4</v>
      </c>
      <c r="Q3807">
        <f t="shared" si="116"/>
        <v>12804123</v>
      </c>
      <c r="R3807">
        <f t="shared" si="117"/>
        <v>9.6921905545580902</v>
      </c>
      <c r="U3807">
        <v>3459</v>
      </c>
      <c r="V3807">
        <v>886</v>
      </c>
      <c r="W3807">
        <v>6032</v>
      </c>
      <c r="X3807">
        <v>2145</v>
      </c>
      <c r="Y3807">
        <v>61.7</v>
      </c>
      <c r="Z3807">
        <v>49</v>
      </c>
      <c r="AA3807">
        <v>74.5</v>
      </c>
    </row>
    <row r="3808" spans="1:27" x14ac:dyDescent="0.25">
      <c r="A3808" t="s">
        <v>262</v>
      </c>
      <c r="B3808" t="s">
        <v>172</v>
      </c>
      <c r="C3808" s="76">
        <v>44010</v>
      </c>
      <c r="D3808">
        <v>25503</v>
      </c>
      <c r="E3808">
        <v>12380</v>
      </c>
      <c r="F3808">
        <v>38626</v>
      </c>
      <c r="G3808">
        <v>13783</v>
      </c>
      <c r="H3808">
        <v>64.900000000000006</v>
      </c>
      <c r="I3808">
        <v>55.4</v>
      </c>
      <c r="J3808">
        <v>74.400000000000006</v>
      </c>
      <c r="K3808">
        <v>1223</v>
      </c>
      <c r="L3808">
        <v>655</v>
      </c>
      <c r="M3808">
        <v>1791</v>
      </c>
      <c r="N3808">
        <v>3.1</v>
      </c>
      <c r="O3808">
        <v>2.2000000000000002</v>
      </c>
      <c r="P3808">
        <v>4</v>
      </c>
      <c r="Q3808">
        <f t="shared" si="116"/>
        <v>12804123</v>
      </c>
      <c r="R3808">
        <f t="shared" si="117"/>
        <v>9.5516108366031798</v>
      </c>
      <c r="U3808">
        <v>3463</v>
      </c>
      <c r="V3808">
        <v>854</v>
      </c>
      <c r="W3808">
        <v>6072</v>
      </c>
      <c r="X3808">
        <v>2189</v>
      </c>
      <c r="Y3808">
        <v>61.3</v>
      </c>
      <c r="Z3808">
        <v>46.8</v>
      </c>
      <c r="AA3808">
        <v>75.7</v>
      </c>
    </row>
    <row r="3809" spans="1:27" x14ac:dyDescent="0.25">
      <c r="A3809" t="s">
        <v>262</v>
      </c>
      <c r="B3809" t="s">
        <v>172</v>
      </c>
      <c r="C3809" s="76">
        <v>44011</v>
      </c>
      <c r="D3809">
        <v>27658</v>
      </c>
      <c r="E3809">
        <v>14038</v>
      </c>
      <c r="F3809">
        <v>41279</v>
      </c>
      <c r="G3809">
        <v>13716</v>
      </c>
      <c r="H3809">
        <v>66.8</v>
      </c>
      <c r="I3809">
        <v>59.6</v>
      </c>
      <c r="J3809">
        <v>74.099999999999994</v>
      </c>
      <c r="K3809">
        <v>1548</v>
      </c>
      <c r="L3809">
        <v>756</v>
      </c>
      <c r="M3809">
        <v>2339</v>
      </c>
      <c r="N3809">
        <v>3.7</v>
      </c>
      <c r="O3809">
        <v>2.6</v>
      </c>
      <c r="P3809">
        <v>4.9000000000000004</v>
      </c>
      <c r="Q3809">
        <f t="shared" si="116"/>
        <v>12804123</v>
      </c>
      <c r="R3809">
        <f t="shared" si="117"/>
        <v>12.089855744122421</v>
      </c>
      <c r="U3809">
        <v>3827</v>
      </c>
      <c r="V3809">
        <v>1129</v>
      </c>
      <c r="W3809">
        <v>6526</v>
      </c>
      <c r="X3809">
        <v>2447</v>
      </c>
      <c r="Y3809">
        <v>61</v>
      </c>
      <c r="Z3809">
        <v>49.1</v>
      </c>
      <c r="AA3809">
        <v>72.900000000000006</v>
      </c>
    </row>
    <row r="3810" spans="1:27" x14ac:dyDescent="0.25">
      <c r="A3810" t="s">
        <v>262</v>
      </c>
      <c r="B3810" t="s">
        <v>172</v>
      </c>
      <c r="C3810" s="76">
        <v>44012</v>
      </c>
      <c r="D3810">
        <v>29383</v>
      </c>
      <c r="E3810">
        <v>14616</v>
      </c>
      <c r="F3810">
        <v>44150</v>
      </c>
      <c r="G3810">
        <v>12621</v>
      </c>
      <c r="H3810">
        <v>70</v>
      </c>
      <c r="I3810">
        <v>62.3</v>
      </c>
      <c r="J3810">
        <v>77.599999999999994</v>
      </c>
      <c r="K3810">
        <v>1756</v>
      </c>
      <c r="L3810">
        <v>890</v>
      </c>
      <c r="M3810">
        <v>2623</v>
      </c>
      <c r="N3810">
        <v>4.2</v>
      </c>
      <c r="O3810">
        <v>2.9</v>
      </c>
      <c r="P3810">
        <v>5.5</v>
      </c>
      <c r="Q3810">
        <f t="shared" si="116"/>
        <v>12804123</v>
      </c>
      <c r="R3810">
        <f t="shared" si="117"/>
        <v>13.714332484934735</v>
      </c>
      <c r="U3810">
        <v>3889</v>
      </c>
      <c r="V3810">
        <v>1247</v>
      </c>
      <c r="W3810">
        <v>6530</v>
      </c>
      <c r="X3810">
        <v>2499</v>
      </c>
      <c r="Y3810">
        <v>60.9</v>
      </c>
      <c r="Z3810">
        <v>51.6</v>
      </c>
      <c r="AA3810">
        <v>70.099999999999994</v>
      </c>
    </row>
    <row r="3811" spans="1:27" x14ac:dyDescent="0.25">
      <c r="A3811" t="s">
        <v>262</v>
      </c>
      <c r="B3811" t="s">
        <v>172</v>
      </c>
      <c r="C3811" s="76">
        <v>44013</v>
      </c>
      <c r="D3811">
        <v>30423</v>
      </c>
      <c r="E3811">
        <v>15096</v>
      </c>
      <c r="F3811">
        <v>45751</v>
      </c>
      <c r="G3811">
        <v>12603</v>
      </c>
      <c r="H3811">
        <v>70.7</v>
      </c>
      <c r="I3811">
        <v>62.8</v>
      </c>
      <c r="J3811">
        <v>78.7</v>
      </c>
      <c r="K3811">
        <v>1798</v>
      </c>
      <c r="L3811">
        <v>768</v>
      </c>
      <c r="M3811">
        <v>2828</v>
      </c>
      <c r="N3811">
        <v>4.2</v>
      </c>
      <c r="O3811">
        <v>2.5</v>
      </c>
      <c r="P3811">
        <v>5.9</v>
      </c>
      <c r="Q3811">
        <f t="shared" si="116"/>
        <v>12804123</v>
      </c>
      <c r="R3811">
        <f t="shared" si="117"/>
        <v>14.042351826829531</v>
      </c>
      <c r="U3811">
        <v>4148</v>
      </c>
      <c r="V3811">
        <v>1428</v>
      </c>
      <c r="W3811">
        <v>6867</v>
      </c>
      <c r="X3811">
        <v>2475</v>
      </c>
      <c r="Y3811">
        <v>62.6</v>
      </c>
      <c r="Z3811">
        <v>53.6</v>
      </c>
      <c r="AA3811">
        <v>71.599999999999994</v>
      </c>
    </row>
    <row r="3812" spans="1:27" x14ac:dyDescent="0.25">
      <c r="A3812" t="s">
        <v>262</v>
      </c>
      <c r="B3812" t="s">
        <v>172</v>
      </c>
      <c r="C3812" s="76">
        <v>44014</v>
      </c>
      <c r="D3812">
        <v>30777</v>
      </c>
      <c r="E3812">
        <v>15073</v>
      </c>
      <c r="F3812">
        <v>46481</v>
      </c>
      <c r="G3812">
        <v>12000</v>
      </c>
      <c r="H3812">
        <v>71.900000000000006</v>
      </c>
      <c r="I3812">
        <v>63.1</v>
      </c>
      <c r="J3812">
        <v>80.8</v>
      </c>
      <c r="K3812">
        <v>1569</v>
      </c>
      <c r="L3812">
        <v>553</v>
      </c>
      <c r="M3812">
        <v>2584</v>
      </c>
      <c r="N3812">
        <v>3.7</v>
      </c>
      <c r="O3812">
        <v>2</v>
      </c>
      <c r="P3812">
        <v>5.4</v>
      </c>
      <c r="Q3812">
        <f t="shared" si="116"/>
        <v>12804123</v>
      </c>
      <c r="R3812">
        <f t="shared" si="117"/>
        <v>12.253865415069818</v>
      </c>
      <c r="U3812">
        <v>4233</v>
      </c>
      <c r="V3812">
        <v>1366</v>
      </c>
      <c r="W3812">
        <v>7100</v>
      </c>
      <c r="X3812">
        <v>2355</v>
      </c>
      <c r="Y3812">
        <v>64.3</v>
      </c>
      <c r="Z3812">
        <v>52.9</v>
      </c>
      <c r="AA3812">
        <v>75.599999999999994</v>
      </c>
    </row>
    <row r="3813" spans="1:27" x14ac:dyDescent="0.25">
      <c r="A3813" t="s">
        <v>262</v>
      </c>
      <c r="B3813" t="s">
        <v>172</v>
      </c>
      <c r="C3813" s="76">
        <v>44015</v>
      </c>
      <c r="D3813">
        <v>28695</v>
      </c>
      <c r="E3813">
        <v>14358</v>
      </c>
      <c r="F3813">
        <v>43031</v>
      </c>
      <c r="G3813">
        <v>14058</v>
      </c>
      <c r="H3813">
        <v>67.099999999999994</v>
      </c>
      <c r="I3813">
        <v>56.8</v>
      </c>
      <c r="J3813">
        <v>77.400000000000006</v>
      </c>
      <c r="K3813">
        <v>1633</v>
      </c>
      <c r="L3813">
        <v>571</v>
      </c>
      <c r="M3813">
        <v>2695</v>
      </c>
      <c r="N3813">
        <v>3.8</v>
      </c>
      <c r="O3813">
        <v>2</v>
      </c>
      <c r="P3813">
        <v>5.6</v>
      </c>
      <c r="Q3813">
        <f t="shared" si="116"/>
        <v>12804123</v>
      </c>
      <c r="R3813">
        <f t="shared" si="117"/>
        <v>12.75370441224284</v>
      </c>
      <c r="U3813">
        <v>4015</v>
      </c>
      <c r="V3813">
        <v>1297</v>
      </c>
      <c r="W3813">
        <v>6734</v>
      </c>
      <c r="X3813">
        <v>2581</v>
      </c>
      <c r="Y3813">
        <v>60.9</v>
      </c>
      <c r="Z3813">
        <v>48.8</v>
      </c>
      <c r="AA3813">
        <v>73</v>
      </c>
    </row>
    <row r="3814" spans="1:27" x14ac:dyDescent="0.25">
      <c r="A3814" t="s">
        <v>262</v>
      </c>
      <c r="B3814" t="s">
        <v>172</v>
      </c>
      <c r="C3814" s="76">
        <v>44016</v>
      </c>
      <c r="D3814">
        <v>27291</v>
      </c>
      <c r="E3814">
        <v>13860</v>
      </c>
      <c r="F3814">
        <v>40722</v>
      </c>
      <c r="G3814">
        <v>15122</v>
      </c>
      <c r="H3814">
        <v>64.3</v>
      </c>
      <c r="I3814">
        <v>54.6</v>
      </c>
      <c r="J3814">
        <v>74.099999999999994</v>
      </c>
      <c r="K3814">
        <v>1528</v>
      </c>
      <c r="L3814">
        <v>486</v>
      </c>
      <c r="M3814">
        <v>2570</v>
      </c>
      <c r="N3814">
        <v>3.6</v>
      </c>
      <c r="O3814">
        <v>1.8</v>
      </c>
      <c r="P3814">
        <v>5.4</v>
      </c>
      <c r="Q3814">
        <f t="shared" si="116"/>
        <v>12804123</v>
      </c>
      <c r="R3814">
        <f t="shared" si="117"/>
        <v>11.933656057505852</v>
      </c>
      <c r="U3814">
        <v>3799</v>
      </c>
      <c r="V3814">
        <v>1217</v>
      </c>
      <c r="W3814">
        <v>6381</v>
      </c>
      <c r="X3814">
        <v>2755</v>
      </c>
      <c r="Y3814">
        <v>58</v>
      </c>
      <c r="Z3814">
        <v>46.4</v>
      </c>
      <c r="AA3814">
        <v>69.5</v>
      </c>
    </row>
    <row r="3815" spans="1:27" x14ac:dyDescent="0.25">
      <c r="A3815" t="s">
        <v>262</v>
      </c>
      <c r="B3815" t="s">
        <v>172</v>
      </c>
      <c r="C3815" s="76">
        <v>44017</v>
      </c>
      <c r="D3815">
        <v>26944</v>
      </c>
      <c r="E3815">
        <v>13649</v>
      </c>
      <c r="F3815">
        <v>40238</v>
      </c>
      <c r="G3815">
        <v>15397</v>
      </c>
      <c r="H3815">
        <v>63.6</v>
      </c>
      <c r="I3815">
        <v>54.2</v>
      </c>
      <c r="J3815">
        <v>73</v>
      </c>
      <c r="K3815">
        <v>1576</v>
      </c>
      <c r="L3815">
        <v>496</v>
      </c>
      <c r="M3815">
        <v>2656</v>
      </c>
      <c r="N3815">
        <v>3.7</v>
      </c>
      <c r="O3815">
        <v>1.9</v>
      </c>
      <c r="P3815">
        <v>5.6</v>
      </c>
      <c r="Q3815">
        <f t="shared" ref="Q3815:Q3878" si="118">VLOOKUP(B3815,$AE$4:$AF$55,2,FALSE)</f>
        <v>12804123</v>
      </c>
      <c r="R3815">
        <f t="shared" si="117"/>
        <v>12.308535305385616</v>
      </c>
      <c r="U3815">
        <v>3776</v>
      </c>
      <c r="V3815">
        <v>1205</v>
      </c>
      <c r="W3815">
        <v>6346</v>
      </c>
      <c r="X3815">
        <v>2708</v>
      </c>
      <c r="Y3815">
        <v>58.2</v>
      </c>
      <c r="Z3815">
        <v>46.8</v>
      </c>
      <c r="AA3815">
        <v>69.7</v>
      </c>
    </row>
    <row r="3816" spans="1:27" x14ac:dyDescent="0.25">
      <c r="A3816" t="s">
        <v>262</v>
      </c>
      <c r="B3816" t="s">
        <v>172</v>
      </c>
      <c r="C3816" s="76">
        <v>44018</v>
      </c>
      <c r="D3816">
        <v>27885</v>
      </c>
      <c r="E3816">
        <v>14068</v>
      </c>
      <c r="F3816">
        <v>41703</v>
      </c>
      <c r="G3816">
        <v>14548</v>
      </c>
      <c r="H3816">
        <v>65.7</v>
      </c>
      <c r="I3816">
        <v>56.3</v>
      </c>
      <c r="J3816">
        <v>75.2</v>
      </c>
      <c r="K3816">
        <v>1646</v>
      </c>
      <c r="L3816">
        <v>557</v>
      </c>
      <c r="M3816">
        <v>2736</v>
      </c>
      <c r="N3816">
        <v>3.9</v>
      </c>
      <c r="O3816">
        <v>2.1</v>
      </c>
      <c r="P3816">
        <v>5.6</v>
      </c>
      <c r="Q3816">
        <f t="shared" si="118"/>
        <v>12804123</v>
      </c>
      <c r="R3816">
        <f t="shared" si="117"/>
        <v>12.855234208543608</v>
      </c>
      <c r="U3816">
        <v>3901</v>
      </c>
      <c r="V3816">
        <v>1303</v>
      </c>
      <c r="W3816">
        <v>6499</v>
      </c>
      <c r="X3816">
        <v>2581</v>
      </c>
      <c r="Y3816">
        <v>60.2</v>
      </c>
      <c r="Z3816">
        <v>49.3</v>
      </c>
      <c r="AA3816">
        <v>71</v>
      </c>
    </row>
    <row r="3817" spans="1:27" x14ac:dyDescent="0.25">
      <c r="A3817" t="s">
        <v>262</v>
      </c>
      <c r="B3817" t="s">
        <v>172</v>
      </c>
      <c r="C3817" s="76">
        <v>44019</v>
      </c>
      <c r="D3817">
        <v>29034</v>
      </c>
      <c r="E3817">
        <v>14701</v>
      </c>
      <c r="F3817">
        <v>43368</v>
      </c>
      <c r="G3817">
        <v>13673</v>
      </c>
      <c r="H3817">
        <v>68</v>
      </c>
      <c r="I3817">
        <v>58.7</v>
      </c>
      <c r="J3817">
        <v>77.2</v>
      </c>
      <c r="K3817">
        <v>1679</v>
      </c>
      <c r="L3817">
        <v>543</v>
      </c>
      <c r="M3817">
        <v>2815</v>
      </c>
      <c r="N3817">
        <v>3.9</v>
      </c>
      <c r="O3817">
        <v>2.2000000000000002</v>
      </c>
      <c r="P3817">
        <v>5.7</v>
      </c>
      <c r="Q3817">
        <f t="shared" si="118"/>
        <v>12804123</v>
      </c>
      <c r="R3817">
        <f t="shared" si="117"/>
        <v>13.112963691460948</v>
      </c>
      <c r="U3817">
        <v>3988</v>
      </c>
      <c r="V3817">
        <v>1315</v>
      </c>
      <c r="W3817">
        <v>6660</v>
      </c>
      <c r="X3817">
        <v>2525</v>
      </c>
      <c r="Y3817">
        <v>61.2</v>
      </c>
      <c r="Z3817">
        <v>50.4</v>
      </c>
      <c r="AA3817">
        <v>72.099999999999994</v>
      </c>
    </row>
    <row r="3818" spans="1:27" x14ac:dyDescent="0.25">
      <c r="A3818" t="s">
        <v>263</v>
      </c>
      <c r="B3818" t="s">
        <v>202</v>
      </c>
      <c r="C3818" s="76">
        <v>43922</v>
      </c>
      <c r="D3818">
        <v>1709</v>
      </c>
      <c r="E3818">
        <v>268</v>
      </c>
      <c r="F3818">
        <v>3150</v>
      </c>
      <c r="G3818">
        <v>2980</v>
      </c>
      <c r="H3818">
        <v>36.5</v>
      </c>
      <c r="I3818">
        <v>22</v>
      </c>
      <c r="J3818">
        <v>50.9</v>
      </c>
      <c r="K3818">
        <v>87</v>
      </c>
      <c r="L3818">
        <v>0</v>
      </c>
      <c r="M3818">
        <v>189</v>
      </c>
      <c r="N3818">
        <v>1.9</v>
      </c>
      <c r="O3818">
        <v>0</v>
      </c>
      <c r="P3818">
        <v>3.7</v>
      </c>
      <c r="Q3818">
        <f t="shared" si="118"/>
        <v>3194374</v>
      </c>
      <c r="R3818">
        <f t="shared" si="117"/>
        <v>2.7235383208102744</v>
      </c>
      <c r="U3818">
        <v>230</v>
      </c>
      <c r="V3818">
        <v>40</v>
      </c>
      <c r="W3818">
        <v>420</v>
      </c>
      <c r="X3818">
        <v>244</v>
      </c>
      <c r="Y3818">
        <v>48.6</v>
      </c>
      <c r="Z3818">
        <v>33</v>
      </c>
      <c r="AA3818">
        <v>64.2</v>
      </c>
    </row>
    <row r="3819" spans="1:27" x14ac:dyDescent="0.25">
      <c r="A3819" t="s">
        <v>263</v>
      </c>
      <c r="B3819" t="s">
        <v>202</v>
      </c>
      <c r="C3819" s="76">
        <v>43923</v>
      </c>
      <c r="D3819">
        <v>2232</v>
      </c>
      <c r="E3819">
        <v>305</v>
      </c>
      <c r="F3819">
        <v>4159</v>
      </c>
      <c r="G3819">
        <v>4530</v>
      </c>
      <c r="H3819">
        <v>33</v>
      </c>
      <c r="I3819">
        <v>26.9</v>
      </c>
      <c r="J3819">
        <v>39.1</v>
      </c>
      <c r="K3819">
        <v>156</v>
      </c>
      <c r="L3819">
        <v>0</v>
      </c>
      <c r="M3819">
        <v>366</v>
      </c>
      <c r="N3819">
        <v>2.2999999999999998</v>
      </c>
      <c r="O3819">
        <v>0.6</v>
      </c>
      <c r="P3819">
        <v>4</v>
      </c>
      <c r="Q3819">
        <f t="shared" si="118"/>
        <v>3194374</v>
      </c>
      <c r="R3819">
        <f t="shared" si="117"/>
        <v>4.8835859545563549</v>
      </c>
      <c r="U3819">
        <v>300</v>
      </c>
      <c r="V3819">
        <v>57</v>
      </c>
      <c r="W3819">
        <v>542</v>
      </c>
      <c r="X3819">
        <v>300</v>
      </c>
      <c r="Y3819">
        <v>50</v>
      </c>
      <c r="Z3819">
        <v>35.200000000000003</v>
      </c>
      <c r="AA3819">
        <v>64.7</v>
      </c>
    </row>
    <row r="3820" spans="1:27" x14ac:dyDescent="0.25">
      <c r="A3820" t="s">
        <v>263</v>
      </c>
      <c r="B3820" t="s">
        <v>202</v>
      </c>
      <c r="C3820" s="76">
        <v>43924</v>
      </c>
      <c r="D3820">
        <v>2361</v>
      </c>
      <c r="E3820">
        <v>68</v>
      </c>
      <c r="F3820">
        <v>4653</v>
      </c>
      <c r="G3820">
        <v>4594</v>
      </c>
      <c r="H3820">
        <v>33.9</v>
      </c>
      <c r="I3820">
        <v>28.4</v>
      </c>
      <c r="J3820">
        <v>39.5</v>
      </c>
      <c r="K3820">
        <v>163</v>
      </c>
      <c r="L3820">
        <v>0</v>
      </c>
      <c r="M3820">
        <v>344</v>
      </c>
      <c r="N3820">
        <v>2.2999999999999998</v>
      </c>
      <c r="O3820">
        <v>1.1000000000000001</v>
      </c>
      <c r="P3820">
        <v>3.6</v>
      </c>
      <c r="Q3820">
        <f t="shared" si="118"/>
        <v>3194374</v>
      </c>
      <c r="R3820">
        <f t="shared" si="117"/>
        <v>5.1027212217479851</v>
      </c>
      <c r="U3820">
        <v>305</v>
      </c>
      <c r="V3820">
        <v>34</v>
      </c>
      <c r="W3820">
        <v>576</v>
      </c>
      <c r="X3820">
        <v>219</v>
      </c>
      <c r="Y3820">
        <v>58.3</v>
      </c>
      <c r="Z3820">
        <v>42.8</v>
      </c>
      <c r="AA3820">
        <v>73.8</v>
      </c>
    </row>
    <row r="3821" spans="1:27" x14ac:dyDescent="0.25">
      <c r="A3821" t="s">
        <v>263</v>
      </c>
      <c r="B3821" t="s">
        <v>202</v>
      </c>
      <c r="C3821" s="76">
        <v>43925</v>
      </c>
      <c r="D3821">
        <v>2147</v>
      </c>
      <c r="E3821">
        <v>92</v>
      </c>
      <c r="F3821">
        <v>4201</v>
      </c>
      <c r="G3821">
        <v>4783</v>
      </c>
      <c r="H3821">
        <v>31</v>
      </c>
      <c r="I3821">
        <v>25.6</v>
      </c>
      <c r="J3821">
        <v>36.299999999999997</v>
      </c>
      <c r="K3821">
        <v>155</v>
      </c>
      <c r="L3821">
        <v>0</v>
      </c>
      <c r="M3821">
        <v>346</v>
      </c>
      <c r="N3821">
        <v>2.2000000000000002</v>
      </c>
      <c r="O3821">
        <v>0.8</v>
      </c>
      <c r="P3821">
        <v>3.7</v>
      </c>
      <c r="Q3821">
        <f t="shared" si="118"/>
        <v>3194374</v>
      </c>
      <c r="R3821">
        <f t="shared" si="117"/>
        <v>4.8522809163861211</v>
      </c>
      <c r="U3821">
        <v>252</v>
      </c>
      <c r="V3821">
        <v>32</v>
      </c>
      <c r="W3821">
        <v>471</v>
      </c>
      <c r="X3821">
        <v>272</v>
      </c>
      <c r="Y3821">
        <v>48</v>
      </c>
      <c r="Z3821">
        <v>33.799999999999997</v>
      </c>
      <c r="AA3821">
        <v>62.3</v>
      </c>
    </row>
    <row r="3822" spans="1:27" x14ac:dyDescent="0.25">
      <c r="A3822" t="s">
        <v>263</v>
      </c>
      <c r="B3822" t="s">
        <v>202</v>
      </c>
      <c r="C3822" s="76">
        <v>43926</v>
      </c>
      <c r="D3822">
        <v>2106</v>
      </c>
      <c r="E3822">
        <v>125</v>
      </c>
      <c r="F3822">
        <v>4088</v>
      </c>
      <c r="G3822">
        <v>3318</v>
      </c>
      <c r="H3822">
        <v>38.799999999999997</v>
      </c>
      <c r="I3822">
        <v>24.6</v>
      </c>
      <c r="J3822">
        <v>53.1</v>
      </c>
      <c r="K3822">
        <v>161</v>
      </c>
      <c r="L3822">
        <v>0</v>
      </c>
      <c r="M3822">
        <v>371</v>
      </c>
      <c r="N3822">
        <v>3</v>
      </c>
      <c r="O3822">
        <v>0</v>
      </c>
      <c r="P3822">
        <v>6.2</v>
      </c>
      <c r="Q3822">
        <f t="shared" si="118"/>
        <v>3194374</v>
      </c>
      <c r="R3822">
        <f t="shared" si="117"/>
        <v>5.0401111454075194</v>
      </c>
      <c r="U3822">
        <v>262</v>
      </c>
      <c r="V3822">
        <v>30</v>
      </c>
      <c r="W3822">
        <v>495</v>
      </c>
      <c r="X3822">
        <v>261</v>
      </c>
      <c r="Y3822">
        <v>50.1</v>
      </c>
      <c r="Z3822">
        <v>37.200000000000003</v>
      </c>
      <c r="AA3822">
        <v>62.9</v>
      </c>
    </row>
    <row r="3823" spans="1:27" x14ac:dyDescent="0.25">
      <c r="A3823" t="s">
        <v>263</v>
      </c>
      <c r="B3823" t="s">
        <v>202</v>
      </c>
      <c r="C3823" s="76">
        <v>43927</v>
      </c>
      <c r="D3823">
        <v>2127</v>
      </c>
      <c r="E3823">
        <v>130</v>
      </c>
      <c r="F3823">
        <v>4124</v>
      </c>
      <c r="G3823">
        <v>4797</v>
      </c>
      <c r="H3823">
        <v>30.7</v>
      </c>
      <c r="I3823">
        <v>25.4</v>
      </c>
      <c r="J3823">
        <v>36</v>
      </c>
      <c r="K3823">
        <v>170</v>
      </c>
      <c r="L3823">
        <v>0</v>
      </c>
      <c r="M3823">
        <v>372</v>
      </c>
      <c r="N3823">
        <v>2.5</v>
      </c>
      <c r="O3823">
        <v>1</v>
      </c>
      <c r="P3823">
        <v>3.9</v>
      </c>
      <c r="Q3823">
        <f t="shared" si="118"/>
        <v>3194374</v>
      </c>
      <c r="R3823">
        <f t="shared" si="117"/>
        <v>5.3218564889396172</v>
      </c>
      <c r="U3823">
        <v>300</v>
      </c>
      <c r="V3823">
        <v>24</v>
      </c>
      <c r="W3823">
        <v>575</v>
      </c>
      <c r="X3823">
        <v>224</v>
      </c>
      <c r="Y3823">
        <v>57.2</v>
      </c>
      <c r="Z3823">
        <v>47.8</v>
      </c>
      <c r="AA3823">
        <v>66.599999999999994</v>
      </c>
    </row>
    <row r="3824" spans="1:27" x14ac:dyDescent="0.25">
      <c r="A3824" t="s">
        <v>263</v>
      </c>
      <c r="B3824" t="s">
        <v>202</v>
      </c>
      <c r="C3824" s="76">
        <v>43928</v>
      </c>
      <c r="D3824">
        <v>2171</v>
      </c>
      <c r="E3824">
        <v>120</v>
      </c>
      <c r="F3824">
        <v>4222</v>
      </c>
      <c r="G3824">
        <v>4788</v>
      </c>
      <c r="H3824">
        <v>31.2</v>
      </c>
      <c r="I3824">
        <v>26</v>
      </c>
      <c r="J3824">
        <v>36.4</v>
      </c>
      <c r="K3824">
        <v>144</v>
      </c>
      <c r="L3824">
        <v>0</v>
      </c>
      <c r="M3824">
        <v>346</v>
      </c>
      <c r="N3824">
        <v>2.1</v>
      </c>
      <c r="O3824">
        <v>0.2</v>
      </c>
      <c r="P3824">
        <v>3.9</v>
      </c>
      <c r="Q3824">
        <f t="shared" si="118"/>
        <v>3194374</v>
      </c>
      <c r="R3824">
        <f t="shared" si="117"/>
        <v>4.5079254965135576</v>
      </c>
      <c r="U3824">
        <v>289</v>
      </c>
      <c r="V3824">
        <v>20</v>
      </c>
      <c r="W3824">
        <v>558</v>
      </c>
      <c r="X3824">
        <v>235</v>
      </c>
      <c r="Y3824">
        <v>55.2</v>
      </c>
      <c r="Z3824">
        <v>44.7</v>
      </c>
      <c r="AA3824">
        <v>65.7</v>
      </c>
    </row>
    <row r="3825" spans="1:27" x14ac:dyDescent="0.25">
      <c r="A3825" t="s">
        <v>263</v>
      </c>
      <c r="B3825" t="s">
        <v>202</v>
      </c>
      <c r="C3825" s="76">
        <v>43929</v>
      </c>
      <c r="D3825">
        <v>2311</v>
      </c>
      <c r="E3825">
        <v>42</v>
      </c>
      <c r="F3825">
        <v>4579</v>
      </c>
      <c r="G3825">
        <v>4639</v>
      </c>
      <c r="H3825">
        <v>33.200000000000003</v>
      </c>
      <c r="I3825">
        <v>25.4</v>
      </c>
      <c r="J3825">
        <v>41.1</v>
      </c>
      <c r="K3825">
        <v>154</v>
      </c>
      <c r="L3825">
        <v>0</v>
      </c>
      <c r="M3825">
        <v>369</v>
      </c>
      <c r="N3825">
        <v>2.2000000000000002</v>
      </c>
      <c r="O3825">
        <v>0.3</v>
      </c>
      <c r="P3825">
        <v>4.0999999999999996</v>
      </c>
      <c r="Q3825">
        <f t="shared" si="118"/>
        <v>3194374</v>
      </c>
      <c r="R3825">
        <f t="shared" si="117"/>
        <v>4.8209758782158882</v>
      </c>
      <c r="U3825">
        <v>294</v>
      </c>
      <c r="V3825">
        <v>22</v>
      </c>
      <c r="W3825">
        <v>566</v>
      </c>
      <c r="X3825">
        <v>230</v>
      </c>
      <c r="Y3825">
        <v>56.2</v>
      </c>
      <c r="Z3825">
        <v>44.4</v>
      </c>
      <c r="AA3825">
        <v>67.900000000000006</v>
      </c>
    </row>
    <row r="3826" spans="1:27" x14ac:dyDescent="0.25">
      <c r="A3826" t="s">
        <v>263</v>
      </c>
      <c r="B3826" t="s">
        <v>202</v>
      </c>
      <c r="C3826" s="76">
        <v>43930</v>
      </c>
      <c r="D3826">
        <v>2236</v>
      </c>
      <c r="E3826">
        <v>0</v>
      </c>
      <c r="F3826">
        <v>4485</v>
      </c>
      <c r="G3826">
        <v>4699</v>
      </c>
      <c r="H3826">
        <v>32.200000000000003</v>
      </c>
      <c r="I3826">
        <v>24.5</v>
      </c>
      <c r="J3826">
        <v>40</v>
      </c>
      <c r="K3826">
        <v>168</v>
      </c>
      <c r="L3826">
        <v>0</v>
      </c>
      <c r="M3826">
        <v>379</v>
      </c>
      <c r="N3826">
        <v>2.4</v>
      </c>
      <c r="O3826">
        <v>0.8</v>
      </c>
      <c r="P3826">
        <v>4</v>
      </c>
      <c r="Q3826">
        <f t="shared" si="118"/>
        <v>3194374</v>
      </c>
      <c r="R3826">
        <f t="shared" si="117"/>
        <v>5.2592464125991505</v>
      </c>
      <c r="U3826">
        <v>282</v>
      </c>
      <c r="V3826">
        <v>31</v>
      </c>
      <c r="W3826">
        <v>533</v>
      </c>
      <c r="X3826">
        <v>242</v>
      </c>
      <c r="Y3826">
        <v>53.9</v>
      </c>
      <c r="Z3826">
        <v>38.799999999999997</v>
      </c>
      <c r="AA3826">
        <v>69</v>
      </c>
    </row>
    <row r="3827" spans="1:27" x14ac:dyDescent="0.25">
      <c r="A3827" t="s">
        <v>263</v>
      </c>
      <c r="B3827" t="s">
        <v>202</v>
      </c>
      <c r="C3827" s="76">
        <v>43931</v>
      </c>
      <c r="D3827">
        <v>2066</v>
      </c>
      <c r="E3827">
        <v>56</v>
      </c>
      <c r="F3827">
        <v>4075</v>
      </c>
      <c r="G3827">
        <v>4874</v>
      </c>
      <c r="H3827">
        <v>29.8</v>
      </c>
      <c r="I3827">
        <v>24.6</v>
      </c>
      <c r="J3827">
        <v>35</v>
      </c>
      <c r="K3827">
        <v>180</v>
      </c>
      <c r="L3827">
        <v>0</v>
      </c>
      <c r="M3827">
        <v>408</v>
      </c>
      <c r="N3827">
        <v>2.6</v>
      </c>
      <c r="O3827">
        <v>0.9</v>
      </c>
      <c r="P3827">
        <v>4.3</v>
      </c>
      <c r="Q3827">
        <f t="shared" si="118"/>
        <v>3194374</v>
      </c>
      <c r="R3827">
        <f t="shared" si="117"/>
        <v>5.634906870641947</v>
      </c>
      <c r="U3827">
        <v>256</v>
      </c>
      <c r="V3827">
        <v>20</v>
      </c>
      <c r="W3827">
        <v>492</v>
      </c>
      <c r="X3827">
        <v>268</v>
      </c>
      <c r="Y3827">
        <v>48.9</v>
      </c>
      <c r="Z3827">
        <v>40.5</v>
      </c>
      <c r="AA3827">
        <v>57.3</v>
      </c>
    </row>
    <row r="3828" spans="1:27" x14ac:dyDescent="0.25">
      <c r="A3828" t="s">
        <v>263</v>
      </c>
      <c r="B3828" t="s">
        <v>202</v>
      </c>
      <c r="C3828" s="76">
        <v>43932</v>
      </c>
      <c r="D3828">
        <v>1964</v>
      </c>
      <c r="E3828">
        <v>68</v>
      </c>
      <c r="F3828">
        <v>3860</v>
      </c>
      <c r="G3828">
        <v>4995</v>
      </c>
      <c r="H3828">
        <v>28.2</v>
      </c>
      <c r="I3828">
        <v>23.3</v>
      </c>
      <c r="J3828">
        <v>33.1</v>
      </c>
      <c r="K3828">
        <v>173</v>
      </c>
      <c r="L3828">
        <v>0</v>
      </c>
      <c r="M3828">
        <v>399</v>
      </c>
      <c r="N3828">
        <v>2.5</v>
      </c>
      <c r="O3828">
        <v>0.7</v>
      </c>
      <c r="P3828">
        <v>4.2</v>
      </c>
      <c r="Q3828">
        <f t="shared" si="118"/>
        <v>3194374</v>
      </c>
      <c r="R3828">
        <f t="shared" si="117"/>
        <v>5.4157716034503167</v>
      </c>
      <c r="U3828">
        <v>253</v>
      </c>
      <c r="V3828">
        <v>17</v>
      </c>
      <c r="W3828">
        <v>488</v>
      </c>
      <c r="X3828">
        <v>271</v>
      </c>
      <c r="Y3828">
        <v>48.2</v>
      </c>
      <c r="Z3828">
        <v>35.9</v>
      </c>
      <c r="AA3828">
        <v>60.5</v>
      </c>
    </row>
    <row r="3829" spans="1:27" x14ac:dyDescent="0.25">
      <c r="A3829" t="s">
        <v>263</v>
      </c>
      <c r="B3829" t="s">
        <v>202</v>
      </c>
      <c r="C3829" s="76">
        <v>43933</v>
      </c>
      <c r="D3829">
        <v>1948</v>
      </c>
      <c r="E3829">
        <v>110</v>
      </c>
      <c r="F3829">
        <v>3785</v>
      </c>
      <c r="G3829">
        <v>4997</v>
      </c>
      <c r="H3829">
        <v>28</v>
      </c>
      <c r="I3829">
        <v>24</v>
      </c>
      <c r="J3829">
        <v>32.1</v>
      </c>
      <c r="K3829">
        <v>152</v>
      </c>
      <c r="L3829">
        <v>0</v>
      </c>
      <c r="M3829">
        <v>365</v>
      </c>
      <c r="N3829">
        <v>2.2000000000000002</v>
      </c>
      <c r="O3829">
        <v>0.4</v>
      </c>
      <c r="P3829">
        <v>4</v>
      </c>
      <c r="Q3829">
        <f t="shared" si="118"/>
        <v>3194374</v>
      </c>
      <c r="R3829">
        <f t="shared" si="117"/>
        <v>4.7583658018754216</v>
      </c>
      <c r="U3829">
        <v>265</v>
      </c>
      <c r="V3829">
        <v>0</v>
      </c>
      <c r="W3829">
        <v>534</v>
      </c>
      <c r="X3829">
        <v>259</v>
      </c>
      <c r="Y3829">
        <v>50.5</v>
      </c>
      <c r="Z3829">
        <v>36.1</v>
      </c>
      <c r="AA3829">
        <v>64.900000000000006</v>
      </c>
    </row>
    <row r="3830" spans="1:27" x14ac:dyDescent="0.25">
      <c r="A3830" t="s">
        <v>263</v>
      </c>
      <c r="B3830" t="s">
        <v>202</v>
      </c>
      <c r="C3830" s="76">
        <v>43934</v>
      </c>
      <c r="D3830">
        <v>2217</v>
      </c>
      <c r="E3830">
        <v>240</v>
      </c>
      <c r="F3830">
        <v>4194</v>
      </c>
      <c r="G3830">
        <v>4477</v>
      </c>
      <c r="H3830">
        <v>33.1</v>
      </c>
      <c r="I3830">
        <v>24.9</v>
      </c>
      <c r="J3830">
        <v>41.3</v>
      </c>
      <c r="K3830">
        <v>160</v>
      </c>
      <c r="L3830">
        <v>0</v>
      </c>
      <c r="M3830">
        <v>374</v>
      </c>
      <c r="N3830">
        <v>2.4</v>
      </c>
      <c r="O3830">
        <v>0.6</v>
      </c>
      <c r="P3830">
        <v>4.2</v>
      </c>
      <c r="Q3830">
        <f t="shared" si="118"/>
        <v>3194374</v>
      </c>
      <c r="R3830">
        <f t="shared" si="117"/>
        <v>5.0088061072372865</v>
      </c>
      <c r="U3830">
        <v>292</v>
      </c>
      <c r="V3830">
        <v>19</v>
      </c>
      <c r="W3830">
        <v>566</v>
      </c>
      <c r="X3830">
        <v>215</v>
      </c>
      <c r="Y3830">
        <v>57.6</v>
      </c>
      <c r="Z3830">
        <v>44.6</v>
      </c>
      <c r="AA3830">
        <v>70.7</v>
      </c>
    </row>
    <row r="3831" spans="1:27" x14ac:dyDescent="0.25">
      <c r="A3831" t="s">
        <v>263</v>
      </c>
      <c r="B3831" t="s">
        <v>202</v>
      </c>
      <c r="C3831" s="76">
        <v>43935</v>
      </c>
      <c r="D3831">
        <v>2312</v>
      </c>
      <c r="E3831">
        <v>183</v>
      </c>
      <c r="F3831">
        <v>4442</v>
      </c>
      <c r="G3831">
        <v>4302</v>
      </c>
      <c r="H3831">
        <v>35</v>
      </c>
      <c r="I3831">
        <v>29</v>
      </c>
      <c r="J3831">
        <v>41</v>
      </c>
      <c r="K3831">
        <v>171</v>
      </c>
      <c r="L3831">
        <v>0</v>
      </c>
      <c r="M3831">
        <v>403</v>
      </c>
      <c r="N3831">
        <v>2.6</v>
      </c>
      <c r="O3831">
        <v>0.4</v>
      </c>
      <c r="P3831">
        <v>4.8</v>
      </c>
      <c r="Q3831">
        <f t="shared" si="118"/>
        <v>3194374</v>
      </c>
      <c r="R3831">
        <f t="shared" si="117"/>
        <v>5.35316152710985</v>
      </c>
      <c r="U3831">
        <v>296</v>
      </c>
      <c r="V3831">
        <v>10</v>
      </c>
      <c r="W3831">
        <v>582</v>
      </c>
      <c r="X3831">
        <v>211</v>
      </c>
      <c r="Y3831">
        <v>58.4</v>
      </c>
      <c r="Z3831">
        <v>45.6</v>
      </c>
      <c r="AA3831">
        <v>71.099999999999994</v>
      </c>
    </row>
    <row r="3832" spans="1:27" x14ac:dyDescent="0.25">
      <c r="A3832" t="s">
        <v>263</v>
      </c>
      <c r="B3832" t="s">
        <v>202</v>
      </c>
      <c r="C3832" s="76">
        <v>43936</v>
      </c>
      <c r="D3832">
        <v>2436</v>
      </c>
      <c r="E3832">
        <v>172</v>
      </c>
      <c r="F3832">
        <v>4699</v>
      </c>
      <c r="G3832">
        <v>4163</v>
      </c>
      <c r="H3832">
        <v>36.9</v>
      </c>
      <c r="I3832">
        <v>29.5</v>
      </c>
      <c r="J3832">
        <v>44.3</v>
      </c>
      <c r="K3832">
        <v>180</v>
      </c>
      <c r="L3832">
        <v>0</v>
      </c>
      <c r="M3832">
        <v>414</v>
      </c>
      <c r="N3832">
        <v>2.7</v>
      </c>
      <c r="O3832">
        <v>0.5</v>
      </c>
      <c r="P3832">
        <v>4.9000000000000004</v>
      </c>
      <c r="Q3832">
        <f t="shared" si="118"/>
        <v>3194374</v>
      </c>
      <c r="R3832">
        <f t="shared" si="117"/>
        <v>5.634906870641947</v>
      </c>
      <c r="U3832">
        <v>307</v>
      </c>
      <c r="V3832">
        <v>17</v>
      </c>
      <c r="W3832">
        <v>597</v>
      </c>
      <c r="X3832">
        <v>200</v>
      </c>
      <c r="Y3832">
        <v>60.6</v>
      </c>
      <c r="Z3832">
        <v>49.7</v>
      </c>
      <c r="AA3832">
        <v>71.400000000000006</v>
      </c>
    </row>
    <row r="3833" spans="1:27" x14ac:dyDescent="0.25">
      <c r="A3833" t="s">
        <v>263</v>
      </c>
      <c r="B3833" t="s">
        <v>202</v>
      </c>
      <c r="C3833" s="76">
        <v>43937</v>
      </c>
      <c r="D3833">
        <v>2509</v>
      </c>
      <c r="E3833">
        <v>201</v>
      </c>
      <c r="F3833">
        <v>4818</v>
      </c>
      <c r="G3833">
        <v>4100</v>
      </c>
      <c r="H3833">
        <v>38</v>
      </c>
      <c r="I3833">
        <v>32.1</v>
      </c>
      <c r="J3833">
        <v>43.9</v>
      </c>
      <c r="K3833">
        <v>208</v>
      </c>
      <c r="L3833">
        <v>0</v>
      </c>
      <c r="M3833">
        <v>484</v>
      </c>
      <c r="N3833">
        <v>3.1</v>
      </c>
      <c r="O3833">
        <v>0.6</v>
      </c>
      <c r="P3833">
        <v>5.7</v>
      </c>
      <c r="Q3833">
        <f t="shared" si="118"/>
        <v>3194374</v>
      </c>
      <c r="R3833">
        <f t="shared" si="117"/>
        <v>6.5114479394084714</v>
      </c>
      <c r="U3833">
        <v>307</v>
      </c>
      <c r="V3833">
        <v>21</v>
      </c>
      <c r="W3833">
        <v>593</v>
      </c>
      <c r="X3833">
        <v>200</v>
      </c>
      <c r="Y3833">
        <v>60.6</v>
      </c>
      <c r="Z3833">
        <v>48.6</v>
      </c>
      <c r="AA3833">
        <v>72.5</v>
      </c>
    </row>
    <row r="3834" spans="1:27" x14ac:dyDescent="0.25">
      <c r="A3834" t="s">
        <v>263</v>
      </c>
      <c r="B3834" t="s">
        <v>202</v>
      </c>
      <c r="C3834" s="76">
        <v>43938</v>
      </c>
      <c r="D3834">
        <v>2586</v>
      </c>
      <c r="E3834">
        <v>184</v>
      </c>
      <c r="F3834">
        <v>4987</v>
      </c>
      <c r="G3834">
        <v>4008</v>
      </c>
      <c r="H3834">
        <v>39.200000000000003</v>
      </c>
      <c r="I3834">
        <v>33.4</v>
      </c>
      <c r="J3834">
        <v>45</v>
      </c>
      <c r="K3834">
        <v>219</v>
      </c>
      <c r="L3834">
        <v>0</v>
      </c>
      <c r="M3834">
        <v>518</v>
      </c>
      <c r="N3834">
        <v>3.3</v>
      </c>
      <c r="O3834">
        <v>0.3</v>
      </c>
      <c r="P3834">
        <v>6.3</v>
      </c>
      <c r="Q3834">
        <f t="shared" si="118"/>
        <v>3194374</v>
      </c>
      <c r="R3834">
        <f t="shared" si="117"/>
        <v>6.855803359281035</v>
      </c>
      <c r="U3834">
        <v>319</v>
      </c>
      <c r="V3834">
        <v>19</v>
      </c>
      <c r="W3834">
        <v>619</v>
      </c>
      <c r="X3834">
        <v>189</v>
      </c>
      <c r="Y3834">
        <v>62.8</v>
      </c>
      <c r="Z3834">
        <v>47.3</v>
      </c>
      <c r="AA3834">
        <v>78.400000000000006</v>
      </c>
    </row>
    <row r="3835" spans="1:27" x14ac:dyDescent="0.25">
      <c r="A3835" t="s">
        <v>263</v>
      </c>
      <c r="B3835" t="s">
        <v>202</v>
      </c>
      <c r="C3835" s="76">
        <v>43939</v>
      </c>
      <c r="D3835">
        <v>2585</v>
      </c>
      <c r="E3835">
        <v>220</v>
      </c>
      <c r="F3835">
        <v>4951</v>
      </c>
      <c r="G3835">
        <v>3994</v>
      </c>
      <c r="H3835">
        <v>39.299999999999997</v>
      </c>
      <c r="I3835">
        <v>33.700000000000003</v>
      </c>
      <c r="J3835">
        <v>44.9</v>
      </c>
      <c r="K3835">
        <v>236</v>
      </c>
      <c r="L3835">
        <v>0</v>
      </c>
      <c r="M3835">
        <v>530</v>
      </c>
      <c r="N3835">
        <v>3.6</v>
      </c>
      <c r="O3835">
        <v>1</v>
      </c>
      <c r="P3835">
        <v>6.2</v>
      </c>
      <c r="Q3835">
        <f t="shared" si="118"/>
        <v>3194374</v>
      </c>
      <c r="R3835">
        <f t="shared" si="117"/>
        <v>7.3879890081749977</v>
      </c>
      <c r="U3835">
        <v>318</v>
      </c>
      <c r="V3835">
        <v>19</v>
      </c>
      <c r="W3835">
        <v>618</v>
      </c>
      <c r="X3835">
        <v>189</v>
      </c>
      <c r="Y3835">
        <v>62.7</v>
      </c>
      <c r="Z3835">
        <v>53</v>
      </c>
      <c r="AA3835">
        <v>72.5</v>
      </c>
    </row>
    <row r="3836" spans="1:27" x14ac:dyDescent="0.25">
      <c r="A3836" t="s">
        <v>263</v>
      </c>
      <c r="B3836" t="s">
        <v>202</v>
      </c>
      <c r="C3836" s="76">
        <v>43940</v>
      </c>
      <c r="D3836">
        <v>2485</v>
      </c>
      <c r="E3836">
        <v>212</v>
      </c>
      <c r="F3836">
        <v>4758</v>
      </c>
      <c r="G3836">
        <v>4094</v>
      </c>
      <c r="H3836">
        <v>37.799999999999997</v>
      </c>
      <c r="I3836">
        <v>31.6</v>
      </c>
      <c r="J3836">
        <v>44</v>
      </c>
      <c r="K3836">
        <v>230</v>
      </c>
      <c r="L3836">
        <v>0</v>
      </c>
      <c r="M3836">
        <v>496</v>
      </c>
      <c r="N3836">
        <v>3.5</v>
      </c>
      <c r="O3836">
        <v>1.8</v>
      </c>
      <c r="P3836">
        <v>5.2</v>
      </c>
      <c r="Q3836">
        <f t="shared" si="118"/>
        <v>3194374</v>
      </c>
      <c r="R3836">
        <f t="shared" si="117"/>
        <v>7.2001587791535986</v>
      </c>
      <c r="U3836">
        <v>311</v>
      </c>
      <c r="V3836">
        <v>6</v>
      </c>
      <c r="W3836">
        <v>616</v>
      </c>
      <c r="X3836">
        <v>196</v>
      </c>
      <c r="Y3836">
        <v>61.3</v>
      </c>
      <c r="Z3836">
        <v>48.4</v>
      </c>
      <c r="AA3836">
        <v>74.2</v>
      </c>
    </row>
    <row r="3837" spans="1:27" x14ac:dyDescent="0.25">
      <c r="A3837" t="s">
        <v>263</v>
      </c>
      <c r="B3837" t="s">
        <v>202</v>
      </c>
      <c r="C3837" s="76">
        <v>43941</v>
      </c>
      <c r="D3837">
        <v>2661</v>
      </c>
      <c r="E3837">
        <v>167</v>
      </c>
      <c r="F3837">
        <v>5154</v>
      </c>
      <c r="G3837">
        <v>3928</v>
      </c>
      <c r="H3837">
        <v>40.4</v>
      </c>
      <c r="I3837">
        <v>33.200000000000003</v>
      </c>
      <c r="J3837">
        <v>47.5</v>
      </c>
      <c r="K3837">
        <v>219</v>
      </c>
      <c r="L3837">
        <v>0</v>
      </c>
      <c r="M3837">
        <v>470</v>
      </c>
      <c r="N3837">
        <v>3.3</v>
      </c>
      <c r="O3837">
        <v>1.4</v>
      </c>
      <c r="P3837">
        <v>5.3</v>
      </c>
      <c r="Q3837">
        <f t="shared" si="118"/>
        <v>3194374</v>
      </c>
      <c r="R3837">
        <f t="shared" si="117"/>
        <v>6.855803359281035</v>
      </c>
      <c r="U3837">
        <v>308</v>
      </c>
      <c r="V3837">
        <v>19</v>
      </c>
      <c r="W3837">
        <v>598</v>
      </c>
      <c r="X3837">
        <v>199</v>
      </c>
      <c r="Y3837">
        <v>60.8</v>
      </c>
      <c r="Z3837">
        <v>47.7</v>
      </c>
      <c r="AA3837">
        <v>73.900000000000006</v>
      </c>
    </row>
    <row r="3838" spans="1:27" x14ac:dyDescent="0.25">
      <c r="A3838" t="s">
        <v>263</v>
      </c>
      <c r="B3838" t="s">
        <v>202</v>
      </c>
      <c r="C3838" s="76">
        <v>43942</v>
      </c>
      <c r="D3838">
        <v>2600</v>
      </c>
      <c r="E3838">
        <v>109</v>
      </c>
      <c r="F3838">
        <v>5090</v>
      </c>
      <c r="G3838">
        <v>3752</v>
      </c>
      <c r="H3838">
        <v>40.9</v>
      </c>
      <c r="I3838">
        <v>35.700000000000003</v>
      </c>
      <c r="J3838">
        <v>46.1</v>
      </c>
      <c r="K3838">
        <v>258</v>
      </c>
      <c r="L3838">
        <v>0</v>
      </c>
      <c r="M3838">
        <v>581</v>
      </c>
      <c r="N3838">
        <v>4.0999999999999996</v>
      </c>
      <c r="O3838">
        <v>1.5</v>
      </c>
      <c r="P3838">
        <v>6.6</v>
      </c>
      <c r="Q3838">
        <f t="shared" si="118"/>
        <v>3194374</v>
      </c>
      <c r="R3838">
        <f t="shared" si="117"/>
        <v>8.0766998479201249</v>
      </c>
      <c r="U3838">
        <v>283</v>
      </c>
      <c r="V3838">
        <v>0</v>
      </c>
      <c r="W3838">
        <v>566</v>
      </c>
      <c r="X3838">
        <v>181</v>
      </c>
      <c r="Y3838">
        <v>60.9</v>
      </c>
      <c r="Z3838">
        <v>50.3</v>
      </c>
      <c r="AA3838">
        <v>71.5</v>
      </c>
    </row>
    <row r="3839" spans="1:27" x14ac:dyDescent="0.25">
      <c r="A3839" t="s">
        <v>263</v>
      </c>
      <c r="B3839" t="s">
        <v>202</v>
      </c>
      <c r="C3839" s="76">
        <v>43943</v>
      </c>
      <c r="D3839">
        <v>2653</v>
      </c>
      <c r="E3839">
        <v>0</v>
      </c>
      <c r="F3839">
        <v>5332</v>
      </c>
      <c r="G3839">
        <v>3706</v>
      </c>
      <c r="H3839">
        <v>41.7</v>
      </c>
      <c r="I3839">
        <v>34.700000000000003</v>
      </c>
      <c r="J3839">
        <v>48.7</v>
      </c>
      <c r="K3839">
        <v>200</v>
      </c>
      <c r="L3839">
        <v>0</v>
      </c>
      <c r="M3839">
        <v>456</v>
      </c>
      <c r="N3839">
        <v>3.1</v>
      </c>
      <c r="O3839">
        <v>1</v>
      </c>
      <c r="P3839">
        <v>5.3</v>
      </c>
      <c r="Q3839">
        <f t="shared" si="118"/>
        <v>3194374</v>
      </c>
      <c r="R3839">
        <f t="shared" si="117"/>
        <v>6.2610076340466083</v>
      </c>
      <c r="U3839">
        <v>264</v>
      </c>
      <c r="V3839">
        <v>0</v>
      </c>
      <c r="W3839">
        <v>539</v>
      </c>
      <c r="X3839">
        <v>177</v>
      </c>
      <c r="Y3839">
        <v>59.9</v>
      </c>
      <c r="Z3839">
        <v>47.8</v>
      </c>
      <c r="AA3839">
        <v>72.099999999999994</v>
      </c>
    </row>
    <row r="3840" spans="1:27" x14ac:dyDescent="0.25">
      <c r="A3840" t="s">
        <v>263</v>
      </c>
      <c r="B3840" t="s">
        <v>202</v>
      </c>
      <c r="C3840" s="76">
        <v>43944</v>
      </c>
      <c r="D3840">
        <v>2728</v>
      </c>
      <c r="E3840">
        <v>2</v>
      </c>
      <c r="F3840">
        <v>5453</v>
      </c>
      <c r="G3840">
        <v>3626</v>
      </c>
      <c r="H3840">
        <v>42.9</v>
      </c>
      <c r="I3840">
        <v>35.200000000000003</v>
      </c>
      <c r="J3840">
        <v>50.7</v>
      </c>
      <c r="K3840">
        <v>171</v>
      </c>
      <c r="L3840">
        <v>0</v>
      </c>
      <c r="M3840">
        <v>375</v>
      </c>
      <c r="N3840">
        <v>2.7</v>
      </c>
      <c r="O3840">
        <v>1.3</v>
      </c>
      <c r="P3840">
        <v>4</v>
      </c>
      <c r="Q3840">
        <f t="shared" si="118"/>
        <v>3194374</v>
      </c>
      <c r="R3840">
        <f t="shared" si="117"/>
        <v>5.35316152710985</v>
      </c>
      <c r="U3840">
        <v>268</v>
      </c>
      <c r="V3840">
        <v>0</v>
      </c>
      <c r="W3840">
        <v>536</v>
      </c>
      <c r="X3840">
        <v>176</v>
      </c>
      <c r="Y3840">
        <v>60.4</v>
      </c>
      <c r="Z3840">
        <v>42.7</v>
      </c>
      <c r="AA3840">
        <v>78.2</v>
      </c>
    </row>
    <row r="3841" spans="1:27" x14ac:dyDescent="0.25">
      <c r="A3841" t="s">
        <v>263</v>
      </c>
      <c r="B3841" t="s">
        <v>202</v>
      </c>
      <c r="C3841" s="76">
        <v>43945</v>
      </c>
      <c r="D3841">
        <v>2550</v>
      </c>
      <c r="E3841">
        <v>99</v>
      </c>
      <c r="F3841">
        <v>5001</v>
      </c>
      <c r="G3841">
        <v>3824</v>
      </c>
      <c r="H3841">
        <v>40</v>
      </c>
      <c r="I3841">
        <v>35.200000000000003</v>
      </c>
      <c r="J3841">
        <v>44.8</v>
      </c>
      <c r="K3841">
        <v>161</v>
      </c>
      <c r="L3841">
        <v>0</v>
      </c>
      <c r="M3841">
        <v>332</v>
      </c>
      <c r="N3841">
        <v>2.5</v>
      </c>
      <c r="O3841">
        <v>2</v>
      </c>
      <c r="P3841">
        <v>3.1</v>
      </c>
      <c r="Q3841">
        <f t="shared" si="118"/>
        <v>3194374</v>
      </c>
      <c r="R3841">
        <f t="shared" si="117"/>
        <v>5.0401111454075194</v>
      </c>
      <c r="U3841">
        <v>252</v>
      </c>
      <c r="V3841">
        <v>10</v>
      </c>
      <c r="W3841">
        <v>494</v>
      </c>
      <c r="X3841">
        <v>204</v>
      </c>
      <c r="Y3841">
        <v>55.3</v>
      </c>
      <c r="Z3841">
        <v>40</v>
      </c>
      <c r="AA3841">
        <v>70.5</v>
      </c>
    </row>
    <row r="3842" spans="1:27" x14ac:dyDescent="0.25">
      <c r="A3842" t="s">
        <v>263</v>
      </c>
      <c r="B3842" t="s">
        <v>202</v>
      </c>
      <c r="C3842" s="76">
        <v>43946</v>
      </c>
      <c r="D3842">
        <v>2406</v>
      </c>
      <c r="E3842">
        <v>84</v>
      </c>
      <c r="F3842">
        <v>4728</v>
      </c>
      <c r="G3842">
        <v>3601</v>
      </c>
      <c r="H3842">
        <v>40</v>
      </c>
      <c r="I3842">
        <v>33.299999999999997</v>
      </c>
      <c r="J3842">
        <v>46.8</v>
      </c>
      <c r="K3842">
        <v>96</v>
      </c>
      <c r="L3842">
        <v>0</v>
      </c>
      <c r="M3842">
        <v>193</v>
      </c>
      <c r="N3842">
        <v>1.6</v>
      </c>
      <c r="O3842">
        <v>1.1000000000000001</v>
      </c>
      <c r="P3842">
        <v>2.1</v>
      </c>
      <c r="Q3842">
        <f t="shared" si="118"/>
        <v>3194374</v>
      </c>
      <c r="R3842">
        <f t="shared" si="117"/>
        <v>3.0052836643423722</v>
      </c>
      <c r="U3842">
        <v>278</v>
      </c>
      <c r="V3842">
        <v>9</v>
      </c>
      <c r="W3842">
        <v>546</v>
      </c>
      <c r="X3842">
        <v>197</v>
      </c>
      <c r="Y3842">
        <v>58.5</v>
      </c>
      <c r="Z3842">
        <v>42.7</v>
      </c>
      <c r="AA3842">
        <v>74.3</v>
      </c>
    </row>
    <row r="3843" spans="1:27" x14ac:dyDescent="0.25">
      <c r="A3843" t="s">
        <v>263</v>
      </c>
      <c r="B3843" t="s">
        <v>202</v>
      </c>
      <c r="C3843" s="76">
        <v>43947</v>
      </c>
      <c r="D3843">
        <v>2402</v>
      </c>
      <c r="E3843">
        <v>75</v>
      </c>
      <c r="F3843">
        <v>4729</v>
      </c>
      <c r="G3843">
        <v>3952</v>
      </c>
      <c r="H3843">
        <v>37.799999999999997</v>
      </c>
      <c r="I3843">
        <v>31.7</v>
      </c>
      <c r="J3843">
        <v>43.9</v>
      </c>
      <c r="K3843">
        <v>95</v>
      </c>
      <c r="L3843">
        <v>0</v>
      </c>
      <c r="M3843">
        <v>200</v>
      </c>
      <c r="N3843">
        <v>1.5</v>
      </c>
      <c r="O3843">
        <v>1.2</v>
      </c>
      <c r="P3843">
        <v>1.8</v>
      </c>
      <c r="Q3843">
        <f t="shared" si="118"/>
        <v>3194374</v>
      </c>
      <c r="R3843">
        <f t="shared" si="117"/>
        <v>2.9739786261721388</v>
      </c>
      <c r="U3843">
        <v>284</v>
      </c>
      <c r="V3843">
        <v>14</v>
      </c>
      <c r="W3843">
        <v>554</v>
      </c>
      <c r="X3843">
        <v>191</v>
      </c>
      <c r="Y3843">
        <v>59.8</v>
      </c>
      <c r="Z3843">
        <v>44</v>
      </c>
      <c r="AA3843">
        <v>75.599999999999994</v>
      </c>
    </row>
    <row r="3844" spans="1:27" x14ac:dyDescent="0.25">
      <c r="A3844" t="s">
        <v>263</v>
      </c>
      <c r="B3844" t="s">
        <v>202</v>
      </c>
      <c r="C3844" s="76">
        <v>43948</v>
      </c>
      <c r="D3844">
        <v>2464</v>
      </c>
      <c r="E3844">
        <v>36</v>
      </c>
      <c r="F3844">
        <v>4892</v>
      </c>
      <c r="G3844">
        <v>3975</v>
      </c>
      <c r="H3844">
        <v>38.299999999999997</v>
      </c>
      <c r="I3844">
        <v>32</v>
      </c>
      <c r="J3844">
        <v>44.5</v>
      </c>
      <c r="K3844">
        <v>98</v>
      </c>
      <c r="L3844">
        <v>0</v>
      </c>
      <c r="M3844">
        <v>213</v>
      </c>
      <c r="N3844">
        <v>1.5</v>
      </c>
      <c r="O3844">
        <v>1</v>
      </c>
      <c r="P3844">
        <v>2</v>
      </c>
      <c r="Q3844">
        <f t="shared" si="118"/>
        <v>3194374</v>
      </c>
      <c r="R3844">
        <f t="shared" si="117"/>
        <v>3.0678937406828384</v>
      </c>
      <c r="U3844">
        <v>311</v>
      </c>
      <c r="V3844">
        <v>0</v>
      </c>
      <c r="W3844">
        <v>630</v>
      </c>
      <c r="X3844">
        <v>160</v>
      </c>
      <c r="Y3844">
        <v>66</v>
      </c>
      <c r="Z3844">
        <v>42.1</v>
      </c>
      <c r="AA3844">
        <v>90</v>
      </c>
    </row>
    <row r="3845" spans="1:27" x14ac:dyDescent="0.25">
      <c r="A3845" t="s">
        <v>263</v>
      </c>
      <c r="B3845" t="s">
        <v>202</v>
      </c>
      <c r="C3845" s="76">
        <v>43949</v>
      </c>
      <c r="D3845">
        <v>2871</v>
      </c>
      <c r="E3845">
        <v>131</v>
      </c>
      <c r="F3845">
        <v>5611</v>
      </c>
      <c r="G3845">
        <v>3805</v>
      </c>
      <c r="H3845">
        <v>43</v>
      </c>
      <c r="I3845">
        <v>35.6</v>
      </c>
      <c r="J3845">
        <v>50.4</v>
      </c>
      <c r="K3845">
        <v>153</v>
      </c>
      <c r="L3845">
        <v>0</v>
      </c>
      <c r="M3845">
        <v>307</v>
      </c>
      <c r="N3845">
        <v>2.2999999999999998</v>
      </c>
      <c r="O3845">
        <v>1.9</v>
      </c>
      <c r="P3845">
        <v>2.6</v>
      </c>
      <c r="Q3845">
        <f t="shared" si="118"/>
        <v>3194374</v>
      </c>
      <c r="R3845">
        <f t="shared" ref="R3845:R3908" si="119">K3845/(Q3845)*100000</f>
        <v>4.7896708400456554</v>
      </c>
      <c r="U3845">
        <v>358</v>
      </c>
      <c r="V3845">
        <v>13</v>
      </c>
      <c r="W3845">
        <v>703</v>
      </c>
      <c r="X3845">
        <v>177</v>
      </c>
      <c r="Y3845">
        <v>66.8</v>
      </c>
      <c r="Z3845">
        <v>44.6</v>
      </c>
      <c r="AA3845">
        <v>89.1</v>
      </c>
    </row>
    <row r="3846" spans="1:27" x14ac:dyDescent="0.25">
      <c r="A3846" t="s">
        <v>263</v>
      </c>
      <c r="B3846" t="s">
        <v>202</v>
      </c>
      <c r="C3846" s="76">
        <v>43950</v>
      </c>
      <c r="D3846">
        <v>3139</v>
      </c>
      <c r="E3846">
        <v>100</v>
      </c>
      <c r="F3846">
        <v>6178</v>
      </c>
      <c r="G3846">
        <v>3517</v>
      </c>
      <c r="H3846">
        <v>47.2</v>
      </c>
      <c r="I3846">
        <v>39.1</v>
      </c>
      <c r="J3846">
        <v>55.2</v>
      </c>
      <c r="K3846">
        <v>153</v>
      </c>
      <c r="L3846">
        <v>6</v>
      </c>
      <c r="M3846">
        <v>300</v>
      </c>
      <c r="N3846">
        <v>2.2999999999999998</v>
      </c>
      <c r="O3846">
        <v>1.7</v>
      </c>
      <c r="P3846">
        <v>2.9</v>
      </c>
      <c r="Q3846">
        <f t="shared" si="118"/>
        <v>3194374</v>
      </c>
      <c r="R3846">
        <f t="shared" si="119"/>
        <v>4.7896708400456554</v>
      </c>
      <c r="U3846">
        <v>364</v>
      </c>
      <c r="V3846">
        <v>14</v>
      </c>
      <c r="W3846">
        <v>715</v>
      </c>
      <c r="X3846">
        <v>166</v>
      </c>
      <c r="Y3846">
        <v>68.8</v>
      </c>
      <c r="Z3846">
        <v>48.7</v>
      </c>
      <c r="AA3846">
        <v>88.9</v>
      </c>
    </row>
    <row r="3847" spans="1:27" x14ac:dyDescent="0.25">
      <c r="A3847" t="s">
        <v>263</v>
      </c>
      <c r="B3847" t="s">
        <v>202</v>
      </c>
      <c r="C3847" s="76">
        <v>43951</v>
      </c>
      <c r="D3847">
        <v>3229</v>
      </c>
      <c r="E3847">
        <v>143</v>
      </c>
      <c r="F3847">
        <v>6316</v>
      </c>
      <c r="G3847">
        <v>3432</v>
      </c>
      <c r="H3847">
        <v>48.5</v>
      </c>
      <c r="I3847">
        <v>40.700000000000003</v>
      </c>
      <c r="J3847">
        <v>56.2</v>
      </c>
      <c r="K3847">
        <v>138</v>
      </c>
      <c r="L3847">
        <v>1</v>
      </c>
      <c r="M3847">
        <v>275</v>
      </c>
      <c r="N3847">
        <v>2.1</v>
      </c>
      <c r="O3847">
        <v>1.5</v>
      </c>
      <c r="P3847">
        <v>2.6</v>
      </c>
      <c r="Q3847">
        <f t="shared" si="118"/>
        <v>3194374</v>
      </c>
      <c r="R3847">
        <f t="shared" si="119"/>
        <v>4.3200952674921593</v>
      </c>
      <c r="U3847">
        <v>327</v>
      </c>
      <c r="V3847">
        <v>9</v>
      </c>
      <c r="W3847">
        <v>645</v>
      </c>
      <c r="X3847">
        <v>208</v>
      </c>
      <c r="Y3847">
        <v>61.1</v>
      </c>
      <c r="Z3847">
        <v>41.7</v>
      </c>
      <c r="AA3847">
        <v>80.599999999999994</v>
      </c>
    </row>
    <row r="3848" spans="1:27" x14ac:dyDescent="0.25">
      <c r="A3848" t="s">
        <v>263</v>
      </c>
      <c r="B3848" t="s">
        <v>202</v>
      </c>
      <c r="C3848" s="76">
        <v>43952</v>
      </c>
      <c r="D3848">
        <v>3136</v>
      </c>
      <c r="E3848">
        <v>117</v>
      </c>
      <c r="F3848">
        <v>6155</v>
      </c>
      <c r="G3848">
        <v>3521</v>
      </c>
      <c r="H3848">
        <v>47.1</v>
      </c>
      <c r="I3848">
        <v>39</v>
      </c>
      <c r="J3848">
        <v>55.2</v>
      </c>
      <c r="K3848">
        <v>125</v>
      </c>
      <c r="L3848">
        <v>0</v>
      </c>
      <c r="M3848">
        <v>257</v>
      </c>
      <c r="N3848">
        <v>1.9</v>
      </c>
      <c r="O3848">
        <v>1.3</v>
      </c>
      <c r="P3848">
        <v>2.4</v>
      </c>
      <c r="Q3848">
        <f t="shared" si="118"/>
        <v>3194374</v>
      </c>
      <c r="R3848">
        <f t="shared" si="119"/>
        <v>3.9131297712791304</v>
      </c>
      <c r="U3848">
        <v>359</v>
      </c>
      <c r="V3848">
        <v>15</v>
      </c>
      <c r="W3848">
        <v>702</v>
      </c>
      <c r="X3848">
        <v>176</v>
      </c>
      <c r="Y3848">
        <v>67</v>
      </c>
      <c r="Z3848">
        <v>44.8</v>
      </c>
      <c r="AA3848">
        <v>89.3</v>
      </c>
    </row>
    <row r="3849" spans="1:27" x14ac:dyDescent="0.25">
      <c r="A3849" t="s">
        <v>263</v>
      </c>
      <c r="B3849" t="s">
        <v>202</v>
      </c>
      <c r="C3849" s="76">
        <v>43953</v>
      </c>
      <c r="D3849">
        <v>2793</v>
      </c>
      <c r="E3849">
        <v>201</v>
      </c>
      <c r="F3849">
        <v>5384</v>
      </c>
      <c r="G3849">
        <v>3869</v>
      </c>
      <c r="H3849">
        <v>41.9</v>
      </c>
      <c r="I3849">
        <v>35.1</v>
      </c>
      <c r="J3849">
        <v>48.8</v>
      </c>
      <c r="K3849">
        <v>92</v>
      </c>
      <c r="L3849">
        <v>0</v>
      </c>
      <c r="M3849">
        <v>190</v>
      </c>
      <c r="N3849">
        <v>1.4</v>
      </c>
      <c r="O3849">
        <v>0.9</v>
      </c>
      <c r="P3849">
        <v>1.8</v>
      </c>
      <c r="Q3849">
        <f t="shared" si="118"/>
        <v>3194374</v>
      </c>
      <c r="R3849">
        <f t="shared" si="119"/>
        <v>2.8800635116614397</v>
      </c>
      <c r="U3849">
        <v>311</v>
      </c>
      <c r="V3849">
        <v>6</v>
      </c>
      <c r="W3849">
        <v>616</v>
      </c>
      <c r="X3849">
        <v>224</v>
      </c>
      <c r="Y3849">
        <v>58.1</v>
      </c>
      <c r="Z3849">
        <v>32.4</v>
      </c>
      <c r="AA3849">
        <v>83.9</v>
      </c>
    </row>
    <row r="3850" spans="1:27" x14ac:dyDescent="0.25">
      <c r="A3850" t="s">
        <v>263</v>
      </c>
      <c r="B3850" t="s">
        <v>202</v>
      </c>
      <c r="C3850" s="76">
        <v>43954</v>
      </c>
      <c r="D3850">
        <v>2704</v>
      </c>
      <c r="E3850">
        <v>182</v>
      </c>
      <c r="F3850">
        <v>5225</v>
      </c>
      <c r="G3850">
        <v>3958</v>
      </c>
      <c r="H3850">
        <v>40.6</v>
      </c>
      <c r="I3850">
        <v>34.1</v>
      </c>
      <c r="J3850">
        <v>47.1</v>
      </c>
      <c r="K3850">
        <v>98</v>
      </c>
      <c r="L3850">
        <v>0</v>
      </c>
      <c r="M3850">
        <v>198</v>
      </c>
      <c r="N3850">
        <v>1.5</v>
      </c>
      <c r="O3850">
        <v>1.3</v>
      </c>
      <c r="P3850">
        <v>1.6</v>
      </c>
      <c r="Q3850">
        <f t="shared" si="118"/>
        <v>3194374</v>
      </c>
      <c r="R3850">
        <f t="shared" si="119"/>
        <v>3.0678937406828384</v>
      </c>
      <c r="U3850">
        <v>320</v>
      </c>
      <c r="V3850">
        <v>15</v>
      </c>
      <c r="W3850">
        <v>625</v>
      </c>
      <c r="X3850">
        <v>215</v>
      </c>
      <c r="Y3850">
        <v>59.7</v>
      </c>
      <c r="Z3850">
        <v>28.5</v>
      </c>
      <c r="AA3850">
        <v>91</v>
      </c>
    </row>
    <row r="3851" spans="1:27" x14ac:dyDescent="0.25">
      <c r="A3851" t="s">
        <v>263</v>
      </c>
      <c r="B3851" t="s">
        <v>202</v>
      </c>
      <c r="C3851" s="76">
        <v>43955</v>
      </c>
      <c r="D3851">
        <v>2868</v>
      </c>
      <c r="E3851">
        <v>175</v>
      </c>
      <c r="F3851">
        <v>5562</v>
      </c>
      <c r="G3851">
        <v>3748</v>
      </c>
      <c r="H3851">
        <v>43.4</v>
      </c>
      <c r="I3851">
        <v>36.6</v>
      </c>
      <c r="J3851">
        <v>50.1</v>
      </c>
      <c r="K3851">
        <v>66</v>
      </c>
      <c r="L3851">
        <v>2</v>
      </c>
      <c r="M3851">
        <v>130</v>
      </c>
      <c r="N3851">
        <v>1</v>
      </c>
      <c r="O3851">
        <v>0.7</v>
      </c>
      <c r="P3851">
        <v>1.3</v>
      </c>
      <c r="Q3851">
        <f t="shared" si="118"/>
        <v>3194374</v>
      </c>
      <c r="R3851">
        <f t="shared" si="119"/>
        <v>2.0661325192353805</v>
      </c>
      <c r="U3851">
        <v>319</v>
      </c>
      <c r="V3851">
        <v>12</v>
      </c>
      <c r="W3851">
        <v>626</v>
      </c>
      <c r="X3851">
        <v>216</v>
      </c>
      <c r="Y3851">
        <v>59.6</v>
      </c>
      <c r="Z3851">
        <v>32</v>
      </c>
      <c r="AA3851">
        <v>87.3</v>
      </c>
    </row>
    <row r="3852" spans="1:27" x14ac:dyDescent="0.25">
      <c r="A3852" t="s">
        <v>263</v>
      </c>
      <c r="B3852" t="s">
        <v>202</v>
      </c>
      <c r="C3852" s="76">
        <v>43956</v>
      </c>
      <c r="D3852">
        <v>3139</v>
      </c>
      <c r="E3852">
        <v>129</v>
      </c>
      <c r="F3852">
        <v>6150</v>
      </c>
      <c r="G3852">
        <v>3510</v>
      </c>
      <c r="H3852">
        <v>47.2</v>
      </c>
      <c r="I3852">
        <v>39.799999999999997</v>
      </c>
      <c r="J3852">
        <v>54.6</v>
      </c>
      <c r="K3852">
        <v>114</v>
      </c>
      <c r="L3852">
        <v>2</v>
      </c>
      <c r="M3852">
        <v>226</v>
      </c>
      <c r="N3852">
        <v>1.7</v>
      </c>
      <c r="O3852">
        <v>1.5</v>
      </c>
      <c r="P3852">
        <v>1.9</v>
      </c>
      <c r="Q3852">
        <f t="shared" si="118"/>
        <v>3194374</v>
      </c>
      <c r="R3852">
        <f t="shared" si="119"/>
        <v>3.5687743514065668</v>
      </c>
      <c r="U3852">
        <v>308</v>
      </c>
      <c r="V3852">
        <v>15</v>
      </c>
      <c r="W3852">
        <v>600</v>
      </c>
      <c r="X3852">
        <v>227</v>
      </c>
      <c r="Y3852">
        <v>57.5</v>
      </c>
      <c r="Z3852">
        <v>37.4</v>
      </c>
      <c r="AA3852">
        <v>77.7</v>
      </c>
    </row>
    <row r="3853" spans="1:27" x14ac:dyDescent="0.25">
      <c r="A3853" t="s">
        <v>263</v>
      </c>
      <c r="B3853" t="s">
        <v>202</v>
      </c>
      <c r="C3853" s="76">
        <v>43957</v>
      </c>
      <c r="D3853">
        <v>3150</v>
      </c>
      <c r="E3853">
        <v>198</v>
      </c>
      <c r="F3853">
        <v>6101</v>
      </c>
      <c r="G3853">
        <v>3482</v>
      </c>
      <c r="H3853">
        <v>47.5</v>
      </c>
      <c r="I3853">
        <v>40.4</v>
      </c>
      <c r="J3853">
        <v>54.6</v>
      </c>
      <c r="K3853">
        <v>122</v>
      </c>
      <c r="L3853">
        <v>0</v>
      </c>
      <c r="M3853">
        <v>247</v>
      </c>
      <c r="N3853">
        <v>1.8</v>
      </c>
      <c r="O3853">
        <v>1.5</v>
      </c>
      <c r="P3853">
        <v>2.1</v>
      </c>
      <c r="Q3853">
        <f t="shared" si="118"/>
        <v>3194374</v>
      </c>
      <c r="R3853">
        <f t="shared" si="119"/>
        <v>3.8192146567684309</v>
      </c>
      <c r="U3853">
        <v>338</v>
      </c>
      <c r="V3853">
        <v>19</v>
      </c>
      <c r="W3853">
        <v>658</v>
      </c>
      <c r="X3853">
        <v>197</v>
      </c>
      <c r="Y3853">
        <v>63.2</v>
      </c>
      <c r="Z3853">
        <v>39.1</v>
      </c>
      <c r="AA3853">
        <v>87.4</v>
      </c>
    </row>
    <row r="3854" spans="1:27" x14ac:dyDescent="0.25">
      <c r="A3854" t="s">
        <v>263</v>
      </c>
      <c r="B3854" t="s">
        <v>202</v>
      </c>
      <c r="C3854" s="76">
        <v>43958</v>
      </c>
      <c r="D3854">
        <v>3110</v>
      </c>
      <c r="E3854">
        <v>194</v>
      </c>
      <c r="F3854">
        <v>6027</v>
      </c>
      <c r="G3854">
        <v>3519</v>
      </c>
      <c r="H3854">
        <v>46.9</v>
      </c>
      <c r="I3854">
        <v>39.4</v>
      </c>
      <c r="J3854">
        <v>54.4</v>
      </c>
      <c r="K3854">
        <v>169</v>
      </c>
      <c r="L3854">
        <v>0</v>
      </c>
      <c r="M3854">
        <v>369</v>
      </c>
      <c r="N3854">
        <v>2.5</v>
      </c>
      <c r="O3854">
        <v>1.4</v>
      </c>
      <c r="P3854">
        <v>3.7</v>
      </c>
      <c r="Q3854">
        <f t="shared" si="118"/>
        <v>3194374</v>
      </c>
      <c r="R3854">
        <f t="shared" si="119"/>
        <v>5.2905514507693834</v>
      </c>
      <c r="U3854">
        <v>334</v>
      </c>
      <c r="V3854">
        <v>16</v>
      </c>
      <c r="W3854">
        <v>653</v>
      </c>
      <c r="X3854">
        <v>201</v>
      </c>
      <c r="Y3854">
        <v>62.5</v>
      </c>
      <c r="Z3854">
        <v>43.2</v>
      </c>
      <c r="AA3854">
        <v>81.7</v>
      </c>
    </row>
    <row r="3855" spans="1:27" x14ac:dyDescent="0.25">
      <c r="A3855" t="s">
        <v>263</v>
      </c>
      <c r="B3855" t="s">
        <v>202</v>
      </c>
      <c r="C3855" s="76">
        <v>43959</v>
      </c>
      <c r="D3855">
        <v>3202</v>
      </c>
      <c r="E3855">
        <v>107</v>
      </c>
      <c r="F3855">
        <v>6296</v>
      </c>
      <c r="G3855">
        <v>3464</v>
      </c>
      <c r="H3855">
        <v>48</v>
      </c>
      <c r="I3855">
        <v>39.5</v>
      </c>
      <c r="J3855">
        <v>56.6</v>
      </c>
      <c r="K3855">
        <v>127</v>
      </c>
      <c r="L3855">
        <v>0</v>
      </c>
      <c r="M3855">
        <v>264</v>
      </c>
      <c r="N3855">
        <v>1.9</v>
      </c>
      <c r="O3855">
        <v>1</v>
      </c>
      <c r="P3855">
        <v>2.8</v>
      </c>
      <c r="Q3855">
        <f t="shared" si="118"/>
        <v>3194374</v>
      </c>
      <c r="R3855">
        <f t="shared" si="119"/>
        <v>3.9757398476195962</v>
      </c>
      <c r="U3855">
        <v>325</v>
      </c>
      <c r="V3855">
        <v>10</v>
      </c>
      <c r="W3855">
        <v>640</v>
      </c>
      <c r="X3855">
        <v>210</v>
      </c>
      <c r="Y3855">
        <v>60.8</v>
      </c>
      <c r="Z3855">
        <v>40</v>
      </c>
      <c r="AA3855">
        <v>81.5</v>
      </c>
    </row>
    <row r="3856" spans="1:27" x14ac:dyDescent="0.25">
      <c r="A3856" t="s">
        <v>263</v>
      </c>
      <c r="B3856" t="s">
        <v>202</v>
      </c>
      <c r="C3856" s="76">
        <v>43960</v>
      </c>
      <c r="D3856">
        <v>3134</v>
      </c>
      <c r="E3856">
        <v>171</v>
      </c>
      <c r="F3856">
        <v>6098</v>
      </c>
      <c r="G3856">
        <v>3550</v>
      </c>
      <c r="H3856">
        <v>46.9</v>
      </c>
      <c r="I3856">
        <v>39.700000000000003</v>
      </c>
      <c r="J3856">
        <v>54.1</v>
      </c>
      <c r="K3856">
        <v>127</v>
      </c>
      <c r="L3856">
        <v>0</v>
      </c>
      <c r="M3856">
        <v>259</v>
      </c>
      <c r="N3856">
        <v>1.9</v>
      </c>
      <c r="O3856">
        <v>1.2</v>
      </c>
      <c r="P3856">
        <v>2.6</v>
      </c>
      <c r="Q3856">
        <f t="shared" si="118"/>
        <v>3194374</v>
      </c>
      <c r="R3856">
        <f t="shared" si="119"/>
        <v>3.9757398476195962</v>
      </c>
      <c r="U3856">
        <v>351</v>
      </c>
      <c r="V3856">
        <v>1</v>
      </c>
      <c r="W3856">
        <v>701</v>
      </c>
      <c r="X3856">
        <v>184</v>
      </c>
      <c r="Y3856">
        <v>65.599999999999994</v>
      </c>
      <c r="Z3856">
        <v>47.3</v>
      </c>
      <c r="AA3856">
        <v>84</v>
      </c>
    </row>
    <row r="3857" spans="1:27" x14ac:dyDescent="0.25">
      <c r="A3857" t="s">
        <v>263</v>
      </c>
      <c r="B3857" t="s">
        <v>202</v>
      </c>
      <c r="C3857" s="76">
        <v>43961</v>
      </c>
      <c r="D3857">
        <v>3053</v>
      </c>
      <c r="E3857">
        <v>140</v>
      </c>
      <c r="F3857">
        <v>5967</v>
      </c>
      <c r="G3857">
        <v>3627</v>
      </c>
      <c r="H3857">
        <v>45.7</v>
      </c>
      <c r="I3857">
        <v>38.9</v>
      </c>
      <c r="J3857">
        <v>52.6</v>
      </c>
      <c r="K3857">
        <v>115</v>
      </c>
      <c r="L3857">
        <v>7</v>
      </c>
      <c r="M3857">
        <v>223</v>
      </c>
      <c r="N3857">
        <v>1.7</v>
      </c>
      <c r="O3857">
        <v>1.3</v>
      </c>
      <c r="P3857">
        <v>2.2000000000000002</v>
      </c>
      <c r="Q3857">
        <f t="shared" si="118"/>
        <v>3194374</v>
      </c>
      <c r="R3857">
        <f t="shared" si="119"/>
        <v>3.6000793895767993</v>
      </c>
      <c r="U3857">
        <v>356</v>
      </c>
      <c r="V3857">
        <v>0</v>
      </c>
      <c r="W3857">
        <v>717</v>
      </c>
      <c r="X3857">
        <v>179</v>
      </c>
      <c r="Y3857">
        <v>66.5</v>
      </c>
      <c r="Z3857">
        <v>47.1</v>
      </c>
      <c r="AA3857">
        <v>85.9</v>
      </c>
    </row>
    <row r="3858" spans="1:27" x14ac:dyDescent="0.25">
      <c r="A3858" t="s">
        <v>263</v>
      </c>
      <c r="B3858" t="s">
        <v>202</v>
      </c>
      <c r="C3858" s="76">
        <v>43962</v>
      </c>
      <c r="D3858">
        <v>3110</v>
      </c>
      <c r="E3858">
        <v>132</v>
      </c>
      <c r="F3858">
        <v>6087</v>
      </c>
      <c r="G3858">
        <v>3572</v>
      </c>
      <c r="H3858">
        <v>46.5</v>
      </c>
      <c r="I3858">
        <v>39.6</v>
      </c>
      <c r="J3858">
        <v>53.4</v>
      </c>
      <c r="K3858">
        <v>84</v>
      </c>
      <c r="L3858">
        <v>6</v>
      </c>
      <c r="M3858">
        <v>162</v>
      </c>
      <c r="N3858">
        <v>1.3</v>
      </c>
      <c r="O3858">
        <v>0.8</v>
      </c>
      <c r="P3858">
        <v>1.7</v>
      </c>
      <c r="Q3858">
        <f t="shared" si="118"/>
        <v>3194374</v>
      </c>
      <c r="R3858">
        <f t="shared" si="119"/>
        <v>2.6296232062995752</v>
      </c>
      <c r="U3858">
        <v>373</v>
      </c>
      <c r="V3858">
        <v>0</v>
      </c>
      <c r="W3858">
        <v>754</v>
      </c>
      <c r="X3858">
        <v>162</v>
      </c>
      <c r="Y3858">
        <v>69.8</v>
      </c>
      <c r="Z3858">
        <v>51.8</v>
      </c>
      <c r="AA3858">
        <v>87.7</v>
      </c>
    </row>
    <row r="3859" spans="1:27" x14ac:dyDescent="0.25">
      <c r="A3859" t="s">
        <v>263</v>
      </c>
      <c r="B3859" t="s">
        <v>202</v>
      </c>
      <c r="C3859" s="76">
        <v>43963</v>
      </c>
      <c r="D3859">
        <v>3394</v>
      </c>
      <c r="E3859">
        <v>149</v>
      </c>
      <c r="F3859">
        <v>6640</v>
      </c>
      <c r="G3859">
        <v>3270</v>
      </c>
      <c r="H3859">
        <v>50.9</v>
      </c>
      <c r="I3859">
        <v>43.1</v>
      </c>
      <c r="J3859">
        <v>58.8</v>
      </c>
      <c r="K3859">
        <v>95</v>
      </c>
      <c r="L3859">
        <v>5</v>
      </c>
      <c r="M3859">
        <v>185</v>
      </c>
      <c r="N3859">
        <v>1.4</v>
      </c>
      <c r="O3859">
        <v>1</v>
      </c>
      <c r="P3859">
        <v>1.8</v>
      </c>
      <c r="Q3859">
        <f t="shared" si="118"/>
        <v>3194374</v>
      </c>
      <c r="R3859">
        <f t="shared" si="119"/>
        <v>2.9739786261721388</v>
      </c>
      <c r="U3859">
        <v>363</v>
      </c>
      <c r="V3859">
        <v>0</v>
      </c>
      <c r="W3859">
        <v>735</v>
      </c>
      <c r="X3859">
        <v>172</v>
      </c>
      <c r="Y3859">
        <v>67.900000000000006</v>
      </c>
      <c r="Z3859">
        <v>47.3</v>
      </c>
      <c r="AA3859">
        <v>88.5</v>
      </c>
    </row>
    <row r="3860" spans="1:27" x14ac:dyDescent="0.25">
      <c r="A3860" t="s">
        <v>263</v>
      </c>
      <c r="B3860" t="s">
        <v>202</v>
      </c>
      <c r="C3860" s="76">
        <v>43964</v>
      </c>
      <c r="D3860">
        <v>3663</v>
      </c>
      <c r="E3860">
        <v>90</v>
      </c>
      <c r="F3860">
        <v>7236</v>
      </c>
      <c r="G3860">
        <v>3008</v>
      </c>
      <c r="H3860">
        <v>54.9</v>
      </c>
      <c r="I3860">
        <v>47.1</v>
      </c>
      <c r="J3860">
        <v>62.7</v>
      </c>
      <c r="K3860">
        <v>88</v>
      </c>
      <c r="L3860">
        <v>0</v>
      </c>
      <c r="M3860">
        <v>180</v>
      </c>
      <c r="N3860">
        <v>1.3</v>
      </c>
      <c r="O3860">
        <v>1</v>
      </c>
      <c r="P3860">
        <v>1.6</v>
      </c>
      <c r="Q3860">
        <f t="shared" si="118"/>
        <v>3194374</v>
      </c>
      <c r="R3860">
        <f t="shared" si="119"/>
        <v>2.7548433589805077</v>
      </c>
      <c r="U3860">
        <v>356</v>
      </c>
      <c r="V3860">
        <v>0</v>
      </c>
      <c r="W3860">
        <v>712</v>
      </c>
      <c r="X3860">
        <v>179</v>
      </c>
      <c r="Y3860">
        <v>66.599999999999994</v>
      </c>
      <c r="Z3860">
        <v>47</v>
      </c>
      <c r="AA3860">
        <v>86.2</v>
      </c>
    </row>
    <row r="3861" spans="1:27" x14ac:dyDescent="0.25">
      <c r="A3861" t="s">
        <v>263</v>
      </c>
      <c r="B3861" t="s">
        <v>202</v>
      </c>
      <c r="C3861" s="76">
        <v>43965</v>
      </c>
      <c r="D3861">
        <v>3685</v>
      </c>
      <c r="E3861">
        <v>56</v>
      </c>
      <c r="F3861">
        <v>7315</v>
      </c>
      <c r="G3861">
        <v>2965</v>
      </c>
      <c r="H3861">
        <v>55.4</v>
      </c>
      <c r="I3861">
        <v>47.4</v>
      </c>
      <c r="J3861">
        <v>63.4</v>
      </c>
      <c r="K3861">
        <v>70</v>
      </c>
      <c r="L3861">
        <v>0</v>
      </c>
      <c r="M3861">
        <v>140</v>
      </c>
      <c r="N3861">
        <v>1.1000000000000001</v>
      </c>
      <c r="O3861">
        <v>0.6</v>
      </c>
      <c r="P3861">
        <v>1.5</v>
      </c>
      <c r="Q3861">
        <f t="shared" si="118"/>
        <v>3194374</v>
      </c>
      <c r="R3861">
        <f t="shared" si="119"/>
        <v>2.191352671916313</v>
      </c>
      <c r="U3861">
        <v>364</v>
      </c>
      <c r="V3861">
        <v>2</v>
      </c>
      <c r="W3861">
        <v>727</v>
      </c>
      <c r="X3861">
        <v>171</v>
      </c>
      <c r="Y3861">
        <v>68.099999999999994</v>
      </c>
      <c r="Z3861">
        <v>50.2</v>
      </c>
      <c r="AA3861">
        <v>86</v>
      </c>
    </row>
    <row r="3862" spans="1:27" x14ac:dyDescent="0.25">
      <c r="A3862" t="s">
        <v>263</v>
      </c>
      <c r="B3862" t="s">
        <v>202</v>
      </c>
      <c r="C3862" s="76">
        <v>43966</v>
      </c>
      <c r="D3862">
        <v>3698</v>
      </c>
      <c r="E3862">
        <v>74</v>
      </c>
      <c r="F3862">
        <v>7322</v>
      </c>
      <c r="G3862">
        <v>2992</v>
      </c>
      <c r="H3862">
        <v>55.3</v>
      </c>
      <c r="I3862">
        <v>47.4</v>
      </c>
      <c r="J3862">
        <v>63.2</v>
      </c>
      <c r="K3862">
        <v>62</v>
      </c>
      <c r="L3862">
        <v>4</v>
      </c>
      <c r="M3862">
        <v>120</v>
      </c>
      <c r="N3862">
        <v>0.9</v>
      </c>
      <c r="O3862">
        <v>0.5</v>
      </c>
      <c r="P3862">
        <v>1.4</v>
      </c>
      <c r="Q3862">
        <f t="shared" si="118"/>
        <v>3194374</v>
      </c>
      <c r="R3862">
        <f t="shared" si="119"/>
        <v>1.9409123665544485</v>
      </c>
      <c r="U3862">
        <v>390</v>
      </c>
      <c r="V3862">
        <v>0</v>
      </c>
      <c r="W3862">
        <v>780</v>
      </c>
      <c r="X3862">
        <v>145</v>
      </c>
      <c r="Y3862">
        <v>72.900000000000006</v>
      </c>
      <c r="Z3862">
        <v>54.5</v>
      </c>
      <c r="AA3862">
        <v>91.2</v>
      </c>
    </row>
    <row r="3863" spans="1:27" x14ac:dyDescent="0.25">
      <c r="A3863" t="s">
        <v>263</v>
      </c>
      <c r="B3863" t="s">
        <v>202</v>
      </c>
      <c r="C3863" s="76">
        <v>43967</v>
      </c>
      <c r="D3863">
        <v>3443</v>
      </c>
      <c r="E3863">
        <v>52</v>
      </c>
      <c r="F3863">
        <v>6833</v>
      </c>
      <c r="G3863">
        <v>3252</v>
      </c>
      <c r="H3863">
        <v>51.4</v>
      </c>
      <c r="I3863">
        <v>43.9</v>
      </c>
      <c r="J3863">
        <v>59</v>
      </c>
      <c r="K3863">
        <v>66</v>
      </c>
      <c r="L3863">
        <v>3</v>
      </c>
      <c r="M3863">
        <v>129</v>
      </c>
      <c r="N3863">
        <v>1</v>
      </c>
      <c r="O3863">
        <v>0.2</v>
      </c>
      <c r="P3863">
        <v>1.7</v>
      </c>
      <c r="Q3863">
        <f t="shared" si="118"/>
        <v>3194374</v>
      </c>
      <c r="R3863">
        <f t="shared" si="119"/>
        <v>2.0661325192353805</v>
      </c>
      <c r="U3863">
        <v>395</v>
      </c>
      <c r="V3863">
        <v>0</v>
      </c>
      <c r="W3863">
        <v>789</v>
      </c>
      <c r="X3863">
        <v>140</v>
      </c>
      <c r="Y3863">
        <v>73.8</v>
      </c>
      <c r="Z3863">
        <v>59.6</v>
      </c>
      <c r="AA3863">
        <v>88</v>
      </c>
    </row>
    <row r="3864" spans="1:27" x14ac:dyDescent="0.25">
      <c r="A3864" t="s">
        <v>263</v>
      </c>
      <c r="B3864" t="s">
        <v>202</v>
      </c>
      <c r="C3864" s="76">
        <v>43968</v>
      </c>
      <c r="D3864">
        <v>3298</v>
      </c>
      <c r="E3864">
        <v>119</v>
      </c>
      <c r="F3864">
        <v>6478</v>
      </c>
      <c r="G3864">
        <v>3395</v>
      </c>
      <c r="H3864">
        <v>49.3</v>
      </c>
      <c r="I3864">
        <v>43.9</v>
      </c>
      <c r="J3864">
        <v>54.7</v>
      </c>
      <c r="K3864">
        <v>51</v>
      </c>
      <c r="L3864">
        <v>0</v>
      </c>
      <c r="M3864">
        <v>104</v>
      </c>
      <c r="N3864">
        <v>0.8</v>
      </c>
      <c r="O3864">
        <v>0.3</v>
      </c>
      <c r="P3864">
        <v>1.2</v>
      </c>
      <c r="Q3864">
        <f t="shared" si="118"/>
        <v>3194374</v>
      </c>
      <c r="R3864">
        <f t="shared" si="119"/>
        <v>1.5965569466818852</v>
      </c>
      <c r="U3864">
        <v>367</v>
      </c>
      <c r="V3864">
        <v>0</v>
      </c>
      <c r="W3864">
        <v>744</v>
      </c>
      <c r="X3864">
        <v>168</v>
      </c>
      <c r="Y3864">
        <v>68.599999999999994</v>
      </c>
      <c r="Z3864">
        <v>54.3</v>
      </c>
      <c r="AA3864">
        <v>82.9</v>
      </c>
    </row>
    <row r="3865" spans="1:27" x14ac:dyDescent="0.25">
      <c r="A3865" t="s">
        <v>263</v>
      </c>
      <c r="B3865" t="s">
        <v>202</v>
      </c>
      <c r="C3865" s="76">
        <v>43969</v>
      </c>
      <c r="D3865">
        <v>3401</v>
      </c>
      <c r="E3865">
        <v>136</v>
      </c>
      <c r="F3865">
        <v>6666</v>
      </c>
      <c r="G3865">
        <v>3274</v>
      </c>
      <c r="H3865">
        <v>51</v>
      </c>
      <c r="I3865">
        <v>44.7</v>
      </c>
      <c r="J3865">
        <v>57.2</v>
      </c>
      <c r="K3865">
        <v>72</v>
      </c>
      <c r="L3865">
        <v>5</v>
      </c>
      <c r="M3865">
        <v>139</v>
      </c>
      <c r="N3865">
        <v>1.1000000000000001</v>
      </c>
      <c r="O3865">
        <v>0.8</v>
      </c>
      <c r="P3865">
        <v>1.4</v>
      </c>
      <c r="Q3865">
        <f t="shared" si="118"/>
        <v>3194374</v>
      </c>
      <c r="R3865">
        <f t="shared" si="119"/>
        <v>2.2539627482567788</v>
      </c>
      <c r="U3865">
        <v>300</v>
      </c>
      <c r="V3865">
        <v>12</v>
      </c>
      <c r="W3865">
        <v>589</v>
      </c>
      <c r="X3865">
        <v>235</v>
      </c>
      <c r="Y3865">
        <v>56.1</v>
      </c>
      <c r="Z3865">
        <v>38.299999999999997</v>
      </c>
      <c r="AA3865">
        <v>74</v>
      </c>
    </row>
    <row r="3866" spans="1:27" x14ac:dyDescent="0.25">
      <c r="A3866" t="s">
        <v>263</v>
      </c>
      <c r="B3866" t="s">
        <v>202</v>
      </c>
      <c r="C3866" s="76">
        <v>43970</v>
      </c>
      <c r="D3866">
        <v>3507</v>
      </c>
      <c r="E3866">
        <v>173</v>
      </c>
      <c r="F3866">
        <v>6841</v>
      </c>
      <c r="G3866">
        <v>3168</v>
      </c>
      <c r="H3866">
        <v>52.5</v>
      </c>
      <c r="I3866">
        <v>46.5</v>
      </c>
      <c r="J3866">
        <v>58.6</v>
      </c>
      <c r="K3866">
        <v>103</v>
      </c>
      <c r="L3866">
        <v>1</v>
      </c>
      <c r="M3866">
        <v>205</v>
      </c>
      <c r="N3866">
        <v>1.5</v>
      </c>
      <c r="O3866">
        <v>0.9</v>
      </c>
      <c r="P3866">
        <v>2.2000000000000002</v>
      </c>
      <c r="Q3866">
        <f t="shared" si="118"/>
        <v>3194374</v>
      </c>
      <c r="R3866">
        <f t="shared" si="119"/>
        <v>3.2244189315340033</v>
      </c>
      <c r="U3866">
        <v>386</v>
      </c>
      <c r="V3866">
        <v>0</v>
      </c>
      <c r="W3866">
        <v>777</v>
      </c>
      <c r="X3866">
        <v>149</v>
      </c>
      <c r="Y3866">
        <v>72.2</v>
      </c>
      <c r="Z3866">
        <v>56.6</v>
      </c>
      <c r="AA3866">
        <v>87.9</v>
      </c>
    </row>
    <row r="3867" spans="1:27" x14ac:dyDescent="0.25">
      <c r="A3867" t="s">
        <v>263</v>
      </c>
      <c r="B3867" t="s">
        <v>202</v>
      </c>
      <c r="C3867" s="76">
        <v>43971</v>
      </c>
      <c r="D3867">
        <v>3529</v>
      </c>
      <c r="E3867">
        <v>193</v>
      </c>
      <c r="F3867">
        <v>6864</v>
      </c>
      <c r="G3867">
        <v>3166</v>
      </c>
      <c r="H3867">
        <v>52.7</v>
      </c>
      <c r="I3867">
        <v>45.3</v>
      </c>
      <c r="J3867">
        <v>60.1</v>
      </c>
      <c r="K3867">
        <v>106</v>
      </c>
      <c r="L3867">
        <v>1</v>
      </c>
      <c r="M3867">
        <v>211</v>
      </c>
      <c r="N3867">
        <v>1.6</v>
      </c>
      <c r="O3867">
        <v>1.2</v>
      </c>
      <c r="P3867">
        <v>2</v>
      </c>
      <c r="Q3867">
        <f t="shared" si="118"/>
        <v>3194374</v>
      </c>
      <c r="R3867">
        <f t="shared" si="119"/>
        <v>3.3183340460447024</v>
      </c>
      <c r="U3867">
        <v>417</v>
      </c>
      <c r="V3867">
        <v>0</v>
      </c>
      <c r="W3867">
        <v>844</v>
      </c>
      <c r="X3867">
        <v>118</v>
      </c>
      <c r="Y3867">
        <v>78</v>
      </c>
      <c r="Z3867">
        <v>61.8</v>
      </c>
      <c r="AA3867">
        <v>94.2</v>
      </c>
    </row>
    <row r="3868" spans="1:27" x14ac:dyDescent="0.25">
      <c r="A3868" t="s">
        <v>263</v>
      </c>
      <c r="B3868" t="s">
        <v>202</v>
      </c>
      <c r="C3868" s="76">
        <v>43972</v>
      </c>
      <c r="D3868">
        <v>3544</v>
      </c>
      <c r="E3868">
        <v>199</v>
      </c>
      <c r="F3868">
        <v>6888</v>
      </c>
      <c r="G3868">
        <v>3157</v>
      </c>
      <c r="H3868">
        <v>52.9</v>
      </c>
      <c r="I3868">
        <v>45.8</v>
      </c>
      <c r="J3868">
        <v>60</v>
      </c>
      <c r="K3868">
        <v>74</v>
      </c>
      <c r="L3868">
        <v>0</v>
      </c>
      <c r="M3868">
        <v>149</v>
      </c>
      <c r="N3868">
        <v>1.1000000000000001</v>
      </c>
      <c r="O3868">
        <v>0.7</v>
      </c>
      <c r="P3868">
        <v>1.5</v>
      </c>
      <c r="Q3868">
        <f t="shared" si="118"/>
        <v>3194374</v>
      </c>
      <c r="R3868">
        <f t="shared" si="119"/>
        <v>2.316572824597245</v>
      </c>
      <c r="U3868">
        <v>412</v>
      </c>
      <c r="V3868">
        <v>0</v>
      </c>
      <c r="W3868">
        <v>830</v>
      </c>
      <c r="X3868">
        <v>123</v>
      </c>
      <c r="Y3868">
        <v>77.099999999999994</v>
      </c>
      <c r="Z3868">
        <v>60.4</v>
      </c>
      <c r="AA3868">
        <v>93.7</v>
      </c>
    </row>
    <row r="3869" spans="1:27" x14ac:dyDescent="0.25">
      <c r="A3869" t="s">
        <v>263</v>
      </c>
      <c r="B3869" t="s">
        <v>202</v>
      </c>
      <c r="C3869" s="76">
        <v>43973</v>
      </c>
      <c r="D3869">
        <v>3654</v>
      </c>
      <c r="E3869">
        <v>186</v>
      </c>
      <c r="F3869">
        <v>7122</v>
      </c>
      <c r="G3869">
        <v>3036</v>
      </c>
      <c r="H3869">
        <v>54.6</v>
      </c>
      <c r="I3869">
        <v>48.2</v>
      </c>
      <c r="J3869">
        <v>61</v>
      </c>
      <c r="K3869">
        <v>83</v>
      </c>
      <c r="L3869">
        <v>0</v>
      </c>
      <c r="M3869">
        <v>177</v>
      </c>
      <c r="N3869">
        <v>1.2</v>
      </c>
      <c r="O3869">
        <v>0.3</v>
      </c>
      <c r="P3869">
        <v>2.1</v>
      </c>
      <c r="Q3869">
        <f t="shared" si="118"/>
        <v>3194374</v>
      </c>
      <c r="R3869">
        <f t="shared" si="119"/>
        <v>2.5983181681293424</v>
      </c>
      <c r="U3869">
        <v>395</v>
      </c>
      <c r="V3869">
        <v>0</v>
      </c>
      <c r="W3869">
        <v>807</v>
      </c>
      <c r="X3869">
        <v>140</v>
      </c>
      <c r="Y3869">
        <v>73.900000000000006</v>
      </c>
      <c r="Z3869">
        <v>57.5</v>
      </c>
      <c r="AA3869">
        <v>90.2</v>
      </c>
    </row>
    <row r="3870" spans="1:27" x14ac:dyDescent="0.25">
      <c r="A3870" t="s">
        <v>263</v>
      </c>
      <c r="B3870" t="s">
        <v>202</v>
      </c>
      <c r="C3870" s="76">
        <v>43974</v>
      </c>
      <c r="D3870">
        <v>3546</v>
      </c>
      <c r="E3870">
        <v>150</v>
      </c>
      <c r="F3870">
        <v>6941</v>
      </c>
      <c r="G3870">
        <v>3144</v>
      </c>
      <c r="H3870">
        <v>53</v>
      </c>
      <c r="I3870">
        <v>44.9</v>
      </c>
      <c r="J3870">
        <v>61.1</v>
      </c>
      <c r="K3870">
        <v>90</v>
      </c>
      <c r="L3870">
        <v>11</v>
      </c>
      <c r="M3870">
        <v>169</v>
      </c>
      <c r="N3870">
        <v>1.3</v>
      </c>
      <c r="O3870">
        <v>0.7</v>
      </c>
      <c r="P3870">
        <v>2</v>
      </c>
      <c r="Q3870">
        <f t="shared" si="118"/>
        <v>3194374</v>
      </c>
      <c r="R3870">
        <f t="shared" si="119"/>
        <v>2.8174534353209735</v>
      </c>
      <c r="U3870">
        <v>392</v>
      </c>
      <c r="V3870">
        <v>0</v>
      </c>
      <c r="W3870">
        <v>785</v>
      </c>
      <c r="X3870">
        <v>143</v>
      </c>
      <c r="Y3870">
        <v>73.2</v>
      </c>
      <c r="Z3870">
        <v>58.5</v>
      </c>
      <c r="AA3870">
        <v>87.9</v>
      </c>
    </row>
    <row r="3871" spans="1:27" x14ac:dyDescent="0.25">
      <c r="A3871" t="s">
        <v>263</v>
      </c>
      <c r="B3871" t="s">
        <v>202</v>
      </c>
      <c r="C3871" s="76">
        <v>43975</v>
      </c>
      <c r="D3871">
        <v>3368</v>
      </c>
      <c r="E3871">
        <v>153</v>
      </c>
      <c r="F3871">
        <v>6582</v>
      </c>
      <c r="G3871">
        <v>3320</v>
      </c>
      <c r="H3871">
        <v>50.4</v>
      </c>
      <c r="I3871">
        <v>42.5</v>
      </c>
      <c r="J3871">
        <v>58.2</v>
      </c>
      <c r="K3871">
        <v>87</v>
      </c>
      <c r="L3871">
        <v>6</v>
      </c>
      <c r="M3871">
        <v>168</v>
      </c>
      <c r="N3871">
        <v>1.3</v>
      </c>
      <c r="O3871">
        <v>1</v>
      </c>
      <c r="P3871">
        <v>1.6</v>
      </c>
      <c r="Q3871">
        <f t="shared" si="118"/>
        <v>3194374</v>
      </c>
      <c r="R3871">
        <f t="shared" si="119"/>
        <v>2.7235383208102744</v>
      </c>
      <c r="U3871">
        <v>394</v>
      </c>
      <c r="V3871">
        <v>0</v>
      </c>
      <c r="W3871">
        <v>794</v>
      </c>
      <c r="X3871">
        <v>141</v>
      </c>
      <c r="Y3871">
        <v>73.599999999999994</v>
      </c>
      <c r="Z3871">
        <v>56.9</v>
      </c>
      <c r="AA3871">
        <v>90.2</v>
      </c>
    </row>
    <row r="3872" spans="1:27" x14ac:dyDescent="0.25">
      <c r="A3872" t="s">
        <v>263</v>
      </c>
      <c r="B3872" t="s">
        <v>202</v>
      </c>
      <c r="C3872" s="76">
        <v>43976</v>
      </c>
      <c r="D3872">
        <v>3290</v>
      </c>
      <c r="E3872">
        <v>22</v>
      </c>
      <c r="F3872">
        <v>6557</v>
      </c>
      <c r="G3872">
        <v>3134</v>
      </c>
      <c r="H3872">
        <v>51.2</v>
      </c>
      <c r="I3872">
        <v>43.1</v>
      </c>
      <c r="J3872">
        <v>59.3</v>
      </c>
      <c r="K3872">
        <v>120</v>
      </c>
      <c r="L3872">
        <v>0</v>
      </c>
      <c r="M3872">
        <v>259</v>
      </c>
      <c r="N3872">
        <v>1.9</v>
      </c>
      <c r="O3872">
        <v>0.9</v>
      </c>
      <c r="P3872">
        <v>2.8</v>
      </c>
      <c r="Q3872">
        <f t="shared" si="118"/>
        <v>3194374</v>
      </c>
      <c r="R3872">
        <f t="shared" si="119"/>
        <v>3.7566045804279646</v>
      </c>
      <c r="U3872">
        <v>351</v>
      </c>
      <c r="V3872">
        <v>0</v>
      </c>
      <c r="W3872">
        <v>718</v>
      </c>
      <c r="X3872">
        <v>120</v>
      </c>
      <c r="Y3872">
        <v>74.5</v>
      </c>
      <c r="Z3872">
        <v>60.3</v>
      </c>
      <c r="AA3872">
        <v>88.6</v>
      </c>
    </row>
    <row r="3873" spans="1:27" x14ac:dyDescent="0.25">
      <c r="A3873" t="s">
        <v>263</v>
      </c>
      <c r="B3873" t="s">
        <v>202</v>
      </c>
      <c r="C3873" s="76">
        <v>43977</v>
      </c>
      <c r="D3873">
        <v>3454</v>
      </c>
      <c r="E3873">
        <v>0</v>
      </c>
      <c r="F3873">
        <v>6949</v>
      </c>
      <c r="G3873">
        <v>2989</v>
      </c>
      <c r="H3873">
        <v>53.6</v>
      </c>
      <c r="I3873">
        <v>42.8</v>
      </c>
      <c r="J3873">
        <v>64.400000000000006</v>
      </c>
      <c r="K3873">
        <v>117</v>
      </c>
      <c r="L3873">
        <v>0</v>
      </c>
      <c r="M3873">
        <v>253</v>
      </c>
      <c r="N3873">
        <v>1.8</v>
      </c>
      <c r="O3873">
        <v>0.7</v>
      </c>
      <c r="P3873">
        <v>2.9</v>
      </c>
      <c r="Q3873">
        <f t="shared" si="118"/>
        <v>3194374</v>
      </c>
      <c r="R3873">
        <f t="shared" si="119"/>
        <v>3.662689465917266</v>
      </c>
      <c r="U3873">
        <v>348</v>
      </c>
      <c r="V3873">
        <v>0</v>
      </c>
      <c r="W3873">
        <v>711</v>
      </c>
      <c r="X3873">
        <v>123</v>
      </c>
      <c r="Y3873">
        <v>74</v>
      </c>
      <c r="Z3873">
        <v>61.8</v>
      </c>
      <c r="AA3873">
        <v>86.1</v>
      </c>
    </row>
    <row r="3874" spans="1:27" x14ac:dyDescent="0.25">
      <c r="A3874" t="s">
        <v>263</v>
      </c>
      <c r="B3874" t="s">
        <v>202</v>
      </c>
      <c r="C3874" s="76">
        <v>43978</v>
      </c>
      <c r="D3874">
        <v>3689</v>
      </c>
      <c r="E3874">
        <v>0</v>
      </c>
      <c r="F3874">
        <v>7456</v>
      </c>
      <c r="G3874">
        <v>2735</v>
      </c>
      <c r="H3874">
        <v>57.4</v>
      </c>
      <c r="I3874">
        <v>48.9</v>
      </c>
      <c r="J3874">
        <v>66</v>
      </c>
      <c r="K3874">
        <v>110</v>
      </c>
      <c r="L3874">
        <v>0</v>
      </c>
      <c r="M3874">
        <v>223</v>
      </c>
      <c r="N3874">
        <v>1.7</v>
      </c>
      <c r="O3874">
        <v>1.6</v>
      </c>
      <c r="P3874">
        <v>1.9</v>
      </c>
      <c r="Q3874">
        <f t="shared" si="118"/>
        <v>3194374</v>
      </c>
      <c r="R3874">
        <f t="shared" si="119"/>
        <v>3.4435541987256344</v>
      </c>
      <c r="U3874">
        <v>369</v>
      </c>
      <c r="V3874">
        <v>0</v>
      </c>
      <c r="W3874">
        <v>745</v>
      </c>
      <c r="X3874">
        <v>102</v>
      </c>
      <c r="Y3874">
        <v>78.400000000000006</v>
      </c>
      <c r="Z3874">
        <v>61</v>
      </c>
      <c r="AA3874">
        <v>95.8</v>
      </c>
    </row>
    <row r="3875" spans="1:27" x14ac:dyDescent="0.25">
      <c r="A3875" t="s">
        <v>263</v>
      </c>
      <c r="B3875" t="s">
        <v>202</v>
      </c>
      <c r="C3875" s="76">
        <v>43979</v>
      </c>
      <c r="D3875">
        <v>3901</v>
      </c>
      <c r="E3875">
        <v>0</v>
      </c>
      <c r="F3875">
        <v>7882</v>
      </c>
      <c r="G3875">
        <v>3003</v>
      </c>
      <c r="H3875">
        <v>56.5</v>
      </c>
      <c r="I3875">
        <v>44.7</v>
      </c>
      <c r="J3875">
        <v>68.3</v>
      </c>
      <c r="K3875">
        <v>168</v>
      </c>
      <c r="L3875">
        <v>0</v>
      </c>
      <c r="M3875">
        <v>382</v>
      </c>
      <c r="N3875">
        <v>2.4</v>
      </c>
      <c r="O3875">
        <v>0.5</v>
      </c>
      <c r="P3875">
        <v>4.3</v>
      </c>
      <c r="Q3875">
        <f t="shared" si="118"/>
        <v>3194374</v>
      </c>
      <c r="R3875">
        <f t="shared" si="119"/>
        <v>5.2592464125991505</v>
      </c>
      <c r="U3875">
        <v>386</v>
      </c>
      <c r="V3875">
        <v>14</v>
      </c>
      <c r="W3875">
        <v>758</v>
      </c>
      <c r="X3875">
        <v>165</v>
      </c>
      <c r="Y3875">
        <v>70.099999999999994</v>
      </c>
      <c r="Z3875">
        <v>49.5</v>
      </c>
      <c r="AA3875">
        <v>90.6</v>
      </c>
    </row>
    <row r="3876" spans="1:27" x14ac:dyDescent="0.25">
      <c r="A3876" t="s">
        <v>263</v>
      </c>
      <c r="B3876" t="s">
        <v>202</v>
      </c>
      <c r="C3876" s="76">
        <v>43980</v>
      </c>
      <c r="D3876">
        <v>3935</v>
      </c>
      <c r="E3876">
        <v>39</v>
      </c>
      <c r="F3876">
        <v>7830</v>
      </c>
      <c r="G3876">
        <v>2707</v>
      </c>
      <c r="H3876">
        <v>59.2</v>
      </c>
      <c r="I3876">
        <v>48.5</v>
      </c>
      <c r="J3876">
        <v>70</v>
      </c>
      <c r="K3876">
        <v>142</v>
      </c>
      <c r="L3876">
        <v>0</v>
      </c>
      <c r="M3876">
        <v>350</v>
      </c>
      <c r="N3876">
        <v>2.1</v>
      </c>
      <c r="O3876">
        <v>0.1</v>
      </c>
      <c r="P3876">
        <v>4.2</v>
      </c>
      <c r="Q3876">
        <f t="shared" si="118"/>
        <v>3194374</v>
      </c>
      <c r="R3876">
        <f t="shared" si="119"/>
        <v>4.4453154201730918</v>
      </c>
      <c r="U3876">
        <v>415</v>
      </c>
      <c r="V3876">
        <v>11</v>
      </c>
      <c r="W3876">
        <v>819</v>
      </c>
      <c r="X3876">
        <v>120</v>
      </c>
      <c r="Y3876">
        <v>77.5</v>
      </c>
      <c r="Z3876">
        <v>59.7</v>
      </c>
      <c r="AA3876">
        <v>95.4</v>
      </c>
    </row>
    <row r="3877" spans="1:27" x14ac:dyDescent="0.25">
      <c r="A3877" t="s">
        <v>263</v>
      </c>
      <c r="B3877" t="s">
        <v>202</v>
      </c>
      <c r="C3877" s="76">
        <v>43981</v>
      </c>
      <c r="D3877">
        <v>3798</v>
      </c>
      <c r="E3877">
        <v>27</v>
      </c>
      <c r="F3877">
        <v>7569</v>
      </c>
      <c r="G3877">
        <v>2878</v>
      </c>
      <c r="H3877">
        <v>56.9</v>
      </c>
      <c r="I3877">
        <v>45.5</v>
      </c>
      <c r="J3877">
        <v>68.2</v>
      </c>
      <c r="K3877">
        <v>136</v>
      </c>
      <c r="L3877">
        <v>0</v>
      </c>
      <c r="M3877">
        <v>313</v>
      </c>
      <c r="N3877">
        <v>2</v>
      </c>
      <c r="O3877">
        <v>0.8</v>
      </c>
      <c r="P3877">
        <v>3.3</v>
      </c>
      <c r="Q3877">
        <f t="shared" si="118"/>
        <v>3194374</v>
      </c>
      <c r="R3877">
        <f t="shared" si="119"/>
        <v>4.2574851911516935</v>
      </c>
      <c r="U3877">
        <v>399</v>
      </c>
      <c r="V3877">
        <v>0</v>
      </c>
      <c r="W3877">
        <v>817</v>
      </c>
      <c r="X3877">
        <v>136</v>
      </c>
      <c r="Y3877">
        <v>74.5</v>
      </c>
      <c r="Z3877">
        <v>57.7</v>
      </c>
      <c r="AA3877">
        <v>91.4</v>
      </c>
    </row>
    <row r="3878" spans="1:27" x14ac:dyDescent="0.25">
      <c r="A3878" t="s">
        <v>263</v>
      </c>
      <c r="B3878" t="s">
        <v>202</v>
      </c>
      <c r="C3878" s="76">
        <v>43982</v>
      </c>
      <c r="D3878">
        <v>3532</v>
      </c>
      <c r="E3878">
        <v>0</v>
      </c>
      <c r="F3878">
        <v>7166</v>
      </c>
      <c r="G3878">
        <v>2882</v>
      </c>
      <c r="H3878">
        <v>55.1</v>
      </c>
      <c r="I3878">
        <v>45.7</v>
      </c>
      <c r="J3878">
        <v>64.400000000000006</v>
      </c>
      <c r="K3878">
        <v>149</v>
      </c>
      <c r="L3878">
        <v>0</v>
      </c>
      <c r="M3878">
        <v>342</v>
      </c>
      <c r="N3878">
        <v>2.2999999999999998</v>
      </c>
      <c r="O3878">
        <v>0.9</v>
      </c>
      <c r="P3878">
        <v>3.7</v>
      </c>
      <c r="Q3878">
        <f t="shared" si="118"/>
        <v>3194374</v>
      </c>
      <c r="R3878">
        <f t="shared" si="119"/>
        <v>4.6644506873647229</v>
      </c>
      <c r="U3878">
        <v>367</v>
      </c>
      <c r="V3878">
        <v>0</v>
      </c>
      <c r="W3878">
        <v>769</v>
      </c>
      <c r="X3878">
        <v>104</v>
      </c>
      <c r="Y3878">
        <v>78</v>
      </c>
      <c r="Z3878">
        <v>62.2</v>
      </c>
      <c r="AA3878">
        <v>93.7</v>
      </c>
    </row>
    <row r="3879" spans="1:27" x14ac:dyDescent="0.25">
      <c r="A3879" t="s">
        <v>263</v>
      </c>
      <c r="B3879" t="s">
        <v>202</v>
      </c>
      <c r="C3879" s="76">
        <v>43983</v>
      </c>
      <c r="D3879">
        <v>3636</v>
      </c>
      <c r="E3879">
        <v>0</v>
      </c>
      <c r="F3879">
        <v>7382</v>
      </c>
      <c r="G3879">
        <v>2783</v>
      </c>
      <c r="H3879">
        <v>56.6</v>
      </c>
      <c r="I3879">
        <v>47.9</v>
      </c>
      <c r="J3879">
        <v>65.400000000000006</v>
      </c>
      <c r="K3879">
        <v>144</v>
      </c>
      <c r="L3879">
        <v>0</v>
      </c>
      <c r="M3879">
        <v>339</v>
      </c>
      <c r="N3879">
        <v>2.2000000000000002</v>
      </c>
      <c r="O3879">
        <v>0.5</v>
      </c>
      <c r="P3879">
        <v>4</v>
      </c>
      <c r="Q3879">
        <f t="shared" ref="Q3879:Q3942" si="120">VLOOKUP(B3879,$AE$4:$AF$55,2,FALSE)</f>
        <v>3194374</v>
      </c>
      <c r="R3879">
        <f t="shared" si="119"/>
        <v>4.5079254965135576</v>
      </c>
      <c r="U3879">
        <v>387</v>
      </c>
      <c r="V3879">
        <v>0</v>
      </c>
      <c r="W3879">
        <v>808</v>
      </c>
      <c r="X3879">
        <v>209</v>
      </c>
      <c r="Y3879">
        <v>64.900000000000006</v>
      </c>
      <c r="Z3879">
        <v>40.1</v>
      </c>
      <c r="AA3879">
        <v>89.6</v>
      </c>
    </row>
    <row r="3880" spans="1:27" x14ac:dyDescent="0.25">
      <c r="A3880" t="s">
        <v>263</v>
      </c>
      <c r="B3880" t="s">
        <v>202</v>
      </c>
      <c r="C3880" s="76">
        <v>43984</v>
      </c>
      <c r="D3880">
        <v>3745</v>
      </c>
      <c r="E3880">
        <v>0</v>
      </c>
      <c r="F3880">
        <v>7499</v>
      </c>
      <c r="G3880">
        <v>2659</v>
      </c>
      <c r="H3880">
        <v>58.5</v>
      </c>
      <c r="I3880">
        <v>51.8</v>
      </c>
      <c r="J3880">
        <v>65.2</v>
      </c>
      <c r="K3880">
        <v>98</v>
      </c>
      <c r="L3880">
        <v>0</v>
      </c>
      <c r="M3880">
        <v>212</v>
      </c>
      <c r="N3880">
        <v>1.5</v>
      </c>
      <c r="O3880">
        <v>1</v>
      </c>
      <c r="P3880">
        <v>2.1</v>
      </c>
      <c r="Q3880">
        <f t="shared" si="120"/>
        <v>3194374</v>
      </c>
      <c r="R3880">
        <f t="shared" si="119"/>
        <v>3.0678937406828384</v>
      </c>
      <c r="U3880">
        <v>389</v>
      </c>
      <c r="V3880">
        <v>0</v>
      </c>
      <c r="W3880">
        <v>805</v>
      </c>
      <c r="X3880">
        <v>207</v>
      </c>
      <c r="Y3880">
        <v>65.2</v>
      </c>
      <c r="Z3880">
        <v>41.2</v>
      </c>
      <c r="AA3880">
        <v>89.2</v>
      </c>
    </row>
    <row r="3881" spans="1:27" x14ac:dyDescent="0.25">
      <c r="A3881" t="s">
        <v>263</v>
      </c>
      <c r="B3881" t="s">
        <v>202</v>
      </c>
      <c r="C3881" s="76">
        <v>43985</v>
      </c>
      <c r="D3881">
        <v>3848</v>
      </c>
      <c r="E3881">
        <v>0</v>
      </c>
      <c r="F3881">
        <v>7767</v>
      </c>
      <c r="G3881">
        <v>2546</v>
      </c>
      <c r="H3881">
        <v>60.2</v>
      </c>
      <c r="I3881">
        <v>51.2</v>
      </c>
      <c r="J3881">
        <v>69.099999999999994</v>
      </c>
      <c r="K3881">
        <v>112</v>
      </c>
      <c r="L3881">
        <v>0</v>
      </c>
      <c r="M3881">
        <v>260</v>
      </c>
      <c r="N3881">
        <v>1.8</v>
      </c>
      <c r="O3881">
        <v>0.5</v>
      </c>
      <c r="P3881">
        <v>3</v>
      </c>
      <c r="Q3881">
        <f t="shared" si="120"/>
        <v>3194374</v>
      </c>
      <c r="R3881">
        <f t="shared" si="119"/>
        <v>3.5061642750661006</v>
      </c>
      <c r="U3881">
        <v>406</v>
      </c>
      <c r="V3881">
        <v>0</v>
      </c>
      <c r="W3881">
        <v>846</v>
      </c>
      <c r="X3881">
        <v>190</v>
      </c>
      <c r="Y3881">
        <v>68.2</v>
      </c>
      <c r="Z3881">
        <v>46.4</v>
      </c>
      <c r="AA3881">
        <v>90</v>
      </c>
    </row>
    <row r="3882" spans="1:27" x14ac:dyDescent="0.25">
      <c r="A3882" t="s">
        <v>263</v>
      </c>
      <c r="B3882" t="s">
        <v>202</v>
      </c>
      <c r="C3882" s="76">
        <v>43986</v>
      </c>
      <c r="D3882">
        <v>3576</v>
      </c>
      <c r="E3882">
        <v>0</v>
      </c>
      <c r="F3882">
        <v>7240</v>
      </c>
      <c r="G3882">
        <v>2833</v>
      </c>
      <c r="H3882">
        <v>55.8</v>
      </c>
      <c r="I3882">
        <v>48</v>
      </c>
      <c r="J3882">
        <v>63.6</v>
      </c>
      <c r="K3882">
        <v>94</v>
      </c>
      <c r="L3882">
        <v>0</v>
      </c>
      <c r="M3882">
        <v>225</v>
      </c>
      <c r="N3882">
        <v>1.5</v>
      </c>
      <c r="O3882">
        <v>0.3</v>
      </c>
      <c r="P3882">
        <v>2.6</v>
      </c>
      <c r="Q3882">
        <f t="shared" si="120"/>
        <v>3194374</v>
      </c>
      <c r="R3882">
        <f t="shared" si="119"/>
        <v>2.9426735880019059</v>
      </c>
      <c r="U3882">
        <v>415</v>
      </c>
      <c r="V3882">
        <v>0</v>
      </c>
      <c r="W3882">
        <v>879</v>
      </c>
      <c r="X3882">
        <v>176</v>
      </c>
      <c r="Y3882">
        <v>70.2</v>
      </c>
      <c r="Z3882">
        <v>57.7</v>
      </c>
      <c r="AA3882">
        <v>82.6</v>
      </c>
    </row>
    <row r="3883" spans="1:27" x14ac:dyDescent="0.25">
      <c r="A3883" t="s">
        <v>263</v>
      </c>
      <c r="B3883" t="s">
        <v>202</v>
      </c>
      <c r="C3883" s="76">
        <v>43987</v>
      </c>
      <c r="D3883">
        <v>3874</v>
      </c>
      <c r="E3883">
        <v>0</v>
      </c>
      <c r="F3883">
        <v>7751</v>
      </c>
      <c r="G3883">
        <v>2783</v>
      </c>
      <c r="H3883">
        <v>58.2</v>
      </c>
      <c r="I3883">
        <v>50.5</v>
      </c>
      <c r="J3883">
        <v>65.900000000000006</v>
      </c>
      <c r="K3883">
        <v>84</v>
      </c>
      <c r="L3883">
        <v>0</v>
      </c>
      <c r="M3883">
        <v>185</v>
      </c>
      <c r="N3883">
        <v>1.3</v>
      </c>
      <c r="O3883">
        <v>0.5</v>
      </c>
      <c r="P3883">
        <v>2</v>
      </c>
      <c r="Q3883">
        <f t="shared" si="120"/>
        <v>3194374</v>
      </c>
      <c r="R3883">
        <f t="shared" si="119"/>
        <v>2.6296232062995752</v>
      </c>
      <c r="U3883">
        <v>472</v>
      </c>
      <c r="V3883">
        <v>0</v>
      </c>
      <c r="W3883">
        <v>987</v>
      </c>
      <c r="X3883">
        <v>308</v>
      </c>
      <c r="Y3883">
        <v>60.5</v>
      </c>
      <c r="Z3883">
        <v>40.799999999999997</v>
      </c>
      <c r="AA3883">
        <v>80.2</v>
      </c>
    </row>
    <row r="3884" spans="1:27" x14ac:dyDescent="0.25">
      <c r="A3884" t="s">
        <v>263</v>
      </c>
      <c r="B3884" t="s">
        <v>202</v>
      </c>
      <c r="C3884" s="76">
        <v>43988</v>
      </c>
      <c r="D3884">
        <v>3704</v>
      </c>
      <c r="E3884">
        <v>73</v>
      </c>
      <c r="F3884">
        <v>7334</v>
      </c>
      <c r="G3884">
        <v>2959</v>
      </c>
      <c r="H3884">
        <v>55.6</v>
      </c>
      <c r="I3884">
        <v>49.8</v>
      </c>
      <c r="J3884">
        <v>61.3</v>
      </c>
      <c r="K3884">
        <v>89</v>
      </c>
      <c r="L3884">
        <v>0</v>
      </c>
      <c r="M3884">
        <v>184</v>
      </c>
      <c r="N3884">
        <v>1.3</v>
      </c>
      <c r="O3884">
        <v>0.9</v>
      </c>
      <c r="P3884">
        <v>1.8</v>
      </c>
      <c r="Q3884">
        <f t="shared" si="120"/>
        <v>3194374</v>
      </c>
      <c r="R3884">
        <f t="shared" si="119"/>
        <v>2.7861483971507406</v>
      </c>
      <c r="U3884">
        <v>398</v>
      </c>
      <c r="V3884">
        <v>0</v>
      </c>
      <c r="W3884">
        <v>811</v>
      </c>
      <c r="X3884">
        <v>382</v>
      </c>
      <c r="Y3884">
        <v>51</v>
      </c>
      <c r="Z3884">
        <v>40.299999999999997</v>
      </c>
      <c r="AA3884">
        <v>61.7</v>
      </c>
    </row>
    <row r="3885" spans="1:27" x14ac:dyDescent="0.25">
      <c r="A3885" t="s">
        <v>263</v>
      </c>
      <c r="B3885" t="s">
        <v>202</v>
      </c>
      <c r="C3885" s="76">
        <v>43989</v>
      </c>
      <c r="D3885">
        <v>2422</v>
      </c>
      <c r="E3885">
        <v>0</v>
      </c>
      <c r="F3885">
        <v>4963</v>
      </c>
      <c r="G3885">
        <v>2274</v>
      </c>
      <c r="H3885">
        <v>51.6</v>
      </c>
      <c r="I3885">
        <v>44.2</v>
      </c>
      <c r="J3885">
        <v>58.9</v>
      </c>
      <c r="K3885">
        <v>52</v>
      </c>
      <c r="L3885">
        <v>0</v>
      </c>
      <c r="M3885">
        <v>106</v>
      </c>
      <c r="N3885">
        <v>1.1000000000000001</v>
      </c>
      <c r="O3885">
        <v>0.7</v>
      </c>
      <c r="P3885">
        <v>1.5</v>
      </c>
      <c r="Q3885">
        <f t="shared" si="120"/>
        <v>3194374</v>
      </c>
      <c r="R3885">
        <f t="shared" si="119"/>
        <v>1.6278619848521179</v>
      </c>
      <c r="U3885">
        <v>285</v>
      </c>
      <c r="V3885">
        <v>0</v>
      </c>
      <c r="W3885">
        <v>615</v>
      </c>
      <c r="X3885">
        <v>292</v>
      </c>
      <c r="Y3885">
        <v>49.5</v>
      </c>
      <c r="Z3885">
        <v>37.799999999999997</v>
      </c>
      <c r="AA3885">
        <v>61.1</v>
      </c>
    </row>
    <row r="3886" spans="1:27" x14ac:dyDescent="0.25">
      <c r="A3886" t="s">
        <v>263</v>
      </c>
      <c r="B3886" t="s">
        <v>202</v>
      </c>
      <c r="C3886" s="76">
        <v>43990</v>
      </c>
      <c r="D3886">
        <v>3524</v>
      </c>
      <c r="E3886">
        <v>134</v>
      </c>
      <c r="F3886">
        <v>6914</v>
      </c>
      <c r="G3886">
        <v>3285</v>
      </c>
      <c r="H3886">
        <v>51.8</v>
      </c>
      <c r="I3886">
        <v>46.5</v>
      </c>
      <c r="J3886">
        <v>57</v>
      </c>
      <c r="K3886">
        <v>110</v>
      </c>
      <c r="L3886">
        <v>0</v>
      </c>
      <c r="M3886">
        <v>221</v>
      </c>
      <c r="N3886">
        <v>1.6</v>
      </c>
      <c r="O3886">
        <v>1</v>
      </c>
      <c r="P3886">
        <v>2.2000000000000002</v>
      </c>
      <c r="Q3886">
        <f t="shared" si="120"/>
        <v>3194374</v>
      </c>
      <c r="R3886">
        <f t="shared" si="119"/>
        <v>3.4435541987256344</v>
      </c>
      <c r="U3886">
        <v>481</v>
      </c>
      <c r="V3886">
        <v>0</v>
      </c>
      <c r="W3886">
        <v>970</v>
      </c>
      <c r="X3886">
        <v>312</v>
      </c>
      <c r="Y3886">
        <v>60.7</v>
      </c>
      <c r="Z3886">
        <v>41.1</v>
      </c>
      <c r="AA3886">
        <v>80.400000000000006</v>
      </c>
    </row>
    <row r="3887" spans="1:27" x14ac:dyDescent="0.25">
      <c r="A3887" t="s">
        <v>263</v>
      </c>
      <c r="B3887" t="s">
        <v>202</v>
      </c>
      <c r="C3887" s="76">
        <v>43991</v>
      </c>
      <c r="D3887">
        <v>3846</v>
      </c>
      <c r="E3887">
        <v>147</v>
      </c>
      <c r="F3887">
        <v>7544</v>
      </c>
      <c r="G3887">
        <v>2975</v>
      </c>
      <c r="H3887">
        <v>56.4</v>
      </c>
      <c r="I3887">
        <v>51.2</v>
      </c>
      <c r="J3887">
        <v>61.6</v>
      </c>
      <c r="K3887">
        <v>127</v>
      </c>
      <c r="L3887">
        <v>0</v>
      </c>
      <c r="M3887">
        <v>274</v>
      </c>
      <c r="N3887">
        <v>1.9</v>
      </c>
      <c r="O3887">
        <v>1</v>
      </c>
      <c r="P3887">
        <v>2.7</v>
      </c>
      <c r="Q3887">
        <f t="shared" si="120"/>
        <v>3194374</v>
      </c>
      <c r="R3887">
        <f t="shared" si="119"/>
        <v>3.9757398476195962</v>
      </c>
      <c r="U3887">
        <v>493</v>
      </c>
      <c r="V3887">
        <v>0</v>
      </c>
      <c r="W3887">
        <v>1011</v>
      </c>
      <c r="X3887">
        <v>300</v>
      </c>
      <c r="Y3887">
        <v>62.2</v>
      </c>
      <c r="Z3887">
        <v>35.4</v>
      </c>
      <c r="AA3887">
        <v>89</v>
      </c>
    </row>
    <row r="3888" spans="1:27" x14ac:dyDescent="0.25">
      <c r="A3888" t="s">
        <v>263</v>
      </c>
      <c r="B3888" t="s">
        <v>202</v>
      </c>
      <c r="C3888" s="76">
        <v>43992</v>
      </c>
      <c r="D3888">
        <v>4029</v>
      </c>
      <c r="E3888">
        <v>0</v>
      </c>
      <c r="F3888">
        <v>8313</v>
      </c>
      <c r="G3888">
        <v>2673</v>
      </c>
      <c r="H3888">
        <v>60.1</v>
      </c>
      <c r="I3888">
        <v>54.7</v>
      </c>
      <c r="J3888">
        <v>65.599999999999994</v>
      </c>
      <c r="K3888">
        <v>121</v>
      </c>
      <c r="L3888">
        <v>0</v>
      </c>
      <c r="M3888">
        <v>267</v>
      </c>
      <c r="N3888">
        <v>1.8</v>
      </c>
      <c r="O3888">
        <v>0.9</v>
      </c>
      <c r="P3888">
        <v>2.7</v>
      </c>
      <c r="Q3888">
        <f t="shared" si="120"/>
        <v>3194374</v>
      </c>
      <c r="R3888">
        <f t="shared" si="119"/>
        <v>3.787909618598198</v>
      </c>
      <c r="U3888">
        <v>494</v>
      </c>
      <c r="V3888">
        <v>0</v>
      </c>
      <c r="W3888">
        <v>1046</v>
      </c>
      <c r="X3888">
        <v>323</v>
      </c>
      <c r="Y3888">
        <v>60.5</v>
      </c>
      <c r="Z3888">
        <v>51.8</v>
      </c>
      <c r="AA3888">
        <v>69.099999999999994</v>
      </c>
    </row>
    <row r="3889" spans="1:27" x14ac:dyDescent="0.25">
      <c r="A3889" t="s">
        <v>263</v>
      </c>
      <c r="B3889" t="s">
        <v>202</v>
      </c>
      <c r="C3889" s="76">
        <v>43993</v>
      </c>
      <c r="D3889">
        <v>3899</v>
      </c>
      <c r="E3889">
        <v>66</v>
      </c>
      <c r="F3889">
        <v>7732</v>
      </c>
      <c r="G3889">
        <v>2925</v>
      </c>
      <c r="H3889">
        <v>57.1</v>
      </c>
      <c r="I3889">
        <v>50.9</v>
      </c>
      <c r="J3889">
        <v>63.4</v>
      </c>
      <c r="K3889">
        <v>112</v>
      </c>
      <c r="L3889">
        <v>7</v>
      </c>
      <c r="M3889">
        <v>217</v>
      </c>
      <c r="N3889">
        <v>1.6</v>
      </c>
      <c r="O3889">
        <v>1.3</v>
      </c>
      <c r="P3889">
        <v>2</v>
      </c>
      <c r="Q3889">
        <f t="shared" si="120"/>
        <v>3194374</v>
      </c>
      <c r="R3889">
        <f t="shared" si="119"/>
        <v>3.5061642750661006</v>
      </c>
      <c r="U3889">
        <v>487</v>
      </c>
      <c r="V3889">
        <v>0</v>
      </c>
      <c r="W3889">
        <v>996</v>
      </c>
      <c r="X3889">
        <v>326</v>
      </c>
      <c r="Y3889">
        <v>59.9</v>
      </c>
      <c r="Z3889">
        <v>50.8</v>
      </c>
      <c r="AA3889">
        <v>69</v>
      </c>
    </row>
    <row r="3890" spans="1:27" x14ac:dyDescent="0.25">
      <c r="A3890" t="s">
        <v>263</v>
      </c>
      <c r="B3890" t="s">
        <v>202</v>
      </c>
      <c r="C3890" s="76">
        <v>43994</v>
      </c>
      <c r="D3890">
        <v>4050</v>
      </c>
      <c r="E3890">
        <v>48</v>
      </c>
      <c r="F3890">
        <v>8052</v>
      </c>
      <c r="G3890">
        <v>2778</v>
      </c>
      <c r="H3890">
        <v>59.3</v>
      </c>
      <c r="I3890">
        <v>51.9</v>
      </c>
      <c r="J3890">
        <v>66.8</v>
      </c>
      <c r="K3890">
        <v>141</v>
      </c>
      <c r="L3890">
        <v>0</v>
      </c>
      <c r="M3890">
        <v>287</v>
      </c>
      <c r="N3890">
        <v>2.1</v>
      </c>
      <c r="O3890">
        <v>1.5</v>
      </c>
      <c r="P3890">
        <v>2.7</v>
      </c>
      <c r="Q3890">
        <f t="shared" si="120"/>
        <v>3194374</v>
      </c>
      <c r="R3890">
        <f t="shared" si="119"/>
        <v>4.4140103820028589</v>
      </c>
      <c r="U3890">
        <v>498</v>
      </c>
      <c r="V3890">
        <v>0</v>
      </c>
      <c r="W3890">
        <v>1005</v>
      </c>
      <c r="X3890">
        <v>316</v>
      </c>
      <c r="Y3890">
        <v>61.2</v>
      </c>
      <c r="Z3890">
        <v>49.4</v>
      </c>
      <c r="AA3890">
        <v>73</v>
      </c>
    </row>
    <row r="3891" spans="1:27" x14ac:dyDescent="0.25">
      <c r="A3891" t="s">
        <v>263</v>
      </c>
      <c r="B3891" t="s">
        <v>202</v>
      </c>
      <c r="C3891" s="76">
        <v>43995</v>
      </c>
      <c r="D3891">
        <v>3573</v>
      </c>
      <c r="E3891">
        <v>106</v>
      </c>
      <c r="F3891">
        <v>7040</v>
      </c>
      <c r="G3891">
        <v>3235</v>
      </c>
      <c r="H3891">
        <v>52.5</v>
      </c>
      <c r="I3891">
        <v>46.2</v>
      </c>
      <c r="J3891">
        <v>58.8</v>
      </c>
      <c r="K3891">
        <v>130</v>
      </c>
      <c r="L3891">
        <v>0</v>
      </c>
      <c r="M3891">
        <v>260</v>
      </c>
      <c r="N3891">
        <v>1.9</v>
      </c>
      <c r="O3891">
        <v>1.3</v>
      </c>
      <c r="P3891">
        <v>2.5</v>
      </c>
      <c r="Q3891">
        <f t="shared" si="120"/>
        <v>3194374</v>
      </c>
      <c r="R3891">
        <f t="shared" si="119"/>
        <v>4.0696549621302953</v>
      </c>
      <c r="U3891">
        <v>471</v>
      </c>
      <c r="V3891">
        <v>0</v>
      </c>
      <c r="W3891">
        <v>948</v>
      </c>
      <c r="X3891">
        <v>322</v>
      </c>
      <c r="Y3891">
        <v>59.4</v>
      </c>
      <c r="Z3891">
        <v>47.7</v>
      </c>
      <c r="AA3891">
        <v>71</v>
      </c>
    </row>
    <row r="3892" spans="1:27" x14ac:dyDescent="0.25">
      <c r="A3892" t="s">
        <v>263</v>
      </c>
      <c r="B3892" t="s">
        <v>202</v>
      </c>
      <c r="C3892" s="76">
        <v>43996</v>
      </c>
      <c r="D3892">
        <v>3656</v>
      </c>
      <c r="E3892">
        <v>165</v>
      </c>
      <c r="F3892">
        <v>7146</v>
      </c>
      <c r="G3892">
        <v>3142</v>
      </c>
      <c r="H3892">
        <v>53.8</v>
      </c>
      <c r="I3892">
        <v>48</v>
      </c>
      <c r="J3892">
        <v>59.5</v>
      </c>
      <c r="K3892">
        <v>122</v>
      </c>
      <c r="L3892">
        <v>0</v>
      </c>
      <c r="M3892">
        <v>247</v>
      </c>
      <c r="N3892">
        <v>1.8</v>
      </c>
      <c r="O3892">
        <v>1</v>
      </c>
      <c r="P3892">
        <v>2.6</v>
      </c>
      <c r="Q3892">
        <f t="shared" si="120"/>
        <v>3194374</v>
      </c>
      <c r="R3892">
        <f t="shared" si="119"/>
        <v>3.8192146567684309</v>
      </c>
      <c r="U3892">
        <v>477</v>
      </c>
      <c r="V3892">
        <v>0</v>
      </c>
      <c r="W3892">
        <v>967</v>
      </c>
      <c r="X3892">
        <v>316</v>
      </c>
      <c r="Y3892">
        <v>60.2</v>
      </c>
      <c r="Z3892">
        <v>49.5</v>
      </c>
      <c r="AA3892">
        <v>70.900000000000006</v>
      </c>
    </row>
    <row r="3893" spans="1:27" x14ac:dyDescent="0.25">
      <c r="A3893" t="s">
        <v>263</v>
      </c>
      <c r="B3893" t="s">
        <v>202</v>
      </c>
      <c r="C3893" s="76">
        <v>43997</v>
      </c>
      <c r="D3893">
        <v>3653</v>
      </c>
      <c r="E3893">
        <v>188</v>
      </c>
      <c r="F3893">
        <v>7118</v>
      </c>
      <c r="G3893">
        <v>3170</v>
      </c>
      <c r="H3893">
        <v>53.5</v>
      </c>
      <c r="I3893">
        <v>47.5</v>
      </c>
      <c r="J3893">
        <v>59.5</v>
      </c>
      <c r="K3893">
        <v>104</v>
      </c>
      <c r="L3893">
        <v>0</v>
      </c>
      <c r="M3893">
        <v>224</v>
      </c>
      <c r="N3893">
        <v>1.5</v>
      </c>
      <c r="O3893">
        <v>1</v>
      </c>
      <c r="P3893">
        <v>2</v>
      </c>
      <c r="Q3893">
        <f t="shared" si="120"/>
        <v>3194374</v>
      </c>
      <c r="R3893">
        <f t="shared" si="119"/>
        <v>3.2557239697042357</v>
      </c>
      <c r="U3893">
        <v>484</v>
      </c>
      <c r="V3893">
        <v>0</v>
      </c>
      <c r="W3893">
        <v>976</v>
      </c>
      <c r="X3893">
        <v>329</v>
      </c>
      <c r="Y3893">
        <v>59.5</v>
      </c>
      <c r="Z3893">
        <v>46.8</v>
      </c>
      <c r="AA3893">
        <v>72.2</v>
      </c>
    </row>
    <row r="3894" spans="1:27" x14ac:dyDescent="0.25">
      <c r="A3894" t="s">
        <v>263</v>
      </c>
      <c r="B3894" t="s">
        <v>202</v>
      </c>
      <c r="C3894" s="76">
        <v>43998</v>
      </c>
      <c r="D3894">
        <v>3607</v>
      </c>
      <c r="E3894">
        <v>50</v>
      </c>
      <c r="F3894">
        <v>7164</v>
      </c>
      <c r="G3894">
        <v>2976</v>
      </c>
      <c r="H3894">
        <v>54.8</v>
      </c>
      <c r="I3894">
        <v>50.4</v>
      </c>
      <c r="J3894">
        <v>59.2</v>
      </c>
      <c r="K3894">
        <v>91</v>
      </c>
      <c r="L3894">
        <v>0</v>
      </c>
      <c r="M3894">
        <v>202</v>
      </c>
      <c r="N3894">
        <v>1.4</v>
      </c>
      <c r="O3894">
        <v>0.7</v>
      </c>
      <c r="P3894">
        <v>2.1</v>
      </c>
      <c r="Q3894">
        <f t="shared" si="120"/>
        <v>3194374</v>
      </c>
      <c r="R3894">
        <f t="shared" si="119"/>
        <v>2.8487584734912068</v>
      </c>
      <c r="U3894">
        <v>429</v>
      </c>
      <c r="V3894">
        <v>0</v>
      </c>
      <c r="W3894">
        <v>901</v>
      </c>
      <c r="X3894">
        <v>320</v>
      </c>
      <c r="Y3894">
        <v>57.3</v>
      </c>
      <c r="Z3894">
        <v>45.2</v>
      </c>
      <c r="AA3894">
        <v>69.3</v>
      </c>
    </row>
    <row r="3895" spans="1:27" x14ac:dyDescent="0.25">
      <c r="A3895" t="s">
        <v>263</v>
      </c>
      <c r="B3895" t="s">
        <v>202</v>
      </c>
      <c r="C3895" s="76">
        <v>43999</v>
      </c>
      <c r="D3895">
        <v>3793</v>
      </c>
      <c r="E3895">
        <v>0</v>
      </c>
      <c r="F3895">
        <v>7606</v>
      </c>
      <c r="G3895">
        <v>3256</v>
      </c>
      <c r="H3895">
        <v>53.8</v>
      </c>
      <c r="I3895">
        <v>43.3</v>
      </c>
      <c r="J3895">
        <v>64.3</v>
      </c>
      <c r="K3895">
        <v>121</v>
      </c>
      <c r="L3895">
        <v>0</v>
      </c>
      <c r="M3895">
        <v>249</v>
      </c>
      <c r="N3895">
        <v>1.7</v>
      </c>
      <c r="O3895">
        <v>1.1000000000000001</v>
      </c>
      <c r="P3895">
        <v>2.4</v>
      </c>
      <c r="Q3895">
        <f t="shared" si="120"/>
        <v>3194374</v>
      </c>
      <c r="R3895">
        <f t="shared" si="119"/>
        <v>3.787909618598198</v>
      </c>
      <c r="U3895">
        <v>430</v>
      </c>
      <c r="V3895">
        <v>0</v>
      </c>
      <c r="W3895">
        <v>898</v>
      </c>
      <c r="X3895">
        <v>380</v>
      </c>
      <c r="Y3895">
        <v>53.1</v>
      </c>
      <c r="Z3895">
        <v>35.9</v>
      </c>
      <c r="AA3895">
        <v>70.3</v>
      </c>
    </row>
    <row r="3896" spans="1:27" x14ac:dyDescent="0.25">
      <c r="A3896" t="s">
        <v>263</v>
      </c>
      <c r="B3896" t="s">
        <v>202</v>
      </c>
      <c r="C3896" s="76">
        <v>44000</v>
      </c>
      <c r="D3896">
        <v>2900</v>
      </c>
      <c r="E3896">
        <v>0</v>
      </c>
      <c r="F3896">
        <v>6088</v>
      </c>
      <c r="G3896">
        <v>1770</v>
      </c>
      <c r="H3896">
        <v>62.1</v>
      </c>
      <c r="I3896">
        <v>51.4</v>
      </c>
      <c r="J3896">
        <v>72.8</v>
      </c>
      <c r="K3896">
        <v>79</v>
      </c>
      <c r="L3896">
        <v>0</v>
      </c>
      <c r="M3896">
        <v>172</v>
      </c>
      <c r="N3896">
        <v>1.7</v>
      </c>
      <c r="O3896">
        <v>1</v>
      </c>
      <c r="P3896">
        <v>2.2999999999999998</v>
      </c>
      <c r="Q3896">
        <f t="shared" si="120"/>
        <v>3194374</v>
      </c>
      <c r="R3896">
        <f t="shared" si="119"/>
        <v>2.4730980154484099</v>
      </c>
      <c r="U3896">
        <v>322</v>
      </c>
      <c r="V3896">
        <v>0</v>
      </c>
      <c r="W3896">
        <v>710</v>
      </c>
      <c r="X3896">
        <v>250</v>
      </c>
      <c r="Y3896">
        <v>56.4</v>
      </c>
      <c r="Z3896">
        <v>46</v>
      </c>
      <c r="AA3896">
        <v>66.7</v>
      </c>
    </row>
    <row r="3897" spans="1:27" x14ac:dyDescent="0.25">
      <c r="A3897" t="s">
        <v>263</v>
      </c>
      <c r="B3897" t="s">
        <v>202</v>
      </c>
      <c r="C3897" s="76">
        <v>44001</v>
      </c>
      <c r="D3897">
        <v>4120</v>
      </c>
      <c r="E3897">
        <v>147</v>
      </c>
      <c r="F3897">
        <v>8093</v>
      </c>
      <c r="G3897">
        <v>2663</v>
      </c>
      <c r="H3897">
        <v>60.7</v>
      </c>
      <c r="I3897">
        <v>51.9</v>
      </c>
      <c r="J3897">
        <v>69.599999999999994</v>
      </c>
      <c r="K3897">
        <v>115</v>
      </c>
      <c r="L3897">
        <v>0</v>
      </c>
      <c r="M3897">
        <v>248</v>
      </c>
      <c r="N3897">
        <v>1.7</v>
      </c>
      <c r="O3897">
        <v>1.1000000000000001</v>
      </c>
      <c r="P3897">
        <v>2.2999999999999998</v>
      </c>
      <c r="Q3897">
        <f t="shared" si="120"/>
        <v>3194374</v>
      </c>
      <c r="R3897">
        <f t="shared" si="119"/>
        <v>3.6000793895767993</v>
      </c>
      <c r="U3897">
        <v>462</v>
      </c>
      <c r="V3897">
        <v>0</v>
      </c>
      <c r="W3897">
        <v>938</v>
      </c>
      <c r="X3897">
        <v>326</v>
      </c>
      <c r="Y3897">
        <v>58.7</v>
      </c>
      <c r="Z3897">
        <v>45.6</v>
      </c>
      <c r="AA3897">
        <v>71.7</v>
      </c>
    </row>
    <row r="3898" spans="1:27" x14ac:dyDescent="0.25">
      <c r="A3898" t="s">
        <v>263</v>
      </c>
      <c r="B3898" t="s">
        <v>202</v>
      </c>
      <c r="C3898" s="76">
        <v>44002</v>
      </c>
      <c r="D3898">
        <v>3957</v>
      </c>
      <c r="E3898">
        <v>197</v>
      </c>
      <c r="F3898">
        <v>7716</v>
      </c>
      <c r="G3898">
        <v>2842</v>
      </c>
      <c r="H3898">
        <v>58.2</v>
      </c>
      <c r="I3898">
        <v>51.8</v>
      </c>
      <c r="J3898">
        <v>64.599999999999994</v>
      </c>
      <c r="K3898">
        <v>79</v>
      </c>
      <c r="L3898">
        <v>0</v>
      </c>
      <c r="M3898">
        <v>168</v>
      </c>
      <c r="N3898">
        <v>1.2</v>
      </c>
      <c r="O3898">
        <v>0.6</v>
      </c>
      <c r="P3898">
        <v>1.7</v>
      </c>
      <c r="Q3898">
        <f t="shared" si="120"/>
        <v>3194374</v>
      </c>
      <c r="R3898">
        <f t="shared" si="119"/>
        <v>2.4730980154484099</v>
      </c>
      <c r="U3898">
        <v>457</v>
      </c>
      <c r="V3898">
        <v>6</v>
      </c>
      <c r="W3898">
        <v>908</v>
      </c>
      <c r="X3898">
        <v>331</v>
      </c>
      <c r="Y3898">
        <v>58</v>
      </c>
      <c r="Z3898">
        <v>41.3</v>
      </c>
      <c r="AA3898">
        <v>74.7</v>
      </c>
    </row>
    <row r="3899" spans="1:27" x14ac:dyDescent="0.25">
      <c r="A3899" t="s">
        <v>263</v>
      </c>
      <c r="B3899" t="s">
        <v>202</v>
      </c>
      <c r="C3899" s="76">
        <v>44003</v>
      </c>
      <c r="D3899">
        <v>3882</v>
      </c>
      <c r="E3899">
        <v>213</v>
      </c>
      <c r="F3899">
        <v>7552</v>
      </c>
      <c r="G3899">
        <v>2917</v>
      </c>
      <c r="H3899">
        <v>57.1</v>
      </c>
      <c r="I3899">
        <v>51.5</v>
      </c>
      <c r="J3899">
        <v>62.7</v>
      </c>
      <c r="K3899">
        <v>54</v>
      </c>
      <c r="L3899">
        <v>0</v>
      </c>
      <c r="M3899">
        <v>107</v>
      </c>
      <c r="N3899">
        <v>0.8</v>
      </c>
      <c r="O3899">
        <v>0.4</v>
      </c>
      <c r="P3899">
        <v>1.2</v>
      </c>
      <c r="Q3899">
        <f t="shared" si="120"/>
        <v>3194374</v>
      </c>
      <c r="R3899">
        <f t="shared" si="119"/>
        <v>1.6904720611925843</v>
      </c>
      <c r="U3899">
        <v>465</v>
      </c>
      <c r="V3899">
        <v>4</v>
      </c>
      <c r="W3899">
        <v>925</v>
      </c>
      <c r="X3899">
        <v>328</v>
      </c>
      <c r="Y3899">
        <v>58.6</v>
      </c>
      <c r="Z3899">
        <v>48.5</v>
      </c>
      <c r="AA3899">
        <v>68.7</v>
      </c>
    </row>
    <row r="3900" spans="1:27" x14ac:dyDescent="0.25">
      <c r="A3900" t="s">
        <v>263</v>
      </c>
      <c r="B3900" t="s">
        <v>202</v>
      </c>
      <c r="C3900" s="76">
        <v>44004</v>
      </c>
      <c r="D3900">
        <v>3811</v>
      </c>
      <c r="E3900">
        <v>245</v>
      </c>
      <c r="F3900">
        <v>7377</v>
      </c>
      <c r="G3900">
        <v>3013</v>
      </c>
      <c r="H3900">
        <v>55.8</v>
      </c>
      <c r="I3900">
        <v>51.4</v>
      </c>
      <c r="J3900">
        <v>60.3</v>
      </c>
      <c r="K3900">
        <v>39</v>
      </c>
      <c r="L3900">
        <v>0</v>
      </c>
      <c r="M3900">
        <v>86</v>
      </c>
      <c r="N3900">
        <v>0.6</v>
      </c>
      <c r="O3900">
        <v>0.2</v>
      </c>
      <c r="P3900">
        <v>0.9</v>
      </c>
      <c r="Q3900">
        <f t="shared" si="120"/>
        <v>3194374</v>
      </c>
      <c r="R3900">
        <f t="shared" si="119"/>
        <v>1.2208964886390887</v>
      </c>
      <c r="U3900">
        <v>459</v>
      </c>
      <c r="V3900">
        <v>0</v>
      </c>
      <c r="W3900">
        <v>930</v>
      </c>
      <c r="X3900">
        <v>354</v>
      </c>
      <c r="Y3900">
        <v>56.5</v>
      </c>
      <c r="Z3900">
        <v>43.4</v>
      </c>
      <c r="AA3900">
        <v>69.599999999999994</v>
      </c>
    </row>
    <row r="3901" spans="1:27" x14ac:dyDescent="0.25">
      <c r="A3901" t="s">
        <v>263</v>
      </c>
      <c r="B3901" t="s">
        <v>202</v>
      </c>
      <c r="C3901" s="76">
        <v>44005</v>
      </c>
      <c r="D3901">
        <v>4296</v>
      </c>
      <c r="E3901">
        <v>173</v>
      </c>
      <c r="F3901">
        <v>8419</v>
      </c>
      <c r="G3901">
        <v>2518</v>
      </c>
      <c r="H3901">
        <v>63</v>
      </c>
      <c r="I3901">
        <v>56.3</v>
      </c>
      <c r="J3901">
        <v>69.8</v>
      </c>
      <c r="K3901">
        <v>60</v>
      </c>
      <c r="L3901">
        <v>0</v>
      </c>
      <c r="M3901">
        <v>130</v>
      </c>
      <c r="N3901">
        <v>0.9</v>
      </c>
      <c r="O3901">
        <v>0.2</v>
      </c>
      <c r="P3901">
        <v>1.6</v>
      </c>
      <c r="Q3901">
        <f t="shared" si="120"/>
        <v>3194374</v>
      </c>
      <c r="R3901">
        <f t="shared" si="119"/>
        <v>1.8783022902139823</v>
      </c>
      <c r="U3901">
        <v>503</v>
      </c>
      <c r="V3901">
        <v>11</v>
      </c>
      <c r="W3901">
        <v>995</v>
      </c>
      <c r="X3901">
        <v>285</v>
      </c>
      <c r="Y3901">
        <v>63.9</v>
      </c>
      <c r="Z3901">
        <v>50.4</v>
      </c>
      <c r="AA3901">
        <v>77.3</v>
      </c>
    </row>
    <row r="3902" spans="1:27" x14ac:dyDescent="0.25">
      <c r="A3902" t="s">
        <v>263</v>
      </c>
      <c r="B3902" t="s">
        <v>202</v>
      </c>
      <c r="C3902" s="76">
        <v>44006</v>
      </c>
      <c r="D3902">
        <v>1714</v>
      </c>
      <c r="E3902">
        <v>0</v>
      </c>
      <c r="F3902">
        <v>4478</v>
      </c>
      <c r="G3902">
        <v>774</v>
      </c>
      <c r="H3902">
        <v>68.900000000000006</v>
      </c>
      <c r="I3902">
        <v>60.1</v>
      </c>
      <c r="J3902">
        <v>77.7</v>
      </c>
      <c r="K3902">
        <v>22</v>
      </c>
      <c r="L3902">
        <v>0</v>
      </c>
      <c r="M3902">
        <v>65</v>
      </c>
      <c r="N3902">
        <v>0.9</v>
      </c>
      <c r="O3902">
        <v>0.4</v>
      </c>
      <c r="P3902">
        <v>1.3</v>
      </c>
      <c r="Q3902">
        <f t="shared" si="120"/>
        <v>3194374</v>
      </c>
      <c r="R3902">
        <f t="shared" si="119"/>
        <v>0.68871083974512692</v>
      </c>
      <c r="U3902">
        <v>197</v>
      </c>
      <c r="V3902">
        <v>0</v>
      </c>
      <c r="W3902">
        <v>545</v>
      </c>
      <c r="X3902">
        <v>74</v>
      </c>
      <c r="Y3902">
        <v>72.8</v>
      </c>
      <c r="Z3902">
        <v>64.8</v>
      </c>
      <c r="AA3902">
        <v>80.8</v>
      </c>
    </row>
    <row r="3903" spans="1:27" x14ac:dyDescent="0.25">
      <c r="A3903" t="s">
        <v>263</v>
      </c>
      <c r="B3903" t="s">
        <v>202</v>
      </c>
      <c r="C3903" s="76">
        <v>44007</v>
      </c>
      <c r="D3903">
        <v>4618</v>
      </c>
      <c r="E3903">
        <v>129</v>
      </c>
      <c r="F3903">
        <v>9107</v>
      </c>
      <c r="G3903">
        <v>2220</v>
      </c>
      <c r="H3903">
        <v>67.5</v>
      </c>
      <c r="I3903">
        <v>61.3</v>
      </c>
      <c r="J3903">
        <v>73.7</v>
      </c>
      <c r="K3903">
        <v>66</v>
      </c>
      <c r="L3903">
        <v>0</v>
      </c>
      <c r="M3903">
        <v>136</v>
      </c>
      <c r="N3903">
        <v>1</v>
      </c>
      <c r="O3903">
        <v>0.5</v>
      </c>
      <c r="P3903">
        <v>1.5</v>
      </c>
      <c r="Q3903">
        <f t="shared" si="120"/>
        <v>3194374</v>
      </c>
      <c r="R3903">
        <f t="shared" si="119"/>
        <v>2.0661325192353805</v>
      </c>
      <c r="U3903">
        <v>509</v>
      </c>
      <c r="V3903">
        <v>0</v>
      </c>
      <c r="W3903">
        <v>1030</v>
      </c>
      <c r="X3903">
        <v>304</v>
      </c>
      <c r="Y3903">
        <v>62.7</v>
      </c>
      <c r="Z3903">
        <v>45.6</v>
      </c>
      <c r="AA3903">
        <v>79.8</v>
      </c>
    </row>
    <row r="3904" spans="1:27" x14ac:dyDescent="0.25">
      <c r="A3904" t="s">
        <v>263</v>
      </c>
      <c r="B3904" t="s">
        <v>202</v>
      </c>
      <c r="C3904" s="76">
        <v>44008</v>
      </c>
      <c r="D3904">
        <v>4593</v>
      </c>
      <c r="E3904">
        <v>104</v>
      </c>
      <c r="F3904">
        <v>9082</v>
      </c>
      <c r="G3904">
        <v>2230</v>
      </c>
      <c r="H3904">
        <v>67.3</v>
      </c>
      <c r="I3904">
        <v>60.7</v>
      </c>
      <c r="J3904">
        <v>73.900000000000006</v>
      </c>
      <c r="K3904">
        <v>70</v>
      </c>
      <c r="L3904">
        <v>0</v>
      </c>
      <c r="M3904">
        <v>161</v>
      </c>
      <c r="N3904">
        <v>1</v>
      </c>
      <c r="O3904">
        <v>0.2</v>
      </c>
      <c r="P3904">
        <v>1.8</v>
      </c>
      <c r="Q3904">
        <f t="shared" si="120"/>
        <v>3194374</v>
      </c>
      <c r="R3904">
        <f t="shared" si="119"/>
        <v>2.191352671916313</v>
      </c>
      <c r="U3904">
        <v>503</v>
      </c>
      <c r="V3904">
        <v>8</v>
      </c>
      <c r="W3904">
        <v>998</v>
      </c>
      <c r="X3904">
        <v>310</v>
      </c>
      <c r="Y3904">
        <v>61.8</v>
      </c>
      <c r="Z3904">
        <v>47.4</v>
      </c>
      <c r="AA3904">
        <v>76.3</v>
      </c>
    </row>
    <row r="3905" spans="1:27" x14ac:dyDescent="0.25">
      <c r="A3905" t="s">
        <v>263</v>
      </c>
      <c r="B3905" t="s">
        <v>202</v>
      </c>
      <c r="C3905" s="76">
        <v>44009</v>
      </c>
      <c r="D3905">
        <v>4167</v>
      </c>
      <c r="E3905">
        <v>170</v>
      </c>
      <c r="F3905">
        <v>8164</v>
      </c>
      <c r="G3905">
        <v>2641</v>
      </c>
      <c r="H3905">
        <v>61.2</v>
      </c>
      <c r="I3905">
        <v>56</v>
      </c>
      <c r="J3905">
        <v>66.400000000000006</v>
      </c>
      <c r="K3905">
        <v>37</v>
      </c>
      <c r="L3905">
        <v>0</v>
      </c>
      <c r="M3905">
        <v>89</v>
      </c>
      <c r="N3905">
        <v>0.5</v>
      </c>
      <c r="O3905">
        <v>0.1</v>
      </c>
      <c r="P3905">
        <v>1</v>
      </c>
      <c r="Q3905">
        <f t="shared" si="120"/>
        <v>3194374</v>
      </c>
      <c r="R3905">
        <f t="shared" si="119"/>
        <v>1.1582864122986225</v>
      </c>
      <c r="U3905">
        <v>491</v>
      </c>
      <c r="V3905">
        <v>0</v>
      </c>
      <c r="W3905">
        <v>985</v>
      </c>
      <c r="X3905">
        <v>322</v>
      </c>
      <c r="Y3905">
        <v>60.4</v>
      </c>
      <c r="Z3905">
        <v>46.4</v>
      </c>
      <c r="AA3905">
        <v>74.5</v>
      </c>
    </row>
    <row r="3906" spans="1:27" x14ac:dyDescent="0.25">
      <c r="A3906" t="s">
        <v>263</v>
      </c>
      <c r="B3906" t="s">
        <v>202</v>
      </c>
      <c r="C3906" s="76">
        <v>44010</v>
      </c>
      <c r="D3906">
        <v>4065</v>
      </c>
      <c r="E3906">
        <v>175</v>
      </c>
      <c r="F3906">
        <v>7955</v>
      </c>
      <c r="G3906">
        <v>2758</v>
      </c>
      <c r="H3906">
        <v>59.6</v>
      </c>
      <c r="I3906">
        <v>55</v>
      </c>
      <c r="J3906">
        <v>64.099999999999994</v>
      </c>
      <c r="K3906">
        <v>56</v>
      </c>
      <c r="L3906">
        <v>0</v>
      </c>
      <c r="M3906">
        <v>113</v>
      </c>
      <c r="N3906">
        <v>0.8</v>
      </c>
      <c r="O3906">
        <v>0.4</v>
      </c>
      <c r="P3906">
        <v>1.2</v>
      </c>
      <c r="Q3906">
        <f t="shared" si="120"/>
        <v>3194374</v>
      </c>
      <c r="R3906">
        <f t="shared" si="119"/>
        <v>1.7530821375330503</v>
      </c>
      <c r="U3906">
        <v>457</v>
      </c>
      <c r="V3906">
        <v>0</v>
      </c>
      <c r="W3906">
        <v>927</v>
      </c>
      <c r="X3906">
        <v>356</v>
      </c>
      <c r="Y3906">
        <v>56.2</v>
      </c>
      <c r="Z3906">
        <v>41.6</v>
      </c>
      <c r="AA3906">
        <v>70.900000000000006</v>
      </c>
    </row>
    <row r="3907" spans="1:27" x14ac:dyDescent="0.25">
      <c r="A3907" t="s">
        <v>263</v>
      </c>
      <c r="B3907" t="s">
        <v>202</v>
      </c>
      <c r="C3907" s="76">
        <v>44011</v>
      </c>
      <c r="D3907">
        <v>4046</v>
      </c>
      <c r="E3907">
        <v>179</v>
      </c>
      <c r="F3907">
        <v>7912</v>
      </c>
      <c r="G3907">
        <v>2772</v>
      </c>
      <c r="H3907">
        <v>59.3</v>
      </c>
      <c r="I3907">
        <v>55.1</v>
      </c>
      <c r="J3907">
        <v>63.5</v>
      </c>
      <c r="K3907">
        <v>67</v>
      </c>
      <c r="L3907">
        <v>0</v>
      </c>
      <c r="M3907">
        <v>134</v>
      </c>
      <c r="N3907">
        <v>1</v>
      </c>
      <c r="O3907">
        <v>0.5</v>
      </c>
      <c r="P3907">
        <v>1.5</v>
      </c>
      <c r="Q3907">
        <f t="shared" si="120"/>
        <v>3194374</v>
      </c>
      <c r="R3907">
        <f t="shared" si="119"/>
        <v>2.0974375574056139</v>
      </c>
      <c r="U3907">
        <v>512</v>
      </c>
      <c r="V3907">
        <v>0</v>
      </c>
      <c r="W3907">
        <v>1031</v>
      </c>
      <c r="X3907">
        <v>302</v>
      </c>
      <c r="Y3907">
        <v>62.9</v>
      </c>
      <c r="Z3907">
        <v>51.8</v>
      </c>
      <c r="AA3907">
        <v>74</v>
      </c>
    </row>
    <row r="3908" spans="1:27" x14ac:dyDescent="0.25">
      <c r="A3908" t="s">
        <v>263</v>
      </c>
      <c r="B3908" t="s">
        <v>202</v>
      </c>
      <c r="C3908" s="76">
        <v>44012</v>
      </c>
      <c r="D3908">
        <v>4382</v>
      </c>
      <c r="E3908">
        <v>0</v>
      </c>
      <c r="F3908">
        <v>8855</v>
      </c>
      <c r="G3908">
        <v>2585</v>
      </c>
      <c r="H3908">
        <v>62.9</v>
      </c>
      <c r="I3908">
        <v>58.9</v>
      </c>
      <c r="J3908">
        <v>66.900000000000006</v>
      </c>
      <c r="K3908">
        <v>53</v>
      </c>
      <c r="L3908">
        <v>0</v>
      </c>
      <c r="M3908">
        <v>118</v>
      </c>
      <c r="N3908">
        <v>0.8</v>
      </c>
      <c r="O3908">
        <v>0.3</v>
      </c>
      <c r="P3908">
        <v>1.2</v>
      </c>
      <c r="Q3908">
        <f t="shared" si="120"/>
        <v>3194374</v>
      </c>
      <c r="R3908">
        <f t="shared" si="119"/>
        <v>1.6591670230223512</v>
      </c>
      <c r="U3908">
        <v>545</v>
      </c>
      <c r="V3908">
        <v>0</v>
      </c>
      <c r="W3908">
        <v>1111</v>
      </c>
      <c r="X3908">
        <v>356</v>
      </c>
      <c r="Y3908">
        <v>60.5</v>
      </c>
      <c r="Z3908">
        <v>51.5</v>
      </c>
      <c r="AA3908">
        <v>69.400000000000006</v>
      </c>
    </row>
    <row r="3909" spans="1:27" x14ac:dyDescent="0.25">
      <c r="A3909" t="s">
        <v>263</v>
      </c>
      <c r="B3909" t="s">
        <v>202</v>
      </c>
      <c r="C3909" s="76">
        <v>44013</v>
      </c>
      <c r="D3909">
        <v>4737</v>
      </c>
      <c r="E3909">
        <v>0</v>
      </c>
      <c r="F3909">
        <v>9571</v>
      </c>
      <c r="G3909">
        <v>2203</v>
      </c>
      <c r="H3909">
        <v>68.3</v>
      </c>
      <c r="I3909">
        <v>63.4</v>
      </c>
      <c r="J3909">
        <v>73.2</v>
      </c>
      <c r="K3909">
        <v>85</v>
      </c>
      <c r="L3909">
        <v>0</v>
      </c>
      <c r="M3909">
        <v>188</v>
      </c>
      <c r="N3909">
        <v>1.2</v>
      </c>
      <c r="O3909">
        <v>0.5</v>
      </c>
      <c r="P3909">
        <v>1.9</v>
      </c>
      <c r="Q3909">
        <f t="shared" si="120"/>
        <v>3194374</v>
      </c>
      <c r="R3909">
        <f t="shared" ref="R3909:R3972" si="121">K3909/(Q3909)*100000</f>
        <v>2.6609282444698086</v>
      </c>
      <c r="U3909">
        <v>565</v>
      </c>
      <c r="V3909">
        <v>0</v>
      </c>
      <c r="W3909">
        <v>1156</v>
      </c>
      <c r="X3909">
        <v>336</v>
      </c>
      <c r="Y3909">
        <v>62.7</v>
      </c>
      <c r="Z3909">
        <v>50.6</v>
      </c>
      <c r="AA3909">
        <v>74.900000000000006</v>
      </c>
    </row>
    <row r="3910" spans="1:27" x14ac:dyDescent="0.25">
      <c r="A3910" t="s">
        <v>263</v>
      </c>
      <c r="B3910" t="s">
        <v>202</v>
      </c>
      <c r="C3910" s="76">
        <v>44014</v>
      </c>
      <c r="D3910">
        <v>4454</v>
      </c>
      <c r="E3910">
        <v>0</v>
      </c>
      <c r="F3910">
        <v>9017</v>
      </c>
      <c r="G3910">
        <v>2491</v>
      </c>
      <c r="H3910">
        <v>64.099999999999994</v>
      </c>
      <c r="I3910">
        <v>59.3</v>
      </c>
      <c r="J3910">
        <v>68.900000000000006</v>
      </c>
      <c r="K3910">
        <v>84</v>
      </c>
      <c r="L3910">
        <v>0</v>
      </c>
      <c r="M3910">
        <v>172</v>
      </c>
      <c r="N3910">
        <v>1.2</v>
      </c>
      <c r="O3910">
        <v>0.8</v>
      </c>
      <c r="P3910">
        <v>1.6</v>
      </c>
      <c r="Q3910">
        <f t="shared" si="120"/>
        <v>3194374</v>
      </c>
      <c r="R3910">
        <f t="shared" si="121"/>
        <v>2.6296232062995752</v>
      </c>
      <c r="U3910">
        <v>526</v>
      </c>
      <c r="V3910">
        <v>0</v>
      </c>
      <c r="W3910">
        <v>1072</v>
      </c>
      <c r="X3910">
        <v>375</v>
      </c>
      <c r="Y3910">
        <v>58.4</v>
      </c>
      <c r="Z3910">
        <v>50.1</v>
      </c>
      <c r="AA3910">
        <v>66.599999999999994</v>
      </c>
    </row>
    <row r="3911" spans="1:27" x14ac:dyDescent="0.25">
      <c r="A3911" t="s">
        <v>263</v>
      </c>
      <c r="B3911" t="s">
        <v>202</v>
      </c>
      <c r="C3911" s="76">
        <v>44015</v>
      </c>
      <c r="D3911">
        <v>4402</v>
      </c>
      <c r="E3911">
        <v>0</v>
      </c>
      <c r="F3911">
        <v>8912</v>
      </c>
      <c r="G3911">
        <v>2673</v>
      </c>
      <c r="H3911">
        <v>62.2</v>
      </c>
      <c r="I3911">
        <v>58.2</v>
      </c>
      <c r="J3911">
        <v>66.3</v>
      </c>
      <c r="K3911">
        <v>117</v>
      </c>
      <c r="L3911">
        <v>0</v>
      </c>
      <c r="M3911">
        <v>249</v>
      </c>
      <c r="N3911">
        <v>1.7</v>
      </c>
      <c r="O3911">
        <v>0.9</v>
      </c>
      <c r="P3911">
        <v>2.4</v>
      </c>
      <c r="Q3911">
        <f t="shared" si="120"/>
        <v>3194374</v>
      </c>
      <c r="R3911">
        <f t="shared" si="121"/>
        <v>3.662689465917266</v>
      </c>
      <c r="U3911">
        <v>523</v>
      </c>
      <c r="V3911">
        <v>0</v>
      </c>
      <c r="W3911">
        <v>1078</v>
      </c>
      <c r="X3911">
        <v>378</v>
      </c>
      <c r="Y3911">
        <v>58</v>
      </c>
      <c r="Z3911">
        <v>47.3</v>
      </c>
      <c r="AA3911">
        <v>68.7</v>
      </c>
    </row>
    <row r="3912" spans="1:27" x14ac:dyDescent="0.25">
      <c r="A3912" t="s">
        <v>263</v>
      </c>
      <c r="B3912" t="s">
        <v>202</v>
      </c>
      <c r="C3912" s="76">
        <v>44016</v>
      </c>
      <c r="D3912">
        <v>4141</v>
      </c>
      <c r="E3912">
        <v>0</v>
      </c>
      <c r="F3912">
        <v>8353</v>
      </c>
      <c r="G3912">
        <v>2939</v>
      </c>
      <c r="H3912">
        <v>58.5</v>
      </c>
      <c r="I3912">
        <v>52.3</v>
      </c>
      <c r="J3912">
        <v>64.7</v>
      </c>
      <c r="K3912">
        <v>100</v>
      </c>
      <c r="L3912">
        <v>0</v>
      </c>
      <c r="M3912">
        <v>223</v>
      </c>
      <c r="N3912">
        <v>1.4</v>
      </c>
      <c r="O3912">
        <v>0.5</v>
      </c>
      <c r="P3912">
        <v>2.2999999999999998</v>
      </c>
      <c r="Q3912">
        <f t="shared" si="120"/>
        <v>3194374</v>
      </c>
      <c r="R3912">
        <f t="shared" si="121"/>
        <v>3.1305038170233042</v>
      </c>
      <c r="U3912">
        <v>478</v>
      </c>
      <c r="V3912">
        <v>0</v>
      </c>
      <c r="W3912">
        <v>976</v>
      </c>
      <c r="X3912">
        <v>418</v>
      </c>
      <c r="Y3912">
        <v>53.3</v>
      </c>
      <c r="Z3912">
        <v>43.5</v>
      </c>
      <c r="AA3912">
        <v>63.2</v>
      </c>
    </row>
    <row r="3913" spans="1:27" x14ac:dyDescent="0.25">
      <c r="A3913" t="s">
        <v>263</v>
      </c>
      <c r="B3913" t="s">
        <v>202</v>
      </c>
      <c r="C3913" s="76">
        <v>44017</v>
      </c>
      <c r="D3913">
        <v>3993</v>
      </c>
      <c r="E3913">
        <v>0</v>
      </c>
      <c r="F3913">
        <v>8046</v>
      </c>
      <c r="G3913">
        <v>3073</v>
      </c>
      <c r="H3913">
        <v>56.5</v>
      </c>
      <c r="I3913">
        <v>48.7</v>
      </c>
      <c r="J3913">
        <v>64.3</v>
      </c>
      <c r="K3913">
        <v>54</v>
      </c>
      <c r="L3913">
        <v>0</v>
      </c>
      <c r="M3913">
        <v>116</v>
      </c>
      <c r="N3913">
        <v>0.8</v>
      </c>
      <c r="O3913">
        <v>0.5</v>
      </c>
      <c r="P3913">
        <v>1</v>
      </c>
      <c r="Q3913">
        <f t="shared" si="120"/>
        <v>3194374</v>
      </c>
      <c r="R3913">
        <f t="shared" si="121"/>
        <v>1.6904720611925843</v>
      </c>
      <c r="U3913">
        <v>486</v>
      </c>
      <c r="V3913">
        <v>0</v>
      </c>
      <c r="W3913">
        <v>998</v>
      </c>
      <c r="X3913">
        <v>410</v>
      </c>
      <c r="Y3913">
        <v>54.3</v>
      </c>
      <c r="Z3913">
        <v>41.9</v>
      </c>
      <c r="AA3913">
        <v>66.7</v>
      </c>
    </row>
    <row r="3914" spans="1:27" x14ac:dyDescent="0.25">
      <c r="A3914" t="s">
        <v>263</v>
      </c>
      <c r="B3914" t="s">
        <v>202</v>
      </c>
      <c r="C3914" s="76">
        <v>44018</v>
      </c>
      <c r="D3914">
        <v>3928</v>
      </c>
      <c r="E3914">
        <v>0</v>
      </c>
      <c r="F3914">
        <v>7905</v>
      </c>
      <c r="G3914">
        <v>3121</v>
      </c>
      <c r="H3914">
        <v>55.7</v>
      </c>
      <c r="I3914">
        <v>50.4</v>
      </c>
      <c r="J3914">
        <v>61</v>
      </c>
      <c r="K3914">
        <v>73</v>
      </c>
      <c r="L3914">
        <v>0</v>
      </c>
      <c r="M3914">
        <v>154</v>
      </c>
      <c r="N3914">
        <v>1</v>
      </c>
      <c r="O3914">
        <v>0.9</v>
      </c>
      <c r="P3914">
        <v>1.2</v>
      </c>
      <c r="Q3914">
        <f t="shared" si="120"/>
        <v>3194374</v>
      </c>
      <c r="R3914">
        <f t="shared" si="121"/>
        <v>2.2852677864270121</v>
      </c>
      <c r="U3914">
        <v>502</v>
      </c>
      <c r="V3914">
        <v>0</v>
      </c>
      <c r="W3914">
        <v>1028</v>
      </c>
      <c r="X3914">
        <v>399</v>
      </c>
      <c r="Y3914">
        <v>55.7</v>
      </c>
      <c r="Z3914">
        <v>43</v>
      </c>
      <c r="AA3914">
        <v>68.3</v>
      </c>
    </row>
    <row r="3915" spans="1:27" x14ac:dyDescent="0.25">
      <c r="A3915" t="s">
        <v>263</v>
      </c>
      <c r="B3915" t="s">
        <v>202</v>
      </c>
      <c r="C3915" s="76">
        <v>44019</v>
      </c>
      <c r="D3915">
        <v>4334</v>
      </c>
      <c r="E3915">
        <v>0</v>
      </c>
      <c r="F3915">
        <v>8784</v>
      </c>
      <c r="G3915">
        <v>2705</v>
      </c>
      <c r="H3915">
        <v>61.6</v>
      </c>
      <c r="I3915">
        <v>52.2</v>
      </c>
      <c r="J3915">
        <v>70.900000000000006</v>
      </c>
      <c r="K3915">
        <v>72</v>
      </c>
      <c r="L3915">
        <v>0</v>
      </c>
      <c r="M3915">
        <v>157</v>
      </c>
      <c r="N3915">
        <v>1</v>
      </c>
      <c r="O3915">
        <v>0.5</v>
      </c>
      <c r="P3915">
        <v>1.5</v>
      </c>
      <c r="Q3915">
        <f t="shared" si="120"/>
        <v>3194374</v>
      </c>
      <c r="R3915">
        <f t="shared" si="121"/>
        <v>2.2539627482567788</v>
      </c>
      <c r="U3915">
        <v>524</v>
      </c>
      <c r="V3915">
        <v>0</v>
      </c>
      <c r="W3915">
        <v>1090</v>
      </c>
      <c r="X3915">
        <v>377</v>
      </c>
      <c r="Y3915">
        <v>58.1</v>
      </c>
      <c r="Z3915">
        <v>30.5</v>
      </c>
      <c r="AA3915">
        <v>85.8</v>
      </c>
    </row>
    <row r="3916" spans="1:27" x14ac:dyDescent="0.25">
      <c r="A3916" t="s">
        <v>264</v>
      </c>
      <c r="B3916" t="s">
        <v>216</v>
      </c>
      <c r="C3916" s="76">
        <v>43922</v>
      </c>
      <c r="D3916">
        <v>1098</v>
      </c>
      <c r="E3916">
        <v>0</v>
      </c>
      <c r="F3916">
        <v>2215</v>
      </c>
      <c r="G3916">
        <v>712</v>
      </c>
      <c r="H3916">
        <v>60.7</v>
      </c>
      <c r="I3916">
        <v>55.9</v>
      </c>
      <c r="J3916">
        <v>65.400000000000006</v>
      </c>
      <c r="K3916">
        <v>156</v>
      </c>
      <c r="L3916">
        <v>0</v>
      </c>
      <c r="M3916">
        <v>333</v>
      </c>
      <c r="N3916">
        <v>8.6</v>
      </c>
      <c r="O3916">
        <v>5</v>
      </c>
      <c r="P3916">
        <v>12.2</v>
      </c>
      <c r="Q3916">
        <f t="shared" si="120"/>
        <v>1061509</v>
      </c>
      <c r="R3916">
        <f t="shared" si="121"/>
        <v>14.696060042825826</v>
      </c>
      <c r="U3916">
        <v>81</v>
      </c>
      <c r="V3916">
        <v>0</v>
      </c>
      <c r="W3916">
        <v>170</v>
      </c>
      <c r="X3916">
        <v>55</v>
      </c>
      <c r="Y3916">
        <v>59.6</v>
      </c>
      <c r="Z3916">
        <v>48.2</v>
      </c>
      <c r="AA3916">
        <v>71.099999999999994</v>
      </c>
    </row>
    <row r="3917" spans="1:27" x14ac:dyDescent="0.25">
      <c r="A3917" t="s">
        <v>264</v>
      </c>
      <c r="B3917" t="s">
        <v>216</v>
      </c>
      <c r="C3917" s="76">
        <v>43923</v>
      </c>
      <c r="D3917">
        <v>1123</v>
      </c>
      <c r="E3917">
        <v>0</v>
      </c>
      <c r="F3917">
        <v>2276</v>
      </c>
      <c r="G3917">
        <v>671</v>
      </c>
      <c r="H3917">
        <v>62.6</v>
      </c>
      <c r="I3917">
        <v>57.7</v>
      </c>
      <c r="J3917">
        <v>67.5</v>
      </c>
      <c r="K3917">
        <v>179</v>
      </c>
      <c r="L3917">
        <v>0</v>
      </c>
      <c r="M3917">
        <v>384</v>
      </c>
      <c r="N3917">
        <v>10</v>
      </c>
      <c r="O3917">
        <v>5.8</v>
      </c>
      <c r="P3917">
        <v>14.2</v>
      </c>
      <c r="Q3917">
        <f t="shared" si="120"/>
        <v>1061509</v>
      </c>
      <c r="R3917">
        <f t="shared" si="121"/>
        <v>16.862786844011687</v>
      </c>
      <c r="U3917">
        <v>93</v>
      </c>
      <c r="V3917">
        <v>0</v>
      </c>
      <c r="W3917">
        <v>197</v>
      </c>
      <c r="X3917">
        <v>45</v>
      </c>
      <c r="Y3917">
        <v>67.400000000000006</v>
      </c>
      <c r="Z3917">
        <v>54.1</v>
      </c>
      <c r="AA3917">
        <v>80.7</v>
      </c>
    </row>
    <row r="3918" spans="1:27" x14ac:dyDescent="0.25">
      <c r="A3918" t="s">
        <v>264</v>
      </c>
      <c r="B3918" t="s">
        <v>216</v>
      </c>
      <c r="C3918" s="76">
        <v>43924</v>
      </c>
      <c r="D3918">
        <v>1182</v>
      </c>
      <c r="E3918">
        <v>57</v>
      </c>
      <c r="F3918">
        <v>2307</v>
      </c>
      <c r="G3918">
        <v>649</v>
      </c>
      <c r="H3918">
        <v>64.599999999999994</v>
      </c>
      <c r="I3918">
        <v>57.8</v>
      </c>
      <c r="J3918">
        <v>71.3</v>
      </c>
      <c r="K3918">
        <v>213</v>
      </c>
      <c r="L3918">
        <v>0</v>
      </c>
      <c r="M3918">
        <v>449</v>
      </c>
      <c r="N3918">
        <v>11.6</v>
      </c>
      <c r="O3918">
        <v>7.2</v>
      </c>
      <c r="P3918">
        <v>16.100000000000001</v>
      </c>
      <c r="Q3918">
        <f t="shared" si="120"/>
        <v>1061509</v>
      </c>
      <c r="R3918">
        <f t="shared" si="121"/>
        <v>20.065774289242952</v>
      </c>
      <c r="U3918">
        <v>93</v>
      </c>
      <c r="V3918">
        <v>0</v>
      </c>
      <c r="W3918">
        <v>189</v>
      </c>
      <c r="X3918">
        <v>49</v>
      </c>
      <c r="Y3918">
        <v>65.599999999999994</v>
      </c>
      <c r="Z3918">
        <v>53.2</v>
      </c>
      <c r="AA3918">
        <v>78</v>
      </c>
    </row>
    <row r="3919" spans="1:27" x14ac:dyDescent="0.25">
      <c r="A3919" t="s">
        <v>264</v>
      </c>
      <c r="B3919" t="s">
        <v>216</v>
      </c>
      <c r="C3919" s="76">
        <v>43925</v>
      </c>
      <c r="D3919">
        <v>1088</v>
      </c>
      <c r="E3919">
        <v>50</v>
      </c>
      <c r="F3919">
        <v>2125</v>
      </c>
      <c r="G3919">
        <v>724</v>
      </c>
      <c r="H3919">
        <v>60</v>
      </c>
      <c r="I3919">
        <v>51.5</v>
      </c>
      <c r="J3919">
        <v>68.599999999999994</v>
      </c>
      <c r="K3919">
        <v>225</v>
      </c>
      <c r="L3919">
        <v>5</v>
      </c>
      <c r="M3919">
        <v>444</v>
      </c>
      <c r="N3919">
        <v>12.4</v>
      </c>
      <c r="O3919">
        <v>9.1999999999999993</v>
      </c>
      <c r="P3919">
        <v>15.6</v>
      </c>
      <c r="Q3919">
        <f t="shared" si="120"/>
        <v>1061509</v>
      </c>
      <c r="R3919">
        <f t="shared" si="121"/>
        <v>21.196240446383403</v>
      </c>
      <c r="U3919">
        <v>95</v>
      </c>
      <c r="V3919">
        <v>0</v>
      </c>
      <c r="W3919">
        <v>192</v>
      </c>
      <c r="X3919">
        <v>63</v>
      </c>
      <c r="Y3919">
        <v>60.3</v>
      </c>
      <c r="Z3919">
        <v>43.9</v>
      </c>
      <c r="AA3919">
        <v>76.8</v>
      </c>
    </row>
    <row r="3920" spans="1:27" x14ac:dyDescent="0.25">
      <c r="A3920" t="s">
        <v>264</v>
      </c>
      <c r="B3920" t="s">
        <v>216</v>
      </c>
      <c r="C3920" s="76">
        <v>43926</v>
      </c>
      <c r="D3920">
        <v>1092</v>
      </c>
      <c r="E3920">
        <v>51</v>
      </c>
      <c r="F3920">
        <v>2133</v>
      </c>
      <c r="G3920">
        <v>719</v>
      </c>
      <c r="H3920">
        <v>60.3</v>
      </c>
      <c r="I3920">
        <v>51.7</v>
      </c>
      <c r="J3920">
        <v>68.900000000000006</v>
      </c>
      <c r="K3920">
        <v>240</v>
      </c>
      <c r="L3920">
        <v>11</v>
      </c>
      <c r="M3920">
        <v>469</v>
      </c>
      <c r="N3920">
        <v>13.3</v>
      </c>
      <c r="O3920">
        <v>10.5</v>
      </c>
      <c r="P3920">
        <v>16</v>
      </c>
      <c r="Q3920">
        <f t="shared" si="120"/>
        <v>1061509</v>
      </c>
      <c r="R3920">
        <f t="shared" si="121"/>
        <v>22.609323142808964</v>
      </c>
      <c r="U3920">
        <v>98</v>
      </c>
      <c r="V3920">
        <v>2</v>
      </c>
      <c r="W3920">
        <v>193</v>
      </c>
      <c r="X3920">
        <v>48</v>
      </c>
      <c r="Y3920">
        <v>67</v>
      </c>
      <c r="Z3920">
        <v>53.9</v>
      </c>
      <c r="AA3920">
        <v>80.099999999999994</v>
      </c>
    </row>
    <row r="3921" spans="1:27" x14ac:dyDescent="0.25">
      <c r="A3921" t="s">
        <v>264</v>
      </c>
      <c r="B3921" t="s">
        <v>216</v>
      </c>
      <c r="C3921" s="76">
        <v>43927</v>
      </c>
      <c r="D3921">
        <v>1162</v>
      </c>
      <c r="E3921">
        <v>80</v>
      </c>
      <c r="F3921">
        <v>2243</v>
      </c>
      <c r="G3921">
        <v>660</v>
      </c>
      <c r="H3921">
        <v>63.8</v>
      </c>
      <c r="I3921">
        <v>55.6</v>
      </c>
      <c r="J3921">
        <v>71.900000000000006</v>
      </c>
      <c r="K3921">
        <v>324</v>
      </c>
      <c r="L3921">
        <v>1</v>
      </c>
      <c r="M3921">
        <v>647</v>
      </c>
      <c r="N3921">
        <v>17.8</v>
      </c>
      <c r="O3921">
        <v>13</v>
      </c>
      <c r="P3921">
        <v>22.6</v>
      </c>
      <c r="Q3921">
        <f t="shared" si="120"/>
        <v>1061509</v>
      </c>
      <c r="R3921">
        <f t="shared" si="121"/>
        <v>30.522586242792102</v>
      </c>
      <c r="U3921">
        <v>99</v>
      </c>
      <c r="V3921">
        <v>0</v>
      </c>
      <c r="W3921">
        <v>200</v>
      </c>
      <c r="X3921">
        <v>59</v>
      </c>
      <c r="Y3921">
        <v>62.9</v>
      </c>
      <c r="Z3921">
        <v>52</v>
      </c>
      <c r="AA3921">
        <v>73.7</v>
      </c>
    </row>
    <row r="3922" spans="1:27" x14ac:dyDescent="0.25">
      <c r="A3922" t="s">
        <v>264</v>
      </c>
      <c r="B3922" t="s">
        <v>216</v>
      </c>
      <c r="C3922" s="76">
        <v>43928</v>
      </c>
      <c r="D3922">
        <v>1197</v>
      </c>
      <c r="E3922">
        <v>89</v>
      </c>
      <c r="F3922">
        <v>2305</v>
      </c>
      <c r="G3922">
        <v>637</v>
      </c>
      <c r="H3922">
        <v>65.3</v>
      </c>
      <c r="I3922">
        <v>57.4</v>
      </c>
      <c r="J3922">
        <v>73.2</v>
      </c>
      <c r="K3922">
        <v>315</v>
      </c>
      <c r="L3922">
        <v>9</v>
      </c>
      <c r="M3922">
        <v>621</v>
      </c>
      <c r="N3922">
        <v>17.2</v>
      </c>
      <c r="O3922">
        <v>13.7</v>
      </c>
      <c r="P3922">
        <v>20.7</v>
      </c>
      <c r="Q3922">
        <f t="shared" si="120"/>
        <v>1061509</v>
      </c>
      <c r="R3922">
        <f t="shared" si="121"/>
        <v>29.674736624936763</v>
      </c>
      <c r="U3922">
        <v>106</v>
      </c>
      <c r="V3922">
        <v>1</v>
      </c>
      <c r="W3922">
        <v>210</v>
      </c>
      <c r="X3922">
        <v>52</v>
      </c>
      <c r="Y3922">
        <v>67</v>
      </c>
      <c r="Z3922">
        <v>53.6</v>
      </c>
      <c r="AA3922">
        <v>80.3</v>
      </c>
    </row>
    <row r="3923" spans="1:27" x14ac:dyDescent="0.25">
      <c r="A3923" t="s">
        <v>264</v>
      </c>
      <c r="B3923" t="s">
        <v>216</v>
      </c>
      <c r="C3923" s="76">
        <v>43929</v>
      </c>
      <c r="D3923">
        <v>1192</v>
      </c>
      <c r="E3923">
        <v>90</v>
      </c>
      <c r="F3923">
        <v>2295</v>
      </c>
      <c r="G3923">
        <v>627</v>
      </c>
      <c r="H3923">
        <v>65.5</v>
      </c>
      <c r="I3923">
        <v>57.5</v>
      </c>
      <c r="J3923">
        <v>73.599999999999994</v>
      </c>
      <c r="K3923">
        <v>289</v>
      </c>
      <c r="L3923">
        <v>4</v>
      </c>
      <c r="M3923">
        <v>574</v>
      </c>
      <c r="N3923">
        <v>15.9</v>
      </c>
      <c r="O3923">
        <v>12.9</v>
      </c>
      <c r="P3923">
        <v>18.899999999999999</v>
      </c>
      <c r="Q3923">
        <f t="shared" si="120"/>
        <v>1061509</v>
      </c>
      <c r="R3923">
        <f t="shared" si="121"/>
        <v>27.225393284465792</v>
      </c>
      <c r="U3923">
        <v>99</v>
      </c>
      <c r="V3923">
        <v>0</v>
      </c>
      <c r="W3923">
        <v>200</v>
      </c>
      <c r="X3923">
        <v>57</v>
      </c>
      <c r="Y3923">
        <v>63.6</v>
      </c>
      <c r="Z3923">
        <v>49.4</v>
      </c>
      <c r="AA3923">
        <v>77.8</v>
      </c>
    </row>
    <row r="3924" spans="1:27" x14ac:dyDescent="0.25">
      <c r="A3924" t="s">
        <v>264</v>
      </c>
      <c r="B3924" t="s">
        <v>216</v>
      </c>
      <c r="C3924" s="76">
        <v>43930</v>
      </c>
      <c r="D3924">
        <v>1193</v>
      </c>
      <c r="E3924">
        <v>107</v>
      </c>
      <c r="F3924">
        <v>2279</v>
      </c>
      <c r="G3924">
        <v>660</v>
      </c>
      <c r="H3924">
        <v>64.400000000000006</v>
      </c>
      <c r="I3924">
        <v>55.6</v>
      </c>
      <c r="J3924">
        <v>73.2</v>
      </c>
      <c r="K3924">
        <v>304</v>
      </c>
      <c r="L3924">
        <v>3</v>
      </c>
      <c r="M3924">
        <v>605</v>
      </c>
      <c r="N3924">
        <v>16.399999999999999</v>
      </c>
      <c r="O3924">
        <v>12.5</v>
      </c>
      <c r="P3924">
        <v>20.3</v>
      </c>
      <c r="Q3924">
        <f t="shared" si="120"/>
        <v>1061509</v>
      </c>
      <c r="R3924">
        <f t="shared" si="121"/>
        <v>28.638475980891354</v>
      </c>
      <c r="U3924">
        <v>98</v>
      </c>
      <c r="V3924">
        <v>0</v>
      </c>
      <c r="W3924">
        <v>196</v>
      </c>
      <c r="X3924">
        <v>45</v>
      </c>
      <c r="Y3924">
        <v>68.400000000000006</v>
      </c>
      <c r="Z3924">
        <v>57.7</v>
      </c>
      <c r="AA3924">
        <v>79.2</v>
      </c>
    </row>
    <row r="3925" spans="1:27" x14ac:dyDescent="0.25">
      <c r="A3925" t="s">
        <v>264</v>
      </c>
      <c r="B3925" t="s">
        <v>216</v>
      </c>
      <c r="C3925" s="76">
        <v>43931</v>
      </c>
      <c r="D3925">
        <v>1159</v>
      </c>
      <c r="E3925">
        <v>98</v>
      </c>
      <c r="F3925">
        <v>2220</v>
      </c>
      <c r="G3925">
        <v>690</v>
      </c>
      <c r="H3925">
        <v>62.7</v>
      </c>
      <c r="I3925">
        <v>54</v>
      </c>
      <c r="J3925">
        <v>71.400000000000006</v>
      </c>
      <c r="K3925">
        <v>341</v>
      </c>
      <c r="L3925">
        <v>0</v>
      </c>
      <c r="M3925">
        <v>692</v>
      </c>
      <c r="N3925">
        <v>18.399999999999999</v>
      </c>
      <c r="O3925">
        <v>14.2</v>
      </c>
      <c r="P3925">
        <v>22.7</v>
      </c>
      <c r="Q3925">
        <f t="shared" si="120"/>
        <v>1061509</v>
      </c>
      <c r="R3925">
        <f t="shared" si="121"/>
        <v>32.124079965407738</v>
      </c>
      <c r="U3925">
        <v>91</v>
      </c>
      <c r="V3925">
        <v>4</v>
      </c>
      <c r="W3925">
        <v>178</v>
      </c>
      <c r="X3925">
        <v>65</v>
      </c>
      <c r="Y3925">
        <v>58.5</v>
      </c>
      <c r="Z3925">
        <v>52.4</v>
      </c>
      <c r="AA3925">
        <v>64.599999999999994</v>
      </c>
    </row>
    <row r="3926" spans="1:27" x14ac:dyDescent="0.25">
      <c r="A3926" t="s">
        <v>264</v>
      </c>
      <c r="B3926" t="s">
        <v>216</v>
      </c>
      <c r="C3926" s="76">
        <v>43932</v>
      </c>
      <c r="D3926">
        <v>1144</v>
      </c>
      <c r="E3926">
        <v>151</v>
      </c>
      <c r="F3926">
        <v>2137</v>
      </c>
      <c r="G3926">
        <v>677</v>
      </c>
      <c r="H3926">
        <v>62.8</v>
      </c>
      <c r="I3926">
        <v>54.6</v>
      </c>
      <c r="J3926">
        <v>71.099999999999994</v>
      </c>
      <c r="K3926">
        <v>326</v>
      </c>
      <c r="L3926">
        <v>27</v>
      </c>
      <c r="M3926">
        <v>625</v>
      </c>
      <c r="N3926">
        <v>17.899999999999999</v>
      </c>
      <c r="O3926">
        <v>13.1</v>
      </c>
      <c r="P3926">
        <v>22.7</v>
      </c>
      <c r="Q3926">
        <f t="shared" si="120"/>
        <v>1061509</v>
      </c>
      <c r="R3926">
        <f t="shared" si="121"/>
        <v>30.710997268982176</v>
      </c>
      <c r="U3926">
        <v>109</v>
      </c>
      <c r="V3926">
        <v>13</v>
      </c>
      <c r="W3926">
        <v>204</v>
      </c>
      <c r="X3926">
        <v>49</v>
      </c>
      <c r="Y3926">
        <v>69.099999999999994</v>
      </c>
      <c r="Z3926">
        <v>59.1</v>
      </c>
      <c r="AA3926">
        <v>79.099999999999994</v>
      </c>
    </row>
    <row r="3927" spans="1:27" x14ac:dyDescent="0.25">
      <c r="A3927" t="s">
        <v>264</v>
      </c>
      <c r="B3927" t="s">
        <v>216</v>
      </c>
      <c r="C3927" s="76">
        <v>43933</v>
      </c>
      <c r="D3927">
        <v>1193</v>
      </c>
      <c r="E3927">
        <v>160</v>
      </c>
      <c r="F3927">
        <v>2226</v>
      </c>
      <c r="G3927">
        <v>650</v>
      </c>
      <c r="H3927">
        <v>64.7</v>
      </c>
      <c r="I3927">
        <v>56.9</v>
      </c>
      <c r="J3927">
        <v>72.599999999999994</v>
      </c>
      <c r="K3927">
        <v>321</v>
      </c>
      <c r="L3927">
        <v>46</v>
      </c>
      <c r="M3927">
        <v>595</v>
      </c>
      <c r="N3927">
        <v>17.399999999999999</v>
      </c>
      <c r="O3927">
        <v>12.3</v>
      </c>
      <c r="P3927">
        <v>22.5</v>
      </c>
      <c r="Q3927">
        <f t="shared" si="120"/>
        <v>1061509</v>
      </c>
      <c r="R3927">
        <f t="shared" si="121"/>
        <v>30.239969703506986</v>
      </c>
      <c r="U3927">
        <v>97</v>
      </c>
      <c r="V3927">
        <v>6</v>
      </c>
      <c r="W3927">
        <v>187</v>
      </c>
      <c r="X3927">
        <v>60</v>
      </c>
      <c r="Y3927">
        <v>61.7</v>
      </c>
      <c r="Z3927">
        <v>49.3</v>
      </c>
      <c r="AA3927">
        <v>74</v>
      </c>
    </row>
    <row r="3928" spans="1:27" x14ac:dyDescent="0.25">
      <c r="A3928" t="s">
        <v>264</v>
      </c>
      <c r="B3928" t="s">
        <v>216</v>
      </c>
      <c r="C3928" s="76">
        <v>43934</v>
      </c>
      <c r="D3928">
        <v>1285</v>
      </c>
      <c r="E3928">
        <v>206</v>
      </c>
      <c r="F3928">
        <v>2365</v>
      </c>
      <c r="G3928">
        <v>668</v>
      </c>
      <c r="H3928">
        <v>65.8</v>
      </c>
      <c r="I3928">
        <v>56.4</v>
      </c>
      <c r="J3928">
        <v>75.099999999999994</v>
      </c>
      <c r="K3928">
        <v>426</v>
      </c>
      <c r="L3928">
        <v>32</v>
      </c>
      <c r="M3928">
        <v>819</v>
      </c>
      <c r="N3928">
        <v>21.8</v>
      </c>
      <c r="O3928">
        <v>16.399999999999999</v>
      </c>
      <c r="P3928">
        <v>27.2</v>
      </c>
      <c r="Q3928">
        <f t="shared" si="120"/>
        <v>1061509</v>
      </c>
      <c r="R3928">
        <f t="shared" si="121"/>
        <v>40.131548578485905</v>
      </c>
      <c r="U3928">
        <v>111</v>
      </c>
      <c r="V3928">
        <v>15</v>
      </c>
      <c r="W3928">
        <v>208</v>
      </c>
      <c r="X3928">
        <v>67</v>
      </c>
      <c r="Y3928">
        <v>62.4</v>
      </c>
      <c r="Z3928">
        <v>48.1</v>
      </c>
      <c r="AA3928">
        <v>76.8</v>
      </c>
    </row>
    <row r="3929" spans="1:27" x14ac:dyDescent="0.25">
      <c r="A3929" t="s">
        <v>264</v>
      </c>
      <c r="B3929" t="s">
        <v>216</v>
      </c>
      <c r="C3929" s="76">
        <v>43935</v>
      </c>
      <c r="D3929">
        <v>1273</v>
      </c>
      <c r="E3929">
        <v>211</v>
      </c>
      <c r="F3929">
        <v>2334</v>
      </c>
      <c r="G3929">
        <v>691</v>
      </c>
      <c r="H3929">
        <v>64.8</v>
      </c>
      <c r="I3929">
        <v>56.8</v>
      </c>
      <c r="J3929">
        <v>72.8</v>
      </c>
      <c r="K3929">
        <v>462</v>
      </c>
      <c r="L3929">
        <v>51</v>
      </c>
      <c r="M3929">
        <v>873</v>
      </c>
      <c r="N3929">
        <v>23.5</v>
      </c>
      <c r="O3929">
        <v>16.7</v>
      </c>
      <c r="P3929">
        <v>30.3</v>
      </c>
      <c r="Q3929">
        <f t="shared" si="120"/>
        <v>1061509</v>
      </c>
      <c r="R3929">
        <f t="shared" si="121"/>
        <v>43.522947049907259</v>
      </c>
      <c r="U3929">
        <v>119</v>
      </c>
      <c r="V3929">
        <v>13</v>
      </c>
      <c r="W3929">
        <v>225</v>
      </c>
      <c r="X3929">
        <v>57</v>
      </c>
      <c r="Y3929">
        <v>67.8</v>
      </c>
      <c r="Z3929">
        <v>47.1</v>
      </c>
      <c r="AA3929">
        <v>88.5</v>
      </c>
    </row>
    <row r="3930" spans="1:27" x14ac:dyDescent="0.25">
      <c r="A3930" t="s">
        <v>264</v>
      </c>
      <c r="B3930" t="s">
        <v>216</v>
      </c>
      <c r="C3930" s="76">
        <v>43936</v>
      </c>
      <c r="D3930">
        <v>1318</v>
      </c>
      <c r="E3930">
        <v>220</v>
      </c>
      <c r="F3930">
        <v>2415</v>
      </c>
      <c r="G3930">
        <v>637</v>
      </c>
      <c r="H3930">
        <v>67.400000000000006</v>
      </c>
      <c r="I3930">
        <v>59.8</v>
      </c>
      <c r="J3930">
        <v>74.900000000000006</v>
      </c>
      <c r="K3930">
        <v>413</v>
      </c>
      <c r="L3930">
        <v>21</v>
      </c>
      <c r="M3930">
        <v>805</v>
      </c>
      <c r="N3930">
        <v>21.1</v>
      </c>
      <c r="O3930">
        <v>15.8</v>
      </c>
      <c r="P3930">
        <v>26.5</v>
      </c>
      <c r="Q3930">
        <f t="shared" si="120"/>
        <v>1061509</v>
      </c>
      <c r="R3930">
        <f t="shared" si="121"/>
        <v>38.906876908250425</v>
      </c>
      <c r="U3930">
        <v>120</v>
      </c>
      <c r="V3930">
        <v>15</v>
      </c>
      <c r="W3930">
        <v>225</v>
      </c>
      <c r="X3930">
        <v>59</v>
      </c>
      <c r="Y3930">
        <v>67</v>
      </c>
      <c r="Z3930">
        <v>53.5</v>
      </c>
      <c r="AA3930">
        <v>80.599999999999994</v>
      </c>
    </row>
    <row r="3931" spans="1:27" x14ac:dyDescent="0.25">
      <c r="A3931" t="s">
        <v>264</v>
      </c>
      <c r="B3931" t="s">
        <v>216</v>
      </c>
      <c r="C3931" s="76">
        <v>43937</v>
      </c>
      <c r="D3931">
        <v>1464</v>
      </c>
      <c r="E3931">
        <v>324</v>
      </c>
      <c r="F3931">
        <v>2604</v>
      </c>
      <c r="G3931">
        <v>618</v>
      </c>
      <c r="H3931">
        <v>70.3</v>
      </c>
      <c r="I3931">
        <v>61.5</v>
      </c>
      <c r="J3931">
        <v>79.099999999999994</v>
      </c>
      <c r="K3931">
        <v>390</v>
      </c>
      <c r="L3931">
        <v>10</v>
      </c>
      <c r="M3931">
        <v>769</v>
      </c>
      <c r="N3931">
        <v>18.7</v>
      </c>
      <c r="O3931">
        <v>12.2</v>
      </c>
      <c r="P3931">
        <v>25.2</v>
      </c>
      <c r="Q3931">
        <f t="shared" si="120"/>
        <v>1061509</v>
      </c>
      <c r="R3931">
        <f t="shared" si="121"/>
        <v>36.740150107064565</v>
      </c>
      <c r="U3931">
        <v>183</v>
      </c>
      <c r="V3931">
        <v>20</v>
      </c>
      <c r="W3931">
        <v>345</v>
      </c>
      <c r="X3931">
        <v>72</v>
      </c>
      <c r="Y3931">
        <v>71.8</v>
      </c>
      <c r="Z3931">
        <v>62</v>
      </c>
      <c r="AA3931">
        <v>81.599999999999994</v>
      </c>
    </row>
    <row r="3932" spans="1:27" x14ac:dyDescent="0.25">
      <c r="A3932" t="s">
        <v>264</v>
      </c>
      <c r="B3932" t="s">
        <v>216</v>
      </c>
      <c r="C3932" s="76">
        <v>43938</v>
      </c>
      <c r="D3932">
        <v>1420</v>
      </c>
      <c r="E3932">
        <v>325</v>
      </c>
      <c r="F3932">
        <v>2516</v>
      </c>
      <c r="G3932">
        <v>625</v>
      </c>
      <c r="H3932">
        <v>69.5</v>
      </c>
      <c r="I3932">
        <v>59.2</v>
      </c>
      <c r="J3932">
        <v>79.7</v>
      </c>
      <c r="K3932">
        <v>399</v>
      </c>
      <c r="L3932">
        <v>17</v>
      </c>
      <c r="M3932">
        <v>781</v>
      </c>
      <c r="N3932">
        <v>19.5</v>
      </c>
      <c r="O3932">
        <v>13.1</v>
      </c>
      <c r="P3932">
        <v>25.9</v>
      </c>
      <c r="Q3932">
        <f t="shared" si="120"/>
        <v>1061509</v>
      </c>
      <c r="R3932">
        <f t="shared" si="121"/>
        <v>37.587999724919904</v>
      </c>
      <c r="U3932">
        <v>168</v>
      </c>
      <c r="V3932">
        <v>13</v>
      </c>
      <c r="W3932">
        <v>323</v>
      </c>
      <c r="X3932">
        <v>85</v>
      </c>
      <c r="Y3932">
        <v>66.400000000000006</v>
      </c>
      <c r="Z3932">
        <v>51.3</v>
      </c>
      <c r="AA3932">
        <v>81.5</v>
      </c>
    </row>
    <row r="3933" spans="1:27" x14ac:dyDescent="0.25">
      <c r="A3933" t="s">
        <v>264</v>
      </c>
      <c r="B3933" t="s">
        <v>216</v>
      </c>
      <c r="C3933" s="76">
        <v>43939</v>
      </c>
      <c r="D3933">
        <v>1426</v>
      </c>
      <c r="E3933">
        <v>333</v>
      </c>
      <c r="F3933">
        <v>2518</v>
      </c>
      <c r="G3933">
        <v>721</v>
      </c>
      <c r="H3933">
        <v>66.400000000000006</v>
      </c>
      <c r="I3933">
        <v>55.7</v>
      </c>
      <c r="J3933">
        <v>77.099999999999994</v>
      </c>
      <c r="K3933">
        <v>393</v>
      </c>
      <c r="L3933">
        <v>14</v>
      </c>
      <c r="M3933">
        <v>772</v>
      </c>
      <c r="N3933">
        <v>18.3</v>
      </c>
      <c r="O3933">
        <v>11.7</v>
      </c>
      <c r="P3933">
        <v>24.9</v>
      </c>
      <c r="Q3933">
        <f t="shared" si="120"/>
        <v>1061509</v>
      </c>
      <c r="R3933">
        <f t="shared" si="121"/>
        <v>37.02276664634968</v>
      </c>
      <c r="U3933">
        <v>165</v>
      </c>
      <c r="V3933">
        <v>14</v>
      </c>
      <c r="W3933">
        <v>316</v>
      </c>
      <c r="X3933">
        <v>144</v>
      </c>
      <c r="Y3933">
        <v>53.3</v>
      </c>
      <c r="Z3933">
        <v>31.1</v>
      </c>
      <c r="AA3933">
        <v>75.5</v>
      </c>
    </row>
    <row r="3934" spans="1:27" x14ac:dyDescent="0.25">
      <c r="A3934" t="s">
        <v>264</v>
      </c>
      <c r="B3934" t="s">
        <v>216</v>
      </c>
      <c r="C3934" s="76">
        <v>43940</v>
      </c>
      <c r="D3934">
        <v>1388</v>
      </c>
      <c r="E3934">
        <v>305</v>
      </c>
      <c r="F3934">
        <v>2471</v>
      </c>
      <c r="G3934">
        <v>749</v>
      </c>
      <c r="H3934">
        <v>65</v>
      </c>
      <c r="I3934">
        <v>55.7</v>
      </c>
      <c r="J3934">
        <v>74.2</v>
      </c>
      <c r="K3934">
        <v>418</v>
      </c>
      <c r="L3934">
        <v>8</v>
      </c>
      <c r="M3934">
        <v>829</v>
      </c>
      <c r="N3934">
        <v>19.600000000000001</v>
      </c>
      <c r="O3934">
        <v>12</v>
      </c>
      <c r="P3934">
        <v>27.1</v>
      </c>
      <c r="Q3934">
        <f t="shared" si="120"/>
        <v>1061509</v>
      </c>
      <c r="R3934">
        <f t="shared" si="121"/>
        <v>39.377904473725614</v>
      </c>
      <c r="U3934">
        <v>166</v>
      </c>
      <c r="V3934">
        <v>11</v>
      </c>
      <c r="W3934">
        <v>321</v>
      </c>
      <c r="X3934">
        <v>90</v>
      </c>
      <c r="Y3934">
        <v>64.900000000000006</v>
      </c>
      <c r="Z3934">
        <v>48.6</v>
      </c>
      <c r="AA3934">
        <v>81.099999999999994</v>
      </c>
    </row>
    <row r="3935" spans="1:27" x14ac:dyDescent="0.25">
      <c r="A3935" t="s">
        <v>264</v>
      </c>
      <c r="B3935" t="s">
        <v>216</v>
      </c>
      <c r="C3935" s="76">
        <v>43941</v>
      </c>
      <c r="D3935">
        <v>1402</v>
      </c>
      <c r="E3935">
        <v>282</v>
      </c>
      <c r="F3935">
        <v>2521</v>
      </c>
      <c r="G3935">
        <v>644</v>
      </c>
      <c r="H3935">
        <v>68.5</v>
      </c>
      <c r="I3935">
        <v>61.1</v>
      </c>
      <c r="J3935">
        <v>75.900000000000006</v>
      </c>
      <c r="K3935">
        <v>430</v>
      </c>
      <c r="L3935">
        <v>13</v>
      </c>
      <c r="M3935">
        <v>847</v>
      </c>
      <c r="N3935">
        <v>21</v>
      </c>
      <c r="O3935">
        <v>13.9</v>
      </c>
      <c r="P3935">
        <v>28.1</v>
      </c>
      <c r="Q3935">
        <f t="shared" si="120"/>
        <v>1061509</v>
      </c>
      <c r="R3935">
        <f t="shared" si="121"/>
        <v>40.508370630866061</v>
      </c>
      <c r="U3935">
        <v>177</v>
      </c>
      <c r="V3935">
        <v>14</v>
      </c>
      <c r="W3935">
        <v>339</v>
      </c>
      <c r="X3935">
        <v>77</v>
      </c>
      <c r="Y3935">
        <v>69.8</v>
      </c>
      <c r="Z3935">
        <v>58</v>
      </c>
      <c r="AA3935">
        <v>81.5</v>
      </c>
    </row>
    <row r="3936" spans="1:27" x14ac:dyDescent="0.25">
      <c r="A3936" t="s">
        <v>264</v>
      </c>
      <c r="B3936" t="s">
        <v>216</v>
      </c>
      <c r="C3936" s="76">
        <v>43942</v>
      </c>
      <c r="D3936">
        <v>1525</v>
      </c>
      <c r="E3936">
        <v>304</v>
      </c>
      <c r="F3936">
        <v>2745</v>
      </c>
      <c r="G3936">
        <v>657</v>
      </c>
      <c r="H3936">
        <v>69.900000000000006</v>
      </c>
      <c r="I3936">
        <v>63.4</v>
      </c>
      <c r="J3936">
        <v>76.400000000000006</v>
      </c>
      <c r="K3936">
        <v>434</v>
      </c>
      <c r="L3936">
        <v>15</v>
      </c>
      <c r="M3936">
        <v>852</v>
      </c>
      <c r="N3936">
        <v>19.899999999999999</v>
      </c>
      <c r="O3936">
        <v>11.6</v>
      </c>
      <c r="P3936">
        <v>28.1</v>
      </c>
      <c r="Q3936">
        <f t="shared" si="120"/>
        <v>1061509</v>
      </c>
      <c r="R3936">
        <f t="shared" si="121"/>
        <v>40.88519268324621</v>
      </c>
      <c r="U3936">
        <v>216</v>
      </c>
      <c r="V3936">
        <v>0</v>
      </c>
      <c r="W3936">
        <v>437</v>
      </c>
      <c r="X3936">
        <v>115</v>
      </c>
      <c r="Y3936">
        <v>65.3</v>
      </c>
      <c r="Z3936">
        <v>45.2</v>
      </c>
      <c r="AA3936">
        <v>85.4</v>
      </c>
    </row>
    <row r="3937" spans="1:27" x14ac:dyDescent="0.25">
      <c r="A3937" t="s">
        <v>264</v>
      </c>
      <c r="B3937" t="s">
        <v>216</v>
      </c>
      <c r="C3937" s="76">
        <v>43943</v>
      </c>
      <c r="D3937">
        <v>1540</v>
      </c>
      <c r="E3937">
        <v>312</v>
      </c>
      <c r="F3937">
        <v>2768</v>
      </c>
      <c r="G3937">
        <v>700</v>
      </c>
      <c r="H3937">
        <v>68.8</v>
      </c>
      <c r="I3937">
        <v>60.8</v>
      </c>
      <c r="J3937">
        <v>76.7</v>
      </c>
      <c r="K3937">
        <v>431</v>
      </c>
      <c r="L3937">
        <v>13</v>
      </c>
      <c r="M3937">
        <v>848</v>
      </c>
      <c r="N3937">
        <v>19.2</v>
      </c>
      <c r="O3937">
        <v>11.3</v>
      </c>
      <c r="P3937">
        <v>27.2</v>
      </c>
      <c r="Q3937">
        <f t="shared" si="120"/>
        <v>1061509</v>
      </c>
      <c r="R3937">
        <f t="shared" si="121"/>
        <v>40.602576143961095</v>
      </c>
      <c r="U3937">
        <v>261</v>
      </c>
      <c r="V3937">
        <v>0</v>
      </c>
      <c r="W3937">
        <v>524</v>
      </c>
      <c r="X3937">
        <v>112</v>
      </c>
      <c r="Y3937">
        <v>70</v>
      </c>
      <c r="Z3937">
        <v>51.9</v>
      </c>
      <c r="AA3937">
        <v>88.1</v>
      </c>
    </row>
    <row r="3938" spans="1:27" x14ac:dyDescent="0.25">
      <c r="A3938" t="s">
        <v>264</v>
      </c>
      <c r="B3938" t="s">
        <v>216</v>
      </c>
      <c r="C3938" s="76">
        <v>43944</v>
      </c>
      <c r="D3938">
        <v>1350</v>
      </c>
      <c r="E3938">
        <v>303</v>
      </c>
      <c r="F3938">
        <v>2397</v>
      </c>
      <c r="G3938">
        <v>689</v>
      </c>
      <c r="H3938">
        <v>66.2</v>
      </c>
      <c r="I3938">
        <v>59.6</v>
      </c>
      <c r="J3938">
        <v>72.900000000000006</v>
      </c>
      <c r="K3938">
        <v>372</v>
      </c>
      <c r="L3938">
        <v>36</v>
      </c>
      <c r="M3938">
        <v>708</v>
      </c>
      <c r="N3938">
        <v>18.2</v>
      </c>
      <c r="O3938">
        <v>12</v>
      </c>
      <c r="P3938">
        <v>24.5</v>
      </c>
      <c r="Q3938">
        <f t="shared" si="120"/>
        <v>1061509</v>
      </c>
      <c r="R3938">
        <f t="shared" si="121"/>
        <v>35.044450871353895</v>
      </c>
      <c r="U3938">
        <v>264</v>
      </c>
      <c r="V3938">
        <v>0</v>
      </c>
      <c r="W3938">
        <v>528</v>
      </c>
      <c r="X3938">
        <v>46</v>
      </c>
      <c r="Y3938">
        <v>85.3</v>
      </c>
      <c r="Z3938">
        <v>76.400000000000006</v>
      </c>
      <c r="AA3938">
        <v>94.1</v>
      </c>
    </row>
    <row r="3939" spans="1:27" x14ac:dyDescent="0.25">
      <c r="A3939" t="s">
        <v>264</v>
      </c>
      <c r="B3939" t="s">
        <v>216</v>
      </c>
      <c r="C3939" s="76">
        <v>43945</v>
      </c>
      <c r="D3939">
        <v>1367</v>
      </c>
      <c r="E3939">
        <v>268</v>
      </c>
      <c r="F3939">
        <v>2466</v>
      </c>
      <c r="G3939">
        <v>632</v>
      </c>
      <c r="H3939">
        <v>68.400000000000006</v>
      </c>
      <c r="I3939">
        <v>60.1</v>
      </c>
      <c r="J3939">
        <v>76.7</v>
      </c>
      <c r="K3939">
        <v>455</v>
      </c>
      <c r="L3939">
        <v>11</v>
      </c>
      <c r="M3939">
        <v>899</v>
      </c>
      <c r="N3939">
        <v>22.8</v>
      </c>
      <c r="O3939">
        <v>13.8</v>
      </c>
      <c r="P3939">
        <v>31.7</v>
      </c>
      <c r="Q3939">
        <f t="shared" si="120"/>
        <v>1061509</v>
      </c>
      <c r="R3939">
        <f t="shared" si="121"/>
        <v>42.863508458241995</v>
      </c>
      <c r="U3939">
        <v>266</v>
      </c>
      <c r="V3939">
        <v>0</v>
      </c>
      <c r="W3939">
        <v>535</v>
      </c>
      <c r="X3939">
        <v>54</v>
      </c>
      <c r="Y3939">
        <v>83.1</v>
      </c>
      <c r="Z3939">
        <v>70.900000000000006</v>
      </c>
      <c r="AA3939">
        <v>95.4</v>
      </c>
    </row>
    <row r="3940" spans="1:27" x14ac:dyDescent="0.25">
      <c r="A3940" t="s">
        <v>264</v>
      </c>
      <c r="B3940" t="s">
        <v>216</v>
      </c>
      <c r="C3940" s="76">
        <v>43946</v>
      </c>
      <c r="D3940">
        <v>1372</v>
      </c>
      <c r="E3940">
        <v>259</v>
      </c>
      <c r="F3940">
        <v>2485</v>
      </c>
      <c r="G3940">
        <v>809</v>
      </c>
      <c r="H3940">
        <v>62.9</v>
      </c>
      <c r="I3940">
        <v>51.4</v>
      </c>
      <c r="J3940">
        <v>74.5</v>
      </c>
      <c r="K3940">
        <v>420</v>
      </c>
      <c r="L3940">
        <v>5</v>
      </c>
      <c r="M3940">
        <v>835</v>
      </c>
      <c r="N3940">
        <v>19.3</v>
      </c>
      <c r="O3940">
        <v>10.5</v>
      </c>
      <c r="P3940">
        <v>28.1</v>
      </c>
      <c r="Q3940">
        <f t="shared" si="120"/>
        <v>1061509</v>
      </c>
      <c r="R3940">
        <f t="shared" si="121"/>
        <v>39.566315499915689</v>
      </c>
      <c r="U3940">
        <v>260</v>
      </c>
      <c r="V3940">
        <v>0</v>
      </c>
      <c r="W3940">
        <v>522</v>
      </c>
      <c r="X3940">
        <v>48</v>
      </c>
      <c r="Y3940">
        <v>84.4</v>
      </c>
      <c r="Z3940">
        <v>74.3</v>
      </c>
      <c r="AA3940">
        <v>94.5</v>
      </c>
    </row>
    <row r="3941" spans="1:27" x14ac:dyDescent="0.25">
      <c r="A3941" t="s">
        <v>264</v>
      </c>
      <c r="B3941" t="s">
        <v>216</v>
      </c>
      <c r="C3941" s="76">
        <v>43947</v>
      </c>
      <c r="D3941">
        <v>1759</v>
      </c>
      <c r="E3941">
        <v>0</v>
      </c>
      <c r="F3941">
        <v>3824</v>
      </c>
      <c r="G3941">
        <v>852</v>
      </c>
      <c r="H3941">
        <v>67.400000000000006</v>
      </c>
      <c r="I3941">
        <v>59.5</v>
      </c>
      <c r="J3941">
        <v>75.2</v>
      </c>
      <c r="K3941">
        <v>608</v>
      </c>
      <c r="L3941">
        <v>0</v>
      </c>
      <c r="M3941">
        <v>1414</v>
      </c>
      <c r="N3941">
        <v>23.3</v>
      </c>
      <c r="O3941">
        <v>15.5</v>
      </c>
      <c r="P3941">
        <v>31.1</v>
      </c>
      <c r="Q3941">
        <f t="shared" si="120"/>
        <v>1061509</v>
      </c>
      <c r="R3941">
        <f t="shared" si="121"/>
        <v>57.276951961782707</v>
      </c>
      <c r="U3941">
        <v>318</v>
      </c>
      <c r="V3941">
        <v>0</v>
      </c>
      <c r="W3941">
        <v>683</v>
      </c>
      <c r="X3941">
        <v>103</v>
      </c>
      <c r="Y3941">
        <v>75.5</v>
      </c>
      <c r="Z3941">
        <v>66</v>
      </c>
      <c r="AA3941">
        <v>85.1</v>
      </c>
    </row>
    <row r="3942" spans="1:27" x14ac:dyDescent="0.25">
      <c r="A3942" t="s">
        <v>264</v>
      </c>
      <c r="B3942" t="s">
        <v>216</v>
      </c>
      <c r="C3942" s="76">
        <v>43948</v>
      </c>
      <c r="D3942">
        <v>1812</v>
      </c>
      <c r="E3942">
        <v>0</v>
      </c>
      <c r="F3942">
        <v>3924</v>
      </c>
      <c r="G3942">
        <v>780</v>
      </c>
      <c r="H3942">
        <v>69.900000000000006</v>
      </c>
      <c r="I3942">
        <v>61.7</v>
      </c>
      <c r="J3942">
        <v>78.099999999999994</v>
      </c>
      <c r="K3942">
        <v>653</v>
      </c>
      <c r="L3942">
        <v>0</v>
      </c>
      <c r="M3942">
        <v>1496</v>
      </c>
      <c r="N3942">
        <v>25.2</v>
      </c>
      <c r="O3942">
        <v>17.3</v>
      </c>
      <c r="P3942">
        <v>33.1</v>
      </c>
      <c r="Q3942">
        <f t="shared" si="120"/>
        <v>1061509</v>
      </c>
      <c r="R3942">
        <f t="shared" si="121"/>
        <v>61.516200051059386</v>
      </c>
      <c r="U3942">
        <v>326</v>
      </c>
      <c r="V3942">
        <v>0</v>
      </c>
      <c r="W3942">
        <v>693</v>
      </c>
      <c r="X3942">
        <v>95</v>
      </c>
      <c r="Y3942">
        <v>77.400000000000006</v>
      </c>
      <c r="Z3942">
        <v>64.8</v>
      </c>
      <c r="AA3942">
        <v>90.1</v>
      </c>
    </row>
    <row r="3943" spans="1:27" x14ac:dyDescent="0.25">
      <c r="A3943" t="s">
        <v>264</v>
      </c>
      <c r="B3943" t="s">
        <v>216</v>
      </c>
      <c r="C3943" s="76">
        <v>43949</v>
      </c>
      <c r="D3943">
        <v>1893</v>
      </c>
      <c r="E3943">
        <v>0</v>
      </c>
      <c r="F3943">
        <v>4067</v>
      </c>
      <c r="G3943">
        <v>781</v>
      </c>
      <c r="H3943">
        <v>70.8</v>
      </c>
      <c r="I3943">
        <v>60.1</v>
      </c>
      <c r="J3943">
        <v>81.5</v>
      </c>
      <c r="K3943">
        <v>624</v>
      </c>
      <c r="L3943">
        <v>0</v>
      </c>
      <c r="M3943">
        <v>1426</v>
      </c>
      <c r="N3943">
        <v>23.3</v>
      </c>
      <c r="O3943">
        <v>15.9</v>
      </c>
      <c r="P3943">
        <v>30.8</v>
      </c>
      <c r="Q3943">
        <f t="shared" ref="Q3943:Q4006" si="122">VLOOKUP(B3943,$AE$4:$AF$55,2,FALSE)</f>
        <v>1061509</v>
      </c>
      <c r="R3943">
        <f t="shared" si="121"/>
        <v>58.784240171303303</v>
      </c>
      <c r="U3943">
        <v>295</v>
      </c>
      <c r="V3943">
        <v>0</v>
      </c>
      <c r="W3943">
        <v>623</v>
      </c>
      <c r="X3943">
        <v>94</v>
      </c>
      <c r="Y3943">
        <v>76</v>
      </c>
      <c r="Z3943">
        <v>64.099999999999994</v>
      </c>
      <c r="AA3943">
        <v>87.8</v>
      </c>
    </row>
    <row r="3944" spans="1:27" x14ac:dyDescent="0.25">
      <c r="A3944" t="s">
        <v>264</v>
      </c>
      <c r="B3944" t="s">
        <v>216</v>
      </c>
      <c r="C3944" s="76">
        <v>43950</v>
      </c>
      <c r="D3944">
        <v>1963</v>
      </c>
      <c r="E3944">
        <v>0</v>
      </c>
      <c r="F3944">
        <v>4210</v>
      </c>
      <c r="G3944">
        <v>594</v>
      </c>
      <c r="H3944">
        <v>76.8</v>
      </c>
      <c r="I3944">
        <v>64.400000000000006</v>
      </c>
      <c r="J3944">
        <v>89.2</v>
      </c>
      <c r="K3944">
        <v>593</v>
      </c>
      <c r="L3944">
        <v>0</v>
      </c>
      <c r="M3944">
        <v>1341</v>
      </c>
      <c r="N3944">
        <v>23.2</v>
      </c>
      <c r="O3944">
        <v>14.8</v>
      </c>
      <c r="P3944">
        <v>31.7</v>
      </c>
      <c r="Q3944">
        <f t="shared" si="122"/>
        <v>1061509</v>
      </c>
      <c r="R3944">
        <f t="shared" si="121"/>
        <v>55.863869265357152</v>
      </c>
      <c r="U3944">
        <v>297</v>
      </c>
      <c r="V3944">
        <v>0</v>
      </c>
      <c r="W3944">
        <v>633</v>
      </c>
      <c r="X3944">
        <v>136</v>
      </c>
      <c r="Y3944">
        <v>68.7</v>
      </c>
      <c r="Z3944">
        <v>54.6</v>
      </c>
      <c r="AA3944">
        <v>82.8</v>
      </c>
    </row>
    <row r="3945" spans="1:27" x14ac:dyDescent="0.25">
      <c r="A3945" t="s">
        <v>264</v>
      </c>
      <c r="B3945" t="s">
        <v>216</v>
      </c>
      <c r="C3945" s="76">
        <v>43951</v>
      </c>
      <c r="D3945">
        <v>1934</v>
      </c>
      <c r="E3945">
        <v>0</v>
      </c>
      <c r="F3945">
        <v>4096</v>
      </c>
      <c r="G3945">
        <v>655</v>
      </c>
      <c r="H3945">
        <v>74.7</v>
      </c>
      <c r="I3945">
        <v>61.8</v>
      </c>
      <c r="J3945">
        <v>87.6</v>
      </c>
      <c r="K3945">
        <v>600</v>
      </c>
      <c r="L3945">
        <v>0</v>
      </c>
      <c r="M3945">
        <v>1388</v>
      </c>
      <c r="N3945">
        <v>23.2</v>
      </c>
      <c r="O3945">
        <v>12.6</v>
      </c>
      <c r="P3945">
        <v>33.700000000000003</v>
      </c>
      <c r="Q3945">
        <f t="shared" si="122"/>
        <v>1061509</v>
      </c>
      <c r="R3945">
        <f t="shared" si="121"/>
        <v>56.523307857022402</v>
      </c>
      <c r="U3945">
        <v>309</v>
      </c>
      <c r="V3945">
        <v>0</v>
      </c>
      <c r="W3945">
        <v>683</v>
      </c>
      <c r="X3945">
        <v>95</v>
      </c>
      <c r="Y3945">
        <v>76.599999999999994</v>
      </c>
      <c r="Z3945">
        <v>58.8</v>
      </c>
      <c r="AA3945">
        <v>94.4</v>
      </c>
    </row>
    <row r="3946" spans="1:27" x14ac:dyDescent="0.25">
      <c r="A3946" t="s">
        <v>264</v>
      </c>
      <c r="B3946" t="s">
        <v>216</v>
      </c>
      <c r="C3946" s="76">
        <v>43952</v>
      </c>
      <c r="D3946">
        <v>1774</v>
      </c>
      <c r="E3946">
        <v>0</v>
      </c>
      <c r="F3946">
        <v>3659</v>
      </c>
      <c r="G3946">
        <v>819</v>
      </c>
      <c r="H3946">
        <v>68.400000000000006</v>
      </c>
      <c r="I3946">
        <v>62.1</v>
      </c>
      <c r="J3946">
        <v>74.8</v>
      </c>
      <c r="K3946">
        <v>534</v>
      </c>
      <c r="L3946">
        <v>0</v>
      </c>
      <c r="M3946">
        <v>1178</v>
      </c>
      <c r="N3946">
        <v>20.6</v>
      </c>
      <c r="O3946">
        <v>14</v>
      </c>
      <c r="P3946">
        <v>27.2</v>
      </c>
      <c r="Q3946">
        <f t="shared" si="122"/>
        <v>1061509</v>
      </c>
      <c r="R3946">
        <f t="shared" si="121"/>
        <v>50.305743992749946</v>
      </c>
      <c r="U3946">
        <v>299</v>
      </c>
      <c r="V3946">
        <v>0</v>
      </c>
      <c r="W3946">
        <v>649</v>
      </c>
      <c r="X3946">
        <v>60</v>
      </c>
      <c r="Y3946">
        <v>83.3</v>
      </c>
      <c r="Z3946">
        <v>63.5</v>
      </c>
      <c r="AA3946">
        <v>100</v>
      </c>
    </row>
    <row r="3947" spans="1:27" x14ac:dyDescent="0.25">
      <c r="A3947" t="s">
        <v>264</v>
      </c>
      <c r="B3947" t="s">
        <v>216</v>
      </c>
      <c r="C3947" s="76">
        <v>43953</v>
      </c>
      <c r="D3947">
        <v>1873</v>
      </c>
      <c r="E3947">
        <v>0</v>
      </c>
      <c r="F3947">
        <v>3909</v>
      </c>
      <c r="G3947">
        <v>689</v>
      </c>
      <c r="H3947">
        <v>73.099999999999994</v>
      </c>
      <c r="I3947">
        <v>65</v>
      </c>
      <c r="J3947">
        <v>81.2</v>
      </c>
      <c r="K3947">
        <v>612</v>
      </c>
      <c r="L3947">
        <v>0</v>
      </c>
      <c r="M3947">
        <v>1313</v>
      </c>
      <c r="N3947">
        <v>23.9</v>
      </c>
      <c r="O3947">
        <v>18.3</v>
      </c>
      <c r="P3947">
        <v>29.5</v>
      </c>
      <c r="Q3947">
        <f t="shared" si="122"/>
        <v>1061509</v>
      </c>
      <c r="R3947">
        <f t="shared" si="121"/>
        <v>57.653774014162856</v>
      </c>
      <c r="U3947">
        <v>339</v>
      </c>
      <c r="V3947">
        <v>0</v>
      </c>
      <c r="W3947">
        <v>744</v>
      </c>
      <c r="X3947">
        <v>102</v>
      </c>
      <c r="Y3947">
        <v>76.900000000000006</v>
      </c>
      <c r="Z3947">
        <v>65.900000000000006</v>
      </c>
      <c r="AA3947">
        <v>88</v>
      </c>
    </row>
    <row r="3948" spans="1:27" x14ac:dyDescent="0.25">
      <c r="A3948" t="s">
        <v>264</v>
      </c>
      <c r="B3948" t="s">
        <v>216</v>
      </c>
      <c r="C3948" s="76">
        <v>43954</v>
      </c>
      <c r="D3948">
        <v>1497</v>
      </c>
      <c r="E3948">
        <v>303</v>
      </c>
      <c r="F3948">
        <v>2691</v>
      </c>
      <c r="G3948">
        <v>792</v>
      </c>
      <c r="H3948">
        <v>65.400000000000006</v>
      </c>
      <c r="I3948">
        <v>53.5</v>
      </c>
      <c r="J3948">
        <v>77.3</v>
      </c>
      <c r="K3948">
        <v>329</v>
      </c>
      <c r="L3948">
        <v>62</v>
      </c>
      <c r="M3948">
        <v>595</v>
      </c>
      <c r="N3948">
        <v>14.4</v>
      </c>
      <c r="O3948">
        <v>7.7</v>
      </c>
      <c r="P3948">
        <v>21</v>
      </c>
      <c r="Q3948">
        <f t="shared" si="122"/>
        <v>1061509</v>
      </c>
      <c r="R3948">
        <f t="shared" si="121"/>
        <v>30.993613808267288</v>
      </c>
      <c r="U3948">
        <v>256</v>
      </c>
      <c r="V3948">
        <v>11</v>
      </c>
      <c r="W3948">
        <v>501</v>
      </c>
      <c r="X3948">
        <v>72</v>
      </c>
      <c r="Y3948">
        <v>78</v>
      </c>
      <c r="Z3948">
        <v>65.099999999999994</v>
      </c>
      <c r="AA3948">
        <v>90.9</v>
      </c>
    </row>
    <row r="3949" spans="1:27" x14ac:dyDescent="0.25">
      <c r="A3949" t="s">
        <v>264</v>
      </c>
      <c r="B3949" t="s">
        <v>216</v>
      </c>
      <c r="C3949" s="76">
        <v>43955</v>
      </c>
      <c r="D3949">
        <v>1503</v>
      </c>
      <c r="E3949">
        <v>313</v>
      </c>
      <c r="F3949">
        <v>2693</v>
      </c>
      <c r="G3949">
        <v>787</v>
      </c>
      <c r="H3949">
        <v>65.599999999999994</v>
      </c>
      <c r="I3949">
        <v>53.3</v>
      </c>
      <c r="J3949">
        <v>78</v>
      </c>
      <c r="K3949">
        <v>415</v>
      </c>
      <c r="L3949">
        <v>41</v>
      </c>
      <c r="M3949">
        <v>789</v>
      </c>
      <c r="N3949">
        <v>18.100000000000001</v>
      </c>
      <c r="O3949">
        <v>10.8</v>
      </c>
      <c r="P3949">
        <v>25.4</v>
      </c>
      <c r="Q3949">
        <f t="shared" si="122"/>
        <v>1061509</v>
      </c>
      <c r="R3949">
        <f t="shared" si="121"/>
        <v>39.095287934440499</v>
      </c>
      <c r="U3949">
        <v>246</v>
      </c>
      <c r="V3949">
        <v>15</v>
      </c>
      <c r="W3949">
        <v>477</v>
      </c>
      <c r="X3949">
        <v>83</v>
      </c>
      <c r="Y3949">
        <v>74.7</v>
      </c>
      <c r="Z3949">
        <v>59.6</v>
      </c>
      <c r="AA3949">
        <v>89.9</v>
      </c>
    </row>
    <row r="3950" spans="1:27" x14ac:dyDescent="0.25">
      <c r="A3950" t="s">
        <v>264</v>
      </c>
      <c r="B3950" t="s">
        <v>216</v>
      </c>
      <c r="C3950" s="76">
        <v>43956</v>
      </c>
      <c r="D3950">
        <v>1572</v>
      </c>
      <c r="E3950">
        <v>318</v>
      </c>
      <c r="F3950">
        <v>2826</v>
      </c>
      <c r="G3950">
        <v>807</v>
      </c>
      <c r="H3950">
        <v>66.099999999999994</v>
      </c>
      <c r="I3950">
        <v>55.3</v>
      </c>
      <c r="J3950">
        <v>76.8</v>
      </c>
      <c r="K3950">
        <v>404</v>
      </c>
      <c r="L3950">
        <v>44</v>
      </c>
      <c r="M3950">
        <v>764</v>
      </c>
      <c r="N3950">
        <v>17</v>
      </c>
      <c r="O3950">
        <v>10.8</v>
      </c>
      <c r="P3950">
        <v>23.2</v>
      </c>
      <c r="Q3950">
        <f t="shared" si="122"/>
        <v>1061509</v>
      </c>
      <c r="R3950">
        <f t="shared" si="121"/>
        <v>38.059027290395086</v>
      </c>
      <c r="U3950">
        <v>255</v>
      </c>
      <c r="V3950">
        <v>8</v>
      </c>
      <c r="W3950">
        <v>502</v>
      </c>
      <c r="X3950">
        <v>74</v>
      </c>
      <c r="Y3950">
        <v>77.5</v>
      </c>
      <c r="Z3950">
        <v>62.2</v>
      </c>
      <c r="AA3950">
        <v>92.8</v>
      </c>
    </row>
    <row r="3951" spans="1:27" x14ac:dyDescent="0.25">
      <c r="A3951" t="s">
        <v>264</v>
      </c>
      <c r="B3951" t="s">
        <v>216</v>
      </c>
      <c r="C3951" s="76">
        <v>43957</v>
      </c>
      <c r="D3951">
        <v>1595</v>
      </c>
      <c r="E3951">
        <v>322</v>
      </c>
      <c r="F3951">
        <v>2869</v>
      </c>
      <c r="G3951">
        <v>793</v>
      </c>
      <c r="H3951">
        <v>66.8</v>
      </c>
      <c r="I3951">
        <v>55.5</v>
      </c>
      <c r="J3951">
        <v>78.2</v>
      </c>
      <c r="K3951">
        <v>393</v>
      </c>
      <c r="L3951">
        <v>25</v>
      </c>
      <c r="M3951">
        <v>760</v>
      </c>
      <c r="N3951">
        <v>16.5</v>
      </c>
      <c r="O3951">
        <v>10.199999999999999</v>
      </c>
      <c r="P3951">
        <v>22.7</v>
      </c>
      <c r="Q3951">
        <f t="shared" si="122"/>
        <v>1061509</v>
      </c>
      <c r="R3951">
        <f t="shared" si="121"/>
        <v>37.02276664634968</v>
      </c>
      <c r="U3951">
        <v>261</v>
      </c>
      <c r="V3951">
        <v>9</v>
      </c>
      <c r="W3951">
        <v>512</v>
      </c>
      <c r="X3951">
        <v>77</v>
      </c>
      <c r="Y3951">
        <v>77.099999999999994</v>
      </c>
      <c r="Z3951">
        <v>62.5</v>
      </c>
      <c r="AA3951">
        <v>91.7</v>
      </c>
    </row>
    <row r="3952" spans="1:27" x14ac:dyDescent="0.25">
      <c r="A3952" t="s">
        <v>264</v>
      </c>
      <c r="B3952" t="s">
        <v>216</v>
      </c>
      <c r="C3952" s="76">
        <v>43958</v>
      </c>
      <c r="D3952">
        <v>1580</v>
      </c>
      <c r="E3952">
        <v>321</v>
      </c>
      <c r="F3952">
        <v>2840</v>
      </c>
      <c r="G3952">
        <v>793</v>
      </c>
      <c r="H3952">
        <v>66.599999999999994</v>
      </c>
      <c r="I3952">
        <v>56.3</v>
      </c>
      <c r="J3952">
        <v>76.900000000000006</v>
      </c>
      <c r="K3952">
        <v>354</v>
      </c>
      <c r="L3952">
        <v>31</v>
      </c>
      <c r="M3952">
        <v>677</v>
      </c>
      <c r="N3952">
        <v>14.9</v>
      </c>
      <c r="O3952">
        <v>9.1</v>
      </c>
      <c r="P3952">
        <v>20.7</v>
      </c>
      <c r="Q3952">
        <f t="shared" si="122"/>
        <v>1061509</v>
      </c>
      <c r="R3952">
        <f t="shared" si="121"/>
        <v>33.348751635643218</v>
      </c>
      <c r="U3952">
        <v>258</v>
      </c>
      <c r="V3952">
        <v>6</v>
      </c>
      <c r="W3952">
        <v>511</v>
      </c>
      <c r="X3952">
        <v>68</v>
      </c>
      <c r="Y3952">
        <v>79.2</v>
      </c>
      <c r="Z3952">
        <v>65.8</v>
      </c>
      <c r="AA3952">
        <v>92.5</v>
      </c>
    </row>
    <row r="3953" spans="1:27" x14ac:dyDescent="0.25">
      <c r="A3953" t="s">
        <v>264</v>
      </c>
      <c r="B3953" t="s">
        <v>216</v>
      </c>
      <c r="C3953" s="76">
        <v>43959</v>
      </c>
      <c r="D3953">
        <v>1605</v>
      </c>
      <c r="E3953">
        <v>309</v>
      </c>
      <c r="F3953">
        <v>2901</v>
      </c>
      <c r="G3953">
        <v>769</v>
      </c>
      <c r="H3953">
        <v>67.599999999999994</v>
      </c>
      <c r="I3953">
        <v>54.6</v>
      </c>
      <c r="J3953">
        <v>80.599999999999994</v>
      </c>
      <c r="K3953">
        <v>343</v>
      </c>
      <c r="L3953">
        <v>25</v>
      </c>
      <c r="M3953">
        <v>660</v>
      </c>
      <c r="N3953">
        <v>14.4</v>
      </c>
      <c r="O3953">
        <v>8.9</v>
      </c>
      <c r="P3953">
        <v>19.899999999999999</v>
      </c>
      <c r="Q3953">
        <f t="shared" si="122"/>
        <v>1061509</v>
      </c>
      <c r="R3953">
        <f t="shared" si="121"/>
        <v>32.312490991597812</v>
      </c>
      <c r="U3953">
        <v>253</v>
      </c>
      <c r="V3953">
        <v>6</v>
      </c>
      <c r="W3953">
        <v>499</v>
      </c>
      <c r="X3953">
        <v>70</v>
      </c>
      <c r="Y3953">
        <v>78.2</v>
      </c>
      <c r="Z3953">
        <v>64.599999999999994</v>
      </c>
      <c r="AA3953">
        <v>91.9</v>
      </c>
    </row>
    <row r="3954" spans="1:27" x14ac:dyDescent="0.25">
      <c r="A3954" t="s">
        <v>264</v>
      </c>
      <c r="B3954" t="s">
        <v>216</v>
      </c>
      <c r="C3954" s="76">
        <v>43960</v>
      </c>
      <c r="D3954">
        <v>1530</v>
      </c>
      <c r="E3954">
        <v>331</v>
      </c>
      <c r="F3954">
        <v>2728</v>
      </c>
      <c r="G3954">
        <v>668</v>
      </c>
      <c r="H3954">
        <v>69.599999999999994</v>
      </c>
      <c r="I3954">
        <v>62.5</v>
      </c>
      <c r="J3954">
        <v>76.7</v>
      </c>
      <c r="K3954">
        <v>324</v>
      </c>
      <c r="L3954">
        <v>26</v>
      </c>
      <c r="M3954">
        <v>622</v>
      </c>
      <c r="N3954">
        <v>14.7</v>
      </c>
      <c r="O3954">
        <v>9.8000000000000007</v>
      </c>
      <c r="P3954">
        <v>19.7</v>
      </c>
      <c r="Q3954">
        <f t="shared" si="122"/>
        <v>1061509</v>
      </c>
      <c r="R3954">
        <f t="shared" si="121"/>
        <v>30.522586242792102</v>
      </c>
      <c r="U3954">
        <v>237</v>
      </c>
      <c r="V3954">
        <v>9</v>
      </c>
      <c r="W3954">
        <v>466</v>
      </c>
      <c r="X3954">
        <v>82</v>
      </c>
      <c r="Y3954">
        <v>74.400000000000006</v>
      </c>
      <c r="Z3954">
        <v>60</v>
      </c>
      <c r="AA3954">
        <v>88.8</v>
      </c>
    </row>
    <row r="3955" spans="1:27" x14ac:dyDescent="0.25">
      <c r="A3955" t="s">
        <v>264</v>
      </c>
      <c r="B3955" t="s">
        <v>216</v>
      </c>
      <c r="C3955" s="76">
        <v>43961</v>
      </c>
      <c r="D3955">
        <v>1479</v>
      </c>
      <c r="E3955">
        <v>308</v>
      </c>
      <c r="F3955">
        <v>2650</v>
      </c>
      <c r="G3955">
        <v>719</v>
      </c>
      <c r="H3955">
        <v>67.3</v>
      </c>
      <c r="I3955">
        <v>60.2</v>
      </c>
      <c r="J3955">
        <v>74.3</v>
      </c>
      <c r="K3955">
        <v>347</v>
      </c>
      <c r="L3955">
        <v>33</v>
      </c>
      <c r="M3955">
        <v>661</v>
      </c>
      <c r="N3955">
        <v>15.8</v>
      </c>
      <c r="O3955">
        <v>10.1</v>
      </c>
      <c r="P3955">
        <v>21.5</v>
      </c>
      <c r="Q3955">
        <f t="shared" si="122"/>
        <v>1061509</v>
      </c>
      <c r="R3955">
        <f t="shared" si="121"/>
        <v>32.689313043977961</v>
      </c>
      <c r="U3955">
        <v>232</v>
      </c>
      <c r="V3955">
        <v>11</v>
      </c>
      <c r="W3955">
        <v>453</v>
      </c>
      <c r="X3955">
        <v>87</v>
      </c>
      <c r="Y3955">
        <v>72.7</v>
      </c>
      <c r="Z3955">
        <v>58</v>
      </c>
      <c r="AA3955">
        <v>87.4</v>
      </c>
    </row>
    <row r="3956" spans="1:27" x14ac:dyDescent="0.25">
      <c r="A3956" t="s">
        <v>264</v>
      </c>
      <c r="B3956" t="s">
        <v>216</v>
      </c>
      <c r="C3956" s="76">
        <v>43962</v>
      </c>
      <c r="D3956">
        <v>1452</v>
      </c>
      <c r="E3956">
        <v>281</v>
      </c>
      <c r="F3956">
        <v>2623</v>
      </c>
      <c r="G3956">
        <v>919</v>
      </c>
      <c r="H3956">
        <v>61.2</v>
      </c>
      <c r="I3956">
        <v>52</v>
      </c>
      <c r="J3956">
        <v>70.5</v>
      </c>
      <c r="K3956">
        <v>303</v>
      </c>
      <c r="L3956">
        <v>38</v>
      </c>
      <c r="M3956">
        <v>568</v>
      </c>
      <c r="N3956">
        <v>12.8</v>
      </c>
      <c r="O3956">
        <v>7.7</v>
      </c>
      <c r="P3956">
        <v>17.899999999999999</v>
      </c>
      <c r="Q3956">
        <f t="shared" si="122"/>
        <v>1061509</v>
      </c>
      <c r="R3956">
        <f t="shared" si="121"/>
        <v>28.544270467796316</v>
      </c>
      <c r="U3956">
        <v>237</v>
      </c>
      <c r="V3956">
        <v>9</v>
      </c>
      <c r="W3956">
        <v>465</v>
      </c>
      <c r="X3956">
        <v>84</v>
      </c>
      <c r="Y3956">
        <v>73.8</v>
      </c>
      <c r="Z3956">
        <v>59.2</v>
      </c>
      <c r="AA3956">
        <v>88.5</v>
      </c>
    </row>
    <row r="3957" spans="1:27" x14ac:dyDescent="0.25">
      <c r="A3957" t="s">
        <v>264</v>
      </c>
      <c r="B3957" t="s">
        <v>216</v>
      </c>
      <c r="C3957" s="76">
        <v>43963</v>
      </c>
      <c r="D3957">
        <v>1530</v>
      </c>
      <c r="E3957">
        <v>287</v>
      </c>
      <c r="F3957">
        <v>2774</v>
      </c>
      <c r="G3957">
        <v>845</v>
      </c>
      <c r="H3957">
        <v>64.400000000000006</v>
      </c>
      <c r="I3957">
        <v>54.2</v>
      </c>
      <c r="J3957">
        <v>74.599999999999994</v>
      </c>
      <c r="K3957">
        <v>363</v>
      </c>
      <c r="L3957">
        <v>30</v>
      </c>
      <c r="M3957">
        <v>696</v>
      </c>
      <c r="N3957">
        <v>15.3</v>
      </c>
      <c r="O3957">
        <v>9.8000000000000007</v>
      </c>
      <c r="P3957">
        <v>20.8</v>
      </c>
      <c r="Q3957">
        <f t="shared" si="122"/>
        <v>1061509</v>
      </c>
      <c r="R3957">
        <f t="shared" si="121"/>
        <v>34.196601253498557</v>
      </c>
      <c r="U3957">
        <v>257</v>
      </c>
      <c r="V3957">
        <v>11</v>
      </c>
      <c r="W3957">
        <v>503</v>
      </c>
      <c r="X3957">
        <v>71</v>
      </c>
      <c r="Y3957">
        <v>78.400000000000006</v>
      </c>
      <c r="Z3957">
        <v>64</v>
      </c>
      <c r="AA3957">
        <v>92.7</v>
      </c>
    </row>
    <row r="3958" spans="1:27" x14ac:dyDescent="0.25">
      <c r="A3958" t="s">
        <v>264</v>
      </c>
      <c r="B3958" t="s">
        <v>216</v>
      </c>
      <c r="C3958" s="76">
        <v>43964</v>
      </c>
      <c r="D3958">
        <v>1611</v>
      </c>
      <c r="E3958">
        <v>309</v>
      </c>
      <c r="F3958">
        <v>2913</v>
      </c>
      <c r="G3958">
        <v>322</v>
      </c>
      <c r="H3958">
        <v>83.3</v>
      </c>
      <c r="I3958">
        <v>73.099999999999994</v>
      </c>
      <c r="J3958">
        <v>93.5</v>
      </c>
      <c r="K3958">
        <v>354</v>
      </c>
      <c r="L3958">
        <v>25</v>
      </c>
      <c r="M3958">
        <v>682</v>
      </c>
      <c r="N3958">
        <v>18.3</v>
      </c>
      <c r="O3958">
        <v>12.6</v>
      </c>
      <c r="P3958">
        <v>24</v>
      </c>
      <c r="Q3958">
        <f t="shared" si="122"/>
        <v>1061509</v>
      </c>
      <c r="R3958">
        <f t="shared" si="121"/>
        <v>33.348751635643218</v>
      </c>
      <c r="U3958">
        <v>263</v>
      </c>
      <c r="V3958">
        <v>9</v>
      </c>
      <c r="W3958">
        <v>516</v>
      </c>
      <c r="X3958">
        <v>58</v>
      </c>
      <c r="Y3958">
        <v>81.8</v>
      </c>
      <c r="Z3958">
        <v>67.5</v>
      </c>
      <c r="AA3958">
        <v>96.1</v>
      </c>
    </row>
    <row r="3959" spans="1:27" x14ac:dyDescent="0.25">
      <c r="A3959" t="s">
        <v>264</v>
      </c>
      <c r="B3959" t="s">
        <v>216</v>
      </c>
      <c r="C3959" s="76">
        <v>43965</v>
      </c>
      <c r="D3959">
        <v>1616</v>
      </c>
      <c r="E3959">
        <v>314</v>
      </c>
      <c r="F3959">
        <v>2918</v>
      </c>
      <c r="G3959">
        <v>312</v>
      </c>
      <c r="H3959">
        <v>83.8</v>
      </c>
      <c r="I3959">
        <v>75.400000000000006</v>
      </c>
      <c r="J3959">
        <v>92.2</v>
      </c>
      <c r="K3959">
        <v>342</v>
      </c>
      <c r="L3959">
        <v>25</v>
      </c>
      <c r="M3959">
        <v>658</v>
      </c>
      <c r="N3959">
        <v>17.7</v>
      </c>
      <c r="O3959">
        <v>12.3</v>
      </c>
      <c r="P3959">
        <v>23.1</v>
      </c>
      <c r="Q3959">
        <f t="shared" si="122"/>
        <v>1061509</v>
      </c>
      <c r="R3959">
        <f t="shared" si="121"/>
        <v>32.218285478502771</v>
      </c>
      <c r="U3959">
        <v>261</v>
      </c>
      <c r="V3959">
        <v>2</v>
      </c>
      <c r="W3959">
        <v>520</v>
      </c>
      <c r="X3959">
        <v>59</v>
      </c>
      <c r="Y3959">
        <v>81.5</v>
      </c>
      <c r="Z3959">
        <v>66.2</v>
      </c>
      <c r="AA3959">
        <v>96.7</v>
      </c>
    </row>
    <row r="3960" spans="1:27" x14ac:dyDescent="0.25">
      <c r="A3960" t="s">
        <v>264</v>
      </c>
      <c r="B3960" t="s">
        <v>216</v>
      </c>
      <c r="C3960" s="76">
        <v>43966</v>
      </c>
      <c r="D3960">
        <v>1618</v>
      </c>
      <c r="E3960">
        <v>296</v>
      </c>
      <c r="F3960">
        <v>2941</v>
      </c>
      <c r="G3960">
        <v>283</v>
      </c>
      <c r="H3960">
        <v>85.1</v>
      </c>
      <c r="I3960">
        <v>76.8</v>
      </c>
      <c r="J3960">
        <v>93.4</v>
      </c>
      <c r="K3960">
        <v>334</v>
      </c>
      <c r="L3960">
        <v>28</v>
      </c>
      <c r="M3960">
        <v>640</v>
      </c>
      <c r="N3960">
        <v>17.600000000000001</v>
      </c>
      <c r="O3960">
        <v>12.4</v>
      </c>
      <c r="P3960">
        <v>22.7</v>
      </c>
      <c r="Q3960">
        <f t="shared" si="122"/>
        <v>1061509</v>
      </c>
      <c r="R3960">
        <f t="shared" si="121"/>
        <v>31.464641373742477</v>
      </c>
      <c r="U3960">
        <v>256</v>
      </c>
      <c r="V3960">
        <v>0</v>
      </c>
      <c r="W3960">
        <v>516</v>
      </c>
      <c r="X3960">
        <v>62</v>
      </c>
      <c r="Y3960">
        <v>80.5</v>
      </c>
      <c r="Z3960">
        <v>62.7</v>
      </c>
      <c r="AA3960">
        <v>98.4</v>
      </c>
    </row>
    <row r="3961" spans="1:27" x14ac:dyDescent="0.25">
      <c r="A3961" t="s">
        <v>264</v>
      </c>
      <c r="B3961" t="s">
        <v>216</v>
      </c>
      <c r="C3961" s="76">
        <v>43967</v>
      </c>
      <c r="D3961">
        <v>1519</v>
      </c>
      <c r="E3961">
        <v>267</v>
      </c>
      <c r="F3961">
        <v>2770</v>
      </c>
      <c r="G3961">
        <v>441</v>
      </c>
      <c r="H3961">
        <v>77.5</v>
      </c>
      <c r="I3961">
        <v>68.599999999999994</v>
      </c>
      <c r="J3961">
        <v>86.4</v>
      </c>
      <c r="K3961">
        <v>301</v>
      </c>
      <c r="L3961">
        <v>19</v>
      </c>
      <c r="M3961">
        <v>583</v>
      </c>
      <c r="N3961">
        <v>15.3</v>
      </c>
      <c r="O3961">
        <v>10.3</v>
      </c>
      <c r="P3961">
        <v>20.399999999999999</v>
      </c>
      <c r="Q3961">
        <f t="shared" si="122"/>
        <v>1061509</v>
      </c>
      <c r="R3961">
        <f t="shared" si="121"/>
        <v>28.355859441606242</v>
      </c>
      <c r="U3961">
        <v>246</v>
      </c>
      <c r="V3961">
        <v>0</v>
      </c>
      <c r="W3961">
        <v>496</v>
      </c>
      <c r="X3961">
        <v>71</v>
      </c>
      <c r="Y3961">
        <v>77.599999999999994</v>
      </c>
      <c r="Z3961">
        <v>59.3</v>
      </c>
      <c r="AA3961">
        <v>95.8</v>
      </c>
    </row>
    <row r="3962" spans="1:27" x14ac:dyDescent="0.25">
      <c r="A3962" t="s">
        <v>264</v>
      </c>
      <c r="B3962" t="s">
        <v>216</v>
      </c>
      <c r="C3962" s="76">
        <v>43968</v>
      </c>
      <c r="D3962">
        <v>492</v>
      </c>
      <c r="E3962">
        <v>0</v>
      </c>
      <c r="F3962">
        <v>1091</v>
      </c>
      <c r="G3962">
        <v>404</v>
      </c>
      <c r="H3962">
        <v>54.9</v>
      </c>
      <c r="I3962">
        <v>32.799999999999997</v>
      </c>
      <c r="J3962">
        <v>77</v>
      </c>
      <c r="K3962">
        <v>78</v>
      </c>
      <c r="L3962">
        <v>0</v>
      </c>
      <c r="M3962">
        <v>213</v>
      </c>
      <c r="N3962">
        <v>8.6</v>
      </c>
      <c r="O3962">
        <v>0</v>
      </c>
      <c r="P3962">
        <v>21.7</v>
      </c>
      <c r="Q3962">
        <f t="shared" si="122"/>
        <v>1061509</v>
      </c>
      <c r="R3962">
        <f t="shared" si="121"/>
        <v>7.3480300214129128</v>
      </c>
      <c r="U3962">
        <v>70</v>
      </c>
      <c r="V3962">
        <v>0</v>
      </c>
      <c r="W3962">
        <v>162</v>
      </c>
      <c r="X3962">
        <v>14</v>
      </c>
      <c r="Y3962">
        <v>83.8</v>
      </c>
      <c r="Z3962">
        <v>60.8</v>
      </c>
      <c r="AA3962">
        <v>100</v>
      </c>
    </row>
    <row r="3963" spans="1:27" x14ac:dyDescent="0.25">
      <c r="A3963" t="s">
        <v>264</v>
      </c>
      <c r="B3963" t="s">
        <v>216</v>
      </c>
      <c r="C3963" s="76">
        <v>43969</v>
      </c>
      <c r="D3963">
        <v>513</v>
      </c>
      <c r="E3963">
        <v>0</v>
      </c>
      <c r="F3963">
        <v>1138</v>
      </c>
      <c r="G3963">
        <v>411</v>
      </c>
      <c r="H3963">
        <v>55.5</v>
      </c>
      <c r="I3963">
        <v>33.4</v>
      </c>
      <c r="J3963">
        <v>77.7</v>
      </c>
      <c r="K3963">
        <v>106</v>
      </c>
      <c r="L3963">
        <v>0</v>
      </c>
      <c r="M3963">
        <v>255</v>
      </c>
      <c r="N3963">
        <v>11.4</v>
      </c>
      <c r="O3963">
        <v>1.8</v>
      </c>
      <c r="P3963">
        <v>21.1</v>
      </c>
      <c r="Q3963">
        <f t="shared" si="122"/>
        <v>1061509</v>
      </c>
      <c r="R3963">
        <f t="shared" si="121"/>
        <v>9.9857843880739576</v>
      </c>
      <c r="U3963">
        <v>66</v>
      </c>
      <c r="V3963">
        <v>0</v>
      </c>
      <c r="W3963">
        <v>150</v>
      </c>
      <c r="X3963">
        <v>12</v>
      </c>
      <c r="Y3963">
        <v>84.6</v>
      </c>
      <c r="Z3963">
        <v>56.8</v>
      </c>
      <c r="AA3963">
        <v>100</v>
      </c>
    </row>
    <row r="3964" spans="1:27" x14ac:dyDescent="0.25">
      <c r="A3964" t="s">
        <v>264</v>
      </c>
      <c r="B3964" t="s">
        <v>216</v>
      </c>
      <c r="C3964" s="76">
        <v>43970</v>
      </c>
      <c r="D3964">
        <v>1527</v>
      </c>
      <c r="E3964">
        <v>228</v>
      </c>
      <c r="F3964">
        <v>2826</v>
      </c>
      <c r="G3964">
        <v>457</v>
      </c>
      <c r="H3964">
        <v>77</v>
      </c>
      <c r="I3964">
        <v>66.8</v>
      </c>
      <c r="J3964">
        <v>87.1</v>
      </c>
      <c r="K3964">
        <v>280</v>
      </c>
      <c r="L3964">
        <v>1</v>
      </c>
      <c r="M3964">
        <v>558</v>
      </c>
      <c r="N3964">
        <v>14.1</v>
      </c>
      <c r="O3964">
        <v>9.3000000000000007</v>
      </c>
      <c r="P3964">
        <v>18.899999999999999</v>
      </c>
      <c r="Q3964">
        <f t="shared" si="122"/>
        <v>1061509</v>
      </c>
      <c r="R3964">
        <f t="shared" si="121"/>
        <v>26.37754366661046</v>
      </c>
      <c r="U3964">
        <v>246</v>
      </c>
      <c r="V3964">
        <v>6</v>
      </c>
      <c r="W3964">
        <v>485</v>
      </c>
      <c r="X3964">
        <v>65</v>
      </c>
      <c r="Y3964">
        <v>79</v>
      </c>
      <c r="Z3964">
        <v>61.9</v>
      </c>
      <c r="AA3964">
        <v>96</v>
      </c>
    </row>
    <row r="3965" spans="1:27" x14ac:dyDescent="0.25">
      <c r="A3965" t="s">
        <v>264</v>
      </c>
      <c r="B3965" t="s">
        <v>216</v>
      </c>
      <c r="C3965" s="76">
        <v>43971</v>
      </c>
      <c r="D3965">
        <v>1631</v>
      </c>
      <c r="E3965">
        <v>297</v>
      </c>
      <c r="F3965">
        <v>2965</v>
      </c>
      <c r="G3965">
        <v>327</v>
      </c>
      <c r="H3965">
        <v>83.3</v>
      </c>
      <c r="I3965">
        <v>75</v>
      </c>
      <c r="J3965">
        <v>91.6</v>
      </c>
      <c r="K3965">
        <v>299</v>
      </c>
      <c r="L3965">
        <v>17</v>
      </c>
      <c r="M3965">
        <v>581</v>
      </c>
      <c r="N3965">
        <v>15.3</v>
      </c>
      <c r="O3965">
        <v>10.6</v>
      </c>
      <c r="P3965">
        <v>20</v>
      </c>
      <c r="Q3965">
        <f t="shared" si="122"/>
        <v>1061509</v>
      </c>
      <c r="R3965">
        <f t="shared" si="121"/>
        <v>28.167448415416168</v>
      </c>
      <c r="U3965">
        <v>254</v>
      </c>
      <c r="V3965">
        <v>5</v>
      </c>
      <c r="W3965">
        <v>503</v>
      </c>
      <c r="X3965">
        <v>65</v>
      </c>
      <c r="Y3965">
        <v>79.599999999999994</v>
      </c>
      <c r="Z3965">
        <v>63.1</v>
      </c>
      <c r="AA3965">
        <v>96.1</v>
      </c>
    </row>
    <row r="3966" spans="1:27" x14ac:dyDescent="0.25">
      <c r="A3966" t="s">
        <v>264</v>
      </c>
      <c r="B3966" t="s">
        <v>216</v>
      </c>
      <c r="C3966" s="76">
        <v>43972</v>
      </c>
      <c r="D3966">
        <v>1490</v>
      </c>
      <c r="E3966">
        <v>194</v>
      </c>
      <c r="F3966">
        <v>2786</v>
      </c>
      <c r="G3966">
        <v>380</v>
      </c>
      <c r="H3966">
        <v>79.7</v>
      </c>
      <c r="I3966">
        <v>69.2</v>
      </c>
      <c r="J3966">
        <v>90.2</v>
      </c>
      <c r="K3966">
        <v>268</v>
      </c>
      <c r="L3966">
        <v>12</v>
      </c>
      <c r="M3966">
        <v>523</v>
      </c>
      <c r="N3966">
        <v>14.3</v>
      </c>
      <c r="O3966">
        <v>10.9</v>
      </c>
      <c r="P3966">
        <v>17.8</v>
      </c>
      <c r="Q3966">
        <f t="shared" si="122"/>
        <v>1061509</v>
      </c>
      <c r="R3966">
        <f t="shared" si="121"/>
        <v>25.24707750947001</v>
      </c>
      <c r="U3966">
        <v>174</v>
      </c>
      <c r="V3966">
        <v>0</v>
      </c>
      <c r="W3966">
        <v>368</v>
      </c>
      <c r="X3966">
        <v>89</v>
      </c>
      <c r="Y3966">
        <v>66.2</v>
      </c>
      <c r="Z3966">
        <v>49.9</v>
      </c>
      <c r="AA3966">
        <v>82.6</v>
      </c>
    </row>
    <row r="3967" spans="1:27" x14ac:dyDescent="0.25">
      <c r="A3967" t="s">
        <v>264</v>
      </c>
      <c r="B3967" t="s">
        <v>216</v>
      </c>
      <c r="C3967" s="76">
        <v>43973</v>
      </c>
      <c r="D3967">
        <v>1533</v>
      </c>
      <c r="E3967">
        <v>313</v>
      </c>
      <c r="F3967">
        <v>2753</v>
      </c>
      <c r="G3967">
        <v>375</v>
      </c>
      <c r="H3967">
        <v>80.3</v>
      </c>
      <c r="I3967">
        <v>73.599999999999994</v>
      </c>
      <c r="J3967">
        <v>87.1</v>
      </c>
      <c r="K3967">
        <v>294</v>
      </c>
      <c r="L3967">
        <v>0</v>
      </c>
      <c r="M3967">
        <v>600</v>
      </c>
      <c r="N3967">
        <v>15.4</v>
      </c>
      <c r="O3967">
        <v>9.1</v>
      </c>
      <c r="P3967">
        <v>21.7</v>
      </c>
      <c r="Q3967">
        <f t="shared" si="122"/>
        <v>1061509</v>
      </c>
      <c r="R3967">
        <f t="shared" si="121"/>
        <v>27.696420849940978</v>
      </c>
      <c r="U3967">
        <v>257</v>
      </c>
      <c r="V3967">
        <v>0</v>
      </c>
      <c r="W3967">
        <v>525</v>
      </c>
      <c r="X3967">
        <v>58</v>
      </c>
      <c r="Y3967">
        <v>81.5</v>
      </c>
      <c r="Z3967">
        <v>60.2</v>
      </c>
      <c r="AA3967">
        <v>100</v>
      </c>
    </row>
    <row r="3968" spans="1:27" x14ac:dyDescent="0.25">
      <c r="A3968" t="s">
        <v>264</v>
      </c>
      <c r="B3968" t="s">
        <v>216</v>
      </c>
      <c r="C3968" s="76">
        <v>43974</v>
      </c>
      <c r="D3968">
        <v>1566</v>
      </c>
      <c r="E3968">
        <v>288</v>
      </c>
      <c r="F3968">
        <v>2843</v>
      </c>
      <c r="G3968">
        <v>415</v>
      </c>
      <c r="H3968">
        <v>79</v>
      </c>
      <c r="I3968">
        <v>71.8</v>
      </c>
      <c r="J3968">
        <v>86.2</v>
      </c>
      <c r="K3968">
        <v>207</v>
      </c>
      <c r="L3968">
        <v>34</v>
      </c>
      <c r="M3968">
        <v>380</v>
      </c>
      <c r="N3968">
        <v>10.4</v>
      </c>
      <c r="O3968">
        <v>7.1</v>
      </c>
      <c r="P3968">
        <v>13.8</v>
      </c>
      <c r="Q3968">
        <f t="shared" si="122"/>
        <v>1061509</v>
      </c>
      <c r="R3968">
        <f t="shared" si="121"/>
        <v>19.500541210672733</v>
      </c>
      <c r="U3968">
        <v>233</v>
      </c>
      <c r="V3968">
        <v>1</v>
      </c>
      <c r="W3968">
        <v>466</v>
      </c>
      <c r="X3968">
        <v>74</v>
      </c>
      <c r="Y3968">
        <v>76</v>
      </c>
      <c r="Z3968">
        <v>57.2</v>
      </c>
      <c r="AA3968">
        <v>94.8</v>
      </c>
    </row>
    <row r="3969" spans="1:27" x14ac:dyDescent="0.25">
      <c r="A3969" t="s">
        <v>264</v>
      </c>
      <c r="B3969" t="s">
        <v>216</v>
      </c>
      <c r="C3969" s="76">
        <v>43975</v>
      </c>
      <c r="D3969">
        <v>1525</v>
      </c>
      <c r="E3969">
        <v>271</v>
      </c>
      <c r="F3969">
        <v>2779</v>
      </c>
      <c r="G3969">
        <v>386</v>
      </c>
      <c r="H3969">
        <v>79.8</v>
      </c>
      <c r="I3969">
        <v>70.400000000000006</v>
      </c>
      <c r="J3969">
        <v>89.2</v>
      </c>
      <c r="K3969">
        <v>289</v>
      </c>
      <c r="L3969">
        <v>11</v>
      </c>
      <c r="M3969">
        <v>567</v>
      </c>
      <c r="N3969">
        <v>15.1</v>
      </c>
      <c r="O3969">
        <v>10.3</v>
      </c>
      <c r="P3969">
        <v>19.899999999999999</v>
      </c>
      <c r="Q3969">
        <f t="shared" si="122"/>
        <v>1061509</v>
      </c>
      <c r="R3969">
        <f t="shared" si="121"/>
        <v>27.225393284465792</v>
      </c>
      <c r="U3969">
        <v>236</v>
      </c>
      <c r="V3969">
        <v>0</v>
      </c>
      <c r="W3969">
        <v>477</v>
      </c>
      <c r="X3969">
        <v>82</v>
      </c>
      <c r="Y3969">
        <v>74.099999999999994</v>
      </c>
      <c r="Z3969">
        <v>57.2</v>
      </c>
      <c r="AA3969">
        <v>90.9</v>
      </c>
    </row>
    <row r="3970" spans="1:27" x14ac:dyDescent="0.25">
      <c r="A3970" t="s">
        <v>264</v>
      </c>
      <c r="B3970" t="s">
        <v>216</v>
      </c>
      <c r="C3970" s="76">
        <v>43976</v>
      </c>
      <c r="D3970">
        <v>1459</v>
      </c>
      <c r="E3970">
        <v>192</v>
      </c>
      <c r="F3970">
        <v>2725</v>
      </c>
      <c r="G3970">
        <v>513</v>
      </c>
      <c r="H3970">
        <v>74</v>
      </c>
      <c r="I3970">
        <v>64.5</v>
      </c>
      <c r="J3970">
        <v>83.5</v>
      </c>
      <c r="K3970">
        <v>270</v>
      </c>
      <c r="L3970">
        <v>0</v>
      </c>
      <c r="M3970">
        <v>543</v>
      </c>
      <c r="N3970">
        <v>13.7</v>
      </c>
      <c r="O3970">
        <v>8.3000000000000007</v>
      </c>
      <c r="P3970">
        <v>19.2</v>
      </c>
      <c r="Q3970">
        <f t="shared" si="122"/>
        <v>1061509</v>
      </c>
      <c r="R3970">
        <f t="shared" si="121"/>
        <v>25.435488535660085</v>
      </c>
      <c r="U3970">
        <v>221</v>
      </c>
      <c r="V3970">
        <v>0</v>
      </c>
      <c r="W3970">
        <v>462</v>
      </c>
      <c r="X3970">
        <v>146</v>
      </c>
      <c r="Y3970">
        <v>60.2</v>
      </c>
      <c r="Z3970">
        <v>38.799999999999997</v>
      </c>
      <c r="AA3970">
        <v>81.599999999999994</v>
      </c>
    </row>
    <row r="3971" spans="1:27" x14ac:dyDescent="0.25">
      <c r="A3971" t="s">
        <v>264</v>
      </c>
      <c r="B3971" t="s">
        <v>216</v>
      </c>
      <c r="C3971" s="76">
        <v>43977</v>
      </c>
      <c r="D3971">
        <v>1509</v>
      </c>
      <c r="E3971">
        <v>167</v>
      </c>
      <c r="F3971">
        <v>2851</v>
      </c>
      <c r="G3971">
        <v>440</v>
      </c>
      <c r="H3971">
        <v>77.400000000000006</v>
      </c>
      <c r="I3971">
        <v>68.5</v>
      </c>
      <c r="J3971">
        <v>86.3</v>
      </c>
      <c r="K3971">
        <v>280</v>
      </c>
      <c r="L3971">
        <v>0</v>
      </c>
      <c r="M3971">
        <v>567</v>
      </c>
      <c r="N3971">
        <v>14.4</v>
      </c>
      <c r="O3971">
        <v>9.1999999999999993</v>
      </c>
      <c r="P3971">
        <v>19.600000000000001</v>
      </c>
      <c r="Q3971">
        <f t="shared" si="122"/>
        <v>1061509</v>
      </c>
      <c r="R3971">
        <f t="shared" si="121"/>
        <v>26.37754366661046</v>
      </c>
      <c r="U3971">
        <v>276</v>
      </c>
      <c r="V3971">
        <v>0</v>
      </c>
      <c r="W3971">
        <v>583</v>
      </c>
      <c r="X3971">
        <v>81</v>
      </c>
      <c r="Y3971">
        <v>77.3</v>
      </c>
      <c r="Z3971">
        <v>58.8</v>
      </c>
      <c r="AA3971">
        <v>95.8</v>
      </c>
    </row>
    <row r="3972" spans="1:27" x14ac:dyDescent="0.25">
      <c r="A3972" t="s">
        <v>264</v>
      </c>
      <c r="B3972" t="s">
        <v>216</v>
      </c>
      <c r="C3972" s="76">
        <v>43978</v>
      </c>
      <c r="D3972">
        <v>1644</v>
      </c>
      <c r="E3972">
        <v>237</v>
      </c>
      <c r="F3972">
        <v>3050</v>
      </c>
      <c r="G3972">
        <v>281</v>
      </c>
      <c r="H3972">
        <v>85.4</v>
      </c>
      <c r="I3972">
        <v>75.5</v>
      </c>
      <c r="J3972">
        <v>95.3</v>
      </c>
      <c r="K3972">
        <v>283</v>
      </c>
      <c r="L3972">
        <v>0</v>
      </c>
      <c r="M3972">
        <v>577</v>
      </c>
      <c r="N3972">
        <v>14.7</v>
      </c>
      <c r="O3972">
        <v>8.5</v>
      </c>
      <c r="P3972">
        <v>20.9</v>
      </c>
      <c r="Q3972">
        <f t="shared" si="122"/>
        <v>1061509</v>
      </c>
      <c r="R3972">
        <f t="shared" si="121"/>
        <v>26.660160205895568</v>
      </c>
      <c r="U3972">
        <v>252</v>
      </c>
      <c r="V3972">
        <v>0</v>
      </c>
      <c r="W3972">
        <v>528</v>
      </c>
      <c r="X3972">
        <v>90</v>
      </c>
      <c r="Y3972">
        <v>73.7</v>
      </c>
      <c r="Z3972">
        <v>53.1</v>
      </c>
      <c r="AA3972">
        <v>94.3</v>
      </c>
    </row>
    <row r="3973" spans="1:27" x14ac:dyDescent="0.25">
      <c r="A3973" t="s">
        <v>264</v>
      </c>
      <c r="B3973" t="s">
        <v>216</v>
      </c>
      <c r="C3973" s="76">
        <v>43979</v>
      </c>
      <c r="D3973">
        <v>1634</v>
      </c>
      <c r="E3973">
        <v>253</v>
      </c>
      <c r="F3973">
        <v>3014</v>
      </c>
      <c r="G3973">
        <v>319</v>
      </c>
      <c r="H3973">
        <v>83.7</v>
      </c>
      <c r="I3973">
        <v>75.3</v>
      </c>
      <c r="J3973">
        <v>92</v>
      </c>
      <c r="K3973">
        <v>262</v>
      </c>
      <c r="L3973">
        <v>0</v>
      </c>
      <c r="M3973">
        <v>535</v>
      </c>
      <c r="N3973">
        <v>13.4</v>
      </c>
      <c r="O3973">
        <v>7.2</v>
      </c>
      <c r="P3973">
        <v>19.600000000000001</v>
      </c>
      <c r="Q3973">
        <f t="shared" si="122"/>
        <v>1061509</v>
      </c>
      <c r="R3973">
        <f t="shared" ref="R3973:R4036" si="123">K3973/(Q3973)*100000</f>
        <v>24.681844430899783</v>
      </c>
      <c r="U3973">
        <v>269</v>
      </c>
      <c r="V3973">
        <v>0</v>
      </c>
      <c r="W3973">
        <v>561</v>
      </c>
      <c r="X3973">
        <v>83</v>
      </c>
      <c r="Y3973">
        <v>76.400000000000006</v>
      </c>
      <c r="Z3973">
        <v>59.5</v>
      </c>
      <c r="AA3973">
        <v>93.3</v>
      </c>
    </row>
    <row r="3974" spans="1:27" x14ac:dyDescent="0.25">
      <c r="A3974" t="s">
        <v>264</v>
      </c>
      <c r="B3974" t="s">
        <v>216</v>
      </c>
      <c r="C3974" s="76">
        <v>43980</v>
      </c>
      <c r="D3974">
        <v>1622</v>
      </c>
      <c r="E3974">
        <v>233</v>
      </c>
      <c r="F3974">
        <v>3011</v>
      </c>
      <c r="G3974">
        <v>321</v>
      </c>
      <c r="H3974">
        <v>83.5</v>
      </c>
      <c r="I3974">
        <v>75.099999999999994</v>
      </c>
      <c r="J3974">
        <v>91.9</v>
      </c>
      <c r="K3974">
        <v>246</v>
      </c>
      <c r="L3974">
        <v>0</v>
      </c>
      <c r="M3974">
        <v>509</v>
      </c>
      <c r="N3974">
        <v>12.7</v>
      </c>
      <c r="O3974">
        <v>7.3</v>
      </c>
      <c r="P3974">
        <v>18</v>
      </c>
      <c r="Q3974">
        <f t="shared" si="122"/>
        <v>1061509</v>
      </c>
      <c r="R3974">
        <f t="shared" si="123"/>
        <v>23.174556221379188</v>
      </c>
      <c r="U3974">
        <v>237</v>
      </c>
      <c r="V3974">
        <v>0</v>
      </c>
      <c r="W3974">
        <v>475</v>
      </c>
      <c r="X3974">
        <v>74</v>
      </c>
      <c r="Y3974">
        <v>76.2</v>
      </c>
      <c r="Z3974">
        <v>58.2</v>
      </c>
      <c r="AA3974">
        <v>94.2</v>
      </c>
    </row>
    <row r="3975" spans="1:27" x14ac:dyDescent="0.25">
      <c r="A3975" t="s">
        <v>264</v>
      </c>
      <c r="B3975" t="s">
        <v>216</v>
      </c>
      <c r="C3975" s="76">
        <v>43981</v>
      </c>
      <c r="D3975">
        <v>1569</v>
      </c>
      <c r="E3975">
        <v>224</v>
      </c>
      <c r="F3975">
        <v>2913</v>
      </c>
      <c r="G3975">
        <v>362</v>
      </c>
      <c r="H3975">
        <v>81.3</v>
      </c>
      <c r="I3975">
        <v>69.099999999999994</v>
      </c>
      <c r="J3975">
        <v>93.4</v>
      </c>
      <c r="K3975">
        <v>245</v>
      </c>
      <c r="L3975">
        <v>0</v>
      </c>
      <c r="M3975">
        <v>521</v>
      </c>
      <c r="N3975">
        <v>12.7</v>
      </c>
      <c r="O3975">
        <v>6.4</v>
      </c>
      <c r="P3975">
        <v>19</v>
      </c>
      <c r="Q3975">
        <f t="shared" si="122"/>
        <v>1061509</v>
      </c>
      <c r="R3975">
        <f t="shared" si="123"/>
        <v>23.080350708284151</v>
      </c>
      <c r="U3975">
        <v>232</v>
      </c>
      <c r="V3975">
        <v>0</v>
      </c>
      <c r="W3975">
        <v>472</v>
      </c>
      <c r="X3975">
        <v>86</v>
      </c>
      <c r="Y3975">
        <v>73</v>
      </c>
      <c r="Z3975">
        <v>54.3</v>
      </c>
      <c r="AA3975">
        <v>91.6</v>
      </c>
    </row>
    <row r="3976" spans="1:27" x14ac:dyDescent="0.25">
      <c r="A3976" t="s">
        <v>264</v>
      </c>
      <c r="B3976" t="s">
        <v>216</v>
      </c>
      <c r="C3976" s="76">
        <v>43982</v>
      </c>
      <c r="D3976">
        <v>1609</v>
      </c>
      <c r="E3976">
        <v>196</v>
      </c>
      <c r="F3976">
        <v>3022</v>
      </c>
      <c r="G3976">
        <v>349</v>
      </c>
      <c r="H3976">
        <v>82.2</v>
      </c>
      <c r="I3976">
        <v>70.099999999999994</v>
      </c>
      <c r="J3976">
        <v>94.2</v>
      </c>
      <c r="K3976">
        <v>231</v>
      </c>
      <c r="L3976">
        <v>0</v>
      </c>
      <c r="M3976">
        <v>490</v>
      </c>
      <c r="N3976">
        <v>11.8</v>
      </c>
      <c r="O3976">
        <v>5.8</v>
      </c>
      <c r="P3976">
        <v>17.7</v>
      </c>
      <c r="Q3976">
        <f t="shared" si="122"/>
        <v>1061509</v>
      </c>
      <c r="R3976">
        <f t="shared" si="123"/>
        <v>21.76147352495363</v>
      </c>
      <c r="U3976">
        <v>259</v>
      </c>
      <c r="V3976">
        <v>0</v>
      </c>
      <c r="W3976">
        <v>552</v>
      </c>
      <c r="X3976">
        <v>67</v>
      </c>
      <c r="Y3976">
        <v>79.400000000000006</v>
      </c>
      <c r="Z3976">
        <v>58.4</v>
      </c>
      <c r="AA3976">
        <v>100</v>
      </c>
    </row>
    <row r="3977" spans="1:27" x14ac:dyDescent="0.25">
      <c r="A3977" t="s">
        <v>264</v>
      </c>
      <c r="B3977" t="s">
        <v>216</v>
      </c>
      <c r="C3977" s="76">
        <v>43983</v>
      </c>
      <c r="D3977">
        <v>1654</v>
      </c>
      <c r="E3977">
        <v>243</v>
      </c>
      <c r="F3977">
        <v>3065</v>
      </c>
      <c r="G3977">
        <v>344</v>
      </c>
      <c r="H3977">
        <v>82.8</v>
      </c>
      <c r="I3977">
        <v>72.2</v>
      </c>
      <c r="J3977">
        <v>93.3</v>
      </c>
      <c r="K3977">
        <v>256</v>
      </c>
      <c r="L3977">
        <v>1</v>
      </c>
      <c r="M3977">
        <v>511</v>
      </c>
      <c r="N3977">
        <v>12.8</v>
      </c>
      <c r="O3977">
        <v>7.6</v>
      </c>
      <c r="P3977">
        <v>18</v>
      </c>
      <c r="Q3977">
        <f t="shared" si="122"/>
        <v>1061509</v>
      </c>
      <c r="R3977">
        <f t="shared" si="123"/>
        <v>24.116611352329564</v>
      </c>
      <c r="U3977">
        <v>273</v>
      </c>
      <c r="V3977">
        <v>0</v>
      </c>
      <c r="W3977">
        <v>574</v>
      </c>
      <c r="X3977">
        <v>65</v>
      </c>
      <c r="Y3977">
        <v>80.8</v>
      </c>
      <c r="Z3977">
        <v>60</v>
      </c>
      <c r="AA3977">
        <v>100</v>
      </c>
    </row>
    <row r="3978" spans="1:27" x14ac:dyDescent="0.25">
      <c r="A3978" t="s">
        <v>264</v>
      </c>
      <c r="B3978" t="s">
        <v>216</v>
      </c>
      <c r="C3978" s="76">
        <v>43984</v>
      </c>
      <c r="D3978">
        <v>1748</v>
      </c>
      <c r="E3978">
        <v>268</v>
      </c>
      <c r="F3978">
        <v>3228</v>
      </c>
      <c r="G3978">
        <v>307</v>
      </c>
      <c r="H3978">
        <v>85.1</v>
      </c>
      <c r="I3978">
        <v>75.8</v>
      </c>
      <c r="J3978">
        <v>94.3</v>
      </c>
      <c r="K3978">
        <v>237</v>
      </c>
      <c r="L3978">
        <v>7</v>
      </c>
      <c r="M3978">
        <v>466</v>
      </c>
      <c r="N3978">
        <v>11.5</v>
      </c>
      <c r="O3978">
        <v>7.5</v>
      </c>
      <c r="P3978">
        <v>15.5</v>
      </c>
      <c r="Q3978">
        <f t="shared" si="122"/>
        <v>1061509</v>
      </c>
      <c r="R3978">
        <f t="shared" si="123"/>
        <v>22.326706603523849</v>
      </c>
      <c r="U3978">
        <v>272</v>
      </c>
      <c r="V3978">
        <v>0</v>
      </c>
      <c r="W3978">
        <v>568</v>
      </c>
      <c r="X3978">
        <v>72</v>
      </c>
      <c r="Y3978">
        <v>79.2</v>
      </c>
      <c r="Z3978">
        <v>60.6</v>
      </c>
      <c r="AA3978">
        <v>97.7</v>
      </c>
    </row>
    <row r="3979" spans="1:27" x14ac:dyDescent="0.25">
      <c r="A3979" t="s">
        <v>264</v>
      </c>
      <c r="B3979" t="s">
        <v>216</v>
      </c>
      <c r="C3979" s="76">
        <v>43985</v>
      </c>
      <c r="D3979">
        <v>1735</v>
      </c>
      <c r="E3979">
        <v>289</v>
      </c>
      <c r="F3979">
        <v>3181</v>
      </c>
      <c r="G3979">
        <v>272</v>
      </c>
      <c r="H3979">
        <v>86.4</v>
      </c>
      <c r="I3979">
        <v>78.400000000000006</v>
      </c>
      <c r="J3979">
        <v>94.5</v>
      </c>
      <c r="K3979">
        <v>230</v>
      </c>
      <c r="L3979">
        <v>0</v>
      </c>
      <c r="M3979">
        <v>467</v>
      </c>
      <c r="N3979">
        <v>11.5</v>
      </c>
      <c r="O3979">
        <v>6.9</v>
      </c>
      <c r="P3979">
        <v>16</v>
      </c>
      <c r="Q3979">
        <f t="shared" si="122"/>
        <v>1061509</v>
      </c>
      <c r="R3979">
        <f t="shared" si="123"/>
        <v>21.667268011858592</v>
      </c>
      <c r="U3979">
        <v>269</v>
      </c>
      <c r="V3979">
        <v>0</v>
      </c>
      <c r="W3979">
        <v>561</v>
      </c>
      <c r="X3979">
        <v>62</v>
      </c>
      <c r="Y3979">
        <v>81.400000000000006</v>
      </c>
      <c r="Z3979">
        <v>63</v>
      </c>
      <c r="AA3979">
        <v>99.7</v>
      </c>
    </row>
    <row r="3980" spans="1:27" x14ac:dyDescent="0.25">
      <c r="A3980" t="s">
        <v>264</v>
      </c>
      <c r="B3980" t="s">
        <v>216</v>
      </c>
      <c r="C3980" s="76">
        <v>43986</v>
      </c>
      <c r="D3980">
        <v>1714</v>
      </c>
      <c r="E3980">
        <v>284</v>
      </c>
      <c r="F3980">
        <v>3144</v>
      </c>
      <c r="G3980">
        <v>224</v>
      </c>
      <c r="H3980">
        <v>88.4</v>
      </c>
      <c r="I3980">
        <v>77.400000000000006</v>
      </c>
      <c r="J3980">
        <v>99.4</v>
      </c>
      <c r="K3980">
        <v>210</v>
      </c>
      <c r="L3980">
        <v>0</v>
      </c>
      <c r="M3980">
        <v>433</v>
      </c>
      <c r="N3980">
        <v>10.8</v>
      </c>
      <c r="O3980">
        <v>6.2</v>
      </c>
      <c r="P3980">
        <v>15.4</v>
      </c>
      <c r="Q3980">
        <f t="shared" si="122"/>
        <v>1061509</v>
      </c>
      <c r="R3980">
        <f t="shared" si="123"/>
        <v>19.783157749957844</v>
      </c>
      <c r="U3980">
        <v>258</v>
      </c>
      <c r="V3980">
        <v>0</v>
      </c>
      <c r="W3980">
        <v>535</v>
      </c>
      <c r="X3980">
        <v>38</v>
      </c>
      <c r="Y3980">
        <v>87.1</v>
      </c>
      <c r="Z3980">
        <v>64.8</v>
      </c>
      <c r="AA3980">
        <v>100</v>
      </c>
    </row>
    <row r="3981" spans="1:27" x14ac:dyDescent="0.25">
      <c r="A3981" t="s">
        <v>264</v>
      </c>
      <c r="B3981" t="s">
        <v>216</v>
      </c>
      <c r="C3981" s="76">
        <v>43987</v>
      </c>
      <c r="D3981">
        <v>1735</v>
      </c>
      <c r="E3981">
        <v>277</v>
      </c>
      <c r="F3981">
        <v>3194</v>
      </c>
      <c r="G3981">
        <v>303</v>
      </c>
      <c r="H3981">
        <v>85.2</v>
      </c>
      <c r="I3981">
        <v>75.8</v>
      </c>
      <c r="J3981">
        <v>94.6</v>
      </c>
      <c r="K3981">
        <v>198</v>
      </c>
      <c r="L3981">
        <v>0</v>
      </c>
      <c r="M3981">
        <v>400</v>
      </c>
      <c r="N3981">
        <v>9.6999999999999993</v>
      </c>
      <c r="O3981">
        <v>6.2</v>
      </c>
      <c r="P3981">
        <v>13.2</v>
      </c>
      <c r="Q3981">
        <f t="shared" si="122"/>
        <v>1061509</v>
      </c>
      <c r="R3981">
        <f t="shared" si="123"/>
        <v>18.652691592817394</v>
      </c>
      <c r="U3981">
        <v>229</v>
      </c>
      <c r="V3981">
        <v>0</v>
      </c>
      <c r="W3981">
        <v>461</v>
      </c>
      <c r="X3981">
        <v>65</v>
      </c>
      <c r="Y3981">
        <v>77.900000000000006</v>
      </c>
      <c r="Z3981">
        <v>61</v>
      </c>
      <c r="AA3981">
        <v>94.8</v>
      </c>
    </row>
    <row r="3982" spans="1:27" x14ac:dyDescent="0.25">
      <c r="A3982" t="s">
        <v>264</v>
      </c>
      <c r="B3982" t="s">
        <v>216</v>
      </c>
      <c r="C3982" s="76">
        <v>43988</v>
      </c>
      <c r="D3982">
        <v>1665</v>
      </c>
      <c r="E3982">
        <v>276</v>
      </c>
      <c r="F3982">
        <v>3053</v>
      </c>
      <c r="G3982">
        <v>354</v>
      </c>
      <c r="H3982">
        <v>82.4</v>
      </c>
      <c r="I3982">
        <v>75.099999999999994</v>
      </c>
      <c r="J3982">
        <v>89.8</v>
      </c>
      <c r="K3982">
        <v>199</v>
      </c>
      <c r="L3982">
        <v>0</v>
      </c>
      <c r="M3982">
        <v>399</v>
      </c>
      <c r="N3982">
        <v>9.9</v>
      </c>
      <c r="O3982">
        <v>6.5</v>
      </c>
      <c r="P3982">
        <v>13.2</v>
      </c>
      <c r="Q3982">
        <f t="shared" si="122"/>
        <v>1061509</v>
      </c>
      <c r="R3982">
        <f t="shared" si="123"/>
        <v>18.746897105912431</v>
      </c>
      <c r="U3982">
        <v>220</v>
      </c>
      <c r="V3982">
        <v>0</v>
      </c>
      <c r="W3982">
        <v>440</v>
      </c>
      <c r="X3982">
        <v>61</v>
      </c>
      <c r="Y3982">
        <v>78.400000000000006</v>
      </c>
      <c r="Z3982">
        <v>59.9</v>
      </c>
      <c r="AA3982">
        <v>96.9</v>
      </c>
    </row>
    <row r="3983" spans="1:27" x14ac:dyDescent="0.25">
      <c r="A3983" t="s">
        <v>264</v>
      </c>
      <c r="B3983" t="s">
        <v>216</v>
      </c>
      <c r="C3983" s="76">
        <v>43989</v>
      </c>
      <c r="D3983">
        <v>1644</v>
      </c>
      <c r="E3983">
        <v>244</v>
      </c>
      <c r="F3983">
        <v>3043</v>
      </c>
      <c r="G3983">
        <v>336</v>
      </c>
      <c r="H3983">
        <v>83</v>
      </c>
      <c r="I3983">
        <v>73.3</v>
      </c>
      <c r="J3983">
        <v>92.8</v>
      </c>
      <c r="K3983">
        <v>196</v>
      </c>
      <c r="L3983">
        <v>0</v>
      </c>
      <c r="M3983">
        <v>396</v>
      </c>
      <c r="N3983">
        <v>9.9</v>
      </c>
      <c r="O3983">
        <v>6.3</v>
      </c>
      <c r="P3983">
        <v>13.5</v>
      </c>
      <c r="Q3983">
        <f t="shared" si="122"/>
        <v>1061509</v>
      </c>
      <c r="R3983">
        <f t="shared" si="123"/>
        <v>18.46428056662732</v>
      </c>
      <c r="U3983">
        <v>226</v>
      </c>
      <c r="V3983">
        <v>0</v>
      </c>
      <c r="W3983">
        <v>454</v>
      </c>
      <c r="X3983">
        <v>67</v>
      </c>
      <c r="Y3983">
        <v>77.099999999999994</v>
      </c>
      <c r="Z3983">
        <v>61.6</v>
      </c>
      <c r="AA3983">
        <v>92.6</v>
      </c>
    </row>
    <row r="3984" spans="1:27" x14ac:dyDescent="0.25">
      <c r="A3984" t="s">
        <v>264</v>
      </c>
      <c r="B3984" t="s">
        <v>216</v>
      </c>
      <c r="C3984" s="76">
        <v>43990</v>
      </c>
      <c r="D3984">
        <v>1612</v>
      </c>
      <c r="E3984">
        <v>250</v>
      </c>
      <c r="F3984">
        <v>2974</v>
      </c>
      <c r="G3984">
        <v>337</v>
      </c>
      <c r="H3984">
        <v>82.7</v>
      </c>
      <c r="I3984">
        <v>72.599999999999994</v>
      </c>
      <c r="J3984">
        <v>92.8</v>
      </c>
      <c r="K3984">
        <v>196</v>
      </c>
      <c r="L3984">
        <v>0</v>
      </c>
      <c r="M3984">
        <v>393</v>
      </c>
      <c r="N3984">
        <v>10.1</v>
      </c>
      <c r="O3984">
        <v>6.6</v>
      </c>
      <c r="P3984">
        <v>13.5</v>
      </c>
      <c r="Q3984">
        <f t="shared" si="122"/>
        <v>1061509</v>
      </c>
      <c r="R3984">
        <f t="shared" si="123"/>
        <v>18.46428056662732</v>
      </c>
      <c r="U3984">
        <v>199</v>
      </c>
      <c r="V3984">
        <v>0</v>
      </c>
      <c r="W3984">
        <v>398</v>
      </c>
      <c r="X3984">
        <v>66</v>
      </c>
      <c r="Y3984">
        <v>75.099999999999994</v>
      </c>
      <c r="Z3984">
        <v>56.3</v>
      </c>
      <c r="AA3984">
        <v>93.9</v>
      </c>
    </row>
    <row r="3985" spans="1:27" x14ac:dyDescent="0.25">
      <c r="A3985" t="s">
        <v>264</v>
      </c>
      <c r="B3985" t="s">
        <v>216</v>
      </c>
      <c r="C3985" s="76">
        <v>43991</v>
      </c>
      <c r="D3985">
        <v>1521</v>
      </c>
      <c r="E3985">
        <v>149</v>
      </c>
      <c r="F3985">
        <v>2893</v>
      </c>
      <c r="G3985">
        <v>384</v>
      </c>
      <c r="H3985">
        <v>79.900000000000006</v>
      </c>
      <c r="I3985">
        <v>66.7</v>
      </c>
      <c r="J3985">
        <v>93</v>
      </c>
      <c r="K3985">
        <v>173</v>
      </c>
      <c r="L3985">
        <v>0</v>
      </c>
      <c r="M3985">
        <v>368</v>
      </c>
      <c r="N3985">
        <v>9.1</v>
      </c>
      <c r="O3985">
        <v>4.5999999999999996</v>
      </c>
      <c r="P3985">
        <v>13.5</v>
      </c>
      <c r="Q3985">
        <f t="shared" si="122"/>
        <v>1061509</v>
      </c>
      <c r="R3985">
        <f t="shared" si="123"/>
        <v>16.29755376544146</v>
      </c>
      <c r="U3985">
        <v>137</v>
      </c>
      <c r="V3985">
        <v>0</v>
      </c>
      <c r="W3985">
        <v>289</v>
      </c>
      <c r="X3985">
        <v>72</v>
      </c>
      <c r="Y3985">
        <v>65.7</v>
      </c>
      <c r="Z3985">
        <v>45.6</v>
      </c>
      <c r="AA3985">
        <v>85.8</v>
      </c>
    </row>
    <row r="3986" spans="1:27" x14ac:dyDescent="0.25">
      <c r="A3986" t="s">
        <v>264</v>
      </c>
      <c r="B3986" t="s">
        <v>216</v>
      </c>
      <c r="C3986" s="76">
        <v>43992</v>
      </c>
      <c r="D3986">
        <v>1555</v>
      </c>
      <c r="E3986">
        <v>134</v>
      </c>
      <c r="F3986">
        <v>2977</v>
      </c>
      <c r="G3986">
        <v>299</v>
      </c>
      <c r="H3986">
        <v>83.9</v>
      </c>
      <c r="I3986">
        <v>74.099999999999994</v>
      </c>
      <c r="J3986">
        <v>93.7</v>
      </c>
      <c r="K3986">
        <v>186</v>
      </c>
      <c r="L3986">
        <v>0</v>
      </c>
      <c r="M3986">
        <v>391</v>
      </c>
      <c r="N3986">
        <v>10</v>
      </c>
      <c r="O3986">
        <v>5.8</v>
      </c>
      <c r="P3986">
        <v>14.3</v>
      </c>
      <c r="Q3986">
        <f t="shared" si="122"/>
        <v>1061509</v>
      </c>
      <c r="R3986">
        <f t="shared" si="123"/>
        <v>17.522225435676948</v>
      </c>
      <c r="U3986">
        <v>151</v>
      </c>
      <c r="V3986">
        <v>0</v>
      </c>
      <c r="W3986">
        <v>332</v>
      </c>
      <c r="X3986">
        <v>48</v>
      </c>
      <c r="Y3986">
        <v>75.900000000000006</v>
      </c>
      <c r="Z3986">
        <v>50.8</v>
      </c>
      <c r="AA3986">
        <v>100</v>
      </c>
    </row>
    <row r="3987" spans="1:27" x14ac:dyDescent="0.25">
      <c r="A3987" t="s">
        <v>264</v>
      </c>
      <c r="B3987" t="s">
        <v>216</v>
      </c>
      <c r="C3987" s="76">
        <v>43993</v>
      </c>
      <c r="D3987">
        <v>1619</v>
      </c>
      <c r="E3987">
        <v>200</v>
      </c>
      <c r="F3987">
        <v>3038</v>
      </c>
      <c r="G3987">
        <v>319</v>
      </c>
      <c r="H3987">
        <v>83.6</v>
      </c>
      <c r="I3987">
        <v>71.3</v>
      </c>
      <c r="J3987">
        <v>95.8</v>
      </c>
      <c r="K3987">
        <v>204</v>
      </c>
      <c r="L3987">
        <v>0</v>
      </c>
      <c r="M3987">
        <v>413</v>
      </c>
      <c r="N3987">
        <v>10.5</v>
      </c>
      <c r="O3987">
        <v>6.5</v>
      </c>
      <c r="P3987">
        <v>14.5</v>
      </c>
      <c r="Q3987">
        <f t="shared" si="122"/>
        <v>1061509</v>
      </c>
      <c r="R3987">
        <f t="shared" si="123"/>
        <v>19.217924671387621</v>
      </c>
      <c r="U3987">
        <v>156</v>
      </c>
      <c r="V3987">
        <v>0</v>
      </c>
      <c r="W3987">
        <v>334</v>
      </c>
      <c r="X3987">
        <v>54</v>
      </c>
      <c r="Y3987">
        <v>74.099999999999994</v>
      </c>
      <c r="Z3987">
        <v>44.2</v>
      </c>
      <c r="AA3987">
        <v>100</v>
      </c>
    </row>
    <row r="3988" spans="1:27" x14ac:dyDescent="0.25">
      <c r="A3988" t="s">
        <v>264</v>
      </c>
      <c r="B3988" t="s">
        <v>216</v>
      </c>
      <c r="C3988" s="76">
        <v>43994</v>
      </c>
      <c r="D3988">
        <v>1586</v>
      </c>
      <c r="E3988">
        <v>190</v>
      </c>
      <c r="F3988">
        <v>2982</v>
      </c>
      <c r="G3988">
        <v>342</v>
      </c>
      <c r="H3988">
        <v>82.3</v>
      </c>
      <c r="I3988">
        <v>71.3</v>
      </c>
      <c r="J3988">
        <v>93.2</v>
      </c>
      <c r="K3988">
        <v>178</v>
      </c>
      <c r="L3988">
        <v>0</v>
      </c>
      <c r="M3988">
        <v>368</v>
      </c>
      <c r="N3988">
        <v>9.1999999999999993</v>
      </c>
      <c r="O3988">
        <v>5.5</v>
      </c>
      <c r="P3988">
        <v>12.9</v>
      </c>
      <c r="Q3988">
        <f t="shared" si="122"/>
        <v>1061509</v>
      </c>
      <c r="R3988">
        <f t="shared" si="123"/>
        <v>16.768581330916646</v>
      </c>
      <c r="U3988">
        <v>151</v>
      </c>
      <c r="V3988">
        <v>0</v>
      </c>
      <c r="W3988">
        <v>320</v>
      </c>
      <c r="X3988">
        <v>60</v>
      </c>
      <c r="Y3988">
        <v>71.599999999999994</v>
      </c>
      <c r="Z3988">
        <v>46.9</v>
      </c>
      <c r="AA3988">
        <v>96.3</v>
      </c>
    </row>
    <row r="3989" spans="1:27" x14ac:dyDescent="0.25">
      <c r="A3989" t="s">
        <v>264</v>
      </c>
      <c r="B3989" t="s">
        <v>216</v>
      </c>
      <c r="C3989" s="76">
        <v>43995</v>
      </c>
      <c r="D3989">
        <v>1399</v>
      </c>
      <c r="E3989">
        <v>80</v>
      </c>
      <c r="F3989">
        <v>2719</v>
      </c>
      <c r="G3989">
        <v>508</v>
      </c>
      <c r="H3989">
        <v>73.400000000000006</v>
      </c>
      <c r="I3989">
        <v>59.7</v>
      </c>
      <c r="J3989">
        <v>87</v>
      </c>
      <c r="K3989">
        <v>124</v>
      </c>
      <c r="L3989">
        <v>0</v>
      </c>
      <c r="M3989">
        <v>279</v>
      </c>
      <c r="N3989">
        <v>6.5</v>
      </c>
      <c r="O3989">
        <v>2.7</v>
      </c>
      <c r="P3989">
        <v>10.199999999999999</v>
      </c>
      <c r="Q3989">
        <f t="shared" si="122"/>
        <v>1061509</v>
      </c>
      <c r="R3989">
        <f t="shared" si="123"/>
        <v>11.681483623784631</v>
      </c>
      <c r="U3989">
        <v>145</v>
      </c>
      <c r="V3989">
        <v>0</v>
      </c>
      <c r="W3989">
        <v>326</v>
      </c>
      <c r="X3989">
        <v>72</v>
      </c>
      <c r="Y3989">
        <v>66.7</v>
      </c>
      <c r="Z3989">
        <v>28.6</v>
      </c>
      <c r="AA3989">
        <v>100</v>
      </c>
    </row>
    <row r="3990" spans="1:27" x14ac:dyDescent="0.25">
      <c r="A3990" t="s">
        <v>264</v>
      </c>
      <c r="B3990" t="s">
        <v>216</v>
      </c>
      <c r="C3990" s="76">
        <v>43996</v>
      </c>
      <c r="D3990">
        <v>1430</v>
      </c>
      <c r="E3990">
        <v>111</v>
      </c>
      <c r="F3990">
        <v>2749</v>
      </c>
      <c r="G3990">
        <v>413</v>
      </c>
      <c r="H3990">
        <v>77.599999999999994</v>
      </c>
      <c r="I3990">
        <v>62</v>
      </c>
      <c r="J3990">
        <v>93.1</v>
      </c>
      <c r="K3990">
        <v>149</v>
      </c>
      <c r="L3990">
        <v>0</v>
      </c>
      <c r="M3990">
        <v>331</v>
      </c>
      <c r="N3990">
        <v>8.1</v>
      </c>
      <c r="O3990">
        <v>3.5</v>
      </c>
      <c r="P3990">
        <v>12.6</v>
      </c>
      <c r="Q3990">
        <f t="shared" si="122"/>
        <v>1061509</v>
      </c>
      <c r="R3990">
        <f t="shared" si="123"/>
        <v>14.036621451160563</v>
      </c>
      <c r="U3990">
        <v>144</v>
      </c>
      <c r="V3990">
        <v>0</v>
      </c>
      <c r="W3990">
        <v>325</v>
      </c>
      <c r="X3990">
        <v>72</v>
      </c>
      <c r="Y3990">
        <v>66.7</v>
      </c>
      <c r="Z3990">
        <v>40</v>
      </c>
      <c r="AA3990">
        <v>93.5</v>
      </c>
    </row>
    <row r="3991" spans="1:27" x14ac:dyDescent="0.25">
      <c r="A3991" t="s">
        <v>264</v>
      </c>
      <c r="B3991" t="s">
        <v>216</v>
      </c>
      <c r="C3991" s="76">
        <v>43997</v>
      </c>
      <c r="D3991">
        <v>1435</v>
      </c>
      <c r="E3991">
        <v>79</v>
      </c>
      <c r="F3991">
        <v>2791</v>
      </c>
      <c r="G3991">
        <v>384</v>
      </c>
      <c r="H3991">
        <v>78.900000000000006</v>
      </c>
      <c r="I3991">
        <v>61.7</v>
      </c>
      <c r="J3991">
        <v>96.2</v>
      </c>
      <c r="K3991">
        <v>136</v>
      </c>
      <c r="L3991">
        <v>0</v>
      </c>
      <c r="M3991">
        <v>300</v>
      </c>
      <c r="N3991">
        <v>7.5</v>
      </c>
      <c r="O3991">
        <v>3.5</v>
      </c>
      <c r="P3991">
        <v>11.4</v>
      </c>
      <c r="Q3991">
        <f t="shared" si="122"/>
        <v>1061509</v>
      </c>
      <c r="R3991">
        <f t="shared" si="123"/>
        <v>12.81194978092508</v>
      </c>
      <c r="U3991">
        <v>148</v>
      </c>
      <c r="V3991">
        <v>0</v>
      </c>
      <c r="W3991">
        <v>332</v>
      </c>
      <c r="X3991">
        <v>65</v>
      </c>
      <c r="Y3991">
        <v>69.3</v>
      </c>
      <c r="Z3991">
        <v>43.6</v>
      </c>
      <c r="AA3991">
        <v>95.1</v>
      </c>
    </row>
    <row r="3992" spans="1:27" x14ac:dyDescent="0.25">
      <c r="A3992" t="s">
        <v>264</v>
      </c>
      <c r="B3992" t="s">
        <v>216</v>
      </c>
      <c r="C3992" s="76">
        <v>43998</v>
      </c>
      <c r="D3992">
        <v>1334</v>
      </c>
      <c r="E3992">
        <v>0</v>
      </c>
      <c r="F3992">
        <v>2703</v>
      </c>
      <c r="G3992">
        <v>454</v>
      </c>
      <c r="H3992">
        <v>74.599999999999994</v>
      </c>
      <c r="I3992">
        <v>58.7</v>
      </c>
      <c r="J3992">
        <v>90.5</v>
      </c>
      <c r="K3992">
        <v>122</v>
      </c>
      <c r="L3992">
        <v>0</v>
      </c>
      <c r="M3992">
        <v>280</v>
      </c>
      <c r="N3992">
        <v>6.8</v>
      </c>
      <c r="O3992">
        <v>3.1</v>
      </c>
      <c r="P3992">
        <v>10.6</v>
      </c>
      <c r="Q3992">
        <f t="shared" si="122"/>
        <v>1061509</v>
      </c>
      <c r="R3992">
        <f t="shared" si="123"/>
        <v>11.493072597594557</v>
      </c>
      <c r="U3992">
        <v>138</v>
      </c>
      <c r="V3992">
        <v>0</v>
      </c>
      <c r="W3992">
        <v>322</v>
      </c>
      <c r="X3992">
        <v>22</v>
      </c>
      <c r="Y3992">
        <v>86.2</v>
      </c>
      <c r="Z3992">
        <v>72.2</v>
      </c>
      <c r="AA3992">
        <v>100</v>
      </c>
    </row>
    <row r="3993" spans="1:27" x14ac:dyDescent="0.25">
      <c r="A3993" t="s">
        <v>264</v>
      </c>
      <c r="B3993" t="s">
        <v>216</v>
      </c>
      <c r="C3993" s="76">
        <v>43999</v>
      </c>
      <c r="D3993">
        <v>797</v>
      </c>
      <c r="E3993">
        <v>93</v>
      </c>
      <c r="F3993">
        <v>1501</v>
      </c>
      <c r="G3993">
        <v>271</v>
      </c>
      <c r="H3993">
        <v>74.599999999999994</v>
      </c>
      <c r="I3993">
        <v>57.1</v>
      </c>
      <c r="J3993">
        <v>92.2</v>
      </c>
      <c r="K3993">
        <v>53</v>
      </c>
      <c r="L3993">
        <v>0</v>
      </c>
      <c r="M3993">
        <v>132</v>
      </c>
      <c r="N3993">
        <v>5</v>
      </c>
      <c r="O3993">
        <v>0</v>
      </c>
      <c r="P3993">
        <v>10.6</v>
      </c>
      <c r="Q3993">
        <f t="shared" si="122"/>
        <v>1061509</v>
      </c>
      <c r="R3993">
        <f t="shared" si="123"/>
        <v>4.9928921940369788</v>
      </c>
      <c r="U3993">
        <v>52</v>
      </c>
      <c r="V3993">
        <v>10</v>
      </c>
      <c r="W3993">
        <v>94</v>
      </c>
      <c r="X3993">
        <v>41</v>
      </c>
      <c r="Y3993">
        <v>55.7</v>
      </c>
      <c r="Z3993">
        <v>23.1</v>
      </c>
      <c r="AA3993">
        <v>88.2</v>
      </c>
    </row>
    <row r="3994" spans="1:27" x14ac:dyDescent="0.25">
      <c r="A3994" t="s">
        <v>264</v>
      </c>
      <c r="B3994" t="s">
        <v>216</v>
      </c>
      <c r="C3994" s="76">
        <v>44000</v>
      </c>
      <c r="D3994">
        <v>899</v>
      </c>
      <c r="E3994">
        <v>180</v>
      </c>
      <c r="F3994">
        <v>1618</v>
      </c>
      <c r="G3994">
        <v>291</v>
      </c>
      <c r="H3994">
        <v>75.599999999999994</v>
      </c>
      <c r="I3994">
        <v>60.7</v>
      </c>
      <c r="J3994">
        <v>90.5</v>
      </c>
      <c r="K3994">
        <v>66</v>
      </c>
      <c r="L3994">
        <v>0</v>
      </c>
      <c r="M3994">
        <v>139</v>
      </c>
      <c r="N3994">
        <v>5.5</v>
      </c>
      <c r="O3994">
        <v>1</v>
      </c>
      <c r="P3994">
        <v>10</v>
      </c>
      <c r="Q3994">
        <f t="shared" si="122"/>
        <v>1061509</v>
      </c>
      <c r="R3994">
        <f t="shared" si="123"/>
        <v>6.2175638642724644</v>
      </c>
      <c r="U3994">
        <v>66</v>
      </c>
      <c r="V3994">
        <v>13</v>
      </c>
      <c r="W3994">
        <v>119</v>
      </c>
      <c r="X3994">
        <v>44</v>
      </c>
      <c r="Y3994">
        <v>60</v>
      </c>
      <c r="Z3994">
        <v>21.7</v>
      </c>
      <c r="AA3994">
        <v>98.3</v>
      </c>
    </row>
    <row r="3995" spans="1:27" x14ac:dyDescent="0.25">
      <c r="A3995" t="s">
        <v>264</v>
      </c>
      <c r="B3995" t="s">
        <v>216</v>
      </c>
      <c r="C3995" s="76">
        <v>44001</v>
      </c>
      <c r="D3995">
        <v>1042</v>
      </c>
      <c r="E3995">
        <v>274</v>
      </c>
      <c r="F3995">
        <v>1810</v>
      </c>
      <c r="G3995">
        <v>257</v>
      </c>
      <c r="H3995">
        <v>80.2</v>
      </c>
      <c r="I3995">
        <v>65</v>
      </c>
      <c r="J3995">
        <v>95.4</v>
      </c>
      <c r="K3995">
        <v>68</v>
      </c>
      <c r="L3995">
        <v>0</v>
      </c>
      <c r="M3995">
        <v>141</v>
      </c>
      <c r="N3995">
        <v>5.3</v>
      </c>
      <c r="O3995">
        <v>1.2</v>
      </c>
      <c r="P3995">
        <v>9.3000000000000007</v>
      </c>
      <c r="Q3995">
        <f t="shared" si="122"/>
        <v>1061509</v>
      </c>
      <c r="R3995">
        <f t="shared" si="123"/>
        <v>6.4059748904625398</v>
      </c>
      <c r="U3995">
        <v>133</v>
      </c>
      <c r="V3995">
        <v>0</v>
      </c>
      <c r="W3995">
        <v>292</v>
      </c>
      <c r="X3995">
        <v>22</v>
      </c>
      <c r="Y3995">
        <v>85.7</v>
      </c>
      <c r="Z3995">
        <v>67.3</v>
      </c>
      <c r="AA3995">
        <v>100</v>
      </c>
    </row>
    <row r="3996" spans="1:27" x14ac:dyDescent="0.25">
      <c r="A3996" t="s">
        <v>264</v>
      </c>
      <c r="B3996" t="s">
        <v>216</v>
      </c>
      <c r="C3996" s="76">
        <v>44002</v>
      </c>
      <c r="D3996">
        <v>1072</v>
      </c>
      <c r="E3996">
        <v>325</v>
      </c>
      <c r="F3996">
        <v>1819</v>
      </c>
      <c r="G3996">
        <v>279</v>
      </c>
      <c r="H3996">
        <v>79.3</v>
      </c>
      <c r="I3996">
        <v>67.400000000000006</v>
      </c>
      <c r="J3996">
        <v>91.2</v>
      </c>
      <c r="K3996">
        <v>55</v>
      </c>
      <c r="L3996">
        <v>2</v>
      </c>
      <c r="M3996">
        <v>108</v>
      </c>
      <c r="N3996">
        <v>4.0999999999999996</v>
      </c>
      <c r="O3996">
        <v>1.2</v>
      </c>
      <c r="P3996">
        <v>6.9</v>
      </c>
      <c r="Q3996">
        <f t="shared" si="122"/>
        <v>1061509</v>
      </c>
      <c r="R3996">
        <f t="shared" si="123"/>
        <v>5.1813032202270541</v>
      </c>
      <c r="U3996">
        <v>125</v>
      </c>
      <c r="V3996">
        <v>0</v>
      </c>
      <c r="W3996">
        <v>276</v>
      </c>
      <c r="X3996">
        <v>36</v>
      </c>
      <c r="Y3996">
        <v>77.8</v>
      </c>
      <c r="Z3996">
        <v>57.1</v>
      </c>
      <c r="AA3996">
        <v>98.6</v>
      </c>
    </row>
    <row r="3997" spans="1:27" x14ac:dyDescent="0.25">
      <c r="A3997" t="s">
        <v>264</v>
      </c>
      <c r="B3997" t="s">
        <v>216</v>
      </c>
      <c r="C3997" s="76">
        <v>44003</v>
      </c>
      <c r="D3997">
        <v>978</v>
      </c>
      <c r="E3997">
        <v>303</v>
      </c>
      <c r="F3997">
        <v>1654</v>
      </c>
      <c r="G3997">
        <v>303</v>
      </c>
      <c r="H3997">
        <v>76.400000000000006</v>
      </c>
      <c r="I3997">
        <v>64.7</v>
      </c>
      <c r="J3997">
        <v>88</v>
      </c>
      <c r="K3997">
        <v>69</v>
      </c>
      <c r="L3997">
        <v>6</v>
      </c>
      <c r="M3997">
        <v>133</v>
      </c>
      <c r="N3997">
        <v>5.4</v>
      </c>
      <c r="O3997">
        <v>2</v>
      </c>
      <c r="P3997">
        <v>8.8000000000000007</v>
      </c>
      <c r="Q3997">
        <f t="shared" si="122"/>
        <v>1061509</v>
      </c>
      <c r="R3997">
        <f t="shared" si="123"/>
        <v>6.500180403557577</v>
      </c>
      <c r="U3997">
        <v>131</v>
      </c>
      <c r="V3997">
        <v>0</v>
      </c>
      <c r="W3997">
        <v>289</v>
      </c>
      <c r="X3997">
        <v>28</v>
      </c>
      <c r="Y3997">
        <v>82.5</v>
      </c>
      <c r="Z3997">
        <v>63.5</v>
      </c>
      <c r="AA3997">
        <v>100</v>
      </c>
    </row>
    <row r="3998" spans="1:27" x14ac:dyDescent="0.25">
      <c r="A3998" t="s">
        <v>264</v>
      </c>
      <c r="B3998" t="s">
        <v>216</v>
      </c>
      <c r="C3998" s="76">
        <v>44004</v>
      </c>
      <c r="D3998">
        <v>1011</v>
      </c>
      <c r="E3998">
        <v>320</v>
      </c>
      <c r="F3998">
        <v>1701</v>
      </c>
      <c r="G3998">
        <v>308</v>
      </c>
      <c r="H3998">
        <v>76.7</v>
      </c>
      <c r="I3998">
        <v>64.900000000000006</v>
      </c>
      <c r="J3998">
        <v>88.4</v>
      </c>
      <c r="K3998">
        <v>76</v>
      </c>
      <c r="L3998">
        <v>10</v>
      </c>
      <c r="M3998">
        <v>142</v>
      </c>
      <c r="N3998">
        <v>5.8</v>
      </c>
      <c r="O3998">
        <v>2.5</v>
      </c>
      <c r="P3998">
        <v>9.1</v>
      </c>
      <c r="Q3998">
        <f t="shared" si="122"/>
        <v>1061509</v>
      </c>
      <c r="R3998">
        <f t="shared" si="123"/>
        <v>7.1596189952228384</v>
      </c>
      <c r="U3998">
        <v>138</v>
      </c>
      <c r="V3998">
        <v>0</v>
      </c>
      <c r="W3998">
        <v>298</v>
      </c>
      <c r="X3998">
        <v>23</v>
      </c>
      <c r="Y3998">
        <v>85.7</v>
      </c>
      <c r="Z3998">
        <v>67.5</v>
      </c>
      <c r="AA3998">
        <v>100</v>
      </c>
    </row>
    <row r="3999" spans="1:27" x14ac:dyDescent="0.25">
      <c r="A3999" t="s">
        <v>264</v>
      </c>
      <c r="B3999" t="s">
        <v>216</v>
      </c>
      <c r="C3999" s="76">
        <v>44005</v>
      </c>
      <c r="D3999">
        <v>1689</v>
      </c>
      <c r="E3999">
        <v>286</v>
      </c>
      <c r="F3999">
        <v>3092</v>
      </c>
      <c r="G3999">
        <v>329</v>
      </c>
      <c r="H3999">
        <v>83.7</v>
      </c>
      <c r="I3999">
        <v>75</v>
      </c>
      <c r="J3999">
        <v>92.4</v>
      </c>
      <c r="K3999">
        <v>108</v>
      </c>
      <c r="L3999">
        <v>2</v>
      </c>
      <c r="M3999">
        <v>214</v>
      </c>
      <c r="N3999">
        <v>5.4</v>
      </c>
      <c r="O3999">
        <v>3</v>
      </c>
      <c r="P3999">
        <v>7.8</v>
      </c>
      <c r="Q3999">
        <f t="shared" si="122"/>
        <v>1061509</v>
      </c>
      <c r="R3999">
        <f t="shared" si="123"/>
        <v>10.174195414264034</v>
      </c>
      <c r="U3999">
        <v>227</v>
      </c>
      <c r="V3999">
        <v>0</v>
      </c>
      <c r="W3999">
        <v>460</v>
      </c>
      <c r="X3999">
        <v>31</v>
      </c>
      <c r="Y3999">
        <v>87.9</v>
      </c>
      <c r="Z3999">
        <v>76.7</v>
      </c>
      <c r="AA3999">
        <v>99.2</v>
      </c>
    </row>
    <row r="4000" spans="1:27" x14ac:dyDescent="0.25">
      <c r="A4000" t="s">
        <v>264</v>
      </c>
      <c r="B4000" t="s">
        <v>216</v>
      </c>
      <c r="C4000" s="76">
        <v>44006</v>
      </c>
      <c r="D4000">
        <v>1746</v>
      </c>
      <c r="E4000">
        <v>295</v>
      </c>
      <c r="F4000">
        <v>3197</v>
      </c>
      <c r="G4000">
        <v>314</v>
      </c>
      <c r="H4000">
        <v>84.8</v>
      </c>
      <c r="I4000">
        <v>78</v>
      </c>
      <c r="J4000">
        <v>91.5</v>
      </c>
      <c r="K4000">
        <v>100</v>
      </c>
      <c r="L4000">
        <v>5</v>
      </c>
      <c r="M4000">
        <v>195</v>
      </c>
      <c r="N4000">
        <v>4.9000000000000004</v>
      </c>
      <c r="O4000">
        <v>2.5</v>
      </c>
      <c r="P4000">
        <v>7.2</v>
      </c>
      <c r="Q4000">
        <f t="shared" si="122"/>
        <v>1061509</v>
      </c>
      <c r="R4000">
        <f t="shared" si="123"/>
        <v>9.4205513095037343</v>
      </c>
      <c r="U4000">
        <v>254</v>
      </c>
      <c r="V4000">
        <v>0</v>
      </c>
      <c r="W4000">
        <v>528</v>
      </c>
      <c r="X4000">
        <v>51</v>
      </c>
      <c r="Y4000">
        <v>83.3</v>
      </c>
      <c r="Z4000">
        <v>70.2</v>
      </c>
      <c r="AA4000">
        <v>96.4</v>
      </c>
    </row>
    <row r="4001" spans="1:27" x14ac:dyDescent="0.25">
      <c r="A4001" t="s">
        <v>264</v>
      </c>
      <c r="B4001" t="s">
        <v>216</v>
      </c>
      <c r="C4001" s="76">
        <v>44007</v>
      </c>
      <c r="D4001">
        <v>1752</v>
      </c>
      <c r="E4001">
        <v>325</v>
      </c>
      <c r="F4001">
        <v>3178</v>
      </c>
      <c r="G4001">
        <v>333</v>
      </c>
      <c r="H4001">
        <v>84</v>
      </c>
      <c r="I4001">
        <v>74.900000000000006</v>
      </c>
      <c r="J4001">
        <v>93.1</v>
      </c>
      <c r="K4001">
        <v>94</v>
      </c>
      <c r="L4001">
        <v>2</v>
      </c>
      <c r="M4001">
        <v>186</v>
      </c>
      <c r="N4001">
        <v>4.5</v>
      </c>
      <c r="O4001">
        <v>2.2999999999999998</v>
      </c>
      <c r="P4001">
        <v>6.7</v>
      </c>
      <c r="Q4001">
        <f t="shared" si="122"/>
        <v>1061509</v>
      </c>
      <c r="R4001">
        <f t="shared" si="123"/>
        <v>8.855318230933511</v>
      </c>
      <c r="U4001">
        <v>239</v>
      </c>
      <c r="V4001">
        <v>0</v>
      </c>
      <c r="W4001">
        <v>479</v>
      </c>
      <c r="X4001">
        <v>25</v>
      </c>
      <c r="Y4001">
        <v>90.5</v>
      </c>
      <c r="Z4001">
        <v>84</v>
      </c>
      <c r="AA4001">
        <v>97</v>
      </c>
    </row>
    <row r="4002" spans="1:27" x14ac:dyDescent="0.25">
      <c r="A4002" t="s">
        <v>264</v>
      </c>
      <c r="B4002" t="s">
        <v>216</v>
      </c>
      <c r="C4002" s="76">
        <v>44008</v>
      </c>
      <c r="D4002">
        <v>1739</v>
      </c>
      <c r="E4002">
        <v>351</v>
      </c>
      <c r="F4002">
        <v>3127</v>
      </c>
      <c r="G4002">
        <v>251</v>
      </c>
      <c r="H4002">
        <v>87.4</v>
      </c>
      <c r="I4002">
        <v>77.2</v>
      </c>
      <c r="J4002">
        <v>97.5</v>
      </c>
      <c r="K4002">
        <v>84</v>
      </c>
      <c r="L4002">
        <v>1</v>
      </c>
      <c r="M4002">
        <v>167</v>
      </c>
      <c r="N4002">
        <v>4.2</v>
      </c>
      <c r="O4002">
        <v>1.8</v>
      </c>
      <c r="P4002">
        <v>6.6</v>
      </c>
      <c r="Q4002">
        <f t="shared" si="122"/>
        <v>1061509</v>
      </c>
      <c r="R4002">
        <f t="shared" si="123"/>
        <v>7.913263099983137</v>
      </c>
      <c r="U4002">
        <v>222</v>
      </c>
      <c r="V4002">
        <v>6</v>
      </c>
      <c r="W4002">
        <v>437</v>
      </c>
      <c r="X4002">
        <v>33</v>
      </c>
      <c r="Y4002">
        <v>87</v>
      </c>
      <c r="Z4002">
        <v>78.5</v>
      </c>
      <c r="AA4002">
        <v>95.5</v>
      </c>
    </row>
    <row r="4003" spans="1:27" x14ac:dyDescent="0.25">
      <c r="A4003" t="s">
        <v>264</v>
      </c>
      <c r="B4003" t="s">
        <v>216</v>
      </c>
      <c r="C4003" s="76">
        <v>44009</v>
      </c>
      <c r="D4003">
        <v>1559</v>
      </c>
      <c r="E4003">
        <v>231</v>
      </c>
      <c r="F4003">
        <v>2888</v>
      </c>
      <c r="G4003">
        <v>289</v>
      </c>
      <c r="H4003">
        <v>84.4</v>
      </c>
      <c r="I4003">
        <v>74.900000000000006</v>
      </c>
      <c r="J4003">
        <v>93.9</v>
      </c>
      <c r="K4003">
        <v>77</v>
      </c>
      <c r="L4003">
        <v>0</v>
      </c>
      <c r="M4003">
        <v>159</v>
      </c>
      <c r="N4003">
        <v>4.2</v>
      </c>
      <c r="O4003">
        <v>1.8</v>
      </c>
      <c r="P4003">
        <v>6.6</v>
      </c>
      <c r="Q4003">
        <f t="shared" si="122"/>
        <v>1061509</v>
      </c>
      <c r="R4003">
        <f t="shared" si="123"/>
        <v>7.2538245083178756</v>
      </c>
      <c r="U4003">
        <v>149</v>
      </c>
      <c r="V4003">
        <v>0</v>
      </c>
      <c r="W4003">
        <v>318</v>
      </c>
      <c r="X4003">
        <v>30</v>
      </c>
      <c r="Y4003">
        <v>83</v>
      </c>
      <c r="Z4003">
        <v>68.8</v>
      </c>
      <c r="AA4003">
        <v>97.2</v>
      </c>
    </row>
    <row r="4004" spans="1:27" x14ac:dyDescent="0.25">
      <c r="A4004" t="s">
        <v>264</v>
      </c>
      <c r="B4004" t="s">
        <v>216</v>
      </c>
      <c r="C4004" s="76">
        <v>44010</v>
      </c>
      <c r="D4004">
        <v>927</v>
      </c>
      <c r="E4004">
        <v>270</v>
      </c>
      <c r="F4004">
        <v>1584</v>
      </c>
      <c r="G4004">
        <v>305</v>
      </c>
      <c r="H4004">
        <v>75.2</v>
      </c>
      <c r="I4004">
        <v>62.8</v>
      </c>
      <c r="J4004">
        <v>87.7</v>
      </c>
      <c r="K4004">
        <v>49</v>
      </c>
      <c r="L4004">
        <v>0</v>
      </c>
      <c r="M4004">
        <v>103</v>
      </c>
      <c r="N4004">
        <v>4</v>
      </c>
      <c r="O4004">
        <v>0.5</v>
      </c>
      <c r="P4004">
        <v>7.5</v>
      </c>
      <c r="Q4004">
        <f t="shared" si="122"/>
        <v>1061509</v>
      </c>
      <c r="R4004">
        <f t="shared" si="123"/>
        <v>4.6160701416568299</v>
      </c>
      <c r="U4004">
        <v>67</v>
      </c>
      <c r="V4004">
        <v>19</v>
      </c>
      <c r="W4004">
        <v>116</v>
      </c>
      <c r="X4004">
        <v>21</v>
      </c>
      <c r="Y4004">
        <v>76.3</v>
      </c>
      <c r="Z4004">
        <v>53.4</v>
      </c>
      <c r="AA4004">
        <v>99.1</v>
      </c>
    </row>
    <row r="4005" spans="1:27" x14ac:dyDescent="0.25">
      <c r="A4005" t="s">
        <v>264</v>
      </c>
      <c r="B4005" t="s">
        <v>216</v>
      </c>
      <c r="C4005" s="76">
        <v>44011</v>
      </c>
      <c r="D4005">
        <v>956</v>
      </c>
      <c r="E4005">
        <v>286</v>
      </c>
      <c r="F4005">
        <v>1627</v>
      </c>
      <c r="G4005">
        <v>256</v>
      </c>
      <c r="H4005">
        <v>78.900000000000006</v>
      </c>
      <c r="I4005">
        <v>67.2</v>
      </c>
      <c r="J4005">
        <v>90.6</v>
      </c>
      <c r="K4005">
        <v>51</v>
      </c>
      <c r="L4005">
        <v>0</v>
      </c>
      <c r="M4005">
        <v>105</v>
      </c>
      <c r="N4005">
        <v>4.2</v>
      </c>
      <c r="O4005">
        <v>0.5</v>
      </c>
      <c r="P4005">
        <v>7.8</v>
      </c>
      <c r="Q4005">
        <f t="shared" si="122"/>
        <v>1061509</v>
      </c>
      <c r="R4005">
        <f t="shared" si="123"/>
        <v>4.8044811678469053</v>
      </c>
      <c r="U4005">
        <v>71</v>
      </c>
      <c r="V4005">
        <v>21</v>
      </c>
      <c r="W4005">
        <v>122</v>
      </c>
      <c r="X4005">
        <v>16</v>
      </c>
      <c r="Y4005">
        <v>81.900000000000006</v>
      </c>
      <c r="Z4005">
        <v>66.099999999999994</v>
      </c>
      <c r="AA4005">
        <v>97.7</v>
      </c>
    </row>
    <row r="4006" spans="1:27" x14ac:dyDescent="0.25">
      <c r="A4006" t="s">
        <v>264</v>
      </c>
      <c r="B4006" t="s">
        <v>216</v>
      </c>
      <c r="C4006" s="76">
        <v>44012</v>
      </c>
      <c r="D4006">
        <v>967</v>
      </c>
      <c r="E4006">
        <v>286</v>
      </c>
      <c r="F4006">
        <v>1648</v>
      </c>
      <c r="G4006">
        <v>253</v>
      </c>
      <c r="H4006">
        <v>79.3</v>
      </c>
      <c r="I4006">
        <v>67.8</v>
      </c>
      <c r="J4006">
        <v>90.7</v>
      </c>
      <c r="K4006">
        <v>46</v>
      </c>
      <c r="L4006">
        <v>0</v>
      </c>
      <c r="M4006">
        <v>97</v>
      </c>
      <c r="N4006">
        <v>3.7</v>
      </c>
      <c r="O4006">
        <v>0.2</v>
      </c>
      <c r="P4006">
        <v>7.3</v>
      </c>
      <c r="Q4006">
        <f t="shared" si="122"/>
        <v>1061509</v>
      </c>
      <c r="R4006">
        <f t="shared" si="123"/>
        <v>4.3334536023717183</v>
      </c>
      <c r="U4006">
        <v>74</v>
      </c>
      <c r="V4006">
        <v>20</v>
      </c>
      <c r="W4006">
        <v>127</v>
      </c>
      <c r="X4006">
        <v>16</v>
      </c>
      <c r="Y4006">
        <v>82.6</v>
      </c>
      <c r="Z4006">
        <v>62.2</v>
      </c>
      <c r="AA4006">
        <v>100</v>
      </c>
    </row>
    <row r="4007" spans="1:27" x14ac:dyDescent="0.25">
      <c r="A4007" t="s">
        <v>264</v>
      </c>
      <c r="B4007" t="s">
        <v>216</v>
      </c>
      <c r="C4007" s="76">
        <v>44013</v>
      </c>
      <c r="D4007">
        <v>988</v>
      </c>
      <c r="E4007">
        <v>276</v>
      </c>
      <c r="F4007">
        <v>1699</v>
      </c>
      <c r="G4007">
        <v>208</v>
      </c>
      <c r="H4007">
        <v>82.6</v>
      </c>
      <c r="I4007">
        <v>68.599999999999994</v>
      </c>
      <c r="J4007">
        <v>96.7</v>
      </c>
      <c r="K4007">
        <v>43</v>
      </c>
      <c r="L4007">
        <v>0</v>
      </c>
      <c r="M4007">
        <v>93</v>
      </c>
      <c r="N4007">
        <v>3.6</v>
      </c>
      <c r="O4007">
        <v>0</v>
      </c>
      <c r="P4007">
        <v>7.3</v>
      </c>
      <c r="Q4007">
        <f t="shared" ref="Q4007:Q4070" si="124">VLOOKUP(B4007,$AE$4:$AF$55,2,FALSE)</f>
        <v>1061509</v>
      </c>
      <c r="R4007">
        <f t="shared" si="123"/>
        <v>4.0508370630866057</v>
      </c>
      <c r="U4007">
        <v>63</v>
      </c>
      <c r="V4007">
        <v>19</v>
      </c>
      <c r="W4007">
        <v>106</v>
      </c>
      <c r="X4007">
        <v>22</v>
      </c>
      <c r="Y4007">
        <v>74.400000000000006</v>
      </c>
      <c r="Z4007">
        <v>54.9</v>
      </c>
      <c r="AA4007">
        <v>93.9</v>
      </c>
    </row>
    <row r="4008" spans="1:27" x14ac:dyDescent="0.25">
      <c r="A4008" t="s">
        <v>264</v>
      </c>
      <c r="B4008" t="s">
        <v>216</v>
      </c>
      <c r="C4008" s="76">
        <v>44014</v>
      </c>
      <c r="D4008">
        <v>983</v>
      </c>
      <c r="E4008">
        <v>258</v>
      </c>
      <c r="F4008">
        <v>1708</v>
      </c>
      <c r="G4008">
        <v>184</v>
      </c>
      <c r="H4008">
        <v>84.3</v>
      </c>
      <c r="I4008">
        <v>68.8</v>
      </c>
      <c r="J4008">
        <v>99.7</v>
      </c>
      <c r="K4008">
        <v>42</v>
      </c>
      <c r="L4008">
        <v>0</v>
      </c>
      <c r="M4008">
        <v>91</v>
      </c>
      <c r="N4008">
        <v>3.6</v>
      </c>
      <c r="O4008">
        <v>0</v>
      </c>
      <c r="P4008">
        <v>7.3</v>
      </c>
      <c r="Q4008">
        <f t="shared" si="124"/>
        <v>1061509</v>
      </c>
      <c r="R4008">
        <f t="shared" si="123"/>
        <v>3.9566315499915685</v>
      </c>
      <c r="U4008">
        <v>69</v>
      </c>
      <c r="V4008">
        <v>15</v>
      </c>
      <c r="W4008">
        <v>122</v>
      </c>
      <c r="X4008">
        <v>17</v>
      </c>
      <c r="Y4008">
        <v>79.8</v>
      </c>
      <c r="Z4008">
        <v>46.6</v>
      </c>
      <c r="AA4008">
        <v>100</v>
      </c>
    </row>
    <row r="4009" spans="1:27" x14ac:dyDescent="0.25">
      <c r="A4009" t="s">
        <v>264</v>
      </c>
      <c r="B4009" t="s">
        <v>216</v>
      </c>
      <c r="C4009" s="76">
        <v>44015</v>
      </c>
      <c r="D4009">
        <v>954</v>
      </c>
      <c r="E4009">
        <v>265</v>
      </c>
      <c r="F4009">
        <v>1642</v>
      </c>
      <c r="G4009">
        <v>228</v>
      </c>
      <c r="H4009">
        <v>80.7</v>
      </c>
      <c r="I4009">
        <v>68.7</v>
      </c>
      <c r="J4009">
        <v>92.7</v>
      </c>
      <c r="K4009">
        <v>46</v>
      </c>
      <c r="L4009">
        <v>0</v>
      </c>
      <c r="M4009">
        <v>99</v>
      </c>
      <c r="N4009">
        <v>3.9</v>
      </c>
      <c r="O4009">
        <v>0</v>
      </c>
      <c r="P4009">
        <v>7.8</v>
      </c>
      <c r="Q4009">
        <f t="shared" si="124"/>
        <v>1061509</v>
      </c>
      <c r="R4009">
        <f t="shared" si="123"/>
        <v>4.3334536023717183</v>
      </c>
      <c r="U4009">
        <v>64</v>
      </c>
      <c r="V4009">
        <v>18</v>
      </c>
      <c r="W4009">
        <v>110</v>
      </c>
      <c r="X4009">
        <v>19</v>
      </c>
      <c r="Y4009">
        <v>76.8</v>
      </c>
      <c r="Z4009">
        <v>53.9</v>
      </c>
      <c r="AA4009">
        <v>99.7</v>
      </c>
    </row>
    <row r="4010" spans="1:27" x14ac:dyDescent="0.25">
      <c r="A4010" t="s">
        <v>264</v>
      </c>
      <c r="B4010" t="s">
        <v>216</v>
      </c>
      <c r="C4010" s="76">
        <v>44016</v>
      </c>
      <c r="D4010">
        <v>884</v>
      </c>
      <c r="E4010">
        <v>228</v>
      </c>
      <c r="F4010">
        <v>1540</v>
      </c>
      <c r="G4010">
        <v>288</v>
      </c>
      <c r="H4010">
        <v>75.400000000000006</v>
      </c>
      <c r="I4010">
        <v>60.4</v>
      </c>
      <c r="J4010">
        <v>90.4</v>
      </c>
      <c r="K4010">
        <v>44</v>
      </c>
      <c r="L4010">
        <v>0</v>
      </c>
      <c r="M4010">
        <v>94</v>
      </c>
      <c r="N4010">
        <v>3.8</v>
      </c>
      <c r="O4010">
        <v>0.1</v>
      </c>
      <c r="P4010">
        <v>7.5</v>
      </c>
      <c r="Q4010">
        <f t="shared" si="124"/>
        <v>1061509</v>
      </c>
      <c r="R4010">
        <f t="shared" si="123"/>
        <v>4.145042576181643</v>
      </c>
      <c r="U4010">
        <v>59</v>
      </c>
      <c r="V4010">
        <v>16</v>
      </c>
      <c r="W4010">
        <v>103</v>
      </c>
      <c r="X4010">
        <v>20</v>
      </c>
      <c r="Y4010">
        <v>75.2</v>
      </c>
      <c r="Z4010">
        <v>50.5</v>
      </c>
      <c r="AA4010">
        <v>99.9</v>
      </c>
    </row>
    <row r="4011" spans="1:27" x14ac:dyDescent="0.25">
      <c r="A4011" t="s">
        <v>264</v>
      </c>
      <c r="B4011" t="s">
        <v>216</v>
      </c>
      <c r="C4011" s="76">
        <v>44017</v>
      </c>
      <c r="D4011">
        <v>834</v>
      </c>
      <c r="E4011">
        <v>234</v>
      </c>
      <c r="F4011">
        <v>1434</v>
      </c>
      <c r="G4011">
        <v>285</v>
      </c>
      <c r="H4011">
        <v>74.5</v>
      </c>
      <c r="I4011">
        <v>60.8</v>
      </c>
      <c r="J4011">
        <v>88.2</v>
      </c>
      <c r="K4011">
        <v>44</v>
      </c>
      <c r="L4011">
        <v>0</v>
      </c>
      <c r="M4011">
        <v>96</v>
      </c>
      <c r="N4011">
        <v>3.9</v>
      </c>
      <c r="O4011">
        <v>0</v>
      </c>
      <c r="P4011">
        <v>8.1</v>
      </c>
      <c r="Q4011">
        <f t="shared" si="124"/>
        <v>1061509</v>
      </c>
      <c r="R4011">
        <f t="shared" si="123"/>
        <v>4.145042576181643</v>
      </c>
      <c r="U4011">
        <v>58</v>
      </c>
      <c r="V4011">
        <v>16</v>
      </c>
      <c r="W4011">
        <v>100</v>
      </c>
      <c r="X4011">
        <v>21</v>
      </c>
      <c r="Y4011">
        <v>73.2</v>
      </c>
      <c r="Z4011">
        <v>48.1</v>
      </c>
      <c r="AA4011">
        <v>98.3</v>
      </c>
    </row>
    <row r="4012" spans="1:27" x14ac:dyDescent="0.25">
      <c r="A4012" t="s">
        <v>264</v>
      </c>
      <c r="B4012" t="s">
        <v>216</v>
      </c>
      <c r="C4012" s="76">
        <v>44018</v>
      </c>
      <c r="D4012">
        <v>868</v>
      </c>
      <c r="E4012">
        <v>245</v>
      </c>
      <c r="F4012">
        <v>1491</v>
      </c>
      <c r="G4012">
        <v>276</v>
      </c>
      <c r="H4012">
        <v>75.900000000000006</v>
      </c>
      <c r="I4012">
        <v>63.6</v>
      </c>
      <c r="J4012">
        <v>88.2</v>
      </c>
      <c r="K4012">
        <v>41</v>
      </c>
      <c r="L4012">
        <v>0</v>
      </c>
      <c r="M4012">
        <v>92</v>
      </c>
      <c r="N4012">
        <v>3.5</v>
      </c>
      <c r="O4012">
        <v>0</v>
      </c>
      <c r="P4012">
        <v>7.6</v>
      </c>
      <c r="Q4012">
        <f t="shared" si="124"/>
        <v>1061509</v>
      </c>
      <c r="R4012">
        <f t="shared" si="123"/>
        <v>3.8624260368965313</v>
      </c>
      <c r="U4012">
        <v>64</v>
      </c>
      <c r="V4012">
        <v>17</v>
      </c>
      <c r="W4012">
        <v>111</v>
      </c>
      <c r="X4012">
        <v>16</v>
      </c>
      <c r="Y4012">
        <v>79.900000000000006</v>
      </c>
      <c r="Z4012">
        <v>52.3</v>
      </c>
      <c r="AA4012">
        <v>100</v>
      </c>
    </row>
    <row r="4013" spans="1:27" x14ac:dyDescent="0.25">
      <c r="A4013" t="s">
        <v>264</v>
      </c>
      <c r="B4013" t="s">
        <v>216</v>
      </c>
      <c r="C4013" s="76">
        <v>44019</v>
      </c>
      <c r="D4013">
        <v>964</v>
      </c>
      <c r="E4013">
        <v>266</v>
      </c>
      <c r="F4013">
        <v>1662</v>
      </c>
      <c r="G4013">
        <v>215</v>
      </c>
      <c r="H4013">
        <v>81.8</v>
      </c>
      <c r="I4013">
        <v>70.2</v>
      </c>
      <c r="J4013">
        <v>93.3</v>
      </c>
      <c r="K4013">
        <v>38</v>
      </c>
      <c r="L4013">
        <v>0</v>
      </c>
      <c r="M4013">
        <v>86</v>
      </c>
      <c r="N4013">
        <v>3.2</v>
      </c>
      <c r="O4013">
        <v>0</v>
      </c>
      <c r="P4013">
        <v>6.9</v>
      </c>
      <c r="Q4013">
        <f t="shared" si="124"/>
        <v>1061509</v>
      </c>
      <c r="R4013">
        <f t="shared" si="123"/>
        <v>3.5798094976114192</v>
      </c>
      <c r="U4013">
        <v>61</v>
      </c>
      <c r="V4013">
        <v>17</v>
      </c>
      <c r="W4013">
        <v>105</v>
      </c>
      <c r="X4013">
        <v>18</v>
      </c>
      <c r="Y4013">
        <v>77.2</v>
      </c>
      <c r="Z4013">
        <v>53.5</v>
      </c>
      <c r="AA4013">
        <v>100</v>
      </c>
    </row>
    <row r="4014" spans="1:27" x14ac:dyDescent="0.25">
      <c r="A4014" t="s">
        <v>265</v>
      </c>
      <c r="B4014" t="s">
        <v>194</v>
      </c>
      <c r="C4014" s="76">
        <v>43922</v>
      </c>
      <c r="D4014">
        <v>2608</v>
      </c>
      <c r="E4014">
        <v>594</v>
      </c>
      <c r="F4014">
        <v>4622</v>
      </c>
      <c r="G4014">
        <v>2013</v>
      </c>
      <c r="H4014">
        <v>56.4</v>
      </c>
      <c r="I4014">
        <v>49.1</v>
      </c>
      <c r="J4014">
        <v>63.8</v>
      </c>
      <c r="K4014">
        <v>530</v>
      </c>
      <c r="L4014">
        <v>16</v>
      </c>
      <c r="M4014">
        <v>1043</v>
      </c>
      <c r="N4014">
        <v>11.5</v>
      </c>
      <c r="O4014">
        <v>5.6</v>
      </c>
      <c r="P4014">
        <v>17.399999999999999</v>
      </c>
      <c r="Q4014">
        <f t="shared" si="124"/>
        <v>5277830</v>
      </c>
      <c r="R4014">
        <f t="shared" si="123"/>
        <v>10.042005900152146</v>
      </c>
      <c r="U4014">
        <v>288</v>
      </c>
      <c r="V4014">
        <v>16</v>
      </c>
      <c r="W4014">
        <v>561</v>
      </c>
      <c r="X4014">
        <v>261</v>
      </c>
      <c r="Y4014">
        <v>52.5</v>
      </c>
      <c r="Z4014">
        <v>34.299999999999997</v>
      </c>
      <c r="AA4014">
        <v>70.599999999999994</v>
      </c>
    </row>
    <row r="4015" spans="1:27" x14ac:dyDescent="0.25">
      <c r="A4015" t="s">
        <v>265</v>
      </c>
      <c r="B4015" t="s">
        <v>194</v>
      </c>
      <c r="C4015" s="76">
        <v>43923</v>
      </c>
      <c r="D4015">
        <v>2536</v>
      </c>
      <c r="E4015">
        <v>766</v>
      </c>
      <c r="F4015">
        <v>4306</v>
      </c>
      <c r="G4015">
        <v>1978</v>
      </c>
      <c r="H4015">
        <v>56.2</v>
      </c>
      <c r="I4015">
        <v>50</v>
      </c>
      <c r="J4015">
        <v>62.4</v>
      </c>
      <c r="K4015">
        <v>511</v>
      </c>
      <c r="L4015">
        <v>42</v>
      </c>
      <c r="M4015">
        <v>980</v>
      </c>
      <c r="N4015">
        <v>11.3</v>
      </c>
      <c r="O4015">
        <v>5.5</v>
      </c>
      <c r="P4015">
        <v>17.2</v>
      </c>
      <c r="Q4015">
        <f t="shared" si="124"/>
        <v>5277830</v>
      </c>
      <c r="R4015">
        <f t="shared" si="123"/>
        <v>9.6820094622221635</v>
      </c>
      <c r="U4015">
        <v>378</v>
      </c>
      <c r="V4015">
        <v>53</v>
      </c>
      <c r="W4015">
        <v>703</v>
      </c>
      <c r="X4015">
        <v>186</v>
      </c>
      <c r="Y4015">
        <v>67</v>
      </c>
      <c r="Z4015">
        <v>47.3</v>
      </c>
      <c r="AA4015">
        <v>86.7</v>
      </c>
    </row>
    <row r="4016" spans="1:27" x14ac:dyDescent="0.25">
      <c r="A4016" t="s">
        <v>265</v>
      </c>
      <c r="B4016" t="s">
        <v>194</v>
      </c>
      <c r="C4016" s="76">
        <v>43924</v>
      </c>
      <c r="D4016">
        <v>2770</v>
      </c>
      <c r="E4016">
        <v>1016</v>
      </c>
      <c r="F4016">
        <v>4525</v>
      </c>
      <c r="G4016">
        <v>2516</v>
      </c>
      <c r="H4016">
        <v>52.4</v>
      </c>
      <c r="I4016">
        <v>46.2</v>
      </c>
      <c r="J4016">
        <v>58.6</v>
      </c>
      <c r="K4016">
        <v>361</v>
      </c>
      <c r="L4016">
        <v>63</v>
      </c>
      <c r="M4016">
        <v>659</v>
      </c>
      <c r="N4016">
        <v>6.8</v>
      </c>
      <c r="O4016">
        <v>3.4</v>
      </c>
      <c r="P4016">
        <v>10.199999999999999</v>
      </c>
      <c r="Q4016">
        <f t="shared" si="124"/>
        <v>5277830</v>
      </c>
      <c r="R4016">
        <f t="shared" si="123"/>
        <v>6.8399323206696696</v>
      </c>
      <c r="U4016">
        <v>365</v>
      </c>
      <c r="V4016">
        <v>81</v>
      </c>
      <c r="W4016">
        <v>649</v>
      </c>
      <c r="X4016">
        <v>347</v>
      </c>
      <c r="Y4016">
        <v>51.3</v>
      </c>
      <c r="Z4016">
        <v>37.200000000000003</v>
      </c>
      <c r="AA4016">
        <v>65.3</v>
      </c>
    </row>
    <row r="4017" spans="1:27" x14ac:dyDescent="0.25">
      <c r="A4017" t="s">
        <v>265</v>
      </c>
      <c r="B4017" t="s">
        <v>194</v>
      </c>
      <c r="C4017" s="76">
        <v>43925</v>
      </c>
      <c r="D4017">
        <v>2676</v>
      </c>
      <c r="E4017">
        <v>986</v>
      </c>
      <c r="F4017">
        <v>4366</v>
      </c>
      <c r="G4017">
        <v>2722</v>
      </c>
      <c r="H4017">
        <v>49.6</v>
      </c>
      <c r="I4017">
        <v>42.5</v>
      </c>
      <c r="J4017">
        <v>56.7</v>
      </c>
      <c r="K4017">
        <v>471</v>
      </c>
      <c r="L4017">
        <v>28</v>
      </c>
      <c r="M4017">
        <v>913</v>
      </c>
      <c r="N4017">
        <v>8.6999999999999993</v>
      </c>
      <c r="O4017">
        <v>3.8</v>
      </c>
      <c r="P4017">
        <v>13.7</v>
      </c>
      <c r="Q4017">
        <f t="shared" si="124"/>
        <v>5277830</v>
      </c>
      <c r="R4017">
        <f t="shared" si="123"/>
        <v>8.9241222244748322</v>
      </c>
      <c r="U4017">
        <v>379</v>
      </c>
      <c r="V4017">
        <v>79</v>
      </c>
      <c r="W4017">
        <v>679</v>
      </c>
      <c r="X4017">
        <v>330</v>
      </c>
      <c r="Y4017">
        <v>53.4</v>
      </c>
      <c r="Z4017">
        <v>39.4</v>
      </c>
      <c r="AA4017">
        <v>67.5</v>
      </c>
    </row>
    <row r="4018" spans="1:27" x14ac:dyDescent="0.25">
      <c r="A4018" t="s">
        <v>265</v>
      </c>
      <c r="B4018" t="s">
        <v>194</v>
      </c>
      <c r="C4018" s="76">
        <v>43926</v>
      </c>
      <c r="D4018">
        <v>2486</v>
      </c>
      <c r="E4018">
        <v>894</v>
      </c>
      <c r="F4018">
        <v>4079</v>
      </c>
      <c r="G4018">
        <v>2525</v>
      </c>
      <c r="H4018">
        <v>49.6</v>
      </c>
      <c r="I4018">
        <v>39.6</v>
      </c>
      <c r="J4018">
        <v>59.7</v>
      </c>
      <c r="K4018">
        <v>492</v>
      </c>
      <c r="L4018">
        <v>51</v>
      </c>
      <c r="M4018">
        <v>933</v>
      </c>
      <c r="N4018">
        <v>9.8000000000000007</v>
      </c>
      <c r="O4018">
        <v>4.3</v>
      </c>
      <c r="P4018">
        <v>15.4</v>
      </c>
      <c r="Q4018">
        <f t="shared" si="124"/>
        <v>5277830</v>
      </c>
      <c r="R4018">
        <f t="shared" si="123"/>
        <v>9.3220130242921808</v>
      </c>
      <c r="U4018">
        <v>345</v>
      </c>
      <c r="V4018">
        <v>57</v>
      </c>
      <c r="W4018">
        <v>632</v>
      </c>
      <c r="X4018">
        <v>316</v>
      </c>
      <c r="Y4018">
        <v>52.2</v>
      </c>
      <c r="Z4018">
        <v>34</v>
      </c>
      <c r="AA4018">
        <v>70.400000000000006</v>
      </c>
    </row>
    <row r="4019" spans="1:27" x14ac:dyDescent="0.25">
      <c r="A4019" t="s">
        <v>265</v>
      </c>
      <c r="B4019" t="s">
        <v>194</v>
      </c>
      <c r="C4019" s="76">
        <v>43927</v>
      </c>
      <c r="D4019">
        <v>5387</v>
      </c>
      <c r="E4019">
        <v>0</v>
      </c>
      <c r="F4019">
        <v>11134</v>
      </c>
      <c r="G4019">
        <v>5158</v>
      </c>
      <c r="H4019">
        <v>51.1</v>
      </c>
      <c r="I4019">
        <v>46.7</v>
      </c>
      <c r="J4019">
        <v>55.5</v>
      </c>
      <c r="K4019">
        <v>917</v>
      </c>
      <c r="L4019">
        <v>7</v>
      </c>
      <c r="M4019">
        <v>1828</v>
      </c>
      <c r="N4019">
        <v>8.6999999999999993</v>
      </c>
      <c r="O4019">
        <v>5.5</v>
      </c>
      <c r="P4019">
        <v>11.9</v>
      </c>
      <c r="Q4019">
        <f t="shared" si="124"/>
        <v>5277830</v>
      </c>
      <c r="R4019">
        <f t="shared" si="123"/>
        <v>17.374564925357582</v>
      </c>
      <c r="U4019">
        <v>761</v>
      </c>
      <c r="V4019">
        <v>0</v>
      </c>
      <c r="W4019">
        <v>1547</v>
      </c>
      <c r="X4019">
        <v>536</v>
      </c>
      <c r="Y4019">
        <v>58.7</v>
      </c>
      <c r="Z4019">
        <v>51.2</v>
      </c>
      <c r="AA4019">
        <v>66.2</v>
      </c>
    </row>
    <row r="4020" spans="1:27" x14ac:dyDescent="0.25">
      <c r="A4020" t="s">
        <v>265</v>
      </c>
      <c r="B4020" t="s">
        <v>194</v>
      </c>
      <c r="C4020" s="76">
        <v>43928</v>
      </c>
      <c r="D4020">
        <v>5426</v>
      </c>
      <c r="E4020">
        <v>316</v>
      </c>
      <c r="F4020">
        <v>10536</v>
      </c>
      <c r="G4020">
        <v>4527</v>
      </c>
      <c r="H4020">
        <v>54.5</v>
      </c>
      <c r="I4020">
        <v>49.8</v>
      </c>
      <c r="J4020">
        <v>59.3</v>
      </c>
      <c r="K4020">
        <v>1004</v>
      </c>
      <c r="L4020">
        <v>36</v>
      </c>
      <c r="M4020">
        <v>1971</v>
      </c>
      <c r="N4020">
        <v>10.1</v>
      </c>
      <c r="O4020">
        <v>6.1</v>
      </c>
      <c r="P4020">
        <v>14.1</v>
      </c>
      <c r="Q4020">
        <f t="shared" si="124"/>
        <v>5277830</v>
      </c>
      <c r="R4020">
        <f t="shared" si="123"/>
        <v>19.022969667458025</v>
      </c>
      <c r="U4020">
        <v>732</v>
      </c>
      <c r="V4020">
        <v>71</v>
      </c>
      <c r="W4020">
        <v>1392</v>
      </c>
      <c r="X4020">
        <v>513</v>
      </c>
      <c r="Y4020">
        <v>58.8</v>
      </c>
      <c r="Z4020">
        <v>48</v>
      </c>
      <c r="AA4020">
        <v>69.599999999999994</v>
      </c>
    </row>
    <row r="4021" spans="1:27" x14ac:dyDescent="0.25">
      <c r="A4021" t="s">
        <v>265</v>
      </c>
      <c r="B4021" t="s">
        <v>194</v>
      </c>
      <c r="C4021" s="76">
        <v>43929</v>
      </c>
      <c r="D4021">
        <v>5623</v>
      </c>
      <c r="E4021">
        <v>61</v>
      </c>
      <c r="F4021">
        <v>11185</v>
      </c>
      <c r="G4021">
        <v>4401</v>
      </c>
      <c r="H4021">
        <v>56.1</v>
      </c>
      <c r="I4021">
        <v>49.7</v>
      </c>
      <c r="J4021">
        <v>62.5</v>
      </c>
      <c r="K4021">
        <v>919</v>
      </c>
      <c r="L4021">
        <v>0</v>
      </c>
      <c r="M4021">
        <v>1899</v>
      </c>
      <c r="N4021">
        <v>9.1999999999999993</v>
      </c>
      <c r="O4021">
        <v>6.6</v>
      </c>
      <c r="P4021">
        <v>11.7</v>
      </c>
      <c r="Q4021">
        <f t="shared" si="124"/>
        <v>5277830</v>
      </c>
      <c r="R4021">
        <f t="shared" si="123"/>
        <v>17.412459287244946</v>
      </c>
      <c r="U4021">
        <v>645</v>
      </c>
      <c r="V4021">
        <v>79</v>
      </c>
      <c r="W4021">
        <v>1211</v>
      </c>
      <c r="X4021">
        <v>609</v>
      </c>
      <c r="Y4021">
        <v>51.4</v>
      </c>
      <c r="Z4021">
        <v>42.5</v>
      </c>
      <c r="AA4021">
        <v>60.3</v>
      </c>
    </row>
    <row r="4022" spans="1:27" x14ac:dyDescent="0.25">
      <c r="A4022" t="s">
        <v>265</v>
      </c>
      <c r="B4022" t="s">
        <v>194</v>
      </c>
      <c r="C4022" s="76">
        <v>43930</v>
      </c>
      <c r="D4022">
        <v>5543</v>
      </c>
      <c r="E4022">
        <v>2415</v>
      </c>
      <c r="F4022">
        <v>8671</v>
      </c>
      <c r="G4022">
        <v>5445</v>
      </c>
      <c r="H4022">
        <v>50.4</v>
      </c>
      <c r="I4022">
        <v>45.9</v>
      </c>
      <c r="J4022">
        <v>55</v>
      </c>
      <c r="K4022">
        <v>652</v>
      </c>
      <c r="L4022">
        <v>258</v>
      </c>
      <c r="M4022">
        <v>1047</v>
      </c>
      <c r="N4022">
        <v>5.9</v>
      </c>
      <c r="O4022">
        <v>3</v>
      </c>
      <c r="P4022">
        <v>8.9</v>
      </c>
      <c r="Q4022">
        <f t="shared" si="124"/>
        <v>5277830</v>
      </c>
      <c r="R4022">
        <f t="shared" si="123"/>
        <v>12.353561975281506</v>
      </c>
      <c r="U4022">
        <v>739</v>
      </c>
      <c r="V4022">
        <v>198</v>
      </c>
      <c r="W4022">
        <v>1280</v>
      </c>
      <c r="X4022">
        <v>563</v>
      </c>
      <c r="Y4022">
        <v>56.8</v>
      </c>
      <c r="Z4022">
        <v>48.4</v>
      </c>
      <c r="AA4022">
        <v>65.099999999999994</v>
      </c>
    </row>
    <row r="4023" spans="1:27" x14ac:dyDescent="0.25">
      <c r="A4023" t="s">
        <v>265</v>
      </c>
      <c r="B4023" t="s">
        <v>194</v>
      </c>
      <c r="C4023" s="76">
        <v>43931</v>
      </c>
      <c r="D4023">
        <v>5613</v>
      </c>
      <c r="E4023">
        <v>3333</v>
      </c>
      <c r="F4023">
        <v>7893</v>
      </c>
      <c r="G4023">
        <v>5096</v>
      </c>
      <c r="H4023">
        <v>52.4</v>
      </c>
      <c r="I4023">
        <v>48.9</v>
      </c>
      <c r="J4023">
        <v>55.9</v>
      </c>
      <c r="K4023">
        <v>648</v>
      </c>
      <c r="L4023">
        <v>348</v>
      </c>
      <c r="M4023">
        <v>948</v>
      </c>
      <c r="N4023">
        <v>6.1</v>
      </c>
      <c r="O4023">
        <v>3.9</v>
      </c>
      <c r="P4023">
        <v>8.1999999999999993</v>
      </c>
      <c r="Q4023">
        <f t="shared" si="124"/>
        <v>5277830</v>
      </c>
      <c r="R4023">
        <f t="shared" si="123"/>
        <v>12.277773251506774</v>
      </c>
      <c r="U4023">
        <v>745</v>
      </c>
      <c r="V4023">
        <v>347</v>
      </c>
      <c r="W4023">
        <v>1142</v>
      </c>
      <c r="X4023">
        <v>597</v>
      </c>
      <c r="Y4023">
        <v>55.5</v>
      </c>
      <c r="Z4023">
        <v>49.1</v>
      </c>
      <c r="AA4023">
        <v>61.9</v>
      </c>
    </row>
    <row r="4024" spans="1:27" x14ac:dyDescent="0.25">
      <c r="A4024" t="s">
        <v>265</v>
      </c>
      <c r="B4024" t="s">
        <v>194</v>
      </c>
      <c r="C4024" s="76">
        <v>43932</v>
      </c>
      <c r="D4024">
        <v>5834</v>
      </c>
      <c r="E4024">
        <v>3453</v>
      </c>
      <c r="F4024">
        <v>8216</v>
      </c>
      <c r="G4024">
        <v>5330</v>
      </c>
      <c r="H4024">
        <v>52.3</v>
      </c>
      <c r="I4024">
        <v>47.5</v>
      </c>
      <c r="J4024">
        <v>57</v>
      </c>
      <c r="K4024">
        <v>525</v>
      </c>
      <c r="L4024">
        <v>286</v>
      </c>
      <c r="M4024">
        <v>764</v>
      </c>
      <c r="N4024">
        <v>4.7</v>
      </c>
      <c r="O4024">
        <v>3.2</v>
      </c>
      <c r="P4024">
        <v>6.2</v>
      </c>
      <c r="Q4024">
        <f t="shared" si="124"/>
        <v>5277830</v>
      </c>
      <c r="R4024">
        <f t="shared" si="123"/>
        <v>9.9472699954337287</v>
      </c>
      <c r="U4024">
        <v>787</v>
      </c>
      <c r="V4024">
        <v>369</v>
      </c>
      <c r="W4024">
        <v>1205</v>
      </c>
      <c r="X4024">
        <v>599</v>
      </c>
      <c r="Y4024">
        <v>56.8</v>
      </c>
      <c r="Z4024">
        <v>49.3</v>
      </c>
      <c r="AA4024">
        <v>64.3</v>
      </c>
    </row>
    <row r="4025" spans="1:27" x14ac:dyDescent="0.25">
      <c r="A4025" t="s">
        <v>265</v>
      </c>
      <c r="B4025" t="s">
        <v>194</v>
      </c>
      <c r="C4025" s="76">
        <v>43933</v>
      </c>
      <c r="D4025">
        <v>5605</v>
      </c>
      <c r="E4025">
        <v>3352</v>
      </c>
      <c r="F4025">
        <v>7857</v>
      </c>
      <c r="G4025">
        <v>5334</v>
      </c>
      <c r="H4025">
        <v>51.2</v>
      </c>
      <c r="I4025">
        <v>46.2</v>
      </c>
      <c r="J4025">
        <v>56.3</v>
      </c>
      <c r="K4025">
        <v>524</v>
      </c>
      <c r="L4025">
        <v>308</v>
      </c>
      <c r="M4025">
        <v>739</v>
      </c>
      <c r="N4025">
        <v>4.8</v>
      </c>
      <c r="O4025">
        <v>3.6</v>
      </c>
      <c r="P4025">
        <v>6</v>
      </c>
      <c r="Q4025">
        <f t="shared" si="124"/>
        <v>5277830</v>
      </c>
      <c r="R4025">
        <f t="shared" si="123"/>
        <v>9.9283228144900466</v>
      </c>
      <c r="U4025">
        <v>733</v>
      </c>
      <c r="V4025">
        <v>366</v>
      </c>
      <c r="W4025">
        <v>1100</v>
      </c>
      <c r="X4025">
        <v>622</v>
      </c>
      <c r="Y4025">
        <v>54.1</v>
      </c>
      <c r="Z4025">
        <v>48.1</v>
      </c>
      <c r="AA4025">
        <v>60.1</v>
      </c>
    </row>
    <row r="4026" spans="1:27" x14ac:dyDescent="0.25">
      <c r="A4026" t="s">
        <v>265</v>
      </c>
      <c r="B4026" t="s">
        <v>194</v>
      </c>
      <c r="C4026" s="76">
        <v>43934</v>
      </c>
      <c r="D4026">
        <v>5894</v>
      </c>
      <c r="E4026">
        <v>3530</v>
      </c>
      <c r="F4026">
        <v>8257</v>
      </c>
      <c r="G4026">
        <v>4925</v>
      </c>
      <c r="H4026">
        <v>54.5</v>
      </c>
      <c r="I4026">
        <v>49</v>
      </c>
      <c r="J4026">
        <v>60</v>
      </c>
      <c r="K4026">
        <v>488</v>
      </c>
      <c r="L4026">
        <v>286</v>
      </c>
      <c r="M4026">
        <v>689</v>
      </c>
      <c r="N4026">
        <v>4.5</v>
      </c>
      <c r="O4026">
        <v>3.5</v>
      </c>
      <c r="P4026">
        <v>5.5</v>
      </c>
      <c r="Q4026">
        <f t="shared" si="124"/>
        <v>5277830</v>
      </c>
      <c r="R4026">
        <f t="shared" si="123"/>
        <v>9.2462243005174471</v>
      </c>
      <c r="U4026">
        <v>751</v>
      </c>
      <c r="V4026">
        <v>390</v>
      </c>
      <c r="W4026">
        <v>1112</v>
      </c>
      <c r="X4026">
        <v>626</v>
      </c>
      <c r="Y4026">
        <v>54.6</v>
      </c>
      <c r="Z4026">
        <v>47.9</v>
      </c>
      <c r="AA4026">
        <v>61.2</v>
      </c>
    </row>
    <row r="4027" spans="1:27" x14ac:dyDescent="0.25">
      <c r="A4027" t="s">
        <v>265</v>
      </c>
      <c r="B4027" t="s">
        <v>194</v>
      </c>
      <c r="C4027" s="76">
        <v>43935</v>
      </c>
      <c r="D4027">
        <v>6197</v>
      </c>
      <c r="E4027">
        <v>3727</v>
      </c>
      <c r="F4027">
        <v>8667</v>
      </c>
      <c r="G4027">
        <v>4573</v>
      </c>
      <c r="H4027">
        <v>57.5</v>
      </c>
      <c r="I4027">
        <v>51.8</v>
      </c>
      <c r="J4027">
        <v>63.3</v>
      </c>
      <c r="K4027">
        <v>476</v>
      </c>
      <c r="L4027">
        <v>283</v>
      </c>
      <c r="M4027">
        <v>670</v>
      </c>
      <c r="N4027">
        <v>4.4000000000000004</v>
      </c>
      <c r="O4027">
        <v>3.4</v>
      </c>
      <c r="P4027">
        <v>5.4</v>
      </c>
      <c r="Q4027">
        <f t="shared" si="124"/>
        <v>5277830</v>
      </c>
      <c r="R4027">
        <f t="shared" si="123"/>
        <v>9.0188581291932479</v>
      </c>
      <c r="U4027">
        <v>764</v>
      </c>
      <c r="V4027">
        <v>399</v>
      </c>
      <c r="W4027">
        <v>1130</v>
      </c>
      <c r="X4027">
        <v>564</v>
      </c>
      <c r="Y4027">
        <v>57.5</v>
      </c>
      <c r="Z4027">
        <v>50</v>
      </c>
      <c r="AA4027">
        <v>65.099999999999994</v>
      </c>
    </row>
    <row r="4028" spans="1:27" x14ac:dyDescent="0.25">
      <c r="A4028" t="s">
        <v>265</v>
      </c>
      <c r="B4028" t="s">
        <v>194</v>
      </c>
      <c r="C4028" s="76">
        <v>43936</v>
      </c>
      <c r="D4028">
        <v>6259</v>
      </c>
      <c r="E4028">
        <v>3918</v>
      </c>
      <c r="F4028">
        <v>8599</v>
      </c>
      <c r="G4028">
        <v>4431</v>
      </c>
      <c r="H4028">
        <v>58.6</v>
      </c>
      <c r="I4028">
        <v>52.7</v>
      </c>
      <c r="J4028">
        <v>64.400000000000006</v>
      </c>
      <c r="K4028">
        <v>445</v>
      </c>
      <c r="L4028">
        <v>266</v>
      </c>
      <c r="M4028">
        <v>623</v>
      </c>
      <c r="N4028">
        <v>4.2</v>
      </c>
      <c r="O4028">
        <v>3.1</v>
      </c>
      <c r="P4028">
        <v>5.2</v>
      </c>
      <c r="Q4028">
        <f t="shared" si="124"/>
        <v>5277830</v>
      </c>
      <c r="R4028">
        <f t="shared" si="123"/>
        <v>8.431495519939066</v>
      </c>
      <c r="U4028">
        <v>797</v>
      </c>
      <c r="V4028">
        <v>434</v>
      </c>
      <c r="W4028">
        <v>1160</v>
      </c>
      <c r="X4028">
        <v>491</v>
      </c>
      <c r="Y4028">
        <v>61.9</v>
      </c>
      <c r="Z4028">
        <v>54.8</v>
      </c>
      <c r="AA4028">
        <v>69</v>
      </c>
    </row>
    <row r="4029" spans="1:27" x14ac:dyDescent="0.25">
      <c r="A4029" t="s">
        <v>265</v>
      </c>
      <c r="B4029" t="s">
        <v>194</v>
      </c>
      <c r="C4029" s="76">
        <v>43937</v>
      </c>
      <c r="D4029">
        <v>6434</v>
      </c>
      <c r="E4029">
        <v>4068</v>
      </c>
      <c r="F4029">
        <v>8800</v>
      </c>
      <c r="G4029">
        <v>4608</v>
      </c>
      <c r="H4029">
        <v>58.3</v>
      </c>
      <c r="I4029">
        <v>53.1</v>
      </c>
      <c r="J4029">
        <v>63.4</v>
      </c>
      <c r="K4029">
        <v>470</v>
      </c>
      <c r="L4029">
        <v>299</v>
      </c>
      <c r="M4029">
        <v>641</v>
      </c>
      <c r="N4029">
        <v>4.3</v>
      </c>
      <c r="O4029">
        <v>3.4</v>
      </c>
      <c r="P4029">
        <v>5.0999999999999996</v>
      </c>
      <c r="Q4029">
        <f t="shared" si="124"/>
        <v>5277830</v>
      </c>
      <c r="R4029">
        <f t="shared" si="123"/>
        <v>8.9051750435311483</v>
      </c>
      <c r="U4029">
        <v>814</v>
      </c>
      <c r="V4029">
        <v>458</v>
      </c>
      <c r="W4029">
        <v>1170</v>
      </c>
      <c r="X4029">
        <v>657</v>
      </c>
      <c r="Y4029">
        <v>55.3</v>
      </c>
      <c r="Z4029">
        <v>45.4</v>
      </c>
      <c r="AA4029">
        <v>65.2</v>
      </c>
    </row>
    <row r="4030" spans="1:27" x14ac:dyDescent="0.25">
      <c r="A4030" t="s">
        <v>265</v>
      </c>
      <c r="B4030" t="s">
        <v>194</v>
      </c>
      <c r="C4030" s="76">
        <v>43938</v>
      </c>
      <c r="D4030">
        <v>6294</v>
      </c>
      <c r="E4030">
        <v>3983</v>
      </c>
      <c r="F4030">
        <v>8604</v>
      </c>
      <c r="G4030">
        <v>4807</v>
      </c>
      <c r="H4030">
        <v>56.7</v>
      </c>
      <c r="I4030">
        <v>52.1</v>
      </c>
      <c r="J4030">
        <v>61.3</v>
      </c>
      <c r="K4030">
        <v>478</v>
      </c>
      <c r="L4030">
        <v>304</v>
      </c>
      <c r="M4030">
        <v>652</v>
      </c>
      <c r="N4030">
        <v>4.3</v>
      </c>
      <c r="O4030">
        <v>3.4</v>
      </c>
      <c r="P4030">
        <v>5.2</v>
      </c>
      <c r="Q4030">
        <f t="shared" si="124"/>
        <v>5277830</v>
      </c>
      <c r="R4030">
        <f t="shared" si="123"/>
        <v>9.0567524910806156</v>
      </c>
      <c r="U4030">
        <v>921</v>
      </c>
      <c r="V4030">
        <v>485</v>
      </c>
      <c r="W4030">
        <v>1357</v>
      </c>
      <c r="X4030">
        <v>525</v>
      </c>
      <c r="Y4030">
        <v>63.7</v>
      </c>
      <c r="Z4030">
        <v>57.8</v>
      </c>
      <c r="AA4030">
        <v>69.599999999999994</v>
      </c>
    </row>
    <row r="4031" spans="1:27" x14ac:dyDescent="0.25">
      <c r="A4031" t="s">
        <v>265</v>
      </c>
      <c r="B4031" t="s">
        <v>194</v>
      </c>
      <c r="C4031" s="76">
        <v>43939</v>
      </c>
      <c r="D4031">
        <v>6043</v>
      </c>
      <c r="E4031">
        <v>3818</v>
      </c>
      <c r="F4031">
        <v>8269</v>
      </c>
      <c r="G4031">
        <v>5036</v>
      </c>
      <c r="H4031">
        <v>54.5</v>
      </c>
      <c r="I4031">
        <v>50</v>
      </c>
      <c r="J4031">
        <v>59</v>
      </c>
      <c r="K4031">
        <v>461</v>
      </c>
      <c r="L4031">
        <v>289</v>
      </c>
      <c r="M4031">
        <v>633</v>
      </c>
      <c r="N4031">
        <v>4.2</v>
      </c>
      <c r="O4031">
        <v>3.2</v>
      </c>
      <c r="P4031">
        <v>5.0999999999999996</v>
      </c>
      <c r="Q4031">
        <f t="shared" si="124"/>
        <v>5277830</v>
      </c>
      <c r="R4031">
        <f t="shared" si="123"/>
        <v>8.7346504150379989</v>
      </c>
      <c r="U4031">
        <v>842</v>
      </c>
      <c r="V4031">
        <v>456</v>
      </c>
      <c r="W4031">
        <v>1228</v>
      </c>
      <c r="X4031">
        <v>573</v>
      </c>
      <c r="Y4031">
        <v>59.5</v>
      </c>
      <c r="Z4031">
        <v>54.1</v>
      </c>
      <c r="AA4031">
        <v>64.900000000000006</v>
      </c>
    </row>
    <row r="4032" spans="1:27" x14ac:dyDescent="0.25">
      <c r="A4032" t="s">
        <v>265</v>
      </c>
      <c r="B4032" t="s">
        <v>194</v>
      </c>
      <c r="C4032" s="76">
        <v>43940</v>
      </c>
      <c r="D4032">
        <v>5986</v>
      </c>
      <c r="E4032">
        <v>3762</v>
      </c>
      <c r="F4032">
        <v>8210</v>
      </c>
      <c r="G4032">
        <v>5078</v>
      </c>
      <c r="H4032">
        <v>54.1</v>
      </c>
      <c r="I4032">
        <v>49.5</v>
      </c>
      <c r="J4032">
        <v>58.8</v>
      </c>
      <c r="K4032">
        <v>441</v>
      </c>
      <c r="L4032">
        <v>274</v>
      </c>
      <c r="M4032">
        <v>608</v>
      </c>
      <c r="N4032">
        <v>4</v>
      </c>
      <c r="O4032">
        <v>3</v>
      </c>
      <c r="P4032">
        <v>5</v>
      </c>
      <c r="Q4032">
        <f t="shared" si="124"/>
        <v>5277830</v>
      </c>
      <c r="R4032">
        <f t="shared" si="123"/>
        <v>8.3557067961643323</v>
      </c>
      <c r="U4032">
        <v>833</v>
      </c>
      <c r="V4032">
        <v>443</v>
      </c>
      <c r="W4032">
        <v>1223</v>
      </c>
      <c r="X4032">
        <v>585</v>
      </c>
      <c r="Y4032">
        <v>58.7</v>
      </c>
      <c r="Z4032">
        <v>52.9</v>
      </c>
      <c r="AA4032">
        <v>64.599999999999994</v>
      </c>
    </row>
    <row r="4033" spans="1:27" x14ac:dyDescent="0.25">
      <c r="A4033" t="s">
        <v>265</v>
      </c>
      <c r="B4033" t="s">
        <v>194</v>
      </c>
      <c r="C4033" s="76">
        <v>43941</v>
      </c>
      <c r="D4033">
        <v>6133</v>
      </c>
      <c r="E4033">
        <v>3887</v>
      </c>
      <c r="F4033">
        <v>8378</v>
      </c>
      <c r="G4033">
        <v>4928</v>
      </c>
      <c r="H4033">
        <v>55.4</v>
      </c>
      <c r="I4033">
        <v>50.7</v>
      </c>
      <c r="J4033">
        <v>60.2</v>
      </c>
      <c r="K4033">
        <v>465</v>
      </c>
      <c r="L4033">
        <v>293</v>
      </c>
      <c r="M4033">
        <v>636</v>
      </c>
      <c r="N4033">
        <v>4.2</v>
      </c>
      <c r="O4033">
        <v>3.2</v>
      </c>
      <c r="P4033">
        <v>5.2</v>
      </c>
      <c r="Q4033">
        <f t="shared" si="124"/>
        <v>5277830</v>
      </c>
      <c r="R4033">
        <f t="shared" si="123"/>
        <v>8.8104391388127326</v>
      </c>
      <c r="U4033">
        <v>837</v>
      </c>
      <c r="V4033">
        <v>445</v>
      </c>
      <c r="W4033">
        <v>1228</v>
      </c>
      <c r="X4033">
        <v>596</v>
      </c>
      <c r="Y4033">
        <v>58.4</v>
      </c>
      <c r="Z4033">
        <v>53.3</v>
      </c>
      <c r="AA4033">
        <v>63.5</v>
      </c>
    </row>
    <row r="4034" spans="1:27" x14ac:dyDescent="0.25">
      <c r="A4034" t="s">
        <v>265</v>
      </c>
      <c r="B4034" t="s">
        <v>194</v>
      </c>
      <c r="C4034" s="76">
        <v>43942</v>
      </c>
      <c r="D4034">
        <v>6431</v>
      </c>
      <c r="E4034">
        <v>4057</v>
      </c>
      <c r="F4034">
        <v>8806</v>
      </c>
      <c r="G4034">
        <v>4635</v>
      </c>
      <c r="H4034">
        <v>58.1</v>
      </c>
      <c r="I4034">
        <v>53.3</v>
      </c>
      <c r="J4034">
        <v>62.9</v>
      </c>
      <c r="K4034">
        <v>519</v>
      </c>
      <c r="L4034">
        <v>334</v>
      </c>
      <c r="M4034">
        <v>704</v>
      </c>
      <c r="N4034">
        <v>4.7</v>
      </c>
      <c r="O4034">
        <v>3.7</v>
      </c>
      <c r="P4034">
        <v>5.7</v>
      </c>
      <c r="Q4034">
        <f t="shared" si="124"/>
        <v>5277830</v>
      </c>
      <c r="R4034">
        <f t="shared" si="123"/>
        <v>9.8335869097716291</v>
      </c>
      <c r="U4034">
        <v>874</v>
      </c>
      <c r="V4034">
        <v>478</v>
      </c>
      <c r="W4034">
        <v>1269</v>
      </c>
      <c r="X4034">
        <v>556</v>
      </c>
      <c r="Y4034">
        <v>61.1</v>
      </c>
      <c r="Z4034">
        <v>56.4</v>
      </c>
      <c r="AA4034">
        <v>65.8</v>
      </c>
    </row>
    <row r="4035" spans="1:27" x14ac:dyDescent="0.25">
      <c r="A4035" t="s">
        <v>265</v>
      </c>
      <c r="B4035" t="s">
        <v>194</v>
      </c>
      <c r="C4035" s="76">
        <v>43943</v>
      </c>
      <c r="D4035">
        <v>6482</v>
      </c>
      <c r="E4035">
        <v>4084</v>
      </c>
      <c r="F4035">
        <v>8879</v>
      </c>
      <c r="G4035">
        <v>4540</v>
      </c>
      <c r="H4035">
        <v>58.8</v>
      </c>
      <c r="I4035">
        <v>53.8</v>
      </c>
      <c r="J4035">
        <v>63.8</v>
      </c>
      <c r="K4035">
        <v>518</v>
      </c>
      <c r="L4035">
        <v>322</v>
      </c>
      <c r="M4035">
        <v>714</v>
      </c>
      <c r="N4035">
        <v>4.7</v>
      </c>
      <c r="O4035">
        <v>3.6</v>
      </c>
      <c r="P4035">
        <v>5.8</v>
      </c>
      <c r="Q4035">
        <f t="shared" si="124"/>
        <v>5277830</v>
      </c>
      <c r="R4035">
        <f t="shared" si="123"/>
        <v>9.814639728827947</v>
      </c>
      <c r="U4035">
        <v>873</v>
      </c>
      <c r="V4035">
        <v>468</v>
      </c>
      <c r="W4035">
        <v>1278</v>
      </c>
      <c r="X4035">
        <v>523</v>
      </c>
      <c r="Y4035">
        <v>62.5</v>
      </c>
      <c r="Z4035">
        <v>58</v>
      </c>
      <c r="AA4035">
        <v>67</v>
      </c>
    </row>
    <row r="4036" spans="1:27" x14ac:dyDescent="0.25">
      <c r="A4036" t="s">
        <v>265</v>
      </c>
      <c r="B4036" t="s">
        <v>194</v>
      </c>
      <c r="C4036" s="76">
        <v>43944</v>
      </c>
      <c r="D4036">
        <v>6494</v>
      </c>
      <c r="E4036">
        <v>4073</v>
      </c>
      <c r="F4036">
        <v>8915</v>
      </c>
      <c r="G4036">
        <v>4542</v>
      </c>
      <c r="H4036">
        <v>58.8</v>
      </c>
      <c r="I4036">
        <v>53.7</v>
      </c>
      <c r="J4036">
        <v>64</v>
      </c>
      <c r="K4036">
        <v>511</v>
      </c>
      <c r="L4036">
        <v>316</v>
      </c>
      <c r="M4036">
        <v>706</v>
      </c>
      <c r="N4036">
        <v>4.5999999999999996</v>
      </c>
      <c r="O4036">
        <v>3.7</v>
      </c>
      <c r="P4036">
        <v>5.5</v>
      </c>
      <c r="Q4036">
        <f t="shared" si="124"/>
        <v>5277830</v>
      </c>
      <c r="R4036">
        <f t="shared" si="123"/>
        <v>9.6820094622221635</v>
      </c>
      <c r="U4036">
        <v>881</v>
      </c>
      <c r="V4036">
        <v>471</v>
      </c>
      <c r="W4036">
        <v>1290</v>
      </c>
      <c r="X4036">
        <v>519</v>
      </c>
      <c r="Y4036">
        <v>62.9</v>
      </c>
      <c r="Z4036">
        <v>58.4</v>
      </c>
      <c r="AA4036">
        <v>67.400000000000006</v>
      </c>
    </row>
    <row r="4037" spans="1:27" x14ac:dyDescent="0.25">
      <c r="A4037" t="s">
        <v>265</v>
      </c>
      <c r="B4037" t="s">
        <v>194</v>
      </c>
      <c r="C4037" s="76">
        <v>43945</v>
      </c>
      <c r="D4037">
        <v>6399</v>
      </c>
      <c r="E4037">
        <v>4013</v>
      </c>
      <c r="F4037">
        <v>8786</v>
      </c>
      <c r="G4037">
        <v>4644</v>
      </c>
      <c r="H4037">
        <v>57.9</v>
      </c>
      <c r="I4037">
        <v>52.8</v>
      </c>
      <c r="J4037">
        <v>63.1</v>
      </c>
      <c r="K4037">
        <v>505</v>
      </c>
      <c r="L4037">
        <v>307</v>
      </c>
      <c r="M4037">
        <v>704</v>
      </c>
      <c r="N4037">
        <v>4.5999999999999996</v>
      </c>
      <c r="O4037">
        <v>3.6</v>
      </c>
      <c r="P4037">
        <v>5.5</v>
      </c>
      <c r="Q4037">
        <f t="shared" si="124"/>
        <v>5277830</v>
      </c>
      <c r="R4037">
        <f t="shared" ref="R4037:R4100" si="125">K4037/(Q4037)*100000</f>
        <v>9.5683263765600639</v>
      </c>
      <c r="U4037">
        <v>838</v>
      </c>
      <c r="V4037">
        <v>440</v>
      </c>
      <c r="W4037">
        <v>1237</v>
      </c>
      <c r="X4037">
        <v>554</v>
      </c>
      <c r="Y4037">
        <v>60.2</v>
      </c>
      <c r="Z4037">
        <v>54.6</v>
      </c>
      <c r="AA4037">
        <v>65.8</v>
      </c>
    </row>
    <row r="4038" spans="1:27" x14ac:dyDescent="0.25">
      <c r="A4038" t="s">
        <v>265</v>
      </c>
      <c r="B4038" t="s">
        <v>194</v>
      </c>
      <c r="C4038" s="76">
        <v>43946</v>
      </c>
      <c r="D4038">
        <v>6275</v>
      </c>
      <c r="E4038">
        <v>3964</v>
      </c>
      <c r="F4038">
        <v>8586</v>
      </c>
      <c r="G4038">
        <v>4726</v>
      </c>
      <c r="H4038">
        <v>57</v>
      </c>
      <c r="I4038">
        <v>52.3</v>
      </c>
      <c r="J4038">
        <v>61.8</v>
      </c>
      <c r="K4038">
        <v>473</v>
      </c>
      <c r="L4038">
        <v>282</v>
      </c>
      <c r="M4038">
        <v>664</v>
      </c>
      <c r="N4038">
        <v>4.3</v>
      </c>
      <c r="O4038">
        <v>3.3</v>
      </c>
      <c r="P4038">
        <v>5.3</v>
      </c>
      <c r="Q4038">
        <f t="shared" si="124"/>
        <v>5277830</v>
      </c>
      <c r="R4038">
        <f t="shared" si="125"/>
        <v>8.9620165863621981</v>
      </c>
      <c r="U4038">
        <v>825</v>
      </c>
      <c r="V4038">
        <v>431</v>
      </c>
      <c r="W4038">
        <v>1220</v>
      </c>
      <c r="X4038">
        <v>557</v>
      </c>
      <c r="Y4038">
        <v>59.7</v>
      </c>
      <c r="Z4038">
        <v>54.2</v>
      </c>
      <c r="AA4038">
        <v>65.2</v>
      </c>
    </row>
    <row r="4039" spans="1:27" x14ac:dyDescent="0.25">
      <c r="A4039" t="s">
        <v>265</v>
      </c>
      <c r="B4039" t="s">
        <v>194</v>
      </c>
      <c r="C4039" s="76">
        <v>43947</v>
      </c>
      <c r="D4039">
        <v>6316</v>
      </c>
      <c r="E4039">
        <v>3991</v>
      </c>
      <c r="F4039">
        <v>8642</v>
      </c>
      <c r="G4039">
        <v>4685</v>
      </c>
      <c r="H4039">
        <v>57.4</v>
      </c>
      <c r="I4039">
        <v>52.7</v>
      </c>
      <c r="J4039">
        <v>62.1</v>
      </c>
      <c r="K4039">
        <v>477</v>
      </c>
      <c r="L4039">
        <v>292</v>
      </c>
      <c r="M4039">
        <v>663</v>
      </c>
      <c r="N4039">
        <v>4.3</v>
      </c>
      <c r="O4039">
        <v>3.5</v>
      </c>
      <c r="P4039">
        <v>5.2</v>
      </c>
      <c r="Q4039">
        <f t="shared" si="124"/>
        <v>5277830</v>
      </c>
      <c r="R4039">
        <f t="shared" si="125"/>
        <v>9.0378053101369318</v>
      </c>
      <c r="U4039">
        <v>836</v>
      </c>
      <c r="V4039">
        <v>446</v>
      </c>
      <c r="W4039">
        <v>1226</v>
      </c>
      <c r="X4039">
        <v>543</v>
      </c>
      <c r="Y4039">
        <v>60.6</v>
      </c>
      <c r="Z4039">
        <v>55</v>
      </c>
      <c r="AA4039">
        <v>66.2</v>
      </c>
    </row>
    <row r="4040" spans="1:27" x14ac:dyDescent="0.25">
      <c r="A4040" t="s">
        <v>265</v>
      </c>
      <c r="B4040" t="s">
        <v>194</v>
      </c>
      <c r="C4040" s="76">
        <v>43948</v>
      </c>
      <c r="D4040">
        <v>6428</v>
      </c>
      <c r="E4040">
        <v>4027</v>
      </c>
      <c r="F4040">
        <v>8830</v>
      </c>
      <c r="G4040">
        <v>4588</v>
      </c>
      <c r="H4040">
        <v>58.4</v>
      </c>
      <c r="I4040">
        <v>53.3</v>
      </c>
      <c r="J4040">
        <v>63.4</v>
      </c>
      <c r="K4040">
        <v>507</v>
      </c>
      <c r="L4040">
        <v>317</v>
      </c>
      <c r="M4040">
        <v>698</v>
      </c>
      <c r="N4040">
        <v>4.5999999999999996</v>
      </c>
      <c r="O4040">
        <v>3.7</v>
      </c>
      <c r="P4040">
        <v>5.6</v>
      </c>
      <c r="Q4040">
        <f t="shared" si="124"/>
        <v>5277830</v>
      </c>
      <c r="R4040">
        <f t="shared" si="125"/>
        <v>9.6062207384474299</v>
      </c>
      <c r="U4040">
        <v>846</v>
      </c>
      <c r="V4040">
        <v>442</v>
      </c>
      <c r="W4040">
        <v>1249</v>
      </c>
      <c r="X4040">
        <v>542</v>
      </c>
      <c r="Y4040">
        <v>61</v>
      </c>
      <c r="Z4040">
        <v>55.7</v>
      </c>
      <c r="AA4040">
        <v>66.2</v>
      </c>
    </row>
    <row r="4041" spans="1:27" x14ac:dyDescent="0.25">
      <c r="A4041" t="s">
        <v>265</v>
      </c>
      <c r="B4041" t="s">
        <v>194</v>
      </c>
      <c r="C4041" s="76">
        <v>43949</v>
      </c>
      <c r="D4041">
        <v>6833</v>
      </c>
      <c r="E4041">
        <v>4344</v>
      </c>
      <c r="F4041">
        <v>9321</v>
      </c>
      <c r="G4041">
        <v>4193</v>
      </c>
      <c r="H4041">
        <v>62</v>
      </c>
      <c r="I4041">
        <v>57.1</v>
      </c>
      <c r="J4041">
        <v>66.8</v>
      </c>
      <c r="K4041">
        <v>506</v>
      </c>
      <c r="L4041">
        <v>310</v>
      </c>
      <c r="M4041">
        <v>703</v>
      </c>
      <c r="N4041">
        <v>4.5999999999999996</v>
      </c>
      <c r="O4041">
        <v>3.7</v>
      </c>
      <c r="P4041">
        <v>5.5</v>
      </c>
      <c r="Q4041">
        <f t="shared" si="124"/>
        <v>5277830</v>
      </c>
      <c r="R4041">
        <f t="shared" si="125"/>
        <v>9.587273557503746</v>
      </c>
      <c r="U4041">
        <v>892</v>
      </c>
      <c r="V4041">
        <v>483</v>
      </c>
      <c r="W4041">
        <v>1302</v>
      </c>
      <c r="X4041">
        <v>523</v>
      </c>
      <c r="Y4041">
        <v>63</v>
      </c>
      <c r="Z4041">
        <v>57.8</v>
      </c>
      <c r="AA4041">
        <v>68.2</v>
      </c>
    </row>
    <row r="4042" spans="1:27" x14ac:dyDescent="0.25">
      <c r="A4042" t="s">
        <v>265</v>
      </c>
      <c r="B4042" t="s">
        <v>194</v>
      </c>
      <c r="C4042" s="76">
        <v>43950</v>
      </c>
      <c r="D4042">
        <v>6771</v>
      </c>
      <c r="E4042">
        <v>4289</v>
      </c>
      <c r="F4042">
        <v>9253</v>
      </c>
      <c r="G4042">
        <v>4170</v>
      </c>
      <c r="H4042">
        <v>61.9</v>
      </c>
      <c r="I4042">
        <v>56.5</v>
      </c>
      <c r="J4042">
        <v>67.3</v>
      </c>
      <c r="K4042">
        <v>491</v>
      </c>
      <c r="L4042">
        <v>300</v>
      </c>
      <c r="M4042">
        <v>683</v>
      </c>
      <c r="N4042">
        <v>4.5</v>
      </c>
      <c r="O4042">
        <v>3.4</v>
      </c>
      <c r="P4042">
        <v>5.6</v>
      </c>
      <c r="Q4042">
        <f t="shared" si="124"/>
        <v>5277830</v>
      </c>
      <c r="R4042">
        <f t="shared" si="125"/>
        <v>9.303065843348497</v>
      </c>
      <c r="U4042">
        <v>882</v>
      </c>
      <c r="V4042">
        <v>474</v>
      </c>
      <c r="W4042">
        <v>1291</v>
      </c>
      <c r="X4042">
        <v>532</v>
      </c>
      <c r="Y4042">
        <v>62.4</v>
      </c>
      <c r="Z4042">
        <v>56.8</v>
      </c>
      <c r="AA4042">
        <v>67.900000000000006</v>
      </c>
    </row>
    <row r="4043" spans="1:27" x14ac:dyDescent="0.25">
      <c r="A4043" t="s">
        <v>265</v>
      </c>
      <c r="B4043" t="s">
        <v>194</v>
      </c>
      <c r="C4043" s="76">
        <v>43951</v>
      </c>
      <c r="D4043">
        <v>6877</v>
      </c>
      <c r="E4043">
        <v>4374</v>
      </c>
      <c r="F4043">
        <v>9380</v>
      </c>
      <c r="G4043">
        <v>3985</v>
      </c>
      <c r="H4043">
        <v>63.3</v>
      </c>
      <c r="I4043">
        <v>58.4</v>
      </c>
      <c r="J4043">
        <v>68.2</v>
      </c>
      <c r="K4043">
        <v>479</v>
      </c>
      <c r="L4043">
        <v>293</v>
      </c>
      <c r="M4043">
        <v>664</v>
      </c>
      <c r="N4043">
        <v>4.4000000000000004</v>
      </c>
      <c r="O4043">
        <v>3.3</v>
      </c>
      <c r="P4043">
        <v>5.5</v>
      </c>
      <c r="Q4043">
        <f t="shared" si="124"/>
        <v>5277830</v>
      </c>
      <c r="R4043">
        <f t="shared" si="125"/>
        <v>9.0756996720242977</v>
      </c>
      <c r="U4043">
        <v>890</v>
      </c>
      <c r="V4043">
        <v>472</v>
      </c>
      <c r="W4043">
        <v>1307</v>
      </c>
      <c r="X4043">
        <v>559</v>
      </c>
      <c r="Y4043">
        <v>61.4</v>
      </c>
      <c r="Z4043">
        <v>55.3</v>
      </c>
      <c r="AA4043">
        <v>67.599999999999994</v>
      </c>
    </row>
    <row r="4044" spans="1:27" x14ac:dyDescent="0.25">
      <c r="A4044" t="s">
        <v>265</v>
      </c>
      <c r="B4044" t="s">
        <v>194</v>
      </c>
      <c r="C4044" s="76">
        <v>43952</v>
      </c>
      <c r="D4044">
        <v>6721</v>
      </c>
      <c r="E4044">
        <v>4287</v>
      </c>
      <c r="F4044">
        <v>9154</v>
      </c>
      <c r="G4044">
        <v>4247</v>
      </c>
      <c r="H4044">
        <v>61.3</v>
      </c>
      <c r="I4044">
        <v>56.6</v>
      </c>
      <c r="J4044">
        <v>66</v>
      </c>
      <c r="K4044">
        <v>449</v>
      </c>
      <c r="L4044">
        <v>268</v>
      </c>
      <c r="M4044">
        <v>629</v>
      </c>
      <c r="N4044">
        <v>4.0999999999999996</v>
      </c>
      <c r="O4044">
        <v>3.1</v>
      </c>
      <c r="P4044">
        <v>5.0999999999999996</v>
      </c>
      <c r="Q4044">
        <f t="shared" si="124"/>
        <v>5277830</v>
      </c>
      <c r="R4044">
        <f t="shared" si="125"/>
        <v>8.5072842437137997</v>
      </c>
      <c r="U4044">
        <v>906</v>
      </c>
      <c r="V4044">
        <v>474</v>
      </c>
      <c r="W4044">
        <v>1339</v>
      </c>
      <c r="X4044">
        <v>515</v>
      </c>
      <c r="Y4044">
        <v>63.7</v>
      </c>
      <c r="Z4044">
        <v>57.6</v>
      </c>
      <c r="AA4044">
        <v>69.900000000000006</v>
      </c>
    </row>
    <row r="4045" spans="1:27" x14ac:dyDescent="0.25">
      <c r="A4045" t="s">
        <v>265</v>
      </c>
      <c r="B4045" t="s">
        <v>194</v>
      </c>
      <c r="C4045" s="76">
        <v>43953</v>
      </c>
      <c r="D4045">
        <v>6566</v>
      </c>
      <c r="E4045">
        <v>4200</v>
      </c>
      <c r="F4045">
        <v>8933</v>
      </c>
      <c r="G4045">
        <v>4390</v>
      </c>
      <c r="H4045">
        <v>59.9</v>
      </c>
      <c r="I4045">
        <v>55.5</v>
      </c>
      <c r="J4045">
        <v>64.400000000000006</v>
      </c>
      <c r="K4045">
        <v>427</v>
      </c>
      <c r="L4045">
        <v>254</v>
      </c>
      <c r="M4045">
        <v>600</v>
      </c>
      <c r="N4045">
        <v>3.9</v>
      </c>
      <c r="O4045">
        <v>2.9</v>
      </c>
      <c r="P4045">
        <v>4.9000000000000004</v>
      </c>
      <c r="Q4045">
        <f t="shared" si="124"/>
        <v>5277830</v>
      </c>
      <c r="R4045">
        <f t="shared" si="125"/>
        <v>8.0904462629527654</v>
      </c>
      <c r="U4045">
        <v>866</v>
      </c>
      <c r="V4045">
        <v>449</v>
      </c>
      <c r="W4045">
        <v>1282</v>
      </c>
      <c r="X4045">
        <v>545</v>
      </c>
      <c r="Y4045">
        <v>61.3</v>
      </c>
      <c r="Z4045">
        <v>55.6</v>
      </c>
      <c r="AA4045">
        <v>67.099999999999994</v>
      </c>
    </row>
    <row r="4046" spans="1:27" x14ac:dyDescent="0.25">
      <c r="A4046" t="s">
        <v>265</v>
      </c>
      <c r="B4046" t="s">
        <v>194</v>
      </c>
      <c r="C4046" s="76">
        <v>43954</v>
      </c>
      <c r="D4046">
        <v>6386</v>
      </c>
      <c r="E4046">
        <v>4066</v>
      </c>
      <c r="F4046">
        <v>8706</v>
      </c>
      <c r="G4046">
        <v>4566</v>
      </c>
      <c r="H4046">
        <v>58.3</v>
      </c>
      <c r="I4046">
        <v>53.9</v>
      </c>
      <c r="J4046">
        <v>62.7</v>
      </c>
      <c r="K4046">
        <v>425</v>
      </c>
      <c r="L4046">
        <v>251</v>
      </c>
      <c r="M4046">
        <v>598</v>
      </c>
      <c r="N4046">
        <v>3.9</v>
      </c>
      <c r="O4046">
        <v>2.8</v>
      </c>
      <c r="P4046">
        <v>4.9000000000000004</v>
      </c>
      <c r="Q4046">
        <f t="shared" si="124"/>
        <v>5277830</v>
      </c>
      <c r="R4046">
        <f t="shared" si="125"/>
        <v>8.0525519010653994</v>
      </c>
      <c r="U4046">
        <v>827</v>
      </c>
      <c r="V4046">
        <v>436</v>
      </c>
      <c r="W4046">
        <v>1218</v>
      </c>
      <c r="X4046">
        <v>585</v>
      </c>
      <c r="Y4046">
        <v>58.6</v>
      </c>
      <c r="Z4046">
        <v>53.4</v>
      </c>
      <c r="AA4046">
        <v>63.7</v>
      </c>
    </row>
    <row r="4047" spans="1:27" x14ac:dyDescent="0.25">
      <c r="A4047" t="s">
        <v>265</v>
      </c>
      <c r="B4047" t="s">
        <v>194</v>
      </c>
      <c r="C4047" s="76">
        <v>43955</v>
      </c>
      <c r="D4047">
        <v>6614</v>
      </c>
      <c r="E4047">
        <v>4205</v>
      </c>
      <c r="F4047">
        <v>9024</v>
      </c>
      <c r="G4047">
        <v>4291</v>
      </c>
      <c r="H4047">
        <v>60.7</v>
      </c>
      <c r="I4047">
        <v>55.8</v>
      </c>
      <c r="J4047">
        <v>65.5</v>
      </c>
      <c r="K4047">
        <v>492</v>
      </c>
      <c r="L4047">
        <v>301</v>
      </c>
      <c r="M4047">
        <v>683</v>
      </c>
      <c r="N4047">
        <v>4.5</v>
      </c>
      <c r="O4047">
        <v>3.4</v>
      </c>
      <c r="P4047">
        <v>5.6</v>
      </c>
      <c r="Q4047">
        <f t="shared" si="124"/>
        <v>5277830</v>
      </c>
      <c r="R4047">
        <f t="shared" si="125"/>
        <v>9.3220130242921808</v>
      </c>
      <c r="U4047">
        <v>874</v>
      </c>
      <c r="V4047">
        <v>453</v>
      </c>
      <c r="W4047">
        <v>1294</v>
      </c>
      <c r="X4047">
        <v>545</v>
      </c>
      <c r="Y4047">
        <v>61.6</v>
      </c>
      <c r="Z4047">
        <v>55.3</v>
      </c>
      <c r="AA4047">
        <v>67.900000000000006</v>
      </c>
    </row>
    <row r="4048" spans="1:27" x14ac:dyDescent="0.25">
      <c r="A4048" t="s">
        <v>265</v>
      </c>
      <c r="B4048" t="s">
        <v>194</v>
      </c>
      <c r="C4048" s="76">
        <v>43956</v>
      </c>
      <c r="D4048">
        <v>6947</v>
      </c>
      <c r="E4048">
        <v>4488</v>
      </c>
      <c r="F4048">
        <v>9406</v>
      </c>
      <c r="G4048">
        <v>3948</v>
      </c>
      <c r="H4048">
        <v>63.8</v>
      </c>
      <c r="I4048">
        <v>58.9</v>
      </c>
      <c r="J4048">
        <v>68.599999999999994</v>
      </c>
      <c r="K4048">
        <v>504</v>
      </c>
      <c r="L4048">
        <v>307</v>
      </c>
      <c r="M4048">
        <v>702</v>
      </c>
      <c r="N4048">
        <v>4.5999999999999996</v>
      </c>
      <c r="O4048">
        <v>3.5</v>
      </c>
      <c r="P4048">
        <v>5.8</v>
      </c>
      <c r="Q4048">
        <f t="shared" si="124"/>
        <v>5277830</v>
      </c>
      <c r="R4048">
        <f t="shared" si="125"/>
        <v>9.54937919561638</v>
      </c>
      <c r="U4048">
        <v>889</v>
      </c>
      <c r="V4048">
        <v>446</v>
      </c>
      <c r="W4048">
        <v>1331</v>
      </c>
      <c r="X4048">
        <v>538</v>
      </c>
      <c r="Y4048">
        <v>62.3</v>
      </c>
      <c r="Z4048">
        <v>55.3</v>
      </c>
      <c r="AA4048">
        <v>69.3</v>
      </c>
    </row>
    <row r="4049" spans="1:27" x14ac:dyDescent="0.25">
      <c r="A4049" t="s">
        <v>265</v>
      </c>
      <c r="B4049" t="s">
        <v>194</v>
      </c>
      <c r="C4049" s="76">
        <v>43957</v>
      </c>
      <c r="D4049">
        <v>7178</v>
      </c>
      <c r="E4049">
        <v>4650</v>
      </c>
      <c r="F4049">
        <v>9707</v>
      </c>
      <c r="G4049">
        <v>3813</v>
      </c>
      <c r="H4049">
        <v>65.3</v>
      </c>
      <c r="I4049">
        <v>60.4</v>
      </c>
      <c r="J4049">
        <v>70.2</v>
      </c>
      <c r="K4049">
        <v>493</v>
      </c>
      <c r="L4049">
        <v>287</v>
      </c>
      <c r="M4049">
        <v>699</v>
      </c>
      <c r="N4049">
        <v>4.5</v>
      </c>
      <c r="O4049">
        <v>3.3</v>
      </c>
      <c r="P4049">
        <v>5.7</v>
      </c>
      <c r="Q4049">
        <f t="shared" si="124"/>
        <v>5277830</v>
      </c>
      <c r="R4049">
        <f t="shared" si="125"/>
        <v>9.3409602052358629</v>
      </c>
      <c r="U4049">
        <v>911</v>
      </c>
      <c r="V4049">
        <v>464</v>
      </c>
      <c r="W4049">
        <v>1358</v>
      </c>
      <c r="X4049">
        <v>515</v>
      </c>
      <c r="Y4049">
        <v>63.9</v>
      </c>
      <c r="Z4049">
        <v>57.5</v>
      </c>
      <c r="AA4049">
        <v>70.400000000000006</v>
      </c>
    </row>
    <row r="4050" spans="1:27" x14ac:dyDescent="0.25">
      <c r="A4050" t="s">
        <v>265</v>
      </c>
      <c r="B4050" t="s">
        <v>194</v>
      </c>
      <c r="C4050" s="76">
        <v>43958</v>
      </c>
      <c r="D4050">
        <v>7117</v>
      </c>
      <c r="E4050">
        <v>4553</v>
      </c>
      <c r="F4050">
        <v>9681</v>
      </c>
      <c r="G4050">
        <v>3877</v>
      </c>
      <c r="H4050">
        <v>64.7</v>
      </c>
      <c r="I4050">
        <v>59.4</v>
      </c>
      <c r="J4050">
        <v>70.099999999999994</v>
      </c>
      <c r="K4050">
        <v>494</v>
      </c>
      <c r="L4050">
        <v>286</v>
      </c>
      <c r="M4050">
        <v>702</v>
      </c>
      <c r="N4050">
        <v>4.5</v>
      </c>
      <c r="O4050">
        <v>3.2</v>
      </c>
      <c r="P4050">
        <v>5.8</v>
      </c>
      <c r="Q4050">
        <f t="shared" si="124"/>
        <v>5277830</v>
      </c>
      <c r="R4050">
        <f t="shared" si="125"/>
        <v>9.3599073861795468</v>
      </c>
      <c r="U4050">
        <v>889</v>
      </c>
      <c r="V4050">
        <v>442</v>
      </c>
      <c r="W4050">
        <v>1335</v>
      </c>
      <c r="X4050">
        <v>527</v>
      </c>
      <c r="Y4050">
        <v>62.8</v>
      </c>
      <c r="Z4050">
        <v>55.6</v>
      </c>
      <c r="AA4050">
        <v>69.900000000000006</v>
      </c>
    </row>
    <row r="4051" spans="1:27" x14ac:dyDescent="0.25">
      <c r="A4051" t="s">
        <v>265</v>
      </c>
      <c r="B4051" t="s">
        <v>194</v>
      </c>
      <c r="C4051" s="76">
        <v>43959</v>
      </c>
      <c r="D4051">
        <v>7062</v>
      </c>
      <c r="E4051">
        <v>4543</v>
      </c>
      <c r="F4051">
        <v>9581</v>
      </c>
      <c r="G4051">
        <v>4010</v>
      </c>
      <c r="H4051">
        <v>63.8</v>
      </c>
      <c r="I4051">
        <v>58.6</v>
      </c>
      <c r="J4051">
        <v>69</v>
      </c>
      <c r="K4051">
        <v>525</v>
      </c>
      <c r="L4051">
        <v>312</v>
      </c>
      <c r="M4051">
        <v>737</v>
      </c>
      <c r="N4051">
        <v>4.7</v>
      </c>
      <c r="O4051">
        <v>3.5</v>
      </c>
      <c r="P4051">
        <v>5.9</v>
      </c>
      <c r="Q4051">
        <f t="shared" si="124"/>
        <v>5277830</v>
      </c>
      <c r="R4051">
        <f t="shared" si="125"/>
        <v>9.9472699954337287</v>
      </c>
      <c r="U4051">
        <v>897</v>
      </c>
      <c r="V4051">
        <v>451</v>
      </c>
      <c r="W4051">
        <v>1343</v>
      </c>
      <c r="X4051">
        <v>538</v>
      </c>
      <c r="Y4051">
        <v>62.6</v>
      </c>
      <c r="Z4051">
        <v>56.4</v>
      </c>
      <c r="AA4051">
        <v>68.7</v>
      </c>
    </row>
    <row r="4052" spans="1:27" x14ac:dyDescent="0.25">
      <c r="A4052" t="s">
        <v>265</v>
      </c>
      <c r="B4052" t="s">
        <v>194</v>
      </c>
      <c r="C4052" s="76">
        <v>43960</v>
      </c>
      <c r="D4052">
        <v>6781</v>
      </c>
      <c r="E4052">
        <v>4343</v>
      </c>
      <c r="F4052">
        <v>9219</v>
      </c>
      <c r="G4052">
        <v>4206</v>
      </c>
      <c r="H4052">
        <v>61.7</v>
      </c>
      <c r="I4052">
        <v>56.5</v>
      </c>
      <c r="J4052">
        <v>67</v>
      </c>
      <c r="K4052">
        <v>464</v>
      </c>
      <c r="L4052">
        <v>267</v>
      </c>
      <c r="M4052">
        <v>662</v>
      </c>
      <c r="N4052">
        <v>4.2</v>
      </c>
      <c r="O4052">
        <v>3</v>
      </c>
      <c r="P4052">
        <v>5.5</v>
      </c>
      <c r="Q4052">
        <f t="shared" si="124"/>
        <v>5277830</v>
      </c>
      <c r="R4052">
        <f t="shared" si="125"/>
        <v>8.7914919578690487</v>
      </c>
      <c r="U4052">
        <v>880</v>
      </c>
      <c r="V4052">
        <v>444</v>
      </c>
      <c r="W4052">
        <v>1317</v>
      </c>
      <c r="X4052">
        <v>529</v>
      </c>
      <c r="Y4052">
        <v>62.5</v>
      </c>
      <c r="Z4052">
        <v>56.2</v>
      </c>
      <c r="AA4052">
        <v>68.7</v>
      </c>
    </row>
    <row r="4053" spans="1:27" x14ac:dyDescent="0.25">
      <c r="A4053" t="s">
        <v>265</v>
      </c>
      <c r="B4053" t="s">
        <v>194</v>
      </c>
      <c r="C4053" s="76">
        <v>43961</v>
      </c>
      <c r="D4053">
        <v>6698</v>
      </c>
      <c r="E4053">
        <v>4271</v>
      </c>
      <c r="F4053">
        <v>9125</v>
      </c>
      <c r="G4053">
        <v>4290</v>
      </c>
      <c r="H4053">
        <v>61</v>
      </c>
      <c r="I4053">
        <v>55.6</v>
      </c>
      <c r="J4053">
        <v>66.3</v>
      </c>
      <c r="K4053">
        <v>459</v>
      </c>
      <c r="L4053">
        <v>266</v>
      </c>
      <c r="M4053">
        <v>652</v>
      </c>
      <c r="N4053">
        <v>4.2</v>
      </c>
      <c r="O4053">
        <v>3</v>
      </c>
      <c r="P4053">
        <v>5.4</v>
      </c>
      <c r="Q4053">
        <f t="shared" si="124"/>
        <v>5277830</v>
      </c>
      <c r="R4053">
        <f t="shared" si="125"/>
        <v>8.6967560531506329</v>
      </c>
      <c r="U4053">
        <v>831</v>
      </c>
      <c r="V4053">
        <v>413</v>
      </c>
      <c r="W4053">
        <v>1249</v>
      </c>
      <c r="X4053">
        <v>578</v>
      </c>
      <c r="Y4053">
        <v>59</v>
      </c>
      <c r="Z4053">
        <v>52.4</v>
      </c>
      <c r="AA4053">
        <v>65.599999999999994</v>
      </c>
    </row>
    <row r="4054" spans="1:27" x14ac:dyDescent="0.25">
      <c r="A4054" t="s">
        <v>265</v>
      </c>
      <c r="B4054" t="s">
        <v>194</v>
      </c>
      <c r="C4054" s="76">
        <v>43962</v>
      </c>
      <c r="D4054">
        <v>6886</v>
      </c>
      <c r="E4054">
        <v>4390</v>
      </c>
      <c r="F4054">
        <v>9382</v>
      </c>
      <c r="G4054">
        <v>4137</v>
      </c>
      <c r="H4054">
        <v>62.5</v>
      </c>
      <c r="I4054">
        <v>56.8</v>
      </c>
      <c r="J4054">
        <v>68.099999999999994</v>
      </c>
      <c r="K4054">
        <v>468</v>
      </c>
      <c r="L4054">
        <v>271</v>
      </c>
      <c r="M4054">
        <v>666</v>
      </c>
      <c r="N4054">
        <v>4.2</v>
      </c>
      <c r="O4054">
        <v>3.1</v>
      </c>
      <c r="P4054">
        <v>5.4</v>
      </c>
      <c r="Q4054">
        <f t="shared" si="124"/>
        <v>5277830</v>
      </c>
      <c r="R4054">
        <f t="shared" si="125"/>
        <v>8.8672806816437824</v>
      </c>
      <c r="U4054">
        <v>864</v>
      </c>
      <c r="V4054">
        <v>439</v>
      </c>
      <c r="W4054">
        <v>1288</v>
      </c>
      <c r="X4054">
        <v>591</v>
      </c>
      <c r="Y4054">
        <v>59.4</v>
      </c>
      <c r="Z4054">
        <v>51.7</v>
      </c>
      <c r="AA4054">
        <v>67.099999999999994</v>
      </c>
    </row>
    <row r="4055" spans="1:27" x14ac:dyDescent="0.25">
      <c r="A4055" t="s">
        <v>265</v>
      </c>
      <c r="B4055" t="s">
        <v>194</v>
      </c>
      <c r="C4055" s="76">
        <v>43963</v>
      </c>
      <c r="D4055">
        <v>7179</v>
      </c>
      <c r="E4055">
        <v>4599</v>
      </c>
      <c r="F4055">
        <v>9759</v>
      </c>
      <c r="G4055">
        <v>3803</v>
      </c>
      <c r="H4055">
        <v>65.400000000000006</v>
      </c>
      <c r="I4055">
        <v>59.8</v>
      </c>
      <c r="J4055">
        <v>70.900000000000006</v>
      </c>
      <c r="K4055">
        <v>476</v>
      </c>
      <c r="L4055">
        <v>277</v>
      </c>
      <c r="M4055">
        <v>674</v>
      </c>
      <c r="N4055">
        <v>4.3</v>
      </c>
      <c r="O4055">
        <v>3.1</v>
      </c>
      <c r="P4055">
        <v>5.6</v>
      </c>
      <c r="Q4055">
        <f t="shared" si="124"/>
        <v>5277830</v>
      </c>
      <c r="R4055">
        <f t="shared" si="125"/>
        <v>9.0188581291932479</v>
      </c>
      <c r="U4055">
        <v>871</v>
      </c>
      <c r="V4055">
        <v>440</v>
      </c>
      <c r="W4055">
        <v>1302</v>
      </c>
      <c r="X4055">
        <v>533</v>
      </c>
      <c r="Y4055">
        <v>62.1</v>
      </c>
      <c r="Z4055">
        <v>56.2</v>
      </c>
      <c r="AA4055">
        <v>68</v>
      </c>
    </row>
    <row r="4056" spans="1:27" x14ac:dyDescent="0.25">
      <c r="A4056" t="s">
        <v>265</v>
      </c>
      <c r="B4056" t="s">
        <v>194</v>
      </c>
      <c r="C4056" s="76">
        <v>43964</v>
      </c>
      <c r="D4056">
        <v>7379</v>
      </c>
      <c r="E4056">
        <v>4758</v>
      </c>
      <c r="F4056">
        <v>10000</v>
      </c>
      <c r="G4056">
        <v>3627</v>
      </c>
      <c r="H4056">
        <v>67</v>
      </c>
      <c r="I4056">
        <v>61.8</v>
      </c>
      <c r="J4056">
        <v>72.3</v>
      </c>
      <c r="K4056">
        <v>488</v>
      </c>
      <c r="L4056">
        <v>292</v>
      </c>
      <c r="M4056">
        <v>685</v>
      </c>
      <c r="N4056">
        <v>4.4000000000000004</v>
      </c>
      <c r="O4056">
        <v>3.2</v>
      </c>
      <c r="P4056">
        <v>5.7</v>
      </c>
      <c r="Q4056">
        <f t="shared" si="124"/>
        <v>5277830</v>
      </c>
      <c r="R4056">
        <f t="shared" si="125"/>
        <v>9.2462243005174471</v>
      </c>
      <c r="U4056">
        <v>934</v>
      </c>
      <c r="V4056">
        <v>509</v>
      </c>
      <c r="W4056">
        <v>1359</v>
      </c>
      <c r="X4056">
        <v>518</v>
      </c>
      <c r="Y4056">
        <v>64.3</v>
      </c>
      <c r="Z4056">
        <v>58.6</v>
      </c>
      <c r="AA4056">
        <v>70.099999999999994</v>
      </c>
    </row>
    <row r="4057" spans="1:27" x14ac:dyDescent="0.25">
      <c r="A4057" t="s">
        <v>265</v>
      </c>
      <c r="B4057" t="s">
        <v>194</v>
      </c>
      <c r="C4057" s="76">
        <v>43965</v>
      </c>
      <c r="D4057">
        <v>7426</v>
      </c>
      <c r="E4057">
        <v>4755</v>
      </c>
      <c r="F4057">
        <v>10097</v>
      </c>
      <c r="G4057">
        <v>3577</v>
      </c>
      <c r="H4057">
        <v>67.5</v>
      </c>
      <c r="I4057">
        <v>62</v>
      </c>
      <c r="J4057">
        <v>73</v>
      </c>
      <c r="K4057">
        <v>448</v>
      </c>
      <c r="L4057">
        <v>258</v>
      </c>
      <c r="M4057">
        <v>638</v>
      </c>
      <c r="N4057">
        <v>4.0999999999999996</v>
      </c>
      <c r="O4057">
        <v>2.9</v>
      </c>
      <c r="P4057">
        <v>5.3</v>
      </c>
      <c r="Q4057">
        <f t="shared" si="124"/>
        <v>5277830</v>
      </c>
      <c r="R4057">
        <f t="shared" si="125"/>
        <v>8.4883370627701158</v>
      </c>
      <c r="U4057">
        <v>966</v>
      </c>
      <c r="V4057">
        <v>513</v>
      </c>
      <c r="W4057">
        <v>1418</v>
      </c>
      <c r="X4057">
        <v>487</v>
      </c>
      <c r="Y4057">
        <v>66.5</v>
      </c>
      <c r="Z4057">
        <v>61.1</v>
      </c>
      <c r="AA4057">
        <v>71.8</v>
      </c>
    </row>
    <row r="4058" spans="1:27" x14ac:dyDescent="0.25">
      <c r="A4058" t="s">
        <v>265</v>
      </c>
      <c r="B4058" t="s">
        <v>194</v>
      </c>
      <c r="C4058" s="76">
        <v>43966</v>
      </c>
      <c r="D4058">
        <v>7285</v>
      </c>
      <c r="E4058">
        <v>4673</v>
      </c>
      <c r="F4058">
        <v>9897</v>
      </c>
      <c r="G4058">
        <v>3713</v>
      </c>
      <c r="H4058">
        <v>66.2</v>
      </c>
      <c r="I4058">
        <v>61.1</v>
      </c>
      <c r="J4058">
        <v>71.400000000000006</v>
      </c>
      <c r="K4058">
        <v>446</v>
      </c>
      <c r="L4058">
        <v>251</v>
      </c>
      <c r="M4058">
        <v>642</v>
      </c>
      <c r="N4058">
        <v>4.0999999999999996</v>
      </c>
      <c r="O4058">
        <v>2.8</v>
      </c>
      <c r="P4058">
        <v>5.3</v>
      </c>
      <c r="Q4058">
        <f t="shared" si="124"/>
        <v>5277830</v>
      </c>
      <c r="R4058">
        <f t="shared" si="125"/>
        <v>8.4504427008827498</v>
      </c>
      <c r="U4058">
        <v>972</v>
      </c>
      <c r="V4058">
        <v>520</v>
      </c>
      <c r="W4058">
        <v>1424</v>
      </c>
      <c r="X4058">
        <v>483</v>
      </c>
      <c r="Y4058">
        <v>66.8</v>
      </c>
      <c r="Z4058">
        <v>61.6</v>
      </c>
      <c r="AA4058">
        <v>72</v>
      </c>
    </row>
    <row r="4059" spans="1:27" x14ac:dyDescent="0.25">
      <c r="A4059" t="s">
        <v>265</v>
      </c>
      <c r="B4059" t="s">
        <v>194</v>
      </c>
      <c r="C4059" s="76">
        <v>43967</v>
      </c>
      <c r="D4059">
        <v>6960</v>
      </c>
      <c r="E4059">
        <v>4475</v>
      </c>
      <c r="F4059">
        <v>9446</v>
      </c>
      <c r="G4059">
        <v>4067</v>
      </c>
      <c r="H4059">
        <v>63.1</v>
      </c>
      <c r="I4059">
        <v>58</v>
      </c>
      <c r="J4059">
        <v>68.2</v>
      </c>
      <c r="K4059">
        <v>427</v>
      </c>
      <c r="L4059">
        <v>243</v>
      </c>
      <c r="M4059">
        <v>610</v>
      </c>
      <c r="N4059">
        <v>3.9</v>
      </c>
      <c r="O4059">
        <v>2.7</v>
      </c>
      <c r="P4059">
        <v>5</v>
      </c>
      <c r="Q4059">
        <f t="shared" si="124"/>
        <v>5277830</v>
      </c>
      <c r="R4059">
        <f t="shared" si="125"/>
        <v>8.0904462629527654</v>
      </c>
      <c r="U4059">
        <v>963</v>
      </c>
      <c r="V4059">
        <v>525</v>
      </c>
      <c r="W4059">
        <v>1401</v>
      </c>
      <c r="X4059">
        <v>493</v>
      </c>
      <c r="Y4059">
        <v>66.099999999999994</v>
      </c>
      <c r="Z4059">
        <v>61.4</v>
      </c>
      <c r="AA4059">
        <v>70.900000000000006</v>
      </c>
    </row>
    <row r="4060" spans="1:27" x14ac:dyDescent="0.25">
      <c r="A4060" t="s">
        <v>265</v>
      </c>
      <c r="B4060" t="s">
        <v>194</v>
      </c>
      <c r="C4060" s="76">
        <v>43968</v>
      </c>
      <c r="D4060">
        <v>6793</v>
      </c>
      <c r="E4060">
        <v>4341</v>
      </c>
      <c r="F4060">
        <v>9245</v>
      </c>
      <c r="G4060">
        <v>4186</v>
      </c>
      <c r="H4060">
        <v>61.9</v>
      </c>
      <c r="I4060">
        <v>56.6</v>
      </c>
      <c r="J4060">
        <v>67.099999999999994</v>
      </c>
      <c r="K4060">
        <v>420</v>
      </c>
      <c r="L4060">
        <v>240</v>
      </c>
      <c r="M4060">
        <v>600</v>
      </c>
      <c r="N4060">
        <v>3.8</v>
      </c>
      <c r="O4060">
        <v>2.7</v>
      </c>
      <c r="P4060">
        <v>5</v>
      </c>
      <c r="Q4060">
        <f t="shared" si="124"/>
        <v>5277830</v>
      </c>
      <c r="R4060">
        <f t="shared" si="125"/>
        <v>7.9578159963469837</v>
      </c>
      <c r="U4060">
        <v>913</v>
      </c>
      <c r="V4060">
        <v>491</v>
      </c>
      <c r="W4060">
        <v>1335</v>
      </c>
      <c r="X4060">
        <v>547</v>
      </c>
      <c r="Y4060">
        <v>62.5</v>
      </c>
      <c r="Z4060">
        <v>57.1</v>
      </c>
      <c r="AA4060">
        <v>67.900000000000006</v>
      </c>
    </row>
    <row r="4061" spans="1:27" x14ac:dyDescent="0.25">
      <c r="A4061" t="s">
        <v>265</v>
      </c>
      <c r="B4061" t="s">
        <v>194</v>
      </c>
      <c r="C4061" s="76">
        <v>43969</v>
      </c>
      <c r="D4061">
        <v>6971</v>
      </c>
      <c r="E4061">
        <v>4450</v>
      </c>
      <c r="F4061">
        <v>9492</v>
      </c>
      <c r="G4061">
        <v>4015</v>
      </c>
      <c r="H4061">
        <v>63.5</v>
      </c>
      <c r="I4061">
        <v>57.9</v>
      </c>
      <c r="J4061">
        <v>69</v>
      </c>
      <c r="K4061">
        <v>456</v>
      </c>
      <c r="L4061">
        <v>270</v>
      </c>
      <c r="M4061">
        <v>643</v>
      </c>
      <c r="N4061">
        <v>4.2</v>
      </c>
      <c r="O4061">
        <v>3</v>
      </c>
      <c r="P4061">
        <v>5.3</v>
      </c>
      <c r="Q4061">
        <f t="shared" si="124"/>
        <v>5277830</v>
      </c>
      <c r="R4061">
        <f t="shared" si="125"/>
        <v>8.6399145103195831</v>
      </c>
      <c r="U4061">
        <v>928</v>
      </c>
      <c r="V4061">
        <v>501</v>
      </c>
      <c r="W4061">
        <v>1354</v>
      </c>
      <c r="X4061">
        <v>533</v>
      </c>
      <c r="Y4061">
        <v>63.5</v>
      </c>
      <c r="Z4061">
        <v>57.6</v>
      </c>
      <c r="AA4061">
        <v>69.400000000000006</v>
      </c>
    </row>
    <row r="4062" spans="1:27" x14ac:dyDescent="0.25">
      <c r="A4062" t="s">
        <v>265</v>
      </c>
      <c r="B4062" t="s">
        <v>194</v>
      </c>
      <c r="C4062" s="76">
        <v>43970</v>
      </c>
      <c r="D4062">
        <v>7467</v>
      </c>
      <c r="E4062">
        <v>4810</v>
      </c>
      <c r="F4062">
        <v>10123</v>
      </c>
      <c r="G4062">
        <v>3490</v>
      </c>
      <c r="H4062">
        <v>68.2</v>
      </c>
      <c r="I4062">
        <v>63</v>
      </c>
      <c r="J4062">
        <v>73.3</v>
      </c>
      <c r="K4062">
        <v>459</v>
      </c>
      <c r="L4062">
        <v>271</v>
      </c>
      <c r="M4062">
        <v>646</v>
      </c>
      <c r="N4062">
        <v>4.2</v>
      </c>
      <c r="O4062">
        <v>3.1</v>
      </c>
      <c r="P4062">
        <v>5.3</v>
      </c>
      <c r="Q4062">
        <f t="shared" si="124"/>
        <v>5277830</v>
      </c>
      <c r="R4062">
        <f t="shared" si="125"/>
        <v>8.6967560531506329</v>
      </c>
      <c r="U4062">
        <v>985</v>
      </c>
      <c r="V4062">
        <v>527</v>
      </c>
      <c r="W4062">
        <v>1443</v>
      </c>
      <c r="X4062">
        <v>501</v>
      </c>
      <c r="Y4062">
        <v>66.3</v>
      </c>
      <c r="Z4062">
        <v>59.1</v>
      </c>
      <c r="AA4062">
        <v>73.5</v>
      </c>
    </row>
    <row r="4063" spans="1:27" x14ac:dyDescent="0.25">
      <c r="A4063" t="s">
        <v>265</v>
      </c>
      <c r="B4063" t="s">
        <v>194</v>
      </c>
      <c r="C4063" s="76">
        <v>43971</v>
      </c>
      <c r="D4063">
        <v>7725</v>
      </c>
      <c r="E4063">
        <v>4979</v>
      </c>
      <c r="F4063">
        <v>10471</v>
      </c>
      <c r="G4063">
        <v>3155</v>
      </c>
      <c r="H4063">
        <v>71</v>
      </c>
      <c r="I4063">
        <v>65.7</v>
      </c>
      <c r="J4063">
        <v>76.3</v>
      </c>
      <c r="K4063">
        <v>459</v>
      </c>
      <c r="L4063">
        <v>275</v>
      </c>
      <c r="M4063">
        <v>644</v>
      </c>
      <c r="N4063">
        <v>4.2</v>
      </c>
      <c r="O4063">
        <v>3.1</v>
      </c>
      <c r="P4063">
        <v>5.3</v>
      </c>
      <c r="Q4063">
        <f t="shared" si="124"/>
        <v>5277830</v>
      </c>
      <c r="R4063">
        <f t="shared" si="125"/>
        <v>8.6967560531506329</v>
      </c>
      <c r="U4063">
        <v>1002</v>
      </c>
      <c r="V4063">
        <v>529</v>
      </c>
      <c r="W4063">
        <v>1475</v>
      </c>
      <c r="X4063">
        <v>451</v>
      </c>
      <c r="Y4063">
        <v>69</v>
      </c>
      <c r="Z4063">
        <v>62.5</v>
      </c>
      <c r="AA4063">
        <v>75.5</v>
      </c>
    </row>
    <row r="4064" spans="1:27" x14ac:dyDescent="0.25">
      <c r="A4064" t="s">
        <v>265</v>
      </c>
      <c r="B4064" t="s">
        <v>194</v>
      </c>
      <c r="C4064" s="76">
        <v>43972</v>
      </c>
      <c r="D4064">
        <v>7490</v>
      </c>
      <c r="E4064">
        <v>4810</v>
      </c>
      <c r="F4064">
        <v>10171</v>
      </c>
      <c r="G4064">
        <v>3479</v>
      </c>
      <c r="H4064">
        <v>68.3</v>
      </c>
      <c r="I4064">
        <v>62.8</v>
      </c>
      <c r="J4064">
        <v>73.7</v>
      </c>
      <c r="K4064">
        <v>433</v>
      </c>
      <c r="L4064">
        <v>263</v>
      </c>
      <c r="M4064">
        <v>603</v>
      </c>
      <c r="N4064">
        <v>3.9</v>
      </c>
      <c r="O4064">
        <v>2.9</v>
      </c>
      <c r="P4064">
        <v>5</v>
      </c>
      <c r="Q4064">
        <f t="shared" si="124"/>
        <v>5277830</v>
      </c>
      <c r="R4064">
        <f t="shared" si="125"/>
        <v>8.2041293486148668</v>
      </c>
      <c r="U4064">
        <v>982</v>
      </c>
      <c r="V4064">
        <v>512</v>
      </c>
      <c r="W4064">
        <v>1452</v>
      </c>
      <c r="X4064">
        <v>471</v>
      </c>
      <c r="Y4064">
        <v>67.599999999999994</v>
      </c>
      <c r="Z4064">
        <v>61.2</v>
      </c>
      <c r="AA4064">
        <v>74</v>
      </c>
    </row>
    <row r="4065" spans="1:27" x14ac:dyDescent="0.25">
      <c r="A4065" t="s">
        <v>265</v>
      </c>
      <c r="B4065" t="s">
        <v>194</v>
      </c>
      <c r="C4065" s="76">
        <v>43973</v>
      </c>
      <c r="D4065">
        <v>7426</v>
      </c>
      <c r="E4065">
        <v>4803</v>
      </c>
      <c r="F4065">
        <v>10049</v>
      </c>
      <c r="G4065">
        <v>3539</v>
      </c>
      <c r="H4065">
        <v>67.7</v>
      </c>
      <c r="I4065">
        <v>62.5</v>
      </c>
      <c r="J4065">
        <v>72.900000000000006</v>
      </c>
      <c r="K4065">
        <v>453</v>
      </c>
      <c r="L4065">
        <v>262</v>
      </c>
      <c r="M4065">
        <v>644</v>
      </c>
      <c r="N4065">
        <v>4.0999999999999996</v>
      </c>
      <c r="O4065">
        <v>3</v>
      </c>
      <c r="P4065">
        <v>5.2</v>
      </c>
      <c r="Q4065">
        <f t="shared" si="124"/>
        <v>5277830</v>
      </c>
      <c r="R4065">
        <f t="shared" si="125"/>
        <v>8.5830729674885315</v>
      </c>
      <c r="U4065">
        <v>972</v>
      </c>
      <c r="V4065">
        <v>512</v>
      </c>
      <c r="W4065">
        <v>1432</v>
      </c>
      <c r="X4065">
        <v>478</v>
      </c>
      <c r="Y4065">
        <v>67</v>
      </c>
      <c r="Z4065">
        <v>60.2</v>
      </c>
      <c r="AA4065">
        <v>73.8</v>
      </c>
    </row>
    <row r="4066" spans="1:27" x14ac:dyDescent="0.25">
      <c r="A4066" t="s">
        <v>265</v>
      </c>
      <c r="B4066" t="s">
        <v>194</v>
      </c>
      <c r="C4066" s="76">
        <v>43974</v>
      </c>
      <c r="D4066">
        <v>7002</v>
      </c>
      <c r="E4066">
        <v>4516</v>
      </c>
      <c r="F4066">
        <v>9488</v>
      </c>
      <c r="G4066">
        <v>3905</v>
      </c>
      <c r="H4066">
        <v>64.2</v>
      </c>
      <c r="I4066">
        <v>59.3</v>
      </c>
      <c r="J4066">
        <v>69.099999999999994</v>
      </c>
      <c r="K4066">
        <v>440</v>
      </c>
      <c r="L4066">
        <v>255</v>
      </c>
      <c r="M4066">
        <v>624</v>
      </c>
      <c r="N4066">
        <v>4</v>
      </c>
      <c r="O4066">
        <v>3</v>
      </c>
      <c r="P4066">
        <v>5</v>
      </c>
      <c r="Q4066">
        <f t="shared" si="124"/>
        <v>5277830</v>
      </c>
      <c r="R4066">
        <f t="shared" si="125"/>
        <v>8.3367596152206485</v>
      </c>
      <c r="U4066">
        <v>864</v>
      </c>
      <c r="V4066">
        <v>458</v>
      </c>
      <c r="W4066">
        <v>1271</v>
      </c>
      <c r="X4066">
        <v>565</v>
      </c>
      <c r="Y4066">
        <v>60.5</v>
      </c>
      <c r="Z4066">
        <v>54.3</v>
      </c>
      <c r="AA4066">
        <v>66.599999999999994</v>
      </c>
    </row>
    <row r="4067" spans="1:27" x14ac:dyDescent="0.25">
      <c r="A4067" t="s">
        <v>265</v>
      </c>
      <c r="B4067" t="s">
        <v>194</v>
      </c>
      <c r="C4067" s="76">
        <v>43975</v>
      </c>
      <c r="D4067">
        <v>6843</v>
      </c>
      <c r="E4067">
        <v>4411</v>
      </c>
      <c r="F4067">
        <v>9275</v>
      </c>
      <c r="G4067">
        <v>4113</v>
      </c>
      <c r="H4067">
        <v>62.5</v>
      </c>
      <c r="I4067">
        <v>57.6</v>
      </c>
      <c r="J4067">
        <v>67.3</v>
      </c>
      <c r="K4067">
        <v>435</v>
      </c>
      <c r="L4067">
        <v>258</v>
      </c>
      <c r="M4067">
        <v>611</v>
      </c>
      <c r="N4067">
        <v>4</v>
      </c>
      <c r="O4067">
        <v>3</v>
      </c>
      <c r="P4067">
        <v>4.9000000000000004</v>
      </c>
      <c r="Q4067">
        <f t="shared" si="124"/>
        <v>5277830</v>
      </c>
      <c r="R4067">
        <f t="shared" si="125"/>
        <v>8.2420237105022327</v>
      </c>
      <c r="U4067">
        <v>867</v>
      </c>
      <c r="V4067">
        <v>453</v>
      </c>
      <c r="W4067">
        <v>1282</v>
      </c>
      <c r="X4067">
        <v>585</v>
      </c>
      <c r="Y4067">
        <v>59.7</v>
      </c>
      <c r="Z4067">
        <v>53.4</v>
      </c>
      <c r="AA4067">
        <v>66</v>
      </c>
    </row>
    <row r="4068" spans="1:27" x14ac:dyDescent="0.25">
      <c r="A4068" t="s">
        <v>265</v>
      </c>
      <c r="B4068" t="s">
        <v>194</v>
      </c>
      <c r="C4068" s="76">
        <v>43976</v>
      </c>
      <c r="D4068">
        <v>6459</v>
      </c>
      <c r="E4068">
        <v>4119</v>
      </c>
      <c r="F4068">
        <v>8799</v>
      </c>
      <c r="G4068">
        <v>4437</v>
      </c>
      <c r="H4068">
        <v>59.3</v>
      </c>
      <c r="I4068">
        <v>52.1</v>
      </c>
      <c r="J4068">
        <v>66.5</v>
      </c>
      <c r="K4068">
        <v>394</v>
      </c>
      <c r="L4068">
        <v>221</v>
      </c>
      <c r="M4068">
        <v>567</v>
      </c>
      <c r="N4068">
        <v>3.6</v>
      </c>
      <c r="O4068">
        <v>2.6</v>
      </c>
      <c r="P4068">
        <v>4.5999999999999996</v>
      </c>
      <c r="Q4068">
        <f t="shared" si="124"/>
        <v>5277830</v>
      </c>
      <c r="R4068">
        <f t="shared" si="125"/>
        <v>7.4651892918112184</v>
      </c>
      <c r="U4068">
        <v>791</v>
      </c>
      <c r="V4068">
        <v>388</v>
      </c>
      <c r="W4068">
        <v>1195</v>
      </c>
      <c r="X4068">
        <v>622</v>
      </c>
      <c r="Y4068">
        <v>56</v>
      </c>
      <c r="Z4068">
        <v>45.6</v>
      </c>
      <c r="AA4068">
        <v>66.400000000000006</v>
      </c>
    </row>
    <row r="4069" spans="1:27" x14ac:dyDescent="0.25">
      <c r="A4069" t="s">
        <v>265</v>
      </c>
      <c r="B4069" t="s">
        <v>194</v>
      </c>
      <c r="C4069" s="76">
        <v>43977</v>
      </c>
      <c r="D4069">
        <v>7159</v>
      </c>
      <c r="E4069">
        <v>4579</v>
      </c>
      <c r="F4069">
        <v>9738</v>
      </c>
      <c r="G4069">
        <v>3772</v>
      </c>
      <c r="H4069">
        <v>65.5</v>
      </c>
      <c r="I4069">
        <v>60.1</v>
      </c>
      <c r="J4069">
        <v>70.900000000000006</v>
      </c>
      <c r="K4069">
        <v>458</v>
      </c>
      <c r="L4069">
        <v>263</v>
      </c>
      <c r="M4069">
        <v>653</v>
      </c>
      <c r="N4069">
        <v>4.2</v>
      </c>
      <c r="O4069">
        <v>3.1</v>
      </c>
      <c r="P4069">
        <v>5.3</v>
      </c>
      <c r="Q4069">
        <f t="shared" si="124"/>
        <v>5277830</v>
      </c>
      <c r="R4069">
        <f t="shared" si="125"/>
        <v>8.6778088722069491</v>
      </c>
      <c r="U4069">
        <v>908</v>
      </c>
      <c r="V4069">
        <v>472</v>
      </c>
      <c r="W4069">
        <v>1344</v>
      </c>
      <c r="X4069">
        <v>534</v>
      </c>
      <c r="Y4069">
        <v>63</v>
      </c>
      <c r="Z4069">
        <v>56.2</v>
      </c>
      <c r="AA4069">
        <v>69.7</v>
      </c>
    </row>
    <row r="4070" spans="1:27" x14ac:dyDescent="0.25">
      <c r="A4070" t="s">
        <v>265</v>
      </c>
      <c r="B4070" t="s">
        <v>194</v>
      </c>
      <c r="C4070" s="76">
        <v>43978</v>
      </c>
      <c r="D4070">
        <v>7568</v>
      </c>
      <c r="E4070">
        <v>4883</v>
      </c>
      <c r="F4070">
        <v>10252</v>
      </c>
      <c r="G4070">
        <v>3376</v>
      </c>
      <c r="H4070">
        <v>69.2</v>
      </c>
      <c r="I4070">
        <v>64</v>
      </c>
      <c r="J4070">
        <v>74.3</v>
      </c>
      <c r="K4070">
        <v>413</v>
      </c>
      <c r="L4070">
        <v>246</v>
      </c>
      <c r="M4070">
        <v>580</v>
      </c>
      <c r="N4070">
        <v>3.8</v>
      </c>
      <c r="O4070">
        <v>2.9</v>
      </c>
      <c r="P4070">
        <v>4.7</v>
      </c>
      <c r="Q4070">
        <f t="shared" si="124"/>
        <v>5277830</v>
      </c>
      <c r="R4070">
        <f t="shared" si="125"/>
        <v>7.8251857297412011</v>
      </c>
      <c r="U4070">
        <v>970</v>
      </c>
      <c r="V4070">
        <v>508</v>
      </c>
      <c r="W4070">
        <v>1433</v>
      </c>
      <c r="X4070">
        <v>459</v>
      </c>
      <c r="Y4070">
        <v>67.900000000000006</v>
      </c>
      <c r="Z4070">
        <v>61.4</v>
      </c>
      <c r="AA4070">
        <v>74.400000000000006</v>
      </c>
    </row>
    <row r="4071" spans="1:27" x14ac:dyDescent="0.25">
      <c r="A4071" t="s">
        <v>265</v>
      </c>
      <c r="B4071" t="s">
        <v>194</v>
      </c>
      <c r="C4071" s="76">
        <v>43979</v>
      </c>
      <c r="D4071">
        <v>7508</v>
      </c>
      <c r="E4071">
        <v>4782</v>
      </c>
      <c r="F4071">
        <v>10234</v>
      </c>
      <c r="G4071">
        <v>3174</v>
      </c>
      <c r="H4071">
        <v>70.3</v>
      </c>
      <c r="I4071">
        <v>64.8</v>
      </c>
      <c r="J4071">
        <v>75.8</v>
      </c>
      <c r="K4071">
        <v>413</v>
      </c>
      <c r="L4071">
        <v>240</v>
      </c>
      <c r="M4071">
        <v>587</v>
      </c>
      <c r="N4071">
        <v>3.9</v>
      </c>
      <c r="O4071">
        <v>2.9</v>
      </c>
      <c r="P4071">
        <v>4.9000000000000004</v>
      </c>
      <c r="Q4071">
        <f t="shared" ref="Q4071:Q4134" si="126">VLOOKUP(B4071,$AE$4:$AF$55,2,FALSE)</f>
        <v>5277830</v>
      </c>
      <c r="R4071">
        <f t="shared" si="125"/>
        <v>7.8251857297412011</v>
      </c>
      <c r="U4071">
        <v>975</v>
      </c>
      <c r="V4071">
        <v>507</v>
      </c>
      <c r="W4071">
        <v>1444</v>
      </c>
      <c r="X4071">
        <v>519</v>
      </c>
      <c r="Y4071">
        <v>65.3</v>
      </c>
      <c r="Z4071">
        <v>57.1</v>
      </c>
      <c r="AA4071">
        <v>73.400000000000006</v>
      </c>
    </row>
    <row r="4072" spans="1:27" x14ac:dyDescent="0.25">
      <c r="A4072" t="s">
        <v>265</v>
      </c>
      <c r="B4072" t="s">
        <v>194</v>
      </c>
      <c r="C4072" s="76">
        <v>43980</v>
      </c>
      <c r="D4072">
        <v>7534</v>
      </c>
      <c r="E4072">
        <v>4857</v>
      </c>
      <c r="F4072">
        <v>10212</v>
      </c>
      <c r="G4072">
        <v>3469</v>
      </c>
      <c r="H4072">
        <v>68.5</v>
      </c>
      <c r="I4072">
        <v>63.1</v>
      </c>
      <c r="J4072">
        <v>73.900000000000006</v>
      </c>
      <c r="K4072">
        <v>397</v>
      </c>
      <c r="L4072">
        <v>233</v>
      </c>
      <c r="M4072">
        <v>560</v>
      </c>
      <c r="N4072">
        <v>3.6</v>
      </c>
      <c r="O4072">
        <v>2.7</v>
      </c>
      <c r="P4072">
        <v>4.5</v>
      </c>
      <c r="Q4072">
        <f t="shared" si="126"/>
        <v>5277830</v>
      </c>
      <c r="R4072">
        <f t="shared" si="125"/>
        <v>7.5220308346422682</v>
      </c>
      <c r="U4072">
        <v>958</v>
      </c>
      <c r="V4072">
        <v>479</v>
      </c>
      <c r="W4072">
        <v>1437</v>
      </c>
      <c r="X4072">
        <v>493</v>
      </c>
      <c r="Y4072">
        <v>66</v>
      </c>
      <c r="Z4072">
        <v>57.6</v>
      </c>
      <c r="AA4072">
        <v>74.5</v>
      </c>
    </row>
    <row r="4073" spans="1:27" x14ac:dyDescent="0.25">
      <c r="A4073" t="s">
        <v>265</v>
      </c>
      <c r="B4073" t="s">
        <v>194</v>
      </c>
      <c r="C4073" s="76">
        <v>43981</v>
      </c>
      <c r="D4073">
        <v>6999</v>
      </c>
      <c r="E4073">
        <v>4554</v>
      </c>
      <c r="F4073">
        <v>9444</v>
      </c>
      <c r="G4073">
        <v>4046</v>
      </c>
      <c r="H4073">
        <v>63.4</v>
      </c>
      <c r="I4073">
        <v>58.6</v>
      </c>
      <c r="J4073">
        <v>68.2</v>
      </c>
      <c r="K4073">
        <v>412</v>
      </c>
      <c r="L4073">
        <v>248</v>
      </c>
      <c r="M4073">
        <v>576</v>
      </c>
      <c r="N4073">
        <v>3.7</v>
      </c>
      <c r="O4073">
        <v>2.9</v>
      </c>
      <c r="P4073">
        <v>4.5999999999999996</v>
      </c>
      <c r="Q4073">
        <f t="shared" si="126"/>
        <v>5277830</v>
      </c>
      <c r="R4073">
        <f t="shared" si="125"/>
        <v>7.8062385487975172</v>
      </c>
      <c r="U4073">
        <v>895</v>
      </c>
      <c r="V4073">
        <v>458</v>
      </c>
      <c r="W4073">
        <v>1333</v>
      </c>
      <c r="X4073">
        <v>553</v>
      </c>
      <c r="Y4073">
        <v>61.8</v>
      </c>
      <c r="Z4073">
        <v>54.6</v>
      </c>
      <c r="AA4073">
        <v>69</v>
      </c>
    </row>
    <row r="4074" spans="1:27" x14ac:dyDescent="0.25">
      <c r="A4074" t="s">
        <v>265</v>
      </c>
      <c r="B4074" t="s">
        <v>194</v>
      </c>
      <c r="C4074" s="76">
        <v>43982</v>
      </c>
      <c r="D4074">
        <v>6846</v>
      </c>
      <c r="E4074">
        <v>4418</v>
      </c>
      <c r="F4074">
        <v>9273</v>
      </c>
      <c r="G4074">
        <v>4131</v>
      </c>
      <c r="H4074">
        <v>62.4</v>
      </c>
      <c r="I4074">
        <v>57.3</v>
      </c>
      <c r="J4074">
        <v>67.400000000000006</v>
      </c>
      <c r="K4074">
        <v>436</v>
      </c>
      <c r="L4074">
        <v>263</v>
      </c>
      <c r="M4074">
        <v>608</v>
      </c>
      <c r="N4074">
        <v>4</v>
      </c>
      <c r="O4074">
        <v>3.1</v>
      </c>
      <c r="P4074">
        <v>4.8</v>
      </c>
      <c r="Q4074">
        <f t="shared" si="126"/>
        <v>5277830</v>
      </c>
      <c r="R4074">
        <f t="shared" si="125"/>
        <v>8.2609708914459166</v>
      </c>
      <c r="U4074">
        <v>884</v>
      </c>
      <c r="V4074">
        <v>445</v>
      </c>
      <c r="W4074">
        <v>1322</v>
      </c>
      <c r="X4074">
        <v>541</v>
      </c>
      <c r="Y4074">
        <v>62</v>
      </c>
      <c r="Z4074">
        <v>54.7</v>
      </c>
      <c r="AA4074">
        <v>69.3</v>
      </c>
    </row>
    <row r="4075" spans="1:27" x14ac:dyDescent="0.25">
      <c r="A4075" t="s">
        <v>265</v>
      </c>
      <c r="B4075" t="s">
        <v>194</v>
      </c>
      <c r="C4075" s="76">
        <v>43983</v>
      </c>
      <c r="D4075">
        <v>7061</v>
      </c>
      <c r="E4075">
        <v>4528</v>
      </c>
      <c r="F4075">
        <v>9593</v>
      </c>
      <c r="G4075">
        <v>3927</v>
      </c>
      <c r="H4075">
        <v>64.3</v>
      </c>
      <c r="I4075">
        <v>58.7</v>
      </c>
      <c r="J4075">
        <v>69.8</v>
      </c>
      <c r="K4075">
        <v>456</v>
      </c>
      <c r="L4075">
        <v>276</v>
      </c>
      <c r="M4075">
        <v>635</v>
      </c>
      <c r="N4075">
        <v>4.0999999999999996</v>
      </c>
      <c r="O4075">
        <v>3.1</v>
      </c>
      <c r="P4075">
        <v>5.2</v>
      </c>
      <c r="Q4075">
        <f t="shared" si="126"/>
        <v>5277830</v>
      </c>
      <c r="R4075">
        <f t="shared" si="125"/>
        <v>8.6399145103195831</v>
      </c>
      <c r="U4075">
        <v>901</v>
      </c>
      <c r="V4075">
        <v>463</v>
      </c>
      <c r="W4075">
        <v>1338</v>
      </c>
      <c r="X4075">
        <v>533</v>
      </c>
      <c r="Y4075">
        <v>62.8</v>
      </c>
      <c r="Z4075">
        <v>56.3</v>
      </c>
      <c r="AA4075">
        <v>69.400000000000006</v>
      </c>
    </row>
    <row r="4076" spans="1:27" x14ac:dyDescent="0.25">
      <c r="A4076" t="s">
        <v>265</v>
      </c>
      <c r="B4076" t="s">
        <v>194</v>
      </c>
      <c r="C4076" s="76">
        <v>43984</v>
      </c>
      <c r="D4076">
        <v>7618</v>
      </c>
      <c r="E4076">
        <v>4966</v>
      </c>
      <c r="F4076">
        <v>10270</v>
      </c>
      <c r="G4076">
        <v>3381</v>
      </c>
      <c r="H4076">
        <v>69.3</v>
      </c>
      <c r="I4076">
        <v>64.099999999999994</v>
      </c>
      <c r="J4076">
        <v>74.5</v>
      </c>
      <c r="K4076">
        <v>455</v>
      </c>
      <c r="L4076">
        <v>279</v>
      </c>
      <c r="M4076">
        <v>632</v>
      </c>
      <c r="N4076">
        <v>4.0999999999999996</v>
      </c>
      <c r="O4076">
        <v>3.2</v>
      </c>
      <c r="P4076">
        <v>5.0999999999999996</v>
      </c>
      <c r="Q4076">
        <f t="shared" si="126"/>
        <v>5277830</v>
      </c>
      <c r="R4076">
        <f t="shared" si="125"/>
        <v>8.6209673293758993</v>
      </c>
      <c r="U4076">
        <v>971</v>
      </c>
      <c r="V4076">
        <v>505</v>
      </c>
      <c r="W4076">
        <v>1436</v>
      </c>
      <c r="X4076">
        <v>478</v>
      </c>
      <c r="Y4076">
        <v>67</v>
      </c>
      <c r="Z4076">
        <v>60.1</v>
      </c>
      <c r="AA4076">
        <v>73.900000000000006</v>
      </c>
    </row>
    <row r="4077" spans="1:27" x14ac:dyDescent="0.25">
      <c r="A4077" t="s">
        <v>265</v>
      </c>
      <c r="B4077" t="s">
        <v>194</v>
      </c>
      <c r="C4077" s="76">
        <v>43985</v>
      </c>
      <c r="D4077">
        <v>7828</v>
      </c>
      <c r="E4077">
        <v>5095</v>
      </c>
      <c r="F4077">
        <v>10562</v>
      </c>
      <c r="G4077">
        <v>3157</v>
      </c>
      <c r="H4077">
        <v>71.3</v>
      </c>
      <c r="I4077">
        <v>66</v>
      </c>
      <c r="J4077">
        <v>76.5</v>
      </c>
      <c r="K4077">
        <v>461</v>
      </c>
      <c r="L4077">
        <v>281</v>
      </c>
      <c r="M4077">
        <v>642</v>
      </c>
      <c r="N4077">
        <v>4.2</v>
      </c>
      <c r="O4077">
        <v>3.2</v>
      </c>
      <c r="P4077">
        <v>5.2</v>
      </c>
      <c r="Q4077">
        <f t="shared" si="126"/>
        <v>5277830</v>
      </c>
      <c r="R4077">
        <f t="shared" si="125"/>
        <v>8.7346504150379989</v>
      </c>
      <c r="U4077">
        <v>986</v>
      </c>
      <c r="V4077">
        <v>523</v>
      </c>
      <c r="W4077">
        <v>1450</v>
      </c>
      <c r="X4077">
        <v>444</v>
      </c>
      <c r="Y4077">
        <v>68.900000000000006</v>
      </c>
      <c r="Z4077">
        <v>62.4</v>
      </c>
      <c r="AA4077">
        <v>75.5</v>
      </c>
    </row>
    <row r="4078" spans="1:27" x14ac:dyDescent="0.25">
      <c r="A4078" t="s">
        <v>265</v>
      </c>
      <c r="B4078" t="s">
        <v>194</v>
      </c>
      <c r="C4078" s="76">
        <v>43986</v>
      </c>
      <c r="D4078">
        <v>7860</v>
      </c>
      <c r="E4078">
        <v>5084</v>
      </c>
      <c r="F4078">
        <v>10636</v>
      </c>
      <c r="G4078">
        <v>3128</v>
      </c>
      <c r="H4078">
        <v>71.5</v>
      </c>
      <c r="I4078">
        <v>66.3</v>
      </c>
      <c r="J4078">
        <v>76.8</v>
      </c>
      <c r="K4078">
        <v>472</v>
      </c>
      <c r="L4078">
        <v>290</v>
      </c>
      <c r="M4078">
        <v>654</v>
      </c>
      <c r="N4078">
        <v>4.3</v>
      </c>
      <c r="O4078">
        <v>3.3</v>
      </c>
      <c r="P4078">
        <v>5.3</v>
      </c>
      <c r="Q4078">
        <f t="shared" si="126"/>
        <v>5277830</v>
      </c>
      <c r="R4078">
        <f t="shared" si="125"/>
        <v>8.943069405418516</v>
      </c>
      <c r="U4078">
        <v>975</v>
      </c>
      <c r="V4078">
        <v>517</v>
      </c>
      <c r="W4078">
        <v>1433</v>
      </c>
      <c r="X4078">
        <v>439</v>
      </c>
      <c r="Y4078">
        <v>69</v>
      </c>
      <c r="Z4078">
        <v>63.2</v>
      </c>
      <c r="AA4078">
        <v>74.7</v>
      </c>
    </row>
    <row r="4079" spans="1:27" x14ac:dyDescent="0.25">
      <c r="A4079" t="s">
        <v>265</v>
      </c>
      <c r="B4079" t="s">
        <v>194</v>
      </c>
      <c r="C4079" s="76">
        <v>43987</v>
      </c>
      <c r="D4079">
        <v>7676</v>
      </c>
      <c r="E4079">
        <v>5000</v>
      </c>
      <c r="F4079">
        <v>10351</v>
      </c>
      <c r="G4079">
        <v>3341</v>
      </c>
      <c r="H4079">
        <v>69.7</v>
      </c>
      <c r="I4079">
        <v>64.5</v>
      </c>
      <c r="J4079">
        <v>74.8</v>
      </c>
      <c r="K4079">
        <v>512</v>
      </c>
      <c r="L4079">
        <v>315</v>
      </c>
      <c r="M4079">
        <v>709</v>
      </c>
      <c r="N4079">
        <v>4.5999999999999996</v>
      </c>
      <c r="O4079">
        <v>3.6</v>
      </c>
      <c r="P4079">
        <v>5.7</v>
      </c>
      <c r="Q4079">
        <f t="shared" si="126"/>
        <v>5277830</v>
      </c>
      <c r="R4079">
        <f t="shared" si="125"/>
        <v>9.7009566431658456</v>
      </c>
      <c r="U4079">
        <v>1004</v>
      </c>
      <c r="V4079">
        <v>543</v>
      </c>
      <c r="W4079">
        <v>1465</v>
      </c>
      <c r="X4079">
        <v>490</v>
      </c>
      <c r="Y4079">
        <v>67.2</v>
      </c>
      <c r="Z4079">
        <v>61.6</v>
      </c>
      <c r="AA4079">
        <v>72.900000000000006</v>
      </c>
    </row>
    <row r="4080" spans="1:27" x14ac:dyDescent="0.25">
      <c r="A4080" t="s">
        <v>265</v>
      </c>
      <c r="B4080" t="s">
        <v>194</v>
      </c>
      <c r="C4080" s="76">
        <v>43988</v>
      </c>
      <c r="D4080">
        <v>7343</v>
      </c>
      <c r="E4080">
        <v>4755</v>
      </c>
      <c r="F4080">
        <v>9931</v>
      </c>
      <c r="G4080">
        <v>3730</v>
      </c>
      <c r="H4080">
        <v>66.3</v>
      </c>
      <c r="I4080">
        <v>61.2</v>
      </c>
      <c r="J4080">
        <v>71.5</v>
      </c>
      <c r="K4080">
        <v>497</v>
      </c>
      <c r="L4080">
        <v>306</v>
      </c>
      <c r="M4080">
        <v>689</v>
      </c>
      <c r="N4080">
        <v>4.5</v>
      </c>
      <c r="O4080">
        <v>3.5</v>
      </c>
      <c r="P4080">
        <v>5.5</v>
      </c>
      <c r="Q4080">
        <f t="shared" si="126"/>
        <v>5277830</v>
      </c>
      <c r="R4080">
        <f t="shared" si="125"/>
        <v>9.4167489290105966</v>
      </c>
      <c r="U4080">
        <v>970</v>
      </c>
      <c r="V4080">
        <v>517</v>
      </c>
      <c r="W4080">
        <v>1423</v>
      </c>
      <c r="X4080">
        <v>532</v>
      </c>
      <c r="Y4080">
        <v>64.599999999999994</v>
      </c>
      <c r="Z4080">
        <v>58.2</v>
      </c>
      <c r="AA4080">
        <v>70.900000000000006</v>
      </c>
    </row>
    <row r="4081" spans="1:27" x14ac:dyDescent="0.25">
      <c r="A4081" t="s">
        <v>265</v>
      </c>
      <c r="B4081" t="s">
        <v>194</v>
      </c>
      <c r="C4081" s="76">
        <v>43989</v>
      </c>
      <c r="D4081">
        <v>7163</v>
      </c>
      <c r="E4081">
        <v>4619</v>
      </c>
      <c r="F4081">
        <v>9706</v>
      </c>
      <c r="G4081">
        <v>3901</v>
      </c>
      <c r="H4081">
        <v>64.7</v>
      </c>
      <c r="I4081">
        <v>59.5</v>
      </c>
      <c r="J4081">
        <v>70</v>
      </c>
      <c r="K4081">
        <v>497</v>
      </c>
      <c r="L4081">
        <v>307</v>
      </c>
      <c r="M4081">
        <v>687</v>
      </c>
      <c r="N4081">
        <v>4.5</v>
      </c>
      <c r="O4081">
        <v>3.4</v>
      </c>
      <c r="P4081">
        <v>5.6</v>
      </c>
      <c r="Q4081">
        <f t="shared" si="126"/>
        <v>5277830</v>
      </c>
      <c r="R4081">
        <f t="shared" si="125"/>
        <v>9.4167489290105966</v>
      </c>
      <c r="U4081">
        <v>934</v>
      </c>
      <c r="V4081">
        <v>499</v>
      </c>
      <c r="W4081">
        <v>1368</v>
      </c>
      <c r="X4081">
        <v>527</v>
      </c>
      <c r="Y4081">
        <v>63.9</v>
      </c>
      <c r="Z4081">
        <v>58.4</v>
      </c>
      <c r="AA4081">
        <v>69.5</v>
      </c>
    </row>
    <row r="4082" spans="1:27" x14ac:dyDescent="0.25">
      <c r="A4082" t="s">
        <v>265</v>
      </c>
      <c r="B4082" t="s">
        <v>194</v>
      </c>
      <c r="C4082" s="76">
        <v>43990</v>
      </c>
      <c r="D4082">
        <v>7374</v>
      </c>
      <c r="E4082">
        <v>4752</v>
      </c>
      <c r="F4082">
        <v>9997</v>
      </c>
      <c r="G4082">
        <v>3690</v>
      </c>
      <c r="H4082">
        <v>66.7</v>
      </c>
      <c r="I4082">
        <v>61.1</v>
      </c>
      <c r="J4082">
        <v>72.2</v>
      </c>
      <c r="K4082">
        <v>521</v>
      </c>
      <c r="L4082">
        <v>319</v>
      </c>
      <c r="M4082">
        <v>722</v>
      </c>
      <c r="N4082">
        <v>4.7</v>
      </c>
      <c r="O4082">
        <v>3.5</v>
      </c>
      <c r="P4082">
        <v>5.9</v>
      </c>
      <c r="Q4082">
        <f t="shared" si="126"/>
        <v>5277830</v>
      </c>
      <c r="R4082">
        <f t="shared" si="125"/>
        <v>9.8714812716589968</v>
      </c>
      <c r="U4082">
        <v>957</v>
      </c>
      <c r="V4082">
        <v>495</v>
      </c>
      <c r="W4082">
        <v>1418</v>
      </c>
      <c r="X4082">
        <v>537</v>
      </c>
      <c r="Y4082">
        <v>64.099999999999994</v>
      </c>
      <c r="Z4082">
        <v>56.6</v>
      </c>
      <c r="AA4082">
        <v>71.5</v>
      </c>
    </row>
    <row r="4083" spans="1:27" x14ac:dyDescent="0.25">
      <c r="A4083" t="s">
        <v>265</v>
      </c>
      <c r="B4083" t="s">
        <v>194</v>
      </c>
      <c r="C4083" s="76">
        <v>43991</v>
      </c>
      <c r="D4083">
        <v>7923</v>
      </c>
      <c r="E4083">
        <v>5171</v>
      </c>
      <c r="F4083">
        <v>10674</v>
      </c>
      <c r="G4083">
        <v>3154</v>
      </c>
      <c r="H4083">
        <v>71.5</v>
      </c>
      <c r="I4083">
        <v>66.400000000000006</v>
      </c>
      <c r="J4083">
        <v>76.599999999999994</v>
      </c>
      <c r="K4083">
        <v>570</v>
      </c>
      <c r="L4083">
        <v>339</v>
      </c>
      <c r="M4083">
        <v>800</v>
      </c>
      <c r="N4083">
        <v>5.0999999999999996</v>
      </c>
      <c r="O4083">
        <v>3.8</v>
      </c>
      <c r="P4083">
        <v>6.5</v>
      </c>
      <c r="Q4083">
        <f t="shared" si="126"/>
        <v>5277830</v>
      </c>
      <c r="R4083">
        <f t="shared" si="125"/>
        <v>10.799893137899478</v>
      </c>
      <c r="U4083">
        <v>1008</v>
      </c>
      <c r="V4083">
        <v>528</v>
      </c>
      <c r="W4083">
        <v>1489</v>
      </c>
      <c r="X4083">
        <v>483</v>
      </c>
      <c r="Y4083">
        <v>67.599999999999994</v>
      </c>
      <c r="Z4083">
        <v>61</v>
      </c>
      <c r="AA4083">
        <v>74.3</v>
      </c>
    </row>
    <row r="4084" spans="1:27" x14ac:dyDescent="0.25">
      <c r="A4084" t="s">
        <v>265</v>
      </c>
      <c r="B4084" t="s">
        <v>194</v>
      </c>
      <c r="C4084" s="76">
        <v>43992</v>
      </c>
      <c r="D4084">
        <v>8043</v>
      </c>
      <c r="E4084">
        <v>5275</v>
      </c>
      <c r="F4084">
        <v>10811</v>
      </c>
      <c r="G4084">
        <v>2999</v>
      </c>
      <c r="H4084">
        <v>72.8</v>
      </c>
      <c r="I4084">
        <v>67.8</v>
      </c>
      <c r="J4084">
        <v>77.8</v>
      </c>
      <c r="K4084">
        <v>516</v>
      </c>
      <c r="L4084">
        <v>320</v>
      </c>
      <c r="M4084">
        <v>712</v>
      </c>
      <c r="N4084">
        <v>4.7</v>
      </c>
      <c r="O4084">
        <v>3.6</v>
      </c>
      <c r="P4084">
        <v>5.7</v>
      </c>
      <c r="Q4084">
        <f t="shared" si="126"/>
        <v>5277830</v>
      </c>
      <c r="R4084">
        <f t="shared" si="125"/>
        <v>9.7767453669405793</v>
      </c>
      <c r="U4084">
        <v>1026</v>
      </c>
      <c r="V4084">
        <v>544</v>
      </c>
      <c r="W4084">
        <v>1508</v>
      </c>
      <c r="X4084">
        <v>450</v>
      </c>
      <c r="Y4084">
        <v>69.5</v>
      </c>
      <c r="Z4084">
        <v>63.5</v>
      </c>
      <c r="AA4084">
        <v>75.599999999999994</v>
      </c>
    </row>
    <row r="4085" spans="1:27" x14ac:dyDescent="0.25">
      <c r="A4085" t="s">
        <v>265</v>
      </c>
      <c r="B4085" t="s">
        <v>194</v>
      </c>
      <c r="C4085" s="76">
        <v>43993</v>
      </c>
      <c r="D4085">
        <v>8057</v>
      </c>
      <c r="E4085">
        <v>5250</v>
      </c>
      <c r="F4085">
        <v>10864</v>
      </c>
      <c r="G4085">
        <v>3050</v>
      </c>
      <c r="H4085">
        <v>72.5</v>
      </c>
      <c r="I4085">
        <v>67</v>
      </c>
      <c r="J4085">
        <v>78</v>
      </c>
      <c r="K4085">
        <v>563</v>
      </c>
      <c r="L4085">
        <v>352</v>
      </c>
      <c r="M4085">
        <v>774</v>
      </c>
      <c r="N4085">
        <v>5.0999999999999996</v>
      </c>
      <c r="O4085">
        <v>4</v>
      </c>
      <c r="P4085">
        <v>6.1</v>
      </c>
      <c r="Q4085">
        <f t="shared" si="126"/>
        <v>5277830</v>
      </c>
      <c r="R4085">
        <f t="shared" si="125"/>
        <v>10.667262871293694</v>
      </c>
      <c r="U4085">
        <v>1056</v>
      </c>
      <c r="V4085">
        <v>563</v>
      </c>
      <c r="W4085">
        <v>1549</v>
      </c>
      <c r="X4085">
        <v>444</v>
      </c>
      <c r="Y4085">
        <v>70.400000000000006</v>
      </c>
      <c r="Z4085">
        <v>64.099999999999994</v>
      </c>
      <c r="AA4085">
        <v>76.7</v>
      </c>
    </row>
    <row r="4086" spans="1:27" x14ac:dyDescent="0.25">
      <c r="A4086" t="s">
        <v>265</v>
      </c>
      <c r="B4086" t="s">
        <v>194</v>
      </c>
      <c r="C4086" s="76">
        <v>43994</v>
      </c>
      <c r="D4086">
        <v>8024</v>
      </c>
      <c r="E4086">
        <v>5214</v>
      </c>
      <c r="F4086">
        <v>10833</v>
      </c>
      <c r="G4086">
        <v>3103</v>
      </c>
      <c r="H4086">
        <v>72.099999999999994</v>
      </c>
      <c r="I4086">
        <v>66.8</v>
      </c>
      <c r="J4086">
        <v>77.400000000000006</v>
      </c>
      <c r="K4086">
        <v>553</v>
      </c>
      <c r="L4086">
        <v>345</v>
      </c>
      <c r="M4086">
        <v>760</v>
      </c>
      <c r="N4086">
        <v>5</v>
      </c>
      <c r="O4086">
        <v>3.9</v>
      </c>
      <c r="P4086">
        <v>6</v>
      </c>
      <c r="Q4086">
        <f t="shared" si="126"/>
        <v>5277830</v>
      </c>
      <c r="R4086">
        <f t="shared" si="125"/>
        <v>10.477791061856863</v>
      </c>
      <c r="U4086">
        <v>1036</v>
      </c>
      <c r="V4086">
        <v>540</v>
      </c>
      <c r="W4086">
        <v>1532</v>
      </c>
      <c r="X4086">
        <v>457</v>
      </c>
      <c r="Y4086">
        <v>69.400000000000006</v>
      </c>
      <c r="Z4086">
        <v>62.3</v>
      </c>
      <c r="AA4086">
        <v>76.5</v>
      </c>
    </row>
    <row r="4087" spans="1:27" x14ac:dyDescent="0.25">
      <c r="A4087" t="s">
        <v>265</v>
      </c>
      <c r="B4087" t="s">
        <v>194</v>
      </c>
      <c r="C4087" s="76">
        <v>43995</v>
      </c>
      <c r="D4087">
        <v>7435</v>
      </c>
      <c r="E4087">
        <v>4806</v>
      </c>
      <c r="F4087">
        <v>10063</v>
      </c>
      <c r="G4087">
        <v>3700</v>
      </c>
      <c r="H4087">
        <v>66.8</v>
      </c>
      <c r="I4087">
        <v>61.7</v>
      </c>
      <c r="J4087">
        <v>71.8</v>
      </c>
      <c r="K4087">
        <v>531</v>
      </c>
      <c r="L4087">
        <v>329</v>
      </c>
      <c r="M4087">
        <v>733</v>
      </c>
      <c r="N4087">
        <v>4.8</v>
      </c>
      <c r="O4087">
        <v>3.8</v>
      </c>
      <c r="P4087">
        <v>5.8</v>
      </c>
      <c r="Q4087">
        <f t="shared" si="126"/>
        <v>5277830</v>
      </c>
      <c r="R4087">
        <f t="shared" si="125"/>
        <v>10.06095308109583</v>
      </c>
      <c r="U4087">
        <v>1010</v>
      </c>
      <c r="V4087">
        <v>533</v>
      </c>
      <c r="W4087">
        <v>1488</v>
      </c>
      <c r="X4087">
        <v>464</v>
      </c>
      <c r="Y4087">
        <v>68.5</v>
      </c>
      <c r="Z4087">
        <v>62.6</v>
      </c>
      <c r="AA4087">
        <v>74.5</v>
      </c>
    </row>
    <row r="4088" spans="1:27" x14ac:dyDescent="0.25">
      <c r="A4088" t="s">
        <v>265</v>
      </c>
      <c r="B4088" t="s">
        <v>194</v>
      </c>
      <c r="C4088" s="76">
        <v>43996</v>
      </c>
      <c r="D4088">
        <v>7266</v>
      </c>
      <c r="E4088">
        <v>4701</v>
      </c>
      <c r="F4088">
        <v>9831</v>
      </c>
      <c r="G4088">
        <v>3868</v>
      </c>
      <c r="H4088">
        <v>65.3</v>
      </c>
      <c r="I4088">
        <v>60.3</v>
      </c>
      <c r="J4088">
        <v>70.2</v>
      </c>
      <c r="K4088">
        <v>556</v>
      </c>
      <c r="L4088">
        <v>343</v>
      </c>
      <c r="M4088">
        <v>768</v>
      </c>
      <c r="N4088">
        <v>5</v>
      </c>
      <c r="O4088">
        <v>3.9</v>
      </c>
      <c r="P4088">
        <v>6</v>
      </c>
      <c r="Q4088">
        <f t="shared" si="126"/>
        <v>5277830</v>
      </c>
      <c r="R4088">
        <f t="shared" si="125"/>
        <v>10.534632604687912</v>
      </c>
      <c r="U4088">
        <v>1001</v>
      </c>
      <c r="V4088">
        <v>541</v>
      </c>
      <c r="W4088">
        <v>1462</v>
      </c>
      <c r="X4088">
        <v>489</v>
      </c>
      <c r="Y4088">
        <v>67.2</v>
      </c>
      <c r="Z4088">
        <v>61.8</v>
      </c>
      <c r="AA4088">
        <v>72.5</v>
      </c>
    </row>
    <row r="4089" spans="1:27" x14ac:dyDescent="0.25">
      <c r="A4089" t="s">
        <v>265</v>
      </c>
      <c r="B4089" t="s">
        <v>194</v>
      </c>
      <c r="C4089" s="76">
        <v>43997</v>
      </c>
      <c r="D4089">
        <v>7335</v>
      </c>
      <c r="E4089">
        <v>4736</v>
      </c>
      <c r="F4089">
        <v>9935</v>
      </c>
      <c r="G4089">
        <v>3836</v>
      </c>
      <c r="H4089">
        <v>65.7</v>
      </c>
      <c r="I4089">
        <v>60.6</v>
      </c>
      <c r="J4089">
        <v>70.7</v>
      </c>
      <c r="K4089">
        <v>587</v>
      </c>
      <c r="L4089">
        <v>354</v>
      </c>
      <c r="M4089">
        <v>819</v>
      </c>
      <c r="N4089">
        <v>5.3</v>
      </c>
      <c r="O4089">
        <v>4</v>
      </c>
      <c r="P4089">
        <v>6.5</v>
      </c>
      <c r="Q4089">
        <f t="shared" si="126"/>
        <v>5277830</v>
      </c>
      <c r="R4089">
        <f t="shared" si="125"/>
        <v>11.121995213942093</v>
      </c>
      <c r="U4089">
        <v>1006</v>
      </c>
      <c r="V4089">
        <v>530</v>
      </c>
      <c r="W4089">
        <v>1481</v>
      </c>
      <c r="X4089">
        <v>491</v>
      </c>
      <c r="Y4089">
        <v>67.2</v>
      </c>
      <c r="Z4089">
        <v>61.3</v>
      </c>
      <c r="AA4089">
        <v>73.099999999999994</v>
      </c>
    </row>
    <row r="4090" spans="1:27" x14ac:dyDescent="0.25">
      <c r="A4090" t="s">
        <v>265</v>
      </c>
      <c r="B4090" t="s">
        <v>194</v>
      </c>
      <c r="C4090" s="76">
        <v>43998</v>
      </c>
      <c r="D4090">
        <v>7653</v>
      </c>
      <c r="E4090">
        <v>4984</v>
      </c>
      <c r="F4090">
        <v>10323</v>
      </c>
      <c r="G4090">
        <v>3453</v>
      </c>
      <c r="H4090">
        <v>68.900000000000006</v>
      </c>
      <c r="I4090">
        <v>64.099999999999994</v>
      </c>
      <c r="J4090">
        <v>73.7</v>
      </c>
      <c r="K4090">
        <v>613</v>
      </c>
      <c r="L4090">
        <v>367</v>
      </c>
      <c r="M4090">
        <v>859</v>
      </c>
      <c r="N4090">
        <v>5.5</v>
      </c>
      <c r="O4090">
        <v>4.2</v>
      </c>
      <c r="P4090">
        <v>6.8</v>
      </c>
      <c r="Q4090">
        <f t="shared" si="126"/>
        <v>5277830</v>
      </c>
      <c r="R4090">
        <f t="shared" si="125"/>
        <v>11.614621918477861</v>
      </c>
      <c r="U4090">
        <v>1078</v>
      </c>
      <c r="V4090">
        <v>589</v>
      </c>
      <c r="W4090">
        <v>1567</v>
      </c>
      <c r="X4090">
        <v>397</v>
      </c>
      <c r="Y4090">
        <v>73.099999999999994</v>
      </c>
      <c r="Z4090">
        <v>68.3</v>
      </c>
      <c r="AA4090">
        <v>77.900000000000006</v>
      </c>
    </row>
    <row r="4091" spans="1:27" x14ac:dyDescent="0.25">
      <c r="A4091" t="s">
        <v>265</v>
      </c>
      <c r="B4091" t="s">
        <v>194</v>
      </c>
      <c r="C4091" s="76">
        <v>43999</v>
      </c>
      <c r="D4091">
        <v>7862</v>
      </c>
      <c r="E4091">
        <v>5022</v>
      </c>
      <c r="F4091">
        <v>10702</v>
      </c>
      <c r="G4091">
        <v>3079</v>
      </c>
      <c r="H4091">
        <v>71.900000000000006</v>
      </c>
      <c r="I4091">
        <v>66.900000000000006</v>
      </c>
      <c r="J4091">
        <v>76.8</v>
      </c>
      <c r="K4091">
        <v>692</v>
      </c>
      <c r="L4091">
        <v>405</v>
      </c>
      <c r="M4091">
        <v>979</v>
      </c>
      <c r="N4091">
        <v>6.3</v>
      </c>
      <c r="O4091">
        <v>4.7</v>
      </c>
      <c r="P4091">
        <v>8</v>
      </c>
      <c r="Q4091">
        <f t="shared" si="126"/>
        <v>5277830</v>
      </c>
      <c r="R4091">
        <f t="shared" si="125"/>
        <v>13.111449213028839</v>
      </c>
      <c r="U4091">
        <v>1116</v>
      </c>
      <c r="V4091">
        <v>608</v>
      </c>
      <c r="W4091">
        <v>1624</v>
      </c>
      <c r="X4091">
        <v>423</v>
      </c>
      <c r="Y4091">
        <v>72.5</v>
      </c>
      <c r="Z4091">
        <v>67.7</v>
      </c>
      <c r="AA4091">
        <v>77.400000000000006</v>
      </c>
    </row>
    <row r="4092" spans="1:27" x14ac:dyDescent="0.25">
      <c r="A4092" t="s">
        <v>265</v>
      </c>
      <c r="B4092" t="s">
        <v>194</v>
      </c>
      <c r="C4092" s="76">
        <v>44000</v>
      </c>
      <c r="D4092">
        <v>8056</v>
      </c>
      <c r="E4092">
        <v>5154</v>
      </c>
      <c r="F4092">
        <v>10958</v>
      </c>
      <c r="G4092">
        <v>3137</v>
      </c>
      <c r="H4092">
        <v>72</v>
      </c>
      <c r="I4092">
        <v>66.8</v>
      </c>
      <c r="J4092">
        <v>77.099999999999994</v>
      </c>
      <c r="K4092">
        <v>682</v>
      </c>
      <c r="L4092">
        <v>408</v>
      </c>
      <c r="M4092">
        <v>955</v>
      </c>
      <c r="N4092">
        <v>6.1</v>
      </c>
      <c r="O4092">
        <v>4.5999999999999996</v>
      </c>
      <c r="P4092">
        <v>7.6</v>
      </c>
      <c r="Q4092">
        <f t="shared" si="126"/>
        <v>5277830</v>
      </c>
      <c r="R4092">
        <f t="shared" si="125"/>
        <v>12.921977403592008</v>
      </c>
      <c r="U4092">
        <v>1194</v>
      </c>
      <c r="V4092">
        <v>622</v>
      </c>
      <c r="W4092">
        <v>1767</v>
      </c>
      <c r="X4092">
        <v>469</v>
      </c>
      <c r="Y4092">
        <v>71.8</v>
      </c>
      <c r="Z4092">
        <v>66</v>
      </c>
      <c r="AA4092">
        <v>77.599999999999994</v>
      </c>
    </row>
    <row r="4093" spans="1:27" x14ac:dyDescent="0.25">
      <c r="A4093" t="s">
        <v>265</v>
      </c>
      <c r="B4093" t="s">
        <v>194</v>
      </c>
      <c r="C4093" s="76">
        <v>44001</v>
      </c>
      <c r="D4093">
        <v>7846</v>
      </c>
      <c r="E4093">
        <v>5065</v>
      </c>
      <c r="F4093">
        <v>10627</v>
      </c>
      <c r="G4093">
        <v>3302</v>
      </c>
      <c r="H4093">
        <v>70.400000000000006</v>
      </c>
      <c r="I4093">
        <v>65</v>
      </c>
      <c r="J4093">
        <v>75.8</v>
      </c>
      <c r="K4093">
        <v>686</v>
      </c>
      <c r="L4093">
        <v>426</v>
      </c>
      <c r="M4093">
        <v>947</v>
      </c>
      <c r="N4093">
        <v>6.2</v>
      </c>
      <c r="O4093">
        <v>4.8</v>
      </c>
      <c r="P4093">
        <v>7.5</v>
      </c>
      <c r="Q4093">
        <f t="shared" si="126"/>
        <v>5277830</v>
      </c>
      <c r="R4093">
        <f t="shared" si="125"/>
        <v>12.99776612736674</v>
      </c>
      <c r="U4093">
        <v>1175</v>
      </c>
      <c r="V4093">
        <v>620</v>
      </c>
      <c r="W4093">
        <v>1730</v>
      </c>
      <c r="X4093">
        <v>480</v>
      </c>
      <c r="Y4093">
        <v>71</v>
      </c>
      <c r="Z4093">
        <v>64.7</v>
      </c>
      <c r="AA4093">
        <v>77.3</v>
      </c>
    </row>
    <row r="4094" spans="1:27" x14ac:dyDescent="0.25">
      <c r="A4094" t="s">
        <v>265</v>
      </c>
      <c r="B4094" t="s">
        <v>194</v>
      </c>
      <c r="C4094" s="76">
        <v>44002</v>
      </c>
      <c r="D4094">
        <v>7588</v>
      </c>
      <c r="E4094">
        <v>4902</v>
      </c>
      <c r="F4094">
        <v>10274</v>
      </c>
      <c r="G4094">
        <v>3559</v>
      </c>
      <c r="H4094">
        <v>68.099999999999994</v>
      </c>
      <c r="I4094">
        <v>62.8</v>
      </c>
      <c r="J4094">
        <v>73.3</v>
      </c>
      <c r="K4094">
        <v>715</v>
      </c>
      <c r="L4094">
        <v>444</v>
      </c>
      <c r="M4094">
        <v>986</v>
      </c>
      <c r="N4094">
        <v>6.4</v>
      </c>
      <c r="O4094">
        <v>5.0999999999999996</v>
      </c>
      <c r="P4094">
        <v>7.8</v>
      </c>
      <c r="Q4094">
        <f t="shared" si="126"/>
        <v>5277830</v>
      </c>
      <c r="R4094">
        <f t="shared" si="125"/>
        <v>13.547234374733556</v>
      </c>
      <c r="U4094">
        <v>1175</v>
      </c>
      <c r="V4094">
        <v>620</v>
      </c>
      <c r="W4094">
        <v>1730</v>
      </c>
      <c r="X4094">
        <v>474</v>
      </c>
      <c r="Y4094">
        <v>71.3</v>
      </c>
      <c r="Z4094">
        <v>65.2</v>
      </c>
      <c r="AA4094">
        <v>77.3</v>
      </c>
    </row>
    <row r="4095" spans="1:27" x14ac:dyDescent="0.25">
      <c r="A4095" t="s">
        <v>265</v>
      </c>
      <c r="B4095" t="s">
        <v>194</v>
      </c>
      <c r="C4095" s="76">
        <v>44003</v>
      </c>
      <c r="D4095">
        <v>7222</v>
      </c>
      <c r="E4095">
        <v>4647</v>
      </c>
      <c r="F4095">
        <v>9797</v>
      </c>
      <c r="G4095">
        <v>3783</v>
      </c>
      <c r="H4095">
        <v>65.599999999999994</v>
      </c>
      <c r="I4095">
        <v>60.5</v>
      </c>
      <c r="J4095">
        <v>70.8</v>
      </c>
      <c r="K4095">
        <v>788</v>
      </c>
      <c r="L4095">
        <v>497</v>
      </c>
      <c r="M4095">
        <v>1079</v>
      </c>
      <c r="N4095">
        <v>7.2</v>
      </c>
      <c r="O4095">
        <v>5.8</v>
      </c>
      <c r="P4095">
        <v>8.5</v>
      </c>
      <c r="Q4095">
        <f t="shared" si="126"/>
        <v>5277830</v>
      </c>
      <c r="R4095">
        <f t="shared" si="125"/>
        <v>14.930378583622437</v>
      </c>
      <c r="U4095">
        <v>1145</v>
      </c>
      <c r="V4095">
        <v>599</v>
      </c>
      <c r="W4095">
        <v>1691</v>
      </c>
      <c r="X4095">
        <v>494</v>
      </c>
      <c r="Y4095">
        <v>69.900000000000006</v>
      </c>
      <c r="Z4095">
        <v>63.8</v>
      </c>
      <c r="AA4095">
        <v>75.900000000000006</v>
      </c>
    </row>
    <row r="4096" spans="1:27" x14ac:dyDescent="0.25">
      <c r="A4096" t="s">
        <v>265</v>
      </c>
      <c r="B4096" t="s">
        <v>194</v>
      </c>
      <c r="C4096" s="76">
        <v>44004</v>
      </c>
      <c r="D4096">
        <v>7638</v>
      </c>
      <c r="E4096">
        <v>4921</v>
      </c>
      <c r="F4096">
        <v>10354</v>
      </c>
      <c r="G4096">
        <v>3580</v>
      </c>
      <c r="H4096">
        <v>68.099999999999994</v>
      </c>
      <c r="I4096">
        <v>62.6</v>
      </c>
      <c r="J4096">
        <v>73.599999999999994</v>
      </c>
      <c r="K4096">
        <v>811</v>
      </c>
      <c r="L4096">
        <v>500</v>
      </c>
      <c r="M4096">
        <v>1121</v>
      </c>
      <c r="N4096">
        <v>7.2</v>
      </c>
      <c r="O4096">
        <v>5.8</v>
      </c>
      <c r="P4096">
        <v>8.6</v>
      </c>
      <c r="Q4096">
        <f t="shared" si="126"/>
        <v>5277830</v>
      </c>
      <c r="R4096">
        <f t="shared" si="125"/>
        <v>15.366163745327151</v>
      </c>
      <c r="U4096">
        <v>1186</v>
      </c>
      <c r="V4096">
        <v>624</v>
      </c>
      <c r="W4096">
        <v>1748</v>
      </c>
      <c r="X4096">
        <v>493</v>
      </c>
      <c r="Y4096">
        <v>70.599999999999994</v>
      </c>
      <c r="Z4096">
        <v>64.400000000000006</v>
      </c>
      <c r="AA4096">
        <v>76.900000000000006</v>
      </c>
    </row>
    <row r="4097" spans="1:27" x14ac:dyDescent="0.25">
      <c r="A4097" t="s">
        <v>265</v>
      </c>
      <c r="B4097" t="s">
        <v>194</v>
      </c>
      <c r="C4097" s="76">
        <v>44005</v>
      </c>
      <c r="D4097">
        <v>8218</v>
      </c>
      <c r="E4097">
        <v>5320</v>
      </c>
      <c r="F4097">
        <v>11116</v>
      </c>
      <c r="G4097">
        <v>3008</v>
      </c>
      <c r="H4097">
        <v>73.2</v>
      </c>
      <c r="I4097">
        <v>67.7</v>
      </c>
      <c r="J4097">
        <v>78.7</v>
      </c>
      <c r="K4097">
        <v>867</v>
      </c>
      <c r="L4097">
        <v>555</v>
      </c>
      <c r="M4097">
        <v>1180</v>
      </c>
      <c r="N4097">
        <v>7.7</v>
      </c>
      <c r="O4097">
        <v>6.3</v>
      </c>
      <c r="P4097">
        <v>9.1</v>
      </c>
      <c r="Q4097">
        <f t="shared" si="126"/>
        <v>5277830</v>
      </c>
      <c r="R4097">
        <f t="shared" si="125"/>
        <v>16.427205878173414</v>
      </c>
      <c r="U4097">
        <v>1220</v>
      </c>
      <c r="V4097">
        <v>659</v>
      </c>
      <c r="W4097">
        <v>1782</v>
      </c>
      <c r="X4097">
        <v>458</v>
      </c>
      <c r="Y4097">
        <v>72.7</v>
      </c>
      <c r="Z4097">
        <v>67.599999999999994</v>
      </c>
      <c r="AA4097">
        <v>77.8</v>
      </c>
    </row>
    <row r="4098" spans="1:27" x14ac:dyDescent="0.25">
      <c r="A4098" t="s">
        <v>265</v>
      </c>
      <c r="B4098" t="s">
        <v>194</v>
      </c>
      <c r="C4098" s="76">
        <v>44006</v>
      </c>
      <c r="D4098">
        <v>8235</v>
      </c>
      <c r="E4098">
        <v>5386</v>
      </c>
      <c r="F4098">
        <v>11085</v>
      </c>
      <c r="G4098">
        <v>2944</v>
      </c>
      <c r="H4098">
        <v>73.7</v>
      </c>
      <c r="I4098">
        <v>68.5</v>
      </c>
      <c r="J4098">
        <v>78.900000000000006</v>
      </c>
      <c r="K4098">
        <v>947</v>
      </c>
      <c r="L4098">
        <v>595</v>
      </c>
      <c r="M4098">
        <v>1300</v>
      </c>
      <c r="N4098">
        <v>8.5</v>
      </c>
      <c r="O4098">
        <v>6.9</v>
      </c>
      <c r="P4098">
        <v>10.1</v>
      </c>
      <c r="Q4098">
        <f t="shared" si="126"/>
        <v>5277830</v>
      </c>
      <c r="R4098">
        <f t="shared" si="125"/>
        <v>17.94298035366808</v>
      </c>
      <c r="U4098">
        <v>1237</v>
      </c>
      <c r="V4098">
        <v>660</v>
      </c>
      <c r="W4098">
        <v>1814</v>
      </c>
      <c r="X4098">
        <v>416</v>
      </c>
      <c r="Y4098">
        <v>74.8</v>
      </c>
      <c r="Z4098">
        <v>69.599999999999994</v>
      </c>
      <c r="AA4098">
        <v>80.099999999999994</v>
      </c>
    </row>
    <row r="4099" spans="1:27" x14ac:dyDescent="0.25">
      <c r="A4099" t="s">
        <v>265</v>
      </c>
      <c r="B4099" t="s">
        <v>194</v>
      </c>
      <c r="C4099" s="76">
        <v>44007</v>
      </c>
      <c r="D4099">
        <v>8316</v>
      </c>
      <c r="E4099">
        <v>5416</v>
      </c>
      <c r="F4099">
        <v>11217</v>
      </c>
      <c r="G4099">
        <v>2912</v>
      </c>
      <c r="H4099">
        <v>74.099999999999994</v>
      </c>
      <c r="I4099">
        <v>69.099999999999994</v>
      </c>
      <c r="J4099">
        <v>79</v>
      </c>
      <c r="K4099">
        <v>944</v>
      </c>
      <c r="L4099">
        <v>593</v>
      </c>
      <c r="M4099">
        <v>1295</v>
      </c>
      <c r="N4099">
        <v>8.4</v>
      </c>
      <c r="O4099">
        <v>6.8</v>
      </c>
      <c r="P4099">
        <v>10</v>
      </c>
      <c r="Q4099">
        <f t="shared" si="126"/>
        <v>5277830</v>
      </c>
      <c r="R4099">
        <f t="shared" si="125"/>
        <v>17.886138810837032</v>
      </c>
      <c r="U4099">
        <v>1159</v>
      </c>
      <c r="V4099">
        <v>644</v>
      </c>
      <c r="W4099">
        <v>1675</v>
      </c>
      <c r="X4099">
        <v>394</v>
      </c>
      <c r="Y4099">
        <v>74.7</v>
      </c>
      <c r="Z4099">
        <v>68.7</v>
      </c>
      <c r="AA4099">
        <v>80.599999999999994</v>
      </c>
    </row>
    <row r="4100" spans="1:27" x14ac:dyDescent="0.25">
      <c r="A4100" t="s">
        <v>265</v>
      </c>
      <c r="B4100" t="s">
        <v>194</v>
      </c>
      <c r="C4100" s="76">
        <v>44008</v>
      </c>
      <c r="D4100">
        <v>8327</v>
      </c>
      <c r="E4100">
        <v>5439</v>
      </c>
      <c r="F4100">
        <v>11216</v>
      </c>
      <c r="G4100">
        <v>2930</v>
      </c>
      <c r="H4100">
        <v>74</v>
      </c>
      <c r="I4100">
        <v>69.2</v>
      </c>
      <c r="J4100">
        <v>78.7</v>
      </c>
      <c r="K4100">
        <v>934</v>
      </c>
      <c r="L4100">
        <v>591</v>
      </c>
      <c r="M4100">
        <v>1277</v>
      </c>
      <c r="N4100">
        <v>8.3000000000000007</v>
      </c>
      <c r="O4100">
        <v>6.7</v>
      </c>
      <c r="P4100">
        <v>9.9</v>
      </c>
      <c r="Q4100">
        <f t="shared" si="126"/>
        <v>5277830</v>
      </c>
      <c r="R4100">
        <f t="shared" si="125"/>
        <v>17.696667001400197</v>
      </c>
      <c r="U4100">
        <v>1135</v>
      </c>
      <c r="V4100">
        <v>635</v>
      </c>
      <c r="W4100">
        <v>1634</v>
      </c>
      <c r="X4100">
        <v>424</v>
      </c>
      <c r="Y4100">
        <v>72.8</v>
      </c>
      <c r="Z4100">
        <v>67.900000000000006</v>
      </c>
      <c r="AA4100">
        <v>77.8</v>
      </c>
    </row>
    <row r="4101" spans="1:27" x14ac:dyDescent="0.25">
      <c r="A4101" t="s">
        <v>265</v>
      </c>
      <c r="B4101" t="s">
        <v>194</v>
      </c>
      <c r="C4101" s="76">
        <v>44009</v>
      </c>
      <c r="D4101">
        <v>7957</v>
      </c>
      <c r="E4101">
        <v>5197</v>
      </c>
      <c r="F4101">
        <v>10717</v>
      </c>
      <c r="G4101">
        <v>3312</v>
      </c>
      <c r="H4101">
        <v>70.599999999999994</v>
      </c>
      <c r="I4101">
        <v>66</v>
      </c>
      <c r="J4101">
        <v>75.2</v>
      </c>
      <c r="K4101">
        <v>998</v>
      </c>
      <c r="L4101">
        <v>633</v>
      </c>
      <c r="M4101">
        <v>1362</v>
      </c>
      <c r="N4101">
        <v>8.9</v>
      </c>
      <c r="O4101">
        <v>7.3</v>
      </c>
      <c r="P4101">
        <v>10.4</v>
      </c>
      <c r="Q4101">
        <f t="shared" si="126"/>
        <v>5277830</v>
      </c>
      <c r="R4101">
        <f t="shared" ref="R4101:R4164" si="127">K4101/(Q4101)*100000</f>
        <v>18.909286581795925</v>
      </c>
      <c r="U4101">
        <v>1070</v>
      </c>
      <c r="V4101">
        <v>585</v>
      </c>
      <c r="W4101">
        <v>1555</v>
      </c>
      <c r="X4101">
        <v>493</v>
      </c>
      <c r="Y4101">
        <v>68.5</v>
      </c>
      <c r="Z4101">
        <v>62.3</v>
      </c>
      <c r="AA4101">
        <v>74.599999999999994</v>
      </c>
    </row>
    <row r="4102" spans="1:27" x14ac:dyDescent="0.25">
      <c r="A4102" t="s">
        <v>265</v>
      </c>
      <c r="B4102" t="s">
        <v>194</v>
      </c>
      <c r="C4102" s="76">
        <v>44010</v>
      </c>
      <c r="D4102">
        <v>7184</v>
      </c>
      <c r="E4102">
        <v>4783</v>
      </c>
      <c r="F4102">
        <v>9585</v>
      </c>
      <c r="G4102">
        <v>4027</v>
      </c>
      <c r="H4102">
        <v>64.099999999999994</v>
      </c>
      <c r="I4102">
        <v>56.1</v>
      </c>
      <c r="J4102">
        <v>72</v>
      </c>
      <c r="K4102">
        <v>1068</v>
      </c>
      <c r="L4102">
        <v>671</v>
      </c>
      <c r="M4102">
        <v>1465</v>
      </c>
      <c r="N4102">
        <v>9.5</v>
      </c>
      <c r="O4102">
        <v>7.7</v>
      </c>
      <c r="P4102">
        <v>11.4</v>
      </c>
      <c r="Q4102">
        <f t="shared" si="126"/>
        <v>5277830</v>
      </c>
      <c r="R4102">
        <f t="shared" si="127"/>
        <v>20.23558924785376</v>
      </c>
      <c r="U4102">
        <v>1067</v>
      </c>
      <c r="V4102">
        <v>590</v>
      </c>
      <c r="W4102">
        <v>1544</v>
      </c>
      <c r="X4102">
        <v>501</v>
      </c>
      <c r="Y4102">
        <v>68</v>
      </c>
      <c r="Z4102">
        <v>62.4</v>
      </c>
      <c r="AA4102">
        <v>73.7</v>
      </c>
    </row>
    <row r="4103" spans="1:27" x14ac:dyDescent="0.25">
      <c r="A4103" t="s">
        <v>265</v>
      </c>
      <c r="B4103" t="s">
        <v>194</v>
      </c>
      <c r="C4103" s="76">
        <v>44011</v>
      </c>
      <c r="D4103">
        <v>7848</v>
      </c>
      <c r="E4103">
        <v>5076</v>
      </c>
      <c r="F4103">
        <v>10620</v>
      </c>
      <c r="G4103">
        <v>3466</v>
      </c>
      <c r="H4103">
        <v>69.400000000000006</v>
      </c>
      <c r="I4103">
        <v>64.2</v>
      </c>
      <c r="J4103">
        <v>74.5</v>
      </c>
      <c r="K4103">
        <v>1144</v>
      </c>
      <c r="L4103">
        <v>720</v>
      </c>
      <c r="M4103">
        <v>1568</v>
      </c>
      <c r="N4103">
        <v>10.1</v>
      </c>
      <c r="O4103">
        <v>8.1999999999999993</v>
      </c>
      <c r="P4103">
        <v>12</v>
      </c>
      <c r="Q4103">
        <f t="shared" si="126"/>
        <v>5277830</v>
      </c>
      <c r="R4103">
        <f t="shared" si="127"/>
        <v>21.675574999573687</v>
      </c>
      <c r="U4103">
        <v>1067</v>
      </c>
      <c r="V4103">
        <v>580</v>
      </c>
      <c r="W4103">
        <v>1555</v>
      </c>
      <c r="X4103">
        <v>496</v>
      </c>
      <c r="Y4103">
        <v>68.3</v>
      </c>
      <c r="Z4103">
        <v>61.6</v>
      </c>
      <c r="AA4103">
        <v>75</v>
      </c>
    </row>
    <row r="4104" spans="1:27" x14ac:dyDescent="0.25">
      <c r="A4104" t="s">
        <v>265</v>
      </c>
      <c r="B4104" t="s">
        <v>194</v>
      </c>
      <c r="C4104" s="76">
        <v>44012</v>
      </c>
      <c r="D4104">
        <v>8244</v>
      </c>
      <c r="E4104">
        <v>5367</v>
      </c>
      <c r="F4104">
        <v>11122</v>
      </c>
      <c r="G4104">
        <v>3085</v>
      </c>
      <c r="H4104">
        <v>72.8</v>
      </c>
      <c r="I4104">
        <v>68.099999999999994</v>
      </c>
      <c r="J4104">
        <v>77.400000000000006</v>
      </c>
      <c r="K4104">
        <v>1090</v>
      </c>
      <c r="L4104">
        <v>675</v>
      </c>
      <c r="M4104">
        <v>1504</v>
      </c>
      <c r="N4104">
        <v>9.6</v>
      </c>
      <c r="O4104">
        <v>7.5</v>
      </c>
      <c r="P4104">
        <v>11.7</v>
      </c>
      <c r="Q4104">
        <f t="shared" si="126"/>
        <v>5277830</v>
      </c>
      <c r="R4104">
        <f t="shared" si="127"/>
        <v>20.652427228614791</v>
      </c>
      <c r="U4104">
        <v>1213</v>
      </c>
      <c r="V4104">
        <v>663</v>
      </c>
      <c r="W4104">
        <v>1763</v>
      </c>
      <c r="X4104">
        <v>452</v>
      </c>
      <c r="Y4104">
        <v>72.900000000000006</v>
      </c>
      <c r="Z4104">
        <v>68.3</v>
      </c>
      <c r="AA4104">
        <v>77.400000000000006</v>
      </c>
    </row>
    <row r="4105" spans="1:27" x14ac:dyDescent="0.25">
      <c r="A4105" t="s">
        <v>265</v>
      </c>
      <c r="B4105" t="s">
        <v>194</v>
      </c>
      <c r="C4105" s="76">
        <v>44013</v>
      </c>
      <c r="D4105">
        <v>8318</v>
      </c>
      <c r="E4105">
        <v>5470</v>
      </c>
      <c r="F4105">
        <v>11167</v>
      </c>
      <c r="G4105">
        <v>3042</v>
      </c>
      <c r="H4105">
        <v>73.2</v>
      </c>
      <c r="I4105">
        <v>68.8</v>
      </c>
      <c r="J4105">
        <v>77.599999999999994</v>
      </c>
      <c r="K4105">
        <v>1227</v>
      </c>
      <c r="L4105">
        <v>785</v>
      </c>
      <c r="M4105">
        <v>1669</v>
      </c>
      <c r="N4105">
        <v>10.8</v>
      </c>
      <c r="O4105">
        <v>8.8000000000000007</v>
      </c>
      <c r="P4105">
        <v>12.8</v>
      </c>
      <c r="Q4105">
        <f t="shared" si="126"/>
        <v>5277830</v>
      </c>
      <c r="R4105">
        <f t="shared" si="127"/>
        <v>23.248191017899401</v>
      </c>
      <c r="U4105">
        <v>1217</v>
      </c>
      <c r="V4105">
        <v>652</v>
      </c>
      <c r="W4105">
        <v>1782</v>
      </c>
      <c r="X4105">
        <v>456</v>
      </c>
      <c r="Y4105">
        <v>72.7</v>
      </c>
      <c r="Z4105">
        <v>67.2</v>
      </c>
      <c r="AA4105">
        <v>78.3</v>
      </c>
    </row>
    <row r="4106" spans="1:27" x14ac:dyDescent="0.25">
      <c r="A4106" t="s">
        <v>265</v>
      </c>
      <c r="B4106" t="s">
        <v>194</v>
      </c>
      <c r="C4106" s="76">
        <v>44014</v>
      </c>
      <c r="D4106">
        <v>8336</v>
      </c>
      <c r="E4106">
        <v>5451</v>
      </c>
      <c r="F4106">
        <v>11220</v>
      </c>
      <c r="G4106">
        <v>3070</v>
      </c>
      <c r="H4106">
        <v>73.099999999999994</v>
      </c>
      <c r="I4106">
        <v>68.7</v>
      </c>
      <c r="J4106">
        <v>77.400000000000006</v>
      </c>
      <c r="K4106">
        <v>1208</v>
      </c>
      <c r="L4106">
        <v>792</v>
      </c>
      <c r="M4106">
        <v>1624</v>
      </c>
      <c r="N4106">
        <v>10.6</v>
      </c>
      <c r="O4106">
        <v>8.9</v>
      </c>
      <c r="P4106">
        <v>12.3</v>
      </c>
      <c r="Q4106">
        <f t="shared" si="126"/>
        <v>5277830</v>
      </c>
      <c r="R4106">
        <f t="shared" si="127"/>
        <v>22.888194579969419</v>
      </c>
      <c r="U4106">
        <v>1276</v>
      </c>
      <c r="V4106">
        <v>690</v>
      </c>
      <c r="W4106">
        <v>1861</v>
      </c>
      <c r="X4106">
        <v>409</v>
      </c>
      <c r="Y4106">
        <v>75.7</v>
      </c>
      <c r="Z4106">
        <v>70.099999999999994</v>
      </c>
      <c r="AA4106">
        <v>81.400000000000006</v>
      </c>
    </row>
    <row r="4107" spans="1:27" x14ac:dyDescent="0.25">
      <c r="A4107" t="s">
        <v>265</v>
      </c>
      <c r="B4107" t="s">
        <v>194</v>
      </c>
      <c r="C4107" s="76">
        <v>44015</v>
      </c>
      <c r="D4107">
        <v>8148</v>
      </c>
      <c r="E4107">
        <v>5323</v>
      </c>
      <c r="F4107">
        <v>10973</v>
      </c>
      <c r="G4107">
        <v>3261</v>
      </c>
      <c r="H4107">
        <v>71.400000000000006</v>
      </c>
      <c r="I4107">
        <v>67.2</v>
      </c>
      <c r="J4107">
        <v>75.599999999999994</v>
      </c>
      <c r="K4107">
        <v>1258</v>
      </c>
      <c r="L4107">
        <v>827</v>
      </c>
      <c r="M4107">
        <v>1689</v>
      </c>
      <c r="N4107">
        <v>11</v>
      </c>
      <c r="O4107">
        <v>9.4</v>
      </c>
      <c r="P4107">
        <v>12.7</v>
      </c>
      <c r="Q4107">
        <f t="shared" si="126"/>
        <v>5277830</v>
      </c>
      <c r="R4107">
        <f t="shared" si="127"/>
        <v>23.835553627153583</v>
      </c>
      <c r="U4107">
        <v>1240</v>
      </c>
      <c r="V4107">
        <v>665</v>
      </c>
      <c r="W4107">
        <v>1816</v>
      </c>
      <c r="X4107">
        <v>471</v>
      </c>
      <c r="Y4107">
        <v>72.5</v>
      </c>
      <c r="Z4107">
        <v>66.3</v>
      </c>
      <c r="AA4107">
        <v>78.599999999999994</v>
      </c>
    </row>
    <row r="4108" spans="1:27" x14ac:dyDescent="0.25">
      <c r="A4108" t="s">
        <v>265</v>
      </c>
      <c r="B4108" t="s">
        <v>194</v>
      </c>
      <c r="C4108" s="76">
        <v>44016</v>
      </c>
      <c r="D4108">
        <v>7664</v>
      </c>
      <c r="E4108">
        <v>4974</v>
      </c>
      <c r="F4108">
        <v>10353</v>
      </c>
      <c r="G4108">
        <v>3730</v>
      </c>
      <c r="H4108">
        <v>67.3</v>
      </c>
      <c r="I4108">
        <v>63</v>
      </c>
      <c r="J4108">
        <v>71.5</v>
      </c>
      <c r="K4108">
        <v>1321</v>
      </c>
      <c r="L4108">
        <v>871</v>
      </c>
      <c r="M4108">
        <v>1772</v>
      </c>
      <c r="N4108">
        <v>11.6</v>
      </c>
      <c r="O4108">
        <v>10.1</v>
      </c>
      <c r="P4108">
        <v>13.1</v>
      </c>
      <c r="Q4108">
        <f t="shared" si="126"/>
        <v>5277830</v>
      </c>
      <c r="R4108">
        <f t="shared" si="127"/>
        <v>25.029226026605631</v>
      </c>
      <c r="U4108">
        <v>1250</v>
      </c>
      <c r="V4108">
        <v>675</v>
      </c>
      <c r="W4108">
        <v>1826</v>
      </c>
      <c r="X4108">
        <v>455</v>
      </c>
      <c r="Y4108">
        <v>73.3</v>
      </c>
      <c r="Z4108">
        <v>67.5</v>
      </c>
      <c r="AA4108">
        <v>79.099999999999994</v>
      </c>
    </row>
    <row r="4109" spans="1:27" x14ac:dyDescent="0.25">
      <c r="A4109" t="s">
        <v>265</v>
      </c>
      <c r="B4109" t="s">
        <v>194</v>
      </c>
      <c r="C4109" s="76">
        <v>44017</v>
      </c>
      <c r="D4109">
        <v>7625</v>
      </c>
      <c r="E4109">
        <v>4916</v>
      </c>
      <c r="F4109">
        <v>10334</v>
      </c>
      <c r="G4109">
        <v>3756</v>
      </c>
      <c r="H4109">
        <v>67</v>
      </c>
      <c r="I4109">
        <v>62.4</v>
      </c>
      <c r="J4109">
        <v>71.599999999999994</v>
      </c>
      <c r="K4109">
        <v>1392</v>
      </c>
      <c r="L4109">
        <v>923</v>
      </c>
      <c r="M4109">
        <v>1861</v>
      </c>
      <c r="N4109">
        <v>12.2</v>
      </c>
      <c r="O4109">
        <v>10.5</v>
      </c>
      <c r="P4109">
        <v>14</v>
      </c>
      <c r="Q4109">
        <f t="shared" si="126"/>
        <v>5277830</v>
      </c>
      <c r="R4109">
        <f t="shared" si="127"/>
        <v>26.374475873607146</v>
      </c>
      <c r="U4109">
        <v>1223</v>
      </c>
      <c r="V4109">
        <v>664</v>
      </c>
      <c r="W4109">
        <v>1782</v>
      </c>
      <c r="X4109">
        <v>479</v>
      </c>
      <c r="Y4109">
        <v>71.900000000000006</v>
      </c>
      <c r="Z4109">
        <v>66.099999999999994</v>
      </c>
      <c r="AA4109">
        <v>77.599999999999994</v>
      </c>
    </row>
    <row r="4110" spans="1:27" x14ac:dyDescent="0.25">
      <c r="A4110" t="s">
        <v>265</v>
      </c>
      <c r="B4110" t="s">
        <v>194</v>
      </c>
      <c r="C4110" s="76">
        <v>44018</v>
      </c>
      <c r="D4110">
        <v>7933</v>
      </c>
      <c r="E4110">
        <v>5124</v>
      </c>
      <c r="F4110">
        <v>10742</v>
      </c>
      <c r="G4110">
        <v>3449</v>
      </c>
      <c r="H4110">
        <v>69.7</v>
      </c>
      <c r="I4110">
        <v>65</v>
      </c>
      <c r="J4110">
        <v>74.400000000000006</v>
      </c>
      <c r="K4110">
        <v>1389</v>
      </c>
      <c r="L4110">
        <v>913</v>
      </c>
      <c r="M4110">
        <v>1866</v>
      </c>
      <c r="N4110">
        <v>12.2</v>
      </c>
      <c r="O4110">
        <v>10.4</v>
      </c>
      <c r="P4110">
        <v>14</v>
      </c>
      <c r="Q4110">
        <f t="shared" si="126"/>
        <v>5277830</v>
      </c>
      <c r="R4110">
        <f t="shared" si="127"/>
        <v>26.317634330776098</v>
      </c>
      <c r="U4110">
        <v>1256</v>
      </c>
      <c r="V4110">
        <v>684</v>
      </c>
      <c r="W4110">
        <v>1828</v>
      </c>
      <c r="X4110">
        <v>473</v>
      </c>
      <c r="Y4110">
        <v>72.599999999999994</v>
      </c>
      <c r="Z4110">
        <v>66.2</v>
      </c>
      <c r="AA4110">
        <v>79.099999999999994</v>
      </c>
    </row>
    <row r="4111" spans="1:27" x14ac:dyDescent="0.25">
      <c r="A4111" t="s">
        <v>265</v>
      </c>
      <c r="B4111" t="s">
        <v>194</v>
      </c>
      <c r="C4111" s="76">
        <v>44019</v>
      </c>
      <c r="D4111">
        <v>8408</v>
      </c>
      <c r="E4111">
        <v>5445</v>
      </c>
      <c r="F4111">
        <v>11370</v>
      </c>
      <c r="G4111">
        <v>2902</v>
      </c>
      <c r="H4111">
        <v>74.3</v>
      </c>
      <c r="I4111">
        <v>69.599999999999994</v>
      </c>
      <c r="J4111">
        <v>79.099999999999994</v>
      </c>
      <c r="K4111">
        <v>1453</v>
      </c>
      <c r="L4111">
        <v>959</v>
      </c>
      <c r="M4111">
        <v>1947</v>
      </c>
      <c r="N4111">
        <v>12.8</v>
      </c>
      <c r="O4111">
        <v>11</v>
      </c>
      <c r="P4111">
        <v>14.7</v>
      </c>
      <c r="Q4111">
        <f t="shared" si="126"/>
        <v>5277830</v>
      </c>
      <c r="R4111">
        <f t="shared" si="127"/>
        <v>27.530253911171826</v>
      </c>
      <c r="U4111">
        <v>1251</v>
      </c>
      <c r="V4111">
        <v>691</v>
      </c>
      <c r="W4111">
        <v>1811</v>
      </c>
      <c r="X4111">
        <v>447</v>
      </c>
      <c r="Y4111">
        <v>73.7</v>
      </c>
      <c r="Z4111">
        <v>67.099999999999994</v>
      </c>
      <c r="AA4111">
        <v>80.2</v>
      </c>
    </row>
    <row r="4112" spans="1:27" x14ac:dyDescent="0.25">
      <c r="A4112" t="s">
        <v>266</v>
      </c>
      <c r="B4112" t="s">
        <v>218</v>
      </c>
      <c r="C4112" s="76">
        <v>43922</v>
      </c>
      <c r="D4112">
        <v>348</v>
      </c>
      <c r="E4112">
        <v>110</v>
      </c>
      <c r="F4112">
        <v>585</v>
      </c>
      <c r="G4112">
        <v>1177</v>
      </c>
      <c r="H4112">
        <v>22.8</v>
      </c>
      <c r="I4112">
        <v>17.899999999999999</v>
      </c>
      <c r="J4112">
        <v>27.7</v>
      </c>
      <c r="K4112">
        <v>11</v>
      </c>
      <c r="L4112">
        <v>0</v>
      </c>
      <c r="M4112">
        <v>24</v>
      </c>
      <c r="N4112">
        <v>0.7</v>
      </c>
      <c r="O4112">
        <v>0</v>
      </c>
      <c r="P4112">
        <v>1.4</v>
      </c>
      <c r="Q4112">
        <f t="shared" si="126"/>
        <v>896581</v>
      </c>
      <c r="R4112">
        <f t="shared" si="127"/>
        <v>1.2268830144738736</v>
      </c>
      <c r="U4112">
        <v>10</v>
      </c>
      <c r="V4112">
        <v>0</v>
      </c>
      <c r="W4112">
        <v>30</v>
      </c>
      <c r="X4112">
        <v>70</v>
      </c>
      <c r="Y4112">
        <v>12.5</v>
      </c>
      <c r="Z4112">
        <v>0</v>
      </c>
      <c r="AA4112">
        <v>27.1</v>
      </c>
    </row>
    <row r="4113" spans="1:27" x14ac:dyDescent="0.25">
      <c r="A4113" t="s">
        <v>266</v>
      </c>
      <c r="B4113" t="s">
        <v>218</v>
      </c>
      <c r="C4113" s="76">
        <v>43923</v>
      </c>
      <c r="D4113">
        <v>418</v>
      </c>
      <c r="E4113">
        <v>109</v>
      </c>
      <c r="F4113">
        <v>728</v>
      </c>
      <c r="G4113">
        <v>1106</v>
      </c>
      <c r="H4113">
        <v>27.4</v>
      </c>
      <c r="I4113">
        <v>23.2</v>
      </c>
      <c r="J4113">
        <v>31.7</v>
      </c>
      <c r="K4113">
        <v>16</v>
      </c>
      <c r="L4113">
        <v>0</v>
      </c>
      <c r="M4113">
        <v>40</v>
      </c>
      <c r="N4113">
        <v>1.1000000000000001</v>
      </c>
      <c r="O4113">
        <v>0</v>
      </c>
      <c r="P4113">
        <v>2.2999999999999998</v>
      </c>
      <c r="Q4113">
        <f t="shared" si="126"/>
        <v>896581</v>
      </c>
      <c r="R4113">
        <f t="shared" si="127"/>
        <v>1.7845571119619981</v>
      </c>
      <c r="U4113">
        <v>21</v>
      </c>
      <c r="V4113">
        <v>0</v>
      </c>
      <c r="W4113">
        <v>53</v>
      </c>
      <c r="X4113">
        <v>59</v>
      </c>
      <c r="Y4113">
        <v>26.3</v>
      </c>
      <c r="Z4113">
        <v>13.7</v>
      </c>
      <c r="AA4113">
        <v>38.9</v>
      </c>
    </row>
    <row r="4114" spans="1:27" x14ac:dyDescent="0.25">
      <c r="A4114" t="s">
        <v>266</v>
      </c>
      <c r="B4114" t="s">
        <v>218</v>
      </c>
      <c r="C4114" s="76">
        <v>43924</v>
      </c>
      <c r="D4114">
        <v>389</v>
      </c>
      <c r="E4114">
        <v>104</v>
      </c>
      <c r="F4114">
        <v>674</v>
      </c>
      <c r="G4114">
        <v>1183</v>
      </c>
      <c r="H4114">
        <v>24.7</v>
      </c>
      <c r="I4114">
        <v>20.399999999999999</v>
      </c>
      <c r="J4114">
        <v>29</v>
      </c>
      <c r="K4114">
        <v>19</v>
      </c>
      <c r="L4114">
        <v>0</v>
      </c>
      <c r="M4114">
        <v>42</v>
      </c>
      <c r="N4114">
        <v>1.2</v>
      </c>
      <c r="O4114">
        <v>0.1</v>
      </c>
      <c r="P4114">
        <v>2.2999999999999998</v>
      </c>
      <c r="Q4114">
        <f t="shared" si="126"/>
        <v>896581</v>
      </c>
      <c r="R4114">
        <f t="shared" si="127"/>
        <v>2.1191615704548723</v>
      </c>
      <c r="U4114">
        <v>5</v>
      </c>
      <c r="V4114">
        <v>0</v>
      </c>
      <c r="W4114">
        <v>15</v>
      </c>
      <c r="X4114">
        <v>68</v>
      </c>
      <c r="Y4114">
        <v>6.9</v>
      </c>
      <c r="Z4114">
        <v>0</v>
      </c>
      <c r="AA4114">
        <v>14.5</v>
      </c>
    </row>
    <row r="4115" spans="1:27" x14ac:dyDescent="0.25">
      <c r="A4115" t="s">
        <v>266</v>
      </c>
      <c r="B4115" t="s">
        <v>218</v>
      </c>
      <c r="C4115" s="76">
        <v>43925</v>
      </c>
      <c r="D4115">
        <v>297</v>
      </c>
      <c r="E4115">
        <v>102</v>
      </c>
      <c r="F4115">
        <v>491</v>
      </c>
      <c r="G4115">
        <v>1274</v>
      </c>
      <c r="H4115">
        <v>18.899999999999999</v>
      </c>
      <c r="I4115">
        <v>12.1</v>
      </c>
      <c r="J4115">
        <v>25.7</v>
      </c>
      <c r="K4115">
        <v>39</v>
      </c>
      <c r="L4115">
        <v>0</v>
      </c>
      <c r="M4115">
        <v>92</v>
      </c>
      <c r="N4115">
        <v>2.5</v>
      </c>
      <c r="O4115">
        <v>0</v>
      </c>
      <c r="P4115">
        <v>4.9000000000000004</v>
      </c>
      <c r="Q4115">
        <f t="shared" si="126"/>
        <v>896581</v>
      </c>
      <c r="R4115">
        <f t="shared" si="127"/>
        <v>4.3498579604073697</v>
      </c>
      <c r="U4115">
        <v>11</v>
      </c>
      <c r="V4115">
        <v>0</v>
      </c>
      <c r="W4115">
        <v>26</v>
      </c>
      <c r="X4115">
        <v>199</v>
      </c>
      <c r="Y4115">
        <v>5.2</v>
      </c>
      <c r="Z4115">
        <v>0</v>
      </c>
      <c r="AA4115">
        <v>13.7</v>
      </c>
    </row>
    <row r="4116" spans="1:27" x14ac:dyDescent="0.25">
      <c r="A4116" t="s">
        <v>266</v>
      </c>
      <c r="B4116" t="s">
        <v>218</v>
      </c>
      <c r="C4116" s="76">
        <v>43926</v>
      </c>
      <c r="D4116">
        <v>275</v>
      </c>
      <c r="E4116">
        <v>76</v>
      </c>
      <c r="F4116">
        <v>474</v>
      </c>
      <c r="G4116">
        <v>1296</v>
      </c>
      <c r="H4116">
        <v>17.399999999999999</v>
      </c>
      <c r="I4116">
        <v>11.3</v>
      </c>
      <c r="J4116">
        <v>23.5</v>
      </c>
      <c r="K4116">
        <v>22</v>
      </c>
      <c r="L4116">
        <v>0</v>
      </c>
      <c r="M4116">
        <v>49</v>
      </c>
      <c r="N4116">
        <v>1.4</v>
      </c>
      <c r="O4116">
        <v>0.1</v>
      </c>
      <c r="P4116">
        <v>2.7</v>
      </c>
      <c r="Q4116">
        <f t="shared" si="126"/>
        <v>896581</v>
      </c>
      <c r="R4116">
        <f t="shared" si="127"/>
        <v>2.4537660289477472</v>
      </c>
      <c r="U4116">
        <v>8</v>
      </c>
      <c r="V4116">
        <v>0</v>
      </c>
      <c r="W4116">
        <v>27</v>
      </c>
      <c r="X4116">
        <v>65</v>
      </c>
      <c r="Y4116">
        <v>10.9</v>
      </c>
      <c r="Z4116">
        <v>0</v>
      </c>
      <c r="AA4116">
        <v>37.9</v>
      </c>
    </row>
    <row r="4117" spans="1:27" x14ac:dyDescent="0.25">
      <c r="A4117" t="s">
        <v>266</v>
      </c>
      <c r="B4117" t="s">
        <v>218</v>
      </c>
      <c r="C4117" s="76">
        <v>43927</v>
      </c>
      <c r="D4117">
        <v>318</v>
      </c>
      <c r="E4117">
        <v>111</v>
      </c>
      <c r="F4117">
        <v>524</v>
      </c>
      <c r="G4117">
        <v>1251</v>
      </c>
      <c r="H4117">
        <v>20.3</v>
      </c>
      <c r="I4117">
        <v>12.5</v>
      </c>
      <c r="J4117">
        <v>28</v>
      </c>
      <c r="K4117">
        <v>25</v>
      </c>
      <c r="L4117">
        <v>0</v>
      </c>
      <c r="M4117">
        <v>65</v>
      </c>
      <c r="N4117">
        <v>1.6</v>
      </c>
      <c r="O4117">
        <v>0</v>
      </c>
      <c r="P4117">
        <v>3.5</v>
      </c>
      <c r="Q4117">
        <f t="shared" si="126"/>
        <v>896581</v>
      </c>
      <c r="R4117">
        <f t="shared" si="127"/>
        <v>2.7883704874406217</v>
      </c>
      <c r="U4117">
        <v>5</v>
      </c>
      <c r="V4117">
        <v>0</v>
      </c>
      <c r="W4117">
        <v>15</v>
      </c>
      <c r="X4117">
        <v>67</v>
      </c>
      <c r="Y4117">
        <v>6.9</v>
      </c>
      <c r="Z4117">
        <v>0</v>
      </c>
      <c r="AA4117">
        <v>14.6</v>
      </c>
    </row>
    <row r="4118" spans="1:27" x14ac:dyDescent="0.25">
      <c r="A4118" t="s">
        <v>266</v>
      </c>
      <c r="B4118" t="s">
        <v>218</v>
      </c>
      <c r="C4118" s="76">
        <v>43928</v>
      </c>
      <c r="D4118">
        <v>333</v>
      </c>
      <c r="E4118">
        <v>98</v>
      </c>
      <c r="F4118">
        <v>568</v>
      </c>
      <c r="G4118">
        <v>1262</v>
      </c>
      <c r="H4118">
        <v>20.9</v>
      </c>
      <c r="I4118">
        <v>14.9</v>
      </c>
      <c r="J4118">
        <v>26.9</v>
      </c>
      <c r="K4118">
        <v>15</v>
      </c>
      <c r="L4118">
        <v>0</v>
      </c>
      <c r="M4118">
        <v>44</v>
      </c>
      <c r="N4118">
        <v>0.9</v>
      </c>
      <c r="O4118">
        <v>0</v>
      </c>
      <c r="P4118">
        <v>2.4</v>
      </c>
      <c r="Q4118">
        <f t="shared" si="126"/>
        <v>896581</v>
      </c>
      <c r="R4118">
        <f t="shared" si="127"/>
        <v>1.6730222924643732</v>
      </c>
      <c r="U4118">
        <v>16</v>
      </c>
      <c r="V4118">
        <v>0</v>
      </c>
      <c r="W4118">
        <v>39</v>
      </c>
      <c r="X4118">
        <v>62</v>
      </c>
      <c r="Y4118">
        <v>20.6</v>
      </c>
      <c r="Z4118">
        <v>13.9</v>
      </c>
      <c r="AA4118">
        <v>27.3</v>
      </c>
    </row>
    <row r="4119" spans="1:27" x14ac:dyDescent="0.25">
      <c r="A4119" t="s">
        <v>266</v>
      </c>
      <c r="B4119" t="s">
        <v>218</v>
      </c>
      <c r="C4119" s="76">
        <v>43929</v>
      </c>
      <c r="D4119">
        <v>370</v>
      </c>
      <c r="E4119">
        <v>96</v>
      </c>
      <c r="F4119">
        <v>644</v>
      </c>
      <c r="G4119">
        <v>1226</v>
      </c>
      <c r="H4119">
        <v>23.2</v>
      </c>
      <c r="I4119">
        <v>16.8</v>
      </c>
      <c r="J4119">
        <v>29.5</v>
      </c>
      <c r="K4119">
        <v>18</v>
      </c>
      <c r="L4119">
        <v>0</v>
      </c>
      <c r="M4119">
        <v>48</v>
      </c>
      <c r="N4119">
        <v>1.1000000000000001</v>
      </c>
      <c r="O4119">
        <v>0</v>
      </c>
      <c r="P4119">
        <v>2.5</v>
      </c>
      <c r="Q4119">
        <f t="shared" si="126"/>
        <v>896581</v>
      </c>
      <c r="R4119">
        <f t="shared" si="127"/>
        <v>2.0076267509572476</v>
      </c>
      <c r="U4119">
        <v>10</v>
      </c>
      <c r="V4119">
        <v>0</v>
      </c>
      <c r="W4119">
        <v>30</v>
      </c>
      <c r="X4119">
        <v>68</v>
      </c>
      <c r="Y4119">
        <v>12.9</v>
      </c>
      <c r="Z4119">
        <v>0</v>
      </c>
      <c r="AA4119">
        <v>27.7</v>
      </c>
    </row>
    <row r="4120" spans="1:27" x14ac:dyDescent="0.25">
      <c r="A4120" t="s">
        <v>266</v>
      </c>
      <c r="B4120" t="s">
        <v>218</v>
      </c>
      <c r="C4120" s="76">
        <v>43930</v>
      </c>
      <c r="D4120">
        <v>318</v>
      </c>
      <c r="E4120">
        <v>99</v>
      </c>
      <c r="F4120">
        <v>538</v>
      </c>
      <c r="G4120">
        <v>1218</v>
      </c>
      <c r="H4120">
        <v>20.7</v>
      </c>
      <c r="I4120">
        <v>11.1</v>
      </c>
      <c r="J4120">
        <v>30.4</v>
      </c>
      <c r="K4120">
        <v>20</v>
      </c>
      <c r="L4120">
        <v>0</v>
      </c>
      <c r="M4120">
        <v>47</v>
      </c>
      <c r="N4120">
        <v>1.3</v>
      </c>
      <c r="O4120">
        <v>0</v>
      </c>
      <c r="P4120">
        <v>2.8</v>
      </c>
      <c r="Q4120">
        <f t="shared" si="126"/>
        <v>896581</v>
      </c>
      <c r="R4120">
        <f t="shared" si="127"/>
        <v>2.2306963899524974</v>
      </c>
      <c r="U4120">
        <v>30</v>
      </c>
      <c r="V4120">
        <v>0</v>
      </c>
      <c r="W4120">
        <v>98</v>
      </c>
      <c r="X4120">
        <v>65</v>
      </c>
      <c r="Y4120">
        <v>31.9</v>
      </c>
      <c r="Z4120">
        <v>0</v>
      </c>
      <c r="AA4120">
        <v>85</v>
      </c>
    </row>
    <row r="4121" spans="1:27" x14ac:dyDescent="0.25">
      <c r="A4121" t="s">
        <v>266</v>
      </c>
      <c r="B4121" t="s">
        <v>218</v>
      </c>
      <c r="C4121" s="76">
        <v>43931</v>
      </c>
      <c r="D4121">
        <v>345</v>
      </c>
      <c r="E4121">
        <v>97</v>
      </c>
      <c r="F4121">
        <v>593</v>
      </c>
      <c r="G4121">
        <v>1180</v>
      </c>
      <c r="H4121">
        <v>22.6</v>
      </c>
      <c r="I4121">
        <v>12.6</v>
      </c>
      <c r="J4121">
        <v>32.700000000000003</v>
      </c>
      <c r="K4121">
        <v>18</v>
      </c>
      <c r="L4121">
        <v>0</v>
      </c>
      <c r="M4121">
        <v>43</v>
      </c>
      <c r="N4121">
        <v>1.2</v>
      </c>
      <c r="O4121">
        <v>0</v>
      </c>
      <c r="P4121">
        <v>2.6</v>
      </c>
      <c r="Q4121">
        <f t="shared" si="126"/>
        <v>896581</v>
      </c>
      <c r="R4121">
        <f t="shared" si="127"/>
        <v>2.0076267509572476</v>
      </c>
      <c r="U4121">
        <v>20</v>
      </c>
      <c r="V4121">
        <v>0</v>
      </c>
      <c r="W4121">
        <v>57</v>
      </c>
      <c r="X4121">
        <v>70</v>
      </c>
      <c r="Y4121">
        <v>21.8</v>
      </c>
      <c r="Z4121">
        <v>0</v>
      </c>
      <c r="AA4121">
        <v>51.9</v>
      </c>
    </row>
    <row r="4122" spans="1:27" x14ac:dyDescent="0.25">
      <c r="A4122" t="s">
        <v>266</v>
      </c>
      <c r="B4122" t="s">
        <v>218</v>
      </c>
      <c r="C4122" s="76">
        <v>43932</v>
      </c>
      <c r="D4122">
        <v>355</v>
      </c>
      <c r="E4122">
        <v>89</v>
      </c>
      <c r="F4122">
        <v>621</v>
      </c>
      <c r="G4122">
        <v>1171</v>
      </c>
      <c r="H4122">
        <v>23.3</v>
      </c>
      <c r="I4122">
        <v>11.8</v>
      </c>
      <c r="J4122">
        <v>34.799999999999997</v>
      </c>
      <c r="K4122">
        <v>13</v>
      </c>
      <c r="L4122">
        <v>0</v>
      </c>
      <c r="M4122">
        <v>28</v>
      </c>
      <c r="N4122">
        <v>0.8</v>
      </c>
      <c r="O4122">
        <v>0</v>
      </c>
      <c r="P4122">
        <v>1.7</v>
      </c>
      <c r="Q4122">
        <f t="shared" si="126"/>
        <v>896581</v>
      </c>
      <c r="R4122">
        <f t="shared" si="127"/>
        <v>1.4499526534691232</v>
      </c>
      <c r="U4122">
        <v>25</v>
      </c>
      <c r="V4122">
        <v>0</v>
      </c>
      <c r="W4122">
        <v>72</v>
      </c>
      <c r="X4122">
        <v>70</v>
      </c>
      <c r="Y4122">
        <v>26.1</v>
      </c>
      <c r="Z4122">
        <v>0</v>
      </c>
      <c r="AA4122">
        <v>61.9</v>
      </c>
    </row>
    <row r="4123" spans="1:27" x14ac:dyDescent="0.25">
      <c r="A4123" t="s">
        <v>266</v>
      </c>
      <c r="B4123" t="s">
        <v>218</v>
      </c>
      <c r="C4123" s="76">
        <v>43933</v>
      </c>
      <c r="D4123">
        <v>295</v>
      </c>
      <c r="E4123">
        <v>70</v>
      </c>
      <c r="F4123">
        <v>520</v>
      </c>
      <c r="G4123">
        <v>1231</v>
      </c>
      <c r="H4123">
        <v>19.3</v>
      </c>
      <c r="I4123">
        <v>7.5</v>
      </c>
      <c r="J4123">
        <v>31.2</v>
      </c>
      <c r="K4123">
        <v>8</v>
      </c>
      <c r="L4123">
        <v>0</v>
      </c>
      <c r="M4123">
        <v>25</v>
      </c>
      <c r="N4123">
        <v>0.5</v>
      </c>
      <c r="O4123">
        <v>0</v>
      </c>
      <c r="P4123">
        <v>1.7</v>
      </c>
      <c r="Q4123">
        <f t="shared" si="126"/>
        <v>896581</v>
      </c>
      <c r="R4123">
        <f t="shared" si="127"/>
        <v>0.89227855598099903</v>
      </c>
      <c r="U4123">
        <v>17</v>
      </c>
      <c r="V4123">
        <v>0</v>
      </c>
      <c r="W4123">
        <v>56</v>
      </c>
      <c r="X4123">
        <v>80</v>
      </c>
      <c r="Y4123">
        <v>17.3</v>
      </c>
      <c r="Z4123">
        <v>0</v>
      </c>
      <c r="AA4123">
        <v>48</v>
      </c>
    </row>
    <row r="4124" spans="1:27" x14ac:dyDescent="0.25">
      <c r="A4124" t="s">
        <v>266</v>
      </c>
      <c r="B4124" t="s">
        <v>218</v>
      </c>
      <c r="C4124" s="76">
        <v>43934</v>
      </c>
      <c r="D4124">
        <v>350</v>
      </c>
      <c r="E4124">
        <v>79</v>
      </c>
      <c r="F4124">
        <v>620</v>
      </c>
      <c r="G4124">
        <v>1125</v>
      </c>
      <c r="H4124">
        <v>23.7</v>
      </c>
      <c r="I4124">
        <v>9.4</v>
      </c>
      <c r="J4124">
        <v>38</v>
      </c>
      <c r="K4124">
        <v>3</v>
      </c>
      <c r="L4124">
        <v>0</v>
      </c>
      <c r="M4124">
        <v>7</v>
      </c>
      <c r="N4124">
        <v>0.2</v>
      </c>
      <c r="O4124">
        <v>0</v>
      </c>
      <c r="P4124">
        <v>0.5</v>
      </c>
      <c r="Q4124">
        <f t="shared" si="126"/>
        <v>896581</v>
      </c>
      <c r="R4124">
        <f t="shared" si="127"/>
        <v>0.33460445849287462</v>
      </c>
      <c r="U4124">
        <v>29</v>
      </c>
      <c r="V4124">
        <v>0</v>
      </c>
      <c r="W4124">
        <v>76</v>
      </c>
      <c r="X4124">
        <v>90</v>
      </c>
      <c r="Y4124">
        <v>24.4</v>
      </c>
      <c r="Z4124">
        <v>0</v>
      </c>
      <c r="AA4124">
        <v>55.2</v>
      </c>
    </row>
    <row r="4125" spans="1:27" x14ac:dyDescent="0.25">
      <c r="A4125" t="s">
        <v>266</v>
      </c>
      <c r="B4125" t="s">
        <v>218</v>
      </c>
      <c r="C4125" s="76">
        <v>43935</v>
      </c>
      <c r="D4125">
        <v>377</v>
      </c>
      <c r="E4125">
        <v>92</v>
      </c>
      <c r="F4125">
        <v>661</v>
      </c>
      <c r="G4125">
        <v>1106</v>
      </c>
      <c r="H4125">
        <v>25.4</v>
      </c>
      <c r="I4125">
        <v>11.2</v>
      </c>
      <c r="J4125">
        <v>39.6</v>
      </c>
      <c r="K4125">
        <v>7</v>
      </c>
      <c r="L4125">
        <v>0</v>
      </c>
      <c r="M4125">
        <v>18</v>
      </c>
      <c r="N4125">
        <v>0.5</v>
      </c>
      <c r="O4125">
        <v>0</v>
      </c>
      <c r="P4125">
        <v>1.1000000000000001</v>
      </c>
      <c r="Q4125">
        <f t="shared" si="126"/>
        <v>896581</v>
      </c>
      <c r="R4125">
        <f t="shared" si="127"/>
        <v>0.78074373648337403</v>
      </c>
      <c r="U4125">
        <v>42</v>
      </c>
      <c r="V4125">
        <v>0</v>
      </c>
      <c r="W4125">
        <v>92</v>
      </c>
      <c r="X4125">
        <v>71</v>
      </c>
      <c r="Y4125">
        <v>37.4</v>
      </c>
      <c r="Z4125">
        <v>7.6</v>
      </c>
      <c r="AA4125">
        <v>67.099999999999994</v>
      </c>
    </row>
    <row r="4126" spans="1:27" x14ac:dyDescent="0.25">
      <c r="A4126" t="s">
        <v>266</v>
      </c>
      <c r="B4126" t="s">
        <v>218</v>
      </c>
      <c r="C4126" s="76">
        <v>43936</v>
      </c>
      <c r="D4126">
        <v>417</v>
      </c>
      <c r="E4126">
        <v>154</v>
      </c>
      <c r="F4126">
        <v>680</v>
      </c>
      <c r="G4126">
        <v>1065</v>
      </c>
      <c r="H4126">
        <v>28.2</v>
      </c>
      <c r="I4126">
        <v>18</v>
      </c>
      <c r="J4126">
        <v>38.299999999999997</v>
      </c>
      <c r="K4126">
        <v>2</v>
      </c>
      <c r="L4126">
        <v>0</v>
      </c>
      <c r="M4126">
        <v>7</v>
      </c>
      <c r="N4126">
        <v>0.2</v>
      </c>
      <c r="O4126">
        <v>0</v>
      </c>
      <c r="P4126">
        <v>0.5</v>
      </c>
      <c r="Q4126">
        <f t="shared" si="126"/>
        <v>896581</v>
      </c>
      <c r="R4126">
        <f t="shared" si="127"/>
        <v>0.22306963899524976</v>
      </c>
      <c r="U4126">
        <v>37</v>
      </c>
      <c r="V4126">
        <v>0</v>
      </c>
      <c r="W4126">
        <v>88</v>
      </c>
      <c r="X4126">
        <v>76</v>
      </c>
      <c r="Y4126">
        <v>32.9</v>
      </c>
      <c r="Z4126">
        <v>0</v>
      </c>
      <c r="AA4126">
        <v>66.400000000000006</v>
      </c>
    </row>
    <row r="4127" spans="1:27" x14ac:dyDescent="0.25">
      <c r="A4127" t="s">
        <v>266</v>
      </c>
      <c r="B4127" t="s">
        <v>218</v>
      </c>
      <c r="C4127" s="76">
        <v>43937</v>
      </c>
      <c r="D4127">
        <v>441</v>
      </c>
      <c r="E4127">
        <v>134</v>
      </c>
      <c r="F4127">
        <v>747</v>
      </c>
      <c r="G4127">
        <v>1042</v>
      </c>
      <c r="H4127">
        <v>29.7</v>
      </c>
      <c r="I4127">
        <v>16.399999999999999</v>
      </c>
      <c r="J4127">
        <v>43.1</v>
      </c>
      <c r="K4127">
        <v>5</v>
      </c>
      <c r="L4127">
        <v>0</v>
      </c>
      <c r="M4127">
        <v>15</v>
      </c>
      <c r="N4127">
        <v>0.3</v>
      </c>
      <c r="O4127">
        <v>0</v>
      </c>
      <c r="P4127">
        <v>0.9</v>
      </c>
      <c r="Q4127">
        <f t="shared" si="126"/>
        <v>896581</v>
      </c>
      <c r="R4127">
        <f t="shared" si="127"/>
        <v>0.55767409748812435</v>
      </c>
      <c r="U4127">
        <v>35</v>
      </c>
      <c r="V4127">
        <v>0</v>
      </c>
      <c r="W4127">
        <v>89</v>
      </c>
      <c r="X4127">
        <v>78</v>
      </c>
      <c r="Y4127">
        <v>30.6</v>
      </c>
      <c r="Z4127">
        <v>0</v>
      </c>
      <c r="AA4127">
        <v>68.3</v>
      </c>
    </row>
    <row r="4128" spans="1:27" x14ac:dyDescent="0.25">
      <c r="A4128" t="s">
        <v>266</v>
      </c>
      <c r="B4128" t="s">
        <v>218</v>
      </c>
      <c r="C4128" s="76">
        <v>43938</v>
      </c>
      <c r="D4128">
        <v>412</v>
      </c>
      <c r="E4128">
        <v>123</v>
      </c>
      <c r="F4128">
        <v>702</v>
      </c>
      <c r="G4128">
        <v>1070</v>
      </c>
      <c r="H4128">
        <v>27.8</v>
      </c>
      <c r="I4128">
        <v>15.5</v>
      </c>
      <c r="J4128">
        <v>40.200000000000003</v>
      </c>
      <c r="K4128">
        <v>7</v>
      </c>
      <c r="L4128">
        <v>0</v>
      </c>
      <c r="M4128">
        <v>15</v>
      </c>
      <c r="N4128">
        <v>0.5</v>
      </c>
      <c r="O4128">
        <v>0</v>
      </c>
      <c r="P4128">
        <v>1</v>
      </c>
      <c r="Q4128">
        <f t="shared" si="126"/>
        <v>896581</v>
      </c>
      <c r="R4128">
        <f t="shared" si="127"/>
        <v>0.78074373648337403</v>
      </c>
      <c r="U4128">
        <v>28</v>
      </c>
      <c r="V4128">
        <v>0</v>
      </c>
      <c r="W4128">
        <v>73</v>
      </c>
      <c r="X4128">
        <v>85</v>
      </c>
      <c r="Y4128">
        <v>24.7</v>
      </c>
      <c r="Z4128">
        <v>0</v>
      </c>
      <c r="AA4128">
        <v>54.8</v>
      </c>
    </row>
    <row r="4129" spans="1:27" x14ac:dyDescent="0.25">
      <c r="A4129" t="s">
        <v>266</v>
      </c>
      <c r="B4129" t="s">
        <v>218</v>
      </c>
      <c r="C4129" s="76">
        <v>43939</v>
      </c>
      <c r="D4129">
        <v>383</v>
      </c>
      <c r="E4129">
        <v>124</v>
      </c>
      <c r="F4129">
        <v>642</v>
      </c>
      <c r="G4129">
        <v>1099</v>
      </c>
      <c r="H4129">
        <v>25.9</v>
      </c>
      <c r="I4129">
        <v>15</v>
      </c>
      <c r="J4129">
        <v>36.700000000000003</v>
      </c>
      <c r="K4129">
        <v>5</v>
      </c>
      <c r="L4129">
        <v>0</v>
      </c>
      <c r="M4129">
        <v>11</v>
      </c>
      <c r="N4129">
        <v>0.3</v>
      </c>
      <c r="O4129">
        <v>0</v>
      </c>
      <c r="P4129">
        <v>0.7</v>
      </c>
      <c r="Q4129">
        <f t="shared" si="126"/>
        <v>896581</v>
      </c>
      <c r="R4129">
        <f t="shared" si="127"/>
        <v>0.55767409748812435</v>
      </c>
      <c r="U4129">
        <v>34</v>
      </c>
      <c r="V4129">
        <v>0</v>
      </c>
      <c r="W4129">
        <v>87</v>
      </c>
      <c r="X4129">
        <v>79</v>
      </c>
      <c r="Y4129">
        <v>30.3</v>
      </c>
      <c r="Z4129">
        <v>0</v>
      </c>
      <c r="AA4129">
        <v>65.8</v>
      </c>
    </row>
    <row r="4130" spans="1:27" x14ac:dyDescent="0.25">
      <c r="A4130" t="s">
        <v>266</v>
      </c>
      <c r="B4130" t="s">
        <v>218</v>
      </c>
      <c r="C4130" s="76">
        <v>43940</v>
      </c>
      <c r="D4130">
        <v>349</v>
      </c>
      <c r="E4130">
        <v>99</v>
      </c>
      <c r="F4130">
        <v>599</v>
      </c>
      <c r="G4130">
        <v>1134</v>
      </c>
      <c r="H4130">
        <v>23.5</v>
      </c>
      <c r="I4130">
        <v>11.2</v>
      </c>
      <c r="J4130">
        <v>35.799999999999997</v>
      </c>
      <c r="K4130">
        <v>13</v>
      </c>
      <c r="L4130">
        <v>0</v>
      </c>
      <c r="M4130">
        <v>35</v>
      </c>
      <c r="N4130">
        <v>0.9</v>
      </c>
      <c r="O4130">
        <v>0</v>
      </c>
      <c r="P4130">
        <v>2.4</v>
      </c>
      <c r="Q4130">
        <f t="shared" si="126"/>
        <v>896581</v>
      </c>
      <c r="R4130">
        <f t="shared" si="127"/>
        <v>1.4499526534691232</v>
      </c>
      <c r="U4130">
        <v>32</v>
      </c>
      <c r="V4130">
        <v>0</v>
      </c>
      <c r="W4130">
        <v>80</v>
      </c>
      <c r="X4130">
        <v>81</v>
      </c>
      <c r="Y4130">
        <v>28.6</v>
      </c>
      <c r="Z4130">
        <v>0</v>
      </c>
      <c r="AA4130">
        <v>60.8</v>
      </c>
    </row>
    <row r="4131" spans="1:27" x14ac:dyDescent="0.25">
      <c r="A4131" t="s">
        <v>266</v>
      </c>
      <c r="B4131" t="s">
        <v>218</v>
      </c>
      <c r="C4131" s="76">
        <v>43941</v>
      </c>
      <c r="D4131">
        <v>399</v>
      </c>
      <c r="E4131">
        <v>100</v>
      </c>
      <c r="F4131">
        <v>699</v>
      </c>
      <c r="G4131">
        <v>1159</v>
      </c>
      <c r="H4131">
        <v>25.6</v>
      </c>
      <c r="I4131">
        <v>11</v>
      </c>
      <c r="J4131">
        <v>40.200000000000003</v>
      </c>
      <c r="K4131">
        <v>13</v>
      </c>
      <c r="L4131">
        <v>0</v>
      </c>
      <c r="M4131">
        <v>29</v>
      </c>
      <c r="N4131">
        <v>0.8</v>
      </c>
      <c r="O4131">
        <v>0</v>
      </c>
      <c r="P4131">
        <v>1.9</v>
      </c>
      <c r="Q4131">
        <f t="shared" si="126"/>
        <v>896581</v>
      </c>
      <c r="R4131">
        <f t="shared" si="127"/>
        <v>1.4499526534691232</v>
      </c>
      <c r="U4131">
        <v>37</v>
      </c>
      <c r="V4131">
        <v>0</v>
      </c>
      <c r="W4131">
        <v>86</v>
      </c>
      <c r="X4131">
        <v>71</v>
      </c>
      <c r="Y4131">
        <v>33.9</v>
      </c>
      <c r="Z4131">
        <v>0</v>
      </c>
      <c r="AA4131">
        <v>68.900000000000006</v>
      </c>
    </row>
    <row r="4132" spans="1:27" x14ac:dyDescent="0.25">
      <c r="A4132" t="s">
        <v>266</v>
      </c>
      <c r="B4132" t="s">
        <v>218</v>
      </c>
      <c r="C4132" s="76">
        <v>43942</v>
      </c>
      <c r="D4132">
        <v>303</v>
      </c>
      <c r="E4132">
        <v>72</v>
      </c>
      <c r="F4132">
        <v>534</v>
      </c>
      <c r="G4132">
        <v>1308</v>
      </c>
      <c r="H4132">
        <v>18.8</v>
      </c>
      <c r="I4132">
        <v>7.5</v>
      </c>
      <c r="J4132">
        <v>30</v>
      </c>
      <c r="K4132">
        <v>8</v>
      </c>
      <c r="L4132">
        <v>0</v>
      </c>
      <c r="M4132">
        <v>19</v>
      </c>
      <c r="N4132">
        <v>0.5</v>
      </c>
      <c r="O4132">
        <v>0</v>
      </c>
      <c r="P4132">
        <v>1.2</v>
      </c>
      <c r="Q4132">
        <f t="shared" si="126"/>
        <v>896581</v>
      </c>
      <c r="R4132">
        <f t="shared" si="127"/>
        <v>0.89227855598099903</v>
      </c>
      <c r="U4132">
        <v>27</v>
      </c>
      <c r="V4132">
        <v>0</v>
      </c>
      <c r="W4132">
        <v>84</v>
      </c>
      <c r="X4132">
        <v>59</v>
      </c>
      <c r="Y4132">
        <v>31.2</v>
      </c>
      <c r="Z4132">
        <v>0</v>
      </c>
      <c r="AA4132">
        <v>79.400000000000006</v>
      </c>
    </row>
    <row r="4133" spans="1:27" x14ac:dyDescent="0.25">
      <c r="A4133" t="s">
        <v>266</v>
      </c>
      <c r="B4133" t="s">
        <v>218</v>
      </c>
      <c r="C4133" s="76">
        <v>43943</v>
      </c>
      <c r="D4133">
        <v>376</v>
      </c>
      <c r="E4133">
        <v>119</v>
      </c>
      <c r="F4133">
        <v>634</v>
      </c>
      <c r="G4133">
        <v>1234</v>
      </c>
      <c r="H4133">
        <v>23.4</v>
      </c>
      <c r="I4133">
        <v>12.9</v>
      </c>
      <c r="J4133">
        <v>33.9</v>
      </c>
      <c r="K4133">
        <v>8</v>
      </c>
      <c r="L4133">
        <v>0</v>
      </c>
      <c r="M4133">
        <v>17</v>
      </c>
      <c r="N4133">
        <v>0.5</v>
      </c>
      <c r="O4133">
        <v>0</v>
      </c>
      <c r="P4133">
        <v>1.1000000000000001</v>
      </c>
      <c r="Q4133">
        <f t="shared" si="126"/>
        <v>896581</v>
      </c>
      <c r="R4133">
        <f t="shared" si="127"/>
        <v>0.89227855598099903</v>
      </c>
      <c r="U4133">
        <v>22</v>
      </c>
      <c r="V4133">
        <v>0</v>
      </c>
      <c r="W4133">
        <v>69</v>
      </c>
      <c r="X4133">
        <v>63</v>
      </c>
      <c r="Y4133">
        <v>26</v>
      </c>
      <c r="Z4133">
        <v>0</v>
      </c>
      <c r="AA4133">
        <v>63.7</v>
      </c>
    </row>
    <row r="4134" spans="1:27" x14ac:dyDescent="0.25">
      <c r="A4134" t="s">
        <v>266</v>
      </c>
      <c r="B4134" t="s">
        <v>218</v>
      </c>
      <c r="C4134" s="76">
        <v>43944</v>
      </c>
      <c r="D4134">
        <v>406</v>
      </c>
      <c r="E4134">
        <v>146</v>
      </c>
      <c r="F4134">
        <v>666</v>
      </c>
      <c r="G4134">
        <v>1204</v>
      </c>
      <c r="H4134">
        <v>25.2</v>
      </c>
      <c r="I4134">
        <v>15.9</v>
      </c>
      <c r="J4134">
        <v>34.5</v>
      </c>
      <c r="K4134">
        <v>14</v>
      </c>
      <c r="L4134">
        <v>0</v>
      </c>
      <c r="M4134">
        <v>28</v>
      </c>
      <c r="N4134">
        <v>0.8</v>
      </c>
      <c r="O4134">
        <v>0</v>
      </c>
      <c r="P4134">
        <v>1.7</v>
      </c>
      <c r="Q4134">
        <f t="shared" si="126"/>
        <v>896581</v>
      </c>
      <c r="R4134">
        <f t="shared" si="127"/>
        <v>1.5614874729667481</v>
      </c>
      <c r="U4134">
        <v>15</v>
      </c>
      <c r="V4134">
        <v>0</v>
      </c>
      <c r="W4134">
        <v>53</v>
      </c>
      <c r="X4134">
        <v>71</v>
      </c>
      <c r="Y4134">
        <v>17.2</v>
      </c>
      <c r="Z4134">
        <v>0</v>
      </c>
      <c r="AA4134">
        <v>50.9</v>
      </c>
    </row>
    <row r="4135" spans="1:27" x14ac:dyDescent="0.25">
      <c r="A4135" t="s">
        <v>266</v>
      </c>
      <c r="B4135" t="s">
        <v>218</v>
      </c>
      <c r="C4135" s="76">
        <v>43945</v>
      </c>
      <c r="D4135">
        <v>409</v>
      </c>
      <c r="E4135">
        <v>159</v>
      </c>
      <c r="F4135">
        <v>659</v>
      </c>
      <c r="G4135">
        <v>1270</v>
      </c>
      <c r="H4135">
        <v>24.4</v>
      </c>
      <c r="I4135">
        <v>16.899999999999999</v>
      </c>
      <c r="J4135">
        <v>31.8</v>
      </c>
      <c r="K4135">
        <v>14</v>
      </c>
      <c r="L4135">
        <v>0</v>
      </c>
      <c r="M4135">
        <v>30</v>
      </c>
      <c r="N4135">
        <v>0.8</v>
      </c>
      <c r="O4135">
        <v>0</v>
      </c>
      <c r="P4135">
        <v>1.7</v>
      </c>
      <c r="Q4135">
        <f t="shared" ref="Q4135:Q4198" si="128">VLOOKUP(B4135,$AE$4:$AF$55,2,FALSE)</f>
        <v>896581</v>
      </c>
      <c r="R4135">
        <f t="shared" si="127"/>
        <v>1.5614874729667481</v>
      </c>
      <c r="U4135">
        <v>20</v>
      </c>
      <c r="V4135">
        <v>0</v>
      </c>
      <c r="W4135">
        <v>76</v>
      </c>
      <c r="X4135">
        <v>66</v>
      </c>
      <c r="Y4135">
        <v>23.4</v>
      </c>
      <c r="Z4135">
        <v>0</v>
      </c>
      <c r="AA4135">
        <v>73.400000000000006</v>
      </c>
    </row>
    <row r="4136" spans="1:27" x14ac:dyDescent="0.25">
      <c r="A4136" t="s">
        <v>266</v>
      </c>
      <c r="B4136" t="s">
        <v>218</v>
      </c>
      <c r="C4136" s="76">
        <v>43946</v>
      </c>
      <c r="D4136">
        <v>345</v>
      </c>
      <c r="E4136">
        <v>116</v>
      </c>
      <c r="F4136">
        <v>575</v>
      </c>
      <c r="G4136">
        <v>1172</v>
      </c>
      <c r="H4136">
        <v>22.7</v>
      </c>
      <c r="I4136">
        <v>11.8</v>
      </c>
      <c r="J4136">
        <v>33.700000000000003</v>
      </c>
      <c r="K4136">
        <v>4</v>
      </c>
      <c r="L4136">
        <v>0</v>
      </c>
      <c r="M4136">
        <v>12</v>
      </c>
      <c r="N4136">
        <v>0.3</v>
      </c>
      <c r="O4136">
        <v>0</v>
      </c>
      <c r="P4136">
        <v>0.8</v>
      </c>
      <c r="Q4136">
        <f t="shared" si="128"/>
        <v>896581</v>
      </c>
      <c r="R4136">
        <f t="shared" si="127"/>
        <v>0.44613927799049952</v>
      </c>
      <c r="U4136">
        <v>27</v>
      </c>
      <c r="V4136">
        <v>0</v>
      </c>
      <c r="W4136">
        <v>84</v>
      </c>
      <c r="X4136">
        <v>65</v>
      </c>
      <c r="Y4136">
        <v>29.6</v>
      </c>
      <c r="Z4136">
        <v>0</v>
      </c>
      <c r="AA4136">
        <v>82.5</v>
      </c>
    </row>
    <row r="4137" spans="1:27" x14ac:dyDescent="0.25">
      <c r="A4137" t="s">
        <v>266</v>
      </c>
      <c r="B4137" t="s">
        <v>218</v>
      </c>
      <c r="C4137" s="76">
        <v>43947</v>
      </c>
      <c r="D4137">
        <v>250</v>
      </c>
      <c r="E4137">
        <v>67</v>
      </c>
      <c r="F4137">
        <v>432</v>
      </c>
      <c r="G4137">
        <v>1226</v>
      </c>
      <c r="H4137">
        <v>16.899999999999999</v>
      </c>
      <c r="I4137">
        <v>6.6</v>
      </c>
      <c r="J4137">
        <v>27.2</v>
      </c>
      <c r="K4137">
        <v>3</v>
      </c>
      <c r="L4137">
        <v>0</v>
      </c>
      <c r="M4137">
        <v>9</v>
      </c>
      <c r="N4137">
        <v>0.2</v>
      </c>
      <c r="O4137">
        <v>0</v>
      </c>
      <c r="P4137">
        <v>0.6</v>
      </c>
      <c r="Q4137">
        <f t="shared" si="128"/>
        <v>896581</v>
      </c>
      <c r="R4137">
        <f t="shared" si="127"/>
        <v>0.33460445849287462</v>
      </c>
      <c r="U4137">
        <v>15</v>
      </c>
      <c r="V4137">
        <v>0</v>
      </c>
      <c r="W4137">
        <v>58</v>
      </c>
      <c r="X4137">
        <v>84</v>
      </c>
      <c r="Y4137">
        <v>15.1</v>
      </c>
      <c r="Z4137">
        <v>0</v>
      </c>
      <c r="AA4137">
        <v>50.4</v>
      </c>
    </row>
    <row r="4138" spans="1:27" x14ac:dyDescent="0.25">
      <c r="A4138" t="s">
        <v>266</v>
      </c>
      <c r="B4138" t="s">
        <v>218</v>
      </c>
      <c r="C4138" s="76">
        <v>43948</v>
      </c>
      <c r="D4138">
        <v>313</v>
      </c>
      <c r="E4138">
        <v>109</v>
      </c>
      <c r="F4138">
        <v>516</v>
      </c>
      <c r="G4138">
        <v>1124</v>
      </c>
      <c r="H4138">
        <v>21.8</v>
      </c>
      <c r="I4138">
        <v>12.7</v>
      </c>
      <c r="J4138">
        <v>30.8</v>
      </c>
      <c r="K4138">
        <v>0</v>
      </c>
      <c r="L4138">
        <v>0</v>
      </c>
      <c r="M4138">
        <v>0</v>
      </c>
      <c r="N4138">
        <v>0</v>
      </c>
      <c r="O4138">
        <v>0</v>
      </c>
      <c r="P4138">
        <v>0</v>
      </c>
      <c r="Q4138">
        <f t="shared" si="128"/>
        <v>896581</v>
      </c>
      <c r="R4138">
        <f t="shared" si="127"/>
        <v>0</v>
      </c>
      <c r="U4138">
        <v>22</v>
      </c>
      <c r="V4138">
        <v>0</v>
      </c>
      <c r="W4138">
        <v>64</v>
      </c>
      <c r="X4138">
        <v>60</v>
      </c>
      <c r="Y4138">
        <v>27.2</v>
      </c>
      <c r="Z4138">
        <v>0</v>
      </c>
      <c r="AA4138">
        <v>59.6</v>
      </c>
    </row>
    <row r="4139" spans="1:27" x14ac:dyDescent="0.25">
      <c r="A4139" t="s">
        <v>266</v>
      </c>
      <c r="B4139" t="s">
        <v>218</v>
      </c>
      <c r="C4139" s="76">
        <v>43949</v>
      </c>
      <c r="D4139">
        <v>524</v>
      </c>
      <c r="E4139">
        <v>133</v>
      </c>
      <c r="F4139">
        <v>914</v>
      </c>
      <c r="G4139">
        <v>869</v>
      </c>
      <c r="H4139">
        <v>37.6</v>
      </c>
      <c r="I4139">
        <v>17.600000000000001</v>
      </c>
      <c r="J4139">
        <v>57.6</v>
      </c>
      <c r="K4139">
        <v>3</v>
      </c>
      <c r="L4139">
        <v>0</v>
      </c>
      <c r="M4139">
        <v>8</v>
      </c>
      <c r="N4139">
        <v>0.2</v>
      </c>
      <c r="O4139">
        <v>0</v>
      </c>
      <c r="P4139">
        <v>0.6</v>
      </c>
      <c r="Q4139">
        <f t="shared" si="128"/>
        <v>896581</v>
      </c>
      <c r="R4139">
        <f t="shared" si="127"/>
        <v>0.33460445849287462</v>
      </c>
      <c r="U4139">
        <v>48</v>
      </c>
      <c r="V4139">
        <v>0</v>
      </c>
      <c r="W4139">
        <v>105</v>
      </c>
      <c r="X4139">
        <v>64</v>
      </c>
      <c r="Y4139">
        <v>42.5</v>
      </c>
      <c r="Z4139">
        <v>13.6</v>
      </c>
      <c r="AA4139">
        <v>71.5</v>
      </c>
    </row>
    <row r="4140" spans="1:27" x14ac:dyDescent="0.25">
      <c r="A4140" t="s">
        <v>266</v>
      </c>
      <c r="B4140" t="s">
        <v>218</v>
      </c>
      <c r="C4140" s="76">
        <v>43950</v>
      </c>
      <c r="D4140">
        <v>636</v>
      </c>
      <c r="E4140">
        <v>165</v>
      </c>
      <c r="F4140">
        <v>1106</v>
      </c>
      <c r="G4140">
        <v>778</v>
      </c>
      <c r="H4140">
        <v>45</v>
      </c>
      <c r="I4140">
        <v>24.2</v>
      </c>
      <c r="J4140">
        <v>65.7</v>
      </c>
      <c r="K4140">
        <v>4</v>
      </c>
      <c r="L4140">
        <v>0</v>
      </c>
      <c r="M4140">
        <v>11</v>
      </c>
      <c r="N4140">
        <v>0.3</v>
      </c>
      <c r="O4140">
        <v>0</v>
      </c>
      <c r="P4140">
        <v>0.8</v>
      </c>
      <c r="Q4140">
        <f t="shared" si="128"/>
        <v>896581</v>
      </c>
      <c r="R4140">
        <f t="shared" si="127"/>
        <v>0.44613927799049952</v>
      </c>
      <c r="U4140">
        <v>43</v>
      </c>
      <c r="V4140">
        <v>0</v>
      </c>
      <c r="W4140">
        <v>105</v>
      </c>
      <c r="X4140">
        <v>80</v>
      </c>
      <c r="Y4140">
        <v>34.9</v>
      </c>
      <c r="Z4140">
        <v>0</v>
      </c>
      <c r="AA4140">
        <v>70.400000000000006</v>
      </c>
    </row>
    <row r="4141" spans="1:27" x14ac:dyDescent="0.25">
      <c r="A4141" t="s">
        <v>266</v>
      </c>
      <c r="B4141" t="s">
        <v>218</v>
      </c>
      <c r="C4141" s="76">
        <v>43951</v>
      </c>
      <c r="D4141">
        <v>624</v>
      </c>
      <c r="E4141">
        <v>151</v>
      </c>
      <c r="F4141">
        <v>1096</v>
      </c>
      <c r="G4141">
        <v>886</v>
      </c>
      <c r="H4141">
        <v>41.3</v>
      </c>
      <c r="I4141">
        <v>23.3</v>
      </c>
      <c r="J4141">
        <v>59.3</v>
      </c>
      <c r="K4141">
        <v>14</v>
      </c>
      <c r="L4141">
        <v>0</v>
      </c>
      <c r="M4141">
        <v>31</v>
      </c>
      <c r="N4141">
        <v>0.9</v>
      </c>
      <c r="O4141">
        <v>0</v>
      </c>
      <c r="P4141">
        <v>1.8</v>
      </c>
      <c r="Q4141">
        <f t="shared" si="128"/>
        <v>896581</v>
      </c>
      <c r="R4141">
        <f t="shared" si="127"/>
        <v>1.5614874729667481</v>
      </c>
      <c r="U4141">
        <v>44</v>
      </c>
      <c r="V4141">
        <v>0</v>
      </c>
      <c r="W4141">
        <v>102</v>
      </c>
      <c r="X4141">
        <v>79</v>
      </c>
      <c r="Y4141">
        <v>35.4</v>
      </c>
      <c r="Z4141">
        <v>3.3</v>
      </c>
      <c r="AA4141">
        <v>67.5</v>
      </c>
    </row>
    <row r="4142" spans="1:27" x14ac:dyDescent="0.25">
      <c r="A4142" t="s">
        <v>266</v>
      </c>
      <c r="B4142" t="s">
        <v>218</v>
      </c>
      <c r="C4142" s="76">
        <v>43952</v>
      </c>
      <c r="D4142">
        <v>626</v>
      </c>
      <c r="E4142">
        <v>180</v>
      </c>
      <c r="F4142">
        <v>1071</v>
      </c>
      <c r="G4142">
        <v>925</v>
      </c>
      <c r="H4142">
        <v>40.4</v>
      </c>
      <c r="I4142">
        <v>25.6</v>
      </c>
      <c r="J4142">
        <v>55.1</v>
      </c>
      <c r="K4142">
        <v>10</v>
      </c>
      <c r="L4142">
        <v>0</v>
      </c>
      <c r="M4142">
        <v>22</v>
      </c>
      <c r="N4142">
        <v>0.7</v>
      </c>
      <c r="O4142">
        <v>0</v>
      </c>
      <c r="P4142">
        <v>1.3</v>
      </c>
      <c r="Q4142">
        <f t="shared" si="128"/>
        <v>896581</v>
      </c>
      <c r="R4142">
        <f t="shared" si="127"/>
        <v>1.1153481949762487</v>
      </c>
      <c r="U4142">
        <v>50</v>
      </c>
      <c r="V4142">
        <v>0</v>
      </c>
      <c r="W4142">
        <v>116</v>
      </c>
      <c r="X4142">
        <v>84</v>
      </c>
      <c r="Y4142">
        <v>37.4</v>
      </c>
      <c r="Z4142">
        <v>2.2000000000000002</v>
      </c>
      <c r="AA4142">
        <v>72.599999999999994</v>
      </c>
    </row>
    <row r="4143" spans="1:27" x14ac:dyDescent="0.25">
      <c r="A4143" t="s">
        <v>266</v>
      </c>
      <c r="B4143" t="s">
        <v>218</v>
      </c>
      <c r="C4143" s="76">
        <v>43953</v>
      </c>
      <c r="D4143">
        <v>616</v>
      </c>
      <c r="E4143">
        <v>118</v>
      </c>
      <c r="F4143">
        <v>1115</v>
      </c>
      <c r="G4143">
        <v>934</v>
      </c>
      <c r="H4143">
        <v>39.799999999999997</v>
      </c>
      <c r="I4143">
        <v>17.7</v>
      </c>
      <c r="J4143">
        <v>61.8</v>
      </c>
      <c r="K4143">
        <v>9</v>
      </c>
      <c r="L4143">
        <v>0</v>
      </c>
      <c r="M4143">
        <v>28</v>
      </c>
      <c r="N4143">
        <v>0.6</v>
      </c>
      <c r="O4143">
        <v>0</v>
      </c>
      <c r="P4143">
        <v>1.8</v>
      </c>
      <c r="Q4143">
        <f t="shared" si="128"/>
        <v>896581</v>
      </c>
      <c r="R4143">
        <f t="shared" si="127"/>
        <v>1.0038133754786238</v>
      </c>
      <c r="U4143">
        <v>47</v>
      </c>
      <c r="V4143">
        <v>0</v>
      </c>
      <c r="W4143">
        <v>119</v>
      </c>
      <c r="X4143">
        <v>90</v>
      </c>
      <c r="Y4143">
        <v>34.299999999999997</v>
      </c>
      <c r="Z4143">
        <v>0</v>
      </c>
      <c r="AA4143">
        <v>73.900000000000006</v>
      </c>
    </row>
    <row r="4144" spans="1:27" x14ac:dyDescent="0.25">
      <c r="A4144" t="s">
        <v>266</v>
      </c>
      <c r="B4144" t="s">
        <v>218</v>
      </c>
      <c r="C4144" s="76">
        <v>43954</v>
      </c>
      <c r="D4144">
        <v>542</v>
      </c>
      <c r="E4144">
        <v>50</v>
      </c>
      <c r="F4144">
        <v>1035</v>
      </c>
      <c r="G4144">
        <v>970</v>
      </c>
      <c r="H4144">
        <v>35.799999999999997</v>
      </c>
      <c r="I4144">
        <v>9.3000000000000007</v>
      </c>
      <c r="J4144">
        <v>62.4</v>
      </c>
      <c r="K4144">
        <v>13</v>
      </c>
      <c r="L4144">
        <v>0</v>
      </c>
      <c r="M4144">
        <v>42</v>
      </c>
      <c r="N4144">
        <v>0.9</v>
      </c>
      <c r="O4144">
        <v>0</v>
      </c>
      <c r="P4144">
        <v>2.8</v>
      </c>
      <c r="Q4144">
        <f t="shared" si="128"/>
        <v>896581</v>
      </c>
      <c r="R4144">
        <f t="shared" si="127"/>
        <v>1.4499526534691232</v>
      </c>
      <c r="U4144">
        <v>34</v>
      </c>
      <c r="V4144">
        <v>0</v>
      </c>
      <c r="W4144">
        <v>93</v>
      </c>
      <c r="X4144">
        <v>93</v>
      </c>
      <c r="Y4144">
        <v>26.7</v>
      </c>
      <c r="Z4144">
        <v>0</v>
      </c>
      <c r="AA4144">
        <v>62.6</v>
      </c>
    </row>
    <row r="4145" spans="1:27" x14ac:dyDescent="0.25">
      <c r="A4145" t="s">
        <v>266</v>
      </c>
      <c r="B4145" t="s">
        <v>218</v>
      </c>
      <c r="C4145" s="76">
        <v>43955</v>
      </c>
      <c r="D4145">
        <v>574</v>
      </c>
      <c r="E4145">
        <v>100</v>
      </c>
      <c r="F4145">
        <v>1048</v>
      </c>
      <c r="G4145">
        <v>916</v>
      </c>
      <c r="H4145">
        <v>38.5</v>
      </c>
      <c r="I4145">
        <v>15.1</v>
      </c>
      <c r="J4145">
        <v>62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f t="shared" si="128"/>
        <v>896581</v>
      </c>
      <c r="R4145">
        <f t="shared" si="127"/>
        <v>0</v>
      </c>
      <c r="U4145">
        <v>34</v>
      </c>
      <c r="V4145">
        <v>0</v>
      </c>
      <c r="W4145">
        <v>101</v>
      </c>
      <c r="X4145">
        <v>92</v>
      </c>
      <c r="Y4145">
        <v>26.9</v>
      </c>
      <c r="Z4145">
        <v>0</v>
      </c>
      <c r="AA4145">
        <v>68.7</v>
      </c>
    </row>
    <row r="4146" spans="1:27" x14ac:dyDescent="0.25">
      <c r="A4146" t="s">
        <v>266</v>
      </c>
      <c r="B4146" t="s">
        <v>218</v>
      </c>
      <c r="C4146" s="76">
        <v>43956</v>
      </c>
      <c r="D4146">
        <v>513</v>
      </c>
      <c r="E4146">
        <v>132</v>
      </c>
      <c r="F4146">
        <v>894</v>
      </c>
      <c r="G4146">
        <v>1101</v>
      </c>
      <c r="H4146">
        <v>31.8</v>
      </c>
      <c r="I4146">
        <v>14.7</v>
      </c>
      <c r="J4146">
        <v>48.9</v>
      </c>
      <c r="K4146">
        <v>6</v>
      </c>
      <c r="L4146">
        <v>0</v>
      </c>
      <c r="M4146">
        <v>16</v>
      </c>
      <c r="N4146">
        <v>0.3</v>
      </c>
      <c r="O4146">
        <v>0</v>
      </c>
      <c r="P4146">
        <v>1</v>
      </c>
      <c r="Q4146">
        <f t="shared" si="128"/>
        <v>896581</v>
      </c>
      <c r="R4146">
        <f t="shared" si="127"/>
        <v>0.66920891698574925</v>
      </c>
      <c r="U4146">
        <v>43</v>
      </c>
      <c r="V4146">
        <v>0</v>
      </c>
      <c r="W4146">
        <v>95</v>
      </c>
      <c r="X4146">
        <v>85</v>
      </c>
      <c r="Y4146">
        <v>33.700000000000003</v>
      </c>
      <c r="Z4146">
        <v>5.0999999999999996</v>
      </c>
      <c r="AA4146">
        <v>62.3</v>
      </c>
    </row>
    <row r="4147" spans="1:27" x14ac:dyDescent="0.25">
      <c r="A4147" t="s">
        <v>266</v>
      </c>
      <c r="B4147" t="s">
        <v>218</v>
      </c>
      <c r="C4147" s="76">
        <v>43957</v>
      </c>
      <c r="D4147">
        <v>545</v>
      </c>
      <c r="E4147">
        <v>141</v>
      </c>
      <c r="F4147">
        <v>948</v>
      </c>
      <c r="G4147">
        <v>1063</v>
      </c>
      <c r="H4147">
        <v>33.9</v>
      </c>
      <c r="I4147">
        <v>15.9</v>
      </c>
      <c r="J4147">
        <v>51.9</v>
      </c>
      <c r="K4147">
        <v>9</v>
      </c>
      <c r="L4147">
        <v>0</v>
      </c>
      <c r="M4147">
        <v>22</v>
      </c>
      <c r="N4147">
        <v>0.6</v>
      </c>
      <c r="O4147">
        <v>0</v>
      </c>
      <c r="P4147">
        <v>1.3</v>
      </c>
      <c r="Q4147">
        <f t="shared" si="128"/>
        <v>896581</v>
      </c>
      <c r="R4147">
        <f t="shared" si="127"/>
        <v>1.0038133754786238</v>
      </c>
      <c r="U4147">
        <v>50</v>
      </c>
      <c r="V4147">
        <v>0</v>
      </c>
      <c r="W4147">
        <v>104</v>
      </c>
      <c r="X4147">
        <v>79</v>
      </c>
      <c r="Y4147">
        <v>38.799999999999997</v>
      </c>
      <c r="Z4147">
        <v>12.4</v>
      </c>
      <c r="AA4147">
        <v>65.2</v>
      </c>
    </row>
    <row r="4148" spans="1:27" x14ac:dyDescent="0.25">
      <c r="A4148" t="s">
        <v>266</v>
      </c>
      <c r="B4148" t="s">
        <v>218</v>
      </c>
      <c r="C4148" s="76">
        <v>43958</v>
      </c>
      <c r="D4148">
        <v>801</v>
      </c>
      <c r="E4148">
        <v>108</v>
      </c>
      <c r="F4148">
        <v>1493</v>
      </c>
      <c r="G4148">
        <v>1172</v>
      </c>
      <c r="H4148">
        <v>40.6</v>
      </c>
      <c r="I4148">
        <v>23.9</v>
      </c>
      <c r="J4148">
        <v>57.3</v>
      </c>
      <c r="K4148">
        <v>19</v>
      </c>
      <c r="L4148">
        <v>0</v>
      </c>
      <c r="M4148">
        <v>40</v>
      </c>
      <c r="N4148">
        <v>1</v>
      </c>
      <c r="O4148">
        <v>0.3</v>
      </c>
      <c r="P4148">
        <v>1.6</v>
      </c>
      <c r="Q4148">
        <f t="shared" si="128"/>
        <v>896581</v>
      </c>
      <c r="R4148">
        <f t="shared" si="127"/>
        <v>2.1191615704548723</v>
      </c>
      <c r="U4148">
        <v>40</v>
      </c>
      <c r="V4148">
        <v>4</v>
      </c>
      <c r="W4148">
        <v>76</v>
      </c>
      <c r="X4148">
        <v>74</v>
      </c>
      <c r="Y4148">
        <v>35</v>
      </c>
      <c r="Z4148">
        <v>13.9</v>
      </c>
      <c r="AA4148">
        <v>56</v>
      </c>
    </row>
    <row r="4149" spans="1:27" x14ac:dyDescent="0.25">
      <c r="A4149" t="s">
        <v>266</v>
      </c>
      <c r="B4149" t="s">
        <v>218</v>
      </c>
      <c r="C4149" s="76">
        <v>43959</v>
      </c>
      <c r="D4149">
        <v>897</v>
      </c>
      <c r="E4149">
        <v>76</v>
      </c>
      <c r="F4149">
        <v>1719</v>
      </c>
      <c r="G4149">
        <v>1299</v>
      </c>
      <c r="H4149">
        <v>40.9</v>
      </c>
      <c r="I4149">
        <v>23.9</v>
      </c>
      <c r="J4149">
        <v>57.8</v>
      </c>
      <c r="K4149">
        <v>20</v>
      </c>
      <c r="L4149">
        <v>0</v>
      </c>
      <c r="M4149">
        <v>43</v>
      </c>
      <c r="N4149">
        <v>0.9</v>
      </c>
      <c r="O4149">
        <v>0.1</v>
      </c>
      <c r="P4149">
        <v>1.7</v>
      </c>
      <c r="Q4149">
        <f t="shared" si="128"/>
        <v>896581</v>
      </c>
      <c r="R4149">
        <f t="shared" si="127"/>
        <v>2.2306963899524974</v>
      </c>
      <c r="U4149">
        <v>111</v>
      </c>
      <c r="V4149">
        <v>0</v>
      </c>
      <c r="W4149">
        <v>245</v>
      </c>
      <c r="X4149">
        <v>134</v>
      </c>
      <c r="Y4149">
        <v>45.3</v>
      </c>
      <c r="Z4149">
        <v>29.1</v>
      </c>
      <c r="AA4149">
        <v>61.5</v>
      </c>
    </row>
    <row r="4150" spans="1:27" x14ac:dyDescent="0.25">
      <c r="A4150" t="s">
        <v>266</v>
      </c>
      <c r="B4150" t="s">
        <v>218</v>
      </c>
      <c r="C4150" s="76">
        <v>43960</v>
      </c>
      <c r="D4150">
        <v>899</v>
      </c>
      <c r="E4150">
        <v>79</v>
      </c>
      <c r="F4150">
        <v>1720</v>
      </c>
      <c r="G4150">
        <v>1167</v>
      </c>
      <c r="H4150">
        <v>43.5</v>
      </c>
      <c r="I4150">
        <v>25.9</v>
      </c>
      <c r="J4150">
        <v>61.2</v>
      </c>
      <c r="K4150">
        <v>23</v>
      </c>
      <c r="L4150">
        <v>0</v>
      </c>
      <c r="M4150">
        <v>54</v>
      </c>
      <c r="N4150">
        <v>1.1000000000000001</v>
      </c>
      <c r="O4150">
        <v>0</v>
      </c>
      <c r="P4150">
        <v>2.2000000000000002</v>
      </c>
      <c r="Q4150">
        <f t="shared" si="128"/>
        <v>896581</v>
      </c>
      <c r="R4150">
        <f t="shared" si="127"/>
        <v>2.5653008484453719</v>
      </c>
      <c r="U4150">
        <v>111</v>
      </c>
      <c r="V4150">
        <v>0</v>
      </c>
      <c r="W4150">
        <v>245</v>
      </c>
      <c r="X4150">
        <v>130</v>
      </c>
      <c r="Y4150">
        <v>46.1</v>
      </c>
      <c r="Z4150">
        <v>29</v>
      </c>
      <c r="AA4150">
        <v>63.2</v>
      </c>
    </row>
    <row r="4151" spans="1:27" x14ac:dyDescent="0.25">
      <c r="A4151" t="s">
        <v>266</v>
      </c>
      <c r="B4151" t="s">
        <v>218</v>
      </c>
      <c r="C4151" s="76">
        <v>43961</v>
      </c>
      <c r="D4151">
        <v>923</v>
      </c>
      <c r="E4151">
        <v>90</v>
      </c>
      <c r="F4151">
        <v>1755</v>
      </c>
      <c r="G4151">
        <v>1178</v>
      </c>
      <c r="H4151">
        <v>43.9</v>
      </c>
      <c r="I4151">
        <v>25.2</v>
      </c>
      <c r="J4151">
        <v>62.7</v>
      </c>
      <c r="K4151">
        <v>31</v>
      </c>
      <c r="L4151">
        <v>0</v>
      </c>
      <c r="M4151">
        <v>68</v>
      </c>
      <c r="N4151">
        <v>1.5</v>
      </c>
      <c r="O4151">
        <v>0</v>
      </c>
      <c r="P4151">
        <v>3</v>
      </c>
      <c r="Q4151">
        <f t="shared" si="128"/>
        <v>896581</v>
      </c>
      <c r="R4151">
        <f t="shared" si="127"/>
        <v>3.457579404426371</v>
      </c>
      <c r="U4151">
        <v>101</v>
      </c>
      <c r="V4151">
        <v>0</v>
      </c>
      <c r="W4151">
        <v>236</v>
      </c>
      <c r="X4151">
        <v>133</v>
      </c>
      <c r="Y4151">
        <v>43.1</v>
      </c>
      <c r="Z4151">
        <v>21.9</v>
      </c>
      <c r="AA4151">
        <v>64.3</v>
      </c>
    </row>
    <row r="4152" spans="1:27" x14ac:dyDescent="0.25">
      <c r="A4152" t="s">
        <v>266</v>
      </c>
      <c r="B4152" t="s">
        <v>218</v>
      </c>
      <c r="C4152" s="76">
        <v>43962</v>
      </c>
      <c r="D4152">
        <v>911</v>
      </c>
      <c r="E4152">
        <v>0</v>
      </c>
      <c r="F4152">
        <v>1824</v>
      </c>
      <c r="G4152">
        <v>1224</v>
      </c>
      <c r="H4152">
        <v>42.7</v>
      </c>
      <c r="I4152">
        <v>21.9</v>
      </c>
      <c r="J4152">
        <v>63.5</v>
      </c>
      <c r="K4152">
        <v>21</v>
      </c>
      <c r="L4152">
        <v>0</v>
      </c>
      <c r="M4152">
        <v>43</v>
      </c>
      <c r="N4152">
        <v>1</v>
      </c>
      <c r="O4152">
        <v>0.3</v>
      </c>
      <c r="P4152">
        <v>1.7</v>
      </c>
      <c r="Q4152">
        <f t="shared" si="128"/>
        <v>896581</v>
      </c>
      <c r="R4152">
        <f t="shared" si="127"/>
        <v>2.3422312094501225</v>
      </c>
      <c r="U4152">
        <v>97</v>
      </c>
      <c r="V4152">
        <v>0</v>
      </c>
      <c r="W4152">
        <v>224</v>
      </c>
      <c r="X4152">
        <v>146</v>
      </c>
      <c r="Y4152">
        <v>39.700000000000003</v>
      </c>
      <c r="Z4152">
        <v>22.9</v>
      </c>
      <c r="AA4152">
        <v>56.5</v>
      </c>
    </row>
    <row r="4153" spans="1:27" x14ac:dyDescent="0.25">
      <c r="A4153" t="s">
        <v>266</v>
      </c>
      <c r="B4153" t="s">
        <v>218</v>
      </c>
      <c r="C4153" s="76">
        <v>43963</v>
      </c>
      <c r="D4153">
        <v>902</v>
      </c>
      <c r="E4153">
        <v>212</v>
      </c>
      <c r="F4153">
        <v>1592</v>
      </c>
      <c r="G4153">
        <v>1187</v>
      </c>
      <c r="H4153">
        <v>43.2</v>
      </c>
      <c r="I4153">
        <v>24.6</v>
      </c>
      <c r="J4153">
        <v>61.7</v>
      </c>
      <c r="K4153">
        <v>63</v>
      </c>
      <c r="L4153">
        <v>4</v>
      </c>
      <c r="M4153">
        <v>123</v>
      </c>
      <c r="N4153">
        <v>3</v>
      </c>
      <c r="O4153">
        <v>0.9</v>
      </c>
      <c r="P4153">
        <v>5.2</v>
      </c>
      <c r="Q4153">
        <f t="shared" si="128"/>
        <v>896581</v>
      </c>
      <c r="R4153">
        <f t="shared" si="127"/>
        <v>7.0266936283503671</v>
      </c>
      <c r="U4153">
        <v>92</v>
      </c>
      <c r="V4153">
        <v>2</v>
      </c>
      <c r="W4153">
        <v>182</v>
      </c>
      <c r="X4153">
        <v>147</v>
      </c>
      <c r="Y4153">
        <v>38.6</v>
      </c>
      <c r="Z4153">
        <v>23.4</v>
      </c>
      <c r="AA4153">
        <v>53.8</v>
      </c>
    </row>
    <row r="4154" spans="1:27" x14ac:dyDescent="0.25">
      <c r="A4154" t="s">
        <v>266</v>
      </c>
      <c r="B4154" t="s">
        <v>218</v>
      </c>
      <c r="C4154" s="76">
        <v>43964</v>
      </c>
      <c r="D4154">
        <v>916</v>
      </c>
      <c r="E4154">
        <v>262</v>
      </c>
      <c r="F4154">
        <v>1570</v>
      </c>
      <c r="G4154">
        <v>1205</v>
      </c>
      <c r="H4154">
        <v>43.2</v>
      </c>
      <c r="I4154">
        <v>27.4</v>
      </c>
      <c r="J4154">
        <v>59</v>
      </c>
      <c r="K4154">
        <v>57</v>
      </c>
      <c r="L4154">
        <v>0</v>
      </c>
      <c r="M4154">
        <v>115</v>
      </c>
      <c r="N4154">
        <v>2.7</v>
      </c>
      <c r="O4154">
        <v>0.7</v>
      </c>
      <c r="P4154">
        <v>4.7</v>
      </c>
      <c r="Q4154">
        <f t="shared" si="128"/>
        <v>896581</v>
      </c>
      <c r="R4154">
        <f t="shared" si="127"/>
        <v>6.3574847113646165</v>
      </c>
      <c r="U4154">
        <v>96</v>
      </c>
      <c r="V4154">
        <v>11</v>
      </c>
      <c r="W4154">
        <v>182</v>
      </c>
      <c r="X4154">
        <v>133</v>
      </c>
      <c r="Y4154">
        <v>41.9</v>
      </c>
      <c r="Z4154">
        <v>28.1</v>
      </c>
      <c r="AA4154">
        <v>55.7</v>
      </c>
    </row>
    <row r="4155" spans="1:27" x14ac:dyDescent="0.25">
      <c r="A4155" t="s">
        <v>266</v>
      </c>
      <c r="B4155" t="s">
        <v>218</v>
      </c>
      <c r="C4155" s="76">
        <v>43965</v>
      </c>
      <c r="D4155">
        <v>904</v>
      </c>
      <c r="E4155">
        <v>257</v>
      </c>
      <c r="F4155">
        <v>1550</v>
      </c>
      <c r="G4155">
        <v>1209</v>
      </c>
      <c r="H4155">
        <v>42.8</v>
      </c>
      <c r="I4155">
        <v>27.5</v>
      </c>
      <c r="J4155">
        <v>58</v>
      </c>
      <c r="K4155">
        <v>60</v>
      </c>
      <c r="L4155">
        <v>0</v>
      </c>
      <c r="M4155">
        <v>121</v>
      </c>
      <c r="N4155">
        <v>2.8</v>
      </c>
      <c r="O4155">
        <v>0.7</v>
      </c>
      <c r="P4155">
        <v>5</v>
      </c>
      <c r="Q4155">
        <f t="shared" si="128"/>
        <v>896581</v>
      </c>
      <c r="R4155">
        <f t="shared" si="127"/>
        <v>6.6920891698574927</v>
      </c>
      <c r="U4155">
        <v>101</v>
      </c>
      <c r="V4155">
        <v>13</v>
      </c>
      <c r="W4155">
        <v>189</v>
      </c>
      <c r="X4155">
        <v>126</v>
      </c>
      <c r="Y4155">
        <v>43.7</v>
      </c>
      <c r="Z4155">
        <v>27.6</v>
      </c>
      <c r="AA4155">
        <v>59.8</v>
      </c>
    </row>
    <row r="4156" spans="1:27" x14ac:dyDescent="0.25">
      <c r="A4156" t="s">
        <v>266</v>
      </c>
      <c r="B4156" t="s">
        <v>218</v>
      </c>
      <c r="C4156" s="76">
        <v>43966</v>
      </c>
      <c r="D4156">
        <v>922</v>
      </c>
      <c r="E4156">
        <v>263</v>
      </c>
      <c r="F4156">
        <v>1580</v>
      </c>
      <c r="G4156">
        <v>1191</v>
      </c>
      <c r="H4156">
        <v>43.6</v>
      </c>
      <c r="I4156">
        <v>26.9</v>
      </c>
      <c r="J4156">
        <v>60.3</v>
      </c>
      <c r="K4156">
        <v>50</v>
      </c>
      <c r="L4156">
        <v>0</v>
      </c>
      <c r="M4156">
        <v>100</v>
      </c>
      <c r="N4156">
        <v>2.4</v>
      </c>
      <c r="O4156">
        <v>0.5</v>
      </c>
      <c r="P4156">
        <v>4.2</v>
      </c>
      <c r="Q4156">
        <f t="shared" si="128"/>
        <v>896581</v>
      </c>
      <c r="R4156">
        <f t="shared" si="127"/>
        <v>5.5767409748812433</v>
      </c>
      <c r="U4156">
        <v>104</v>
      </c>
      <c r="V4156">
        <v>17</v>
      </c>
      <c r="W4156">
        <v>190</v>
      </c>
      <c r="X4156">
        <v>126</v>
      </c>
      <c r="Y4156">
        <v>45.2</v>
      </c>
      <c r="Z4156">
        <v>30.6</v>
      </c>
      <c r="AA4156">
        <v>59.8</v>
      </c>
    </row>
    <row r="4157" spans="1:27" x14ac:dyDescent="0.25">
      <c r="A4157" t="s">
        <v>266</v>
      </c>
      <c r="B4157" t="s">
        <v>218</v>
      </c>
      <c r="C4157" s="76">
        <v>43967</v>
      </c>
      <c r="D4157">
        <v>901</v>
      </c>
      <c r="E4157">
        <v>283</v>
      </c>
      <c r="F4157">
        <v>1518</v>
      </c>
      <c r="G4157">
        <v>1223</v>
      </c>
      <c r="H4157">
        <v>42.4</v>
      </c>
      <c r="I4157">
        <v>28.1</v>
      </c>
      <c r="J4157">
        <v>56.8</v>
      </c>
      <c r="K4157">
        <v>55</v>
      </c>
      <c r="L4157">
        <v>4</v>
      </c>
      <c r="M4157">
        <v>107</v>
      </c>
      <c r="N4157">
        <v>2.6</v>
      </c>
      <c r="O4157">
        <v>0.7</v>
      </c>
      <c r="P4157">
        <v>4.5</v>
      </c>
      <c r="Q4157">
        <f t="shared" si="128"/>
        <v>896581</v>
      </c>
      <c r="R4157">
        <f t="shared" si="127"/>
        <v>6.1344150723693671</v>
      </c>
      <c r="U4157">
        <v>97</v>
      </c>
      <c r="V4157">
        <v>7</v>
      </c>
      <c r="W4157">
        <v>187</v>
      </c>
      <c r="X4157">
        <v>133</v>
      </c>
      <c r="Y4157">
        <v>42.2</v>
      </c>
      <c r="Z4157">
        <v>23</v>
      </c>
      <c r="AA4157">
        <v>61.5</v>
      </c>
    </row>
    <row r="4158" spans="1:27" x14ac:dyDescent="0.25">
      <c r="A4158" t="s">
        <v>266</v>
      </c>
      <c r="B4158" t="s">
        <v>218</v>
      </c>
      <c r="C4158" s="76">
        <v>43968</v>
      </c>
      <c r="D4158">
        <v>854</v>
      </c>
      <c r="E4158">
        <v>221</v>
      </c>
      <c r="F4158">
        <v>1486</v>
      </c>
      <c r="G4158">
        <v>1243</v>
      </c>
      <c r="H4158">
        <v>40.700000000000003</v>
      </c>
      <c r="I4158">
        <v>22.9</v>
      </c>
      <c r="J4158">
        <v>58.5</v>
      </c>
      <c r="K4158">
        <v>59</v>
      </c>
      <c r="L4158">
        <v>0</v>
      </c>
      <c r="M4158">
        <v>121</v>
      </c>
      <c r="N4158">
        <v>2.8</v>
      </c>
      <c r="O4158">
        <v>0.5</v>
      </c>
      <c r="P4158">
        <v>5.2</v>
      </c>
      <c r="Q4158">
        <f t="shared" si="128"/>
        <v>896581</v>
      </c>
      <c r="R4158">
        <f t="shared" si="127"/>
        <v>6.5805543503598667</v>
      </c>
      <c r="U4158">
        <v>85</v>
      </c>
      <c r="V4158">
        <v>4</v>
      </c>
      <c r="W4158">
        <v>167</v>
      </c>
      <c r="X4158">
        <v>146</v>
      </c>
      <c r="Y4158">
        <v>37</v>
      </c>
      <c r="Z4158">
        <v>19.3</v>
      </c>
      <c r="AA4158">
        <v>54.7</v>
      </c>
    </row>
    <row r="4159" spans="1:27" x14ac:dyDescent="0.25">
      <c r="A4159" t="s">
        <v>266</v>
      </c>
      <c r="B4159" t="s">
        <v>218</v>
      </c>
      <c r="C4159" s="76">
        <v>43969</v>
      </c>
      <c r="D4159">
        <v>933</v>
      </c>
      <c r="E4159">
        <v>21</v>
      </c>
      <c r="F4159">
        <v>1846</v>
      </c>
      <c r="G4159">
        <v>1218</v>
      </c>
      <c r="H4159">
        <v>43.4</v>
      </c>
      <c r="I4159">
        <v>23.3</v>
      </c>
      <c r="J4159">
        <v>63.4</v>
      </c>
      <c r="K4159">
        <v>43</v>
      </c>
      <c r="L4159">
        <v>0</v>
      </c>
      <c r="M4159">
        <v>92</v>
      </c>
      <c r="N4159">
        <v>2</v>
      </c>
      <c r="O4159">
        <v>0.6</v>
      </c>
      <c r="P4159">
        <v>3.5</v>
      </c>
      <c r="Q4159">
        <f t="shared" si="128"/>
        <v>896581</v>
      </c>
      <c r="R4159">
        <f t="shared" si="127"/>
        <v>4.7959972383978693</v>
      </c>
      <c r="U4159">
        <v>93</v>
      </c>
      <c r="V4159">
        <v>0</v>
      </c>
      <c r="W4159">
        <v>219</v>
      </c>
      <c r="X4159">
        <v>141</v>
      </c>
      <c r="Y4159">
        <v>39.799999999999997</v>
      </c>
      <c r="Z4159">
        <v>24.9</v>
      </c>
      <c r="AA4159">
        <v>54.6</v>
      </c>
    </row>
    <row r="4160" spans="1:27" x14ac:dyDescent="0.25">
      <c r="A4160" t="s">
        <v>266</v>
      </c>
      <c r="B4160" t="s">
        <v>218</v>
      </c>
      <c r="C4160" s="76">
        <v>43970</v>
      </c>
      <c r="D4160">
        <v>975</v>
      </c>
      <c r="E4160">
        <v>12</v>
      </c>
      <c r="F4160">
        <v>1938</v>
      </c>
      <c r="G4160">
        <v>1208</v>
      </c>
      <c r="H4160">
        <v>44.7</v>
      </c>
      <c r="I4160">
        <v>23.4</v>
      </c>
      <c r="J4160">
        <v>66</v>
      </c>
      <c r="K4160">
        <v>48</v>
      </c>
      <c r="L4160">
        <v>0</v>
      </c>
      <c r="M4160">
        <v>105</v>
      </c>
      <c r="N4160">
        <v>2.2000000000000002</v>
      </c>
      <c r="O4160">
        <v>0.6</v>
      </c>
      <c r="P4160">
        <v>3.8</v>
      </c>
      <c r="Q4160">
        <f t="shared" si="128"/>
        <v>896581</v>
      </c>
      <c r="R4160">
        <f t="shared" si="127"/>
        <v>5.353671335885994</v>
      </c>
      <c r="U4160">
        <v>112</v>
      </c>
      <c r="V4160">
        <v>0</v>
      </c>
      <c r="W4160">
        <v>249</v>
      </c>
      <c r="X4160">
        <v>122</v>
      </c>
      <c r="Y4160">
        <v>47.7</v>
      </c>
      <c r="Z4160">
        <v>37.1</v>
      </c>
      <c r="AA4160">
        <v>58.3</v>
      </c>
    </row>
    <row r="4161" spans="1:27" x14ac:dyDescent="0.25">
      <c r="A4161" t="s">
        <v>266</v>
      </c>
      <c r="B4161" t="s">
        <v>218</v>
      </c>
      <c r="C4161" s="76">
        <v>43971</v>
      </c>
      <c r="D4161">
        <v>1016</v>
      </c>
      <c r="E4161">
        <v>32</v>
      </c>
      <c r="F4161">
        <v>2000</v>
      </c>
      <c r="G4161">
        <v>1185</v>
      </c>
      <c r="H4161">
        <v>46.2</v>
      </c>
      <c r="I4161">
        <v>24.5</v>
      </c>
      <c r="J4161">
        <v>67.8</v>
      </c>
      <c r="K4161">
        <v>56</v>
      </c>
      <c r="L4161">
        <v>0</v>
      </c>
      <c r="M4161">
        <v>121</v>
      </c>
      <c r="N4161">
        <v>2.5</v>
      </c>
      <c r="O4161">
        <v>0.7</v>
      </c>
      <c r="P4161">
        <v>4.4000000000000004</v>
      </c>
      <c r="Q4161">
        <f t="shared" si="128"/>
        <v>896581</v>
      </c>
      <c r="R4161">
        <f t="shared" si="127"/>
        <v>6.2459498918669922</v>
      </c>
      <c r="U4161">
        <v>112</v>
      </c>
      <c r="V4161">
        <v>0</v>
      </c>
      <c r="W4161">
        <v>253</v>
      </c>
      <c r="X4161">
        <v>123</v>
      </c>
      <c r="Y4161">
        <v>47.4</v>
      </c>
      <c r="Z4161">
        <v>36.200000000000003</v>
      </c>
      <c r="AA4161">
        <v>58.6</v>
      </c>
    </row>
    <row r="4162" spans="1:27" x14ac:dyDescent="0.25">
      <c r="A4162" t="s">
        <v>266</v>
      </c>
      <c r="B4162" t="s">
        <v>218</v>
      </c>
      <c r="C4162" s="76">
        <v>43972</v>
      </c>
      <c r="D4162">
        <v>1017</v>
      </c>
      <c r="E4162">
        <v>33</v>
      </c>
      <c r="F4162">
        <v>2000</v>
      </c>
      <c r="G4162">
        <v>1158</v>
      </c>
      <c r="H4162">
        <v>46.8</v>
      </c>
      <c r="I4162">
        <v>22.9</v>
      </c>
      <c r="J4162">
        <v>70.599999999999994</v>
      </c>
      <c r="K4162">
        <v>65</v>
      </c>
      <c r="L4162">
        <v>0</v>
      </c>
      <c r="M4162">
        <v>144</v>
      </c>
      <c r="N4162">
        <v>3</v>
      </c>
      <c r="O4162">
        <v>0.7</v>
      </c>
      <c r="P4162">
        <v>5.3</v>
      </c>
      <c r="Q4162">
        <f t="shared" si="128"/>
        <v>896581</v>
      </c>
      <c r="R4162">
        <f t="shared" si="127"/>
        <v>7.2497632673456165</v>
      </c>
      <c r="U4162">
        <v>114</v>
      </c>
      <c r="V4162">
        <v>0</v>
      </c>
      <c r="W4162">
        <v>260</v>
      </c>
      <c r="X4162">
        <v>126</v>
      </c>
      <c r="Y4162">
        <v>47.3</v>
      </c>
      <c r="Z4162">
        <v>33.6</v>
      </c>
      <c r="AA4162">
        <v>61</v>
      </c>
    </row>
    <row r="4163" spans="1:27" x14ac:dyDescent="0.25">
      <c r="A4163" t="s">
        <v>266</v>
      </c>
      <c r="B4163" t="s">
        <v>218</v>
      </c>
      <c r="C4163" s="76">
        <v>43973</v>
      </c>
      <c r="D4163">
        <v>1020</v>
      </c>
      <c r="E4163">
        <v>16</v>
      </c>
      <c r="F4163">
        <v>2023</v>
      </c>
      <c r="G4163">
        <v>1178</v>
      </c>
      <c r="H4163">
        <v>46.4</v>
      </c>
      <c r="I4163">
        <v>23.6</v>
      </c>
      <c r="J4163">
        <v>69.2</v>
      </c>
      <c r="K4163">
        <v>69</v>
      </c>
      <c r="L4163">
        <v>0</v>
      </c>
      <c r="M4163">
        <v>161</v>
      </c>
      <c r="N4163">
        <v>3.1</v>
      </c>
      <c r="O4163">
        <v>0.5</v>
      </c>
      <c r="P4163">
        <v>5.8</v>
      </c>
      <c r="Q4163">
        <f t="shared" si="128"/>
        <v>896581</v>
      </c>
      <c r="R4163">
        <f t="shared" si="127"/>
        <v>7.6959025453361161</v>
      </c>
      <c r="U4163">
        <v>115</v>
      </c>
      <c r="V4163">
        <v>0</v>
      </c>
      <c r="W4163">
        <v>261</v>
      </c>
      <c r="X4163">
        <v>123</v>
      </c>
      <c r="Y4163">
        <v>48.4</v>
      </c>
      <c r="Z4163">
        <v>35.799999999999997</v>
      </c>
      <c r="AA4163">
        <v>60.9</v>
      </c>
    </row>
    <row r="4164" spans="1:27" x14ac:dyDescent="0.25">
      <c r="A4164" t="s">
        <v>266</v>
      </c>
      <c r="B4164" t="s">
        <v>218</v>
      </c>
      <c r="C4164" s="76">
        <v>43974</v>
      </c>
      <c r="D4164">
        <v>538</v>
      </c>
      <c r="E4164">
        <v>0</v>
      </c>
      <c r="F4164">
        <v>1090</v>
      </c>
      <c r="G4164">
        <v>1067</v>
      </c>
      <c r="H4164">
        <v>33.5</v>
      </c>
      <c r="I4164">
        <v>1.8</v>
      </c>
      <c r="J4164">
        <v>65.2</v>
      </c>
      <c r="K4164">
        <v>27</v>
      </c>
      <c r="L4164">
        <v>0</v>
      </c>
      <c r="M4164">
        <v>55</v>
      </c>
      <c r="N4164">
        <v>1.7</v>
      </c>
      <c r="O4164">
        <v>0</v>
      </c>
      <c r="P4164">
        <v>3.3</v>
      </c>
      <c r="Q4164">
        <f t="shared" si="128"/>
        <v>896581</v>
      </c>
      <c r="R4164">
        <f t="shared" si="127"/>
        <v>3.0114401264358714</v>
      </c>
      <c r="U4164">
        <v>43</v>
      </c>
      <c r="V4164">
        <v>7</v>
      </c>
      <c r="W4164">
        <v>79</v>
      </c>
      <c r="X4164">
        <v>66</v>
      </c>
      <c r="Y4164">
        <v>39.200000000000003</v>
      </c>
      <c r="Z4164">
        <v>17</v>
      </c>
      <c r="AA4164">
        <v>61.4</v>
      </c>
    </row>
    <row r="4165" spans="1:27" x14ac:dyDescent="0.25">
      <c r="A4165" t="s">
        <v>266</v>
      </c>
      <c r="B4165" t="s">
        <v>218</v>
      </c>
      <c r="C4165" s="76">
        <v>43975</v>
      </c>
      <c r="D4165">
        <v>799</v>
      </c>
      <c r="E4165">
        <v>47</v>
      </c>
      <c r="F4165">
        <v>1551</v>
      </c>
      <c r="G4165">
        <v>1282</v>
      </c>
      <c r="H4165">
        <v>38.4</v>
      </c>
      <c r="I4165">
        <v>19.100000000000001</v>
      </c>
      <c r="J4165">
        <v>57.8</v>
      </c>
      <c r="K4165">
        <v>77</v>
      </c>
      <c r="L4165">
        <v>0</v>
      </c>
      <c r="M4165">
        <v>180</v>
      </c>
      <c r="N4165">
        <v>3.7</v>
      </c>
      <c r="O4165">
        <v>0.2</v>
      </c>
      <c r="P4165">
        <v>7.2</v>
      </c>
      <c r="Q4165">
        <f t="shared" si="128"/>
        <v>896581</v>
      </c>
      <c r="R4165">
        <f t="shared" ref="R4165:R4228" si="129">K4165/(Q4165)*100000</f>
        <v>8.5881811013171152</v>
      </c>
      <c r="U4165">
        <v>70</v>
      </c>
      <c r="V4165">
        <v>10</v>
      </c>
      <c r="W4165">
        <v>131</v>
      </c>
      <c r="X4165">
        <v>112</v>
      </c>
      <c r="Y4165">
        <v>38.5</v>
      </c>
      <c r="Z4165">
        <v>20.100000000000001</v>
      </c>
      <c r="AA4165">
        <v>56.8</v>
      </c>
    </row>
    <row r="4166" spans="1:27" x14ac:dyDescent="0.25">
      <c r="A4166" t="s">
        <v>266</v>
      </c>
      <c r="B4166" t="s">
        <v>218</v>
      </c>
      <c r="C4166" s="76">
        <v>43976</v>
      </c>
      <c r="D4166">
        <v>674</v>
      </c>
      <c r="E4166">
        <v>0</v>
      </c>
      <c r="F4166">
        <v>1407</v>
      </c>
      <c r="G4166">
        <v>1482</v>
      </c>
      <c r="H4166">
        <v>31.3</v>
      </c>
      <c r="I4166">
        <v>10.6</v>
      </c>
      <c r="J4166">
        <v>52</v>
      </c>
      <c r="K4166">
        <v>58</v>
      </c>
      <c r="L4166">
        <v>0</v>
      </c>
      <c r="M4166">
        <v>142</v>
      </c>
      <c r="N4166">
        <v>2.7</v>
      </c>
      <c r="O4166">
        <v>0</v>
      </c>
      <c r="P4166">
        <v>5.5</v>
      </c>
      <c r="Q4166">
        <f t="shared" si="128"/>
        <v>896581</v>
      </c>
      <c r="R4166">
        <f t="shared" si="129"/>
        <v>6.4690195308622416</v>
      </c>
      <c r="U4166">
        <v>78</v>
      </c>
      <c r="V4166">
        <v>6</v>
      </c>
      <c r="W4166">
        <v>151</v>
      </c>
      <c r="X4166">
        <v>133</v>
      </c>
      <c r="Y4166">
        <v>37</v>
      </c>
      <c r="Z4166">
        <v>16.2</v>
      </c>
      <c r="AA4166">
        <v>57.8</v>
      </c>
    </row>
    <row r="4167" spans="1:27" x14ac:dyDescent="0.25">
      <c r="A4167" t="s">
        <v>266</v>
      </c>
      <c r="B4167" t="s">
        <v>218</v>
      </c>
      <c r="C4167" s="76">
        <v>43977</v>
      </c>
      <c r="D4167">
        <v>724</v>
      </c>
      <c r="E4167">
        <v>14</v>
      </c>
      <c r="F4167">
        <v>1434</v>
      </c>
      <c r="G4167">
        <v>1400</v>
      </c>
      <c r="H4167">
        <v>34.1</v>
      </c>
      <c r="I4167">
        <v>15.5</v>
      </c>
      <c r="J4167">
        <v>52.7</v>
      </c>
      <c r="K4167">
        <v>61</v>
      </c>
      <c r="L4167">
        <v>0</v>
      </c>
      <c r="M4167">
        <v>158</v>
      </c>
      <c r="N4167">
        <v>2.9</v>
      </c>
      <c r="O4167">
        <v>0</v>
      </c>
      <c r="P4167">
        <v>6.3</v>
      </c>
      <c r="Q4167">
        <f t="shared" si="128"/>
        <v>896581</v>
      </c>
      <c r="R4167">
        <f t="shared" si="129"/>
        <v>6.8036239893551178</v>
      </c>
      <c r="U4167">
        <v>57</v>
      </c>
      <c r="V4167">
        <v>0</v>
      </c>
      <c r="W4167">
        <v>113</v>
      </c>
      <c r="X4167">
        <v>144</v>
      </c>
      <c r="Y4167">
        <v>28.4</v>
      </c>
      <c r="Z4167">
        <v>12.9</v>
      </c>
      <c r="AA4167">
        <v>43.8</v>
      </c>
    </row>
    <row r="4168" spans="1:27" x14ac:dyDescent="0.25">
      <c r="A4168" t="s">
        <v>266</v>
      </c>
      <c r="B4168" t="s">
        <v>218</v>
      </c>
      <c r="C4168" s="76">
        <v>43978</v>
      </c>
      <c r="D4168">
        <v>801</v>
      </c>
      <c r="E4168">
        <v>0</v>
      </c>
      <c r="F4168">
        <v>1615</v>
      </c>
      <c r="G4168">
        <v>1164</v>
      </c>
      <c r="H4168">
        <v>40.799999999999997</v>
      </c>
      <c r="I4168">
        <v>18.600000000000001</v>
      </c>
      <c r="J4168">
        <v>63</v>
      </c>
      <c r="K4168">
        <v>66</v>
      </c>
      <c r="L4168">
        <v>0</v>
      </c>
      <c r="M4168">
        <v>166</v>
      </c>
      <c r="N4168">
        <v>3.4</v>
      </c>
      <c r="O4168">
        <v>0</v>
      </c>
      <c r="P4168">
        <v>6.9</v>
      </c>
      <c r="Q4168">
        <f t="shared" si="128"/>
        <v>896581</v>
      </c>
      <c r="R4168">
        <f t="shared" si="129"/>
        <v>7.3612980868432416</v>
      </c>
      <c r="U4168">
        <v>73</v>
      </c>
      <c r="V4168">
        <v>0</v>
      </c>
      <c r="W4168">
        <v>158</v>
      </c>
      <c r="X4168">
        <v>108</v>
      </c>
      <c r="Y4168">
        <v>39.799999999999997</v>
      </c>
      <c r="Z4168">
        <v>18.7</v>
      </c>
      <c r="AA4168">
        <v>60.8</v>
      </c>
    </row>
    <row r="4169" spans="1:27" x14ac:dyDescent="0.25">
      <c r="A4169" t="s">
        <v>266</v>
      </c>
      <c r="B4169" t="s">
        <v>218</v>
      </c>
      <c r="C4169" s="76">
        <v>43979</v>
      </c>
      <c r="D4169">
        <v>839</v>
      </c>
      <c r="E4169">
        <v>76</v>
      </c>
      <c r="F4169">
        <v>1602</v>
      </c>
      <c r="G4169">
        <v>1030</v>
      </c>
      <c r="H4169">
        <v>44.9</v>
      </c>
      <c r="I4169">
        <v>27.1</v>
      </c>
      <c r="J4169">
        <v>62.7</v>
      </c>
      <c r="K4169">
        <v>62</v>
      </c>
      <c r="L4169">
        <v>0</v>
      </c>
      <c r="M4169">
        <v>155</v>
      </c>
      <c r="N4169">
        <v>3.3</v>
      </c>
      <c r="O4169">
        <v>0</v>
      </c>
      <c r="P4169">
        <v>6.8</v>
      </c>
      <c r="Q4169">
        <f t="shared" si="128"/>
        <v>896581</v>
      </c>
      <c r="R4169">
        <f t="shared" si="129"/>
        <v>6.915158808852742</v>
      </c>
      <c r="U4169">
        <v>73</v>
      </c>
      <c r="V4169">
        <v>0</v>
      </c>
      <c r="W4169">
        <v>163</v>
      </c>
      <c r="X4169">
        <v>76</v>
      </c>
      <c r="Y4169">
        <v>48.9</v>
      </c>
      <c r="Z4169">
        <v>32.299999999999997</v>
      </c>
      <c r="AA4169">
        <v>65.400000000000006</v>
      </c>
    </row>
    <row r="4170" spans="1:27" x14ac:dyDescent="0.25">
      <c r="A4170" t="s">
        <v>266</v>
      </c>
      <c r="B4170" t="s">
        <v>218</v>
      </c>
      <c r="C4170" s="76">
        <v>43980</v>
      </c>
      <c r="D4170">
        <v>992</v>
      </c>
      <c r="E4170">
        <v>156</v>
      </c>
      <c r="F4170">
        <v>1829</v>
      </c>
      <c r="G4170">
        <v>1248</v>
      </c>
      <c r="H4170">
        <v>44.3</v>
      </c>
      <c r="I4170">
        <v>25.2</v>
      </c>
      <c r="J4170">
        <v>63.4</v>
      </c>
      <c r="K4170">
        <v>57</v>
      </c>
      <c r="L4170">
        <v>0</v>
      </c>
      <c r="M4170">
        <v>136</v>
      </c>
      <c r="N4170">
        <v>2.5</v>
      </c>
      <c r="O4170">
        <v>0</v>
      </c>
      <c r="P4170">
        <v>5.2</v>
      </c>
      <c r="Q4170">
        <f t="shared" si="128"/>
        <v>896581</v>
      </c>
      <c r="R4170">
        <f t="shared" si="129"/>
        <v>6.3574847113646165</v>
      </c>
      <c r="U4170">
        <v>75</v>
      </c>
      <c r="V4170">
        <v>0</v>
      </c>
      <c r="W4170">
        <v>164</v>
      </c>
      <c r="X4170">
        <v>80</v>
      </c>
      <c r="Y4170">
        <v>48.4</v>
      </c>
      <c r="Z4170">
        <v>31.5</v>
      </c>
      <c r="AA4170">
        <v>65.3</v>
      </c>
    </row>
    <row r="4171" spans="1:27" x14ac:dyDescent="0.25">
      <c r="A4171" t="s">
        <v>266</v>
      </c>
      <c r="B4171" t="s">
        <v>218</v>
      </c>
      <c r="C4171" s="76">
        <v>43981</v>
      </c>
      <c r="D4171">
        <v>770</v>
      </c>
      <c r="E4171">
        <v>99</v>
      </c>
      <c r="F4171">
        <v>1440</v>
      </c>
      <c r="G4171">
        <v>1232</v>
      </c>
      <c r="H4171">
        <v>38.4</v>
      </c>
      <c r="I4171">
        <v>21.5</v>
      </c>
      <c r="J4171">
        <v>55.3</v>
      </c>
      <c r="K4171">
        <v>64</v>
      </c>
      <c r="L4171">
        <v>0</v>
      </c>
      <c r="M4171">
        <v>155</v>
      </c>
      <c r="N4171">
        <v>3.2</v>
      </c>
      <c r="O4171">
        <v>0</v>
      </c>
      <c r="P4171">
        <v>6.5</v>
      </c>
      <c r="Q4171">
        <f t="shared" si="128"/>
        <v>896581</v>
      </c>
      <c r="R4171">
        <f t="shared" si="129"/>
        <v>7.1382284478479923</v>
      </c>
      <c r="U4171">
        <v>76</v>
      </c>
      <c r="V4171">
        <v>0</v>
      </c>
      <c r="W4171">
        <v>168</v>
      </c>
      <c r="X4171">
        <v>86</v>
      </c>
      <c r="Y4171">
        <v>46.9</v>
      </c>
      <c r="Z4171">
        <v>25.2</v>
      </c>
      <c r="AA4171">
        <v>68.599999999999994</v>
      </c>
    </row>
    <row r="4172" spans="1:27" x14ac:dyDescent="0.25">
      <c r="A4172" t="s">
        <v>266</v>
      </c>
      <c r="B4172" t="s">
        <v>218</v>
      </c>
      <c r="C4172" s="76">
        <v>43982</v>
      </c>
      <c r="D4172">
        <v>656</v>
      </c>
      <c r="E4172">
        <v>18</v>
      </c>
      <c r="F4172">
        <v>1294</v>
      </c>
      <c r="G4172">
        <v>1307</v>
      </c>
      <c r="H4172">
        <v>33.4</v>
      </c>
      <c r="I4172">
        <v>15.4</v>
      </c>
      <c r="J4172">
        <v>51.5</v>
      </c>
      <c r="K4172">
        <v>79</v>
      </c>
      <c r="L4172">
        <v>0</v>
      </c>
      <c r="M4172">
        <v>176</v>
      </c>
      <c r="N4172">
        <v>4</v>
      </c>
      <c r="O4172">
        <v>0.7</v>
      </c>
      <c r="P4172">
        <v>7.3</v>
      </c>
      <c r="Q4172">
        <f t="shared" si="128"/>
        <v>896581</v>
      </c>
      <c r="R4172">
        <f t="shared" si="129"/>
        <v>8.8112507403123637</v>
      </c>
      <c r="U4172">
        <v>75</v>
      </c>
      <c r="V4172">
        <v>0</v>
      </c>
      <c r="W4172">
        <v>166</v>
      </c>
      <c r="X4172">
        <v>66</v>
      </c>
      <c r="Y4172">
        <v>53.2</v>
      </c>
      <c r="Z4172">
        <v>37</v>
      </c>
      <c r="AA4172">
        <v>69.3</v>
      </c>
    </row>
    <row r="4173" spans="1:27" x14ac:dyDescent="0.25">
      <c r="A4173" t="s">
        <v>266</v>
      </c>
      <c r="B4173" t="s">
        <v>218</v>
      </c>
      <c r="C4173" s="76">
        <v>43983</v>
      </c>
      <c r="D4173">
        <v>733</v>
      </c>
      <c r="E4173">
        <v>0</v>
      </c>
      <c r="F4173">
        <v>1498</v>
      </c>
      <c r="G4173">
        <v>1294</v>
      </c>
      <c r="H4173">
        <v>36.1</v>
      </c>
      <c r="I4173">
        <v>15.1</v>
      </c>
      <c r="J4173">
        <v>57.2</v>
      </c>
      <c r="K4173">
        <v>39</v>
      </c>
      <c r="L4173">
        <v>0</v>
      </c>
      <c r="M4173">
        <v>98</v>
      </c>
      <c r="N4173">
        <v>1.9</v>
      </c>
      <c r="O4173">
        <v>0</v>
      </c>
      <c r="P4173">
        <v>4</v>
      </c>
      <c r="Q4173">
        <f t="shared" si="128"/>
        <v>896581</v>
      </c>
      <c r="R4173">
        <f t="shared" si="129"/>
        <v>4.3498579604073697</v>
      </c>
      <c r="U4173">
        <v>78</v>
      </c>
      <c r="V4173">
        <v>0</v>
      </c>
      <c r="W4173">
        <v>165</v>
      </c>
      <c r="X4173">
        <v>68</v>
      </c>
      <c r="Y4173">
        <v>53.3</v>
      </c>
      <c r="Z4173">
        <v>42.5</v>
      </c>
      <c r="AA4173">
        <v>64.2</v>
      </c>
    </row>
    <row r="4174" spans="1:27" x14ac:dyDescent="0.25">
      <c r="A4174" t="s">
        <v>266</v>
      </c>
      <c r="B4174" t="s">
        <v>218</v>
      </c>
      <c r="C4174" s="76">
        <v>43984</v>
      </c>
      <c r="D4174">
        <v>457</v>
      </c>
      <c r="E4174">
        <v>191</v>
      </c>
      <c r="F4174">
        <v>724</v>
      </c>
      <c r="G4174">
        <v>1068</v>
      </c>
      <c r="H4174">
        <v>30</v>
      </c>
      <c r="I4174">
        <v>20</v>
      </c>
      <c r="J4174">
        <v>40</v>
      </c>
      <c r="K4174">
        <v>22</v>
      </c>
      <c r="L4174">
        <v>0</v>
      </c>
      <c r="M4174">
        <v>48</v>
      </c>
      <c r="N4174">
        <v>1.5</v>
      </c>
      <c r="O4174">
        <v>0</v>
      </c>
      <c r="P4174">
        <v>3.1</v>
      </c>
      <c r="Q4174">
        <f t="shared" si="128"/>
        <v>896581</v>
      </c>
      <c r="R4174">
        <f t="shared" si="129"/>
        <v>2.4537660289477472</v>
      </c>
      <c r="U4174">
        <v>29</v>
      </c>
      <c r="V4174">
        <v>2</v>
      </c>
      <c r="W4174">
        <v>57</v>
      </c>
      <c r="X4174">
        <v>41</v>
      </c>
      <c r="Y4174">
        <v>41.7</v>
      </c>
      <c r="Z4174">
        <v>17.399999999999999</v>
      </c>
      <c r="AA4174">
        <v>66.099999999999994</v>
      </c>
    </row>
    <row r="4175" spans="1:27" x14ac:dyDescent="0.25">
      <c r="A4175" t="s">
        <v>266</v>
      </c>
      <c r="B4175" t="s">
        <v>218</v>
      </c>
      <c r="C4175" s="76">
        <v>43985</v>
      </c>
      <c r="D4175">
        <v>967</v>
      </c>
      <c r="E4175">
        <v>297</v>
      </c>
      <c r="F4175">
        <v>1638</v>
      </c>
      <c r="G4175">
        <v>1232</v>
      </c>
      <c r="H4175">
        <v>44</v>
      </c>
      <c r="I4175">
        <v>28.2</v>
      </c>
      <c r="J4175">
        <v>59.8</v>
      </c>
      <c r="K4175">
        <v>66</v>
      </c>
      <c r="L4175">
        <v>0</v>
      </c>
      <c r="M4175">
        <v>139</v>
      </c>
      <c r="N4175">
        <v>3</v>
      </c>
      <c r="O4175">
        <v>0.4</v>
      </c>
      <c r="P4175">
        <v>5.6</v>
      </c>
      <c r="Q4175">
        <f t="shared" si="128"/>
        <v>896581</v>
      </c>
      <c r="R4175">
        <f t="shared" si="129"/>
        <v>7.3612980868432416</v>
      </c>
      <c r="U4175">
        <v>92</v>
      </c>
      <c r="V4175">
        <v>7</v>
      </c>
      <c r="W4175">
        <v>177</v>
      </c>
      <c r="X4175">
        <v>100</v>
      </c>
      <c r="Y4175">
        <v>48</v>
      </c>
      <c r="Z4175">
        <v>21</v>
      </c>
      <c r="AA4175">
        <v>75</v>
      </c>
    </row>
    <row r="4176" spans="1:27" x14ac:dyDescent="0.25">
      <c r="A4176" t="s">
        <v>266</v>
      </c>
      <c r="B4176" t="s">
        <v>218</v>
      </c>
      <c r="C4176" s="76">
        <v>43986</v>
      </c>
      <c r="D4176">
        <v>1056</v>
      </c>
      <c r="E4176">
        <v>362</v>
      </c>
      <c r="F4176">
        <v>1749</v>
      </c>
      <c r="G4176">
        <v>1188</v>
      </c>
      <c r="H4176">
        <v>47.1</v>
      </c>
      <c r="I4176">
        <v>32.700000000000003</v>
      </c>
      <c r="J4176">
        <v>61.4</v>
      </c>
      <c r="K4176">
        <v>66</v>
      </c>
      <c r="L4176">
        <v>0</v>
      </c>
      <c r="M4176">
        <v>131</v>
      </c>
      <c r="N4176">
        <v>2.9</v>
      </c>
      <c r="O4176">
        <v>0.7</v>
      </c>
      <c r="P4176">
        <v>5.2</v>
      </c>
      <c r="Q4176">
        <f t="shared" si="128"/>
        <v>896581</v>
      </c>
      <c r="R4176">
        <f t="shared" si="129"/>
        <v>7.3612980868432416</v>
      </c>
      <c r="U4176">
        <v>94</v>
      </c>
      <c r="V4176">
        <v>4</v>
      </c>
      <c r="W4176">
        <v>183</v>
      </c>
      <c r="X4176">
        <v>103</v>
      </c>
      <c r="Y4176">
        <v>47.7</v>
      </c>
      <c r="Z4176">
        <v>21.6</v>
      </c>
      <c r="AA4176">
        <v>73.8</v>
      </c>
    </row>
    <row r="4177" spans="1:27" x14ac:dyDescent="0.25">
      <c r="A4177" t="s">
        <v>266</v>
      </c>
      <c r="B4177" t="s">
        <v>218</v>
      </c>
      <c r="C4177" s="76">
        <v>43987</v>
      </c>
      <c r="D4177">
        <v>936</v>
      </c>
      <c r="E4177">
        <v>321</v>
      </c>
      <c r="F4177">
        <v>1551</v>
      </c>
      <c r="G4177">
        <v>1160</v>
      </c>
      <c r="H4177">
        <v>44.6</v>
      </c>
      <c r="I4177">
        <v>30.2</v>
      </c>
      <c r="J4177">
        <v>59.1</v>
      </c>
      <c r="K4177">
        <v>82</v>
      </c>
      <c r="L4177">
        <v>5</v>
      </c>
      <c r="M4177">
        <v>159</v>
      </c>
      <c r="N4177">
        <v>3.9</v>
      </c>
      <c r="O4177">
        <v>1.2</v>
      </c>
      <c r="P4177">
        <v>6.6</v>
      </c>
      <c r="Q4177">
        <f t="shared" si="128"/>
        <v>896581</v>
      </c>
      <c r="R4177">
        <f t="shared" si="129"/>
        <v>9.1458551988052381</v>
      </c>
      <c r="U4177">
        <v>91</v>
      </c>
      <c r="V4177">
        <v>0</v>
      </c>
      <c r="W4177">
        <v>183</v>
      </c>
      <c r="X4177">
        <v>79</v>
      </c>
      <c r="Y4177">
        <v>53.3</v>
      </c>
      <c r="Z4177">
        <v>22.8</v>
      </c>
      <c r="AA4177">
        <v>83.8</v>
      </c>
    </row>
    <row r="4178" spans="1:27" x14ac:dyDescent="0.25">
      <c r="A4178" t="s">
        <v>266</v>
      </c>
      <c r="B4178" t="s">
        <v>218</v>
      </c>
      <c r="C4178" s="76">
        <v>43988</v>
      </c>
      <c r="D4178">
        <v>927</v>
      </c>
      <c r="E4178">
        <v>109</v>
      </c>
      <c r="F4178">
        <v>1745</v>
      </c>
      <c r="G4178">
        <v>1232</v>
      </c>
      <c r="H4178">
        <v>42.9</v>
      </c>
      <c r="I4178">
        <v>24.9</v>
      </c>
      <c r="J4178">
        <v>61</v>
      </c>
      <c r="K4178">
        <v>86</v>
      </c>
      <c r="L4178">
        <v>0</v>
      </c>
      <c r="M4178">
        <v>206</v>
      </c>
      <c r="N4178">
        <v>4</v>
      </c>
      <c r="O4178">
        <v>0.3</v>
      </c>
      <c r="P4178">
        <v>7.7</v>
      </c>
      <c r="Q4178">
        <f t="shared" si="128"/>
        <v>896581</v>
      </c>
      <c r="R4178">
        <f t="shared" si="129"/>
        <v>9.5919944767957386</v>
      </c>
      <c r="U4178">
        <v>88</v>
      </c>
      <c r="V4178">
        <v>0</v>
      </c>
      <c r="W4178">
        <v>210</v>
      </c>
      <c r="X4178">
        <v>90</v>
      </c>
      <c r="Y4178">
        <v>49.6</v>
      </c>
      <c r="Z4178">
        <v>17.2</v>
      </c>
      <c r="AA4178">
        <v>82.1</v>
      </c>
    </row>
    <row r="4179" spans="1:27" x14ac:dyDescent="0.25">
      <c r="A4179" t="s">
        <v>266</v>
      </c>
      <c r="B4179" t="s">
        <v>218</v>
      </c>
      <c r="C4179" s="76">
        <v>43989</v>
      </c>
      <c r="D4179">
        <v>980</v>
      </c>
      <c r="E4179">
        <v>29</v>
      </c>
      <c r="F4179">
        <v>1930</v>
      </c>
      <c r="G4179">
        <v>1171</v>
      </c>
      <c r="H4179">
        <v>45.6</v>
      </c>
      <c r="I4179">
        <v>20.9</v>
      </c>
      <c r="J4179">
        <v>70.2</v>
      </c>
      <c r="K4179">
        <v>84</v>
      </c>
      <c r="L4179">
        <v>0</v>
      </c>
      <c r="M4179">
        <v>202</v>
      </c>
      <c r="N4179">
        <v>3.9</v>
      </c>
      <c r="O4179">
        <v>0.3</v>
      </c>
      <c r="P4179">
        <v>7.6</v>
      </c>
      <c r="Q4179">
        <f t="shared" si="128"/>
        <v>896581</v>
      </c>
      <c r="R4179">
        <f t="shared" si="129"/>
        <v>9.3689248378004901</v>
      </c>
      <c r="U4179">
        <v>100</v>
      </c>
      <c r="V4179">
        <v>0</v>
      </c>
      <c r="W4179">
        <v>238</v>
      </c>
      <c r="X4179">
        <v>69</v>
      </c>
      <c r="Y4179">
        <v>59.1</v>
      </c>
      <c r="Z4179">
        <v>25.4</v>
      </c>
      <c r="AA4179">
        <v>92.9</v>
      </c>
    </row>
    <row r="4180" spans="1:27" x14ac:dyDescent="0.25">
      <c r="A4180" t="s">
        <v>266</v>
      </c>
      <c r="B4180" t="s">
        <v>218</v>
      </c>
      <c r="C4180" s="76">
        <v>43990</v>
      </c>
      <c r="D4180">
        <v>894</v>
      </c>
      <c r="E4180">
        <v>0</v>
      </c>
      <c r="F4180">
        <v>1806</v>
      </c>
      <c r="G4180">
        <v>1205</v>
      </c>
      <c r="H4180">
        <v>42.6</v>
      </c>
      <c r="I4180">
        <v>20.3</v>
      </c>
      <c r="J4180">
        <v>64.900000000000006</v>
      </c>
      <c r="K4180">
        <v>78</v>
      </c>
      <c r="L4180">
        <v>0</v>
      </c>
      <c r="M4180">
        <v>204</v>
      </c>
      <c r="N4180">
        <v>3.7</v>
      </c>
      <c r="O4180">
        <v>0</v>
      </c>
      <c r="P4180">
        <v>8</v>
      </c>
      <c r="Q4180">
        <f t="shared" si="128"/>
        <v>896581</v>
      </c>
      <c r="R4180">
        <f t="shared" si="129"/>
        <v>8.6997159208147394</v>
      </c>
      <c r="U4180">
        <v>106</v>
      </c>
      <c r="V4180">
        <v>0</v>
      </c>
      <c r="W4180">
        <v>246</v>
      </c>
      <c r="X4180">
        <v>61</v>
      </c>
      <c r="Y4180">
        <v>63.5</v>
      </c>
      <c r="Z4180">
        <v>22.7</v>
      </c>
      <c r="AA4180">
        <v>100</v>
      </c>
    </row>
    <row r="4181" spans="1:27" x14ac:dyDescent="0.25">
      <c r="A4181" t="s">
        <v>266</v>
      </c>
      <c r="B4181" t="s">
        <v>218</v>
      </c>
      <c r="C4181" s="76">
        <v>43991</v>
      </c>
      <c r="D4181">
        <v>1028</v>
      </c>
      <c r="E4181">
        <v>0</v>
      </c>
      <c r="F4181">
        <v>2059</v>
      </c>
      <c r="G4181">
        <v>1128</v>
      </c>
      <c r="H4181">
        <v>47.7</v>
      </c>
      <c r="I4181">
        <v>23.3</v>
      </c>
      <c r="J4181">
        <v>72.099999999999994</v>
      </c>
      <c r="K4181">
        <v>108</v>
      </c>
      <c r="L4181">
        <v>0</v>
      </c>
      <c r="M4181">
        <v>257</v>
      </c>
      <c r="N4181">
        <v>5</v>
      </c>
      <c r="O4181">
        <v>0.3</v>
      </c>
      <c r="P4181">
        <v>9.6999999999999993</v>
      </c>
      <c r="Q4181">
        <f t="shared" si="128"/>
        <v>896581</v>
      </c>
      <c r="R4181">
        <f t="shared" si="129"/>
        <v>12.045760505743486</v>
      </c>
      <c r="U4181">
        <v>114</v>
      </c>
      <c r="V4181">
        <v>0</v>
      </c>
      <c r="W4181">
        <v>254</v>
      </c>
      <c r="X4181">
        <v>65</v>
      </c>
      <c r="Y4181">
        <v>63.6</v>
      </c>
      <c r="Z4181">
        <v>34.299999999999997</v>
      </c>
      <c r="AA4181">
        <v>92.9</v>
      </c>
    </row>
    <row r="4182" spans="1:27" x14ac:dyDescent="0.25">
      <c r="A4182" t="s">
        <v>266</v>
      </c>
      <c r="B4182" t="s">
        <v>218</v>
      </c>
      <c r="C4182" s="76">
        <v>43992</v>
      </c>
      <c r="D4182">
        <v>1027</v>
      </c>
      <c r="E4182">
        <v>0</v>
      </c>
      <c r="F4182">
        <v>2054</v>
      </c>
      <c r="G4182">
        <v>1158</v>
      </c>
      <c r="H4182">
        <v>47</v>
      </c>
      <c r="I4182">
        <v>24.5</v>
      </c>
      <c r="J4182">
        <v>69.400000000000006</v>
      </c>
      <c r="K4182">
        <v>93</v>
      </c>
      <c r="L4182">
        <v>0</v>
      </c>
      <c r="M4182">
        <v>228</v>
      </c>
      <c r="N4182">
        <v>4.2</v>
      </c>
      <c r="O4182">
        <v>0.1</v>
      </c>
      <c r="P4182">
        <v>8.4</v>
      </c>
      <c r="Q4182">
        <f t="shared" si="128"/>
        <v>896581</v>
      </c>
      <c r="R4182">
        <f t="shared" si="129"/>
        <v>10.372738213279113</v>
      </c>
      <c r="U4182">
        <v>95</v>
      </c>
      <c r="V4182">
        <v>0</v>
      </c>
      <c r="W4182">
        <v>230</v>
      </c>
      <c r="X4182">
        <v>64</v>
      </c>
      <c r="Y4182">
        <v>59.7</v>
      </c>
      <c r="Z4182">
        <v>28.3</v>
      </c>
      <c r="AA4182">
        <v>91.1</v>
      </c>
    </row>
    <row r="4183" spans="1:27" x14ac:dyDescent="0.25">
      <c r="A4183" t="s">
        <v>266</v>
      </c>
      <c r="B4183" t="s">
        <v>218</v>
      </c>
      <c r="C4183" s="76">
        <v>43993</v>
      </c>
      <c r="D4183">
        <v>1066</v>
      </c>
      <c r="E4183">
        <v>81</v>
      </c>
      <c r="F4183">
        <v>2051</v>
      </c>
      <c r="G4183">
        <v>1108</v>
      </c>
      <c r="H4183">
        <v>49</v>
      </c>
      <c r="I4183">
        <v>29.5</v>
      </c>
      <c r="J4183">
        <v>68.599999999999994</v>
      </c>
      <c r="K4183">
        <v>97</v>
      </c>
      <c r="L4183">
        <v>0</v>
      </c>
      <c r="M4183">
        <v>238</v>
      </c>
      <c r="N4183">
        <v>4.4000000000000004</v>
      </c>
      <c r="O4183">
        <v>0.2</v>
      </c>
      <c r="P4183">
        <v>8.6999999999999993</v>
      </c>
      <c r="Q4183">
        <f t="shared" si="128"/>
        <v>896581</v>
      </c>
      <c r="R4183">
        <f t="shared" si="129"/>
        <v>10.818877491269612</v>
      </c>
      <c r="U4183">
        <v>108</v>
      </c>
      <c r="V4183">
        <v>0</v>
      </c>
      <c r="W4183">
        <v>246</v>
      </c>
      <c r="X4183">
        <v>69</v>
      </c>
      <c r="Y4183">
        <v>60.7</v>
      </c>
      <c r="Z4183">
        <v>30.7</v>
      </c>
      <c r="AA4183">
        <v>90.7</v>
      </c>
    </row>
    <row r="4184" spans="1:27" x14ac:dyDescent="0.25">
      <c r="A4184" t="s">
        <v>266</v>
      </c>
      <c r="B4184" t="s">
        <v>218</v>
      </c>
      <c r="C4184" s="76">
        <v>43994</v>
      </c>
      <c r="D4184">
        <v>1026</v>
      </c>
      <c r="E4184">
        <v>13</v>
      </c>
      <c r="F4184">
        <v>2039</v>
      </c>
      <c r="G4184">
        <v>1161</v>
      </c>
      <c r="H4184">
        <v>46.9</v>
      </c>
      <c r="I4184">
        <v>24.8</v>
      </c>
      <c r="J4184">
        <v>69</v>
      </c>
      <c r="K4184">
        <v>84</v>
      </c>
      <c r="L4184">
        <v>0</v>
      </c>
      <c r="M4184">
        <v>204</v>
      </c>
      <c r="N4184">
        <v>3.8</v>
      </c>
      <c r="O4184">
        <v>0.2</v>
      </c>
      <c r="P4184">
        <v>7.4</v>
      </c>
      <c r="Q4184">
        <f t="shared" si="128"/>
        <v>896581</v>
      </c>
      <c r="R4184">
        <f t="shared" si="129"/>
        <v>9.3689248378004901</v>
      </c>
      <c r="U4184">
        <v>104</v>
      </c>
      <c r="V4184">
        <v>0</v>
      </c>
      <c r="W4184">
        <v>246</v>
      </c>
      <c r="X4184">
        <v>49</v>
      </c>
      <c r="Y4184">
        <v>68.2</v>
      </c>
      <c r="Z4184">
        <v>41.5</v>
      </c>
      <c r="AA4184">
        <v>94.8</v>
      </c>
    </row>
    <row r="4185" spans="1:27" x14ac:dyDescent="0.25">
      <c r="A4185" t="s">
        <v>266</v>
      </c>
      <c r="B4185" t="s">
        <v>218</v>
      </c>
      <c r="C4185" s="76">
        <v>43995</v>
      </c>
      <c r="D4185">
        <v>997</v>
      </c>
      <c r="E4185">
        <v>37</v>
      </c>
      <c r="F4185">
        <v>1957</v>
      </c>
      <c r="G4185">
        <v>1179</v>
      </c>
      <c r="H4185">
        <v>45.8</v>
      </c>
      <c r="I4185">
        <v>25.3</v>
      </c>
      <c r="J4185">
        <v>66.3</v>
      </c>
      <c r="K4185">
        <v>79</v>
      </c>
      <c r="L4185">
        <v>0</v>
      </c>
      <c r="M4185">
        <v>189</v>
      </c>
      <c r="N4185">
        <v>3.6</v>
      </c>
      <c r="O4185">
        <v>0.2</v>
      </c>
      <c r="P4185">
        <v>7</v>
      </c>
      <c r="Q4185">
        <f t="shared" si="128"/>
        <v>896581</v>
      </c>
      <c r="R4185">
        <f t="shared" si="129"/>
        <v>8.8112507403123637</v>
      </c>
      <c r="U4185">
        <v>109</v>
      </c>
      <c r="V4185">
        <v>0</v>
      </c>
      <c r="W4185">
        <v>264</v>
      </c>
      <c r="X4185">
        <v>83</v>
      </c>
      <c r="Y4185">
        <v>56.7</v>
      </c>
      <c r="Z4185">
        <v>18.100000000000001</v>
      </c>
      <c r="AA4185">
        <v>95.4</v>
      </c>
    </row>
    <row r="4186" spans="1:27" x14ac:dyDescent="0.25">
      <c r="A4186" t="s">
        <v>266</v>
      </c>
      <c r="B4186" t="s">
        <v>218</v>
      </c>
      <c r="C4186" s="76">
        <v>43996</v>
      </c>
      <c r="D4186">
        <v>961</v>
      </c>
      <c r="E4186">
        <v>35</v>
      </c>
      <c r="F4186">
        <v>1887</v>
      </c>
      <c r="G4186">
        <v>1203</v>
      </c>
      <c r="H4186">
        <v>44.4</v>
      </c>
      <c r="I4186">
        <v>24.5</v>
      </c>
      <c r="J4186">
        <v>64.3</v>
      </c>
      <c r="K4186">
        <v>77</v>
      </c>
      <c r="L4186">
        <v>0</v>
      </c>
      <c r="M4186">
        <v>181</v>
      </c>
      <c r="N4186">
        <v>3.5</v>
      </c>
      <c r="O4186">
        <v>0.2</v>
      </c>
      <c r="P4186">
        <v>6.9</v>
      </c>
      <c r="Q4186">
        <f t="shared" si="128"/>
        <v>896581</v>
      </c>
      <c r="R4186">
        <f t="shared" si="129"/>
        <v>8.5881811013171152</v>
      </c>
      <c r="U4186">
        <v>93</v>
      </c>
      <c r="V4186">
        <v>0</v>
      </c>
      <c r="W4186">
        <v>234</v>
      </c>
      <c r="X4186">
        <v>94</v>
      </c>
      <c r="Y4186">
        <v>49.7</v>
      </c>
      <c r="Z4186">
        <v>16.7</v>
      </c>
      <c r="AA4186">
        <v>82.6</v>
      </c>
    </row>
    <row r="4187" spans="1:27" x14ac:dyDescent="0.25">
      <c r="A4187" t="s">
        <v>266</v>
      </c>
      <c r="B4187" t="s">
        <v>218</v>
      </c>
      <c r="C4187" s="76">
        <v>43997</v>
      </c>
      <c r="D4187">
        <v>992</v>
      </c>
      <c r="E4187">
        <v>0</v>
      </c>
      <c r="F4187">
        <v>1988</v>
      </c>
      <c r="G4187">
        <v>1140</v>
      </c>
      <c r="H4187">
        <v>46.5</v>
      </c>
      <c r="I4187">
        <v>24.8</v>
      </c>
      <c r="J4187">
        <v>68.3</v>
      </c>
      <c r="K4187">
        <v>103</v>
      </c>
      <c r="L4187">
        <v>0</v>
      </c>
      <c r="M4187">
        <v>265</v>
      </c>
      <c r="N4187">
        <v>4.8</v>
      </c>
      <c r="O4187">
        <v>0</v>
      </c>
      <c r="P4187">
        <v>10.1</v>
      </c>
      <c r="Q4187">
        <f t="shared" si="128"/>
        <v>896581</v>
      </c>
      <c r="R4187">
        <f t="shared" si="129"/>
        <v>11.488086408255361</v>
      </c>
      <c r="U4187">
        <v>95</v>
      </c>
      <c r="V4187">
        <v>0</v>
      </c>
      <c r="W4187">
        <v>227</v>
      </c>
      <c r="X4187">
        <v>92</v>
      </c>
      <c r="Y4187">
        <v>50.6</v>
      </c>
      <c r="Z4187">
        <v>36.9</v>
      </c>
      <c r="AA4187">
        <v>64.400000000000006</v>
      </c>
    </row>
    <row r="4188" spans="1:27" x14ac:dyDescent="0.25">
      <c r="A4188" t="s">
        <v>266</v>
      </c>
      <c r="B4188" t="s">
        <v>218</v>
      </c>
      <c r="C4188" s="76">
        <v>43998</v>
      </c>
      <c r="D4188">
        <v>1017</v>
      </c>
      <c r="E4188">
        <v>14</v>
      </c>
      <c r="F4188">
        <v>2019</v>
      </c>
      <c r="G4188">
        <v>1082</v>
      </c>
      <c r="H4188">
        <v>48.5</v>
      </c>
      <c r="I4188">
        <v>27.4</v>
      </c>
      <c r="J4188">
        <v>69.599999999999994</v>
      </c>
      <c r="K4188">
        <v>104</v>
      </c>
      <c r="L4188">
        <v>0</v>
      </c>
      <c r="M4188">
        <v>270</v>
      </c>
      <c r="N4188">
        <v>5</v>
      </c>
      <c r="O4188">
        <v>0</v>
      </c>
      <c r="P4188">
        <v>10.4</v>
      </c>
      <c r="Q4188">
        <f t="shared" si="128"/>
        <v>896581</v>
      </c>
      <c r="R4188">
        <f t="shared" si="129"/>
        <v>11.599621227752985</v>
      </c>
      <c r="U4188">
        <v>80</v>
      </c>
      <c r="V4188">
        <v>0</v>
      </c>
      <c r="W4188">
        <v>204</v>
      </c>
      <c r="X4188">
        <v>53</v>
      </c>
      <c r="Y4188">
        <v>60.4</v>
      </c>
      <c r="Z4188">
        <v>34.4</v>
      </c>
      <c r="AA4188">
        <v>86.4</v>
      </c>
    </row>
    <row r="4189" spans="1:27" x14ac:dyDescent="0.25">
      <c r="A4189" t="s">
        <v>266</v>
      </c>
      <c r="B4189" t="s">
        <v>218</v>
      </c>
      <c r="C4189" s="76">
        <v>43999</v>
      </c>
      <c r="D4189">
        <v>1062</v>
      </c>
      <c r="E4189">
        <v>70</v>
      </c>
      <c r="F4189">
        <v>2054</v>
      </c>
      <c r="G4189">
        <v>960</v>
      </c>
      <c r="H4189">
        <v>52.5</v>
      </c>
      <c r="I4189">
        <v>32.9</v>
      </c>
      <c r="J4189">
        <v>72</v>
      </c>
      <c r="K4189">
        <v>130</v>
      </c>
      <c r="L4189">
        <v>0</v>
      </c>
      <c r="M4189">
        <v>301</v>
      </c>
      <c r="N4189">
        <v>6.4</v>
      </c>
      <c r="O4189">
        <v>1.1000000000000001</v>
      </c>
      <c r="P4189">
        <v>11.7</v>
      </c>
      <c r="Q4189">
        <f t="shared" si="128"/>
        <v>896581</v>
      </c>
      <c r="R4189">
        <f t="shared" si="129"/>
        <v>14.499526534691233</v>
      </c>
      <c r="U4189">
        <v>132</v>
      </c>
      <c r="V4189">
        <v>0</v>
      </c>
      <c r="W4189">
        <v>326</v>
      </c>
      <c r="X4189">
        <v>39</v>
      </c>
      <c r="Y4189">
        <v>77.2</v>
      </c>
      <c r="Z4189">
        <v>48.4</v>
      </c>
      <c r="AA4189">
        <v>100</v>
      </c>
    </row>
    <row r="4190" spans="1:27" x14ac:dyDescent="0.25">
      <c r="A4190" t="s">
        <v>266</v>
      </c>
      <c r="B4190" t="s">
        <v>218</v>
      </c>
      <c r="C4190" s="76">
        <v>44000</v>
      </c>
      <c r="D4190">
        <v>1158</v>
      </c>
      <c r="E4190">
        <v>132</v>
      </c>
      <c r="F4190">
        <v>2185</v>
      </c>
      <c r="G4190">
        <v>863</v>
      </c>
      <c r="H4190">
        <v>57.3</v>
      </c>
      <c r="I4190">
        <v>36.799999999999997</v>
      </c>
      <c r="J4190">
        <v>77.8</v>
      </c>
      <c r="K4190">
        <v>113</v>
      </c>
      <c r="L4190">
        <v>0</v>
      </c>
      <c r="M4190">
        <v>274</v>
      </c>
      <c r="N4190">
        <v>5.6</v>
      </c>
      <c r="O4190">
        <v>0.4</v>
      </c>
      <c r="P4190">
        <v>10.8</v>
      </c>
      <c r="Q4190">
        <f t="shared" si="128"/>
        <v>896581</v>
      </c>
      <c r="R4190">
        <f t="shared" si="129"/>
        <v>12.60343460323161</v>
      </c>
      <c r="U4190">
        <v>136</v>
      </c>
      <c r="V4190">
        <v>0</v>
      </c>
      <c r="W4190">
        <v>328</v>
      </c>
      <c r="X4190">
        <v>60</v>
      </c>
      <c r="Y4190">
        <v>69.2</v>
      </c>
      <c r="Z4190">
        <v>50.1</v>
      </c>
      <c r="AA4190">
        <v>88.3</v>
      </c>
    </row>
    <row r="4191" spans="1:27" x14ac:dyDescent="0.25">
      <c r="A4191" t="s">
        <v>266</v>
      </c>
      <c r="B4191" t="s">
        <v>218</v>
      </c>
      <c r="C4191" s="76">
        <v>44001</v>
      </c>
      <c r="D4191">
        <v>1156</v>
      </c>
      <c r="E4191">
        <v>49</v>
      </c>
      <c r="F4191">
        <v>2263</v>
      </c>
      <c r="G4191">
        <v>964</v>
      </c>
      <c r="H4191">
        <v>54.5</v>
      </c>
      <c r="I4191">
        <v>31</v>
      </c>
      <c r="J4191">
        <v>78</v>
      </c>
      <c r="K4191">
        <v>126</v>
      </c>
      <c r="L4191">
        <v>0</v>
      </c>
      <c r="M4191">
        <v>294</v>
      </c>
      <c r="N4191">
        <v>6</v>
      </c>
      <c r="O4191">
        <v>0.9</v>
      </c>
      <c r="P4191">
        <v>11.1</v>
      </c>
      <c r="Q4191">
        <f t="shared" si="128"/>
        <v>896581</v>
      </c>
      <c r="R4191">
        <f t="shared" si="129"/>
        <v>14.053387256700734</v>
      </c>
      <c r="U4191">
        <v>121</v>
      </c>
      <c r="V4191">
        <v>0</v>
      </c>
      <c r="W4191">
        <v>274</v>
      </c>
      <c r="X4191">
        <v>74</v>
      </c>
      <c r="Y4191">
        <v>61.9</v>
      </c>
      <c r="Z4191">
        <v>44.1</v>
      </c>
      <c r="AA4191">
        <v>79.7</v>
      </c>
    </row>
    <row r="4192" spans="1:27" x14ac:dyDescent="0.25">
      <c r="A4192" t="s">
        <v>266</v>
      </c>
      <c r="B4192" t="s">
        <v>218</v>
      </c>
      <c r="C4192" s="76">
        <v>44002</v>
      </c>
      <c r="D4192">
        <v>1113</v>
      </c>
      <c r="E4192">
        <v>66</v>
      </c>
      <c r="F4192">
        <v>2160</v>
      </c>
      <c r="G4192">
        <v>1038</v>
      </c>
      <c r="H4192">
        <v>51.7</v>
      </c>
      <c r="I4192">
        <v>29.7</v>
      </c>
      <c r="J4192">
        <v>73.8</v>
      </c>
      <c r="K4192">
        <v>111</v>
      </c>
      <c r="L4192">
        <v>0</v>
      </c>
      <c r="M4192">
        <v>260</v>
      </c>
      <c r="N4192">
        <v>5.2</v>
      </c>
      <c r="O4192">
        <v>0.6</v>
      </c>
      <c r="P4192">
        <v>9.6999999999999993</v>
      </c>
      <c r="Q4192">
        <f t="shared" si="128"/>
        <v>896581</v>
      </c>
      <c r="R4192">
        <f t="shared" si="129"/>
        <v>12.38036496423636</v>
      </c>
      <c r="U4192">
        <v>121</v>
      </c>
      <c r="V4192">
        <v>0</v>
      </c>
      <c r="W4192">
        <v>284</v>
      </c>
      <c r="X4192">
        <v>77</v>
      </c>
      <c r="Y4192">
        <v>61.3</v>
      </c>
      <c r="Z4192">
        <v>30.5</v>
      </c>
      <c r="AA4192">
        <v>92.1</v>
      </c>
    </row>
    <row r="4193" spans="1:27" x14ac:dyDescent="0.25">
      <c r="A4193" t="s">
        <v>266</v>
      </c>
      <c r="B4193" t="s">
        <v>218</v>
      </c>
      <c r="C4193" s="76">
        <v>44003</v>
      </c>
      <c r="D4193">
        <v>1047</v>
      </c>
      <c r="E4193">
        <v>40</v>
      </c>
      <c r="F4193">
        <v>2054</v>
      </c>
      <c r="G4193">
        <v>1101</v>
      </c>
      <c r="H4193">
        <v>48.7</v>
      </c>
      <c r="I4193">
        <v>26.9</v>
      </c>
      <c r="J4193">
        <v>70.599999999999994</v>
      </c>
      <c r="K4193">
        <v>98</v>
      </c>
      <c r="L4193">
        <v>0</v>
      </c>
      <c r="M4193">
        <v>243</v>
      </c>
      <c r="N4193">
        <v>4.5999999999999996</v>
      </c>
      <c r="O4193">
        <v>0</v>
      </c>
      <c r="P4193">
        <v>9.1999999999999993</v>
      </c>
      <c r="Q4193">
        <f t="shared" si="128"/>
        <v>896581</v>
      </c>
      <c r="R4193">
        <f t="shared" si="129"/>
        <v>10.930412310767236</v>
      </c>
      <c r="U4193">
        <v>110</v>
      </c>
      <c r="V4193">
        <v>0</v>
      </c>
      <c r="W4193">
        <v>254</v>
      </c>
      <c r="X4193">
        <v>95</v>
      </c>
      <c r="Y4193">
        <v>53.6</v>
      </c>
      <c r="Z4193">
        <v>33</v>
      </c>
      <c r="AA4193">
        <v>74.3</v>
      </c>
    </row>
    <row r="4194" spans="1:27" x14ac:dyDescent="0.25">
      <c r="A4194" t="s">
        <v>266</v>
      </c>
      <c r="B4194" t="s">
        <v>218</v>
      </c>
      <c r="C4194" s="76">
        <v>44004</v>
      </c>
      <c r="D4194">
        <v>1030</v>
      </c>
      <c r="E4194">
        <v>9</v>
      </c>
      <c r="F4194">
        <v>2052</v>
      </c>
      <c r="G4194">
        <v>1073</v>
      </c>
      <c r="H4194">
        <v>49</v>
      </c>
      <c r="I4194">
        <v>23.6</v>
      </c>
      <c r="J4194">
        <v>74.400000000000006</v>
      </c>
      <c r="K4194">
        <v>113</v>
      </c>
      <c r="L4194">
        <v>0</v>
      </c>
      <c r="M4194">
        <v>295</v>
      </c>
      <c r="N4194">
        <v>5.4</v>
      </c>
      <c r="O4194">
        <v>0</v>
      </c>
      <c r="P4194">
        <v>11.6</v>
      </c>
      <c r="Q4194">
        <f t="shared" si="128"/>
        <v>896581</v>
      </c>
      <c r="R4194">
        <f t="shared" si="129"/>
        <v>12.60343460323161</v>
      </c>
      <c r="U4194">
        <v>144</v>
      </c>
      <c r="V4194">
        <v>0</v>
      </c>
      <c r="W4194">
        <v>345</v>
      </c>
      <c r="X4194">
        <v>62</v>
      </c>
      <c r="Y4194">
        <v>69.900000000000006</v>
      </c>
      <c r="Z4194">
        <v>48.1</v>
      </c>
      <c r="AA4194">
        <v>91.7</v>
      </c>
    </row>
    <row r="4195" spans="1:27" x14ac:dyDescent="0.25">
      <c r="A4195" t="s">
        <v>266</v>
      </c>
      <c r="B4195" t="s">
        <v>218</v>
      </c>
      <c r="C4195" s="76">
        <v>44005</v>
      </c>
      <c r="D4195">
        <v>1140</v>
      </c>
      <c r="E4195">
        <v>116</v>
      </c>
      <c r="F4195">
        <v>2164</v>
      </c>
      <c r="G4195">
        <v>998</v>
      </c>
      <c r="H4195">
        <v>53.3</v>
      </c>
      <c r="I4195">
        <v>30.9</v>
      </c>
      <c r="J4195">
        <v>75.8</v>
      </c>
      <c r="K4195">
        <v>107</v>
      </c>
      <c r="L4195">
        <v>0</v>
      </c>
      <c r="M4195">
        <v>273</v>
      </c>
      <c r="N4195">
        <v>5</v>
      </c>
      <c r="O4195">
        <v>0</v>
      </c>
      <c r="P4195">
        <v>10.6</v>
      </c>
      <c r="Q4195">
        <f t="shared" si="128"/>
        <v>896581</v>
      </c>
      <c r="R4195">
        <f t="shared" si="129"/>
        <v>11.93422568624586</v>
      </c>
      <c r="U4195">
        <v>149</v>
      </c>
      <c r="V4195">
        <v>0</v>
      </c>
      <c r="W4195">
        <v>355</v>
      </c>
      <c r="X4195">
        <v>57</v>
      </c>
      <c r="Y4195">
        <v>72.5</v>
      </c>
      <c r="Z4195">
        <v>50.9</v>
      </c>
      <c r="AA4195">
        <v>94.1</v>
      </c>
    </row>
    <row r="4196" spans="1:27" x14ac:dyDescent="0.25">
      <c r="A4196" t="s">
        <v>266</v>
      </c>
      <c r="B4196" t="s">
        <v>218</v>
      </c>
      <c r="C4196" s="76">
        <v>44006</v>
      </c>
      <c r="D4196">
        <v>548</v>
      </c>
      <c r="E4196">
        <v>198</v>
      </c>
      <c r="F4196">
        <v>899</v>
      </c>
      <c r="G4196">
        <v>1158</v>
      </c>
      <c r="H4196">
        <v>32.1</v>
      </c>
      <c r="I4196">
        <v>24.3</v>
      </c>
      <c r="J4196">
        <v>40</v>
      </c>
      <c r="K4196">
        <v>39</v>
      </c>
      <c r="L4196">
        <v>0</v>
      </c>
      <c r="M4196">
        <v>90</v>
      </c>
      <c r="N4196">
        <v>2.2999999999999998</v>
      </c>
      <c r="O4196">
        <v>0</v>
      </c>
      <c r="P4196">
        <v>5.5</v>
      </c>
      <c r="Q4196">
        <f t="shared" si="128"/>
        <v>896581</v>
      </c>
      <c r="R4196">
        <f t="shared" si="129"/>
        <v>4.3498579604073697</v>
      </c>
      <c r="U4196">
        <v>29</v>
      </c>
      <c r="V4196">
        <v>1</v>
      </c>
      <c r="W4196">
        <v>57</v>
      </c>
      <c r="X4196">
        <v>43</v>
      </c>
      <c r="Y4196">
        <v>40.299999999999997</v>
      </c>
      <c r="Z4196">
        <v>7.7</v>
      </c>
      <c r="AA4196">
        <v>72.900000000000006</v>
      </c>
    </row>
    <row r="4197" spans="1:27" x14ac:dyDescent="0.25">
      <c r="A4197" t="s">
        <v>266</v>
      </c>
      <c r="B4197" t="s">
        <v>218</v>
      </c>
      <c r="C4197" s="76">
        <v>44007</v>
      </c>
      <c r="D4197">
        <v>595</v>
      </c>
      <c r="E4197">
        <v>313</v>
      </c>
      <c r="F4197">
        <v>876</v>
      </c>
      <c r="G4197">
        <v>879</v>
      </c>
      <c r="H4197">
        <v>40.299999999999997</v>
      </c>
      <c r="I4197">
        <v>30.9</v>
      </c>
      <c r="J4197">
        <v>49.8</v>
      </c>
      <c r="K4197">
        <v>34</v>
      </c>
      <c r="L4197">
        <v>0</v>
      </c>
      <c r="M4197">
        <v>70</v>
      </c>
      <c r="N4197">
        <v>2.2999999999999998</v>
      </c>
      <c r="O4197">
        <v>0.1</v>
      </c>
      <c r="P4197">
        <v>4.4000000000000004</v>
      </c>
      <c r="Q4197">
        <f t="shared" si="128"/>
        <v>896581</v>
      </c>
      <c r="R4197">
        <f t="shared" si="129"/>
        <v>3.7921838629192455</v>
      </c>
      <c r="U4197">
        <v>42</v>
      </c>
      <c r="V4197">
        <v>1</v>
      </c>
      <c r="W4197">
        <v>82</v>
      </c>
      <c r="X4197">
        <v>52</v>
      </c>
      <c r="Y4197">
        <v>44.6</v>
      </c>
      <c r="Z4197">
        <v>10.1</v>
      </c>
      <c r="AA4197">
        <v>79.099999999999994</v>
      </c>
    </row>
    <row r="4198" spans="1:27" x14ac:dyDescent="0.25">
      <c r="A4198" t="s">
        <v>266</v>
      </c>
      <c r="B4198" t="s">
        <v>218</v>
      </c>
      <c r="C4198" s="76">
        <v>44008</v>
      </c>
      <c r="D4198">
        <v>573</v>
      </c>
      <c r="E4198">
        <v>307</v>
      </c>
      <c r="F4198">
        <v>840</v>
      </c>
      <c r="G4198">
        <v>1037</v>
      </c>
      <c r="H4198">
        <v>35.6</v>
      </c>
      <c r="I4198">
        <v>26.8</v>
      </c>
      <c r="J4198">
        <v>44.4</v>
      </c>
      <c r="K4198">
        <v>33</v>
      </c>
      <c r="L4198">
        <v>2</v>
      </c>
      <c r="M4198">
        <v>65</v>
      </c>
      <c r="N4198">
        <v>2.1</v>
      </c>
      <c r="O4198">
        <v>0.2</v>
      </c>
      <c r="P4198">
        <v>3.9</v>
      </c>
      <c r="Q4198">
        <f t="shared" si="128"/>
        <v>896581</v>
      </c>
      <c r="R4198">
        <f t="shared" si="129"/>
        <v>3.6806490434216208</v>
      </c>
      <c r="U4198">
        <v>34</v>
      </c>
      <c r="V4198">
        <v>0</v>
      </c>
      <c r="W4198">
        <v>72</v>
      </c>
      <c r="X4198">
        <v>43</v>
      </c>
      <c r="Y4198">
        <v>44</v>
      </c>
      <c r="Z4198">
        <v>7.6</v>
      </c>
      <c r="AA4198">
        <v>80.400000000000006</v>
      </c>
    </row>
    <row r="4199" spans="1:27" x14ac:dyDescent="0.25">
      <c r="A4199" t="s">
        <v>266</v>
      </c>
      <c r="B4199" t="s">
        <v>218</v>
      </c>
      <c r="C4199" s="76">
        <v>44009</v>
      </c>
      <c r="D4199">
        <v>526</v>
      </c>
      <c r="E4199">
        <v>253</v>
      </c>
      <c r="F4199">
        <v>800</v>
      </c>
      <c r="G4199">
        <v>1100</v>
      </c>
      <c r="H4199">
        <v>32.4</v>
      </c>
      <c r="I4199">
        <v>21.3</v>
      </c>
      <c r="J4199">
        <v>43.4</v>
      </c>
      <c r="K4199">
        <v>23</v>
      </c>
      <c r="L4199">
        <v>0</v>
      </c>
      <c r="M4199">
        <v>49</v>
      </c>
      <c r="N4199">
        <v>1.4</v>
      </c>
      <c r="O4199">
        <v>0</v>
      </c>
      <c r="P4199">
        <v>2.9</v>
      </c>
      <c r="Q4199">
        <f t="shared" ref="Q4199:Q4262" si="130">VLOOKUP(B4199,$AE$4:$AF$55,2,FALSE)</f>
        <v>896581</v>
      </c>
      <c r="R4199">
        <f t="shared" si="129"/>
        <v>2.5653008484453719</v>
      </c>
      <c r="U4199">
        <v>29</v>
      </c>
      <c r="V4199">
        <v>0</v>
      </c>
      <c r="W4199">
        <v>67</v>
      </c>
      <c r="X4199">
        <v>49</v>
      </c>
      <c r="Y4199">
        <v>35.700000000000003</v>
      </c>
      <c r="Z4199">
        <v>0</v>
      </c>
      <c r="AA4199">
        <v>76.8</v>
      </c>
    </row>
    <row r="4200" spans="1:27" x14ac:dyDescent="0.25">
      <c r="A4200" t="s">
        <v>266</v>
      </c>
      <c r="B4200" t="s">
        <v>218</v>
      </c>
      <c r="C4200" s="76">
        <v>44010</v>
      </c>
      <c r="D4200">
        <v>855</v>
      </c>
      <c r="E4200">
        <v>292</v>
      </c>
      <c r="F4200">
        <v>1418</v>
      </c>
      <c r="G4200">
        <v>1281</v>
      </c>
      <c r="H4200">
        <v>40</v>
      </c>
      <c r="I4200">
        <v>25.5</v>
      </c>
      <c r="J4200">
        <v>54.6</v>
      </c>
      <c r="K4200">
        <v>142</v>
      </c>
      <c r="L4200">
        <v>0</v>
      </c>
      <c r="M4200">
        <v>331</v>
      </c>
      <c r="N4200">
        <v>6.6</v>
      </c>
      <c r="O4200">
        <v>0</v>
      </c>
      <c r="P4200">
        <v>14.9</v>
      </c>
      <c r="Q4200">
        <f t="shared" si="130"/>
        <v>896581</v>
      </c>
      <c r="R4200">
        <f t="shared" si="129"/>
        <v>15.837944368662731</v>
      </c>
      <c r="U4200">
        <v>103</v>
      </c>
      <c r="V4200">
        <v>0</v>
      </c>
      <c r="W4200">
        <v>212</v>
      </c>
      <c r="X4200">
        <v>66</v>
      </c>
      <c r="Y4200">
        <v>60.7</v>
      </c>
      <c r="Z4200">
        <v>29.7</v>
      </c>
      <c r="AA4200">
        <v>91.7</v>
      </c>
    </row>
    <row r="4201" spans="1:27" x14ac:dyDescent="0.25">
      <c r="A4201" t="s">
        <v>266</v>
      </c>
      <c r="B4201" t="s">
        <v>218</v>
      </c>
      <c r="C4201" s="76">
        <v>44011</v>
      </c>
      <c r="D4201">
        <v>969</v>
      </c>
      <c r="E4201">
        <v>223</v>
      </c>
      <c r="F4201">
        <v>1714</v>
      </c>
      <c r="G4201">
        <v>1279</v>
      </c>
      <c r="H4201">
        <v>43.1</v>
      </c>
      <c r="I4201">
        <v>26.9</v>
      </c>
      <c r="J4201">
        <v>59.3</v>
      </c>
      <c r="K4201">
        <v>53</v>
      </c>
      <c r="L4201">
        <v>4</v>
      </c>
      <c r="M4201">
        <v>102</v>
      </c>
      <c r="N4201">
        <v>2.4</v>
      </c>
      <c r="O4201">
        <v>1.1000000000000001</v>
      </c>
      <c r="P4201">
        <v>3.6</v>
      </c>
      <c r="Q4201">
        <f t="shared" si="130"/>
        <v>896581</v>
      </c>
      <c r="R4201">
        <f t="shared" si="129"/>
        <v>5.9113454333741178</v>
      </c>
      <c r="U4201">
        <v>73</v>
      </c>
      <c r="V4201">
        <v>0</v>
      </c>
      <c r="W4201">
        <v>169</v>
      </c>
      <c r="X4201">
        <v>91</v>
      </c>
      <c r="Y4201">
        <v>44.5</v>
      </c>
      <c r="Z4201">
        <v>13.1</v>
      </c>
      <c r="AA4201">
        <v>76</v>
      </c>
    </row>
    <row r="4202" spans="1:27" x14ac:dyDescent="0.25">
      <c r="A4202" t="s">
        <v>266</v>
      </c>
      <c r="B4202" t="s">
        <v>218</v>
      </c>
      <c r="C4202" s="76">
        <v>44012</v>
      </c>
      <c r="D4202">
        <v>1068</v>
      </c>
      <c r="E4202">
        <v>0</v>
      </c>
      <c r="F4202">
        <v>2139</v>
      </c>
      <c r="G4202">
        <v>863</v>
      </c>
      <c r="H4202">
        <v>55.3</v>
      </c>
      <c r="I4202">
        <v>30.2</v>
      </c>
      <c r="J4202">
        <v>80.400000000000006</v>
      </c>
      <c r="K4202">
        <v>89</v>
      </c>
      <c r="L4202">
        <v>0</v>
      </c>
      <c r="M4202">
        <v>217</v>
      </c>
      <c r="N4202">
        <v>4.5999999999999996</v>
      </c>
      <c r="O4202">
        <v>0.4</v>
      </c>
      <c r="P4202">
        <v>8.9</v>
      </c>
      <c r="Q4202">
        <f t="shared" si="130"/>
        <v>896581</v>
      </c>
      <c r="R4202">
        <f t="shared" si="129"/>
        <v>9.926598935288613</v>
      </c>
      <c r="U4202">
        <v>122</v>
      </c>
      <c r="V4202">
        <v>0</v>
      </c>
      <c r="W4202">
        <v>311</v>
      </c>
      <c r="X4202">
        <v>69</v>
      </c>
      <c r="Y4202">
        <v>63.8</v>
      </c>
      <c r="Z4202">
        <v>36.4</v>
      </c>
      <c r="AA4202">
        <v>91.2</v>
      </c>
    </row>
    <row r="4203" spans="1:27" x14ac:dyDescent="0.25">
      <c r="A4203" t="s">
        <v>266</v>
      </c>
      <c r="B4203" t="s">
        <v>218</v>
      </c>
      <c r="C4203" s="76">
        <v>44013</v>
      </c>
      <c r="D4203">
        <v>1113</v>
      </c>
      <c r="E4203">
        <v>76</v>
      </c>
      <c r="F4203">
        <v>2149</v>
      </c>
      <c r="G4203">
        <v>894</v>
      </c>
      <c r="H4203">
        <v>55.5</v>
      </c>
      <c r="I4203">
        <v>32.799999999999997</v>
      </c>
      <c r="J4203">
        <v>78.099999999999994</v>
      </c>
      <c r="K4203">
        <v>82</v>
      </c>
      <c r="L4203">
        <v>0</v>
      </c>
      <c r="M4203">
        <v>200</v>
      </c>
      <c r="N4203">
        <v>4.0999999999999996</v>
      </c>
      <c r="O4203">
        <v>0.2</v>
      </c>
      <c r="P4203">
        <v>8</v>
      </c>
      <c r="Q4203">
        <f t="shared" si="130"/>
        <v>896581</v>
      </c>
      <c r="R4203">
        <f t="shared" si="129"/>
        <v>9.1458551988052381</v>
      </c>
      <c r="U4203">
        <v>130</v>
      </c>
      <c r="V4203">
        <v>0</v>
      </c>
      <c r="W4203">
        <v>320</v>
      </c>
      <c r="X4203">
        <v>72</v>
      </c>
      <c r="Y4203">
        <v>64.400000000000006</v>
      </c>
      <c r="Z4203">
        <v>37.700000000000003</v>
      </c>
      <c r="AA4203">
        <v>91.1</v>
      </c>
    </row>
    <row r="4204" spans="1:27" x14ac:dyDescent="0.25">
      <c r="A4204" t="s">
        <v>266</v>
      </c>
      <c r="B4204" t="s">
        <v>218</v>
      </c>
      <c r="C4204" s="76">
        <v>44014</v>
      </c>
      <c r="D4204">
        <v>1053</v>
      </c>
      <c r="E4204">
        <v>89</v>
      </c>
      <c r="F4204">
        <v>2016</v>
      </c>
      <c r="G4204">
        <v>913</v>
      </c>
      <c r="H4204">
        <v>53.6</v>
      </c>
      <c r="I4204">
        <v>32.5</v>
      </c>
      <c r="J4204">
        <v>74.599999999999994</v>
      </c>
      <c r="K4204">
        <v>71</v>
      </c>
      <c r="L4204">
        <v>0</v>
      </c>
      <c r="M4204">
        <v>175</v>
      </c>
      <c r="N4204">
        <v>3.6</v>
      </c>
      <c r="O4204">
        <v>0</v>
      </c>
      <c r="P4204">
        <v>7.1</v>
      </c>
      <c r="Q4204">
        <f t="shared" si="130"/>
        <v>896581</v>
      </c>
      <c r="R4204">
        <f t="shared" si="129"/>
        <v>7.9189721843313654</v>
      </c>
      <c r="U4204">
        <v>142</v>
      </c>
      <c r="V4204">
        <v>0</v>
      </c>
      <c r="W4204">
        <v>339</v>
      </c>
      <c r="X4204">
        <v>60</v>
      </c>
      <c r="Y4204">
        <v>70.099999999999994</v>
      </c>
      <c r="Z4204">
        <v>46.5</v>
      </c>
      <c r="AA4204">
        <v>93.8</v>
      </c>
    </row>
    <row r="4205" spans="1:27" x14ac:dyDescent="0.25">
      <c r="A4205" t="s">
        <v>266</v>
      </c>
      <c r="B4205" t="s">
        <v>218</v>
      </c>
      <c r="C4205" s="76">
        <v>44015</v>
      </c>
      <c r="D4205">
        <v>1027</v>
      </c>
      <c r="E4205">
        <v>71</v>
      </c>
      <c r="F4205">
        <v>1983</v>
      </c>
      <c r="G4205">
        <v>1088</v>
      </c>
      <c r="H4205">
        <v>48.6</v>
      </c>
      <c r="I4205">
        <v>27.5</v>
      </c>
      <c r="J4205">
        <v>69.599999999999994</v>
      </c>
      <c r="K4205">
        <v>68</v>
      </c>
      <c r="L4205">
        <v>0</v>
      </c>
      <c r="M4205">
        <v>159</v>
      </c>
      <c r="N4205">
        <v>3.2</v>
      </c>
      <c r="O4205">
        <v>0.4</v>
      </c>
      <c r="P4205">
        <v>6</v>
      </c>
      <c r="Q4205">
        <f t="shared" si="130"/>
        <v>896581</v>
      </c>
      <c r="R4205">
        <f t="shared" si="129"/>
        <v>7.5843677258384909</v>
      </c>
      <c r="U4205">
        <v>151</v>
      </c>
      <c r="V4205">
        <v>0</v>
      </c>
      <c r="W4205">
        <v>352</v>
      </c>
      <c r="X4205">
        <v>59</v>
      </c>
      <c r="Y4205">
        <v>71.8</v>
      </c>
      <c r="Z4205">
        <v>44.5</v>
      </c>
      <c r="AA4205">
        <v>99.1</v>
      </c>
    </row>
    <row r="4206" spans="1:27" x14ac:dyDescent="0.25">
      <c r="A4206" t="s">
        <v>266</v>
      </c>
      <c r="B4206" t="s">
        <v>218</v>
      </c>
      <c r="C4206" s="76">
        <v>44016</v>
      </c>
      <c r="D4206">
        <v>960</v>
      </c>
      <c r="E4206">
        <v>28</v>
      </c>
      <c r="F4206">
        <v>1892</v>
      </c>
      <c r="G4206">
        <v>1153</v>
      </c>
      <c r="H4206">
        <v>45.4</v>
      </c>
      <c r="I4206">
        <v>22.9</v>
      </c>
      <c r="J4206">
        <v>68</v>
      </c>
      <c r="K4206">
        <v>79</v>
      </c>
      <c r="L4206">
        <v>0</v>
      </c>
      <c r="M4206">
        <v>166</v>
      </c>
      <c r="N4206">
        <v>3.7</v>
      </c>
      <c r="O4206">
        <v>1.3</v>
      </c>
      <c r="P4206">
        <v>6.2</v>
      </c>
      <c r="Q4206">
        <f t="shared" si="130"/>
        <v>896581</v>
      </c>
      <c r="R4206">
        <f t="shared" si="129"/>
        <v>8.8112507403123637</v>
      </c>
      <c r="U4206">
        <v>144</v>
      </c>
      <c r="V4206">
        <v>0</v>
      </c>
      <c r="W4206">
        <v>338</v>
      </c>
      <c r="X4206">
        <v>66</v>
      </c>
      <c r="Y4206">
        <v>68.5</v>
      </c>
      <c r="Z4206">
        <v>40.799999999999997</v>
      </c>
      <c r="AA4206">
        <v>96.3</v>
      </c>
    </row>
    <row r="4207" spans="1:27" x14ac:dyDescent="0.25">
      <c r="A4207" t="s">
        <v>266</v>
      </c>
      <c r="B4207" t="s">
        <v>218</v>
      </c>
      <c r="C4207" s="76">
        <v>44017</v>
      </c>
      <c r="D4207">
        <v>930</v>
      </c>
      <c r="E4207">
        <v>11</v>
      </c>
      <c r="F4207">
        <v>1849</v>
      </c>
      <c r="G4207">
        <v>1182</v>
      </c>
      <c r="H4207">
        <v>44</v>
      </c>
      <c r="I4207">
        <v>21.3</v>
      </c>
      <c r="J4207">
        <v>66.8</v>
      </c>
      <c r="K4207">
        <v>77</v>
      </c>
      <c r="L4207">
        <v>0</v>
      </c>
      <c r="M4207">
        <v>167</v>
      </c>
      <c r="N4207">
        <v>3.7</v>
      </c>
      <c r="O4207">
        <v>0.9</v>
      </c>
      <c r="P4207">
        <v>6.4</v>
      </c>
      <c r="Q4207">
        <f t="shared" si="130"/>
        <v>896581</v>
      </c>
      <c r="R4207">
        <f t="shared" si="129"/>
        <v>8.5881811013171152</v>
      </c>
      <c r="U4207">
        <v>150</v>
      </c>
      <c r="V4207">
        <v>0</v>
      </c>
      <c r="W4207">
        <v>345</v>
      </c>
      <c r="X4207">
        <v>61</v>
      </c>
      <c r="Y4207">
        <v>71.099999999999994</v>
      </c>
      <c r="Z4207">
        <v>40.5</v>
      </c>
      <c r="AA4207">
        <v>100</v>
      </c>
    </row>
    <row r="4208" spans="1:27" x14ac:dyDescent="0.25">
      <c r="A4208" t="s">
        <v>266</v>
      </c>
      <c r="B4208" t="s">
        <v>218</v>
      </c>
      <c r="C4208" s="76">
        <v>44018</v>
      </c>
      <c r="D4208">
        <v>980</v>
      </c>
      <c r="E4208">
        <v>33</v>
      </c>
      <c r="F4208">
        <v>1926</v>
      </c>
      <c r="G4208">
        <v>1133</v>
      </c>
      <c r="H4208">
        <v>46.4</v>
      </c>
      <c r="I4208">
        <v>24.4</v>
      </c>
      <c r="J4208">
        <v>68.400000000000006</v>
      </c>
      <c r="K4208">
        <v>78</v>
      </c>
      <c r="L4208">
        <v>0</v>
      </c>
      <c r="M4208">
        <v>180</v>
      </c>
      <c r="N4208">
        <v>3.7</v>
      </c>
      <c r="O4208">
        <v>0.6</v>
      </c>
      <c r="P4208">
        <v>6.8</v>
      </c>
      <c r="Q4208">
        <f t="shared" si="130"/>
        <v>896581</v>
      </c>
      <c r="R4208">
        <f t="shared" si="129"/>
        <v>8.6997159208147394</v>
      </c>
      <c r="U4208">
        <v>147</v>
      </c>
      <c r="V4208">
        <v>0</v>
      </c>
      <c r="W4208">
        <v>349</v>
      </c>
      <c r="X4208">
        <v>63</v>
      </c>
      <c r="Y4208">
        <v>70</v>
      </c>
      <c r="Z4208">
        <v>41.5</v>
      </c>
      <c r="AA4208">
        <v>98.5</v>
      </c>
    </row>
    <row r="4209" spans="1:27" x14ac:dyDescent="0.25">
      <c r="A4209" t="s">
        <v>266</v>
      </c>
      <c r="B4209" t="s">
        <v>218</v>
      </c>
      <c r="C4209" s="76">
        <v>44019</v>
      </c>
      <c r="D4209">
        <v>1042</v>
      </c>
      <c r="E4209">
        <v>6</v>
      </c>
      <c r="F4209">
        <v>2077</v>
      </c>
      <c r="G4209">
        <v>1071</v>
      </c>
      <c r="H4209">
        <v>49.3</v>
      </c>
      <c r="I4209">
        <v>24.7</v>
      </c>
      <c r="J4209">
        <v>73.900000000000006</v>
      </c>
      <c r="K4209">
        <v>83</v>
      </c>
      <c r="L4209">
        <v>0</v>
      </c>
      <c r="M4209">
        <v>190</v>
      </c>
      <c r="N4209">
        <v>3.9</v>
      </c>
      <c r="O4209">
        <v>0.6</v>
      </c>
      <c r="P4209">
        <v>7.2</v>
      </c>
      <c r="Q4209">
        <f t="shared" si="130"/>
        <v>896581</v>
      </c>
      <c r="R4209">
        <f t="shared" si="129"/>
        <v>9.2573900183028641</v>
      </c>
      <c r="U4209">
        <v>136</v>
      </c>
      <c r="V4209">
        <v>0</v>
      </c>
      <c r="W4209">
        <v>318</v>
      </c>
      <c r="X4209">
        <v>75</v>
      </c>
      <c r="Y4209">
        <v>64.599999999999994</v>
      </c>
      <c r="Z4209">
        <v>36.299999999999997</v>
      </c>
      <c r="AA4209">
        <v>92.8</v>
      </c>
    </row>
    <row r="4210" spans="1:27" x14ac:dyDescent="0.25">
      <c r="A4210" t="s">
        <v>267</v>
      </c>
      <c r="B4210" t="s">
        <v>186</v>
      </c>
      <c r="C4210" s="76">
        <v>43936</v>
      </c>
      <c r="D4210">
        <v>10628</v>
      </c>
      <c r="E4210">
        <v>7516</v>
      </c>
      <c r="F4210">
        <v>13740</v>
      </c>
      <c r="G4210">
        <v>9918</v>
      </c>
      <c r="H4210">
        <v>51.7</v>
      </c>
      <c r="I4210">
        <v>47.8</v>
      </c>
      <c r="J4210">
        <v>55.7</v>
      </c>
      <c r="K4210">
        <v>692</v>
      </c>
      <c r="L4210">
        <v>426</v>
      </c>
      <c r="M4210">
        <v>957</v>
      </c>
      <c r="N4210">
        <v>3.4</v>
      </c>
      <c r="O4210">
        <v>2.5</v>
      </c>
      <c r="P4210">
        <v>4.2</v>
      </c>
      <c r="Q4210">
        <f t="shared" si="130"/>
        <v>6944260</v>
      </c>
      <c r="R4210">
        <f t="shared" si="129"/>
        <v>9.9650646721176912</v>
      </c>
      <c r="U4210">
        <v>1755</v>
      </c>
      <c r="V4210">
        <v>1071</v>
      </c>
      <c r="W4210">
        <v>2440</v>
      </c>
      <c r="X4210">
        <v>1033</v>
      </c>
      <c r="Y4210">
        <v>63</v>
      </c>
      <c r="Z4210">
        <v>58.2</v>
      </c>
      <c r="AA4210">
        <v>67.7</v>
      </c>
    </row>
    <row r="4211" spans="1:27" x14ac:dyDescent="0.25">
      <c r="A4211" t="s">
        <v>267</v>
      </c>
      <c r="B4211" t="s">
        <v>186</v>
      </c>
      <c r="C4211" s="76">
        <v>43937</v>
      </c>
      <c r="D4211">
        <v>10679</v>
      </c>
      <c r="E4211">
        <v>7572</v>
      </c>
      <c r="F4211">
        <v>13787</v>
      </c>
      <c r="G4211">
        <v>9639</v>
      </c>
      <c r="H4211">
        <v>52.6</v>
      </c>
      <c r="I4211">
        <v>48.8</v>
      </c>
      <c r="J4211">
        <v>56.3</v>
      </c>
      <c r="K4211">
        <v>686</v>
      </c>
      <c r="L4211">
        <v>441</v>
      </c>
      <c r="M4211">
        <v>932</v>
      </c>
      <c r="N4211">
        <v>3.4</v>
      </c>
      <c r="O4211">
        <v>2.7</v>
      </c>
      <c r="P4211">
        <v>4.0999999999999996</v>
      </c>
      <c r="Q4211">
        <f t="shared" si="130"/>
        <v>6944260</v>
      </c>
      <c r="R4211">
        <f t="shared" si="129"/>
        <v>9.8786623772727395</v>
      </c>
      <c r="U4211">
        <v>1751</v>
      </c>
      <c r="V4211">
        <v>1057</v>
      </c>
      <c r="W4211">
        <v>2445</v>
      </c>
      <c r="X4211">
        <v>974</v>
      </c>
      <c r="Y4211">
        <v>64.2</v>
      </c>
      <c r="Z4211">
        <v>59.3</v>
      </c>
      <c r="AA4211">
        <v>69.2</v>
      </c>
    </row>
    <row r="4212" spans="1:27" x14ac:dyDescent="0.25">
      <c r="A4212" t="s">
        <v>267</v>
      </c>
      <c r="B4212" t="s">
        <v>186</v>
      </c>
      <c r="C4212" s="76">
        <v>43938</v>
      </c>
      <c r="D4212">
        <v>10574</v>
      </c>
      <c r="E4212">
        <v>7503</v>
      </c>
      <c r="F4212">
        <v>13645</v>
      </c>
      <c r="G4212">
        <v>9943</v>
      </c>
      <c r="H4212">
        <v>51.5</v>
      </c>
      <c r="I4212">
        <v>48</v>
      </c>
      <c r="J4212">
        <v>55.1</v>
      </c>
      <c r="K4212">
        <v>715</v>
      </c>
      <c r="L4212">
        <v>454</v>
      </c>
      <c r="M4212">
        <v>977</v>
      </c>
      <c r="N4212">
        <v>3.5</v>
      </c>
      <c r="O4212">
        <v>2.7</v>
      </c>
      <c r="P4212">
        <v>4.3</v>
      </c>
      <c r="Q4212">
        <f t="shared" si="130"/>
        <v>6944260</v>
      </c>
      <c r="R4212">
        <f t="shared" si="129"/>
        <v>10.296273469023337</v>
      </c>
      <c r="U4212">
        <v>1686</v>
      </c>
      <c r="V4212">
        <v>1019</v>
      </c>
      <c r="W4212">
        <v>2352</v>
      </c>
      <c r="X4212">
        <v>1035</v>
      </c>
      <c r="Y4212">
        <v>62</v>
      </c>
      <c r="Z4212">
        <v>57.2</v>
      </c>
      <c r="AA4212">
        <v>66.7</v>
      </c>
    </row>
    <row r="4213" spans="1:27" x14ac:dyDescent="0.25">
      <c r="A4213" t="s">
        <v>267</v>
      </c>
      <c r="B4213" t="s">
        <v>186</v>
      </c>
      <c r="C4213" s="76">
        <v>43939</v>
      </c>
      <c r="D4213">
        <v>10217</v>
      </c>
      <c r="E4213">
        <v>7290</v>
      </c>
      <c r="F4213">
        <v>13144</v>
      </c>
      <c r="G4213">
        <v>10162</v>
      </c>
      <c r="H4213">
        <v>50.1</v>
      </c>
      <c r="I4213">
        <v>46.2</v>
      </c>
      <c r="J4213">
        <v>54.1</v>
      </c>
      <c r="K4213">
        <v>681</v>
      </c>
      <c r="L4213">
        <v>422</v>
      </c>
      <c r="M4213">
        <v>940</v>
      </c>
      <c r="N4213">
        <v>3.3</v>
      </c>
      <c r="O4213">
        <v>2.5</v>
      </c>
      <c r="P4213">
        <v>4.2</v>
      </c>
      <c r="Q4213">
        <f t="shared" si="130"/>
        <v>6944260</v>
      </c>
      <c r="R4213">
        <f t="shared" si="129"/>
        <v>9.8066604649019471</v>
      </c>
      <c r="U4213">
        <v>1736</v>
      </c>
      <c r="V4213">
        <v>1075</v>
      </c>
      <c r="W4213">
        <v>2397</v>
      </c>
      <c r="X4213">
        <v>1069</v>
      </c>
      <c r="Y4213">
        <v>61.9</v>
      </c>
      <c r="Z4213">
        <v>57.1</v>
      </c>
      <c r="AA4213">
        <v>66.7</v>
      </c>
    </row>
    <row r="4214" spans="1:27" x14ac:dyDescent="0.25">
      <c r="A4214" t="s">
        <v>267</v>
      </c>
      <c r="B4214" t="s">
        <v>186</v>
      </c>
      <c r="C4214" s="76">
        <v>43940</v>
      </c>
      <c r="D4214">
        <v>9808</v>
      </c>
      <c r="E4214">
        <v>6775</v>
      </c>
      <c r="F4214">
        <v>12842</v>
      </c>
      <c r="G4214">
        <v>10219</v>
      </c>
      <c r="H4214">
        <v>49</v>
      </c>
      <c r="I4214">
        <v>44.5</v>
      </c>
      <c r="J4214">
        <v>53.4</v>
      </c>
      <c r="K4214">
        <v>599</v>
      </c>
      <c r="L4214">
        <v>354</v>
      </c>
      <c r="M4214">
        <v>843</v>
      </c>
      <c r="N4214">
        <v>3</v>
      </c>
      <c r="O4214">
        <v>2.2000000000000002</v>
      </c>
      <c r="P4214">
        <v>3.8</v>
      </c>
      <c r="Q4214">
        <f t="shared" si="130"/>
        <v>6944260</v>
      </c>
      <c r="R4214">
        <f t="shared" si="129"/>
        <v>8.6258291020209494</v>
      </c>
      <c r="U4214">
        <v>1572</v>
      </c>
      <c r="V4214">
        <v>942</v>
      </c>
      <c r="W4214">
        <v>2203</v>
      </c>
      <c r="X4214">
        <v>1042</v>
      </c>
      <c r="Y4214">
        <v>60.1</v>
      </c>
      <c r="Z4214">
        <v>55</v>
      </c>
      <c r="AA4214">
        <v>65.3</v>
      </c>
    </row>
    <row r="4215" spans="1:27" x14ac:dyDescent="0.25">
      <c r="A4215" t="s">
        <v>267</v>
      </c>
      <c r="B4215" t="s">
        <v>186</v>
      </c>
      <c r="C4215" s="76">
        <v>43941</v>
      </c>
      <c r="D4215">
        <v>10400</v>
      </c>
      <c r="E4215">
        <v>7217</v>
      </c>
      <c r="F4215">
        <v>13582</v>
      </c>
      <c r="G4215">
        <v>9686</v>
      </c>
      <c r="H4215">
        <v>51.8</v>
      </c>
      <c r="I4215">
        <v>47.3</v>
      </c>
      <c r="J4215">
        <v>56.3</v>
      </c>
      <c r="K4215">
        <v>611</v>
      </c>
      <c r="L4215">
        <v>362</v>
      </c>
      <c r="M4215">
        <v>860</v>
      </c>
      <c r="N4215">
        <v>3</v>
      </c>
      <c r="O4215">
        <v>2.2000000000000002</v>
      </c>
      <c r="P4215">
        <v>3.9</v>
      </c>
      <c r="Q4215">
        <f t="shared" si="130"/>
        <v>6944260</v>
      </c>
      <c r="R4215">
        <f t="shared" si="129"/>
        <v>8.798633691710851</v>
      </c>
      <c r="U4215">
        <v>1654</v>
      </c>
      <c r="V4215">
        <v>994</v>
      </c>
      <c r="W4215">
        <v>2314</v>
      </c>
      <c r="X4215">
        <v>947</v>
      </c>
      <c r="Y4215">
        <v>63.6</v>
      </c>
      <c r="Z4215">
        <v>59</v>
      </c>
      <c r="AA4215">
        <v>68.099999999999994</v>
      </c>
    </row>
    <row r="4216" spans="1:27" x14ac:dyDescent="0.25">
      <c r="A4216" t="s">
        <v>267</v>
      </c>
      <c r="B4216" t="s">
        <v>186</v>
      </c>
      <c r="C4216" s="76">
        <v>43942</v>
      </c>
      <c r="D4216">
        <v>10479</v>
      </c>
      <c r="E4216">
        <v>7265</v>
      </c>
      <c r="F4216">
        <v>13693</v>
      </c>
      <c r="G4216">
        <v>9225</v>
      </c>
      <c r="H4216">
        <v>53.2</v>
      </c>
      <c r="I4216">
        <v>49</v>
      </c>
      <c r="J4216">
        <v>57.4</v>
      </c>
      <c r="K4216">
        <v>606</v>
      </c>
      <c r="L4216">
        <v>364</v>
      </c>
      <c r="M4216">
        <v>848</v>
      </c>
      <c r="N4216">
        <v>3.1</v>
      </c>
      <c r="O4216">
        <v>2.2999999999999998</v>
      </c>
      <c r="P4216">
        <v>3.8</v>
      </c>
      <c r="Q4216">
        <f t="shared" si="130"/>
        <v>6944260</v>
      </c>
      <c r="R4216">
        <f t="shared" si="129"/>
        <v>8.7266317793400585</v>
      </c>
      <c r="U4216">
        <v>1653</v>
      </c>
      <c r="V4216">
        <v>977</v>
      </c>
      <c r="W4216">
        <v>2329</v>
      </c>
      <c r="X4216">
        <v>894</v>
      </c>
      <c r="Y4216">
        <v>64.900000000000006</v>
      </c>
      <c r="Z4216">
        <v>60.4</v>
      </c>
      <c r="AA4216">
        <v>69.400000000000006</v>
      </c>
    </row>
    <row r="4217" spans="1:27" x14ac:dyDescent="0.25">
      <c r="A4217" t="s">
        <v>267</v>
      </c>
      <c r="B4217" t="s">
        <v>186</v>
      </c>
      <c r="C4217" s="76">
        <v>43943</v>
      </c>
      <c r="D4217">
        <v>10493</v>
      </c>
      <c r="E4217">
        <v>7232</v>
      </c>
      <c r="F4217">
        <v>13754</v>
      </c>
      <c r="G4217">
        <v>8975</v>
      </c>
      <c r="H4217">
        <v>53.9</v>
      </c>
      <c r="I4217">
        <v>49.7</v>
      </c>
      <c r="J4217">
        <v>58.1</v>
      </c>
      <c r="K4217">
        <v>607</v>
      </c>
      <c r="L4217">
        <v>358</v>
      </c>
      <c r="M4217">
        <v>855</v>
      </c>
      <c r="N4217">
        <v>3.1</v>
      </c>
      <c r="O4217">
        <v>2.2999999999999998</v>
      </c>
      <c r="P4217">
        <v>3.9</v>
      </c>
      <c r="Q4217">
        <f t="shared" si="130"/>
        <v>6944260</v>
      </c>
      <c r="R4217">
        <f t="shared" si="129"/>
        <v>8.7410321618142177</v>
      </c>
      <c r="U4217">
        <v>1606</v>
      </c>
      <c r="V4217">
        <v>923</v>
      </c>
      <c r="W4217">
        <v>2289</v>
      </c>
      <c r="X4217">
        <v>911</v>
      </c>
      <c r="Y4217">
        <v>63.8</v>
      </c>
      <c r="Z4217">
        <v>59</v>
      </c>
      <c r="AA4217">
        <v>68.599999999999994</v>
      </c>
    </row>
    <row r="4218" spans="1:27" x14ac:dyDescent="0.25">
      <c r="A4218" t="s">
        <v>267</v>
      </c>
      <c r="B4218" t="s">
        <v>186</v>
      </c>
      <c r="C4218" s="76">
        <v>43944</v>
      </c>
      <c r="D4218">
        <v>10583</v>
      </c>
      <c r="E4218">
        <v>7279</v>
      </c>
      <c r="F4218">
        <v>13887</v>
      </c>
      <c r="G4218">
        <v>8919</v>
      </c>
      <c r="H4218">
        <v>54.3</v>
      </c>
      <c r="I4218">
        <v>50</v>
      </c>
      <c r="J4218">
        <v>58.6</v>
      </c>
      <c r="K4218">
        <v>597</v>
      </c>
      <c r="L4218">
        <v>338</v>
      </c>
      <c r="M4218">
        <v>855</v>
      </c>
      <c r="N4218">
        <v>3.1</v>
      </c>
      <c r="O4218">
        <v>2.2000000000000002</v>
      </c>
      <c r="P4218">
        <v>3.9</v>
      </c>
      <c r="Q4218">
        <f t="shared" si="130"/>
        <v>6944260</v>
      </c>
      <c r="R4218">
        <f t="shared" si="129"/>
        <v>8.5970283370726328</v>
      </c>
      <c r="U4218">
        <v>1574</v>
      </c>
      <c r="V4218">
        <v>899</v>
      </c>
      <c r="W4218">
        <v>2249</v>
      </c>
      <c r="X4218">
        <v>936</v>
      </c>
      <c r="Y4218">
        <v>62.7</v>
      </c>
      <c r="Z4218">
        <v>58</v>
      </c>
      <c r="AA4218">
        <v>67.400000000000006</v>
      </c>
    </row>
    <row r="4219" spans="1:27" x14ac:dyDescent="0.25">
      <c r="A4219" t="s">
        <v>267</v>
      </c>
      <c r="B4219" t="s">
        <v>186</v>
      </c>
      <c r="C4219" s="76">
        <v>43945</v>
      </c>
      <c r="D4219">
        <v>10592</v>
      </c>
      <c r="E4219">
        <v>7273</v>
      </c>
      <c r="F4219">
        <v>13911</v>
      </c>
      <c r="G4219">
        <v>8931</v>
      </c>
      <c r="H4219">
        <v>54.3</v>
      </c>
      <c r="I4219">
        <v>50</v>
      </c>
      <c r="J4219">
        <v>58.5</v>
      </c>
      <c r="K4219">
        <v>604</v>
      </c>
      <c r="L4219">
        <v>346</v>
      </c>
      <c r="M4219">
        <v>862</v>
      </c>
      <c r="N4219">
        <v>3.1</v>
      </c>
      <c r="O4219">
        <v>2.2999999999999998</v>
      </c>
      <c r="P4219">
        <v>3.9</v>
      </c>
      <c r="Q4219">
        <f t="shared" si="130"/>
        <v>6944260</v>
      </c>
      <c r="R4219">
        <f t="shared" si="129"/>
        <v>8.6978310143917419</v>
      </c>
      <c r="U4219">
        <v>1634</v>
      </c>
      <c r="V4219">
        <v>931</v>
      </c>
      <c r="W4219">
        <v>2337</v>
      </c>
      <c r="X4219">
        <v>878</v>
      </c>
      <c r="Y4219">
        <v>65</v>
      </c>
      <c r="Z4219">
        <v>60</v>
      </c>
      <c r="AA4219">
        <v>70.099999999999994</v>
      </c>
    </row>
    <row r="4220" spans="1:27" x14ac:dyDescent="0.25">
      <c r="A4220" t="s">
        <v>267</v>
      </c>
      <c r="B4220" t="s">
        <v>186</v>
      </c>
      <c r="C4220" s="76">
        <v>43946</v>
      </c>
      <c r="D4220">
        <v>10269</v>
      </c>
      <c r="E4220">
        <v>7027</v>
      </c>
      <c r="F4220">
        <v>13511</v>
      </c>
      <c r="G4220">
        <v>9334</v>
      </c>
      <c r="H4220">
        <v>52.4</v>
      </c>
      <c r="I4220">
        <v>48.1</v>
      </c>
      <c r="J4220">
        <v>56.6</v>
      </c>
      <c r="K4220">
        <v>670</v>
      </c>
      <c r="L4220">
        <v>395</v>
      </c>
      <c r="M4220">
        <v>944</v>
      </c>
      <c r="N4220">
        <v>3.4</v>
      </c>
      <c r="O4220">
        <v>2.5</v>
      </c>
      <c r="P4220">
        <v>4.3</v>
      </c>
      <c r="Q4220">
        <f t="shared" si="130"/>
        <v>6944260</v>
      </c>
      <c r="R4220">
        <f t="shared" si="129"/>
        <v>9.648256257686203</v>
      </c>
      <c r="U4220">
        <v>1615</v>
      </c>
      <c r="V4220">
        <v>926</v>
      </c>
      <c r="W4220">
        <v>2304</v>
      </c>
      <c r="X4220">
        <v>870</v>
      </c>
      <c r="Y4220">
        <v>65</v>
      </c>
      <c r="Z4220">
        <v>59.7</v>
      </c>
      <c r="AA4220">
        <v>70.3</v>
      </c>
    </row>
    <row r="4221" spans="1:27" x14ac:dyDescent="0.25">
      <c r="A4221" t="s">
        <v>267</v>
      </c>
      <c r="B4221" t="s">
        <v>186</v>
      </c>
      <c r="C4221" s="76">
        <v>43947</v>
      </c>
      <c r="D4221">
        <v>10183</v>
      </c>
      <c r="E4221">
        <v>6957</v>
      </c>
      <c r="F4221">
        <v>13409</v>
      </c>
      <c r="G4221">
        <v>9369</v>
      </c>
      <c r="H4221">
        <v>52.1</v>
      </c>
      <c r="I4221">
        <v>47.5</v>
      </c>
      <c r="J4221">
        <v>56.6</v>
      </c>
      <c r="K4221">
        <v>684</v>
      </c>
      <c r="L4221">
        <v>395</v>
      </c>
      <c r="M4221">
        <v>972</v>
      </c>
      <c r="N4221">
        <v>3.5</v>
      </c>
      <c r="O4221">
        <v>2.6</v>
      </c>
      <c r="P4221">
        <v>4.4000000000000004</v>
      </c>
      <c r="Q4221">
        <f t="shared" si="130"/>
        <v>6944260</v>
      </c>
      <c r="R4221">
        <f t="shared" si="129"/>
        <v>9.8498616123244247</v>
      </c>
      <c r="U4221">
        <v>1541</v>
      </c>
      <c r="V4221">
        <v>870</v>
      </c>
      <c r="W4221">
        <v>2211</v>
      </c>
      <c r="X4221">
        <v>931</v>
      </c>
      <c r="Y4221">
        <v>62.3</v>
      </c>
      <c r="Z4221">
        <v>56.5</v>
      </c>
      <c r="AA4221">
        <v>68.2</v>
      </c>
    </row>
    <row r="4222" spans="1:27" x14ac:dyDescent="0.25">
      <c r="A4222" t="s">
        <v>267</v>
      </c>
      <c r="B4222" t="s">
        <v>186</v>
      </c>
      <c r="C4222" s="76">
        <v>43948</v>
      </c>
      <c r="D4222">
        <v>10442</v>
      </c>
      <c r="E4222">
        <v>7154</v>
      </c>
      <c r="F4222">
        <v>13730</v>
      </c>
      <c r="G4222">
        <v>9138</v>
      </c>
      <c r="H4222">
        <v>53.3</v>
      </c>
      <c r="I4222">
        <v>48.9</v>
      </c>
      <c r="J4222">
        <v>57.7</v>
      </c>
      <c r="K4222">
        <v>674</v>
      </c>
      <c r="L4222">
        <v>382</v>
      </c>
      <c r="M4222">
        <v>965</v>
      </c>
      <c r="N4222">
        <v>3.4</v>
      </c>
      <c r="O4222">
        <v>2.5</v>
      </c>
      <c r="P4222">
        <v>4.4000000000000004</v>
      </c>
      <c r="Q4222">
        <f t="shared" si="130"/>
        <v>6944260</v>
      </c>
      <c r="R4222">
        <f t="shared" si="129"/>
        <v>9.705857787582838</v>
      </c>
      <c r="U4222">
        <v>1549</v>
      </c>
      <c r="V4222">
        <v>879</v>
      </c>
      <c r="W4222">
        <v>2219</v>
      </c>
      <c r="X4222">
        <v>921</v>
      </c>
      <c r="Y4222">
        <v>62.7</v>
      </c>
      <c r="Z4222">
        <v>57.5</v>
      </c>
      <c r="AA4222">
        <v>67.900000000000006</v>
      </c>
    </row>
    <row r="4223" spans="1:27" x14ac:dyDescent="0.25">
      <c r="A4223" t="s">
        <v>267</v>
      </c>
      <c r="B4223" t="s">
        <v>186</v>
      </c>
      <c r="C4223" s="76">
        <v>43949</v>
      </c>
      <c r="D4223">
        <v>10963</v>
      </c>
      <c r="E4223">
        <v>7572</v>
      </c>
      <c r="F4223">
        <v>14353</v>
      </c>
      <c r="G4223">
        <v>9103</v>
      </c>
      <c r="H4223">
        <v>54.6</v>
      </c>
      <c r="I4223">
        <v>50.1</v>
      </c>
      <c r="J4223">
        <v>59.1</v>
      </c>
      <c r="K4223">
        <v>766</v>
      </c>
      <c r="L4223">
        <v>409</v>
      </c>
      <c r="M4223">
        <v>1123</v>
      </c>
      <c r="N4223">
        <v>3.8</v>
      </c>
      <c r="O4223">
        <v>2.6</v>
      </c>
      <c r="P4223">
        <v>5.0999999999999996</v>
      </c>
      <c r="Q4223">
        <f t="shared" si="130"/>
        <v>6944260</v>
      </c>
      <c r="R4223">
        <f t="shared" si="129"/>
        <v>11.030692975205422</v>
      </c>
      <c r="U4223">
        <v>1698</v>
      </c>
      <c r="V4223">
        <v>1007</v>
      </c>
      <c r="W4223">
        <v>2388</v>
      </c>
      <c r="X4223">
        <v>869</v>
      </c>
      <c r="Y4223">
        <v>66.2</v>
      </c>
      <c r="Z4223">
        <v>61.3</v>
      </c>
      <c r="AA4223">
        <v>71</v>
      </c>
    </row>
    <row r="4224" spans="1:27" x14ac:dyDescent="0.25">
      <c r="A4224" t="s">
        <v>267</v>
      </c>
      <c r="B4224" t="s">
        <v>186</v>
      </c>
      <c r="C4224" s="76">
        <v>43950</v>
      </c>
      <c r="D4224">
        <v>11290</v>
      </c>
      <c r="E4224">
        <v>7810</v>
      </c>
      <c r="F4224">
        <v>14769</v>
      </c>
      <c r="G4224">
        <v>8744</v>
      </c>
      <c r="H4224">
        <v>56.4</v>
      </c>
      <c r="I4224">
        <v>51.9</v>
      </c>
      <c r="J4224">
        <v>60.8</v>
      </c>
      <c r="K4224">
        <v>738</v>
      </c>
      <c r="L4224">
        <v>428</v>
      </c>
      <c r="M4224">
        <v>1047</v>
      </c>
      <c r="N4224">
        <v>3.7</v>
      </c>
      <c r="O4224">
        <v>2.7</v>
      </c>
      <c r="P4224">
        <v>4.7</v>
      </c>
      <c r="Q4224">
        <f t="shared" si="130"/>
        <v>6944260</v>
      </c>
      <c r="R4224">
        <f t="shared" si="129"/>
        <v>10.627482265928982</v>
      </c>
      <c r="U4224">
        <v>1725</v>
      </c>
      <c r="V4224">
        <v>1025</v>
      </c>
      <c r="W4224">
        <v>2426</v>
      </c>
      <c r="X4224">
        <v>849</v>
      </c>
      <c r="Y4224">
        <v>67</v>
      </c>
      <c r="Z4224">
        <v>61.4</v>
      </c>
      <c r="AA4224">
        <v>72.7</v>
      </c>
    </row>
    <row r="4225" spans="1:27" x14ac:dyDescent="0.25">
      <c r="A4225" t="s">
        <v>267</v>
      </c>
      <c r="B4225" t="s">
        <v>186</v>
      </c>
      <c r="C4225" s="76">
        <v>43951</v>
      </c>
      <c r="D4225">
        <v>11208</v>
      </c>
      <c r="E4225">
        <v>7737</v>
      </c>
      <c r="F4225">
        <v>14679</v>
      </c>
      <c r="G4225">
        <v>8828</v>
      </c>
      <c r="H4225">
        <v>55.9</v>
      </c>
      <c r="I4225">
        <v>51.4</v>
      </c>
      <c r="J4225">
        <v>60.5</v>
      </c>
      <c r="K4225">
        <v>719</v>
      </c>
      <c r="L4225">
        <v>399</v>
      </c>
      <c r="M4225">
        <v>1040</v>
      </c>
      <c r="N4225">
        <v>3.6</v>
      </c>
      <c r="O4225">
        <v>2.5</v>
      </c>
      <c r="P4225">
        <v>4.5999999999999996</v>
      </c>
      <c r="Q4225">
        <f t="shared" si="130"/>
        <v>6944260</v>
      </c>
      <c r="R4225">
        <f t="shared" si="129"/>
        <v>10.353874998919972</v>
      </c>
      <c r="U4225">
        <v>1714</v>
      </c>
      <c r="V4225">
        <v>1028</v>
      </c>
      <c r="W4225">
        <v>2400</v>
      </c>
      <c r="X4225">
        <v>859</v>
      </c>
      <c r="Y4225">
        <v>66.599999999999994</v>
      </c>
      <c r="Z4225">
        <v>60.8</v>
      </c>
      <c r="AA4225">
        <v>72.400000000000006</v>
      </c>
    </row>
    <row r="4226" spans="1:27" x14ac:dyDescent="0.25">
      <c r="A4226" t="s">
        <v>267</v>
      </c>
      <c r="B4226" t="s">
        <v>186</v>
      </c>
      <c r="C4226" s="76">
        <v>43952</v>
      </c>
      <c r="D4226">
        <v>11054</v>
      </c>
      <c r="E4226">
        <v>7656</v>
      </c>
      <c r="F4226">
        <v>14451</v>
      </c>
      <c r="G4226">
        <v>8974</v>
      </c>
      <c r="H4226">
        <v>55.2</v>
      </c>
      <c r="I4226">
        <v>50.8</v>
      </c>
      <c r="J4226">
        <v>59.6</v>
      </c>
      <c r="K4226">
        <v>599</v>
      </c>
      <c r="L4226">
        <v>353</v>
      </c>
      <c r="M4226">
        <v>846</v>
      </c>
      <c r="N4226">
        <v>3</v>
      </c>
      <c r="O4226">
        <v>2.2000000000000002</v>
      </c>
      <c r="P4226">
        <v>3.8</v>
      </c>
      <c r="Q4226">
        <f t="shared" si="130"/>
        <v>6944260</v>
      </c>
      <c r="R4226">
        <f t="shared" si="129"/>
        <v>8.6258291020209494</v>
      </c>
      <c r="U4226">
        <v>1692</v>
      </c>
      <c r="V4226">
        <v>994</v>
      </c>
      <c r="W4226">
        <v>2390</v>
      </c>
      <c r="X4226">
        <v>868</v>
      </c>
      <c r="Y4226">
        <v>66.099999999999994</v>
      </c>
      <c r="Z4226">
        <v>60.2</v>
      </c>
      <c r="AA4226">
        <v>72</v>
      </c>
    </row>
    <row r="4227" spans="1:27" x14ac:dyDescent="0.25">
      <c r="A4227" t="s">
        <v>267</v>
      </c>
      <c r="B4227" t="s">
        <v>186</v>
      </c>
      <c r="C4227" s="76">
        <v>43953</v>
      </c>
      <c r="D4227">
        <v>10600</v>
      </c>
      <c r="E4227">
        <v>7312</v>
      </c>
      <c r="F4227">
        <v>13889</v>
      </c>
      <c r="G4227">
        <v>9408</v>
      </c>
      <c r="H4227">
        <v>53</v>
      </c>
      <c r="I4227">
        <v>48.5</v>
      </c>
      <c r="J4227">
        <v>57.5</v>
      </c>
      <c r="K4227">
        <v>552</v>
      </c>
      <c r="L4227">
        <v>322</v>
      </c>
      <c r="M4227">
        <v>781</v>
      </c>
      <c r="N4227">
        <v>2.8</v>
      </c>
      <c r="O4227">
        <v>2</v>
      </c>
      <c r="P4227">
        <v>3.5</v>
      </c>
      <c r="Q4227">
        <f t="shared" si="130"/>
        <v>6944260</v>
      </c>
      <c r="R4227">
        <f t="shared" si="129"/>
        <v>7.9490111257354998</v>
      </c>
      <c r="U4227">
        <v>1742</v>
      </c>
      <c r="V4227">
        <v>1029</v>
      </c>
      <c r="W4227">
        <v>2455</v>
      </c>
      <c r="X4227">
        <v>825</v>
      </c>
      <c r="Y4227">
        <v>67.900000000000006</v>
      </c>
      <c r="Z4227">
        <v>61.9</v>
      </c>
      <c r="AA4227">
        <v>73.900000000000006</v>
      </c>
    </row>
    <row r="4228" spans="1:27" x14ac:dyDescent="0.25">
      <c r="A4228" t="s">
        <v>267</v>
      </c>
      <c r="B4228" t="s">
        <v>186</v>
      </c>
      <c r="C4228" s="76">
        <v>43954</v>
      </c>
      <c r="D4228">
        <v>10706</v>
      </c>
      <c r="E4228">
        <v>7395</v>
      </c>
      <c r="F4228">
        <v>14016</v>
      </c>
      <c r="G4228">
        <v>9335</v>
      </c>
      <c r="H4228">
        <v>53.4</v>
      </c>
      <c r="I4228">
        <v>48.8</v>
      </c>
      <c r="J4228">
        <v>58</v>
      </c>
      <c r="K4228">
        <v>553</v>
      </c>
      <c r="L4228">
        <v>319</v>
      </c>
      <c r="M4228">
        <v>788</v>
      </c>
      <c r="N4228">
        <v>2.8</v>
      </c>
      <c r="O4228">
        <v>2</v>
      </c>
      <c r="P4228">
        <v>3.5</v>
      </c>
      <c r="Q4228">
        <f t="shared" si="130"/>
        <v>6944260</v>
      </c>
      <c r="R4228">
        <f t="shared" si="129"/>
        <v>7.9634115082096582</v>
      </c>
      <c r="U4228">
        <v>1740</v>
      </c>
      <c r="V4228">
        <v>1030</v>
      </c>
      <c r="W4228">
        <v>2450</v>
      </c>
      <c r="X4228">
        <v>832</v>
      </c>
      <c r="Y4228">
        <v>67.599999999999994</v>
      </c>
      <c r="Z4228">
        <v>61.1</v>
      </c>
      <c r="AA4228">
        <v>74.2</v>
      </c>
    </row>
    <row r="4229" spans="1:27" x14ac:dyDescent="0.25">
      <c r="A4229" t="s">
        <v>267</v>
      </c>
      <c r="B4229" t="s">
        <v>186</v>
      </c>
      <c r="C4229" s="76">
        <v>43955</v>
      </c>
      <c r="D4229">
        <v>10989</v>
      </c>
      <c r="E4229">
        <v>7556</v>
      </c>
      <c r="F4229">
        <v>14422</v>
      </c>
      <c r="G4229">
        <v>9022</v>
      </c>
      <c r="H4229">
        <v>54.9</v>
      </c>
      <c r="I4229">
        <v>50.1</v>
      </c>
      <c r="J4229">
        <v>59.7</v>
      </c>
      <c r="K4229">
        <v>549</v>
      </c>
      <c r="L4229">
        <v>311</v>
      </c>
      <c r="M4229">
        <v>788</v>
      </c>
      <c r="N4229">
        <v>2.7</v>
      </c>
      <c r="O4229">
        <v>2</v>
      </c>
      <c r="P4229">
        <v>3.5</v>
      </c>
      <c r="Q4229">
        <f t="shared" si="130"/>
        <v>6944260</v>
      </c>
      <c r="R4229">
        <f t="shared" ref="R4229:R4292" si="131">K4229/(Q4229)*100000</f>
        <v>7.9058099783130249</v>
      </c>
      <c r="U4229">
        <v>1731</v>
      </c>
      <c r="V4229">
        <v>1017</v>
      </c>
      <c r="W4229">
        <v>2444</v>
      </c>
      <c r="X4229">
        <v>835</v>
      </c>
      <c r="Y4229">
        <v>67.5</v>
      </c>
      <c r="Z4229">
        <v>61.2</v>
      </c>
      <c r="AA4229">
        <v>73.7</v>
      </c>
    </row>
    <row r="4230" spans="1:27" x14ac:dyDescent="0.25">
      <c r="A4230" t="s">
        <v>267</v>
      </c>
      <c r="B4230" t="s">
        <v>186</v>
      </c>
      <c r="C4230" s="76">
        <v>43956</v>
      </c>
      <c r="D4230">
        <v>11785</v>
      </c>
      <c r="E4230">
        <v>8080</v>
      </c>
      <c r="F4230">
        <v>15489</v>
      </c>
      <c r="G4230">
        <v>7994</v>
      </c>
      <c r="H4230">
        <v>59.6</v>
      </c>
      <c r="I4230">
        <v>54.3</v>
      </c>
      <c r="J4230">
        <v>64.900000000000006</v>
      </c>
      <c r="K4230">
        <v>632</v>
      </c>
      <c r="L4230">
        <v>360</v>
      </c>
      <c r="M4230">
        <v>904</v>
      </c>
      <c r="N4230">
        <v>3.2</v>
      </c>
      <c r="O4230">
        <v>2.4</v>
      </c>
      <c r="P4230">
        <v>4</v>
      </c>
      <c r="Q4230">
        <f t="shared" si="130"/>
        <v>6944260</v>
      </c>
      <c r="R4230">
        <f t="shared" si="131"/>
        <v>9.10104172366818</v>
      </c>
      <c r="U4230">
        <v>1863</v>
      </c>
      <c r="V4230">
        <v>1105</v>
      </c>
      <c r="W4230">
        <v>2620</v>
      </c>
      <c r="X4230">
        <v>739</v>
      </c>
      <c r="Y4230">
        <v>71.599999999999994</v>
      </c>
      <c r="Z4230">
        <v>65.2</v>
      </c>
      <c r="AA4230">
        <v>77.900000000000006</v>
      </c>
    </row>
    <row r="4231" spans="1:27" x14ac:dyDescent="0.25">
      <c r="A4231" t="s">
        <v>267</v>
      </c>
      <c r="B4231" t="s">
        <v>186</v>
      </c>
      <c r="C4231" s="76">
        <v>43957</v>
      </c>
      <c r="D4231">
        <v>11714</v>
      </c>
      <c r="E4231">
        <v>8106</v>
      </c>
      <c r="F4231">
        <v>15321</v>
      </c>
      <c r="G4231">
        <v>8362</v>
      </c>
      <c r="H4231">
        <v>58.3</v>
      </c>
      <c r="I4231">
        <v>54</v>
      </c>
      <c r="J4231">
        <v>62.7</v>
      </c>
      <c r="K4231">
        <v>609</v>
      </c>
      <c r="L4231">
        <v>293</v>
      </c>
      <c r="M4231">
        <v>926</v>
      </c>
      <c r="N4231">
        <v>3</v>
      </c>
      <c r="O4231">
        <v>1.9</v>
      </c>
      <c r="P4231">
        <v>4.2</v>
      </c>
      <c r="Q4231">
        <f t="shared" si="130"/>
        <v>6944260</v>
      </c>
      <c r="R4231">
        <f t="shared" si="131"/>
        <v>8.7698329267625343</v>
      </c>
      <c r="U4231">
        <v>1840</v>
      </c>
      <c r="V4231">
        <v>1096</v>
      </c>
      <c r="W4231">
        <v>2584</v>
      </c>
      <c r="X4231">
        <v>747</v>
      </c>
      <c r="Y4231">
        <v>71.099999999999994</v>
      </c>
      <c r="Z4231">
        <v>65</v>
      </c>
      <c r="AA4231">
        <v>77.3</v>
      </c>
    </row>
    <row r="4232" spans="1:27" x14ac:dyDescent="0.25">
      <c r="A4232" t="s">
        <v>267</v>
      </c>
      <c r="B4232" t="s">
        <v>186</v>
      </c>
      <c r="C4232" s="76">
        <v>43958</v>
      </c>
      <c r="D4232">
        <v>11604</v>
      </c>
      <c r="E4232">
        <v>8016</v>
      </c>
      <c r="F4232">
        <v>15192</v>
      </c>
      <c r="G4232">
        <v>8429</v>
      </c>
      <c r="H4232">
        <v>57.9</v>
      </c>
      <c r="I4232">
        <v>53.5</v>
      </c>
      <c r="J4232">
        <v>62.3</v>
      </c>
      <c r="K4232">
        <v>663</v>
      </c>
      <c r="L4232">
        <v>313</v>
      </c>
      <c r="M4232">
        <v>1013</v>
      </c>
      <c r="N4232">
        <v>3.3</v>
      </c>
      <c r="O4232">
        <v>2</v>
      </c>
      <c r="P4232">
        <v>4.5999999999999996</v>
      </c>
      <c r="Q4232">
        <f t="shared" si="130"/>
        <v>6944260</v>
      </c>
      <c r="R4232">
        <f t="shared" si="131"/>
        <v>9.5474535803670957</v>
      </c>
      <c r="U4232">
        <v>1794</v>
      </c>
      <c r="V4232">
        <v>1055</v>
      </c>
      <c r="W4232">
        <v>2534</v>
      </c>
      <c r="X4232">
        <v>791</v>
      </c>
      <c r="Y4232">
        <v>69.400000000000006</v>
      </c>
      <c r="Z4232">
        <v>64.2</v>
      </c>
      <c r="AA4232">
        <v>74.599999999999994</v>
      </c>
    </row>
    <row r="4233" spans="1:27" x14ac:dyDescent="0.25">
      <c r="A4233" t="s">
        <v>267</v>
      </c>
      <c r="B4233" t="s">
        <v>186</v>
      </c>
      <c r="C4233" s="76">
        <v>43959</v>
      </c>
      <c r="D4233">
        <v>11502</v>
      </c>
      <c r="E4233">
        <v>7912</v>
      </c>
      <c r="F4233">
        <v>15091</v>
      </c>
      <c r="G4233">
        <v>8405</v>
      </c>
      <c r="H4233">
        <v>57.8</v>
      </c>
      <c r="I4233">
        <v>53</v>
      </c>
      <c r="J4233">
        <v>62.5</v>
      </c>
      <c r="K4233">
        <v>621</v>
      </c>
      <c r="L4233">
        <v>267</v>
      </c>
      <c r="M4233">
        <v>974</v>
      </c>
      <c r="N4233">
        <v>3.1</v>
      </c>
      <c r="O4233">
        <v>1.8</v>
      </c>
      <c r="P4233">
        <v>4.5</v>
      </c>
      <c r="Q4233">
        <f t="shared" si="130"/>
        <v>6944260</v>
      </c>
      <c r="R4233">
        <f t="shared" si="131"/>
        <v>8.9426375164524377</v>
      </c>
      <c r="U4233">
        <v>1759</v>
      </c>
      <c r="V4233">
        <v>1031</v>
      </c>
      <c r="W4233">
        <v>2487</v>
      </c>
      <c r="X4233">
        <v>821</v>
      </c>
      <c r="Y4233">
        <v>68.2</v>
      </c>
      <c r="Z4233">
        <v>62.8</v>
      </c>
      <c r="AA4233">
        <v>73.5</v>
      </c>
    </row>
    <row r="4234" spans="1:27" x14ac:dyDescent="0.25">
      <c r="A4234" t="s">
        <v>267</v>
      </c>
      <c r="B4234" t="s">
        <v>186</v>
      </c>
      <c r="C4234" s="76">
        <v>43960</v>
      </c>
      <c r="D4234">
        <v>10707</v>
      </c>
      <c r="E4234">
        <v>7343</v>
      </c>
      <c r="F4234">
        <v>14072</v>
      </c>
      <c r="G4234">
        <v>8747</v>
      </c>
      <c r="H4234">
        <v>55</v>
      </c>
      <c r="I4234">
        <v>50.5</v>
      </c>
      <c r="J4234">
        <v>59.6</v>
      </c>
      <c r="K4234">
        <v>560</v>
      </c>
      <c r="L4234">
        <v>231</v>
      </c>
      <c r="M4234">
        <v>889</v>
      </c>
      <c r="N4234">
        <v>2.9</v>
      </c>
      <c r="O4234">
        <v>1.6</v>
      </c>
      <c r="P4234">
        <v>4.2</v>
      </c>
      <c r="Q4234">
        <f t="shared" si="130"/>
        <v>6944260</v>
      </c>
      <c r="R4234">
        <f t="shared" si="131"/>
        <v>8.0642141855287672</v>
      </c>
      <c r="U4234">
        <v>1675</v>
      </c>
      <c r="V4234">
        <v>950</v>
      </c>
      <c r="W4234">
        <v>2400</v>
      </c>
      <c r="X4234">
        <v>871</v>
      </c>
      <c r="Y4234">
        <v>65.8</v>
      </c>
      <c r="Z4234">
        <v>60</v>
      </c>
      <c r="AA4234">
        <v>71.599999999999994</v>
      </c>
    </row>
    <row r="4235" spans="1:27" x14ac:dyDescent="0.25">
      <c r="A4235" t="s">
        <v>267</v>
      </c>
      <c r="B4235" t="s">
        <v>186</v>
      </c>
      <c r="C4235" s="76">
        <v>43961</v>
      </c>
      <c r="D4235">
        <v>10653</v>
      </c>
      <c r="E4235">
        <v>7314</v>
      </c>
      <c r="F4235">
        <v>13993</v>
      </c>
      <c r="G4235">
        <v>9253</v>
      </c>
      <c r="H4235">
        <v>53.5</v>
      </c>
      <c r="I4235">
        <v>48.8</v>
      </c>
      <c r="J4235">
        <v>58.2</v>
      </c>
      <c r="K4235">
        <v>576</v>
      </c>
      <c r="L4235">
        <v>297</v>
      </c>
      <c r="M4235">
        <v>855</v>
      </c>
      <c r="N4235">
        <v>2.9</v>
      </c>
      <c r="O4235">
        <v>1.9</v>
      </c>
      <c r="P4235">
        <v>3.9</v>
      </c>
      <c r="Q4235">
        <f t="shared" si="130"/>
        <v>6944260</v>
      </c>
      <c r="R4235">
        <f t="shared" si="131"/>
        <v>8.2946203051153038</v>
      </c>
      <c r="U4235">
        <v>1659</v>
      </c>
      <c r="V4235">
        <v>947</v>
      </c>
      <c r="W4235">
        <v>2372</v>
      </c>
      <c r="X4235">
        <v>910</v>
      </c>
      <c r="Y4235">
        <v>64.599999999999994</v>
      </c>
      <c r="Z4235">
        <v>58.8</v>
      </c>
      <c r="AA4235">
        <v>70.400000000000006</v>
      </c>
    </row>
    <row r="4236" spans="1:27" x14ac:dyDescent="0.25">
      <c r="A4236" t="s">
        <v>267</v>
      </c>
      <c r="B4236" t="s">
        <v>186</v>
      </c>
      <c r="C4236" s="76">
        <v>43962</v>
      </c>
      <c r="D4236">
        <v>11211</v>
      </c>
      <c r="E4236">
        <v>7713</v>
      </c>
      <c r="F4236">
        <v>14709</v>
      </c>
      <c r="G4236">
        <v>8695</v>
      </c>
      <c r="H4236">
        <v>56.3</v>
      </c>
      <c r="I4236">
        <v>51.4</v>
      </c>
      <c r="J4236">
        <v>61.3</v>
      </c>
      <c r="K4236">
        <v>652</v>
      </c>
      <c r="L4236">
        <v>277</v>
      </c>
      <c r="M4236">
        <v>1028</v>
      </c>
      <c r="N4236">
        <v>3.3</v>
      </c>
      <c r="O4236">
        <v>1.8</v>
      </c>
      <c r="P4236">
        <v>4.7</v>
      </c>
      <c r="Q4236">
        <f t="shared" si="130"/>
        <v>6944260</v>
      </c>
      <c r="R4236">
        <f t="shared" si="131"/>
        <v>9.3890493731513516</v>
      </c>
      <c r="U4236">
        <v>1740</v>
      </c>
      <c r="V4236">
        <v>1011</v>
      </c>
      <c r="W4236">
        <v>2470</v>
      </c>
      <c r="X4236">
        <v>837</v>
      </c>
      <c r="Y4236">
        <v>67.5</v>
      </c>
      <c r="Z4236">
        <v>61.9</v>
      </c>
      <c r="AA4236">
        <v>73.099999999999994</v>
      </c>
    </row>
    <row r="4237" spans="1:27" x14ac:dyDescent="0.25">
      <c r="A4237" t="s">
        <v>267</v>
      </c>
      <c r="B4237" t="s">
        <v>186</v>
      </c>
      <c r="C4237" s="76">
        <v>43963</v>
      </c>
      <c r="D4237">
        <v>11587</v>
      </c>
      <c r="E4237">
        <v>7999</v>
      </c>
      <c r="F4237">
        <v>15175</v>
      </c>
      <c r="G4237">
        <v>8329</v>
      </c>
      <c r="H4237">
        <v>58.2</v>
      </c>
      <c r="I4237">
        <v>53.6</v>
      </c>
      <c r="J4237">
        <v>62.8</v>
      </c>
      <c r="K4237">
        <v>645</v>
      </c>
      <c r="L4237">
        <v>302</v>
      </c>
      <c r="M4237">
        <v>988</v>
      </c>
      <c r="N4237">
        <v>3.2</v>
      </c>
      <c r="O4237">
        <v>1.9</v>
      </c>
      <c r="P4237">
        <v>4.5</v>
      </c>
      <c r="Q4237">
        <f t="shared" si="130"/>
        <v>6944260</v>
      </c>
      <c r="R4237">
        <f t="shared" si="131"/>
        <v>9.2882466958322407</v>
      </c>
      <c r="U4237">
        <v>1752</v>
      </c>
      <c r="V4237">
        <v>1020</v>
      </c>
      <c r="W4237">
        <v>2485</v>
      </c>
      <c r="X4237">
        <v>830</v>
      </c>
      <c r="Y4237">
        <v>67.900000000000006</v>
      </c>
      <c r="Z4237">
        <v>62.1</v>
      </c>
      <c r="AA4237">
        <v>73.599999999999994</v>
      </c>
    </row>
    <row r="4238" spans="1:27" x14ac:dyDescent="0.25">
      <c r="A4238" t="s">
        <v>267</v>
      </c>
      <c r="B4238" t="s">
        <v>186</v>
      </c>
      <c r="C4238" s="76">
        <v>43964</v>
      </c>
      <c r="D4238">
        <v>11756</v>
      </c>
      <c r="E4238">
        <v>8075</v>
      </c>
      <c r="F4238">
        <v>15437</v>
      </c>
      <c r="G4238">
        <v>7939</v>
      </c>
      <c r="H4238">
        <v>59.7</v>
      </c>
      <c r="I4238">
        <v>55.2</v>
      </c>
      <c r="J4238">
        <v>64.2</v>
      </c>
      <c r="K4238">
        <v>518</v>
      </c>
      <c r="L4238">
        <v>273</v>
      </c>
      <c r="M4238">
        <v>763</v>
      </c>
      <c r="N4238">
        <v>2.6</v>
      </c>
      <c r="O4238">
        <v>1.8</v>
      </c>
      <c r="P4238">
        <v>3.5</v>
      </c>
      <c r="Q4238">
        <f t="shared" si="130"/>
        <v>6944260</v>
      </c>
      <c r="R4238">
        <f t="shared" si="131"/>
        <v>7.4593981216141101</v>
      </c>
      <c r="U4238">
        <v>1740</v>
      </c>
      <c r="V4238">
        <v>1002</v>
      </c>
      <c r="W4238">
        <v>2477</v>
      </c>
      <c r="X4238">
        <v>787</v>
      </c>
      <c r="Y4238">
        <v>68.900000000000006</v>
      </c>
      <c r="Z4238">
        <v>63.4</v>
      </c>
      <c r="AA4238">
        <v>74.3</v>
      </c>
    </row>
    <row r="4239" spans="1:27" x14ac:dyDescent="0.25">
      <c r="A4239" t="s">
        <v>267</v>
      </c>
      <c r="B4239" t="s">
        <v>186</v>
      </c>
      <c r="C4239" s="76">
        <v>43965</v>
      </c>
      <c r="D4239">
        <v>11675</v>
      </c>
      <c r="E4239">
        <v>8043</v>
      </c>
      <c r="F4239">
        <v>15307</v>
      </c>
      <c r="G4239">
        <v>8032</v>
      </c>
      <c r="H4239">
        <v>59.2</v>
      </c>
      <c r="I4239">
        <v>54.8</v>
      </c>
      <c r="J4239">
        <v>63.7</v>
      </c>
      <c r="K4239">
        <v>544</v>
      </c>
      <c r="L4239">
        <v>307</v>
      </c>
      <c r="M4239">
        <v>781</v>
      </c>
      <c r="N4239">
        <v>2.8</v>
      </c>
      <c r="O4239">
        <v>2</v>
      </c>
      <c r="P4239">
        <v>3.6</v>
      </c>
      <c r="Q4239">
        <f t="shared" si="130"/>
        <v>6944260</v>
      </c>
      <c r="R4239">
        <f t="shared" si="131"/>
        <v>7.8338080659422316</v>
      </c>
      <c r="U4239">
        <v>1729</v>
      </c>
      <c r="V4239">
        <v>988</v>
      </c>
      <c r="W4239">
        <v>2469</v>
      </c>
      <c r="X4239">
        <v>794</v>
      </c>
      <c r="Y4239">
        <v>68.5</v>
      </c>
      <c r="Z4239">
        <v>62.2</v>
      </c>
      <c r="AA4239">
        <v>74.8</v>
      </c>
    </row>
    <row r="4240" spans="1:27" x14ac:dyDescent="0.25">
      <c r="A4240" t="s">
        <v>267</v>
      </c>
      <c r="B4240" t="s">
        <v>186</v>
      </c>
      <c r="C4240" s="76">
        <v>43966</v>
      </c>
      <c r="D4240">
        <v>11428</v>
      </c>
      <c r="E4240">
        <v>7874</v>
      </c>
      <c r="F4240">
        <v>14981</v>
      </c>
      <c r="G4240">
        <v>8196</v>
      </c>
      <c r="H4240">
        <v>58.2</v>
      </c>
      <c r="I4240">
        <v>53.9</v>
      </c>
      <c r="J4240">
        <v>62.6</v>
      </c>
      <c r="K4240">
        <v>536</v>
      </c>
      <c r="L4240">
        <v>294</v>
      </c>
      <c r="M4240">
        <v>777</v>
      </c>
      <c r="N4240">
        <v>2.7</v>
      </c>
      <c r="O4240">
        <v>1.9</v>
      </c>
      <c r="P4240">
        <v>3.6</v>
      </c>
      <c r="Q4240">
        <f t="shared" si="130"/>
        <v>6944260</v>
      </c>
      <c r="R4240">
        <f t="shared" si="131"/>
        <v>7.7186050061489642</v>
      </c>
      <c r="U4240">
        <v>1742</v>
      </c>
      <c r="V4240">
        <v>992</v>
      </c>
      <c r="W4240">
        <v>2492</v>
      </c>
      <c r="X4240">
        <v>744</v>
      </c>
      <c r="Y4240">
        <v>70.099999999999994</v>
      </c>
      <c r="Z4240">
        <v>64.099999999999994</v>
      </c>
      <c r="AA4240">
        <v>76</v>
      </c>
    </row>
    <row r="4241" spans="1:27" x14ac:dyDescent="0.25">
      <c r="A4241" t="s">
        <v>267</v>
      </c>
      <c r="B4241" t="s">
        <v>186</v>
      </c>
      <c r="C4241" s="76">
        <v>43967</v>
      </c>
      <c r="D4241">
        <v>11002</v>
      </c>
      <c r="E4241">
        <v>7542</v>
      </c>
      <c r="F4241">
        <v>14463</v>
      </c>
      <c r="G4241">
        <v>8618</v>
      </c>
      <c r="H4241">
        <v>56.1</v>
      </c>
      <c r="I4241">
        <v>51.8</v>
      </c>
      <c r="J4241">
        <v>60.4</v>
      </c>
      <c r="K4241">
        <v>501</v>
      </c>
      <c r="L4241">
        <v>262</v>
      </c>
      <c r="M4241">
        <v>739</v>
      </c>
      <c r="N4241">
        <v>2.6</v>
      </c>
      <c r="O4241">
        <v>1.7</v>
      </c>
      <c r="P4241">
        <v>3.4</v>
      </c>
      <c r="Q4241">
        <f t="shared" si="130"/>
        <v>6944260</v>
      </c>
      <c r="R4241">
        <f t="shared" si="131"/>
        <v>7.2145916195534152</v>
      </c>
      <c r="U4241">
        <v>1692</v>
      </c>
      <c r="V4241">
        <v>962</v>
      </c>
      <c r="W4241">
        <v>2422</v>
      </c>
      <c r="X4241">
        <v>795</v>
      </c>
      <c r="Y4241">
        <v>68</v>
      </c>
      <c r="Z4241">
        <v>62.2</v>
      </c>
      <c r="AA4241">
        <v>73.900000000000006</v>
      </c>
    </row>
    <row r="4242" spans="1:27" x14ac:dyDescent="0.25">
      <c r="A4242" t="s">
        <v>267</v>
      </c>
      <c r="B4242" t="s">
        <v>186</v>
      </c>
      <c r="C4242" s="76">
        <v>43968</v>
      </c>
      <c r="D4242">
        <v>10691</v>
      </c>
      <c r="E4242">
        <v>7295</v>
      </c>
      <c r="F4242">
        <v>14086</v>
      </c>
      <c r="G4242">
        <v>8935</v>
      </c>
      <c r="H4242">
        <v>54.5</v>
      </c>
      <c r="I4242">
        <v>49.8</v>
      </c>
      <c r="J4242">
        <v>59.1</v>
      </c>
      <c r="K4242">
        <v>501</v>
      </c>
      <c r="L4242">
        <v>257</v>
      </c>
      <c r="M4242">
        <v>746</v>
      </c>
      <c r="N4242">
        <v>2.6</v>
      </c>
      <c r="O4242">
        <v>1.7</v>
      </c>
      <c r="P4242">
        <v>3.4</v>
      </c>
      <c r="Q4242">
        <f t="shared" si="130"/>
        <v>6944260</v>
      </c>
      <c r="R4242">
        <f t="shared" si="131"/>
        <v>7.2145916195534152</v>
      </c>
      <c r="U4242">
        <v>1684</v>
      </c>
      <c r="V4242">
        <v>949</v>
      </c>
      <c r="W4242">
        <v>2419</v>
      </c>
      <c r="X4242">
        <v>841</v>
      </c>
      <c r="Y4242">
        <v>66.7</v>
      </c>
      <c r="Z4242">
        <v>60.1</v>
      </c>
      <c r="AA4242">
        <v>73.3</v>
      </c>
    </row>
    <row r="4243" spans="1:27" x14ac:dyDescent="0.25">
      <c r="A4243" t="s">
        <v>267</v>
      </c>
      <c r="B4243" t="s">
        <v>186</v>
      </c>
      <c r="C4243" s="76">
        <v>43969</v>
      </c>
      <c r="D4243">
        <v>11082</v>
      </c>
      <c r="E4243">
        <v>7613</v>
      </c>
      <c r="F4243">
        <v>14552</v>
      </c>
      <c r="G4243">
        <v>8645</v>
      </c>
      <c r="H4243">
        <v>56.2</v>
      </c>
      <c r="I4243">
        <v>51.7</v>
      </c>
      <c r="J4243">
        <v>60.6</v>
      </c>
      <c r="K4243">
        <v>560</v>
      </c>
      <c r="L4243">
        <v>276</v>
      </c>
      <c r="M4243">
        <v>843</v>
      </c>
      <c r="N4243">
        <v>2.8</v>
      </c>
      <c r="O4243">
        <v>1.8</v>
      </c>
      <c r="P4243">
        <v>3.9</v>
      </c>
      <c r="Q4243">
        <f t="shared" si="130"/>
        <v>6944260</v>
      </c>
      <c r="R4243">
        <f t="shared" si="131"/>
        <v>8.0642141855287672</v>
      </c>
      <c r="U4243">
        <v>1695</v>
      </c>
      <c r="V4243">
        <v>955</v>
      </c>
      <c r="W4243">
        <v>2435</v>
      </c>
      <c r="X4243">
        <v>845</v>
      </c>
      <c r="Y4243">
        <v>66.7</v>
      </c>
      <c r="Z4243">
        <v>60.7</v>
      </c>
      <c r="AA4243">
        <v>72.7</v>
      </c>
    </row>
    <row r="4244" spans="1:27" x14ac:dyDescent="0.25">
      <c r="A4244" t="s">
        <v>267</v>
      </c>
      <c r="B4244" t="s">
        <v>186</v>
      </c>
      <c r="C4244" s="76">
        <v>43970</v>
      </c>
      <c r="D4244">
        <v>11839</v>
      </c>
      <c r="E4244">
        <v>8095</v>
      </c>
      <c r="F4244">
        <v>15583</v>
      </c>
      <c r="G4244">
        <v>7856</v>
      </c>
      <c r="H4244">
        <v>60.1</v>
      </c>
      <c r="I4244">
        <v>55.5</v>
      </c>
      <c r="J4244">
        <v>64.7</v>
      </c>
      <c r="K4244">
        <v>559</v>
      </c>
      <c r="L4244">
        <v>279</v>
      </c>
      <c r="M4244">
        <v>838</v>
      </c>
      <c r="N4244">
        <v>2.8</v>
      </c>
      <c r="O4244">
        <v>1.8</v>
      </c>
      <c r="P4244">
        <v>3.8</v>
      </c>
      <c r="Q4244">
        <f t="shared" si="130"/>
        <v>6944260</v>
      </c>
      <c r="R4244">
        <f t="shared" si="131"/>
        <v>8.049813803054608</v>
      </c>
      <c r="U4244">
        <v>1790</v>
      </c>
      <c r="V4244">
        <v>1024</v>
      </c>
      <c r="W4244">
        <v>2556</v>
      </c>
      <c r="X4244">
        <v>751</v>
      </c>
      <c r="Y4244">
        <v>70.400000000000006</v>
      </c>
      <c r="Z4244">
        <v>64.7</v>
      </c>
      <c r="AA4244">
        <v>76.2</v>
      </c>
    </row>
    <row r="4245" spans="1:27" x14ac:dyDescent="0.25">
      <c r="A4245" t="s">
        <v>267</v>
      </c>
      <c r="B4245" t="s">
        <v>186</v>
      </c>
      <c r="C4245" s="76">
        <v>43971</v>
      </c>
      <c r="D4245">
        <v>12027</v>
      </c>
      <c r="E4245">
        <v>8193</v>
      </c>
      <c r="F4245">
        <v>15860</v>
      </c>
      <c r="G4245">
        <v>7491</v>
      </c>
      <c r="H4245">
        <v>61.6</v>
      </c>
      <c r="I4245">
        <v>56.9</v>
      </c>
      <c r="J4245">
        <v>66.400000000000006</v>
      </c>
      <c r="K4245">
        <v>549</v>
      </c>
      <c r="L4245">
        <v>280</v>
      </c>
      <c r="M4245">
        <v>819</v>
      </c>
      <c r="N4245">
        <v>2.8</v>
      </c>
      <c r="O4245">
        <v>1.8</v>
      </c>
      <c r="P4245">
        <v>3.8</v>
      </c>
      <c r="Q4245">
        <f t="shared" si="130"/>
        <v>6944260</v>
      </c>
      <c r="R4245">
        <f t="shared" si="131"/>
        <v>7.9058099783130249</v>
      </c>
      <c r="U4245">
        <v>1723</v>
      </c>
      <c r="V4245">
        <v>976</v>
      </c>
      <c r="W4245">
        <v>2471</v>
      </c>
      <c r="X4245">
        <v>702</v>
      </c>
      <c r="Y4245">
        <v>71</v>
      </c>
      <c r="Z4245">
        <v>65.8</v>
      </c>
      <c r="AA4245">
        <v>76.2</v>
      </c>
    </row>
    <row r="4246" spans="1:27" x14ac:dyDescent="0.25">
      <c r="A4246" t="s">
        <v>267</v>
      </c>
      <c r="B4246" t="s">
        <v>186</v>
      </c>
      <c r="C4246" s="76">
        <v>43972</v>
      </c>
      <c r="D4246">
        <v>12012</v>
      </c>
      <c r="E4246">
        <v>8189</v>
      </c>
      <c r="F4246">
        <v>15834</v>
      </c>
      <c r="G4246">
        <v>7504</v>
      </c>
      <c r="H4246">
        <v>61.5</v>
      </c>
      <c r="I4246">
        <v>56.8</v>
      </c>
      <c r="J4246">
        <v>66.3</v>
      </c>
      <c r="K4246">
        <v>520</v>
      </c>
      <c r="L4246">
        <v>279</v>
      </c>
      <c r="M4246">
        <v>760</v>
      </c>
      <c r="N4246">
        <v>2.7</v>
      </c>
      <c r="O4246">
        <v>1.8</v>
      </c>
      <c r="P4246">
        <v>3.5</v>
      </c>
      <c r="Q4246">
        <f t="shared" si="130"/>
        <v>6944260</v>
      </c>
      <c r="R4246">
        <f t="shared" si="131"/>
        <v>7.4881988865624276</v>
      </c>
      <c r="U4246">
        <v>1695</v>
      </c>
      <c r="V4246">
        <v>965</v>
      </c>
      <c r="W4246">
        <v>2426</v>
      </c>
      <c r="X4246">
        <v>737</v>
      </c>
      <c r="Y4246">
        <v>69.7</v>
      </c>
      <c r="Z4246">
        <v>64.5</v>
      </c>
      <c r="AA4246">
        <v>74.900000000000006</v>
      </c>
    </row>
    <row r="4247" spans="1:27" x14ac:dyDescent="0.25">
      <c r="A4247" t="s">
        <v>267</v>
      </c>
      <c r="B4247" t="s">
        <v>186</v>
      </c>
      <c r="C4247" s="76">
        <v>43973</v>
      </c>
      <c r="D4247">
        <v>12159</v>
      </c>
      <c r="E4247">
        <v>8306</v>
      </c>
      <c r="F4247">
        <v>16012</v>
      </c>
      <c r="G4247">
        <v>7613</v>
      </c>
      <c r="H4247">
        <v>61.5</v>
      </c>
      <c r="I4247">
        <v>56.7</v>
      </c>
      <c r="J4247">
        <v>66.3</v>
      </c>
      <c r="K4247">
        <v>508</v>
      </c>
      <c r="L4247">
        <v>261</v>
      </c>
      <c r="M4247">
        <v>756</v>
      </c>
      <c r="N4247">
        <v>2.6</v>
      </c>
      <c r="O4247">
        <v>1.7</v>
      </c>
      <c r="P4247">
        <v>3.5</v>
      </c>
      <c r="Q4247">
        <f t="shared" si="130"/>
        <v>6944260</v>
      </c>
      <c r="R4247">
        <f t="shared" si="131"/>
        <v>7.3153942968725252</v>
      </c>
      <c r="U4247">
        <v>1706</v>
      </c>
      <c r="V4247">
        <v>969</v>
      </c>
      <c r="W4247">
        <v>2442</v>
      </c>
      <c r="X4247">
        <v>742</v>
      </c>
      <c r="Y4247">
        <v>69.7</v>
      </c>
      <c r="Z4247">
        <v>64.2</v>
      </c>
      <c r="AA4247">
        <v>75.099999999999994</v>
      </c>
    </row>
    <row r="4248" spans="1:27" x14ac:dyDescent="0.25">
      <c r="A4248" t="s">
        <v>267</v>
      </c>
      <c r="B4248" t="s">
        <v>186</v>
      </c>
      <c r="C4248" s="76">
        <v>43974</v>
      </c>
      <c r="D4248">
        <v>11277</v>
      </c>
      <c r="E4248">
        <v>7634</v>
      </c>
      <c r="F4248">
        <v>14919</v>
      </c>
      <c r="G4248">
        <v>8078</v>
      </c>
      <c r="H4248">
        <v>58.3</v>
      </c>
      <c r="I4248">
        <v>53.4</v>
      </c>
      <c r="J4248">
        <v>63.1</v>
      </c>
      <c r="K4248">
        <v>465</v>
      </c>
      <c r="L4248">
        <v>237</v>
      </c>
      <c r="M4248">
        <v>693</v>
      </c>
      <c r="N4248">
        <v>2.4</v>
      </c>
      <c r="O4248">
        <v>1.6</v>
      </c>
      <c r="P4248">
        <v>3.2</v>
      </c>
      <c r="Q4248">
        <f t="shared" si="130"/>
        <v>6944260</v>
      </c>
      <c r="R4248">
        <f t="shared" si="131"/>
        <v>6.6961778504837088</v>
      </c>
      <c r="U4248">
        <v>1633</v>
      </c>
      <c r="V4248">
        <v>920</v>
      </c>
      <c r="W4248">
        <v>2346</v>
      </c>
      <c r="X4248">
        <v>759</v>
      </c>
      <c r="Y4248">
        <v>68.3</v>
      </c>
      <c r="Z4248">
        <v>62.5</v>
      </c>
      <c r="AA4248">
        <v>74</v>
      </c>
    </row>
    <row r="4249" spans="1:27" x14ac:dyDescent="0.25">
      <c r="A4249" t="s">
        <v>267</v>
      </c>
      <c r="B4249" t="s">
        <v>186</v>
      </c>
      <c r="C4249" s="76">
        <v>43975</v>
      </c>
      <c r="D4249">
        <v>10887</v>
      </c>
      <c r="E4249">
        <v>7397</v>
      </c>
      <c r="F4249">
        <v>14376</v>
      </c>
      <c r="G4249">
        <v>8571</v>
      </c>
      <c r="H4249">
        <v>56</v>
      </c>
      <c r="I4249">
        <v>51.2</v>
      </c>
      <c r="J4249">
        <v>60.7</v>
      </c>
      <c r="K4249">
        <v>464</v>
      </c>
      <c r="L4249">
        <v>240</v>
      </c>
      <c r="M4249">
        <v>689</v>
      </c>
      <c r="N4249">
        <v>2.4</v>
      </c>
      <c r="O4249">
        <v>1.6</v>
      </c>
      <c r="P4249">
        <v>3.2</v>
      </c>
      <c r="Q4249">
        <f t="shared" si="130"/>
        <v>6944260</v>
      </c>
      <c r="R4249">
        <f t="shared" si="131"/>
        <v>6.6817774680095496</v>
      </c>
      <c r="U4249">
        <v>1603</v>
      </c>
      <c r="V4249">
        <v>882</v>
      </c>
      <c r="W4249">
        <v>2324</v>
      </c>
      <c r="X4249">
        <v>783</v>
      </c>
      <c r="Y4249">
        <v>67.2</v>
      </c>
      <c r="Z4249">
        <v>61.6</v>
      </c>
      <c r="AA4249">
        <v>72.7</v>
      </c>
    </row>
    <row r="4250" spans="1:27" x14ac:dyDescent="0.25">
      <c r="A4250" t="s">
        <v>267</v>
      </c>
      <c r="B4250" t="s">
        <v>186</v>
      </c>
      <c r="C4250" s="76">
        <v>43976</v>
      </c>
      <c r="D4250">
        <v>10598</v>
      </c>
      <c r="E4250">
        <v>7148</v>
      </c>
      <c r="F4250">
        <v>14047</v>
      </c>
      <c r="G4250">
        <v>8498</v>
      </c>
      <c r="H4250">
        <v>55.5</v>
      </c>
      <c r="I4250">
        <v>50.7</v>
      </c>
      <c r="J4250">
        <v>60.3</v>
      </c>
      <c r="K4250">
        <v>470</v>
      </c>
      <c r="L4250">
        <v>239</v>
      </c>
      <c r="M4250">
        <v>701</v>
      </c>
      <c r="N4250">
        <v>2.5</v>
      </c>
      <c r="O4250">
        <v>1.6</v>
      </c>
      <c r="P4250">
        <v>3.3</v>
      </c>
      <c r="Q4250">
        <f t="shared" si="130"/>
        <v>6944260</v>
      </c>
      <c r="R4250">
        <f t="shared" si="131"/>
        <v>6.7681797628545022</v>
      </c>
      <c r="U4250">
        <v>1526</v>
      </c>
      <c r="V4250">
        <v>830</v>
      </c>
      <c r="W4250">
        <v>2222</v>
      </c>
      <c r="X4250">
        <v>821</v>
      </c>
      <c r="Y4250">
        <v>65</v>
      </c>
      <c r="Z4250">
        <v>59.2</v>
      </c>
      <c r="AA4250">
        <v>70.8</v>
      </c>
    </row>
    <row r="4251" spans="1:27" x14ac:dyDescent="0.25">
      <c r="A4251" t="s">
        <v>267</v>
      </c>
      <c r="B4251" t="s">
        <v>186</v>
      </c>
      <c r="C4251" s="76">
        <v>43977</v>
      </c>
      <c r="D4251">
        <v>10919</v>
      </c>
      <c r="E4251">
        <v>7252</v>
      </c>
      <c r="F4251">
        <v>14586</v>
      </c>
      <c r="G4251">
        <v>7980</v>
      </c>
      <c r="H4251">
        <v>57.8</v>
      </c>
      <c r="I4251">
        <v>53</v>
      </c>
      <c r="J4251">
        <v>62.6</v>
      </c>
      <c r="K4251">
        <v>446</v>
      </c>
      <c r="L4251">
        <v>238</v>
      </c>
      <c r="M4251">
        <v>654</v>
      </c>
      <c r="N4251">
        <v>2.4</v>
      </c>
      <c r="O4251">
        <v>1.6</v>
      </c>
      <c r="P4251">
        <v>3.1</v>
      </c>
      <c r="Q4251">
        <f t="shared" si="130"/>
        <v>6944260</v>
      </c>
      <c r="R4251">
        <f t="shared" si="131"/>
        <v>6.4225705834746973</v>
      </c>
      <c r="U4251">
        <v>1541</v>
      </c>
      <c r="V4251">
        <v>818</v>
      </c>
      <c r="W4251">
        <v>2264</v>
      </c>
      <c r="X4251">
        <v>725</v>
      </c>
      <c r="Y4251">
        <v>68</v>
      </c>
      <c r="Z4251">
        <v>63</v>
      </c>
      <c r="AA4251">
        <v>73.099999999999994</v>
      </c>
    </row>
    <row r="4252" spans="1:27" x14ac:dyDescent="0.25">
      <c r="A4252" t="s">
        <v>267</v>
      </c>
      <c r="B4252" t="s">
        <v>186</v>
      </c>
      <c r="C4252" s="76">
        <v>43978</v>
      </c>
      <c r="D4252">
        <v>11279</v>
      </c>
      <c r="E4252">
        <v>7445</v>
      </c>
      <c r="F4252">
        <v>15112</v>
      </c>
      <c r="G4252">
        <v>7400</v>
      </c>
      <c r="H4252">
        <v>60.4</v>
      </c>
      <c r="I4252">
        <v>55.6</v>
      </c>
      <c r="J4252">
        <v>65.2</v>
      </c>
      <c r="K4252">
        <v>526</v>
      </c>
      <c r="L4252">
        <v>287</v>
      </c>
      <c r="M4252">
        <v>765</v>
      </c>
      <c r="N4252">
        <v>2.8</v>
      </c>
      <c r="O4252">
        <v>2</v>
      </c>
      <c r="P4252">
        <v>3.6</v>
      </c>
      <c r="Q4252">
        <f t="shared" si="130"/>
        <v>6944260</v>
      </c>
      <c r="R4252">
        <f t="shared" si="131"/>
        <v>7.5746011814073784</v>
      </c>
      <c r="U4252">
        <v>1641</v>
      </c>
      <c r="V4252">
        <v>891</v>
      </c>
      <c r="W4252">
        <v>2391</v>
      </c>
      <c r="X4252">
        <v>654</v>
      </c>
      <c r="Y4252">
        <v>71.5</v>
      </c>
      <c r="Z4252">
        <v>66.599999999999994</v>
      </c>
      <c r="AA4252">
        <v>76.5</v>
      </c>
    </row>
    <row r="4253" spans="1:27" x14ac:dyDescent="0.25">
      <c r="A4253" t="s">
        <v>267</v>
      </c>
      <c r="B4253" t="s">
        <v>186</v>
      </c>
      <c r="C4253" s="76">
        <v>43979</v>
      </c>
      <c r="D4253">
        <v>11820</v>
      </c>
      <c r="E4253">
        <v>7558</v>
      </c>
      <c r="F4253">
        <v>16082</v>
      </c>
      <c r="G4253">
        <v>7202</v>
      </c>
      <c r="H4253">
        <v>62.1</v>
      </c>
      <c r="I4253">
        <v>56.4</v>
      </c>
      <c r="J4253">
        <v>67.900000000000006</v>
      </c>
      <c r="K4253">
        <v>494</v>
      </c>
      <c r="L4253">
        <v>248</v>
      </c>
      <c r="M4253">
        <v>739</v>
      </c>
      <c r="N4253">
        <v>2.6</v>
      </c>
      <c r="O4253">
        <v>1.7</v>
      </c>
      <c r="P4253">
        <v>3.5</v>
      </c>
      <c r="Q4253">
        <f t="shared" si="130"/>
        <v>6944260</v>
      </c>
      <c r="R4253">
        <f t="shared" si="131"/>
        <v>7.1137889422343061</v>
      </c>
      <c r="U4253">
        <v>1779</v>
      </c>
      <c r="V4253">
        <v>979</v>
      </c>
      <c r="W4253">
        <v>2578</v>
      </c>
      <c r="X4253">
        <v>606</v>
      </c>
      <c r="Y4253">
        <v>74.599999999999994</v>
      </c>
      <c r="Z4253">
        <v>69.2</v>
      </c>
      <c r="AA4253">
        <v>80</v>
      </c>
    </row>
    <row r="4254" spans="1:27" x14ac:dyDescent="0.25">
      <c r="A4254" t="s">
        <v>267</v>
      </c>
      <c r="B4254" t="s">
        <v>186</v>
      </c>
      <c r="C4254" s="76">
        <v>43980</v>
      </c>
      <c r="D4254">
        <v>12097</v>
      </c>
      <c r="E4254">
        <v>8050</v>
      </c>
      <c r="F4254">
        <v>16144</v>
      </c>
      <c r="G4254">
        <v>7107</v>
      </c>
      <c r="H4254">
        <v>63</v>
      </c>
      <c r="I4254">
        <v>58.1</v>
      </c>
      <c r="J4254">
        <v>67.900000000000006</v>
      </c>
      <c r="K4254">
        <v>445</v>
      </c>
      <c r="L4254">
        <v>251</v>
      </c>
      <c r="M4254">
        <v>639</v>
      </c>
      <c r="N4254">
        <v>2.2999999999999998</v>
      </c>
      <c r="O4254">
        <v>1.7</v>
      </c>
      <c r="P4254">
        <v>3</v>
      </c>
      <c r="Q4254">
        <f t="shared" si="130"/>
        <v>6944260</v>
      </c>
      <c r="R4254">
        <f t="shared" si="131"/>
        <v>6.4081702010005381</v>
      </c>
      <c r="U4254">
        <v>1725</v>
      </c>
      <c r="V4254">
        <v>957</v>
      </c>
      <c r="W4254">
        <v>2493</v>
      </c>
      <c r="X4254">
        <v>628</v>
      </c>
      <c r="Y4254">
        <v>73.3</v>
      </c>
      <c r="Z4254">
        <v>68.7</v>
      </c>
      <c r="AA4254">
        <v>78</v>
      </c>
    </row>
    <row r="4255" spans="1:27" x14ac:dyDescent="0.25">
      <c r="A4255" t="s">
        <v>267</v>
      </c>
      <c r="B4255" t="s">
        <v>186</v>
      </c>
      <c r="C4255" s="76">
        <v>43981</v>
      </c>
      <c r="D4255">
        <v>11392</v>
      </c>
      <c r="E4255">
        <v>7551</v>
      </c>
      <c r="F4255">
        <v>15233</v>
      </c>
      <c r="G4255">
        <v>7782</v>
      </c>
      <c r="H4255">
        <v>59.4</v>
      </c>
      <c r="I4255">
        <v>54.5</v>
      </c>
      <c r="J4255">
        <v>64.3</v>
      </c>
      <c r="K4255">
        <v>421</v>
      </c>
      <c r="L4255">
        <v>240</v>
      </c>
      <c r="M4255">
        <v>602</v>
      </c>
      <c r="N4255">
        <v>2.2000000000000002</v>
      </c>
      <c r="O4255">
        <v>1.6</v>
      </c>
      <c r="P4255">
        <v>2.8</v>
      </c>
      <c r="Q4255">
        <f t="shared" si="130"/>
        <v>6944260</v>
      </c>
      <c r="R4255">
        <f t="shared" si="131"/>
        <v>6.0625610216207342</v>
      </c>
      <c r="U4255">
        <v>1691</v>
      </c>
      <c r="V4255">
        <v>933</v>
      </c>
      <c r="W4255">
        <v>2450</v>
      </c>
      <c r="X4255">
        <v>646</v>
      </c>
      <c r="Y4255">
        <v>72.400000000000006</v>
      </c>
      <c r="Z4255">
        <v>67</v>
      </c>
      <c r="AA4255">
        <v>77.8</v>
      </c>
    </row>
    <row r="4256" spans="1:27" x14ac:dyDescent="0.25">
      <c r="A4256" t="s">
        <v>267</v>
      </c>
      <c r="B4256" t="s">
        <v>186</v>
      </c>
      <c r="C4256" s="76">
        <v>43982</v>
      </c>
      <c r="D4256">
        <v>10609</v>
      </c>
      <c r="E4256">
        <v>6958</v>
      </c>
      <c r="F4256">
        <v>14259</v>
      </c>
      <c r="G4256">
        <v>8089</v>
      </c>
      <c r="H4256">
        <v>56.7</v>
      </c>
      <c r="I4256">
        <v>51.7</v>
      </c>
      <c r="J4256">
        <v>61.8</v>
      </c>
      <c r="K4256">
        <v>403</v>
      </c>
      <c r="L4256">
        <v>226</v>
      </c>
      <c r="M4256">
        <v>581</v>
      </c>
      <c r="N4256">
        <v>2.2000000000000002</v>
      </c>
      <c r="O4256">
        <v>1.5</v>
      </c>
      <c r="P4256">
        <v>2.8</v>
      </c>
      <c r="Q4256">
        <f t="shared" si="130"/>
        <v>6944260</v>
      </c>
      <c r="R4256">
        <f t="shared" si="131"/>
        <v>5.803354137085881</v>
      </c>
      <c r="U4256">
        <v>1556</v>
      </c>
      <c r="V4256">
        <v>834</v>
      </c>
      <c r="W4256">
        <v>2279</v>
      </c>
      <c r="X4256">
        <v>707</v>
      </c>
      <c r="Y4256">
        <v>68.7</v>
      </c>
      <c r="Z4256">
        <v>64</v>
      </c>
      <c r="AA4256">
        <v>73.5</v>
      </c>
    </row>
    <row r="4257" spans="1:27" x14ac:dyDescent="0.25">
      <c r="A4257" t="s">
        <v>267</v>
      </c>
      <c r="B4257" t="s">
        <v>186</v>
      </c>
      <c r="C4257" s="76">
        <v>43983</v>
      </c>
      <c r="D4257">
        <v>11023</v>
      </c>
      <c r="E4257">
        <v>7228</v>
      </c>
      <c r="F4257">
        <v>14818</v>
      </c>
      <c r="G4257">
        <v>7631</v>
      </c>
      <c r="H4257">
        <v>59.1</v>
      </c>
      <c r="I4257">
        <v>54.1</v>
      </c>
      <c r="J4257">
        <v>64.099999999999994</v>
      </c>
      <c r="K4257">
        <v>440</v>
      </c>
      <c r="L4257">
        <v>250</v>
      </c>
      <c r="M4257">
        <v>631</v>
      </c>
      <c r="N4257">
        <v>2.4</v>
      </c>
      <c r="O4257">
        <v>1.7</v>
      </c>
      <c r="P4257">
        <v>3</v>
      </c>
      <c r="Q4257">
        <f t="shared" si="130"/>
        <v>6944260</v>
      </c>
      <c r="R4257">
        <f t="shared" si="131"/>
        <v>6.3361682886297457</v>
      </c>
      <c r="U4257">
        <v>1579</v>
      </c>
      <c r="V4257">
        <v>858</v>
      </c>
      <c r="W4257">
        <v>2300</v>
      </c>
      <c r="X4257">
        <v>696</v>
      </c>
      <c r="Y4257">
        <v>69.400000000000006</v>
      </c>
      <c r="Z4257">
        <v>64.8</v>
      </c>
      <c r="AA4257">
        <v>74</v>
      </c>
    </row>
    <row r="4258" spans="1:27" x14ac:dyDescent="0.25">
      <c r="A4258" t="s">
        <v>267</v>
      </c>
      <c r="B4258" t="s">
        <v>186</v>
      </c>
      <c r="C4258" s="76">
        <v>43984</v>
      </c>
      <c r="D4258">
        <v>10968</v>
      </c>
      <c r="E4258">
        <v>7111</v>
      </c>
      <c r="F4258">
        <v>14826</v>
      </c>
      <c r="G4258">
        <v>6964</v>
      </c>
      <c r="H4258">
        <v>61.2</v>
      </c>
      <c r="I4258">
        <v>56.7</v>
      </c>
      <c r="J4258">
        <v>65.599999999999994</v>
      </c>
      <c r="K4258">
        <v>466</v>
      </c>
      <c r="L4258">
        <v>260</v>
      </c>
      <c r="M4258">
        <v>671</v>
      </c>
      <c r="N4258">
        <v>2.6</v>
      </c>
      <c r="O4258">
        <v>1.8</v>
      </c>
      <c r="P4258">
        <v>3.4</v>
      </c>
      <c r="Q4258">
        <f t="shared" si="130"/>
        <v>6944260</v>
      </c>
      <c r="R4258">
        <f t="shared" si="131"/>
        <v>6.7105782329578672</v>
      </c>
      <c r="U4258">
        <v>1349</v>
      </c>
      <c r="V4258">
        <v>801</v>
      </c>
      <c r="W4258">
        <v>1897</v>
      </c>
      <c r="X4258">
        <v>440</v>
      </c>
      <c r="Y4258">
        <v>75.400000000000006</v>
      </c>
      <c r="Z4258">
        <v>69.8</v>
      </c>
      <c r="AA4258">
        <v>81</v>
      </c>
    </row>
    <row r="4259" spans="1:27" x14ac:dyDescent="0.25">
      <c r="A4259" t="s">
        <v>267</v>
      </c>
      <c r="B4259" t="s">
        <v>186</v>
      </c>
      <c r="C4259" s="76">
        <v>43985</v>
      </c>
      <c r="D4259">
        <v>11084</v>
      </c>
      <c r="E4259">
        <v>7071</v>
      </c>
      <c r="F4259">
        <v>15096</v>
      </c>
      <c r="G4259">
        <v>6898</v>
      </c>
      <c r="H4259">
        <v>61.6</v>
      </c>
      <c r="I4259">
        <v>56.5</v>
      </c>
      <c r="J4259">
        <v>66.8</v>
      </c>
      <c r="K4259">
        <v>433</v>
      </c>
      <c r="L4259">
        <v>229</v>
      </c>
      <c r="M4259">
        <v>637</v>
      </c>
      <c r="N4259">
        <v>2.4</v>
      </c>
      <c r="O4259">
        <v>1.6</v>
      </c>
      <c r="P4259">
        <v>3.2</v>
      </c>
      <c r="Q4259">
        <f t="shared" si="130"/>
        <v>6944260</v>
      </c>
      <c r="R4259">
        <f t="shared" si="131"/>
        <v>6.2353656113106366</v>
      </c>
      <c r="U4259">
        <v>1304</v>
      </c>
      <c r="V4259">
        <v>755</v>
      </c>
      <c r="W4259">
        <v>1853</v>
      </c>
      <c r="X4259">
        <v>461</v>
      </c>
      <c r="Y4259">
        <v>73.900000000000006</v>
      </c>
      <c r="Z4259">
        <v>67.900000000000006</v>
      </c>
      <c r="AA4259">
        <v>79.900000000000006</v>
      </c>
    </row>
    <row r="4260" spans="1:27" x14ac:dyDescent="0.25">
      <c r="A4260" t="s">
        <v>267</v>
      </c>
      <c r="B4260" t="s">
        <v>186</v>
      </c>
      <c r="C4260" s="76">
        <v>43986</v>
      </c>
      <c r="D4260">
        <v>11045</v>
      </c>
      <c r="E4260">
        <v>7158</v>
      </c>
      <c r="F4260">
        <v>14932</v>
      </c>
      <c r="G4260">
        <v>7068</v>
      </c>
      <c r="H4260">
        <v>61</v>
      </c>
      <c r="I4260">
        <v>56.2</v>
      </c>
      <c r="J4260">
        <v>65.8</v>
      </c>
      <c r="K4260">
        <v>470</v>
      </c>
      <c r="L4260">
        <v>261</v>
      </c>
      <c r="M4260">
        <v>679</v>
      </c>
      <c r="N4260">
        <v>2.6</v>
      </c>
      <c r="O4260">
        <v>1.8</v>
      </c>
      <c r="P4260">
        <v>3.4</v>
      </c>
      <c r="Q4260">
        <f t="shared" si="130"/>
        <v>6944260</v>
      </c>
      <c r="R4260">
        <f t="shared" si="131"/>
        <v>6.7681797628545022</v>
      </c>
      <c r="U4260">
        <v>1322</v>
      </c>
      <c r="V4260">
        <v>787</v>
      </c>
      <c r="W4260">
        <v>1857</v>
      </c>
      <c r="X4260">
        <v>516</v>
      </c>
      <c r="Y4260">
        <v>71.900000000000006</v>
      </c>
      <c r="Z4260">
        <v>64.900000000000006</v>
      </c>
      <c r="AA4260">
        <v>78.900000000000006</v>
      </c>
    </row>
    <row r="4261" spans="1:27" x14ac:dyDescent="0.25">
      <c r="A4261" t="s">
        <v>267</v>
      </c>
      <c r="B4261" t="s">
        <v>186</v>
      </c>
      <c r="C4261" s="76">
        <v>43987</v>
      </c>
      <c r="D4261">
        <v>12311</v>
      </c>
      <c r="E4261">
        <v>8170</v>
      </c>
      <c r="F4261">
        <v>16453</v>
      </c>
      <c r="G4261">
        <v>7288</v>
      </c>
      <c r="H4261">
        <v>62.8</v>
      </c>
      <c r="I4261">
        <v>57.9</v>
      </c>
      <c r="J4261">
        <v>67.8</v>
      </c>
      <c r="K4261">
        <v>489</v>
      </c>
      <c r="L4261">
        <v>285</v>
      </c>
      <c r="M4261">
        <v>692</v>
      </c>
      <c r="N4261">
        <v>2.5</v>
      </c>
      <c r="O4261">
        <v>1.8</v>
      </c>
      <c r="P4261">
        <v>3.2</v>
      </c>
      <c r="Q4261">
        <f t="shared" si="130"/>
        <v>6944260</v>
      </c>
      <c r="R4261">
        <f t="shared" si="131"/>
        <v>7.0417870298635137</v>
      </c>
      <c r="U4261">
        <v>1899</v>
      </c>
      <c r="V4261">
        <v>1070</v>
      </c>
      <c r="W4261">
        <v>2729</v>
      </c>
      <c r="X4261">
        <v>736</v>
      </c>
      <c r="Y4261">
        <v>72.099999999999994</v>
      </c>
      <c r="Z4261">
        <v>67.3</v>
      </c>
      <c r="AA4261">
        <v>76.900000000000006</v>
      </c>
    </row>
    <row r="4262" spans="1:27" x14ac:dyDescent="0.25">
      <c r="A4262" t="s">
        <v>267</v>
      </c>
      <c r="B4262" t="s">
        <v>186</v>
      </c>
      <c r="C4262" s="76">
        <v>43988</v>
      </c>
      <c r="D4262">
        <v>11833</v>
      </c>
      <c r="E4262">
        <v>7916</v>
      </c>
      <c r="F4262">
        <v>15751</v>
      </c>
      <c r="G4262">
        <v>7661</v>
      </c>
      <c r="H4262">
        <v>60.7</v>
      </c>
      <c r="I4262">
        <v>56</v>
      </c>
      <c r="J4262">
        <v>65.400000000000006</v>
      </c>
      <c r="K4262">
        <v>521</v>
      </c>
      <c r="L4262">
        <v>312</v>
      </c>
      <c r="M4262">
        <v>731</v>
      </c>
      <c r="N4262">
        <v>2.7</v>
      </c>
      <c r="O4262">
        <v>2</v>
      </c>
      <c r="P4262">
        <v>3.3</v>
      </c>
      <c r="Q4262">
        <f t="shared" si="130"/>
        <v>6944260</v>
      </c>
      <c r="R4262">
        <f t="shared" si="131"/>
        <v>7.5025992690365859</v>
      </c>
      <c r="U4262">
        <v>1859</v>
      </c>
      <c r="V4262">
        <v>1042</v>
      </c>
      <c r="W4262">
        <v>2676</v>
      </c>
      <c r="X4262">
        <v>775</v>
      </c>
      <c r="Y4262">
        <v>70.599999999999994</v>
      </c>
      <c r="Z4262">
        <v>65.400000000000006</v>
      </c>
      <c r="AA4262">
        <v>75.7</v>
      </c>
    </row>
    <row r="4263" spans="1:27" x14ac:dyDescent="0.25">
      <c r="A4263" t="s">
        <v>267</v>
      </c>
      <c r="B4263" t="s">
        <v>186</v>
      </c>
      <c r="C4263" s="76">
        <v>43989</v>
      </c>
      <c r="D4263">
        <v>11524</v>
      </c>
      <c r="E4263">
        <v>7714</v>
      </c>
      <c r="F4263">
        <v>15333</v>
      </c>
      <c r="G4263">
        <v>7956</v>
      </c>
      <c r="H4263">
        <v>59.2</v>
      </c>
      <c r="I4263">
        <v>54.3</v>
      </c>
      <c r="J4263">
        <v>64</v>
      </c>
      <c r="K4263">
        <v>577</v>
      </c>
      <c r="L4263">
        <v>338</v>
      </c>
      <c r="M4263">
        <v>816</v>
      </c>
      <c r="N4263">
        <v>3</v>
      </c>
      <c r="O4263">
        <v>2.1</v>
      </c>
      <c r="P4263">
        <v>3.8</v>
      </c>
      <c r="Q4263">
        <f t="shared" ref="Q4263:Q4326" si="132">VLOOKUP(B4263,$AE$4:$AF$55,2,FALSE)</f>
        <v>6944260</v>
      </c>
      <c r="R4263">
        <f t="shared" si="131"/>
        <v>8.309020687589463</v>
      </c>
      <c r="U4263">
        <v>1821</v>
      </c>
      <c r="V4263">
        <v>1028</v>
      </c>
      <c r="W4263">
        <v>2614</v>
      </c>
      <c r="X4263">
        <v>813</v>
      </c>
      <c r="Y4263">
        <v>69.099999999999994</v>
      </c>
      <c r="Z4263">
        <v>63.6</v>
      </c>
      <c r="AA4263">
        <v>74.7</v>
      </c>
    </row>
    <row r="4264" spans="1:27" x14ac:dyDescent="0.25">
      <c r="A4264" t="s">
        <v>267</v>
      </c>
      <c r="B4264" t="s">
        <v>186</v>
      </c>
      <c r="C4264" s="76">
        <v>43990</v>
      </c>
      <c r="D4264">
        <v>11687</v>
      </c>
      <c r="E4264">
        <v>7793</v>
      </c>
      <c r="F4264">
        <v>15582</v>
      </c>
      <c r="G4264">
        <v>7638</v>
      </c>
      <c r="H4264">
        <v>60.5</v>
      </c>
      <c r="I4264">
        <v>55.5</v>
      </c>
      <c r="J4264">
        <v>65.400000000000006</v>
      </c>
      <c r="K4264">
        <v>578</v>
      </c>
      <c r="L4264">
        <v>344</v>
      </c>
      <c r="M4264">
        <v>812</v>
      </c>
      <c r="N4264">
        <v>3</v>
      </c>
      <c r="O4264">
        <v>2.2000000000000002</v>
      </c>
      <c r="P4264">
        <v>3.7</v>
      </c>
      <c r="Q4264">
        <f t="shared" si="132"/>
        <v>6944260</v>
      </c>
      <c r="R4264">
        <f t="shared" si="131"/>
        <v>8.3234210700636222</v>
      </c>
      <c r="U4264">
        <v>1776</v>
      </c>
      <c r="V4264">
        <v>997</v>
      </c>
      <c r="W4264">
        <v>2555</v>
      </c>
      <c r="X4264">
        <v>872</v>
      </c>
      <c r="Y4264">
        <v>67.099999999999994</v>
      </c>
      <c r="Z4264">
        <v>60.4</v>
      </c>
      <c r="AA4264">
        <v>73.8</v>
      </c>
    </row>
    <row r="4265" spans="1:27" x14ac:dyDescent="0.25">
      <c r="A4265" t="s">
        <v>267</v>
      </c>
      <c r="B4265" t="s">
        <v>186</v>
      </c>
      <c r="C4265" s="76">
        <v>43991</v>
      </c>
      <c r="D4265">
        <v>12293</v>
      </c>
      <c r="E4265">
        <v>8100</v>
      </c>
      <c r="F4265">
        <v>16486</v>
      </c>
      <c r="G4265">
        <v>7256</v>
      </c>
      <c r="H4265">
        <v>62.9</v>
      </c>
      <c r="I4265">
        <v>57.6</v>
      </c>
      <c r="J4265">
        <v>68.2</v>
      </c>
      <c r="K4265">
        <v>570</v>
      </c>
      <c r="L4265">
        <v>333</v>
      </c>
      <c r="M4265">
        <v>807</v>
      </c>
      <c r="N4265">
        <v>2.9</v>
      </c>
      <c r="O4265">
        <v>2.1</v>
      </c>
      <c r="P4265">
        <v>3.7</v>
      </c>
      <c r="Q4265">
        <f t="shared" si="132"/>
        <v>6944260</v>
      </c>
      <c r="R4265">
        <f t="shared" si="131"/>
        <v>8.2082180102703539</v>
      </c>
      <c r="U4265">
        <v>1881</v>
      </c>
      <c r="V4265">
        <v>1042</v>
      </c>
      <c r="W4265">
        <v>2721</v>
      </c>
      <c r="X4265">
        <v>751</v>
      </c>
      <c r="Y4265">
        <v>71.5</v>
      </c>
      <c r="Z4265">
        <v>64.900000000000006</v>
      </c>
      <c r="AA4265">
        <v>78</v>
      </c>
    </row>
    <row r="4266" spans="1:27" x14ac:dyDescent="0.25">
      <c r="A4266" t="s">
        <v>267</v>
      </c>
      <c r="B4266" t="s">
        <v>186</v>
      </c>
      <c r="C4266" s="76">
        <v>43992</v>
      </c>
      <c r="D4266">
        <v>12415</v>
      </c>
      <c r="E4266">
        <v>8099</v>
      </c>
      <c r="F4266">
        <v>16732</v>
      </c>
      <c r="G4266">
        <v>6491</v>
      </c>
      <c r="H4266">
        <v>65.7</v>
      </c>
      <c r="I4266">
        <v>60.3</v>
      </c>
      <c r="J4266">
        <v>71</v>
      </c>
      <c r="K4266">
        <v>563</v>
      </c>
      <c r="L4266">
        <v>322</v>
      </c>
      <c r="M4266">
        <v>804</v>
      </c>
      <c r="N4266">
        <v>3</v>
      </c>
      <c r="O4266">
        <v>2.1</v>
      </c>
      <c r="P4266">
        <v>3.8</v>
      </c>
      <c r="Q4266">
        <f t="shared" si="132"/>
        <v>6944260</v>
      </c>
      <c r="R4266">
        <f t="shared" si="131"/>
        <v>8.1074153329512431</v>
      </c>
      <c r="U4266">
        <v>1843</v>
      </c>
      <c r="V4266">
        <v>1004</v>
      </c>
      <c r="W4266">
        <v>2682</v>
      </c>
      <c r="X4266">
        <v>664</v>
      </c>
      <c r="Y4266">
        <v>73.5</v>
      </c>
      <c r="Z4266">
        <v>66.599999999999994</v>
      </c>
      <c r="AA4266">
        <v>80.400000000000006</v>
      </c>
    </row>
    <row r="4267" spans="1:27" x14ac:dyDescent="0.25">
      <c r="A4267" t="s">
        <v>267</v>
      </c>
      <c r="B4267" t="s">
        <v>186</v>
      </c>
      <c r="C4267" s="76">
        <v>43993</v>
      </c>
      <c r="D4267">
        <v>12522</v>
      </c>
      <c r="E4267">
        <v>8135</v>
      </c>
      <c r="F4267">
        <v>16908</v>
      </c>
      <c r="G4267">
        <v>6640</v>
      </c>
      <c r="H4267">
        <v>65.3</v>
      </c>
      <c r="I4267">
        <v>60.3</v>
      </c>
      <c r="J4267">
        <v>70.400000000000006</v>
      </c>
      <c r="K4267">
        <v>614</v>
      </c>
      <c r="L4267">
        <v>355</v>
      </c>
      <c r="M4267">
        <v>873</v>
      </c>
      <c r="N4267">
        <v>3.2</v>
      </c>
      <c r="O4267">
        <v>2.4</v>
      </c>
      <c r="P4267">
        <v>4</v>
      </c>
      <c r="Q4267">
        <f t="shared" si="132"/>
        <v>6944260</v>
      </c>
      <c r="R4267">
        <f t="shared" si="131"/>
        <v>8.8418348391333268</v>
      </c>
      <c r="U4267">
        <v>1656</v>
      </c>
      <c r="V4267">
        <v>956</v>
      </c>
      <c r="W4267">
        <v>2355</v>
      </c>
      <c r="X4267">
        <v>609</v>
      </c>
      <c r="Y4267">
        <v>73.099999999999994</v>
      </c>
      <c r="Z4267">
        <v>63.9</v>
      </c>
      <c r="AA4267">
        <v>82.3</v>
      </c>
    </row>
    <row r="4268" spans="1:27" x14ac:dyDescent="0.25">
      <c r="A4268" t="s">
        <v>267</v>
      </c>
      <c r="B4268" t="s">
        <v>186</v>
      </c>
      <c r="C4268" s="76">
        <v>43994</v>
      </c>
      <c r="D4268">
        <v>12475</v>
      </c>
      <c r="E4268">
        <v>8281</v>
      </c>
      <c r="F4268">
        <v>16669</v>
      </c>
      <c r="G4268">
        <v>6933</v>
      </c>
      <c r="H4268">
        <v>64.3</v>
      </c>
      <c r="I4268">
        <v>59.1</v>
      </c>
      <c r="J4268">
        <v>69.5</v>
      </c>
      <c r="K4268">
        <v>555</v>
      </c>
      <c r="L4268">
        <v>328</v>
      </c>
      <c r="M4268">
        <v>781</v>
      </c>
      <c r="N4268">
        <v>2.9</v>
      </c>
      <c r="O4268">
        <v>2.1</v>
      </c>
      <c r="P4268">
        <v>3.6</v>
      </c>
      <c r="Q4268">
        <f t="shared" si="132"/>
        <v>6944260</v>
      </c>
      <c r="R4268">
        <f t="shared" si="131"/>
        <v>7.9922122731579757</v>
      </c>
      <c r="U4268">
        <v>1946</v>
      </c>
      <c r="V4268">
        <v>1087</v>
      </c>
      <c r="W4268">
        <v>2805</v>
      </c>
      <c r="X4268">
        <v>715</v>
      </c>
      <c r="Y4268">
        <v>73.099999999999994</v>
      </c>
      <c r="Z4268">
        <v>66.3</v>
      </c>
      <c r="AA4268">
        <v>80</v>
      </c>
    </row>
    <row r="4269" spans="1:27" x14ac:dyDescent="0.25">
      <c r="A4269" t="s">
        <v>267</v>
      </c>
      <c r="B4269" t="s">
        <v>186</v>
      </c>
      <c r="C4269" s="76">
        <v>43995</v>
      </c>
      <c r="D4269">
        <v>11826</v>
      </c>
      <c r="E4269">
        <v>7876</v>
      </c>
      <c r="F4269">
        <v>15775</v>
      </c>
      <c r="G4269">
        <v>7495</v>
      </c>
      <c r="H4269">
        <v>61.2</v>
      </c>
      <c r="I4269">
        <v>56.2</v>
      </c>
      <c r="J4269">
        <v>66.2</v>
      </c>
      <c r="K4269">
        <v>547</v>
      </c>
      <c r="L4269">
        <v>325</v>
      </c>
      <c r="M4269">
        <v>769</v>
      </c>
      <c r="N4269">
        <v>2.8</v>
      </c>
      <c r="O4269">
        <v>2.1</v>
      </c>
      <c r="P4269">
        <v>3.5</v>
      </c>
      <c r="Q4269">
        <f t="shared" si="132"/>
        <v>6944260</v>
      </c>
      <c r="R4269">
        <f t="shared" si="131"/>
        <v>7.8770092133647074</v>
      </c>
      <c r="U4269">
        <v>1804</v>
      </c>
      <c r="V4269">
        <v>983</v>
      </c>
      <c r="W4269">
        <v>2625</v>
      </c>
      <c r="X4269">
        <v>833</v>
      </c>
      <c r="Y4269">
        <v>68.400000000000006</v>
      </c>
      <c r="Z4269">
        <v>61.7</v>
      </c>
      <c r="AA4269">
        <v>75.099999999999994</v>
      </c>
    </row>
    <row r="4270" spans="1:27" x14ac:dyDescent="0.25">
      <c r="A4270" t="s">
        <v>267</v>
      </c>
      <c r="B4270" t="s">
        <v>186</v>
      </c>
      <c r="C4270" s="76">
        <v>43996</v>
      </c>
      <c r="D4270">
        <v>11443</v>
      </c>
      <c r="E4270">
        <v>7660</v>
      </c>
      <c r="F4270">
        <v>15226</v>
      </c>
      <c r="G4270">
        <v>7929</v>
      </c>
      <c r="H4270">
        <v>59.1</v>
      </c>
      <c r="I4270">
        <v>54.2</v>
      </c>
      <c r="J4270">
        <v>63.9</v>
      </c>
      <c r="K4270">
        <v>558</v>
      </c>
      <c r="L4270">
        <v>331</v>
      </c>
      <c r="M4270">
        <v>785</v>
      </c>
      <c r="N4270">
        <v>2.9</v>
      </c>
      <c r="O4270">
        <v>2.2000000000000002</v>
      </c>
      <c r="P4270">
        <v>3.6</v>
      </c>
      <c r="Q4270">
        <f t="shared" si="132"/>
        <v>6944260</v>
      </c>
      <c r="R4270">
        <f t="shared" si="131"/>
        <v>8.0354134205804506</v>
      </c>
      <c r="U4270">
        <v>1798</v>
      </c>
      <c r="V4270">
        <v>998</v>
      </c>
      <c r="W4270">
        <v>2597</v>
      </c>
      <c r="X4270">
        <v>864</v>
      </c>
      <c r="Y4270">
        <v>67.5</v>
      </c>
      <c r="Z4270">
        <v>60.5</v>
      </c>
      <c r="AA4270">
        <v>74.599999999999994</v>
      </c>
    </row>
    <row r="4271" spans="1:27" x14ac:dyDescent="0.25">
      <c r="A4271" t="s">
        <v>267</v>
      </c>
      <c r="B4271" t="s">
        <v>186</v>
      </c>
      <c r="C4271" s="76">
        <v>43997</v>
      </c>
      <c r="D4271">
        <v>11787</v>
      </c>
      <c r="E4271">
        <v>7802</v>
      </c>
      <c r="F4271">
        <v>15771</v>
      </c>
      <c r="G4271">
        <v>7607</v>
      </c>
      <c r="H4271">
        <v>60.8</v>
      </c>
      <c r="I4271">
        <v>55.4</v>
      </c>
      <c r="J4271">
        <v>66.2</v>
      </c>
      <c r="K4271">
        <v>634</v>
      </c>
      <c r="L4271">
        <v>344</v>
      </c>
      <c r="M4271">
        <v>924</v>
      </c>
      <c r="N4271">
        <v>3.3</v>
      </c>
      <c r="O4271">
        <v>2.1</v>
      </c>
      <c r="P4271">
        <v>4.4000000000000004</v>
      </c>
      <c r="Q4271">
        <f t="shared" si="132"/>
        <v>6944260</v>
      </c>
      <c r="R4271">
        <f t="shared" si="131"/>
        <v>9.1298424886164984</v>
      </c>
      <c r="U4271">
        <v>1854</v>
      </c>
      <c r="V4271">
        <v>1020</v>
      </c>
      <c r="W4271">
        <v>2687</v>
      </c>
      <c r="X4271">
        <v>759</v>
      </c>
      <c r="Y4271">
        <v>70.900000000000006</v>
      </c>
      <c r="Z4271">
        <v>65.8</v>
      </c>
      <c r="AA4271">
        <v>76.099999999999994</v>
      </c>
    </row>
    <row r="4272" spans="1:27" x14ac:dyDescent="0.25">
      <c r="A4272" t="s">
        <v>267</v>
      </c>
      <c r="B4272" t="s">
        <v>186</v>
      </c>
      <c r="C4272" s="76">
        <v>43998</v>
      </c>
      <c r="D4272">
        <v>11855</v>
      </c>
      <c r="E4272">
        <v>7734</v>
      </c>
      <c r="F4272">
        <v>15976</v>
      </c>
      <c r="G4272">
        <v>6914</v>
      </c>
      <c r="H4272">
        <v>63.2</v>
      </c>
      <c r="I4272">
        <v>57.9</v>
      </c>
      <c r="J4272">
        <v>68.400000000000006</v>
      </c>
      <c r="K4272">
        <v>532</v>
      </c>
      <c r="L4272">
        <v>300</v>
      </c>
      <c r="M4272">
        <v>763</v>
      </c>
      <c r="N4272">
        <v>2.8</v>
      </c>
      <c r="O4272">
        <v>2</v>
      </c>
      <c r="P4272">
        <v>3.6</v>
      </c>
      <c r="Q4272">
        <f t="shared" si="132"/>
        <v>6944260</v>
      </c>
      <c r="R4272">
        <f t="shared" si="131"/>
        <v>7.6610034762523291</v>
      </c>
      <c r="U4272">
        <v>1890</v>
      </c>
      <c r="V4272">
        <v>1023</v>
      </c>
      <c r="W4272">
        <v>2758</v>
      </c>
      <c r="X4272">
        <v>630</v>
      </c>
      <c r="Y4272">
        <v>75</v>
      </c>
      <c r="Z4272">
        <v>70.2</v>
      </c>
      <c r="AA4272">
        <v>79.8</v>
      </c>
    </row>
    <row r="4273" spans="1:27" x14ac:dyDescent="0.25">
      <c r="A4273" t="s">
        <v>267</v>
      </c>
      <c r="B4273" t="s">
        <v>186</v>
      </c>
      <c r="C4273" s="76">
        <v>43999</v>
      </c>
      <c r="D4273">
        <v>11004</v>
      </c>
      <c r="E4273">
        <v>6753</v>
      </c>
      <c r="F4273">
        <v>15254</v>
      </c>
      <c r="G4273">
        <v>6447</v>
      </c>
      <c r="H4273">
        <v>63.1</v>
      </c>
      <c r="I4273">
        <v>57.8</v>
      </c>
      <c r="J4273">
        <v>68.3</v>
      </c>
      <c r="K4273">
        <v>476</v>
      </c>
      <c r="L4273">
        <v>251</v>
      </c>
      <c r="M4273">
        <v>700</v>
      </c>
      <c r="N4273">
        <v>2.7</v>
      </c>
      <c r="O4273">
        <v>1.9</v>
      </c>
      <c r="P4273">
        <v>3.6</v>
      </c>
      <c r="Q4273">
        <f t="shared" si="132"/>
        <v>6944260</v>
      </c>
      <c r="R4273">
        <f t="shared" si="131"/>
        <v>6.8545820576994529</v>
      </c>
      <c r="U4273">
        <v>1796</v>
      </c>
      <c r="V4273">
        <v>961</v>
      </c>
      <c r="W4273">
        <v>2631</v>
      </c>
      <c r="X4273">
        <v>675</v>
      </c>
      <c r="Y4273">
        <v>72.7</v>
      </c>
      <c r="Z4273">
        <v>64.3</v>
      </c>
      <c r="AA4273">
        <v>81</v>
      </c>
    </row>
    <row r="4274" spans="1:27" x14ac:dyDescent="0.25">
      <c r="A4274" t="s">
        <v>267</v>
      </c>
      <c r="B4274" t="s">
        <v>186</v>
      </c>
      <c r="C4274" s="76">
        <v>44000</v>
      </c>
      <c r="D4274">
        <v>11984</v>
      </c>
      <c r="E4274">
        <v>7766</v>
      </c>
      <c r="F4274">
        <v>16202</v>
      </c>
      <c r="G4274">
        <v>6894</v>
      </c>
      <c r="H4274">
        <v>63.5</v>
      </c>
      <c r="I4274">
        <v>57.7</v>
      </c>
      <c r="J4274">
        <v>69.3</v>
      </c>
      <c r="K4274">
        <v>566</v>
      </c>
      <c r="L4274">
        <v>313</v>
      </c>
      <c r="M4274">
        <v>819</v>
      </c>
      <c r="N4274">
        <v>3</v>
      </c>
      <c r="O4274">
        <v>2.1</v>
      </c>
      <c r="P4274">
        <v>3.8</v>
      </c>
      <c r="Q4274">
        <f t="shared" si="132"/>
        <v>6944260</v>
      </c>
      <c r="R4274">
        <f t="shared" si="131"/>
        <v>8.1506164803737189</v>
      </c>
      <c r="U4274">
        <v>1542</v>
      </c>
      <c r="V4274">
        <v>889</v>
      </c>
      <c r="W4274">
        <v>2194</v>
      </c>
      <c r="X4274">
        <v>688</v>
      </c>
      <c r="Y4274">
        <v>69.099999999999994</v>
      </c>
      <c r="Z4274">
        <v>60.2</v>
      </c>
      <c r="AA4274">
        <v>78.099999999999994</v>
      </c>
    </row>
    <row r="4275" spans="1:27" x14ac:dyDescent="0.25">
      <c r="A4275" t="s">
        <v>267</v>
      </c>
      <c r="B4275" t="s">
        <v>186</v>
      </c>
      <c r="C4275" s="76">
        <v>44001</v>
      </c>
      <c r="D4275">
        <v>11714</v>
      </c>
      <c r="E4275">
        <v>7531</v>
      </c>
      <c r="F4275">
        <v>15897</v>
      </c>
      <c r="G4275">
        <v>7015</v>
      </c>
      <c r="H4275">
        <v>62.5</v>
      </c>
      <c r="I4275">
        <v>57.2</v>
      </c>
      <c r="J4275">
        <v>67.900000000000006</v>
      </c>
      <c r="K4275">
        <v>581</v>
      </c>
      <c r="L4275">
        <v>317</v>
      </c>
      <c r="M4275">
        <v>845</v>
      </c>
      <c r="N4275">
        <v>3.1</v>
      </c>
      <c r="O4275">
        <v>2.2000000000000002</v>
      </c>
      <c r="P4275">
        <v>4</v>
      </c>
      <c r="Q4275">
        <f t="shared" si="132"/>
        <v>6944260</v>
      </c>
      <c r="R4275">
        <f t="shared" si="131"/>
        <v>8.3666222174860962</v>
      </c>
      <c r="U4275">
        <v>1647</v>
      </c>
      <c r="V4275">
        <v>913</v>
      </c>
      <c r="W4275">
        <v>2381</v>
      </c>
      <c r="X4275">
        <v>606</v>
      </c>
      <c r="Y4275">
        <v>73.099999999999994</v>
      </c>
      <c r="Z4275">
        <v>65.900000000000006</v>
      </c>
      <c r="AA4275">
        <v>80.3</v>
      </c>
    </row>
    <row r="4276" spans="1:27" x14ac:dyDescent="0.25">
      <c r="A4276" t="s">
        <v>267</v>
      </c>
      <c r="B4276" t="s">
        <v>186</v>
      </c>
      <c r="C4276" s="76">
        <v>44002</v>
      </c>
      <c r="D4276">
        <v>10753</v>
      </c>
      <c r="E4276">
        <v>6999</v>
      </c>
      <c r="F4276">
        <v>14508</v>
      </c>
      <c r="G4276">
        <v>7490</v>
      </c>
      <c r="H4276">
        <v>58.9</v>
      </c>
      <c r="I4276">
        <v>54.2</v>
      </c>
      <c r="J4276">
        <v>63.7</v>
      </c>
      <c r="K4276">
        <v>627</v>
      </c>
      <c r="L4276">
        <v>361</v>
      </c>
      <c r="M4276">
        <v>893</v>
      </c>
      <c r="N4276">
        <v>3.4</v>
      </c>
      <c r="O4276">
        <v>2.4</v>
      </c>
      <c r="P4276">
        <v>4.5</v>
      </c>
      <c r="Q4276">
        <f t="shared" si="132"/>
        <v>6944260</v>
      </c>
      <c r="R4276">
        <f t="shared" si="131"/>
        <v>9.0290398112973875</v>
      </c>
      <c r="U4276">
        <v>1496</v>
      </c>
      <c r="V4276">
        <v>835</v>
      </c>
      <c r="W4276">
        <v>2157</v>
      </c>
      <c r="X4276">
        <v>637</v>
      </c>
      <c r="Y4276">
        <v>70.099999999999994</v>
      </c>
      <c r="Z4276">
        <v>62.1</v>
      </c>
      <c r="AA4276">
        <v>78.099999999999994</v>
      </c>
    </row>
    <row r="4277" spans="1:27" x14ac:dyDescent="0.25">
      <c r="A4277" t="s">
        <v>267</v>
      </c>
      <c r="B4277" t="s">
        <v>186</v>
      </c>
      <c r="C4277" s="76">
        <v>44003</v>
      </c>
      <c r="D4277">
        <v>10937</v>
      </c>
      <c r="E4277">
        <v>7171</v>
      </c>
      <c r="F4277">
        <v>14704</v>
      </c>
      <c r="G4277">
        <v>7842</v>
      </c>
      <c r="H4277">
        <v>58.2</v>
      </c>
      <c r="I4277">
        <v>53.2</v>
      </c>
      <c r="J4277">
        <v>63.3</v>
      </c>
      <c r="K4277">
        <v>581</v>
      </c>
      <c r="L4277">
        <v>330</v>
      </c>
      <c r="M4277">
        <v>832</v>
      </c>
      <c r="N4277">
        <v>3.1</v>
      </c>
      <c r="O4277">
        <v>2.2000000000000002</v>
      </c>
      <c r="P4277">
        <v>3.9</v>
      </c>
      <c r="Q4277">
        <f t="shared" si="132"/>
        <v>6944260</v>
      </c>
      <c r="R4277">
        <f t="shared" si="131"/>
        <v>8.3666222174860962</v>
      </c>
      <c r="U4277">
        <v>1553</v>
      </c>
      <c r="V4277">
        <v>896</v>
      </c>
      <c r="W4277">
        <v>2211</v>
      </c>
      <c r="X4277">
        <v>689</v>
      </c>
      <c r="Y4277">
        <v>69.3</v>
      </c>
      <c r="Z4277">
        <v>62.5</v>
      </c>
      <c r="AA4277">
        <v>76</v>
      </c>
    </row>
    <row r="4278" spans="1:27" x14ac:dyDescent="0.25">
      <c r="A4278" t="s">
        <v>267</v>
      </c>
      <c r="B4278" t="s">
        <v>186</v>
      </c>
      <c r="C4278" s="76">
        <v>44004</v>
      </c>
      <c r="D4278">
        <v>11000</v>
      </c>
      <c r="E4278">
        <v>7103</v>
      </c>
      <c r="F4278">
        <v>14896</v>
      </c>
      <c r="G4278">
        <v>7879</v>
      </c>
      <c r="H4278">
        <v>58.3</v>
      </c>
      <c r="I4278">
        <v>52.7</v>
      </c>
      <c r="J4278">
        <v>63.9</v>
      </c>
      <c r="K4278">
        <v>612</v>
      </c>
      <c r="L4278">
        <v>345</v>
      </c>
      <c r="M4278">
        <v>879</v>
      </c>
      <c r="N4278">
        <v>3.2</v>
      </c>
      <c r="O4278">
        <v>2.2999999999999998</v>
      </c>
      <c r="P4278">
        <v>4.2</v>
      </c>
      <c r="Q4278">
        <f t="shared" si="132"/>
        <v>6944260</v>
      </c>
      <c r="R4278">
        <f t="shared" si="131"/>
        <v>8.8130340741850102</v>
      </c>
      <c r="U4278">
        <v>1554</v>
      </c>
      <c r="V4278">
        <v>869</v>
      </c>
      <c r="W4278">
        <v>2239</v>
      </c>
      <c r="X4278">
        <v>676</v>
      </c>
      <c r="Y4278">
        <v>69.7</v>
      </c>
      <c r="Z4278">
        <v>61.8</v>
      </c>
      <c r="AA4278">
        <v>77.599999999999994</v>
      </c>
    </row>
    <row r="4279" spans="1:27" x14ac:dyDescent="0.25">
      <c r="A4279" t="s">
        <v>267</v>
      </c>
      <c r="B4279" t="s">
        <v>186</v>
      </c>
      <c r="C4279" s="76">
        <v>44005</v>
      </c>
      <c r="D4279">
        <v>11946</v>
      </c>
      <c r="E4279">
        <v>7717</v>
      </c>
      <c r="F4279">
        <v>16175</v>
      </c>
      <c r="G4279">
        <v>6932</v>
      </c>
      <c r="H4279">
        <v>63.3</v>
      </c>
      <c r="I4279">
        <v>57.6</v>
      </c>
      <c r="J4279">
        <v>69</v>
      </c>
      <c r="K4279">
        <v>689</v>
      </c>
      <c r="L4279">
        <v>380</v>
      </c>
      <c r="M4279">
        <v>998</v>
      </c>
      <c r="N4279">
        <v>3.6</v>
      </c>
      <c r="O4279">
        <v>2.6</v>
      </c>
      <c r="P4279">
        <v>4.7</v>
      </c>
      <c r="Q4279">
        <f t="shared" si="132"/>
        <v>6944260</v>
      </c>
      <c r="R4279">
        <f t="shared" si="131"/>
        <v>9.9218635246952154</v>
      </c>
      <c r="U4279">
        <v>1645</v>
      </c>
      <c r="V4279">
        <v>934</v>
      </c>
      <c r="W4279">
        <v>2356</v>
      </c>
      <c r="X4279">
        <v>594</v>
      </c>
      <c r="Y4279">
        <v>73.5</v>
      </c>
      <c r="Z4279">
        <v>65.900000000000006</v>
      </c>
      <c r="AA4279">
        <v>81.099999999999994</v>
      </c>
    </row>
    <row r="4280" spans="1:27" x14ac:dyDescent="0.25">
      <c r="A4280" t="s">
        <v>267</v>
      </c>
      <c r="B4280" t="s">
        <v>186</v>
      </c>
      <c r="C4280" s="76">
        <v>44006</v>
      </c>
      <c r="D4280">
        <v>11105</v>
      </c>
      <c r="E4280">
        <v>7015</v>
      </c>
      <c r="F4280">
        <v>15195</v>
      </c>
      <c r="G4280">
        <v>6285</v>
      </c>
      <c r="H4280">
        <v>63.9</v>
      </c>
      <c r="I4280">
        <v>58</v>
      </c>
      <c r="J4280">
        <v>69.7</v>
      </c>
      <c r="K4280">
        <v>524</v>
      </c>
      <c r="L4280">
        <v>268</v>
      </c>
      <c r="M4280">
        <v>780</v>
      </c>
      <c r="N4280">
        <v>3</v>
      </c>
      <c r="O4280">
        <v>2</v>
      </c>
      <c r="P4280">
        <v>4</v>
      </c>
      <c r="Q4280">
        <f t="shared" si="132"/>
        <v>6944260</v>
      </c>
      <c r="R4280">
        <f t="shared" si="131"/>
        <v>7.5458004164590609</v>
      </c>
      <c r="U4280">
        <v>1429</v>
      </c>
      <c r="V4280">
        <v>765</v>
      </c>
      <c r="W4280">
        <v>2094</v>
      </c>
      <c r="X4280">
        <v>677</v>
      </c>
      <c r="Y4280">
        <v>67.900000000000006</v>
      </c>
      <c r="Z4280">
        <v>54.4</v>
      </c>
      <c r="AA4280">
        <v>81.400000000000006</v>
      </c>
    </row>
    <row r="4281" spans="1:27" x14ac:dyDescent="0.25">
      <c r="A4281" t="s">
        <v>267</v>
      </c>
      <c r="B4281" t="s">
        <v>186</v>
      </c>
      <c r="C4281" s="76">
        <v>44007</v>
      </c>
      <c r="D4281">
        <v>12151</v>
      </c>
      <c r="E4281">
        <v>7925</v>
      </c>
      <c r="F4281">
        <v>16377</v>
      </c>
      <c r="G4281">
        <v>6744</v>
      </c>
      <c r="H4281">
        <v>64.3</v>
      </c>
      <c r="I4281">
        <v>59</v>
      </c>
      <c r="J4281">
        <v>69.599999999999994</v>
      </c>
      <c r="K4281">
        <v>901</v>
      </c>
      <c r="L4281">
        <v>315</v>
      </c>
      <c r="M4281">
        <v>1487</v>
      </c>
      <c r="N4281">
        <v>4.8</v>
      </c>
      <c r="O4281">
        <v>2.1</v>
      </c>
      <c r="P4281">
        <v>7.5</v>
      </c>
      <c r="Q4281">
        <f t="shared" si="132"/>
        <v>6944260</v>
      </c>
      <c r="R4281">
        <f t="shared" si="131"/>
        <v>12.974744609216822</v>
      </c>
      <c r="U4281">
        <v>1569</v>
      </c>
      <c r="V4281">
        <v>892</v>
      </c>
      <c r="W4281">
        <v>2247</v>
      </c>
      <c r="X4281">
        <v>698</v>
      </c>
      <c r="Y4281">
        <v>69.2</v>
      </c>
      <c r="Z4281">
        <v>61.8</v>
      </c>
      <c r="AA4281">
        <v>76.599999999999994</v>
      </c>
    </row>
    <row r="4282" spans="1:27" x14ac:dyDescent="0.25">
      <c r="A4282" t="s">
        <v>267</v>
      </c>
      <c r="B4282" t="s">
        <v>186</v>
      </c>
      <c r="C4282" s="76">
        <v>44008</v>
      </c>
      <c r="D4282">
        <v>12036</v>
      </c>
      <c r="E4282">
        <v>7714</v>
      </c>
      <c r="F4282">
        <v>16359</v>
      </c>
      <c r="G4282">
        <v>6911</v>
      </c>
      <c r="H4282">
        <v>63.5</v>
      </c>
      <c r="I4282">
        <v>57.6</v>
      </c>
      <c r="J4282">
        <v>69.5</v>
      </c>
      <c r="K4282">
        <v>610</v>
      </c>
      <c r="L4282">
        <v>339</v>
      </c>
      <c r="M4282">
        <v>880</v>
      </c>
      <c r="N4282">
        <v>3.2</v>
      </c>
      <c r="O4282">
        <v>2.2999999999999998</v>
      </c>
      <c r="P4282">
        <v>4.0999999999999996</v>
      </c>
      <c r="Q4282">
        <f t="shared" si="132"/>
        <v>6944260</v>
      </c>
      <c r="R4282">
        <f t="shared" si="131"/>
        <v>8.7842333092366935</v>
      </c>
      <c r="U4282">
        <v>1626</v>
      </c>
      <c r="V4282">
        <v>900</v>
      </c>
      <c r="W4282">
        <v>2353</v>
      </c>
      <c r="X4282">
        <v>596</v>
      </c>
      <c r="Y4282">
        <v>73.2</v>
      </c>
      <c r="Z4282">
        <v>65.3</v>
      </c>
      <c r="AA4282">
        <v>81.099999999999994</v>
      </c>
    </row>
    <row r="4283" spans="1:27" x14ac:dyDescent="0.25">
      <c r="A4283" t="s">
        <v>267</v>
      </c>
      <c r="B4283" t="s">
        <v>186</v>
      </c>
      <c r="C4283" s="76">
        <v>44009</v>
      </c>
      <c r="D4283">
        <v>11598</v>
      </c>
      <c r="E4283">
        <v>7449</v>
      </c>
      <c r="F4283">
        <v>15747</v>
      </c>
      <c r="G4283">
        <v>7324</v>
      </c>
      <c r="H4283">
        <v>61.3</v>
      </c>
      <c r="I4283">
        <v>55.9</v>
      </c>
      <c r="J4283">
        <v>66.7</v>
      </c>
      <c r="K4283">
        <v>626</v>
      </c>
      <c r="L4283">
        <v>355</v>
      </c>
      <c r="M4283">
        <v>897</v>
      </c>
      <c r="N4283">
        <v>3.3</v>
      </c>
      <c r="O4283">
        <v>2.4</v>
      </c>
      <c r="P4283">
        <v>4.2</v>
      </c>
      <c r="Q4283">
        <f t="shared" si="132"/>
        <v>6944260</v>
      </c>
      <c r="R4283">
        <f t="shared" si="131"/>
        <v>9.0146394288232301</v>
      </c>
      <c r="U4283">
        <v>1598</v>
      </c>
      <c r="V4283">
        <v>897</v>
      </c>
      <c r="W4283">
        <v>2300</v>
      </c>
      <c r="X4283">
        <v>618</v>
      </c>
      <c r="Y4283">
        <v>72.099999999999994</v>
      </c>
      <c r="Z4283">
        <v>64.599999999999994</v>
      </c>
      <c r="AA4283">
        <v>79.7</v>
      </c>
    </row>
    <row r="4284" spans="1:27" x14ac:dyDescent="0.25">
      <c r="A4284" t="s">
        <v>267</v>
      </c>
      <c r="B4284" t="s">
        <v>186</v>
      </c>
      <c r="C4284" s="76">
        <v>44010</v>
      </c>
      <c r="D4284">
        <v>11689</v>
      </c>
      <c r="E4284">
        <v>7127</v>
      </c>
      <c r="F4284">
        <v>16252</v>
      </c>
      <c r="G4284">
        <v>7641</v>
      </c>
      <c r="H4284">
        <v>60.5</v>
      </c>
      <c r="I4284">
        <v>54.6</v>
      </c>
      <c r="J4284">
        <v>66.400000000000006</v>
      </c>
      <c r="K4284">
        <v>586</v>
      </c>
      <c r="L4284">
        <v>303</v>
      </c>
      <c r="M4284">
        <v>869</v>
      </c>
      <c r="N4284">
        <v>3</v>
      </c>
      <c r="O4284">
        <v>2</v>
      </c>
      <c r="P4284">
        <v>4.0999999999999996</v>
      </c>
      <c r="Q4284">
        <f t="shared" si="132"/>
        <v>6944260</v>
      </c>
      <c r="R4284">
        <f t="shared" si="131"/>
        <v>8.4386241298568905</v>
      </c>
      <c r="U4284">
        <v>2079</v>
      </c>
      <c r="V4284">
        <v>917</v>
      </c>
      <c r="W4284">
        <v>3240</v>
      </c>
      <c r="X4284">
        <v>587</v>
      </c>
      <c r="Y4284">
        <v>78</v>
      </c>
      <c r="Z4284">
        <v>69.2</v>
      </c>
      <c r="AA4284">
        <v>86.7</v>
      </c>
    </row>
    <row r="4285" spans="1:27" x14ac:dyDescent="0.25">
      <c r="A4285" t="s">
        <v>267</v>
      </c>
      <c r="B4285" t="s">
        <v>186</v>
      </c>
      <c r="C4285" s="76">
        <v>44011</v>
      </c>
      <c r="D4285">
        <v>12108</v>
      </c>
      <c r="E4285">
        <v>7947</v>
      </c>
      <c r="F4285">
        <v>16269</v>
      </c>
      <c r="G4285">
        <v>7492</v>
      </c>
      <c r="H4285">
        <v>61.8</v>
      </c>
      <c r="I4285">
        <v>56.4</v>
      </c>
      <c r="J4285">
        <v>67.2</v>
      </c>
      <c r="K4285">
        <v>680</v>
      </c>
      <c r="L4285">
        <v>395</v>
      </c>
      <c r="M4285">
        <v>965</v>
      </c>
      <c r="N4285">
        <v>3.5</v>
      </c>
      <c r="O4285">
        <v>2.5</v>
      </c>
      <c r="P4285">
        <v>4.4000000000000004</v>
      </c>
      <c r="Q4285">
        <f t="shared" si="132"/>
        <v>6944260</v>
      </c>
      <c r="R4285">
        <f t="shared" si="131"/>
        <v>9.7922600824277897</v>
      </c>
      <c r="U4285">
        <v>1918</v>
      </c>
      <c r="V4285">
        <v>1043</v>
      </c>
      <c r="W4285">
        <v>2793</v>
      </c>
      <c r="X4285">
        <v>707</v>
      </c>
      <c r="Y4285">
        <v>73.099999999999994</v>
      </c>
      <c r="Z4285">
        <v>67.099999999999994</v>
      </c>
      <c r="AA4285">
        <v>79</v>
      </c>
    </row>
    <row r="4286" spans="1:27" x14ac:dyDescent="0.25">
      <c r="A4286" t="s">
        <v>267</v>
      </c>
      <c r="B4286" t="s">
        <v>186</v>
      </c>
      <c r="C4286" s="76">
        <v>44012</v>
      </c>
      <c r="D4286">
        <v>12672</v>
      </c>
      <c r="E4286">
        <v>8292</v>
      </c>
      <c r="F4286">
        <v>17051</v>
      </c>
      <c r="G4286">
        <v>6990</v>
      </c>
      <c r="H4286">
        <v>64.400000000000006</v>
      </c>
      <c r="I4286">
        <v>58.7</v>
      </c>
      <c r="J4286">
        <v>70.2</v>
      </c>
      <c r="K4286">
        <v>727</v>
      </c>
      <c r="L4286">
        <v>414</v>
      </c>
      <c r="M4286">
        <v>1040</v>
      </c>
      <c r="N4286">
        <v>3.7</v>
      </c>
      <c r="O4286">
        <v>2.7</v>
      </c>
      <c r="P4286">
        <v>4.7</v>
      </c>
      <c r="Q4286">
        <f t="shared" si="132"/>
        <v>6944260</v>
      </c>
      <c r="R4286">
        <f t="shared" si="131"/>
        <v>10.46907805871324</v>
      </c>
      <c r="U4286">
        <v>2015</v>
      </c>
      <c r="V4286">
        <v>1081</v>
      </c>
      <c r="W4286">
        <v>2950</v>
      </c>
      <c r="X4286">
        <v>637</v>
      </c>
      <c r="Y4286">
        <v>76</v>
      </c>
      <c r="Z4286">
        <v>69.900000000000006</v>
      </c>
      <c r="AA4286">
        <v>82.1</v>
      </c>
    </row>
    <row r="4287" spans="1:27" x14ac:dyDescent="0.25">
      <c r="A4287" t="s">
        <v>267</v>
      </c>
      <c r="B4287" t="s">
        <v>186</v>
      </c>
      <c r="C4287" s="76">
        <v>44013</v>
      </c>
      <c r="D4287">
        <v>12666</v>
      </c>
      <c r="E4287">
        <v>8292</v>
      </c>
      <c r="F4287">
        <v>17041</v>
      </c>
      <c r="G4287">
        <v>6931</v>
      </c>
      <c r="H4287">
        <v>64.599999999999994</v>
      </c>
      <c r="I4287">
        <v>59.1</v>
      </c>
      <c r="J4287">
        <v>70.2</v>
      </c>
      <c r="K4287">
        <v>742</v>
      </c>
      <c r="L4287">
        <v>435</v>
      </c>
      <c r="M4287">
        <v>1048</v>
      </c>
      <c r="N4287">
        <v>3.8</v>
      </c>
      <c r="O4287">
        <v>2.8</v>
      </c>
      <c r="P4287">
        <v>4.8</v>
      </c>
      <c r="Q4287">
        <f t="shared" si="132"/>
        <v>6944260</v>
      </c>
      <c r="R4287">
        <f t="shared" si="131"/>
        <v>10.685083795825618</v>
      </c>
      <c r="U4287">
        <v>1991</v>
      </c>
      <c r="V4287">
        <v>1094</v>
      </c>
      <c r="W4287">
        <v>2888</v>
      </c>
      <c r="X4287">
        <v>629</v>
      </c>
      <c r="Y4287">
        <v>76</v>
      </c>
      <c r="Z4287">
        <v>69.5</v>
      </c>
      <c r="AA4287">
        <v>82.5</v>
      </c>
    </row>
    <row r="4288" spans="1:27" x14ac:dyDescent="0.25">
      <c r="A4288" t="s">
        <v>267</v>
      </c>
      <c r="B4288" t="s">
        <v>186</v>
      </c>
      <c r="C4288" s="76">
        <v>44014</v>
      </c>
      <c r="D4288">
        <v>12584</v>
      </c>
      <c r="E4288">
        <v>8235</v>
      </c>
      <c r="F4288">
        <v>16932</v>
      </c>
      <c r="G4288">
        <v>7013</v>
      </c>
      <c r="H4288">
        <v>64.2</v>
      </c>
      <c r="I4288">
        <v>58.7</v>
      </c>
      <c r="J4288">
        <v>69.7</v>
      </c>
      <c r="K4288">
        <v>772</v>
      </c>
      <c r="L4288">
        <v>448</v>
      </c>
      <c r="M4288">
        <v>1096</v>
      </c>
      <c r="N4288">
        <v>3.9</v>
      </c>
      <c r="O4288">
        <v>2.9</v>
      </c>
      <c r="P4288">
        <v>5</v>
      </c>
      <c r="Q4288">
        <f t="shared" si="132"/>
        <v>6944260</v>
      </c>
      <c r="R4288">
        <f t="shared" si="131"/>
        <v>11.117095270050372</v>
      </c>
      <c r="U4288">
        <v>2018</v>
      </c>
      <c r="V4288">
        <v>1112</v>
      </c>
      <c r="W4288">
        <v>2925</v>
      </c>
      <c r="X4288">
        <v>607</v>
      </c>
      <c r="Y4288">
        <v>76.900000000000006</v>
      </c>
      <c r="Z4288">
        <v>71.3</v>
      </c>
      <c r="AA4288">
        <v>82.5</v>
      </c>
    </row>
    <row r="4289" spans="1:27" x14ac:dyDescent="0.25">
      <c r="A4289" t="s">
        <v>267</v>
      </c>
      <c r="B4289" t="s">
        <v>186</v>
      </c>
      <c r="C4289" s="76">
        <v>44015</v>
      </c>
      <c r="D4289">
        <v>12347</v>
      </c>
      <c r="E4289">
        <v>8111</v>
      </c>
      <c r="F4289">
        <v>16582</v>
      </c>
      <c r="G4289">
        <v>7051</v>
      </c>
      <c r="H4289">
        <v>63.6</v>
      </c>
      <c r="I4289">
        <v>58.5</v>
      </c>
      <c r="J4289">
        <v>68.8</v>
      </c>
      <c r="K4289">
        <v>753</v>
      </c>
      <c r="L4289">
        <v>438</v>
      </c>
      <c r="M4289">
        <v>1067</v>
      </c>
      <c r="N4289">
        <v>3.9</v>
      </c>
      <c r="O4289">
        <v>2.9</v>
      </c>
      <c r="P4289">
        <v>4.9000000000000004</v>
      </c>
      <c r="Q4289">
        <f t="shared" si="132"/>
        <v>6944260</v>
      </c>
      <c r="R4289">
        <f t="shared" si="131"/>
        <v>10.843488003041362</v>
      </c>
      <c r="U4289">
        <v>2020</v>
      </c>
      <c r="V4289">
        <v>1125</v>
      </c>
      <c r="W4289">
        <v>2915</v>
      </c>
      <c r="X4289">
        <v>664</v>
      </c>
      <c r="Y4289">
        <v>75.3</v>
      </c>
      <c r="Z4289">
        <v>69.2</v>
      </c>
      <c r="AA4289">
        <v>81.3</v>
      </c>
    </row>
    <row r="4290" spans="1:27" x14ac:dyDescent="0.25">
      <c r="A4290" t="s">
        <v>267</v>
      </c>
      <c r="B4290" t="s">
        <v>186</v>
      </c>
      <c r="C4290" s="76">
        <v>44016</v>
      </c>
      <c r="D4290">
        <v>11453</v>
      </c>
      <c r="E4290">
        <v>7526</v>
      </c>
      <c r="F4290">
        <v>15380</v>
      </c>
      <c r="G4290">
        <v>7727</v>
      </c>
      <c r="H4290">
        <v>59.7</v>
      </c>
      <c r="I4290">
        <v>54.7</v>
      </c>
      <c r="J4290">
        <v>64.7</v>
      </c>
      <c r="K4290">
        <v>738</v>
      </c>
      <c r="L4290">
        <v>431</v>
      </c>
      <c r="M4290">
        <v>1044</v>
      </c>
      <c r="N4290">
        <v>3.8</v>
      </c>
      <c r="O4290">
        <v>2.9</v>
      </c>
      <c r="P4290">
        <v>4.8</v>
      </c>
      <c r="Q4290">
        <f t="shared" si="132"/>
        <v>6944260</v>
      </c>
      <c r="R4290">
        <f t="shared" si="131"/>
        <v>10.627482265928982</v>
      </c>
      <c r="U4290">
        <v>1948</v>
      </c>
      <c r="V4290">
        <v>1085</v>
      </c>
      <c r="W4290">
        <v>2812</v>
      </c>
      <c r="X4290">
        <v>730</v>
      </c>
      <c r="Y4290">
        <v>72.7</v>
      </c>
      <c r="Z4290">
        <v>67.2</v>
      </c>
      <c r="AA4290">
        <v>78.3</v>
      </c>
    </row>
    <row r="4291" spans="1:27" x14ac:dyDescent="0.25">
      <c r="A4291" t="s">
        <v>267</v>
      </c>
      <c r="B4291" t="s">
        <v>186</v>
      </c>
      <c r="C4291" s="76">
        <v>44017</v>
      </c>
      <c r="D4291">
        <v>11276</v>
      </c>
      <c r="E4291">
        <v>7382</v>
      </c>
      <c r="F4291">
        <v>15169</v>
      </c>
      <c r="G4291">
        <v>8118</v>
      </c>
      <c r="H4291">
        <v>58.1</v>
      </c>
      <c r="I4291">
        <v>53.2</v>
      </c>
      <c r="J4291">
        <v>63</v>
      </c>
      <c r="K4291">
        <v>775</v>
      </c>
      <c r="L4291">
        <v>443</v>
      </c>
      <c r="M4291">
        <v>1108</v>
      </c>
      <c r="N4291">
        <v>4</v>
      </c>
      <c r="O4291">
        <v>2.9</v>
      </c>
      <c r="P4291">
        <v>5.0999999999999996</v>
      </c>
      <c r="Q4291">
        <f t="shared" si="132"/>
        <v>6944260</v>
      </c>
      <c r="R4291">
        <f t="shared" si="131"/>
        <v>11.160296417472848</v>
      </c>
      <c r="U4291">
        <v>1902</v>
      </c>
      <c r="V4291">
        <v>1045</v>
      </c>
      <c r="W4291">
        <v>2759</v>
      </c>
      <c r="X4291">
        <v>693</v>
      </c>
      <c r="Y4291">
        <v>73.3</v>
      </c>
      <c r="Z4291">
        <v>66.5</v>
      </c>
      <c r="AA4291">
        <v>80.099999999999994</v>
      </c>
    </row>
    <row r="4292" spans="1:27" x14ac:dyDescent="0.25">
      <c r="A4292" t="s">
        <v>267</v>
      </c>
      <c r="B4292" t="s">
        <v>186</v>
      </c>
      <c r="C4292" s="76">
        <v>44018</v>
      </c>
      <c r="D4292">
        <v>11765</v>
      </c>
      <c r="E4292">
        <v>7701</v>
      </c>
      <c r="F4292">
        <v>15828</v>
      </c>
      <c r="G4292">
        <v>7626</v>
      </c>
      <c r="H4292">
        <v>60.7</v>
      </c>
      <c r="I4292">
        <v>55.4</v>
      </c>
      <c r="J4292">
        <v>65.900000000000006</v>
      </c>
      <c r="K4292">
        <v>829</v>
      </c>
      <c r="L4292">
        <v>483</v>
      </c>
      <c r="M4292">
        <v>1176</v>
      </c>
      <c r="N4292">
        <v>4.3</v>
      </c>
      <c r="O4292">
        <v>3.2</v>
      </c>
      <c r="P4292">
        <v>5.4</v>
      </c>
      <c r="Q4292">
        <f t="shared" si="132"/>
        <v>6944260</v>
      </c>
      <c r="R4292">
        <f t="shared" si="131"/>
        <v>11.937917071077408</v>
      </c>
      <c r="U4292">
        <v>1899</v>
      </c>
      <c r="V4292">
        <v>1043</v>
      </c>
      <c r="W4292">
        <v>2755</v>
      </c>
      <c r="X4292">
        <v>715</v>
      </c>
      <c r="Y4292">
        <v>72.599999999999994</v>
      </c>
      <c r="Z4292">
        <v>66.599999999999994</v>
      </c>
      <c r="AA4292">
        <v>78.7</v>
      </c>
    </row>
    <row r="4293" spans="1:27" x14ac:dyDescent="0.25">
      <c r="A4293" t="s">
        <v>267</v>
      </c>
      <c r="B4293" t="s">
        <v>186</v>
      </c>
      <c r="C4293" s="76">
        <v>44019</v>
      </c>
      <c r="D4293">
        <v>12551</v>
      </c>
      <c r="E4293">
        <v>8168</v>
      </c>
      <c r="F4293">
        <v>16935</v>
      </c>
      <c r="G4293">
        <v>6839</v>
      </c>
      <c r="H4293">
        <v>64.7</v>
      </c>
      <c r="I4293">
        <v>59.2</v>
      </c>
      <c r="J4293">
        <v>70.3</v>
      </c>
      <c r="K4293">
        <v>942</v>
      </c>
      <c r="L4293">
        <v>558</v>
      </c>
      <c r="M4293">
        <v>1325</v>
      </c>
      <c r="N4293">
        <v>4.9000000000000004</v>
      </c>
      <c r="O4293">
        <v>3.7</v>
      </c>
      <c r="P4293">
        <v>6</v>
      </c>
      <c r="Q4293">
        <f t="shared" si="132"/>
        <v>6944260</v>
      </c>
      <c r="R4293">
        <f t="shared" ref="R4293:R4356" si="133">K4293/(Q4293)*100000</f>
        <v>13.565160290657319</v>
      </c>
      <c r="U4293">
        <v>1983</v>
      </c>
      <c r="V4293">
        <v>1084</v>
      </c>
      <c r="W4293">
        <v>2882</v>
      </c>
      <c r="X4293">
        <v>655</v>
      </c>
      <c r="Y4293">
        <v>75.2</v>
      </c>
      <c r="Z4293">
        <v>68.599999999999994</v>
      </c>
      <c r="AA4293">
        <v>81.7</v>
      </c>
    </row>
    <row r="4294" spans="1:27" x14ac:dyDescent="0.25">
      <c r="A4294" t="s">
        <v>268</v>
      </c>
      <c r="B4294" t="s">
        <v>166</v>
      </c>
      <c r="C4294" s="76">
        <v>43922</v>
      </c>
      <c r="D4294">
        <v>38445</v>
      </c>
      <c r="E4294">
        <v>25127</v>
      </c>
      <c r="F4294">
        <v>51763</v>
      </c>
      <c r="G4294">
        <v>34947</v>
      </c>
      <c r="H4294">
        <v>52.4</v>
      </c>
      <c r="I4294">
        <v>47.8</v>
      </c>
      <c r="J4294">
        <v>56.9</v>
      </c>
      <c r="K4294">
        <v>4460</v>
      </c>
      <c r="L4294">
        <v>2459</v>
      </c>
      <c r="M4294">
        <v>6461</v>
      </c>
      <c r="N4294">
        <v>6.1</v>
      </c>
      <c r="O4294">
        <v>4.3</v>
      </c>
      <c r="P4294">
        <v>7.8</v>
      </c>
      <c r="Q4294">
        <f t="shared" si="132"/>
        <v>29730311</v>
      </c>
      <c r="R4294">
        <f t="shared" si="133"/>
        <v>15.001524874731382</v>
      </c>
      <c r="U4294">
        <v>6118</v>
      </c>
      <c r="V4294">
        <v>3269</v>
      </c>
      <c r="W4294">
        <v>8967</v>
      </c>
      <c r="X4294">
        <v>7583</v>
      </c>
      <c r="Y4294">
        <v>44.7</v>
      </c>
      <c r="Z4294">
        <v>29.2</v>
      </c>
      <c r="AA4294">
        <v>60.1</v>
      </c>
    </row>
    <row r="4295" spans="1:27" x14ac:dyDescent="0.25">
      <c r="A4295" t="s">
        <v>268</v>
      </c>
      <c r="B4295" t="s">
        <v>166</v>
      </c>
      <c r="C4295" s="76">
        <v>43923</v>
      </c>
      <c r="D4295">
        <v>39846</v>
      </c>
      <c r="E4295">
        <v>26462</v>
      </c>
      <c r="F4295">
        <v>53230</v>
      </c>
      <c r="G4295">
        <v>35024</v>
      </c>
      <c r="H4295">
        <v>53.2</v>
      </c>
      <c r="I4295">
        <v>47.4</v>
      </c>
      <c r="J4295">
        <v>59</v>
      </c>
      <c r="K4295">
        <v>4085</v>
      </c>
      <c r="L4295">
        <v>2444</v>
      </c>
      <c r="M4295">
        <v>5725</v>
      </c>
      <c r="N4295">
        <v>5.5</v>
      </c>
      <c r="O4295">
        <v>4.2</v>
      </c>
      <c r="P4295">
        <v>6.7</v>
      </c>
      <c r="Q4295">
        <f t="shared" si="132"/>
        <v>29730311</v>
      </c>
      <c r="R4295">
        <f t="shared" si="133"/>
        <v>13.740185899838048</v>
      </c>
      <c r="U4295">
        <v>6332</v>
      </c>
      <c r="V4295">
        <v>3458</v>
      </c>
      <c r="W4295">
        <v>9207</v>
      </c>
      <c r="X4295">
        <v>6970</v>
      </c>
      <c r="Y4295">
        <v>47.6</v>
      </c>
      <c r="Z4295">
        <v>32.5</v>
      </c>
      <c r="AA4295">
        <v>62.7</v>
      </c>
    </row>
    <row r="4296" spans="1:27" x14ac:dyDescent="0.25">
      <c r="A4296" t="s">
        <v>268</v>
      </c>
      <c r="B4296" t="s">
        <v>166</v>
      </c>
      <c r="C4296" s="76">
        <v>43924</v>
      </c>
      <c r="D4296">
        <v>39790</v>
      </c>
      <c r="E4296">
        <v>26845</v>
      </c>
      <c r="F4296">
        <v>52735</v>
      </c>
      <c r="G4296">
        <v>34211</v>
      </c>
      <c r="H4296">
        <v>53.8</v>
      </c>
      <c r="I4296">
        <v>48.9</v>
      </c>
      <c r="J4296">
        <v>58.7</v>
      </c>
      <c r="K4296">
        <v>4548</v>
      </c>
      <c r="L4296">
        <v>2701</v>
      </c>
      <c r="M4296">
        <v>6394</v>
      </c>
      <c r="N4296">
        <v>6.1</v>
      </c>
      <c r="O4296">
        <v>4.5999999999999996</v>
      </c>
      <c r="P4296">
        <v>7.7</v>
      </c>
      <c r="Q4296">
        <f t="shared" si="132"/>
        <v>29730311</v>
      </c>
      <c r="R4296">
        <f t="shared" si="133"/>
        <v>15.29751908750635</v>
      </c>
      <c r="U4296">
        <v>6519</v>
      </c>
      <c r="V4296">
        <v>3607</v>
      </c>
      <c r="W4296">
        <v>9432</v>
      </c>
      <c r="X4296">
        <v>6799</v>
      </c>
      <c r="Y4296">
        <v>48.9</v>
      </c>
      <c r="Z4296">
        <v>33.4</v>
      </c>
      <c r="AA4296">
        <v>64.5</v>
      </c>
    </row>
    <row r="4297" spans="1:27" x14ac:dyDescent="0.25">
      <c r="A4297" t="s">
        <v>268</v>
      </c>
      <c r="B4297" t="s">
        <v>166</v>
      </c>
      <c r="C4297" s="76">
        <v>43925</v>
      </c>
      <c r="D4297">
        <v>38052</v>
      </c>
      <c r="E4297">
        <v>26028</v>
      </c>
      <c r="F4297">
        <v>50076</v>
      </c>
      <c r="G4297">
        <v>35599</v>
      </c>
      <c r="H4297">
        <v>51.7</v>
      </c>
      <c r="I4297">
        <v>47.7</v>
      </c>
      <c r="J4297">
        <v>55.6</v>
      </c>
      <c r="K4297">
        <v>4470</v>
      </c>
      <c r="L4297">
        <v>2632</v>
      </c>
      <c r="M4297">
        <v>6308</v>
      </c>
      <c r="N4297">
        <v>6.1</v>
      </c>
      <c r="O4297">
        <v>4.5</v>
      </c>
      <c r="P4297">
        <v>7.7</v>
      </c>
      <c r="Q4297">
        <f t="shared" si="132"/>
        <v>29730311</v>
      </c>
      <c r="R4297">
        <f t="shared" si="133"/>
        <v>15.035160580728537</v>
      </c>
      <c r="U4297">
        <v>6174</v>
      </c>
      <c r="V4297">
        <v>3456</v>
      </c>
      <c r="W4297">
        <v>8892</v>
      </c>
      <c r="X4297">
        <v>7237</v>
      </c>
      <c r="Y4297">
        <v>46</v>
      </c>
      <c r="Z4297">
        <v>31.6</v>
      </c>
      <c r="AA4297">
        <v>60.5</v>
      </c>
    </row>
    <row r="4298" spans="1:27" x14ac:dyDescent="0.25">
      <c r="A4298" t="s">
        <v>268</v>
      </c>
      <c r="B4298" t="s">
        <v>166</v>
      </c>
      <c r="C4298" s="76">
        <v>43926</v>
      </c>
      <c r="D4298">
        <v>37058</v>
      </c>
      <c r="E4298">
        <v>25914</v>
      </c>
      <c r="F4298">
        <v>48203</v>
      </c>
      <c r="G4298">
        <v>36980</v>
      </c>
      <c r="H4298">
        <v>50.1</v>
      </c>
      <c r="I4298">
        <v>45.8</v>
      </c>
      <c r="J4298">
        <v>54.3</v>
      </c>
      <c r="K4298">
        <v>4229</v>
      </c>
      <c r="L4298">
        <v>2578</v>
      </c>
      <c r="M4298">
        <v>5880</v>
      </c>
      <c r="N4298">
        <v>5.7</v>
      </c>
      <c r="O4298">
        <v>4.3</v>
      </c>
      <c r="P4298">
        <v>7.2</v>
      </c>
      <c r="Q4298">
        <f t="shared" si="132"/>
        <v>29730311</v>
      </c>
      <c r="R4298">
        <f t="shared" si="133"/>
        <v>14.224540066197088</v>
      </c>
      <c r="U4298">
        <v>6002</v>
      </c>
      <c r="V4298">
        <v>3418</v>
      </c>
      <c r="W4298">
        <v>8586</v>
      </c>
      <c r="X4298">
        <v>7326</v>
      </c>
      <c r="Y4298">
        <v>45</v>
      </c>
      <c r="Z4298">
        <v>30.1</v>
      </c>
      <c r="AA4298">
        <v>60</v>
      </c>
    </row>
    <row r="4299" spans="1:27" x14ac:dyDescent="0.25">
      <c r="A4299" t="s">
        <v>268</v>
      </c>
      <c r="B4299" t="s">
        <v>166</v>
      </c>
      <c r="C4299" s="76">
        <v>43927</v>
      </c>
      <c r="D4299">
        <v>37962</v>
      </c>
      <c r="E4299">
        <v>26665</v>
      </c>
      <c r="F4299">
        <v>49258</v>
      </c>
      <c r="G4299">
        <v>34969</v>
      </c>
      <c r="H4299">
        <v>52.1</v>
      </c>
      <c r="I4299">
        <v>46.5</v>
      </c>
      <c r="J4299">
        <v>57.6</v>
      </c>
      <c r="K4299">
        <v>3843</v>
      </c>
      <c r="L4299">
        <v>2456</v>
      </c>
      <c r="M4299">
        <v>5231</v>
      </c>
      <c r="N4299">
        <v>5.3</v>
      </c>
      <c r="O4299">
        <v>4.0999999999999996</v>
      </c>
      <c r="P4299">
        <v>6.4</v>
      </c>
      <c r="Q4299">
        <f t="shared" si="132"/>
        <v>29730311</v>
      </c>
      <c r="R4299">
        <f t="shared" si="133"/>
        <v>12.926201814706884</v>
      </c>
      <c r="U4299">
        <v>5825</v>
      </c>
      <c r="V4299">
        <v>3721</v>
      </c>
      <c r="W4299">
        <v>7928</v>
      </c>
      <c r="X4299">
        <v>6936</v>
      </c>
      <c r="Y4299">
        <v>45.6</v>
      </c>
      <c r="Z4299">
        <v>33.5</v>
      </c>
      <c r="AA4299">
        <v>57.8</v>
      </c>
    </row>
    <row r="4300" spans="1:27" x14ac:dyDescent="0.25">
      <c r="A4300" t="s">
        <v>268</v>
      </c>
      <c r="B4300" t="s">
        <v>166</v>
      </c>
      <c r="C4300" s="76">
        <v>43928</v>
      </c>
      <c r="D4300">
        <v>38917</v>
      </c>
      <c r="E4300">
        <v>27737</v>
      </c>
      <c r="F4300">
        <v>50097</v>
      </c>
      <c r="G4300">
        <v>33856</v>
      </c>
      <c r="H4300">
        <v>53.5</v>
      </c>
      <c r="I4300">
        <v>49.9</v>
      </c>
      <c r="J4300">
        <v>57.1</v>
      </c>
      <c r="K4300">
        <v>3817</v>
      </c>
      <c r="L4300">
        <v>2439</v>
      </c>
      <c r="M4300">
        <v>5195</v>
      </c>
      <c r="N4300">
        <v>5.2</v>
      </c>
      <c r="O4300">
        <v>4.0999999999999996</v>
      </c>
      <c r="P4300">
        <v>6.3</v>
      </c>
      <c r="Q4300">
        <f t="shared" si="132"/>
        <v>29730311</v>
      </c>
      <c r="R4300">
        <f t="shared" si="133"/>
        <v>12.838748979114277</v>
      </c>
      <c r="U4300">
        <v>5775</v>
      </c>
      <c r="V4300">
        <v>3690</v>
      </c>
      <c r="W4300">
        <v>7860</v>
      </c>
      <c r="X4300">
        <v>7048</v>
      </c>
      <c r="Y4300">
        <v>45</v>
      </c>
      <c r="Z4300">
        <v>33.200000000000003</v>
      </c>
      <c r="AA4300">
        <v>56.9</v>
      </c>
    </row>
    <row r="4301" spans="1:27" x14ac:dyDescent="0.25">
      <c r="A4301" t="s">
        <v>268</v>
      </c>
      <c r="B4301" t="s">
        <v>166</v>
      </c>
      <c r="C4301" s="76">
        <v>43929</v>
      </c>
      <c r="D4301">
        <v>38432</v>
      </c>
      <c r="E4301">
        <v>28322</v>
      </c>
      <c r="F4301">
        <v>48541</v>
      </c>
      <c r="G4301">
        <v>33184</v>
      </c>
      <c r="H4301">
        <v>53.7</v>
      </c>
      <c r="I4301">
        <v>49.7</v>
      </c>
      <c r="J4301">
        <v>57.6</v>
      </c>
      <c r="K4301">
        <v>3628</v>
      </c>
      <c r="L4301">
        <v>2369</v>
      </c>
      <c r="M4301">
        <v>4888</v>
      </c>
      <c r="N4301">
        <v>5.0999999999999996</v>
      </c>
      <c r="O4301">
        <v>3.9</v>
      </c>
      <c r="P4301">
        <v>6.2</v>
      </c>
      <c r="Q4301">
        <f t="shared" si="132"/>
        <v>29730311</v>
      </c>
      <c r="R4301">
        <f t="shared" si="133"/>
        <v>12.203034135768039</v>
      </c>
      <c r="U4301">
        <v>6226</v>
      </c>
      <c r="V4301">
        <v>4133</v>
      </c>
      <c r="W4301">
        <v>8320</v>
      </c>
      <c r="X4301">
        <v>7116</v>
      </c>
      <c r="Y4301">
        <v>46.7</v>
      </c>
      <c r="Z4301">
        <v>36.200000000000003</v>
      </c>
      <c r="AA4301">
        <v>57.1</v>
      </c>
    </row>
    <row r="4302" spans="1:27" x14ac:dyDescent="0.25">
      <c r="A4302" t="s">
        <v>268</v>
      </c>
      <c r="B4302" t="s">
        <v>166</v>
      </c>
      <c r="C4302" s="76">
        <v>43930</v>
      </c>
      <c r="D4302">
        <v>38666</v>
      </c>
      <c r="E4302">
        <v>29098</v>
      </c>
      <c r="F4302">
        <v>48235</v>
      </c>
      <c r="G4302">
        <v>32775</v>
      </c>
      <c r="H4302">
        <v>54.1</v>
      </c>
      <c r="I4302">
        <v>50.9</v>
      </c>
      <c r="J4302">
        <v>57.4</v>
      </c>
      <c r="K4302">
        <v>3559</v>
      </c>
      <c r="L4302">
        <v>2400</v>
      </c>
      <c r="M4302">
        <v>4719</v>
      </c>
      <c r="N4302">
        <v>5</v>
      </c>
      <c r="O4302">
        <v>4</v>
      </c>
      <c r="P4302">
        <v>6</v>
      </c>
      <c r="Q4302">
        <f t="shared" si="132"/>
        <v>29730311</v>
      </c>
      <c r="R4302">
        <f t="shared" si="133"/>
        <v>11.970947764387665</v>
      </c>
      <c r="U4302">
        <v>6069</v>
      </c>
      <c r="V4302">
        <v>4127</v>
      </c>
      <c r="W4302">
        <v>8010</v>
      </c>
      <c r="X4302">
        <v>6937</v>
      </c>
      <c r="Y4302">
        <v>46.7</v>
      </c>
      <c r="Z4302">
        <v>36.5</v>
      </c>
      <c r="AA4302">
        <v>56.8</v>
      </c>
    </row>
    <row r="4303" spans="1:27" x14ac:dyDescent="0.25">
      <c r="A4303" t="s">
        <v>268</v>
      </c>
      <c r="B4303" t="s">
        <v>166</v>
      </c>
      <c r="C4303" s="76">
        <v>43931</v>
      </c>
      <c r="D4303">
        <v>37509</v>
      </c>
      <c r="E4303">
        <v>28453</v>
      </c>
      <c r="F4303">
        <v>46565</v>
      </c>
      <c r="G4303">
        <v>33283</v>
      </c>
      <c r="H4303">
        <v>53</v>
      </c>
      <c r="I4303">
        <v>49.4</v>
      </c>
      <c r="J4303">
        <v>56.6</v>
      </c>
      <c r="K4303">
        <v>3401</v>
      </c>
      <c r="L4303">
        <v>2348</v>
      </c>
      <c r="M4303">
        <v>4454</v>
      </c>
      <c r="N4303">
        <v>4.8</v>
      </c>
      <c r="O4303">
        <v>3.9</v>
      </c>
      <c r="P4303">
        <v>5.7</v>
      </c>
      <c r="Q4303">
        <f t="shared" si="132"/>
        <v>29730311</v>
      </c>
      <c r="R4303">
        <f t="shared" si="133"/>
        <v>11.439503609632608</v>
      </c>
      <c r="U4303">
        <v>6033</v>
      </c>
      <c r="V4303">
        <v>4183</v>
      </c>
      <c r="W4303">
        <v>7884</v>
      </c>
      <c r="X4303">
        <v>7145</v>
      </c>
      <c r="Y4303">
        <v>45.8</v>
      </c>
      <c r="Z4303">
        <v>37</v>
      </c>
      <c r="AA4303">
        <v>54.6</v>
      </c>
    </row>
    <row r="4304" spans="1:27" x14ac:dyDescent="0.25">
      <c r="A4304" t="s">
        <v>268</v>
      </c>
      <c r="B4304" t="s">
        <v>166</v>
      </c>
      <c r="C4304" s="76">
        <v>43932</v>
      </c>
      <c r="D4304">
        <v>36488</v>
      </c>
      <c r="E4304">
        <v>27670</v>
      </c>
      <c r="F4304">
        <v>45306</v>
      </c>
      <c r="G4304">
        <v>35192</v>
      </c>
      <c r="H4304">
        <v>50.9</v>
      </c>
      <c r="I4304">
        <v>47</v>
      </c>
      <c r="J4304">
        <v>54.8</v>
      </c>
      <c r="K4304">
        <v>3488</v>
      </c>
      <c r="L4304">
        <v>2392</v>
      </c>
      <c r="M4304">
        <v>4584</v>
      </c>
      <c r="N4304">
        <v>4.9000000000000004</v>
      </c>
      <c r="O4304">
        <v>3.9</v>
      </c>
      <c r="P4304">
        <v>5.8</v>
      </c>
      <c r="Q4304">
        <f t="shared" si="132"/>
        <v>29730311</v>
      </c>
      <c r="R4304">
        <f t="shared" si="133"/>
        <v>11.73213425180786</v>
      </c>
      <c r="U4304">
        <v>5792</v>
      </c>
      <c r="V4304">
        <v>4008</v>
      </c>
      <c r="W4304">
        <v>7577</v>
      </c>
      <c r="X4304">
        <v>7231</v>
      </c>
      <c r="Y4304">
        <v>44.5</v>
      </c>
      <c r="Z4304">
        <v>35.700000000000003</v>
      </c>
      <c r="AA4304">
        <v>53.2</v>
      </c>
    </row>
    <row r="4305" spans="1:27" x14ac:dyDescent="0.25">
      <c r="A4305" t="s">
        <v>268</v>
      </c>
      <c r="B4305" t="s">
        <v>166</v>
      </c>
      <c r="C4305" s="76">
        <v>43933</v>
      </c>
      <c r="D4305">
        <v>36725</v>
      </c>
      <c r="E4305">
        <v>27885</v>
      </c>
      <c r="F4305">
        <v>45565</v>
      </c>
      <c r="G4305">
        <v>35479</v>
      </c>
      <c r="H4305">
        <v>50.9</v>
      </c>
      <c r="I4305">
        <v>47</v>
      </c>
      <c r="J4305">
        <v>54.7</v>
      </c>
      <c r="K4305">
        <v>3523</v>
      </c>
      <c r="L4305">
        <v>2393</v>
      </c>
      <c r="M4305">
        <v>4652</v>
      </c>
      <c r="N4305">
        <v>4.9000000000000004</v>
      </c>
      <c r="O4305">
        <v>3.9</v>
      </c>
      <c r="P4305">
        <v>5.9</v>
      </c>
      <c r="Q4305">
        <f t="shared" si="132"/>
        <v>29730311</v>
      </c>
      <c r="R4305">
        <f t="shared" si="133"/>
        <v>11.849859222797905</v>
      </c>
      <c r="U4305">
        <v>5692</v>
      </c>
      <c r="V4305">
        <v>4003</v>
      </c>
      <c r="W4305">
        <v>7380</v>
      </c>
      <c r="X4305">
        <v>7434</v>
      </c>
      <c r="Y4305">
        <v>43.4</v>
      </c>
      <c r="Z4305">
        <v>35.1</v>
      </c>
      <c r="AA4305">
        <v>51.6</v>
      </c>
    </row>
    <row r="4306" spans="1:27" x14ac:dyDescent="0.25">
      <c r="A4306" t="s">
        <v>268</v>
      </c>
      <c r="B4306" t="s">
        <v>166</v>
      </c>
      <c r="C4306" s="76">
        <v>43934</v>
      </c>
      <c r="D4306">
        <v>35224</v>
      </c>
      <c r="E4306">
        <v>28151</v>
      </c>
      <c r="F4306">
        <v>42298</v>
      </c>
      <c r="G4306">
        <v>35710</v>
      </c>
      <c r="H4306">
        <v>49.7</v>
      </c>
      <c r="I4306">
        <v>46.4</v>
      </c>
      <c r="J4306">
        <v>52.9</v>
      </c>
      <c r="K4306">
        <v>3126</v>
      </c>
      <c r="L4306">
        <v>2262</v>
      </c>
      <c r="M4306">
        <v>3990</v>
      </c>
      <c r="N4306">
        <v>4.4000000000000004</v>
      </c>
      <c r="O4306">
        <v>3.6</v>
      </c>
      <c r="P4306">
        <v>5.2</v>
      </c>
      <c r="Q4306">
        <f t="shared" si="132"/>
        <v>29730311</v>
      </c>
      <c r="R4306">
        <f t="shared" si="133"/>
        <v>10.51452169471083</v>
      </c>
      <c r="U4306">
        <v>5233</v>
      </c>
      <c r="V4306">
        <v>3857</v>
      </c>
      <c r="W4306">
        <v>6608</v>
      </c>
      <c r="X4306">
        <v>6142</v>
      </c>
      <c r="Y4306">
        <v>46</v>
      </c>
      <c r="Z4306">
        <v>37.6</v>
      </c>
      <c r="AA4306">
        <v>54.5</v>
      </c>
    </row>
    <row r="4307" spans="1:27" x14ac:dyDescent="0.25">
      <c r="A4307" t="s">
        <v>268</v>
      </c>
      <c r="B4307" t="s">
        <v>166</v>
      </c>
      <c r="C4307" s="76">
        <v>43935</v>
      </c>
      <c r="D4307">
        <v>35643</v>
      </c>
      <c r="E4307">
        <v>29777</v>
      </c>
      <c r="F4307">
        <v>41510</v>
      </c>
      <c r="G4307">
        <v>33214</v>
      </c>
      <c r="H4307">
        <v>51.8</v>
      </c>
      <c r="I4307">
        <v>49.1</v>
      </c>
      <c r="J4307">
        <v>54.4</v>
      </c>
      <c r="K4307">
        <v>2789</v>
      </c>
      <c r="L4307">
        <v>2131</v>
      </c>
      <c r="M4307">
        <v>3447</v>
      </c>
      <c r="N4307">
        <v>4.0999999999999996</v>
      </c>
      <c r="O4307">
        <v>3.4</v>
      </c>
      <c r="P4307">
        <v>4.7</v>
      </c>
      <c r="Q4307">
        <f t="shared" si="132"/>
        <v>29730311</v>
      </c>
      <c r="R4307">
        <f t="shared" si="133"/>
        <v>9.3809984026066875</v>
      </c>
      <c r="U4307">
        <v>5136</v>
      </c>
      <c r="V4307">
        <v>4062</v>
      </c>
      <c r="W4307">
        <v>6211</v>
      </c>
      <c r="X4307">
        <v>5111</v>
      </c>
      <c r="Y4307">
        <v>50.1</v>
      </c>
      <c r="Z4307">
        <v>43.4</v>
      </c>
      <c r="AA4307">
        <v>56.9</v>
      </c>
    </row>
    <row r="4308" spans="1:27" x14ac:dyDescent="0.25">
      <c r="A4308" t="s">
        <v>268</v>
      </c>
      <c r="B4308" t="s">
        <v>166</v>
      </c>
      <c r="C4308" s="76">
        <v>43936</v>
      </c>
      <c r="D4308">
        <v>35489</v>
      </c>
      <c r="E4308">
        <v>29705</v>
      </c>
      <c r="F4308">
        <v>41273</v>
      </c>
      <c r="G4308">
        <v>33479</v>
      </c>
      <c r="H4308">
        <v>51.5</v>
      </c>
      <c r="I4308">
        <v>48.5</v>
      </c>
      <c r="J4308">
        <v>54.4</v>
      </c>
      <c r="K4308">
        <v>2561</v>
      </c>
      <c r="L4308">
        <v>2009</v>
      </c>
      <c r="M4308">
        <v>3113</v>
      </c>
      <c r="N4308">
        <v>3.7</v>
      </c>
      <c r="O4308">
        <v>3.2</v>
      </c>
      <c r="P4308">
        <v>4.2</v>
      </c>
      <c r="Q4308">
        <f t="shared" si="132"/>
        <v>29730311</v>
      </c>
      <c r="R4308">
        <f t="shared" si="133"/>
        <v>8.614104305871539</v>
      </c>
      <c r="U4308">
        <v>5058</v>
      </c>
      <c r="V4308">
        <v>4033</v>
      </c>
      <c r="W4308">
        <v>6083</v>
      </c>
      <c r="X4308">
        <v>5109</v>
      </c>
      <c r="Y4308">
        <v>49.7</v>
      </c>
      <c r="Z4308">
        <v>43.5</v>
      </c>
      <c r="AA4308">
        <v>56</v>
      </c>
    </row>
    <row r="4309" spans="1:27" x14ac:dyDescent="0.25">
      <c r="A4309" t="s">
        <v>268</v>
      </c>
      <c r="B4309" t="s">
        <v>166</v>
      </c>
      <c r="C4309" s="76">
        <v>43937</v>
      </c>
      <c r="D4309">
        <v>36274</v>
      </c>
      <c r="E4309">
        <v>30362</v>
      </c>
      <c r="F4309">
        <v>42186</v>
      </c>
      <c r="G4309">
        <v>30687</v>
      </c>
      <c r="H4309">
        <v>54.2</v>
      </c>
      <c r="I4309">
        <v>51.2</v>
      </c>
      <c r="J4309">
        <v>57.2</v>
      </c>
      <c r="K4309">
        <v>2474</v>
      </c>
      <c r="L4309">
        <v>1938</v>
      </c>
      <c r="M4309">
        <v>3009</v>
      </c>
      <c r="N4309">
        <v>3.7</v>
      </c>
      <c r="O4309">
        <v>3.1</v>
      </c>
      <c r="P4309">
        <v>4.2</v>
      </c>
      <c r="Q4309">
        <f t="shared" si="132"/>
        <v>29730311</v>
      </c>
      <c r="R4309">
        <f t="shared" si="133"/>
        <v>8.3214736636962865</v>
      </c>
      <c r="U4309">
        <v>4988</v>
      </c>
      <c r="V4309">
        <v>4004</v>
      </c>
      <c r="W4309">
        <v>5972</v>
      </c>
      <c r="X4309">
        <v>5041</v>
      </c>
      <c r="Y4309">
        <v>49.7</v>
      </c>
      <c r="Z4309">
        <v>43.6</v>
      </c>
      <c r="AA4309">
        <v>55.9</v>
      </c>
    </row>
    <row r="4310" spans="1:27" x14ac:dyDescent="0.25">
      <c r="A4310" t="s">
        <v>268</v>
      </c>
      <c r="B4310" t="s">
        <v>166</v>
      </c>
      <c r="C4310" s="76">
        <v>43938</v>
      </c>
      <c r="D4310">
        <v>35814</v>
      </c>
      <c r="E4310">
        <v>30038</v>
      </c>
      <c r="F4310">
        <v>41589</v>
      </c>
      <c r="G4310">
        <v>31095</v>
      </c>
      <c r="H4310">
        <v>53.5</v>
      </c>
      <c r="I4310">
        <v>51</v>
      </c>
      <c r="J4310">
        <v>56</v>
      </c>
      <c r="K4310">
        <v>2570</v>
      </c>
      <c r="L4310">
        <v>2025</v>
      </c>
      <c r="M4310">
        <v>3115</v>
      </c>
      <c r="N4310">
        <v>3.8</v>
      </c>
      <c r="O4310">
        <v>3.3</v>
      </c>
      <c r="P4310">
        <v>4.4000000000000004</v>
      </c>
      <c r="Q4310">
        <f t="shared" si="132"/>
        <v>29730311</v>
      </c>
      <c r="R4310">
        <f t="shared" si="133"/>
        <v>8.6443764412689799</v>
      </c>
      <c r="U4310">
        <v>5142</v>
      </c>
      <c r="V4310">
        <v>4112</v>
      </c>
      <c r="W4310">
        <v>6171</v>
      </c>
      <c r="X4310">
        <v>4908</v>
      </c>
      <c r="Y4310">
        <v>51.2</v>
      </c>
      <c r="Z4310">
        <v>44.7</v>
      </c>
      <c r="AA4310">
        <v>57.7</v>
      </c>
    </row>
    <row r="4311" spans="1:27" x14ac:dyDescent="0.25">
      <c r="A4311" t="s">
        <v>268</v>
      </c>
      <c r="B4311" t="s">
        <v>166</v>
      </c>
      <c r="C4311" s="76">
        <v>43939</v>
      </c>
      <c r="D4311">
        <v>35287</v>
      </c>
      <c r="E4311">
        <v>29490</v>
      </c>
      <c r="F4311">
        <v>41084</v>
      </c>
      <c r="G4311">
        <v>31363</v>
      </c>
      <c r="H4311">
        <v>52.9</v>
      </c>
      <c r="I4311">
        <v>50.2</v>
      </c>
      <c r="J4311">
        <v>55.7</v>
      </c>
      <c r="K4311">
        <v>2438</v>
      </c>
      <c r="L4311">
        <v>1900</v>
      </c>
      <c r="M4311">
        <v>2976</v>
      </c>
      <c r="N4311">
        <v>3.7</v>
      </c>
      <c r="O4311">
        <v>3.1</v>
      </c>
      <c r="P4311">
        <v>4.2</v>
      </c>
      <c r="Q4311">
        <f t="shared" si="132"/>
        <v>29730311</v>
      </c>
      <c r="R4311">
        <f t="shared" si="133"/>
        <v>8.2003851221065265</v>
      </c>
      <c r="U4311">
        <v>5069</v>
      </c>
      <c r="V4311">
        <v>4090</v>
      </c>
      <c r="W4311">
        <v>6047</v>
      </c>
      <c r="X4311">
        <v>4880</v>
      </c>
      <c r="Y4311">
        <v>50.9</v>
      </c>
      <c r="Z4311">
        <v>45.1</v>
      </c>
      <c r="AA4311">
        <v>56.8</v>
      </c>
    </row>
    <row r="4312" spans="1:27" x14ac:dyDescent="0.25">
      <c r="A4312" t="s">
        <v>268</v>
      </c>
      <c r="B4312" t="s">
        <v>166</v>
      </c>
      <c r="C4312" s="76">
        <v>43940</v>
      </c>
      <c r="D4312">
        <v>34352</v>
      </c>
      <c r="E4312">
        <v>28559</v>
      </c>
      <c r="F4312">
        <v>40144</v>
      </c>
      <c r="G4312">
        <v>32240</v>
      </c>
      <c r="H4312">
        <v>51.6</v>
      </c>
      <c r="I4312">
        <v>48.8</v>
      </c>
      <c r="J4312">
        <v>54.4</v>
      </c>
      <c r="K4312">
        <v>2479</v>
      </c>
      <c r="L4312">
        <v>1931</v>
      </c>
      <c r="M4312">
        <v>3028</v>
      </c>
      <c r="N4312">
        <v>3.7</v>
      </c>
      <c r="O4312">
        <v>3.1</v>
      </c>
      <c r="P4312">
        <v>4.3</v>
      </c>
      <c r="Q4312">
        <f t="shared" si="132"/>
        <v>29730311</v>
      </c>
      <c r="R4312">
        <f t="shared" si="133"/>
        <v>8.3382915166948628</v>
      </c>
      <c r="U4312">
        <v>5093</v>
      </c>
      <c r="V4312">
        <v>4091</v>
      </c>
      <c r="W4312">
        <v>6096</v>
      </c>
      <c r="X4312">
        <v>4703</v>
      </c>
      <c r="Y4312">
        <v>52</v>
      </c>
      <c r="Z4312">
        <v>46.2</v>
      </c>
      <c r="AA4312">
        <v>57.8</v>
      </c>
    </row>
    <row r="4313" spans="1:27" x14ac:dyDescent="0.25">
      <c r="A4313" t="s">
        <v>268</v>
      </c>
      <c r="B4313" t="s">
        <v>166</v>
      </c>
      <c r="C4313" s="76">
        <v>43941</v>
      </c>
      <c r="D4313">
        <v>35340</v>
      </c>
      <c r="E4313">
        <v>29351</v>
      </c>
      <c r="F4313">
        <v>41329</v>
      </c>
      <c r="G4313">
        <v>31467</v>
      </c>
      <c r="H4313">
        <v>52.9</v>
      </c>
      <c r="I4313">
        <v>50</v>
      </c>
      <c r="J4313">
        <v>55.8</v>
      </c>
      <c r="K4313">
        <v>2538</v>
      </c>
      <c r="L4313">
        <v>1972</v>
      </c>
      <c r="M4313">
        <v>3105</v>
      </c>
      <c r="N4313">
        <v>3.8</v>
      </c>
      <c r="O4313">
        <v>3.2</v>
      </c>
      <c r="P4313">
        <v>4.4000000000000004</v>
      </c>
      <c r="Q4313">
        <f t="shared" si="132"/>
        <v>29730311</v>
      </c>
      <c r="R4313">
        <f t="shared" si="133"/>
        <v>8.5367421820780809</v>
      </c>
      <c r="U4313">
        <v>5124</v>
      </c>
      <c r="V4313">
        <v>4123</v>
      </c>
      <c r="W4313">
        <v>6124</v>
      </c>
      <c r="X4313">
        <v>4722</v>
      </c>
      <c r="Y4313">
        <v>52</v>
      </c>
      <c r="Z4313">
        <v>46.4</v>
      </c>
      <c r="AA4313">
        <v>57.7</v>
      </c>
    </row>
    <row r="4314" spans="1:27" x14ac:dyDescent="0.25">
      <c r="A4314" t="s">
        <v>268</v>
      </c>
      <c r="B4314" t="s">
        <v>166</v>
      </c>
      <c r="C4314" s="76">
        <v>43942</v>
      </c>
      <c r="D4314">
        <v>36083</v>
      </c>
      <c r="E4314">
        <v>29959</v>
      </c>
      <c r="F4314">
        <v>42208</v>
      </c>
      <c r="G4314">
        <v>29788</v>
      </c>
      <c r="H4314">
        <v>54.8</v>
      </c>
      <c r="I4314">
        <v>51.7</v>
      </c>
      <c r="J4314">
        <v>57.9</v>
      </c>
      <c r="K4314">
        <v>2749</v>
      </c>
      <c r="L4314">
        <v>2131</v>
      </c>
      <c r="M4314">
        <v>3366</v>
      </c>
      <c r="N4314">
        <v>4.2</v>
      </c>
      <c r="O4314">
        <v>3.5</v>
      </c>
      <c r="P4314">
        <v>4.9000000000000004</v>
      </c>
      <c r="Q4314">
        <f t="shared" si="132"/>
        <v>29730311</v>
      </c>
      <c r="R4314">
        <f t="shared" si="133"/>
        <v>9.2464555786180647</v>
      </c>
      <c r="U4314">
        <v>5164</v>
      </c>
      <c r="V4314">
        <v>4141</v>
      </c>
      <c r="W4314">
        <v>6188</v>
      </c>
      <c r="X4314">
        <v>4561</v>
      </c>
      <c r="Y4314">
        <v>53.1</v>
      </c>
      <c r="Z4314">
        <v>47.4</v>
      </c>
      <c r="AA4314">
        <v>58.8</v>
      </c>
    </row>
    <row r="4315" spans="1:27" x14ac:dyDescent="0.25">
      <c r="A4315" t="s">
        <v>268</v>
      </c>
      <c r="B4315" t="s">
        <v>166</v>
      </c>
      <c r="C4315" s="76">
        <v>43943</v>
      </c>
      <c r="D4315">
        <v>36847</v>
      </c>
      <c r="E4315">
        <v>30659</v>
      </c>
      <c r="F4315">
        <v>43036</v>
      </c>
      <c r="G4315">
        <v>28913</v>
      </c>
      <c r="H4315">
        <v>56</v>
      </c>
      <c r="I4315">
        <v>53.1</v>
      </c>
      <c r="J4315">
        <v>59</v>
      </c>
      <c r="K4315">
        <v>2578</v>
      </c>
      <c r="L4315">
        <v>1988</v>
      </c>
      <c r="M4315">
        <v>3168</v>
      </c>
      <c r="N4315">
        <v>3.9</v>
      </c>
      <c r="O4315">
        <v>3.3</v>
      </c>
      <c r="P4315">
        <v>4.5999999999999996</v>
      </c>
      <c r="Q4315">
        <f t="shared" si="132"/>
        <v>29730311</v>
      </c>
      <c r="R4315">
        <f t="shared" si="133"/>
        <v>8.6712850060667037</v>
      </c>
      <c r="U4315">
        <v>5402</v>
      </c>
      <c r="V4315">
        <v>4337</v>
      </c>
      <c r="W4315">
        <v>6466</v>
      </c>
      <c r="X4315">
        <v>4320</v>
      </c>
      <c r="Y4315">
        <v>55.6</v>
      </c>
      <c r="Z4315">
        <v>50.1</v>
      </c>
      <c r="AA4315">
        <v>61</v>
      </c>
    </row>
    <row r="4316" spans="1:27" x14ac:dyDescent="0.25">
      <c r="A4316" t="s">
        <v>268</v>
      </c>
      <c r="B4316" t="s">
        <v>166</v>
      </c>
      <c r="C4316" s="76">
        <v>43944</v>
      </c>
      <c r="D4316">
        <v>37006</v>
      </c>
      <c r="E4316">
        <v>30771</v>
      </c>
      <c r="F4316">
        <v>43241</v>
      </c>
      <c r="G4316">
        <v>29160</v>
      </c>
      <c r="H4316">
        <v>55.9</v>
      </c>
      <c r="I4316">
        <v>52.9</v>
      </c>
      <c r="J4316">
        <v>58.9</v>
      </c>
      <c r="K4316">
        <v>2718</v>
      </c>
      <c r="L4316">
        <v>2060</v>
      </c>
      <c r="M4316">
        <v>3377</v>
      </c>
      <c r="N4316">
        <v>4.0999999999999996</v>
      </c>
      <c r="O4316">
        <v>3.4</v>
      </c>
      <c r="P4316">
        <v>4.8</v>
      </c>
      <c r="Q4316">
        <f t="shared" si="132"/>
        <v>29730311</v>
      </c>
      <c r="R4316">
        <f t="shared" si="133"/>
        <v>9.1421848900268827</v>
      </c>
      <c r="U4316">
        <v>5193</v>
      </c>
      <c r="V4316">
        <v>4152</v>
      </c>
      <c r="W4316">
        <v>6235</v>
      </c>
      <c r="X4316">
        <v>4620</v>
      </c>
      <c r="Y4316">
        <v>52.9</v>
      </c>
      <c r="Z4316">
        <v>46.2</v>
      </c>
      <c r="AA4316">
        <v>59.7</v>
      </c>
    </row>
    <row r="4317" spans="1:27" x14ac:dyDescent="0.25">
      <c r="A4317" t="s">
        <v>268</v>
      </c>
      <c r="B4317" t="s">
        <v>166</v>
      </c>
      <c r="C4317" s="76">
        <v>43945</v>
      </c>
      <c r="D4317">
        <v>37217</v>
      </c>
      <c r="E4317">
        <v>30964</v>
      </c>
      <c r="F4317">
        <v>43470</v>
      </c>
      <c r="G4317">
        <v>29220</v>
      </c>
      <c r="H4317">
        <v>56</v>
      </c>
      <c r="I4317">
        <v>53</v>
      </c>
      <c r="J4317">
        <v>59</v>
      </c>
      <c r="K4317">
        <v>2627</v>
      </c>
      <c r="L4317">
        <v>2014</v>
      </c>
      <c r="M4317">
        <v>3240</v>
      </c>
      <c r="N4317">
        <v>4</v>
      </c>
      <c r="O4317">
        <v>3.3</v>
      </c>
      <c r="P4317">
        <v>4.5999999999999996</v>
      </c>
      <c r="Q4317">
        <f t="shared" si="132"/>
        <v>29730311</v>
      </c>
      <c r="R4317">
        <f t="shared" si="133"/>
        <v>8.8360999654527674</v>
      </c>
      <c r="U4317">
        <v>5284</v>
      </c>
      <c r="V4317">
        <v>4237</v>
      </c>
      <c r="W4317">
        <v>6331</v>
      </c>
      <c r="X4317">
        <v>4720</v>
      </c>
      <c r="Y4317">
        <v>52.8</v>
      </c>
      <c r="Z4317">
        <v>46.3</v>
      </c>
      <c r="AA4317">
        <v>59.3</v>
      </c>
    </row>
    <row r="4318" spans="1:27" x14ac:dyDescent="0.25">
      <c r="A4318" t="s">
        <v>268</v>
      </c>
      <c r="B4318" t="s">
        <v>166</v>
      </c>
      <c r="C4318" s="76">
        <v>43946</v>
      </c>
      <c r="D4318">
        <v>35620</v>
      </c>
      <c r="E4318">
        <v>29604</v>
      </c>
      <c r="F4318">
        <v>41635</v>
      </c>
      <c r="G4318">
        <v>29563</v>
      </c>
      <c r="H4318">
        <v>54.6</v>
      </c>
      <c r="I4318">
        <v>51.5</v>
      </c>
      <c r="J4318">
        <v>57.8</v>
      </c>
      <c r="K4318">
        <v>2568</v>
      </c>
      <c r="L4318">
        <v>1971</v>
      </c>
      <c r="M4318">
        <v>3165</v>
      </c>
      <c r="N4318">
        <v>3.9</v>
      </c>
      <c r="O4318">
        <v>3.3</v>
      </c>
      <c r="P4318">
        <v>4.5999999999999996</v>
      </c>
      <c r="Q4318">
        <f t="shared" si="132"/>
        <v>29730311</v>
      </c>
      <c r="R4318">
        <f t="shared" si="133"/>
        <v>8.6376493000695493</v>
      </c>
      <c r="U4318">
        <v>5197</v>
      </c>
      <c r="V4318">
        <v>4161</v>
      </c>
      <c r="W4318">
        <v>6232</v>
      </c>
      <c r="X4318">
        <v>4452</v>
      </c>
      <c r="Y4318">
        <v>53.9</v>
      </c>
      <c r="Z4318">
        <v>46.9</v>
      </c>
      <c r="AA4318">
        <v>60.9</v>
      </c>
    </row>
    <row r="4319" spans="1:27" x14ac:dyDescent="0.25">
      <c r="A4319" t="s">
        <v>268</v>
      </c>
      <c r="B4319" t="s">
        <v>166</v>
      </c>
      <c r="C4319" s="76">
        <v>43947</v>
      </c>
      <c r="D4319">
        <v>35146</v>
      </c>
      <c r="E4319">
        <v>29241</v>
      </c>
      <c r="F4319">
        <v>41051</v>
      </c>
      <c r="G4319">
        <v>30184</v>
      </c>
      <c r="H4319">
        <v>53.8</v>
      </c>
      <c r="I4319">
        <v>50.7</v>
      </c>
      <c r="J4319">
        <v>56.9</v>
      </c>
      <c r="K4319">
        <v>2592</v>
      </c>
      <c r="L4319">
        <v>1986</v>
      </c>
      <c r="M4319">
        <v>3198</v>
      </c>
      <c r="N4319">
        <v>4</v>
      </c>
      <c r="O4319">
        <v>3.3</v>
      </c>
      <c r="P4319">
        <v>4.5999999999999996</v>
      </c>
      <c r="Q4319">
        <f t="shared" si="132"/>
        <v>29730311</v>
      </c>
      <c r="R4319">
        <f t="shared" si="133"/>
        <v>8.7183749944627209</v>
      </c>
      <c r="U4319">
        <v>5171</v>
      </c>
      <c r="V4319">
        <v>4153</v>
      </c>
      <c r="W4319">
        <v>6189</v>
      </c>
      <c r="X4319">
        <v>4532</v>
      </c>
      <c r="Y4319">
        <v>53.3</v>
      </c>
      <c r="Z4319">
        <v>46.5</v>
      </c>
      <c r="AA4319">
        <v>60.1</v>
      </c>
    </row>
    <row r="4320" spans="1:27" x14ac:dyDescent="0.25">
      <c r="A4320" t="s">
        <v>268</v>
      </c>
      <c r="B4320" t="s">
        <v>166</v>
      </c>
      <c r="C4320" s="76">
        <v>43948</v>
      </c>
      <c r="D4320">
        <v>35816</v>
      </c>
      <c r="E4320">
        <v>29784</v>
      </c>
      <c r="F4320">
        <v>41847</v>
      </c>
      <c r="G4320">
        <v>29483</v>
      </c>
      <c r="H4320">
        <v>54.8</v>
      </c>
      <c r="I4320">
        <v>51.8</v>
      </c>
      <c r="J4320">
        <v>57.9</v>
      </c>
      <c r="K4320">
        <v>2666</v>
      </c>
      <c r="L4320">
        <v>2040</v>
      </c>
      <c r="M4320">
        <v>3292</v>
      </c>
      <c r="N4320">
        <v>4.0999999999999996</v>
      </c>
      <c r="O4320">
        <v>3.4</v>
      </c>
      <c r="P4320">
        <v>4.8</v>
      </c>
      <c r="Q4320">
        <f t="shared" si="132"/>
        <v>29730311</v>
      </c>
      <c r="R4320">
        <f t="shared" si="133"/>
        <v>8.9672792188416732</v>
      </c>
      <c r="U4320">
        <v>5272</v>
      </c>
      <c r="V4320">
        <v>4173</v>
      </c>
      <c r="W4320">
        <v>6371</v>
      </c>
      <c r="X4320">
        <v>4864</v>
      </c>
      <c r="Y4320">
        <v>52</v>
      </c>
      <c r="Z4320">
        <v>45.5</v>
      </c>
      <c r="AA4320">
        <v>58.5</v>
      </c>
    </row>
    <row r="4321" spans="1:27" x14ac:dyDescent="0.25">
      <c r="A4321" t="s">
        <v>268</v>
      </c>
      <c r="B4321" t="s">
        <v>166</v>
      </c>
      <c r="C4321" s="76">
        <v>43949</v>
      </c>
      <c r="D4321">
        <v>38002</v>
      </c>
      <c r="E4321">
        <v>31723</v>
      </c>
      <c r="F4321">
        <v>44280</v>
      </c>
      <c r="G4321">
        <v>28522</v>
      </c>
      <c r="H4321">
        <v>57.1</v>
      </c>
      <c r="I4321">
        <v>54.2</v>
      </c>
      <c r="J4321">
        <v>60</v>
      </c>
      <c r="K4321">
        <v>2847</v>
      </c>
      <c r="L4321">
        <v>2214</v>
      </c>
      <c r="M4321">
        <v>3480</v>
      </c>
      <c r="N4321">
        <v>4.3</v>
      </c>
      <c r="O4321">
        <v>3.6</v>
      </c>
      <c r="P4321">
        <v>4.9000000000000004</v>
      </c>
      <c r="Q4321">
        <f t="shared" si="132"/>
        <v>29730311</v>
      </c>
      <c r="R4321">
        <f t="shared" si="133"/>
        <v>9.5760854973901886</v>
      </c>
      <c r="U4321">
        <v>5400</v>
      </c>
      <c r="V4321">
        <v>4366</v>
      </c>
      <c r="W4321">
        <v>6433</v>
      </c>
      <c r="X4321">
        <v>4578</v>
      </c>
      <c r="Y4321">
        <v>54.1</v>
      </c>
      <c r="Z4321">
        <v>47.9</v>
      </c>
      <c r="AA4321">
        <v>60.3</v>
      </c>
    </row>
    <row r="4322" spans="1:27" x14ac:dyDescent="0.25">
      <c r="A4322" t="s">
        <v>268</v>
      </c>
      <c r="B4322" t="s">
        <v>166</v>
      </c>
      <c r="C4322" s="76">
        <v>43950</v>
      </c>
      <c r="D4322">
        <v>39635</v>
      </c>
      <c r="E4322">
        <v>33251</v>
      </c>
      <c r="F4322">
        <v>46019</v>
      </c>
      <c r="G4322">
        <v>27677</v>
      </c>
      <c r="H4322">
        <v>58.9</v>
      </c>
      <c r="I4322">
        <v>56.1</v>
      </c>
      <c r="J4322">
        <v>61.7</v>
      </c>
      <c r="K4322">
        <v>2902</v>
      </c>
      <c r="L4322">
        <v>2248</v>
      </c>
      <c r="M4322">
        <v>3557</v>
      </c>
      <c r="N4322">
        <v>4.3</v>
      </c>
      <c r="O4322">
        <v>3.7</v>
      </c>
      <c r="P4322">
        <v>5</v>
      </c>
      <c r="Q4322">
        <f t="shared" si="132"/>
        <v>29730311</v>
      </c>
      <c r="R4322">
        <f t="shared" si="133"/>
        <v>9.7610818803745438</v>
      </c>
      <c r="U4322">
        <v>5634</v>
      </c>
      <c r="V4322">
        <v>4506</v>
      </c>
      <c r="W4322">
        <v>6761</v>
      </c>
      <c r="X4322">
        <v>4642</v>
      </c>
      <c r="Y4322">
        <v>54.8</v>
      </c>
      <c r="Z4322">
        <v>48.9</v>
      </c>
      <c r="AA4322">
        <v>60.8</v>
      </c>
    </row>
    <row r="4323" spans="1:27" x14ac:dyDescent="0.25">
      <c r="A4323" t="s">
        <v>268</v>
      </c>
      <c r="B4323" t="s">
        <v>166</v>
      </c>
      <c r="C4323" s="76">
        <v>43951</v>
      </c>
      <c r="D4323">
        <v>39004</v>
      </c>
      <c r="E4323">
        <v>32795</v>
      </c>
      <c r="F4323">
        <v>45213</v>
      </c>
      <c r="G4323">
        <v>27894</v>
      </c>
      <c r="H4323">
        <v>58.3</v>
      </c>
      <c r="I4323">
        <v>55.6</v>
      </c>
      <c r="J4323">
        <v>61.1</v>
      </c>
      <c r="K4323">
        <v>2753</v>
      </c>
      <c r="L4323">
        <v>2133</v>
      </c>
      <c r="M4323">
        <v>3372</v>
      </c>
      <c r="N4323">
        <v>4.0999999999999996</v>
      </c>
      <c r="O4323">
        <v>3.5</v>
      </c>
      <c r="P4323">
        <v>4.7</v>
      </c>
      <c r="Q4323">
        <f t="shared" si="132"/>
        <v>29730311</v>
      </c>
      <c r="R4323">
        <f t="shared" si="133"/>
        <v>9.2599098610169257</v>
      </c>
      <c r="U4323">
        <v>5722</v>
      </c>
      <c r="V4323">
        <v>4596</v>
      </c>
      <c r="W4323">
        <v>6848</v>
      </c>
      <c r="X4323">
        <v>4623</v>
      </c>
      <c r="Y4323">
        <v>55.3</v>
      </c>
      <c r="Z4323">
        <v>49.7</v>
      </c>
      <c r="AA4323">
        <v>61</v>
      </c>
    </row>
    <row r="4324" spans="1:27" x14ac:dyDescent="0.25">
      <c r="A4324" t="s">
        <v>268</v>
      </c>
      <c r="B4324" t="s">
        <v>166</v>
      </c>
      <c r="C4324" s="76">
        <v>43952</v>
      </c>
      <c r="D4324">
        <v>38678</v>
      </c>
      <c r="E4324">
        <v>32480</v>
      </c>
      <c r="F4324">
        <v>44876</v>
      </c>
      <c r="G4324">
        <v>28210</v>
      </c>
      <c r="H4324">
        <v>57.8</v>
      </c>
      <c r="I4324">
        <v>55</v>
      </c>
      <c r="J4324">
        <v>60.6</v>
      </c>
      <c r="K4324">
        <v>2602</v>
      </c>
      <c r="L4324">
        <v>2007</v>
      </c>
      <c r="M4324">
        <v>3196</v>
      </c>
      <c r="N4324">
        <v>3.9</v>
      </c>
      <c r="O4324">
        <v>3.3</v>
      </c>
      <c r="P4324">
        <v>4.5</v>
      </c>
      <c r="Q4324">
        <f t="shared" si="132"/>
        <v>29730311</v>
      </c>
      <c r="R4324">
        <f t="shared" si="133"/>
        <v>8.7520107004598771</v>
      </c>
      <c r="U4324">
        <v>5584</v>
      </c>
      <c r="V4324">
        <v>4482</v>
      </c>
      <c r="W4324">
        <v>6686</v>
      </c>
      <c r="X4324">
        <v>4740</v>
      </c>
      <c r="Y4324">
        <v>54.1</v>
      </c>
      <c r="Z4324">
        <v>48</v>
      </c>
      <c r="AA4324">
        <v>60.2</v>
      </c>
    </row>
    <row r="4325" spans="1:27" x14ac:dyDescent="0.25">
      <c r="A4325" t="s">
        <v>268</v>
      </c>
      <c r="B4325" t="s">
        <v>166</v>
      </c>
      <c r="C4325" s="76">
        <v>43953</v>
      </c>
      <c r="D4325">
        <v>37862</v>
      </c>
      <c r="E4325">
        <v>31766</v>
      </c>
      <c r="F4325">
        <v>43959</v>
      </c>
      <c r="G4325">
        <v>29004</v>
      </c>
      <c r="H4325">
        <v>56.6</v>
      </c>
      <c r="I4325">
        <v>53.8</v>
      </c>
      <c r="J4325">
        <v>59.4</v>
      </c>
      <c r="K4325">
        <v>2600</v>
      </c>
      <c r="L4325">
        <v>2006</v>
      </c>
      <c r="M4325">
        <v>3195</v>
      </c>
      <c r="N4325">
        <v>3.9</v>
      </c>
      <c r="O4325">
        <v>3.3</v>
      </c>
      <c r="P4325">
        <v>4.5</v>
      </c>
      <c r="Q4325">
        <f t="shared" si="132"/>
        <v>29730311</v>
      </c>
      <c r="R4325">
        <f t="shared" si="133"/>
        <v>8.7452835592604465</v>
      </c>
      <c r="U4325">
        <v>5516</v>
      </c>
      <c r="V4325">
        <v>4409</v>
      </c>
      <c r="W4325">
        <v>6622</v>
      </c>
      <c r="X4325">
        <v>4845</v>
      </c>
      <c r="Y4325">
        <v>53.2</v>
      </c>
      <c r="Z4325">
        <v>46.9</v>
      </c>
      <c r="AA4325">
        <v>59.6</v>
      </c>
    </row>
    <row r="4326" spans="1:27" x14ac:dyDescent="0.25">
      <c r="A4326" t="s">
        <v>268</v>
      </c>
      <c r="B4326" t="s">
        <v>166</v>
      </c>
      <c r="C4326" s="76">
        <v>43954</v>
      </c>
      <c r="D4326">
        <v>37050</v>
      </c>
      <c r="E4326">
        <v>31098</v>
      </c>
      <c r="F4326">
        <v>43002</v>
      </c>
      <c r="G4326">
        <v>29664</v>
      </c>
      <c r="H4326">
        <v>55.5</v>
      </c>
      <c r="I4326">
        <v>52.8</v>
      </c>
      <c r="J4326">
        <v>58.3</v>
      </c>
      <c r="K4326">
        <v>2600</v>
      </c>
      <c r="L4326">
        <v>2006</v>
      </c>
      <c r="M4326">
        <v>3195</v>
      </c>
      <c r="N4326">
        <v>3.9</v>
      </c>
      <c r="O4326">
        <v>3.3</v>
      </c>
      <c r="P4326">
        <v>4.5</v>
      </c>
      <c r="Q4326">
        <f t="shared" si="132"/>
        <v>29730311</v>
      </c>
      <c r="R4326">
        <f t="shared" si="133"/>
        <v>8.7452835592604465</v>
      </c>
      <c r="U4326">
        <v>5503</v>
      </c>
      <c r="V4326">
        <v>4408</v>
      </c>
      <c r="W4326">
        <v>6597</v>
      </c>
      <c r="X4326">
        <v>4782</v>
      </c>
      <c r="Y4326">
        <v>53.5</v>
      </c>
      <c r="Z4326">
        <v>47.3</v>
      </c>
      <c r="AA4326">
        <v>59.7</v>
      </c>
    </row>
    <row r="4327" spans="1:27" x14ac:dyDescent="0.25">
      <c r="A4327" t="s">
        <v>268</v>
      </c>
      <c r="B4327" t="s">
        <v>166</v>
      </c>
      <c r="C4327" s="76">
        <v>43955</v>
      </c>
      <c r="D4327">
        <v>38167</v>
      </c>
      <c r="E4327">
        <v>32044</v>
      </c>
      <c r="F4327">
        <v>44290</v>
      </c>
      <c r="G4327">
        <v>28516</v>
      </c>
      <c r="H4327">
        <v>57.2</v>
      </c>
      <c r="I4327">
        <v>54.5</v>
      </c>
      <c r="J4327">
        <v>60</v>
      </c>
      <c r="K4327">
        <v>2767</v>
      </c>
      <c r="L4327">
        <v>2130</v>
      </c>
      <c r="M4327">
        <v>3404</v>
      </c>
      <c r="N4327">
        <v>4.0999999999999996</v>
      </c>
      <c r="O4327">
        <v>3.5</v>
      </c>
      <c r="P4327">
        <v>4.8</v>
      </c>
      <c r="Q4327">
        <f t="shared" ref="Q4327:Q4390" si="134">VLOOKUP(B4327,$AE$4:$AF$55,2,FALSE)</f>
        <v>29730311</v>
      </c>
      <c r="R4327">
        <f t="shared" si="133"/>
        <v>9.3069998494129447</v>
      </c>
      <c r="U4327">
        <v>5531</v>
      </c>
      <c r="V4327">
        <v>4440</v>
      </c>
      <c r="W4327">
        <v>6621</v>
      </c>
      <c r="X4327">
        <v>4755</v>
      </c>
      <c r="Y4327">
        <v>53.8</v>
      </c>
      <c r="Z4327">
        <v>47.6</v>
      </c>
      <c r="AA4327">
        <v>59.9</v>
      </c>
    </row>
    <row r="4328" spans="1:27" x14ac:dyDescent="0.25">
      <c r="A4328" t="s">
        <v>268</v>
      </c>
      <c r="B4328" t="s">
        <v>166</v>
      </c>
      <c r="C4328" s="76">
        <v>43956</v>
      </c>
      <c r="D4328">
        <v>40587</v>
      </c>
      <c r="E4328">
        <v>34191</v>
      </c>
      <c r="F4328">
        <v>46983</v>
      </c>
      <c r="G4328">
        <v>26459</v>
      </c>
      <c r="H4328">
        <v>60.5</v>
      </c>
      <c r="I4328">
        <v>57.8</v>
      </c>
      <c r="J4328">
        <v>63.3</v>
      </c>
      <c r="K4328">
        <v>2797</v>
      </c>
      <c r="L4328">
        <v>2132</v>
      </c>
      <c r="M4328">
        <v>3461</v>
      </c>
      <c r="N4328">
        <v>4.2</v>
      </c>
      <c r="O4328">
        <v>3.4</v>
      </c>
      <c r="P4328">
        <v>4.9000000000000004</v>
      </c>
      <c r="Q4328">
        <f t="shared" si="134"/>
        <v>29730311</v>
      </c>
      <c r="R4328">
        <f t="shared" si="133"/>
        <v>9.4079069674044113</v>
      </c>
      <c r="U4328">
        <v>5718</v>
      </c>
      <c r="V4328">
        <v>4601</v>
      </c>
      <c r="W4328">
        <v>6834</v>
      </c>
      <c r="X4328">
        <v>4621</v>
      </c>
      <c r="Y4328">
        <v>55.3</v>
      </c>
      <c r="Z4328">
        <v>49.4</v>
      </c>
      <c r="AA4328">
        <v>61.3</v>
      </c>
    </row>
    <row r="4329" spans="1:27" x14ac:dyDescent="0.25">
      <c r="A4329" t="s">
        <v>268</v>
      </c>
      <c r="B4329" t="s">
        <v>166</v>
      </c>
      <c r="C4329" s="76">
        <v>43957</v>
      </c>
      <c r="D4329">
        <v>41709</v>
      </c>
      <c r="E4329">
        <v>35138</v>
      </c>
      <c r="F4329">
        <v>48280</v>
      </c>
      <c r="G4329">
        <v>25644</v>
      </c>
      <c r="H4329">
        <v>61.9</v>
      </c>
      <c r="I4329">
        <v>59.1</v>
      </c>
      <c r="J4329">
        <v>64.8</v>
      </c>
      <c r="K4329">
        <v>2750</v>
      </c>
      <c r="L4329">
        <v>2094</v>
      </c>
      <c r="M4329">
        <v>3405</v>
      </c>
      <c r="N4329">
        <v>4.0999999999999996</v>
      </c>
      <c r="O4329">
        <v>3.4</v>
      </c>
      <c r="P4329">
        <v>4.8</v>
      </c>
      <c r="Q4329">
        <f t="shared" si="134"/>
        <v>29730311</v>
      </c>
      <c r="R4329">
        <f t="shared" si="133"/>
        <v>9.2498191492177799</v>
      </c>
      <c r="U4329">
        <v>5603</v>
      </c>
      <c r="V4329">
        <v>4490</v>
      </c>
      <c r="W4329">
        <v>6716</v>
      </c>
      <c r="X4329">
        <v>4735</v>
      </c>
      <c r="Y4329">
        <v>54.2</v>
      </c>
      <c r="Z4329">
        <v>48.2</v>
      </c>
      <c r="AA4329">
        <v>60.2</v>
      </c>
    </row>
    <row r="4330" spans="1:27" x14ac:dyDescent="0.25">
      <c r="A4330" t="s">
        <v>268</v>
      </c>
      <c r="B4330" t="s">
        <v>166</v>
      </c>
      <c r="C4330" s="76">
        <v>43958</v>
      </c>
      <c r="D4330">
        <v>41787</v>
      </c>
      <c r="E4330">
        <v>35161</v>
      </c>
      <c r="F4330">
        <v>48412</v>
      </c>
      <c r="G4330">
        <v>28285</v>
      </c>
      <c r="H4330">
        <v>59.6</v>
      </c>
      <c r="I4330">
        <v>56.5</v>
      </c>
      <c r="J4330">
        <v>62.8</v>
      </c>
      <c r="K4330">
        <v>2690</v>
      </c>
      <c r="L4330">
        <v>2090</v>
      </c>
      <c r="M4330">
        <v>3290</v>
      </c>
      <c r="N4330">
        <v>3.8</v>
      </c>
      <c r="O4330">
        <v>3.2</v>
      </c>
      <c r="P4330">
        <v>4.5</v>
      </c>
      <c r="Q4330">
        <f t="shared" si="134"/>
        <v>29730311</v>
      </c>
      <c r="R4330">
        <f t="shared" si="133"/>
        <v>9.0480049132348466</v>
      </c>
      <c r="U4330">
        <v>5620</v>
      </c>
      <c r="V4330">
        <v>4505</v>
      </c>
      <c r="W4330">
        <v>6736</v>
      </c>
      <c r="X4330">
        <v>4707</v>
      </c>
      <c r="Y4330">
        <v>54.4</v>
      </c>
      <c r="Z4330">
        <v>48.3</v>
      </c>
      <c r="AA4330">
        <v>60.5</v>
      </c>
    </row>
    <row r="4331" spans="1:27" x14ac:dyDescent="0.25">
      <c r="A4331" t="s">
        <v>268</v>
      </c>
      <c r="B4331" t="s">
        <v>166</v>
      </c>
      <c r="C4331" s="76">
        <v>43959</v>
      </c>
      <c r="D4331">
        <v>41302</v>
      </c>
      <c r="E4331">
        <v>34710</v>
      </c>
      <c r="F4331">
        <v>47893</v>
      </c>
      <c r="G4331">
        <v>28262</v>
      </c>
      <c r="H4331">
        <v>59.4</v>
      </c>
      <c r="I4331">
        <v>56.3</v>
      </c>
      <c r="J4331">
        <v>62.5</v>
      </c>
      <c r="K4331">
        <v>2718</v>
      </c>
      <c r="L4331">
        <v>2105</v>
      </c>
      <c r="M4331">
        <v>3331</v>
      </c>
      <c r="N4331">
        <v>3.9</v>
      </c>
      <c r="O4331">
        <v>3.3</v>
      </c>
      <c r="P4331">
        <v>4.5</v>
      </c>
      <c r="Q4331">
        <f t="shared" si="134"/>
        <v>29730311</v>
      </c>
      <c r="R4331">
        <f t="shared" si="133"/>
        <v>9.1421848900268827</v>
      </c>
      <c r="U4331">
        <v>5575</v>
      </c>
      <c r="V4331">
        <v>4459</v>
      </c>
      <c r="W4331">
        <v>6691</v>
      </c>
      <c r="X4331">
        <v>4774</v>
      </c>
      <c r="Y4331">
        <v>53.9</v>
      </c>
      <c r="Z4331">
        <v>47.6</v>
      </c>
      <c r="AA4331">
        <v>60.1</v>
      </c>
    </row>
    <row r="4332" spans="1:27" x14ac:dyDescent="0.25">
      <c r="A4332" t="s">
        <v>268</v>
      </c>
      <c r="B4332" t="s">
        <v>166</v>
      </c>
      <c r="C4332" s="76">
        <v>43960</v>
      </c>
      <c r="D4332">
        <v>40876</v>
      </c>
      <c r="E4332">
        <v>34271</v>
      </c>
      <c r="F4332">
        <v>47481</v>
      </c>
      <c r="G4332">
        <v>29054</v>
      </c>
      <c r="H4332">
        <v>58.5</v>
      </c>
      <c r="I4332">
        <v>55.6</v>
      </c>
      <c r="J4332">
        <v>61.3</v>
      </c>
      <c r="K4332">
        <v>2730</v>
      </c>
      <c r="L4332">
        <v>2047</v>
      </c>
      <c r="M4332">
        <v>3414</v>
      </c>
      <c r="N4332">
        <v>3.9</v>
      </c>
      <c r="O4332">
        <v>3.2</v>
      </c>
      <c r="P4332">
        <v>4.5999999999999996</v>
      </c>
      <c r="Q4332">
        <f t="shared" si="134"/>
        <v>29730311</v>
      </c>
      <c r="R4332">
        <f t="shared" si="133"/>
        <v>9.1825477372234694</v>
      </c>
      <c r="U4332">
        <v>5502</v>
      </c>
      <c r="V4332">
        <v>4400</v>
      </c>
      <c r="W4332">
        <v>6603</v>
      </c>
      <c r="X4332">
        <v>4797</v>
      </c>
      <c r="Y4332">
        <v>53.4</v>
      </c>
      <c r="Z4332">
        <v>47.2</v>
      </c>
      <c r="AA4332">
        <v>59.6</v>
      </c>
    </row>
    <row r="4333" spans="1:27" x14ac:dyDescent="0.25">
      <c r="A4333" t="s">
        <v>268</v>
      </c>
      <c r="B4333" t="s">
        <v>166</v>
      </c>
      <c r="C4333" s="76">
        <v>43961</v>
      </c>
      <c r="D4333">
        <v>39430</v>
      </c>
      <c r="E4333">
        <v>33045</v>
      </c>
      <c r="F4333">
        <v>45816</v>
      </c>
      <c r="G4333">
        <v>30367</v>
      </c>
      <c r="H4333">
        <v>56.5</v>
      </c>
      <c r="I4333">
        <v>53.7</v>
      </c>
      <c r="J4333">
        <v>59.3</v>
      </c>
      <c r="K4333">
        <v>2744</v>
      </c>
      <c r="L4333">
        <v>2041</v>
      </c>
      <c r="M4333">
        <v>3447</v>
      </c>
      <c r="N4333">
        <v>3.9</v>
      </c>
      <c r="O4333">
        <v>3.2</v>
      </c>
      <c r="P4333">
        <v>4.7</v>
      </c>
      <c r="Q4333">
        <f t="shared" si="134"/>
        <v>29730311</v>
      </c>
      <c r="R4333">
        <f t="shared" si="133"/>
        <v>9.2296377256194866</v>
      </c>
      <c r="U4333">
        <v>5375</v>
      </c>
      <c r="V4333">
        <v>4297</v>
      </c>
      <c r="W4333">
        <v>6453</v>
      </c>
      <c r="X4333">
        <v>4904</v>
      </c>
      <c r="Y4333">
        <v>52.3</v>
      </c>
      <c r="Z4333">
        <v>46.3</v>
      </c>
      <c r="AA4333">
        <v>58.3</v>
      </c>
    </row>
    <row r="4334" spans="1:27" x14ac:dyDescent="0.25">
      <c r="A4334" t="s">
        <v>268</v>
      </c>
      <c r="B4334" t="s">
        <v>166</v>
      </c>
      <c r="C4334" s="76">
        <v>43962</v>
      </c>
      <c r="D4334">
        <v>40592</v>
      </c>
      <c r="E4334">
        <v>34038</v>
      </c>
      <c r="F4334">
        <v>47145</v>
      </c>
      <c r="G4334">
        <v>29149</v>
      </c>
      <c r="H4334">
        <v>58.2</v>
      </c>
      <c r="I4334">
        <v>55.5</v>
      </c>
      <c r="J4334">
        <v>60.9</v>
      </c>
      <c r="K4334">
        <v>2814</v>
      </c>
      <c r="L4334">
        <v>2112</v>
      </c>
      <c r="M4334">
        <v>3516</v>
      </c>
      <c r="N4334">
        <v>4</v>
      </c>
      <c r="O4334">
        <v>3.3</v>
      </c>
      <c r="P4334">
        <v>4.8</v>
      </c>
      <c r="Q4334">
        <f t="shared" si="134"/>
        <v>29730311</v>
      </c>
      <c r="R4334">
        <f t="shared" si="133"/>
        <v>9.4650876675995743</v>
      </c>
      <c r="U4334">
        <v>5535</v>
      </c>
      <c r="V4334">
        <v>4437</v>
      </c>
      <c r="W4334">
        <v>6632</v>
      </c>
      <c r="X4334">
        <v>4748</v>
      </c>
      <c r="Y4334">
        <v>53.8</v>
      </c>
      <c r="Z4334">
        <v>47.9</v>
      </c>
      <c r="AA4334">
        <v>59.8</v>
      </c>
    </row>
    <row r="4335" spans="1:27" x14ac:dyDescent="0.25">
      <c r="A4335" t="s">
        <v>268</v>
      </c>
      <c r="B4335" t="s">
        <v>166</v>
      </c>
      <c r="C4335" s="76">
        <v>43963</v>
      </c>
      <c r="D4335">
        <v>42959</v>
      </c>
      <c r="E4335">
        <v>35999</v>
      </c>
      <c r="F4335">
        <v>49920</v>
      </c>
      <c r="G4335">
        <v>27376</v>
      </c>
      <c r="H4335">
        <v>61.1</v>
      </c>
      <c r="I4335">
        <v>58.1</v>
      </c>
      <c r="J4335">
        <v>64.099999999999994</v>
      </c>
      <c r="K4335">
        <v>2788</v>
      </c>
      <c r="L4335">
        <v>2082</v>
      </c>
      <c r="M4335">
        <v>3494</v>
      </c>
      <c r="N4335">
        <v>4</v>
      </c>
      <c r="O4335">
        <v>3.2</v>
      </c>
      <c r="P4335">
        <v>4.7</v>
      </c>
      <c r="Q4335">
        <f t="shared" si="134"/>
        <v>29730311</v>
      </c>
      <c r="R4335">
        <f t="shared" si="133"/>
        <v>9.3776348320069705</v>
      </c>
      <c r="U4335">
        <v>5649</v>
      </c>
      <c r="V4335">
        <v>4510</v>
      </c>
      <c r="W4335">
        <v>6789</v>
      </c>
      <c r="X4335">
        <v>4709</v>
      </c>
      <c r="Y4335">
        <v>54.5</v>
      </c>
      <c r="Z4335">
        <v>48.4</v>
      </c>
      <c r="AA4335">
        <v>60.6</v>
      </c>
    </row>
    <row r="4336" spans="1:27" x14ac:dyDescent="0.25">
      <c r="A4336" t="s">
        <v>268</v>
      </c>
      <c r="B4336" t="s">
        <v>166</v>
      </c>
      <c r="C4336" s="76">
        <v>43964</v>
      </c>
      <c r="D4336">
        <v>44190</v>
      </c>
      <c r="E4336">
        <v>37143</v>
      </c>
      <c r="F4336">
        <v>51238</v>
      </c>
      <c r="G4336">
        <v>25954</v>
      </c>
      <c r="H4336">
        <v>63</v>
      </c>
      <c r="I4336">
        <v>60.1</v>
      </c>
      <c r="J4336">
        <v>65.900000000000006</v>
      </c>
      <c r="K4336">
        <v>2818</v>
      </c>
      <c r="L4336">
        <v>2094</v>
      </c>
      <c r="M4336">
        <v>3542</v>
      </c>
      <c r="N4336">
        <v>4</v>
      </c>
      <c r="O4336">
        <v>3.3</v>
      </c>
      <c r="P4336">
        <v>4.8</v>
      </c>
      <c r="Q4336">
        <f t="shared" si="134"/>
        <v>29730311</v>
      </c>
      <c r="R4336">
        <f t="shared" si="133"/>
        <v>9.4785419499984371</v>
      </c>
      <c r="U4336">
        <v>5827</v>
      </c>
      <c r="V4336">
        <v>4696</v>
      </c>
      <c r="W4336">
        <v>6958</v>
      </c>
      <c r="X4336">
        <v>4613</v>
      </c>
      <c r="Y4336">
        <v>55.8</v>
      </c>
      <c r="Z4336">
        <v>49.8</v>
      </c>
      <c r="AA4336">
        <v>61.8</v>
      </c>
    </row>
    <row r="4337" spans="1:27" x14ac:dyDescent="0.25">
      <c r="A4337" t="s">
        <v>268</v>
      </c>
      <c r="B4337" t="s">
        <v>166</v>
      </c>
      <c r="C4337" s="76">
        <v>43965</v>
      </c>
      <c r="D4337">
        <v>44579</v>
      </c>
      <c r="E4337">
        <v>37389</v>
      </c>
      <c r="F4337">
        <v>51769</v>
      </c>
      <c r="G4337">
        <v>25155</v>
      </c>
      <c r="H4337">
        <v>63.9</v>
      </c>
      <c r="I4337">
        <v>60.9</v>
      </c>
      <c r="J4337">
        <v>67</v>
      </c>
      <c r="K4337">
        <v>2901</v>
      </c>
      <c r="L4337">
        <v>2178</v>
      </c>
      <c r="M4337">
        <v>3623</v>
      </c>
      <c r="N4337">
        <v>4.2</v>
      </c>
      <c r="O4337">
        <v>3.4</v>
      </c>
      <c r="P4337">
        <v>4.9000000000000004</v>
      </c>
      <c r="Q4337">
        <f t="shared" si="134"/>
        <v>29730311</v>
      </c>
      <c r="R4337">
        <f t="shared" si="133"/>
        <v>9.7577183097748286</v>
      </c>
      <c r="U4337">
        <v>5818</v>
      </c>
      <c r="V4337">
        <v>4667</v>
      </c>
      <c r="W4337">
        <v>6969</v>
      </c>
      <c r="X4337">
        <v>4457</v>
      </c>
      <c r="Y4337">
        <v>56.6</v>
      </c>
      <c r="Z4337">
        <v>50.4</v>
      </c>
      <c r="AA4337">
        <v>62.8</v>
      </c>
    </row>
    <row r="4338" spans="1:27" x14ac:dyDescent="0.25">
      <c r="A4338" t="s">
        <v>268</v>
      </c>
      <c r="B4338" t="s">
        <v>166</v>
      </c>
      <c r="C4338" s="76">
        <v>43966</v>
      </c>
      <c r="D4338">
        <v>44127</v>
      </c>
      <c r="E4338">
        <v>37006</v>
      </c>
      <c r="F4338">
        <v>51248</v>
      </c>
      <c r="G4338">
        <v>25850</v>
      </c>
      <c r="H4338">
        <v>63.1</v>
      </c>
      <c r="I4338">
        <v>60</v>
      </c>
      <c r="J4338">
        <v>66.099999999999994</v>
      </c>
      <c r="K4338">
        <v>2740</v>
      </c>
      <c r="L4338">
        <v>2076</v>
      </c>
      <c r="M4338">
        <v>3403</v>
      </c>
      <c r="N4338">
        <v>3.9</v>
      </c>
      <c r="O4338">
        <v>3.2</v>
      </c>
      <c r="P4338">
        <v>4.5999999999999996</v>
      </c>
      <c r="Q4338">
        <f t="shared" si="134"/>
        <v>29730311</v>
      </c>
      <c r="R4338">
        <f t="shared" si="133"/>
        <v>9.2161834432206255</v>
      </c>
      <c r="U4338">
        <v>5828</v>
      </c>
      <c r="V4338">
        <v>4701</v>
      </c>
      <c r="W4338">
        <v>6955</v>
      </c>
      <c r="X4338">
        <v>4398</v>
      </c>
      <c r="Y4338">
        <v>57</v>
      </c>
      <c r="Z4338">
        <v>51</v>
      </c>
      <c r="AA4338">
        <v>63</v>
      </c>
    </row>
    <row r="4339" spans="1:27" x14ac:dyDescent="0.25">
      <c r="A4339" t="s">
        <v>268</v>
      </c>
      <c r="B4339" t="s">
        <v>166</v>
      </c>
      <c r="C4339" s="76">
        <v>43967</v>
      </c>
      <c r="D4339">
        <v>41724</v>
      </c>
      <c r="E4339">
        <v>34976</v>
      </c>
      <c r="F4339">
        <v>48472</v>
      </c>
      <c r="G4339">
        <v>28172</v>
      </c>
      <c r="H4339">
        <v>59.7</v>
      </c>
      <c r="I4339">
        <v>56.8</v>
      </c>
      <c r="J4339">
        <v>62.6</v>
      </c>
      <c r="K4339">
        <v>2545</v>
      </c>
      <c r="L4339">
        <v>1915</v>
      </c>
      <c r="M4339">
        <v>3174</v>
      </c>
      <c r="N4339">
        <v>3.6</v>
      </c>
      <c r="O4339">
        <v>3</v>
      </c>
      <c r="P4339">
        <v>4.3</v>
      </c>
      <c r="Q4339">
        <f t="shared" si="134"/>
        <v>29730311</v>
      </c>
      <c r="R4339">
        <f t="shared" si="133"/>
        <v>8.5602871762760913</v>
      </c>
      <c r="U4339">
        <v>5644</v>
      </c>
      <c r="V4339">
        <v>4539</v>
      </c>
      <c r="W4339">
        <v>6749</v>
      </c>
      <c r="X4339">
        <v>4559</v>
      </c>
      <c r="Y4339">
        <v>55.3</v>
      </c>
      <c r="Z4339">
        <v>49.4</v>
      </c>
      <c r="AA4339">
        <v>61.3</v>
      </c>
    </row>
    <row r="4340" spans="1:27" x14ac:dyDescent="0.25">
      <c r="A4340" t="s">
        <v>268</v>
      </c>
      <c r="B4340" t="s">
        <v>166</v>
      </c>
      <c r="C4340" s="76">
        <v>43968</v>
      </c>
      <c r="D4340">
        <v>41059</v>
      </c>
      <c r="E4340">
        <v>34258</v>
      </c>
      <c r="F4340">
        <v>47861</v>
      </c>
      <c r="G4340">
        <v>28898</v>
      </c>
      <c r="H4340">
        <v>58.7</v>
      </c>
      <c r="I4340">
        <v>55.7</v>
      </c>
      <c r="J4340">
        <v>61.7</v>
      </c>
      <c r="K4340">
        <v>2537</v>
      </c>
      <c r="L4340">
        <v>1903</v>
      </c>
      <c r="M4340">
        <v>3171</v>
      </c>
      <c r="N4340">
        <v>3.6</v>
      </c>
      <c r="O4340">
        <v>3</v>
      </c>
      <c r="P4340">
        <v>4.3</v>
      </c>
      <c r="Q4340">
        <f t="shared" si="134"/>
        <v>29730311</v>
      </c>
      <c r="R4340">
        <f t="shared" si="133"/>
        <v>8.5333786114783674</v>
      </c>
      <c r="U4340">
        <v>5510</v>
      </c>
      <c r="V4340">
        <v>4398</v>
      </c>
      <c r="W4340">
        <v>6621</v>
      </c>
      <c r="X4340">
        <v>4688</v>
      </c>
      <c r="Y4340">
        <v>54</v>
      </c>
      <c r="Z4340">
        <v>48</v>
      </c>
      <c r="AA4340">
        <v>60</v>
      </c>
    </row>
    <row r="4341" spans="1:27" x14ac:dyDescent="0.25">
      <c r="A4341" t="s">
        <v>268</v>
      </c>
      <c r="B4341" t="s">
        <v>166</v>
      </c>
      <c r="C4341" s="76">
        <v>43969</v>
      </c>
      <c r="D4341">
        <v>42184</v>
      </c>
      <c r="E4341">
        <v>35172</v>
      </c>
      <c r="F4341">
        <v>49197</v>
      </c>
      <c r="G4341">
        <v>27719</v>
      </c>
      <c r="H4341">
        <v>60.3</v>
      </c>
      <c r="I4341">
        <v>57.2</v>
      </c>
      <c r="J4341">
        <v>63.5</v>
      </c>
      <c r="K4341">
        <v>2725</v>
      </c>
      <c r="L4341">
        <v>2073</v>
      </c>
      <c r="M4341">
        <v>3377</v>
      </c>
      <c r="N4341">
        <v>3.9</v>
      </c>
      <c r="O4341">
        <v>3.2</v>
      </c>
      <c r="P4341">
        <v>4.5999999999999996</v>
      </c>
      <c r="Q4341">
        <f t="shared" si="134"/>
        <v>29730311</v>
      </c>
      <c r="R4341">
        <f t="shared" si="133"/>
        <v>9.1657298842248913</v>
      </c>
      <c r="U4341">
        <v>5652</v>
      </c>
      <c r="V4341">
        <v>4490</v>
      </c>
      <c r="W4341">
        <v>6813</v>
      </c>
      <c r="X4341">
        <v>4475</v>
      </c>
      <c r="Y4341">
        <v>55.8</v>
      </c>
      <c r="Z4341">
        <v>49.6</v>
      </c>
      <c r="AA4341">
        <v>62</v>
      </c>
    </row>
    <row r="4342" spans="1:27" x14ac:dyDescent="0.25">
      <c r="A4342" t="s">
        <v>268</v>
      </c>
      <c r="B4342" t="s">
        <v>166</v>
      </c>
      <c r="C4342" s="76">
        <v>43970</v>
      </c>
      <c r="D4342">
        <v>45318</v>
      </c>
      <c r="E4342">
        <v>37922</v>
      </c>
      <c r="F4342">
        <v>52715</v>
      </c>
      <c r="G4342">
        <v>25125</v>
      </c>
      <c r="H4342">
        <v>64.3</v>
      </c>
      <c r="I4342">
        <v>61.3</v>
      </c>
      <c r="J4342">
        <v>67.400000000000006</v>
      </c>
      <c r="K4342">
        <v>2803</v>
      </c>
      <c r="L4342">
        <v>2115</v>
      </c>
      <c r="M4342">
        <v>3490</v>
      </c>
      <c r="N4342">
        <v>4</v>
      </c>
      <c r="O4342">
        <v>3.3</v>
      </c>
      <c r="P4342">
        <v>4.7</v>
      </c>
      <c r="Q4342">
        <f t="shared" si="134"/>
        <v>29730311</v>
      </c>
      <c r="R4342">
        <f t="shared" si="133"/>
        <v>9.4280883910027047</v>
      </c>
      <c r="U4342">
        <v>5954</v>
      </c>
      <c r="V4342">
        <v>4748</v>
      </c>
      <c r="W4342">
        <v>7160</v>
      </c>
      <c r="X4342">
        <v>4243</v>
      </c>
      <c r="Y4342">
        <v>58.4</v>
      </c>
      <c r="Z4342">
        <v>51.9</v>
      </c>
      <c r="AA4342">
        <v>64.900000000000006</v>
      </c>
    </row>
    <row r="4343" spans="1:27" x14ac:dyDescent="0.25">
      <c r="A4343" t="s">
        <v>268</v>
      </c>
      <c r="B4343" t="s">
        <v>166</v>
      </c>
      <c r="C4343" s="76">
        <v>43971</v>
      </c>
      <c r="D4343">
        <v>46418</v>
      </c>
      <c r="E4343">
        <v>38840</v>
      </c>
      <c r="F4343">
        <v>53997</v>
      </c>
      <c r="G4343">
        <v>24108</v>
      </c>
      <c r="H4343">
        <v>65.8</v>
      </c>
      <c r="I4343">
        <v>62.8</v>
      </c>
      <c r="J4343">
        <v>68.8</v>
      </c>
      <c r="K4343">
        <v>2708</v>
      </c>
      <c r="L4343">
        <v>2078</v>
      </c>
      <c r="M4343">
        <v>3338</v>
      </c>
      <c r="N4343">
        <v>3.8</v>
      </c>
      <c r="O4343">
        <v>3.2</v>
      </c>
      <c r="P4343">
        <v>4.5</v>
      </c>
      <c r="Q4343">
        <f t="shared" si="134"/>
        <v>29730311</v>
      </c>
      <c r="R4343">
        <f t="shared" si="133"/>
        <v>9.1085491840297266</v>
      </c>
      <c r="U4343">
        <v>6093</v>
      </c>
      <c r="V4343">
        <v>4839</v>
      </c>
      <c r="W4343">
        <v>7346</v>
      </c>
      <c r="X4343">
        <v>4119</v>
      </c>
      <c r="Y4343">
        <v>59.7</v>
      </c>
      <c r="Z4343">
        <v>53.1</v>
      </c>
      <c r="AA4343">
        <v>66.2</v>
      </c>
    </row>
    <row r="4344" spans="1:27" x14ac:dyDescent="0.25">
      <c r="A4344" t="s">
        <v>268</v>
      </c>
      <c r="B4344" t="s">
        <v>166</v>
      </c>
      <c r="C4344" s="76">
        <v>43972</v>
      </c>
      <c r="D4344">
        <v>46283</v>
      </c>
      <c r="E4344">
        <v>38673</v>
      </c>
      <c r="F4344">
        <v>53893</v>
      </c>
      <c r="G4344">
        <v>24227</v>
      </c>
      <c r="H4344">
        <v>65.599999999999994</v>
      </c>
      <c r="I4344">
        <v>62.5</v>
      </c>
      <c r="J4344">
        <v>68.8</v>
      </c>
      <c r="K4344">
        <v>2738</v>
      </c>
      <c r="L4344">
        <v>2123</v>
      </c>
      <c r="M4344">
        <v>3354</v>
      </c>
      <c r="N4344">
        <v>3.9</v>
      </c>
      <c r="O4344">
        <v>3.3</v>
      </c>
      <c r="P4344">
        <v>4.5</v>
      </c>
      <c r="Q4344">
        <f t="shared" si="134"/>
        <v>29730311</v>
      </c>
      <c r="R4344">
        <f t="shared" si="133"/>
        <v>9.2094563020211933</v>
      </c>
      <c r="U4344">
        <v>6175</v>
      </c>
      <c r="V4344">
        <v>4915</v>
      </c>
      <c r="W4344">
        <v>7436</v>
      </c>
      <c r="X4344">
        <v>4106</v>
      </c>
      <c r="Y4344">
        <v>60.1</v>
      </c>
      <c r="Z4344">
        <v>53.6</v>
      </c>
      <c r="AA4344">
        <v>66.5</v>
      </c>
    </row>
    <row r="4345" spans="1:27" x14ac:dyDescent="0.25">
      <c r="A4345" t="s">
        <v>268</v>
      </c>
      <c r="B4345" t="s">
        <v>166</v>
      </c>
      <c r="C4345" s="76">
        <v>43973</v>
      </c>
      <c r="D4345">
        <v>45829</v>
      </c>
      <c r="E4345">
        <v>38306</v>
      </c>
      <c r="F4345">
        <v>53353</v>
      </c>
      <c r="G4345">
        <v>25182</v>
      </c>
      <c r="H4345">
        <v>64.5</v>
      </c>
      <c r="I4345">
        <v>61.5</v>
      </c>
      <c r="J4345">
        <v>67.599999999999994</v>
      </c>
      <c r="K4345">
        <v>2660</v>
      </c>
      <c r="L4345">
        <v>2054</v>
      </c>
      <c r="M4345">
        <v>3266</v>
      </c>
      <c r="N4345">
        <v>3.7</v>
      </c>
      <c r="O4345">
        <v>3.2</v>
      </c>
      <c r="P4345">
        <v>4.3</v>
      </c>
      <c r="Q4345">
        <f t="shared" si="134"/>
        <v>29730311</v>
      </c>
      <c r="R4345">
        <f t="shared" si="133"/>
        <v>8.9470977952433799</v>
      </c>
      <c r="U4345">
        <v>6068</v>
      </c>
      <c r="V4345">
        <v>4821</v>
      </c>
      <c r="W4345">
        <v>7315</v>
      </c>
      <c r="X4345">
        <v>4145</v>
      </c>
      <c r="Y4345">
        <v>59.4</v>
      </c>
      <c r="Z4345">
        <v>53.1</v>
      </c>
      <c r="AA4345">
        <v>65.7</v>
      </c>
    </row>
    <row r="4346" spans="1:27" x14ac:dyDescent="0.25">
      <c r="A4346" t="s">
        <v>268</v>
      </c>
      <c r="B4346" t="s">
        <v>166</v>
      </c>
      <c r="C4346" s="76">
        <v>43974</v>
      </c>
      <c r="D4346">
        <v>44216</v>
      </c>
      <c r="E4346">
        <v>36916</v>
      </c>
      <c r="F4346">
        <v>51517</v>
      </c>
      <c r="G4346">
        <v>26289</v>
      </c>
      <c r="H4346">
        <v>62.7</v>
      </c>
      <c r="I4346">
        <v>59.7</v>
      </c>
      <c r="J4346">
        <v>65.7</v>
      </c>
      <c r="K4346">
        <v>2640</v>
      </c>
      <c r="L4346">
        <v>2051</v>
      </c>
      <c r="M4346">
        <v>3228</v>
      </c>
      <c r="N4346">
        <v>3.7</v>
      </c>
      <c r="O4346">
        <v>3.2</v>
      </c>
      <c r="P4346">
        <v>4.3</v>
      </c>
      <c r="Q4346">
        <f t="shared" si="134"/>
        <v>29730311</v>
      </c>
      <c r="R4346">
        <f t="shared" si="133"/>
        <v>8.8798263832490676</v>
      </c>
      <c r="U4346">
        <v>5980</v>
      </c>
      <c r="V4346">
        <v>4735</v>
      </c>
      <c r="W4346">
        <v>7225</v>
      </c>
      <c r="X4346">
        <v>4224</v>
      </c>
      <c r="Y4346">
        <v>58.6</v>
      </c>
      <c r="Z4346">
        <v>52.4</v>
      </c>
      <c r="AA4346">
        <v>64.8</v>
      </c>
    </row>
    <row r="4347" spans="1:27" x14ac:dyDescent="0.25">
      <c r="A4347" t="s">
        <v>268</v>
      </c>
      <c r="B4347" t="s">
        <v>166</v>
      </c>
      <c r="C4347" s="76">
        <v>43975</v>
      </c>
      <c r="D4347">
        <v>42798</v>
      </c>
      <c r="E4347">
        <v>35632</v>
      </c>
      <c r="F4347">
        <v>49964</v>
      </c>
      <c r="G4347">
        <v>27070</v>
      </c>
      <c r="H4347">
        <v>61.3</v>
      </c>
      <c r="I4347">
        <v>58.2</v>
      </c>
      <c r="J4347">
        <v>64.3</v>
      </c>
      <c r="K4347">
        <v>2612</v>
      </c>
      <c r="L4347">
        <v>2025</v>
      </c>
      <c r="M4347">
        <v>3198</v>
      </c>
      <c r="N4347">
        <v>3.7</v>
      </c>
      <c r="O4347">
        <v>3.2</v>
      </c>
      <c r="P4347">
        <v>4.3</v>
      </c>
      <c r="Q4347">
        <f t="shared" si="134"/>
        <v>29730311</v>
      </c>
      <c r="R4347">
        <f t="shared" si="133"/>
        <v>8.7856464064570332</v>
      </c>
      <c r="U4347">
        <v>5668</v>
      </c>
      <c r="V4347">
        <v>4486</v>
      </c>
      <c r="W4347">
        <v>6850</v>
      </c>
      <c r="X4347">
        <v>4186</v>
      </c>
      <c r="Y4347">
        <v>57.5</v>
      </c>
      <c r="Z4347">
        <v>51.4</v>
      </c>
      <c r="AA4347">
        <v>63.6</v>
      </c>
    </row>
    <row r="4348" spans="1:27" x14ac:dyDescent="0.25">
      <c r="A4348" t="s">
        <v>268</v>
      </c>
      <c r="B4348" t="s">
        <v>166</v>
      </c>
      <c r="C4348" s="76">
        <v>43976</v>
      </c>
      <c r="D4348">
        <v>41365</v>
      </c>
      <c r="E4348">
        <v>34309</v>
      </c>
      <c r="F4348">
        <v>48421</v>
      </c>
      <c r="G4348">
        <v>26636</v>
      </c>
      <c r="H4348">
        <v>60.8</v>
      </c>
      <c r="I4348">
        <v>57.5</v>
      </c>
      <c r="J4348">
        <v>64.099999999999994</v>
      </c>
      <c r="K4348">
        <v>2712</v>
      </c>
      <c r="L4348">
        <v>2044</v>
      </c>
      <c r="M4348">
        <v>3379</v>
      </c>
      <c r="N4348">
        <v>4</v>
      </c>
      <c r="O4348">
        <v>3.3</v>
      </c>
      <c r="P4348">
        <v>4.7</v>
      </c>
      <c r="Q4348">
        <f t="shared" si="134"/>
        <v>29730311</v>
      </c>
      <c r="R4348">
        <f t="shared" si="133"/>
        <v>9.1220034664285876</v>
      </c>
      <c r="U4348">
        <v>5724</v>
      </c>
      <c r="V4348">
        <v>4422</v>
      </c>
      <c r="W4348">
        <v>7026</v>
      </c>
      <c r="X4348">
        <v>4219</v>
      </c>
      <c r="Y4348">
        <v>57.6</v>
      </c>
      <c r="Z4348">
        <v>50.5</v>
      </c>
      <c r="AA4348">
        <v>64.599999999999994</v>
      </c>
    </row>
    <row r="4349" spans="1:27" x14ac:dyDescent="0.25">
      <c r="A4349" t="s">
        <v>268</v>
      </c>
      <c r="B4349" t="s">
        <v>166</v>
      </c>
      <c r="C4349" s="76">
        <v>43977</v>
      </c>
      <c r="D4349">
        <v>41221</v>
      </c>
      <c r="E4349">
        <v>33977</v>
      </c>
      <c r="F4349">
        <v>48465</v>
      </c>
      <c r="G4349">
        <v>25710</v>
      </c>
      <c r="H4349">
        <v>61.6</v>
      </c>
      <c r="I4349">
        <v>58.2</v>
      </c>
      <c r="J4349">
        <v>64.900000000000006</v>
      </c>
      <c r="K4349">
        <v>2528</v>
      </c>
      <c r="L4349">
        <v>1841</v>
      </c>
      <c r="M4349">
        <v>3214</v>
      </c>
      <c r="N4349">
        <v>3.8</v>
      </c>
      <c r="O4349">
        <v>3</v>
      </c>
      <c r="P4349">
        <v>4.5</v>
      </c>
      <c r="Q4349">
        <f t="shared" si="134"/>
        <v>29730311</v>
      </c>
      <c r="R4349">
        <f t="shared" si="133"/>
        <v>8.5031064760809265</v>
      </c>
      <c r="U4349">
        <v>5759</v>
      </c>
      <c r="V4349">
        <v>4428</v>
      </c>
      <c r="W4349">
        <v>7089</v>
      </c>
      <c r="X4349">
        <v>3223</v>
      </c>
      <c r="Y4349">
        <v>64.099999999999994</v>
      </c>
      <c r="Z4349">
        <v>58.9</v>
      </c>
      <c r="AA4349">
        <v>69.400000000000006</v>
      </c>
    </row>
    <row r="4350" spans="1:27" x14ac:dyDescent="0.25">
      <c r="A4350" t="s">
        <v>268</v>
      </c>
      <c r="B4350" t="s">
        <v>166</v>
      </c>
      <c r="C4350" s="76">
        <v>43978</v>
      </c>
      <c r="D4350">
        <v>44570</v>
      </c>
      <c r="E4350">
        <v>36770</v>
      </c>
      <c r="F4350">
        <v>52370</v>
      </c>
      <c r="G4350">
        <v>22915</v>
      </c>
      <c r="H4350">
        <v>66</v>
      </c>
      <c r="I4350">
        <v>62.5</v>
      </c>
      <c r="J4350">
        <v>69.599999999999994</v>
      </c>
      <c r="K4350">
        <v>2664</v>
      </c>
      <c r="L4350">
        <v>1988</v>
      </c>
      <c r="M4350">
        <v>3340</v>
      </c>
      <c r="N4350">
        <v>3.9</v>
      </c>
      <c r="O4350">
        <v>3.3</v>
      </c>
      <c r="P4350">
        <v>4.5999999999999996</v>
      </c>
      <c r="Q4350">
        <f t="shared" si="134"/>
        <v>29730311</v>
      </c>
      <c r="R4350">
        <f t="shared" si="133"/>
        <v>8.9605520776422409</v>
      </c>
      <c r="U4350">
        <v>6009</v>
      </c>
      <c r="V4350">
        <v>4649</v>
      </c>
      <c r="W4350">
        <v>7369</v>
      </c>
      <c r="X4350">
        <v>3023</v>
      </c>
      <c r="Y4350">
        <v>66.5</v>
      </c>
      <c r="Z4350">
        <v>61.6</v>
      </c>
      <c r="AA4350">
        <v>71.400000000000006</v>
      </c>
    </row>
    <row r="4351" spans="1:27" x14ac:dyDescent="0.25">
      <c r="A4351" t="s">
        <v>268</v>
      </c>
      <c r="B4351" t="s">
        <v>166</v>
      </c>
      <c r="C4351" s="76">
        <v>43979</v>
      </c>
      <c r="D4351">
        <v>45987</v>
      </c>
      <c r="E4351">
        <v>37417</v>
      </c>
      <c r="F4351">
        <v>54558</v>
      </c>
      <c r="G4351">
        <v>24345</v>
      </c>
      <c r="H4351">
        <v>65.400000000000006</v>
      </c>
      <c r="I4351">
        <v>62.4</v>
      </c>
      <c r="J4351">
        <v>68.3</v>
      </c>
      <c r="K4351">
        <v>2588</v>
      </c>
      <c r="L4351">
        <v>1955</v>
      </c>
      <c r="M4351">
        <v>3222</v>
      </c>
      <c r="N4351">
        <v>3.7</v>
      </c>
      <c r="O4351">
        <v>3</v>
      </c>
      <c r="P4351">
        <v>4.3</v>
      </c>
      <c r="Q4351">
        <f t="shared" si="134"/>
        <v>29730311</v>
      </c>
      <c r="R4351">
        <f t="shared" si="133"/>
        <v>8.7049207120638599</v>
      </c>
      <c r="U4351">
        <v>6240</v>
      </c>
      <c r="V4351">
        <v>4721</v>
      </c>
      <c r="W4351">
        <v>7759</v>
      </c>
      <c r="X4351">
        <v>3247</v>
      </c>
      <c r="Y4351">
        <v>65.8</v>
      </c>
      <c r="Z4351">
        <v>60.5</v>
      </c>
      <c r="AA4351">
        <v>71.099999999999994</v>
      </c>
    </row>
    <row r="4352" spans="1:27" x14ac:dyDescent="0.25">
      <c r="A4352" t="s">
        <v>268</v>
      </c>
      <c r="B4352" t="s">
        <v>166</v>
      </c>
      <c r="C4352" s="76">
        <v>43980</v>
      </c>
      <c r="D4352">
        <v>45964</v>
      </c>
      <c r="E4352">
        <v>37716</v>
      </c>
      <c r="F4352">
        <v>54212</v>
      </c>
      <c r="G4352">
        <v>23063</v>
      </c>
      <c r="H4352">
        <v>66.599999999999994</v>
      </c>
      <c r="I4352">
        <v>63.2</v>
      </c>
      <c r="J4352">
        <v>70</v>
      </c>
      <c r="K4352">
        <v>2430</v>
      </c>
      <c r="L4352">
        <v>1799</v>
      </c>
      <c r="M4352">
        <v>3060</v>
      </c>
      <c r="N4352">
        <v>3.5</v>
      </c>
      <c r="O4352">
        <v>2.9</v>
      </c>
      <c r="P4352">
        <v>4.2</v>
      </c>
      <c r="Q4352">
        <f t="shared" si="134"/>
        <v>29730311</v>
      </c>
      <c r="R4352">
        <f t="shared" si="133"/>
        <v>8.1734765573088026</v>
      </c>
      <c r="U4352">
        <v>5515</v>
      </c>
      <c r="V4352">
        <v>4336</v>
      </c>
      <c r="W4352">
        <v>6693</v>
      </c>
      <c r="X4352">
        <v>2950</v>
      </c>
      <c r="Y4352">
        <v>65.099999999999994</v>
      </c>
      <c r="Z4352">
        <v>60.8</v>
      </c>
      <c r="AA4352">
        <v>69.5</v>
      </c>
    </row>
    <row r="4353" spans="1:27" x14ac:dyDescent="0.25">
      <c r="A4353" t="s">
        <v>268</v>
      </c>
      <c r="B4353" t="s">
        <v>166</v>
      </c>
      <c r="C4353" s="76">
        <v>43981</v>
      </c>
      <c r="D4353">
        <v>44413</v>
      </c>
      <c r="E4353">
        <v>36902</v>
      </c>
      <c r="F4353">
        <v>51925</v>
      </c>
      <c r="G4353">
        <v>24976</v>
      </c>
      <c r="H4353">
        <v>64</v>
      </c>
      <c r="I4353">
        <v>60.8</v>
      </c>
      <c r="J4353">
        <v>67.2</v>
      </c>
      <c r="K4353">
        <v>2574</v>
      </c>
      <c r="L4353">
        <v>1998</v>
      </c>
      <c r="M4353">
        <v>3151</v>
      </c>
      <c r="N4353">
        <v>3.7</v>
      </c>
      <c r="O4353">
        <v>3.1</v>
      </c>
      <c r="P4353">
        <v>4.3</v>
      </c>
      <c r="Q4353">
        <f t="shared" si="134"/>
        <v>29730311</v>
      </c>
      <c r="R4353">
        <f t="shared" si="133"/>
        <v>8.6578307236678427</v>
      </c>
      <c r="U4353">
        <v>5841</v>
      </c>
      <c r="V4353">
        <v>4615</v>
      </c>
      <c r="W4353">
        <v>7067</v>
      </c>
      <c r="X4353">
        <v>4066</v>
      </c>
      <c r="Y4353">
        <v>59</v>
      </c>
      <c r="Z4353">
        <v>52.8</v>
      </c>
      <c r="AA4353">
        <v>65.2</v>
      </c>
    </row>
    <row r="4354" spans="1:27" x14ac:dyDescent="0.25">
      <c r="A4354" t="s">
        <v>268</v>
      </c>
      <c r="B4354" t="s">
        <v>166</v>
      </c>
      <c r="C4354" s="76">
        <v>43982</v>
      </c>
      <c r="D4354">
        <v>42397</v>
      </c>
      <c r="E4354">
        <v>35083</v>
      </c>
      <c r="F4354">
        <v>49710</v>
      </c>
      <c r="G4354">
        <v>25519</v>
      </c>
      <c r="H4354">
        <v>62.4</v>
      </c>
      <c r="I4354">
        <v>58.9</v>
      </c>
      <c r="J4354">
        <v>65.900000000000006</v>
      </c>
      <c r="K4354">
        <v>2671</v>
      </c>
      <c r="L4354">
        <v>2052</v>
      </c>
      <c r="M4354">
        <v>3290</v>
      </c>
      <c r="N4354">
        <v>3.9</v>
      </c>
      <c r="O4354">
        <v>3.3</v>
      </c>
      <c r="P4354">
        <v>4.5999999999999996</v>
      </c>
      <c r="Q4354">
        <f t="shared" si="134"/>
        <v>29730311</v>
      </c>
      <c r="R4354">
        <f t="shared" si="133"/>
        <v>8.9840970718402495</v>
      </c>
      <c r="U4354">
        <v>5570</v>
      </c>
      <c r="V4354">
        <v>4380</v>
      </c>
      <c r="W4354">
        <v>6759</v>
      </c>
      <c r="X4354">
        <v>4068</v>
      </c>
      <c r="Y4354">
        <v>57.8</v>
      </c>
      <c r="Z4354">
        <v>51.5</v>
      </c>
      <c r="AA4354">
        <v>64</v>
      </c>
    </row>
    <row r="4355" spans="1:27" x14ac:dyDescent="0.25">
      <c r="A4355" t="s">
        <v>268</v>
      </c>
      <c r="B4355" t="s">
        <v>166</v>
      </c>
      <c r="C4355" s="76">
        <v>43983</v>
      </c>
      <c r="D4355">
        <v>42643</v>
      </c>
      <c r="E4355">
        <v>35072</v>
      </c>
      <c r="F4355">
        <v>50213</v>
      </c>
      <c r="G4355">
        <v>25072</v>
      </c>
      <c r="H4355">
        <v>63</v>
      </c>
      <c r="I4355">
        <v>59.5</v>
      </c>
      <c r="J4355">
        <v>66.400000000000006</v>
      </c>
      <c r="K4355">
        <v>2616</v>
      </c>
      <c r="L4355">
        <v>1963</v>
      </c>
      <c r="M4355">
        <v>3268</v>
      </c>
      <c r="N4355">
        <v>3.9</v>
      </c>
      <c r="O4355">
        <v>3.2</v>
      </c>
      <c r="P4355">
        <v>4.5</v>
      </c>
      <c r="Q4355">
        <f t="shared" si="134"/>
        <v>29730311</v>
      </c>
      <c r="R4355">
        <f t="shared" si="133"/>
        <v>8.799100688855896</v>
      </c>
      <c r="U4355">
        <v>5682</v>
      </c>
      <c r="V4355">
        <v>4395</v>
      </c>
      <c r="W4355">
        <v>6969</v>
      </c>
      <c r="X4355">
        <v>3133</v>
      </c>
      <c r="Y4355">
        <v>64.5</v>
      </c>
      <c r="Z4355">
        <v>59.8</v>
      </c>
      <c r="AA4355">
        <v>69.099999999999994</v>
      </c>
    </row>
    <row r="4356" spans="1:27" x14ac:dyDescent="0.25">
      <c r="A4356" t="s">
        <v>268</v>
      </c>
      <c r="B4356" t="s">
        <v>166</v>
      </c>
      <c r="C4356" s="76">
        <v>43984</v>
      </c>
      <c r="D4356">
        <v>43087</v>
      </c>
      <c r="E4356">
        <v>35597</v>
      </c>
      <c r="F4356">
        <v>50577</v>
      </c>
      <c r="G4356">
        <v>23841</v>
      </c>
      <c r="H4356">
        <v>64.400000000000006</v>
      </c>
      <c r="I4356">
        <v>61</v>
      </c>
      <c r="J4356">
        <v>67.7</v>
      </c>
      <c r="K4356">
        <v>2365</v>
      </c>
      <c r="L4356">
        <v>1749</v>
      </c>
      <c r="M4356">
        <v>2980</v>
      </c>
      <c r="N4356">
        <v>3.5</v>
      </c>
      <c r="O4356">
        <v>2.9</v>
      </c>
      <c r="P4356">
        <v>4.2</v>
      </c>
      <c r="Q4356">
        <f t="shared" si="134"/>
        <v>29730311</v>
      </c>
      <c r="R4356">
        <f t="shared" si="133"/>
        <v>7.9548444683272903</v>
      </c>
      <c r="U4356">
        <v>5452</v>
      </c>
      <c r="V4356">
        <v>4313</v>
      </c>
      <c r="W4356">
        <v>6591</v>
      </c>
      <c r="X4356">
        <v>2799</v>
      </c>
      <c r="Y4356">
        <v>66.099999999999994</v>
      </c>
      <c r="Z4356">
        <v>61.7</v>
      </c>
      <c r="AA4356">
        <v>70.5</v>
      </c>
    </row>
    <row r="4357" spans="1:27" x14ac:dyDescent="0.25">
      <c r="A4357" t="s">
        <v>268</v>
      </c>
      <c r="B4357" t="s">
        <v>166</v>
      </c>
      <c r="C4357" s="76">
        <v>43985</v>
      </c>
      <c r="D4357">
        <v>44236</v>
      </c>
      <c r="E4357">
        <v>36489</v>
      </c>
      <c r="F4357">
        <v>51984</v>
      </c>
      <c r="G4357">
        <v>22619</v>
      </c>
      <c r="H4357">
        <v>66.2</v>
      </c>
      <c r="I4357">
        <v>63.2</v>
      </c>
      <c r="J4357">
        <v>69.099999999999994</v>
      </c>
      <c r="K4357">
        <v>2251</v>
      </c>
      <c r="L4357">
        <v>1673</v>
      </c>
      <c r="M4357">
        <v>2829</v>
      </c>
      <c r="N4357">
        <v>3.4</v>
      </c>
      <c r="O4357">
        <v>2.7</v>
      </c>
      <c r="P4357">
        <v>4</v>
      </c>
      <c r="Q4357">
        <f t="shared" si="134"/>
        <v>29730311</v>
      </c>
      <c r="R4357">
        <f t="shared" ref="R4357:R4420" si="135">K4357/(Q4357)*100000</f>
        <v>7.5713974199597169</v>
      </c>
      <c r="U4357">
        <v>5237</v>
      </c>
      <c r="V4357">
        <v>4091</v>
      </c>
      <c r="W4357">
        <v>6383</v>
      </c>
      <c r="X4357">
        <v>2369</v>
      </c>
      <c r="Y4357">
        <v>68.900000000000006</v>
      </c>
      <c r="Z4357">
        <v>63.8</v>
      </c>
      <c r="AA4357">
        <v>73.900000000000006</v>
      </c>
    </row>
    <row r="4358" spans="1:27" x14ac:dyDescent="0.25">
      <c r="A4358" t="s">
        <v>268</v>
      </c>
      <c r="B4358" t="s">
        <v>166</v>
      </c>
      <c r="C4358" s="76">
        <v>43986</v>
      </c>
      <c r="D4358">
        <v>44078</v>
      </c>
      <c r="E4358">
        <v>36292</v>
      </c>
      <c r="F4358">
        <v>51863</v>
      </c>
      <c r="G4358">
        <v>22539</v>
      </c>
      <c r="H4358">
        <v>66.2</v>
      </c>
      <c r="I4358">
        <v>63.1</v>
      </c>
      <c r="J4358">
        <v>69.2</v>
      </c>
      <c r="K4358">
        <v>2339</v>
      </c>
      <c r="L4358">
        <v>1750</v>
      </c>
      <c r="M4358">
        <v>2928</v>
      </c>
      <c r="N4358">
        <v>3.5</v>
      </c>
      <c r="O4358">
        <v>2.9</v>
      </c>
      <c r="P4358">
        <v>4.0999999999999996</v>
      </c>
      <c r="Q4358">
        <f t="shared" si="134"/>
        <v>29730311</v>
      </c>
      <c r="R4358">
        <f t="shared" si="135"/>
        <v>7.8673916327346856</v>
      </c>
      <c r="U4358">
        <v>5427</v>
      </c>
      <c r="V4358">
        <v>4265</v>
      </c>
      <c r="W4358">
        <v>6589</v>
      </c>
      <c r="X4358">
        <v>2690</v>
      </c>
      <c r="Y4358">
        <v>66.900000000000006</v>
      </c>
      <c r="Z4358">
        <v>62</v>
      </c>
      <c r="AA4358">
        <v>71.7</v>
      </c>
    </row>
    <row r="4359" spans="1:27" x14ac:dyDescent="0.25">
      <c r="A4359" t="s">
        <v>268</v>
      </c>
      <c r="B4359" t="s">
        <v>166</v>
      </c>
      <c r="C4359" s="76">
        <v>43987</v>
      </c>
      <c r="D4359">
        <v>46726</v>
      </c>
      <c r="E4359">
        <v>38481</v>
      </c>
      <c r="F4359">
        <v>54970</v>
      </c>
      <c r="G4359">
        <v>23832</v>
      </c>
      <c r="H4359">
        <v>66.2</v>
      </c>
      <c r="I4359">
        <v>63.1</v>
      </c>
      <c r="J4359">
        <v>69.3</v>
      </c>
      <c r="K4359">
        <v>2618</v>
      </c>
      <c r="L4359">
        <v>1996</v>
      </c>
      <c r="M4359">
        <v>3240</v>
      </c>
      <c r="N4359">
        <v>3.7</v>
      </c>
      <c r="O4359">
        <v>3.1</v>
      </c>
      <c r="P4359">
        <v>4.3</v>
      </c>
      <c r="Q4359">
        <f t="shared" si="134"/>
        <v>29730311</v>
      </c>
      <c r="R4359">
        <f t="shared" si="135"/>
        <v>8.8058278300553265</v>
      </c>
      <c r="U4359">
        <v>6941</v>
      </c>
      <c r="V4359">
        <v>5356</v>
      </c>
      <c r="W4359">
        <v>8527</v>
      </c>
      <c r="X4359">
        <v>3471</v>
      </c>
      <c r="Y4359">
        <v>66.7</v>
      </c>
      <c r="Z4359">
        <v>62.2</v>
      </c>
      <c r="AA4359">
        <v>71.2</v>
      </c>
    </row>
    <row r="4360" spans="1:27" x14ac:dyDescent="0.25">
      <c r="A4360" t="s">
        <v>268</v>
      </c>
      <c r="B4360" t="s">
        <v>166</v>
      </c>
      <c r="C4360" s="76">
        <v>43988</v>
      </c>
      <c r="D4360">
        <v>46303</v>
      </c>
      <c r="E4360">
        <v>38478</v>
      </c>
      <c r="F4360">
        <v>54127</v>
      </c>
      <c r="G4360">
        <v>24740</v>
      </c>
      <c r="H4360">
        <v>65.2</v>
      </c>
      <c r="I4360">
        <v>62.1</v>
      </c>
      <c r="J4360">
        <v>68.3</v>
      </c>
      <c r="K4360">
        <v>2896</v>
      </c>
      <c r="L4360">
        <v>2242</v>
      </c>
      <c r="M4360">
        <v>3550</v>
      </c>
      <c r="N4360">
        <v>4.0999999999999996</v>
      </c>
      <c r="O4360">
        <v>3.4</v>
      </c>
      <c r="P4360">
        <v>4.7</v>
      </c>
      <c r="Q4360">
        <f t="shared" si="134"/>
        <v>29730311</v>
      </c>
      <c r="R4360">
        <f t="shared" si="135"/>
        <v>9.7409004567762505</v>
      </c>
      <c r="U4360">
        <v>7997</v>
      </c>
      <c r="V4360">
        <v>6297</v>
      </c>
      <c r="W4360">
        <v>9698</v>
      </c>
      <c r="X4360">
        <v>4230</v>
      </c>
      <c r="Y4360">
        <v>65.400000000000006</v>
      </c>
      <c r="Z4360">
        <v>61.5</v>
      </c>
      <c r="AA4360">
        <v>69.400000000000006</v>
      </c>
    </row>
    <row r="4361" spans="1:27" x14ac:dyDescent="0.25">
      <c r="A4361" t="s">
        <v>268</v>
      </c>
      <c r="B4361" t="s">
        <v>166</v>
      </c>
      <c r="C4361" s="76">
        <v>43989</v>
      </c>
      <c r="D4361">
        <v>44057</v>
      </c>
      <c r="E4361">
        <v>36414</v>
      </c>
      <c r="F4361">
        <v>51701</v>
      </c>
      <c r="G4361">
        <v>26297</v>
      </c>
      <c r="H4361">
        <v>62.6</v>
      </c>
      <c r="I4361">
        <v>59.4</v>
      </c>
      <c r="J4361">
        <v>65.8</v>
      </c>
      <c r="K4361">
        <v>2797</v>
      </c>
      <c r="L4361">
        <v>2143</v>
      </c>
      <c r="M4361">
        <v>3450</v>
      </c>
      <c r="N4361">
        <v>4</v>
      </c>
      <c r="O4361">
        <v>3.3</v>
      </c>
      <c r="P4361">
        <v>4.5999999999999996</v>
      </c>
      <c r="Q4361">
        <f t="shared" si="134"/>
        <v>29730311</v>
      </c>
      <c r="R4361">
        <f t="shared" si="135"/>
        <v>9.4079069674044113</v>
      </c>
      <c r="U4361">
        <v>7504</v>
      </c>
      <c r="V4361">
        <v>5896</v>
      </c>
      <c r="W4361">
        <v>9112</v>
      </c>
      <c r="X4361">
        <v>4443</v>
      </c>
      <c r="Y4361">
        <v>62.8</v>
      </c>
      <c r="Z4361">
        <v>58.9</v>
      </c>
      <c r="AA4361">
        <v>66.7</v>
      </c>
    </row>
    <row r="4362" spans="1:27" x14ac:dyDescent="0.25">
      <c r="A4362" t="s">
        <v>268</v>
      </c>
      <c r="B4362" t="s">
        <v>166</v>
      </c>
      <c r="C4362" s="76">
        <v>43990</v>
      </c>
      <c r="D4362">
        <v>45571</v>
      </c>
      <c r="E4362">
        <v>37582</v>
      </c>
      <c r="F4362">
        <v>53559</v>
      </c>
      <c r="G4362">
        <v>24536</v>
      </c>
      <c r="H4362">
        <v>65</v>
      </c>
      <c r="I4362">
        <v>61.6</v>
      </c>
      <c r="J4362">
        <v>68.400000000000006</v>
      </c>
      <c r="K4362">
        <v>2929</v>
      </c>
      <c r="L4362">
        <v>2263</v>
      </c>
      <c r="M4362">
        <v>3594</v>
      </c>
      <c r="N4362">
        <v>4.2</v>
      </c>
      <c r="O4362">
        <v>3.5</v>
      </c>
      <c r="P4362">
        <v>4.8</v>
      </c>
      <c r="Q4362">
        <f t="shared" si="134"/>
        <v>29730311</v>
      </c>
      <c r="R4362">
        <f t="shared" si="135"/>
        <v>9.8518982865668647</v>
      </c>
      <c r="U4362">
        <v>7695</v>
      </c>
      <c r="V4362">
        <v>6039</v>
      </c>
      <c r="W4362">
        <v>9352</v>
      </c>
      <c r="X4362">
        <v>4384</v>
      </c>
      <c r="Y4362">
        <v>63.7</v>
      </c>
      <c r="Z4362">
        <v>59.8</v>
      </c>
      <c r="AA4362">
        <v>67.599999999999994</v>
      </c>
    </row>
    <row r="4363" spans="1:27" x14ac:dyDescent="0.25">
      <c r="A4363" t="s">
        <v>268</v>
      </c>
      <c r="B4363" t="s">
        <v>166</v>
      </c>
      <c r="C4363" s="76">
        <v>43991</v>
      </c>
      <c r="D4363">
        <v>45899</v>
      </c>
      <c r="E4363">
        <v>38187</v>
      </c>
      <c r="F4363">
        <v>53610</v>
      </c>
      <c r="G4363">
        <v>24627</v>
      </c>
      <c r="H4363">
        <v>65.099999999999994</v>
      </c>
      <c r="I4363">
        <v>62.2</v>
      </c>
      <c r="J4363">
        <v>68</v>
      </c>
      <c r="K4363">
        <v>2904</v>
      </c>
      <c r="L4363">
        <v>2264</v>
      </c>
      <c r="M4363">
        <v>3545</v>
      </c>
      <c r="N4363">
        <v>4.0999999999999996</v>
      </c>
      <c r="O4363">
        <v>3.5</v>
      </c>
      <c r="P4363">
        <v>4.7</v>
      </c>
      <c r="Q4363">
        <f t="shared" si="134"/>
        <v>29730311</v>
      </c>
      <c r="R4363">
        <f t="shared" si="135"/>
        <v>9.7678090215739761</v>
      </c>
      <c r="U4363">
        <v>7555</v>
      </c>
      <c r="V4363">
        <v>5954</v>
      </c>
      <c r="W4363">
        <v>9156</v>
      </c>
      <c r="X4363">
        <v>4421</v>
      </c>
      <c r="Y4363">
        <v>63.1</v>
      </c>
      <c r="Z4363">
        <v>59.3</v>
      </c>
      <c r="AA4363">
        <v>66.900000000000006</v>
      </c>
    </row>
    <row r="4364" spans="1:27" x14ac:dyDescent="0.25">
      <c r="A4364" t="s">
        <v>268</v>
      </c>
      <c r="B4364" t="s">
        <v>166</v>
      </c>
      <c r="C4364" s="76">
        <v>43992</v>
      </c>
      <c r="D4364">
        <v>44309</v>
      </c>
      <c r="E4364">
        <v>36177</v>
      </c>
      <c r="F4364">
        <v>52442</v>
      </c>
      <c r="G4364">
        <v>24761</v>
      </c>
      <c r="H4364">
        <v>64.2</v>
      </c>
      <c r="I4364">
        <v>61.2</v>
      </c>
      <c r="J4364">
        <v>67.099999999999994</v>
      </c>
      <c r="K4364">
        <v>2464</v>
      </c>
      <c r="L4364">
        <v>1848</v>
      </c>
      <c r="M4364">
        <v>3080</v>
      </c>
      <c r="N4364">
        <v>3.6</v>
      </c>
      <c r="O4364">
        <v>3</v>
      </c>
      <c r="P4364">
        <v>4.2</v>
      </c>
      <c r="Q4364">
        <f t="shared" si="134"/>
        <v>29730311</v>
      </c>
      <c r="R4364">
        <f t="shared" si="135"/>
        <v>8.2878379576991321</v>
      </c>
      <c r="U4364">
        <v>7456</v>
      </c>
      <c r="V4364">
        <v>5587</v>
      </c>
      <c r="W4364">
        <v>9325</v>
      </c>
      <c r="X4364">
        <v>4058</v>
      </c>
      <c r="Y4364">
        <v>64.8</v>
      </c>
      <c r="Z4364">
        <v>60.3</v>
      </c>
      <c r="AA4364">
        <v>69.2</v>
      </c>
    </row>
    <row r="4365" spans="1:27" x14ac:dyDescent="0.25">
      <c r="A4365" t="s">
        <v>268</v>
      </c>
      <c r="B4365" t="s">
        <v>166</v>
      </c>
      <c r="C4365" s="76">
        <v>43993</v>
      </c>
      <c r="D4365">
        <v>45135</v>
      </c>
      <c r="E4365">
        <v>36995</v>
      </c>
      <c r="F4365">
        <v>53276</v>
      </c>
      <c r="G4365">
        <v>25095</v>
      </c>
      <c r="H4365">
        <v>64.3</v>
      </c>
      <c r="I4365">
        <v>61.4</v>
      </c>
      <c r="J4365">
        <v>67.099999999999994</v>
      </c>
      <c r="K4365">
        <v>2632</v>
      </c>
      <c r="L4365">
        <v>1990</v>
      </c>
      <c r="M4365">
        <v>3273</v>
      </c>
      <c r="N4365">
        <v>3.7</v>
      </c>
      <c r="O4365">
        <v>3.1</v>
      </c>
      <c r="P4365">
        <v>4.4000000000000004</v>
      </c>
      <c r="Q4365">
        <f t="shared" si="134"/>
        <v>29730311</v>
      </c>
      <c r="R4365">
        <f t="shared" si="135"/>
        <v>8.8529178184513437</v>
      </c>
      <c r="U4365">
        <v>7738</v>
      </c>
      <c r="V4365">
        <v>5975</v>
      </c>
      <c r="W4365">
        <v>9502</v>
      </c>
      <c r="X4365">
        <v>4165</v>
      </c>
      <c r="Y4365">
        <v>65</v>
      </c>
      <c r="Z4365">
        <v>60.7</v>
      </c>
      <c r="AA4365">
        <v>69.3</v>
      </c>
    </row>
    <row r="4366" spans="1:27" x14ac:dyDescent="0.25">
      <c r="A4366" t="s">
        <v>268</v>
      </c>
      <c r="B4366" t="s">
        <v>166</v>
      </c>
      <c r="C4366" s="76">
        <v>43994</v>
      </c>
      <c r="D4366">
        <v>46340</v>
      </c>
      <c r="E4366">
        <v>38046</v>
      </c>
      <c r="F4366">
        <v>54634</v>
      </c>
      <c r="G4366">
        <v>25336</v>
      </c>
      <c r="H4366">
        <v>64.7</v>
      </c>
      <c r="I4366">
        <v>61.8</v>
      </c>
      <c r="J4366">
        <v>67.5</v>
      </c>
      <c r="K4366">
        <v>2828</v>
      </c>
      <c r="L4366">
        <v>2149</v>
      </c>
      <c r="M4366">
        <v>3507</v>
      </c>
      <c r="N4366">
        <v>3.9</v>
      </c>
      <c r="O4366">
        <v>3.3</v>
      </c>
      <c r="P4366">
        <v>4.5999999999999996</v>
      </c>
      <c r="Q4366">
        <f t="shared" si="134"/>
        <v>29730311</v>
      </c>
      <c r="R4366">
        <f t="shared" si="135"/>
        <v>9.5121776559955933</v>
      </c>
      <c r="U4366">
        <v>7786</v>
      </c>
      <c r="V4366">
        <v>6021</v>
      </c>
      <c r="W4366">
        <v>9552</v>
      </c>
      <c r="X4366">
        <v>4461</v>
      </c>
      <c r="Y4366">
        <v>63.6</v>
      </c>
      <c r="Z4366">
        <v>58.7</v>
      </c>
      <c r="AA4366">
        <v>68.400000000000006</v>
      </c>
    </row>
    <row r="4367" spans="1:27" x14ac:dyDescent="0.25">
      <c r="A4367" t="s">
        <v>268</v>
      </c>
      <c r="B4367" t="s">
        <v>166</v>
      </c>
      <c r="C4367" s="76">
        <v>43995</v>
      </c>
      <c r="D4367">
        <v>43471</v>
      </c>
      <c r="E4367">
        <v>36268</v>
      </c>
      <c r="F4367">
        <v>50675</v>
      </c>
      <c r="G4367">
        <v>27301</v>
      </c>
      <c r="H4367">
        <v>61.4</v>
      </c>
      <c r="I4367">
        <v>58.7</v>
      </c>
      <c r="J4367">
        <v>64.099999999999994</v>
      </c>
      <c r="K4367">
        <v>3019</v>
      </c>
      <c r="L4367">
        <v>2380</v>
      </c>
      <c r="M4367">
        <v>3659</v>
      </c>
      <c r="N4367">
        <v>4.3</v>
      </c>
      <c r="O4367">
        <v>3.7</v>
      </c>
      <c r="P4367">
        <v>4.9000000000000004</v>
      </c>
      <c r="Q4367">
        <f t="shared" si="134"/>
        <v>29730311</v>
      </c>
      <c r="R4367">
        <f t="shared" si="135"/>
        <v>10.154619640541263</v>
      </c>
      <c r="U4367">
        <v>7709</v>
      </c>
      <c r="V4367">
        <v>6065</v>
      </c>
      <c r="W4367">
        <v>9353</v>
      </c>
      <c r="X4367">
        <v>4942</v>
      </c>
      <c r="Y4367">
        <v>60.9</v>
      </c>
      <c r="Z4367">
        <v>56.9</v>
      </c>
      <c r="AA4367">
        <v>65</v>
      </c>
    </row>
    <row r="4368" spans="1:27" x14ac:dyDescent="0.25">
      <c r="A4368" t="s">
        <v>268</v>
      </c>
      <c r="B4368" t="s">
        <v>166</v>
      </c>
      <c r="C4368" s="76">
        <v>43996</v>
      </c>
      <c r="D4368">
        <v>42723</v>
      </c>
      <c r="E4368">
        <v>35512</v>
      </c>
      <c r="F4368">
        <v>49935</v>
      </c>
      <c r="G4368">
        <v>27831</v>
      </c>
      <c r="H4368">
        <v>60.5</v>
      </c>
      <c r="I4368">
        <v>57.5</v>
      </c>
      <c r="J4368">
        <v>63.6</v>
      </c>
      <c r="K4368">
        <v>3102</v>
      </c>
      <c r="L4368">
        <v>2420</v>
      </c>
      <c r="M4368">
        <v>3784</v>
      </c>
      <c r="N4368">
        <v>4.4000000000000004</v>
      </c>
      <c r="O4368">
        <v>3.7</v>
      </c>
      <c r="P4368">
        <v>5</v>
      </c>
      <c r="Q4368">
        <f t="shared" si="134"/>
        <v>29730311</v>
      </c>
      <c r="R4368">
        <f t="shared" si="135"/>
        <v>10.433796000317654</v>
      </c>
      <c r="U4368">
        <v>7688</v>
      </c>
      <c r="V4368">
        <v>6025</v>
      </c>
      <c r="W4368">
        <v>9352</v>
      </c>
      <c r="X4368">
        <v>4911</v>
      </c>
      <c r="Y4368">
        <v>61</v>
      </c>
      <c r="Z4368">
        <v>57.1</v>
      </c>
      <c r="AA4368">
        <v>64.900000000000006</v>
      </c>
    </row>
    <row r="4369" spans="1:27" x14ac:dyDescent="0.25">
      <c r="A4369" t="s">
        <v>268</v>
      </c>
      <c r="B4369" t="s">
        <v>166</v>
      </c>
      <c r="C4369" s="76">
        <v>43997</v>
      </c>
      <c r="D4369">
        <v>43430</v>
      </c>
      <c r="E4369">
        <v>35686</v>
      </c>
      <c r="F4369">
        <v>51174</v>
      </c>
      <c r="G4369">
        <v>26537</v>
      </c>
      <c r="H4369">
        <v>62.1</v>
      </c>
      <c r="I4369">
        <v>58.9</v>
      </c>
      <c r="J4369">
        <v>65.3</v>
      </c>
      <c r="K4369">
        <v>3178</v>
      </c>
      <c r="L4369">
        <v>2441</v>
      </c>
      <c r="M4369">
        <v>3915</v>
      </c>
      <c r="N4369">
        <v>4.5</v>
      </c>
      <c r="O4369">
        <v>3.9</v>
      </c>
      <c r="P4369">
        <v>5.2</v>
      </c>
      <c r="Q4369">
        <f t="shared" si="134"/>
        <v>29730311</v>
      </c>
      <c r="R4369">
        <f t="shared" si="135"/>
        <v>10.689427365896039</v>
      </c>
      <c r="U4369">
        <v>7499</v>
      </c>
      <c r="V4369">
        <v>5809</v>
      </c>
      <c r="W4369">
        <v>9188</v>
      </c>
      <c r="X4369">
        <v>4430</v>
      </c>
      <c r="Y4369">
        <v>62.9</v>
      </c>
      <c r="Z4369">
        <v>58.5</v>
      </c>
      <c r="AA4369">
        <v>67.2</v>
      </c>
    </row>
    <row r="4370" spans="1:27" x14ac:dyDescent="0.25">
      <c r="A4370" t="s">
        <v>268</v>
      </c>
      <c r="B4370" t="s">
        <v>166</v>
      </c>
      <c r="C4370" s="76">
        <v>43998</v>
      </c>
      <c r="D4370">
        <v>46138</v>
      </c>
      <c r="E4370">
        <v>37204</v>
      </c>
      <c r="F4370">
        <v>55071</v>
      </c>
      <c r="G4370">
        <v>21488</v>
      </c>
      <c r="H4370">
        <v>68.2</v>
      </c>
      <c r="I4370">
        <v>64.5</v>
      </c>
      <c r="J4370">
        <v>71.900000000000006</v>
      </c>
      <c r="K4370">
        <v>2859</v>
      </c>
      <c r="L4370">
        <v>2171</v>
      </c>
      <c r="M4370">
        <v>3546</v>
      </c>
      <c r="N4370">
        <v>4.2</v>
      </c>
      <c r="O4370">
        <v>3.6</v>
      </c>
      <c r="P4370">
        <v>4.9000000000000004</v>
      </c>
      <c r="Q4370">
        <f t="shared" si="134"/>
        <v>29730311</v>
      </c>
      <c r="R4370">
        <f t="shared" si="135"/>
        <v>9.6164483445867752</v>
      </c>
      <c r="U4370">
        <v>7549</v>
      </c>
      <c r="V4370">
        <v>5697</v>
      </c>
      <c r="W4370">
        <v>9402</v>
      </c>
      <c r="X4370">
        <v>3271</v>
      </c>
      <c r="Y4370">
        <v>69.8</v>
      </c>
      <c r="Z4370">
        <v>65.599999999999994</v>
      </c>
      <c r="AA4370">
        <v>74</v>
      </c>
    </row>
    <row r="4371" spans="1:27" x14ac:dyDescent="0.25">
      <c r="A4371" t="s">
        <v>268</v>
      </c>
      <c r="B4371" t="s">
        <v>166</v>
      </c>
      <c r="C4371" s="76">
        <v>43999</v>
      </c>
      <c r="D4371">
        <v>45393</v>
      </c>
      <c r="E4371">
        <v>36027</v>
      </c>
      <c r="F4371">
        <v>54760</v>
      </c>
      <c r="G4371">
        <v>21171</v>
      </c>
      <c r="H4371">
        <v>68.2</v>
      </c>
      <c r="I4371">
        <v>65.099999999999994</v>
      </c>
      <c r="J4371">
        <v>71.3</v>
      </c>
      <c r="K4371">
        <v>2995</v>
      </c>
      <c r="L4371">
        <v>2285</v>
      </c>
      <c r="M4371">
        <v>3705</v>
      </c>
      <c r="N4371">
        <v>4.5</v>
      </c>
      <c r="O4371">
        <v>3.7</v>
      </c>
      <c r="P4371">
        <v>5.3</v>
      </c>
      <c r="Q4371">
        <f t="shared" si="134"/>
        <v>29730311</v>
      </c>
      <c r="R4371">
        <f t="shared" si="135"/>
        <v>10.073893946148091</v>
      </c>
      <c r="U4371">
        <v>7625</v>
      </c>
      <c r="V4371">
        <v>5530</v>
      </c>
      <c r="W4371">
        <v>9719</v>
      </c>
      <c r="X4371">
        <v>3229</v>
      </c>
      <c r="Y4371">
        <v>70.3</v>
      </c>
      <c r="Z4371">
        <v>64.900000000000006</v>
      </c>
      <c r="AA4371">
        <v>75.599999999999994</v>
      </c>
    </row>
    <row r="4372" spans="1:27" x14ac:dyDescent="0.25">
      <c r="A4372" t="s">
        <v>268</v>
      </c>
      <c r="B4372" t="s">
        <v>166</v>
      </c>
      <c r="C4372" s="76">
        <v>44000</v>
      </c>
      <c r="D4372">
        <v>46398</v>
      </c>
      <c r="E4372">
        <v>38699</v>
      </c>
      <c r="F4372">
        <v>54098</v>
      </c>
      <c r="G4372">
        <v>23838</v>
      </c>
      <c r="H4372">
        <v>66.099999999999994</v>
      </c>
      <c r="I4372">
        <v>63.4</v>
      </c>
      <c r="J4372">
        <v>68.7</v>
      </c>
      <c r="K4372">
        <v>3834</v>
      </c>
      <c r="L4372">
        <v>2990</v>
      </c>
      <c r="M4372">
        <v>4678</v>
      </c>
      <c r="N4372">
        <v>5.5</v>
      </c>
      <c r="O4372">
        <v>4.7</v>
      </c>
      <c r="P4372">
        <v>6.2</v>
      </c>
      <c r="Q4372">
        <f t="shared" si="134"/>
        <v>29730311</v>
      </c>
      <c r="R4372">
        <f t="shared" si="135"/>
        <v>12.895929679309443</v>
      </c>
      <c r="U4372">
        <v>7525</v>
      </c>
      <c r="V4372">
        <v>5904</v>
      </c>
      <c r="W4372">
        <v>9146</v>
      </c>
      <c r="X4372">
        <v>4340</v>
      </c>
      <c r="Y4372">
        <v>63.4</v>
      </c>
      <c r="Z4372">
        <v>58.6</v>
      </c>
      <c r="AA4372">
        <v>68.3</v>
      </c>
    </row>
    <row r="4373" spans="1:27" x14ac:dyDescent="0.25">
      <c r="A4373" t="s">
        <v>268</v>
      </c>
      <c r="B4373" t="s">
        <v>166</v>
      </c>
      <c r="C4373" s="76">
        <v>44001</v>
      </c>
      <c r="D4373">
        <v>45441</v>
      </c>
      <c r="E4373">
        <v>37832</v>
      </c>
      <c r="F4373">
        <v>53050</v>
      </c>
      <c r="G4373">
        <v>24503</v>
      </c>
      <c r="H4373">
        <v>65</v>
      </c>
      <c r="I4373">
        <v>62.3</v>
      </c>
      <c r="J4373">
        <v>67.7</v>
      </c>
      <c r="K4373">
        <v>4080</v>
      </c>
      <c r="L4373">
        <v>3201</v>
      </c>
      <c r="M4373">
        <v>4959</v>
      </c>
      <c r="N4373">
        <v>5.8</v>
      </c>
      <c r="O4373">
        <v>5</v>
      </c>
      <c r="P4373">
        <v>6.6</v>
      </c>
      <c r="Q4373">
        <f t="shared" si="134"/>
        <v>29730311</v>
      </c>
      <c r="R4373">
        <f t="shared" si="135"/>
        <v>13.72336804683947</v>
      </c>
      <c r="U4373">
        <v>7500</v>
      </c>
      <c r="V4373">
        <v>5904</v>
      </c>
      <c r="W4373">
        <v>9096</v>
      </c>
      <c r="X4373">
        <v>4254</v>
      </c>
      <c r="Y4373">
        <v>63.8</v>
      </c>
      <c r="Z4373">
        <v>59.1</v>
      </c>
      <c r="AA4373">
        <v>68.5</v>
      </c>
    </row>
    <row r="4374" spans="1:27" x14ac:dyDescent="0.25">
      <c r="A4374" t="s">
        <v>268</v>
      </c>
      <c r="B4374" t="s">
        <v>166</v>
      </c>
      <c r="C4374" s="76">
        <v>44002</v>
      </c>
      <c r="D4374">
        <v>43412</v>
      </c>
      <c r="E4374">
        <v>35771</v>
      </c>
      <c r="F4374">
        <v>51052</v>
      </c>
      <c r="G4374">
        <v>26162</v>
      </c>
      <c r="H4374">
        <v>62.4</v>
      </c>
      <c r="I4374">
        <v>59.5</v>
      </c>
      <c r="J4374">
        <v>65.3</v>
      </c>
      <c r="K4374">
        <v>4040</v>
      </c>
      <c r="L4374">
        <v>3133</v>
      </c>
      <c r="M4374">
        <v>4946</v>
      </c>
      <c r="N4374">
        <v>5.8</v>
      </c>
      <c r="O4374">
        <v>5</v>
      </c>
      <c r="P4374">
        <v>6.6</v>
      </c>
      <c r="Q4374">
        <f t="shared" si="134"/>
        <v>29730311</v>
      </c>
      <c r="R4374">
        <f t="shared" si="135"/>
        <v>13.588825222850847</v>
      </c>
      <c r="U4374">
        <v>7657</v>
      </c>
      <c r="V4374">
        <v>5973</v>
      </c>
      <c r="W4374">
        <v>9340</v>
      </c>
      <c r="X4374">
        <v>4515</v>
      </c>
      <c r="Y4374">
        <v>62.9</v>
      </c>
      <c r="Z4374">
        <v>58.3</v>
      </c>
      <c r="AA4374">
        <v>67.5</v>
      </c>
    </row>
    <row r="4375" spans="1:27" x14ac:dyDescent="0.25">
      <c r="A4375" t="s">
        <v>268</v>
      </c>
      <c r="B4375" t="s">
        <v>166</v>
      </c>
      <c r="C4375" s="76">
        <v>44003</v>
      </c>
      <c r="D4375">
        <v>42544</v>
      </c>
      <c r="E4375">
        <v>35420</v>
      </c>
      <c r="F4375">
        <v>49669</v>
      </c>
      <c r="G4375">
        <v>27998</v>
      </c>
      <c r="H4375">
        <v>60.3</v>
      </c>
      <c r="I4375">
        <v>57.6</v>
      </c>
      <c r="J4375">
        <v>63.1</v>
      </c>
      <c r="K4375">
        <v>4521</v>
      </c>
      <c r="L4375">
        <v>3582</v>
      </c>
      <c r="M4375">
        <v>5461</v>
      </c>
      <c r="N4375">
        <v>6.4</v>
      </c>
      <c r="O4375">
        <v>5.6</v>
      </c>
      <c r="P4375">
        <v>7.3</v>
      </c>
      <c r="Q4375">
        <f t="shared" si="134"/>
        <v>29730311</v>
      </c>
      <c r="R4375">
        <f t="shared" si="135"/>
        <v>15.206702681314031</v>
      </c>
      <c r="U4375">
        <v>7383</v>
      </c>
      <c r="V4375">
        <v>5827</v>
      </c>
      <c r="W4375">
        <v>8939</v>
      </c>
      <c r="X4375">
        <v>4482</v>
      </c>
      <c r="Y4375">
        <v>62.2</v>
      </c>
      <c r="Z4375">
        <v>57.5</v>
      </c>
      <c r="AA4375">
        <v>67</v>
      </c>
    </row>
    <row r="4376" spans="1:27" x14ac:dyDescent="0.25">
      <c r="A4376" t="s">
        <v>268</v>
      </c>
      <c r="B4376" t="s">
        <v>166</v>
      </c>
      <c r="C4376" s="76">
        <v>44004</v>
      </c>
      <c r="D4376">
        <v>43638</v>
      </c>
      <c r="E4376">
        <v>36311</v>
      </c>
      <c r="F4376">
        <v>50965</v>
      </c>
      <c r="G4376">
        <v>26712</v>
      </c>
      <c r="H4376">
        <v>62</v>
      </c>
      <c r="I4376">
        <v>59.5</v>
      </c>
      <c r="J4376">
        <v>64.599999999999994</v>
      </c>
      <c r="K4376">
        <v>4831</v>
      </c>
      <c r="L4376">
        <v>3828</v>
      </c>
      <c r="M4376">
        <v>5833</v>
      </c>
      <c r="N4376">
        <v>6.9</v>
      </c>
      <c r="O4376">
        <v>6</v>
      </c>
      <c r="P4376">
        <v>7.8</v>
      </c>
      <c r="Q4376">
        <f t="shared" si="134"/>
        <v>29730311</v>
      </c>
      <c r="R4376">
        <f t="shared" si="135"/>
        <v>16.249409567225854</v>
      </c>
      <c r="U4376">
        <v>7409</v>
      </c>
      <c r="V4376">
        <v>5823</v>
      </c>
      <c r="W4376">
        <v>8994</v>
      </c>
      <c r="X4376">
        <v>4399</v>
      </c>
      <c r="Y4376">
        <v>62.7</v>
      </c>
      <c r="Z4376">
        <v>58.3</v>
      </c>
      <c r="AA4376">
        <v>67.2</v>
      </c>
    </row>
    <row r="4377" spans="1:27" x14ac:dyDescent="0.25">
      <c r="A4377" t="s">
        <v>268</v>
      </c>
      <c r="B4377" t="s">
        <v>166</v>
      </c>
      <c r="C4377" s="76">
        <v>44005</v>
      </c>
      <c r="D4377">
        <v>47336</v>
      </c>
      <c r="E4377">
        <v>38509</v>
      </c>
      <c r="F4377">
        <v>56163</v>
      </c>
      <c r="G4377">
        <v>22114</v>
      </c>
      <c r="H4377">
        <v>68.2</v>
      </c>
      <c r="I4377">
        <v>64.599999999999994</v>
      </c>
      <c r="J4377">
        <v>71.7</v>
      </c>
      <c r="K4377">
        <v>4920</v>
      </c>
      <c r="L4377">
        <v>3834</v>
      </c>
      <c r="M4377">
        <v>6006</v>
      </c>
      <c r="N4377">
        <v>7.1</v>
      </c>
      <c r="O4377">
        <v>6.1</v>
      </c>
      <c r="P4377">
        <v>8.1</v>
      </c>
      <c r="Q4377">
        <f t="shared" si="134"/>
        <v>29730311</v>
      </c>
      <c r="R4377">
        <f t="shared" si="135"/>
        <v>16.548767350600535</v>
      </c>
      <c r="U4377">
        <v>7792</v>
      </c>
      <c r="V4377">
        <v>5966</v>
      </c>
      <c r="W4377">
        <v>9619</v>
      </c>
      <c r="X4377">
        <v>3211</v>
      </c>
      <c r="Y4377">
        <v>70.8</v>
      </c>
      <c r="Z4377">
        <v>66.900000000000006</v>
      </c>
      <c r="AA4377">
        <v>74.8</v>
      </c>
    </row>
    <row r="4378" spans="1:27" x14ac:dyDescent="0.25">
      <c r="A4378" t="s">
        <v>268</v>
      </c>
      <c r="B4378" t="s">
        <v>166</v>
      </c>
      <c r="C4378" s="76">
        <v>44006</v>
      </c>
      <c r="D4378">
        <v>45344</v>
      </c>
      <c r="E4378">
        <v>36537</v>
      </c>
      <c r="F4378">
        <v>54151</v>
      </c>
      <c r="G4378">
        <v>21049</v>
      </c>
      <c r="H4378">
        <v>68.3</v>
      </c>
      <c r="I4378">
        <v>65.5</v>
      </c>
      <c r="J4378">
        <v>71.099999999999994</v>
      </c>
      <c r="K4378">
        <v>4860</v>
      </c>
      <c r="L4378">
        <v>3745</v>
      </c>
      <c r="M4378">
        <v>5974</v>
      </c>
      <c r="N4378">
        <v>7.3</v>
      </c>
      <c r="O4378">
        <v>6.3</v>
      </c>
      <c r="P4378">
        <v>8.4</v>
      </c>
      <c r="Q4378">
        <f t="shared" si="134"/>
        <v>29730311</v>
      </c>
      <c r="R4378">
        <f t="shared" si="135"/>
        <v>16.346953114617605</v>
      </c>
      <c r="U4378">
        <v>7564</v>
      </c>
      <c r="V4378">
        <v>5549</v>
      </c>
      <c r="W4378">
        <v>9579</v>
      </c>
      <c r="X4378">
        <v>3024</v>
      </c>
      <c r="Y4378">
        <v>71.400000000000006</v>
      </c>
      <c r="Z4378">
        <v>67.2</v>
      </c>
      <c r="AA4378">
        <v>75.7</v>
      </c>
    </row>
    <row r="4379" spans="1:27" x14ac:dyDescent="0.25">
      <c r="A4379" t="s">
        <v>268</v>
      </c>
      <c r="B4379" t="s">
        <v>166</v>
      </c>
      <c r="C4379" s="76">
        <v>44007</v>
      </c>
      <c r="D4379">
        <v>48280</v>
      </c>
      <c r="E4379">
        <v>39892</v>
      </c>
      <c r="F4379">
        <v>56668</v>
      </c>
      <c r="G4379">
        <v>23891</v>
      </c>
      <c r="H4379">
        <v>66.900000000000006</v>
      </c>
      <c r="I4379">
        <v>64.3</v>
      </c>
      <c r="J4379">
        <v>69.5</v>
      </c>
      <c r="K4379">
        <v>5976</v>
      </c>
      <c r="L4379">
        <v>4779</v>
      </c>
      <c r="M4379">
        <v>7173</v>
      </c>
      <c r="N4379">
        <v>8.3000000000000007</v>
      </c>
      <c r="O4379">
        <v>7.3</v>
      </c>
      <c r="P4379">
        <v>9.3000000000000007</v>
      </c>
      <c r="Q4379">
        <f t="shared" si="134"/>
        <v>29730311</v>
      </c>
      <c r="R4379">
        <f t="shared" si="135"/>
        <v>20.100697903900162</v>
      </c>
      <c r="U4379">
        <v>7922</v>
      </c>
      <c r="V4379">
        <v>6176</v>
      </c>
      <c r="W4379">
        <v>9668</v>
      </c>
      <c r="X4379">
        <v>3932</v>
      </c>
      <c r="Y4379">
        <v>66.8</v>
      </c>
      <c r="Z4379">
        <v>62.1</v>
      </c>
      <c r="AA4379">
        <v>71.599999999999994</v>
      </c>
    </row>
    <row r="4380" spans="1:27" x14ac:dyDescent="0.25">
      <c r="A4380" t="s">
        <v>268</v>
      </c>
      <c r="B4380" t="s">
        <v>166</v>
      </c>
      <c r="C4380" s="76">
        <v>44008</v>
      </c>
      <c r="D4380">
        <v>47287</v>
      </c>
      <c r="E4380">
        <v>39104</v>
      </c>
      <c r="F4380">
        <v>55470</v>
      </c>
      <c r="G4380">
        <v>25276</v>
      </c>
      <c r="H4380">
        <v>65.2</v>
      </c>
      <c r="I4380">
        <v>62.3</v>
      </c>
      <c r="J4380">
        <v>68</v>
      </c>
      <c r="K4380">
        <v>6286</v>
      </c>
      <c r="L4380">
        <v>5054</v>
      </c>
      <c r="M4380">
        <v>7517</v>
      </c>
      <c r="N4380">
        <v>8.6999999999999993</v>
      </c>
      <c r="O4380">
        <v>7.6</v>
      </c>
      <c r="P4380">
        <v>9.6999999999999993</v>
      </c>
      <c r="Q4380">
        <f t="shared" si="134"/>
        <v>29730311</v>
      </c>
      <c r="R4380">
        <f t="shared" si="135"/>
        <v>21.143404789811985</v>
      </c>
      <c r="U4380">
        <v>7502</v>
      </c>
      <c r="V4380">
        <v>5779</v>
      </c>
      <c r="W4380">
        <v>9225</v>
      </c>
      <c r="X4380">
        <v>4545</v>
      </c>
      <c r="Y4380">
        <v>62.3</v>
      </c>
      <c r="Z4380">
        <v>56</v>
      </c>
      <c r="AA4380">
        <v>68.5</v>
      </c>
    </row>
    <row r="4381" spans="1:27" x14ac:dyDescent="0.25">
      <c r="A4381" t="s">
        <v>268</v>
      </c>
      <c r="B4381" t="s">
        <v>166</v>
      </c>
      <c r="C4381" s="76">
        <v>44009</v>
      </c>
      <c r="D4381">
        <v>44213</v>
      </c>
      <c r="E4381">
        <v>36846</v>
      </c>
      <c r="F4381">
        <v>51579</v>
      </c>
      <c r="G4381">
        <v>27441</v>
      </c>
      <c r="H4381">
        <v>61.7</v>
      </c>
      <c r="I4381">
        <v>59</v>
      </c>
      <c r="J4381">
        <v>64.400000000000006</v>
      </c>
      <c r="K4381">
        <v>6374</v>
      </c>
      <c r="L4381">
        <v>5144</v>
      </c>
      <c r="M4381">
        <v>7604</v>
      </c>
      <c r="N4381">
        <v>8.9</v>
      </c>
      <c r="O4381">
        <v>7.8</v>
      </c>
      <c r="P4381">
        <v>10</v>
      </c>
      <c r="Q4381">
        <f t="shared" si="134"/>
        <v>29730311</v>
      </c>
      <c r="R4381">
        <f t="shared" si="135"/>
        <v>21.439399002586956</v>
      </c>
      <c r="U4381">
        <v>7691</v>
      </c>
      <c r="V4381">
        <v>6060</v>
      </c>
      <c r="W4381">
        <v>9322</v>
      </c>
      <c r="X4381">
        <v>4482</v>
      </c>
      <c r="Y4381">
        <v>63.2</v>
      </c>
      <c r="Z4381">
        <v>57.9</v>
      </c>
      <c r="AA4381">
        <v>68.400000000000006</v>
      </c>
    </row>
    <row r="4382" spans="1:27" x14ac:dyDescent="0.25">
      <c r="A4382" t="s">
        <v>268</v>
      </c>
      <c r="B4382" t="s">
        <v>166</v>
      </c>
      <c r="C4382" s="76">
        <v>44010</v>
      </c>
      <c r="D4382">
        <v>43151</v>
      </c>
      <c r="E4382">
        <v>36015</v>
      </c>
      <c r="F4382">
        <v>50287</v>
      </c>
      <c r="G4382">
        <v>28050</v>
      </c>
      <c r="H4382">
        <v>60.6</v>
      </c>
      <c r="I4382">
        <v>58</v>
      </c>
      <c r="J4382">
        <v>63.3</v>
      </c>
      <c r="K4382">
        <v>6783</v>
      </c>
      <c r="L4382">
        <v>5469</v>
      </c>
      <c r="M4382">
        <v>8098</v>
      </c>
      <c r="N4382">
        <v>9.5</v>
      </c>
      <c r="O4382">
        <v>8.4</v>
      </c>
      <c r="P4382">
        <v>10.7</v>
      </c>
      <c r="Q4382">
        <f t="shared" si="134"/>
        <v>29730311</v>
      </c>
      <c r="R4382">
        <f t="shared" si="135"/>
        <v>22.815099377870617</v>
      </c>
      <c r="U4382">
        <v>7868</v>
      </c>
      <c r="V4382">
        <v>6220</v>
      </c>
      <c r="W4382">
        <v>9515</v>
      </c>
      <c r="X4382">
        <v>4160</v>
      </c>
      <c r="Y4382">
        <v>65.400000000000006</v>
      </c>
      <c r="Z4382">
        <v>60.7</v>
      </c>
      <c r="AA4382">
        <v>70.099999999999994</v>
      </c>
    </row>
    <row r="4383" spans="1:27" x14ac:dyDescent="0.25">
      <c r="A4383" t="s">
        <v>268</v>
      </c>
      <c r="B4383" t="s">
        <v>166</v>
      </c>
      <c r="C4383" s="76">
        <v>44011</v>
      </c>
      <c r="D4383">
        <v>43776</v>
      </c>
      <c r="E4383">
        <v>36471</v>
      </c>
      <c r="F4383">
        <v>51081</v>
      </c>
      <c r="G4383">
        <v>26521</v>
      </c>
      <c r="H4383">
        <v>62.3</v>
      </c>
      <c r="I4383">
        <v>59.5</v>
      </c>
      <c r="J4383">
        <v>65</v>
      </c>
      <c r="K4383">
        <v>7184</v>
      </c>
      <c r="L4383">
        <v>5783</v>
      </c>
      <c r="M4383">
        <v>8585</v>
      </c>
      <c r="N4383">
        <v>10.199999999999999</v>
      </c>
      <c r="O4383">
        <v>9</v>
      </c>
      <c r="P4383">
        <v>11.4</v>
      </c>
      <c r="Q4383">
        <f t="shared" si="134"/>
        <v>29730311</v>
      </c>
      <c r="R4383">
        <f t="shared" si="135"/>
        <v>24.163891188356555</v>
      </c>
      <c r="U4383">
        <v>7817</v>
      </c>
      <c r="V4383">
        <v>6165</v>
      </c>
      <c r="W4383">
        <v>9468</v>
      </c>
      <c r="X4383">
        <v>4032</v>
      </c>
      <c r="Y4383">
        <v>66</v>
      </c>
      <c r="Z4383">
        <v>61.4</v>
      </c>
      <c r="AA4383">
        <v>70.599999999999994</v>
      </c>
    </row>
    <row r="4384" spans="1:27" x14ac:dyDescent="0.25">
      <c r="A4384" t="s">
        <v>268</v>
      </c>
      <c r="B4384" t="s">
        <v>166</v>
      </c>
      <c r="C4384" s="76">
        <v>44012</v>
      </c>
      <c r="D4384">
        <v>46114</v>
      </c>
      <c r="E4384">
        <v>38419</v>
      </c>
      <c r="F4384">
        <v>53809</v>
      </c>
      <c r="G4384">
        <v>24790</v>
      </c>
      <c r="H4384">
        <v>65</v>
      </c>
      <c r="I4384">
        <v>62.3</v>
      </c>
      <c r="J4384">
        <v>67.8</v>
      </c>
      <c r="K4384">
        <v>7949</v>
      </c>
      <c r="L4384">
        <v>6397</v>
      </c>
      <c r="M4384">
        <v>9501</v>
      </c>
      <c r="N4384">
        <v>11.2</v>
      </c>
      <c r="O4384">
        <v>9.9</v>
      </c>
      <c r="P4384">
        <v>12.5</v>
      </c>
      <c r="Q4384">
        <f t="shared" si="134"/>
        <v>29730311</v>
      </c>
      <c r="R4384">
        <f t="shared" si="135"/>
        <v>26.737022697138954</v>
      </c>
      <c r="U4384">
        <v>7937</v>
      </c>
      <c r="V4384">
        <v>6193</v>
      </c>
      <c r="W4384">
        <v>9681</v>
      </c>
      <c r="X4384">
        <v>3876</v>
      </c>
      <c r="Y4384">
        <v>67.2</v>
      </c>
      <c r="Z4384">
        <v>62.3</v>
      </c>
      <c r="AA4384">
        <v>72.099999999999994</v>
      </c>
    </row>
    <row r="4385" spans="1:27" x14ac:dyDescent="0.25">
      <c r="A4385" t="s">
        <v>268</v>
      </c>
      <c r="B4385" t="s">
        <v>166</v>
      </c>
      <c r="C4385" s="76">
        <v>44013</v>
      </c>
      <c r="D4385">
        <v>48239</v>
      </c>
      <c r="E4385">
        <v>39778</v>
      </c>
      <c r="F4385">
        <v>56700</v>
      </c>
      <c r="G4385">
        <v>21489</v>
      </c>
      <c r="H4385">
        <v>69.2</v>
      </c>
      <c r="I4385">
        <v>66.5</v>
      </c>
      <c r="J4385">
        <v>71.900000000000006</v>
      </c>
      <c r="K4385">
        <v>8823</v>
      </c>
      <c r="L4385">
        <v>7019</v>
      </c>
      <c r="M4385">
        <v>10627</v>
      </c>
      <c r="N4385">
        <v>12.7</v>
      </c>
      <c r="O4385">
        <v>11.1</v>
      </c>
      <c r="P4385">
        <v>14.2</v>
      </c>
      <c r="Q4385">
        <f t="shared" si="134"/>
        <v>29730311</v>
      </c>
      <c r="R4385">
        <f t="shared" si="135"/>
        <v>29.676783401290354</v>
      </c>
      <c r="U4385">
        <v>7975</v>
      </c>
      <c r="V4385">
        <v>6153</v>
      </c>
      <c r="W4385">
        <v>9796</v>
      </c>
      <c r="X4385">
        <v>3345</v>
      </c>
      <c r="Y4385">
        <v>70.5</v>
      </c>
      <c r="Z4385">
        <v>65.8</v>
      </c>
      <c r="AA4385">
        <v>75.099999999999994</v>
      </c>
    </row>
    <row r="4386" spans="1:27" x14ac:dyDescent="0.25">
      <c r="A4386" t="s">
        <v>268</v>
      </c>
      <c r="B4386" t="s">
        <v>166</v>
      </c>
      <c r="C4386" s="76">
        <v>44014</v>
      </c>
      <c r="D4386">
        <v>48007</v>
      </c>
      <c r="E4386">
        <v>39517</v>
      </c>
      <c r="F4386">
        <v>56498</v>
      </c>
      <c r="G4386">
        <v>21132</v>
      </c>
      <c r="H4386">
        <v>69.400000000000006</v>
      </c>
      <c r="I4386">
        <v>66.7</v>
      </c>
      <c r="J4386">
        <v>72.2</v>
      </c>
      <c r="K4386">
        <v>9216</v>
      </c>
      <c r="L4386">
        <v>7341</v>
      </c>
      <c r="M4386">
        <v>11092</v>
      </c>
      <c r="N4386">
        <v>13.3</v>
      </c>
      <c r="O4386">
        <v>11.7</v>
      </c>
      <c r="P4386">
        <v>15</v>
      </c>
      <c r="Q4386">
        <f t="shared" si="134"/>
        <v>29730311</v>
      </c>
      <c r="R4386">
        <f t="shared" si="135"/>
        <v>30.998666646978567</v>
      </c>
      <c r="U4386">
        <v>7931</v>
      </c>
      <c r="V4386">
        <v>6075</v>
      </c>
      <c r="W4386">
        <v>9786</v>
      </c>
      <c r="X4386">
        <v>3191</v>
      </c>
      <c r="Y4386">
        <v>71.3</v>
      </c>
      <c r="Z4386">
        <v>65.900000000000006</v>
      </c>
      <c r="AA4386">
        <v>76.7</v>
      </c>
    </row>
    <row r="4387" spans="1:27" x14ac:dyDescent="0.25">
      <c r="A4387" t="s">
        <v>268</v>
      </c>
      <c r="B4387" t="s">
        <v>166</v>
      </c>
      <c r="C4387" s="76">
        <v>44015</v>
      </c>
      <c r="D4387">
        <v>46350</v>
      </c>
      <c r="E4387">
        <v>38669</v>
      </c>
      <c r="F4387">
        <v>54030</v>
      </c>
      <c r="G4387">
        <v>25025</v>
      </c>
      <c r="H4387">
        <v>64.900000000000006</v>
      </c>
      <c r="I4387">
        <v>62.1</v>
      </c>
      <c r="J4387">
        <v>67.8</v>
      </c>
      <c r="K4387">
        <v>9187</v>
      </c>
      <c r="L4387">
        <v>7435</v>
      </c>
      <c r="M4387">
        <v>10939</v>
      </c>
      <c r="N4387">
        <v>12.9</v>
      </c>
      <c r="O4387">
        <v>11.4</v>
      </c>
      <c r="P4387">
        <v>14.3</v>
      </c>
      <c r="Q4387">
        <f t="shared" si="134"/>
        <v>29730311</v>
      </c>
      <c r="R4387">
        <f t="shared" si="135"/>
        <v>30.901123099586815</v>
      </c>
      <c r="U4387">
        <v>8231</v>
      </c>
      <c r="V4387">
        <v>6524</v>
      </c>
      <c r="W4387">
        <v>9939</v>
      </c>
      <c r="X4387">
        <v>3942</v>
      </c>
      <c r="Y4387">
        <v>67.599999999999994</v>
      </c>
      <c r="Z4387">
        <v>62.9</v>
      </c>
      <c r="AA4387">
        <v>72.3</v>
      </c>
    </row>
    <row r="4388" spans="1:27" x14ac:dyDescent="0.25">
      <c r="A4388" t="s">
        <v>268</v>
      </c>
      <c r="B4388" t="s">
        <v>166</v>
      </c>
      <c r="C4388" s="76">
        <v>44016</v>
      </c>
      <c r="D4388">
        <v>44781</v>
      </c>
      <c r="E4388">
        <v>37269</v>
      </c>
      <c r="F4388">
        <v>52292</v>
      </c>
      <c r="G4388">
        <v>26477</v>
      </c>
      <c r="H4388">
        <v>62.8</v>
      </c>
      <c r="I4388">
        <v>59.5</v>
      </c>
      <c r="J4388">
        <v>66.2</v>
      </c>
      <c r="K4388">
        <v>9496</v>
      </c>
      <c r="L4388">
        <v>7677</v>
      </c>
      <c r="M4388">
        <v>11316</v>
      </c>
      <c r="N4388">
        <v>13.3</v>
      </c>
      <c r="O4388">
        <v>11.8</v>
      </c>
      <c r="P4388">
        <v>14.9</v>
      </c>
      <c r="Q4388">
        <f t="shared" si="134"/>
        <v>29730311</v>
      </c>
      <c r="R4388">
        <f t="shared" si="135"/>
        <v>31.940466414898925</v>
      </c>
      <c r="U4388">
        <v>7767</v>
      </c>
      <c r="V4388">
        <v>6163</v>
      </c>
      <c r="W4388">
        <v>9370</v>
      </c>
      <c r="X4388">
        <v>4382</v>
      </c>
      <c r="Y4388">
        <v>63.9</v>
      </c>
      <c r="Z4388">
        <v>58.2</v>
      </c>
      <c r="AA4388">
        <v>69.599999999999994</v>
      </c>
    </row>
    <row r="4389" spans="1:27" x14ac:dyDescent="0.25">
      <c r="A4389" t="s">
        <v>268</v>
      </c>
      <c r="B4389" t="s">
        <v>166</v>
      </c>
      <c r="C4389" s="76">
        <v>44017</v>
      </c>
      <c r="D4389">
        <v>44409</v>
      </c>
      <c r="E4389">
        <v>36948</v>
      </c>
      <c r="F4389">
        <v>51870</v>
      </c>
      <c r="G4389">
        <v>26722</v>
      </c>
      <c r="H4389">
        <v>62.4</v>
      </c>
      <c r="I4389">
        <v>59.2</v>
      </c>
      <c r="J4389">
        <v>65.7</v>
      </c>
      <c r="K4389">
        <v>9971</v>
      </c>
      <c r="L4389">
        <v>8064</v>
      </c>
      <c r="M4389">
        <v>11878</v>
      </c>
      <c r="N4389">
        <v>14</v>
      </c>
      <c r="O4389">
        <v>12.4</v>
      </c>
      <c r="P4389">
        <v>15.7</v>
      </c>
      <c r="Q4389">
        <f t="shared" si="134"/>
        <v>29730311</v>
      </c>
      <c r="R4389">
        <f t="shared" si="135"/>
        <v>33.53816244976381</v>
      </c>
      <c r="U4389">
        <v>7689</v>
      </c>
      <c r="V4389">
        <v>6097</v>
      </c>
      <c r="W4389">
        <v>9281</v>
      </c>
      <c r="X4389">
        <v>4411</v>
      </c>
      <c r="Y4389">
        <v>63.5</v>
      </c>
      <c r="Z4389">
        <v>58.2</v>
      </c>
      <c r="AA4389">
        <v>68.900000000000006</v>
      </c>
    </row>
    <row r="4390" spans="1:27" x14ac:dyDescent="0.25">
      <c r="A4390" t="s">
        <v>268</v>
      </c>
      <c r="B4390" t="s">
        <v>166</v>
      </c>
      <c r="C4390" s="76">
        <v>44018</v>
      </c>
      <c r="D4390">
        <v>46037</v>
      </c>
      <c r="E4390">
        <v>38351</v>
      </c>
      <c r="F4390">
        <v>53724</v>
      </c>
      <c r="G4390">
        <v>25296</v>
      </c>
      <c r="H4390">
        <v>64.5</v>
      </c>
      <c r="I4390">
        <v>61.2</v>
      </c>
      <c r="J4390">
        <v>67.8</v>
      </c>
      <c r="K4390">
        <v>10475</v>
      </c>
      <c r="L4390">
        <v>8472</v>
      </c>
      <c r="M4390">
        <v>12479</v>
      </c>
      <c r="N4390">
        <v>14.7</v>
      </c>
      <c r="O4390">
        <v>13</v>
      </c>
      <c r="P4390">
        <v>16.399999999999999</v>
      </c>
      <c r="Q4390">
        <f t="shared" si="134"/>
        <v>29730311</v>
      </c>
      <c r="R4390">
        <f t="shared" si="135"/>
        <v>35.23340203202045</v>
      </c>
      <c r="U4390">
        <v>8017</v>
      </c>
      <c r="V4390">
        <v>6373</v>
      </c>
      <c r="W4390">
        <v>9661</v>
      </c>
      <c r="X4390">
        <v>4132</v>
      </c>
      <c r="Y4390">
        <v>66</v>
      </c>
      <c r="Z4390">
        <v>60.3</v>
      </c>
      <c r="AA4390">
        <v>71.7</v>
      </c>
    </row>
    <row r="4391" spans="1:27" x14ac:dyDescent="0.25">
      <c r="A4391" t="s">
        <v>268</v>
      </c>
      <c r="B4391" t="s">
        <v>166</v>
      </c>
      <c r="C4391" s="76">
        <v>44019</v>
      </c>
      <c r="D4391">
        <v>49088</v>
      </c>
      <c r="E4391">
        <v>40973</v>
      </c>
      <c r="F4391">
        <v>57203</v>
      </c>
      <c r="G4391">
        <v>22164</v>
      </c>
      <c r="H4391">
        <v>68.900000000000006</v>
      </c>
      <c r="I4391">
        <v>65.7</v>
      </c>
      <c r="J4391">
        <v>72.099999999999994</v>
      </c>
      <c r="K4391">
        <v>11043</v>
      </c>
      <c r="L4391">
        <v>8951</v>
      </c>
      <c r="M4391">
        <v>13134</v>
      </c>
      <c r="N4391">
        <v>15.5</v>
      </c>
      <c r="O4391">
        <v>13.7</v>
      </c>
      <c r="P4391">
        <v>17.3</v>
      </c>
      <c r="Q4391">
        <f t="shared" ref="Q4391:Q4454" si="136">VLOOKUP(B4391,$AE$4:$AF$55,2,FALSE)</f>
        <v>29730311</v>
      </c>
      <c r="R4391">
        <f t="shared" si="135"/>
        <v>37.143910132658888</v>
      </c>
      <c r="U4391">
        <v>8550</v>
      </c>
      <c r="V4391">
        <v>6806</v>
      </c>
      <c r="W4391">
        <v>10294</v>
      </c>
      <c r="X4391">
        <v>3613</v>
      </c>
      <c r="Y4391">
        <v>70.3</v>
      </c>
      <c r="Z4391">
        <v>65.900000000000006</v>
      </c>
      <c r="AA4391">
        <v>74.7</v>
      </c>
    </row>
    <row r="4392" spans="1:27" x14ac:dyDescent="0.25">
      <c r="A4392" t="s">
        <v>269</v>
      </c>
      <c r="B4392" t="s">
        <v>201</v>
      </c>
      <c r="C4392" s="76">
        <v>43922</v>
      </c>
      <c r="D4392">
        <v>2179</v>
      </c>
      <c r="E4392">
        <v>0</v>
      </c>
      <c r="F4392">
        <v>5381</v>
      </c>
      <c r="G4392">
        <v>1455</v>
      </c>
      <c r="H4392">
        <v>60</v>
      </c>
      <c r="I4392">
        <v>34.299999999999997</v>
      </c>
      <c r="J4392">
        <v>85.6</v>
      </c>
      <c r="K4392">
        <v>114</v>
      </c>
      <c r="L4392">
        <v>0</v>
      </c>
      <c r="M4392">
        <v>280</v>
      </c>
      <c r="N4392">
        <v>3.1</v>
      </c>
      <c r="O4392">
        <v>2</v>
      </c>
      <c r="P4392">
        <v>4.3</v>
      </c>
      <c r="Q4392">
        <f t="shared" si="136"/>
        <v>3310774</v>
      </c>
      <c r="R4392">
        <f t="shared" si="135"/>
        <v>3.44330359003665</v>
      </c>
      <c r="U4392">
        <v>376</v>
      </c>
      <c r="V4392">
        <v>0</v>
      </c>
      <c r="W4392">
        <v>904</v>
      </c>
      <c r="X4392">
        <v>215</v>
      </c>
      <c r="Y4392">
        <v>63.6</v>
      </c>
      <c r="Z4392">
        <v>46.6</v>
      </c>
      <c r="AA4392">
        <v>80.7</v>
      </c>
    </row>
    <row r="4393" spans="1:27" x14ac:dyDescent="0.25">
      <c r="A4393" t="s">
        <v>269</v>
      </c>
      <c r="B4393" t="s">
        <v>201</v>
      </c>
      <c r="C4393" s="76">
        <v>43923</v>
      </c>
      <c r="D4393">
        <v>2551</v>
      </c>
      <c r="E4393">
        <v>951</v>
      </c>
      <c r="F4393">
        <v>4151</v>
      </c>
      <c r="G4393">
        <v>2679</v>
      </c>
      <c r="H4393">
        <v>48.8</v>
      </c>
      <c r="I4393">
        <v>37.799999999999997</v>
      </c>
      <c r="J4393">
        <v>59.8</v>
      </c>
      <c r="K4393">
        <v>212</v>
      </c>
      <c r="L4393">
        <v>83</v>
      </c>
      <c r="M4393">
        <v>341</v>
      </c>
      <c r="N4393">
        <v>4.0999999999999996</v>
      </c>
      <c r="O4393">
        <v>3</v>
      </c>
      <c r="P4393">
        <v>5.0999999999999996</v>
      </c>
      <c r="Q4393">
        <f t="shared" si="136"/>
        <v>3310774</v>
      </c>
      <c r="R4393">
        <f t="shared" si="135"/>
        <v>6.4033365007699103</v>
      </c>
      <c r="U4393">
        <v>310</v>
      </c>
      <c r="V4393">
        <v>76</v>
      </c>
      <c r="W4393">
        <v>544</v>
      </c>
      <c r="X4393">
        <v>388</v>
      </c>
      <c r="Y4393">
        <v>44.5</v>
      </c>
      <c r="Z4393">
        <v>36.299999999999997</v>
      </c>
      <c r="AA4393">
        <v>52.6</v>
      </c>
    </row>
    <row r="4394" spans="1:27" x14ac:dyDescent="0.25">
      <c r="A4394" t="s">
        <v>269</v>
      </c>
      <c r="B4394" t="s">
        <v>201</v>
      </c>
      <c r="C4394" s="76">
        <v>43924</v>
      </c>
      <c r="D4394">
        <v>2620</v>
      </c>
      <c r="E4394">
        <v>912</v>
      </c>
      <c r="F4394">
        <v>4329</v>
      </c>
      <c r="G4394">
        <v>2563</v>
      </c>
      <c r="H4394">
        <v>50.6</v>
      </c>
      <c r="I4394">
        <v>38.700000000000003</v>
      </c>
      <c r="J4394">
        <v>62.4</v>
      </c>
      <c r="K4394">
        <v>233</v>
      </c>
      <c r="L4394">
        <v>94</v>
      </c>
      <c r="M4394">
        <v>372</v>
      </c>
      <c r="N4394">
        <v>4.5</v>
      </c>
      <c r="O4394">
        <v>3.2</v>
      </c>
      <c r="P4394">
        <v>5.7</v>
      </c>
      <c r="Q4394">
        <f t="shared" si="136"/>
        <v>3310774</v>
      </c>
      <c r="R4394">
        <f t="shared" si="135"/>
        <v>7.0376292673556087</v>
      </c>
      <c r="U4394">
        <v>326</v>
      </c>
      <c r="V4394">
        <v>80</v>
      </c>
      <c r="W4394">
        <v>572</v>
      </c>
      <c r="X4394">
        <v>372</v>
      </c>
      <c r="Y4394">
        <v>46.7</v>
      </c>
      <c r="Z4394">
        <v>39.4</v>
      </c>
      <c r="AA4394">
        <v>54.1</v>
      </c>
    </row>
    <row r="4395" spans="1:27" x14ac:dyDescent="0.25">
      <c r="A4395" t="s">
        <v>269</v>
      </c>
      <c r="B4395" t="s">
        <v>201</v>
      </c>
      <c r="C4395" s="76">
        <v>43925</v>
      </c>
      <c r="D4395">
        <v>2301</v>
      </c>
      <c r="E4395">
        <v>923</v>
      </c>
      <c r="F4395">
        <v>3679</v>
      </c>
      <c r="G4395">
        <v>2851</v>
      </c>
      <c r="H4395">
        <v>44.7</v>
      </c>
      <c r="I4395">
        <v>35.9</v>
      </c>
      <c r="J4395">
        <v>53.4</v>
      </c>
      <c r="K4395">
        <v>154</v>
      </c>
      <c r="L4395">
        <v>60</v>
      </c>
      <c r="M4395">
        <v>248</v>
      </c>
      <c r="N4395">
        <v>3</v>
      </c>
      <c r="O4395">
        <v>2.2999999999999998</v>
      </c>
      <c r="P4395">
        <v>3.7</v>
      </c>
      <c r="Q4395">
        <f t="shared" si="136"/>
        <v>3310774</v>
      </c>
      <c r="R4395">
        <f t="shared" si="135"/>
        <v>4.6514802882951241</v>
      </c>
      <c r="U4395">
        <v>331</v>
      </c>
      <c r="V4395">
        <v>80</v>
      </c>
      <c r="W4395">
        <v>582</v>
      </c>
      <c r="X4395">
        <v>379</v>
      </c>
      <c r="Y4395">
        <v>46.6</v>
      </c>
      <c r="Z4395">
        <v>37.700000000000003</v>
      </c>
      <c r="AA4395">
        <v>55.5</v>
      </c>
    </row>
    <row r="4396" spans="1:27" x14ac:dyDescent="0.25">
      <c r="A4396" t="s">
        <v>269</v>
      </c>
      <c r="B4396" t="s">
        <v>201</v>
      </c>
      <c r="C4396" s="76">
        <v>43926</v>
      </c>
      <c r="D4396">
        <v>2234</v>
      </c>
      <c r="E4396">
        <v>842</v>
      </c>
      <c r="F4396">
        <v>3626</v>
      </c>
      <c r="G4396">
        <v>2920</v>
      </c>
      <c r="H4396">
        <v>43.3</v>
      </c>
      <c r="I4396">
        <v>32.799999999999997</v>
      </c>
      <c r="J4396">
        <v>53.9</v>
      </c>
      <c r="K4396">
        <v>131</v>
      </c>
      <c r="L4396">
        <v>58</v>
      </c>
      <c r="M4396">
        <v>203</v>
      </c>
      <c r="N4396">
        <v>2.5</v>
      </c>
      <c r="O4396">
        <v>1.9</v>
      </c>
      <c r="P4396">
        <v>3.1</v>
      </c>
      <c r="Q4396">
        <f t="shared" si="136"/>
        <v>3310774</v>
      </c>
      <c r="R4396">
        <f t="shared" si="135"/>
        <v>3.9567786867965014</v>
      </c>
      <c r="U4396">
        <v>334</v>
      </c>
      <c r="V4396">
        <v>85</v>
      </c>
      <c r="W4396">
        <v>583</v>
      </c>
      <c r="X4396">
        <v>371</v>
      </c>
      <c r="Y4396">
        <v>47.4</v>
      </c>
      <c r="Z4396">
        <v>39</v>
      </c>
      <c r="AA4396">
        <v>55.7</v>
      </c>
    </row>
    <row r="4397" spans="1:27" x14ac:dyDescent="0.25">
      <c r="A4397" t="s">
        <v>269</v>
      </c>
      <c r="B4397" t="s">
        <v>201</v>
      </c>
      <c r="C4397" s="76">
        <v>43927</v>
      </c>
      <c r="D4397">
        <v>2161</v>
      </c>
      <c r="E4397">
        <v>820</v>
      </c>
      <c r="F4397">
        <v>3501</v>
      </c>
      <c r="G4397">
        <v>2865</v>
      </c>
      <c r="H4397">
        <v>43</v>
      </c>
      <c r="I4397">
        <v>33.799999999999997</v>
      </c>
      <c r="J4397">
        <v>52.2</v>
      </c>
      <c r="K4397">
        <v>138</v>
      </c>
      <c r="L4397">
        <v>60</v>
      </c>
      <c r="M4397">
        <v>217</v>
      </c>
      <c r="N4397">
        <v>2.8</v>
      </c>
      <c r="O4397">
        <v>2.1</v>
      </c>
      <c r="P4397">
        <v>3.4</v>
      </c>
      <c r="Q4397">
        <f t="shared" si="136"/>
        <v>3310774</v>
      </c>
      <c r="R4397">
        <f t="shared" si="135"/>
        <v>4.1682096089917344</v>
      </c>
      <c r="U4397">
        <v>323</v>
      </c>
      <c r="V4397">
        <v>81</v>
      </c>
      <c r="W4397">
        <v>564</v>
      </c>
      <c r="X4397">
        <v>370</v>
      </c>
      <c r="Y4397">
        <v>46.6</v>
      </c>
      <c r="Z4397">
        <v>37.1</v>
      </c>
      <c r="AA4397">
        <v>56.2</v>
      </c>
    </row>
    <row r="4398" spans="1:27" x14ac:dyDescent="0.25">
      <c r="A4398" t="s">
        <v>269</v>
      </c>
      <c r="B4398" t="s">
        <v>201</v>
      </c>
      <c r="C4398" s="76">
        <v>43928</v>
      </c>
      <c r="D4398">
        <v>2378</v>
      </c>
      <c r="E4398">
        <v>886</v>
      </c>
      <c r="F4398">
        <v>3871</v>
      </c>
      <c r="G4398">
        <v>2629</v>
      </c>
      <c r="H4398">
        <v>47.5</v>
      </c>
      <c r="I4398">
        <v>37.9</v>
      </c>
      <c r="J4398">
        <v>57.1</v>
      </c>
      <c r="K4398">
        <v>206</v>
      </c>
      <c r="L4398">
        <v>79</v>
      </c>
      <c r="M4398">
        <v>333</v>
      </c>
      <c r="N4398">
        <v>4.0999999999999996</v>
      </c>
      <c r="O4398">
        <v>2.9</v>
      </c>
      <c r="P4398">
        <v>5.3</v>
      </c>
      <c r="Q4398">
        <f t="shared" si="136"/>
        <v>3310774</v>
      </c>
      <c r="R4398">
        <f t="shared" si="135"/>
        <v>6.222109996031139</v>
      </c>
      <c r="U4398">
        <v>314</v>
      </c>
      <c r="V4398">
        <v>84</v>
      </c>
      <c r="W4398">
        <v>543</v>
      </c>
      <c r="X4398">
        <v>377</v>
      </c>
      <c r="Y4398">
        <v>45.4</v>
      </c>
      <c r="Z4398">
        <v>36.9</v>
      </c>
      <c r="AA4398">
        <v>53.9</v>
      </c>
    </row>
    <row r="4399" spans="1:27" x14ac:dyDescent="0.25">
      <c r="A4399" t="s">
        <v>269</v>
      </c>
      <c r="B4399" t="s">
        <v>201</v>
      </c>
      <c r="C4399" s="76">
        <v>43929</v>
      </c>
      <c r="D4399">
        <v>2455</v>
      </c>
      <c r="E4399">
        <v>884</v>
      </c>
      <c r="F4399">
        <v>4026</v>
      </c>
      <c r="G4399">
        <v>2545</v>
      </c>
      <c r="H4399">
        <v>49.1</v>
      </c>
      <c r="I4399">
        <v>37.299999999999997</v>
      </c>
      <c r="J4399">
        <v>60.9</v>
      </c>
      <c r="K4399">
        <v>193</v>
      </c>
      <c r="L4399">
        <v>73</v>
      </c>
      <c r="M4399">
        <v>313</v>
      </c>
      <c r="N4399">
        <v>3.9</v>
      </c>
      <c r="O4399">
        <v>2.9</v>
      </c>
      <c r="P4399">
        <v>4.8</v>
      </c>
      <c r="Q4399">
        <f t="shared" si="136"/>
        <v>3310774</v>
      </c>
      <c r="R4399">
        <f t="shared" si="135"/>
        <v>5.8294525690971355</v>
      </c>
      <c r="U4399">
        <v>322</v>
      </c>
      <c r="V4399">
        <v>91</v>
      </c>
      <c r="W4399">
        <v>554</v>
      </c>
      <c r="X4399">
        <v>368</v>
      </c>
      <c r="Y4399">
        <v>46.7</v>
      </c>
      <c r="Z4399">
        <v>38.1</v>
      </c>
      <c r="AA4399">
        <v>55.3</v>
      </c>
    </row>
    <row r="4400" spans="1:27" x14ac:dyDescent="0.25">
      <c r="A4400" t="s">
        <v>269</v>
      </c>
      <c r="B4400" t="s">
        <v>201</v>
      </c>
      <c r="C4400" s="76">
        <v>43930</v>
      </c>
      <c r="D4400">
        <v>3041</v>
      </c>
      <c r="E4400">
        <v>1213</v>
      </c>
      <c r="F4400">
        <v>4869</v>
      </c>
      <c r="G4400">
        <v>2013</v>
      </c>
      <c r="H4400">
        <v>60.2</v>
      </c>
      <c r="I4400">
        <v>52.8</v>
      </c>
      <c r="J4400">
        <v>67.5</v>
      </c>
      <c r="K4400">
        <v>167</v>
      </c>
      <c r="L4400">
        <v>51</v>
      </c>
      <c r="M4400">
        <v>282</v>
      </c>
      <c r="N4400">
        <v>3.3</v>
      </c>
      <c r="O4400">
        <v>2.1</v>
      </c>
      <c r="P4400">
        <v>4.5</v>
      </c>
      <c r="Q4400">
        <f t="shared" si="136"/>
        <v>3310774</v>
      </c>
      <c r="R4400">
        <f t="shared" si="135"/>
        <v>5.0441377152291276</v>
      </c>
      <c r="U4400">
        <v>388</v>
      </c>
      <c r="V4400">
        <v>91</v>
      </c>
      <c r="W4400">
        <v>685</v>
      </c>
      <c r="X4400">
        <v>310</v>
      </c>
      <c r="Y4400">
        <v>55.6</v>
      </c>
      <c r="Z4400">
        <v>49.7</v>
      </c>
      <c r="AA4400">
        <v>61.4</v>
      </c>
    </row>
    <row r="4401" spans="1:27" x14ac:dyDescent="0.25">
      <c r="A4401" t="s">
        <v>269</v>
      </c>
      <c r="B4401" t="s">
        <v>201</v>
      </c>
      <c r="C4401" s="76">
        <v>43931</v>
      </c>
      <c r="D4401">
        <v>3032</v>
      </c>
      <c r="E4401">
        <v>1269</v>
      </c>
      <c r="F4401">
        <v>4796</v>
      </c>
      <c r="G4401">
        <v>2204</v>
      </c>
      <c r="H4401">
        <v>57.9</v>
      </c>
      <c r="I4401">
        <v>49.9</v>
      </c>
      <c r="J4401">
        <v>66</v>
      </c>
      <c r="K4401">
        <v>184</v>
      </c>
      <c r="L4401">
        <v>52</v>
      </c>
      <c r="M4401">
        <v>316</v>
      </c>
      <c r="N4401">
        <v>3.5</v>
      </c>
      <c r="O4401">
        <v>2.1</v>
      </c>
      <c r="P4401">
        <v>4.9000000000000004</v>
      </c>
      <c r="Q4401">
        <f t="shared" si="136"/>
        <v>3310774</v>
      </c>
      <c r="R4401">
        <f t="shared" si="135"/>
        <v>5.5576128119889789</v>
      </c>
      <c r="U4401">
        <v>371</v>
      </c>
      <c r="V4401">
        <v>90</v>
      </c>
      <c r="W4401">
        <v>653</v>
      </c>
      <c r="X4401">
        <v>354</v>
      </c>
      <c r="Y4401">
        <v>51.2</v>
      </c>
      <c r="Z4401">
        <v>43.7</v>
      </c>
      <c r="AA4401">
        <v>58.7</v>
      </c>
    </row>
    <row r="4402" spans="1:27" x14ac:dyDescent="0.25">
      <c r="A4402" t="s">
        <v>269</v>
      </c>
      <c r="B4402" t="s">
        <v>201</v>
      </c>
      <c r="C4402" s="76">
        <v>43932</v>
      </c>
      <c r="D4402">
        <v>2814</v>
      </c>
      <c r="E4402">
        <v>1213</v>
      </c>
      <c r="F4402">
        <v>4416</v>
      </c>
      <c r="G4402">
        <v>2348</v>
      </c>
      <c r="H4402">
        <v>54.5</v>
      </c>
      <c r="I4402">
        <v>45.1</v>
      </c>
      <c r="J4402">
        <v>64</v>
      </c>
      <c r="K4402">
        <v>165</v>
      </c>
      <c r="L4402">
        <v>52</v>
      </c>
      <c r="M4402">
        <v>278</v>
      </c>
      <c r="N4402">
        <v>3.2</v>
      </c>
      <c r="O4402">
        <v>2</v>
      </c>
      <c r="P4402">
        <v>4.4000000000000004</v>
      </c>
      <c r="Q4402">
        <f t="shared" si="136"/>
        <v>3310774</v>
      </c>
      <c r="R4402">
        <f t="shared" si="135"/>
        <v>4.9837288803162041</v>
      </c>
      <c r="U4402">
        <v>339</v>
      </c>
      <c r="V4402">
        <v>69</v>
      </c>
      <c r="W4402">
        <v>608</v>
      </c>
      <c r="X4402">
        <v>381</v>
      </c>
      <c r="Y4402">
        <v>47</v>
      </c>
      <c r="Z4402">
        <v>36.4</v>
      </c>
      <c r="AA4402">
        <v>57.7</v>
      </c>
    </row>
    <row r="4403" spans="1:27" x14ac:dyDescent="0.25">
      <c r="A4403" t="s">
        <v>269</v>
      </c>
      <c r="B4403" t="s">
        <v>201</v>
      </c>
      <c r="C4403" s="76">
        <v>43933</v>
      </c>
      <c r="D4403">
        <v>2750</v>
      </c>
      <c r="E4403">
        <v>1122</v>
      </c>
      <c r="F4403">
        <v>4377</v>
      </c>
      <c r="G4403">
        <v>3021</v>
      </c>
      <c r="H4403">
        <v>47.6</v>
      </c>
      <c r="I4403">
        <v>39.6</v>
      </c>
      <c r="J4403">
        <v>55.7</v>
      </c>
      <c r="K4403">
        <v>188</v>
      </c>
      <c r="L4403">
        <v>48</v>
      </c>
      <c r="M4403">
        <v>328</v>
      </c>
      <c r="N4403">
        <v>3.3</v>
      </c>
      <c r="O4403">
        <v>1.8</v>
      </c>
      <c r="P4403">
        <v>4.7</v>
      </c>
      <c r="Q4403">
        <f t="shared" si="136"/>
        <v>3310774</v>
      </c>
      <c r="R4403">
        <f t="shared" si="135"/>
        <v>5.6784304818148268</v>
      </c>
      <c r="U4403">
        <v>320</v>
      </c>
      <c r="V4403">
        <v>49</v>
      </c>
      <c r="W4403">
        <v>591</v>
      </c>
      <c r="X4403">
        <v>401</v>
      </c>
      <c r="Y4403">
        <v>44.4</v>
      </c>
      <c r="Z4403">
        <v>28.2</v>
      </c>
      <c r="AA4403">
        <v>60.5</v>
      </c>
    </row>
    <row r="4404" spans="1:27" x14ac:dyDescent="0.25">
      <c r="A4404" t="s">
        <v>269</v>
      </c>
      <c r="B4404" t="s">
        <v>201</v>
      </c>
      <c r="C4404" s="76">
        <v>43934</v>
      </c>
      <c r="D4404">
        <v>2247</v>
      </c>
      <c r="E4404">
        <v>838</v>
      </c>
      <c r="F4404">
        <v>3655</v>
      </c>
      <c r="G4404">
        <v>2972</v>
      </c>
      <c r="H4404">
        <v>43</v>
      </c>
      <c r="I4404">
        <v>34.4</v>
      </c>
      <c r="J4404">
        <v>51.7</v>
      </c>
      <c r="K4404">
        <v>137</v>
      </c>
      <c r="L4404">
        <v>33</v>
      </c>
      <c r="M4404">
        <v>241</v>
      </c>
      <c r="N4404">
        <v>2.6</v>
      </c>
      <c r="O4404">
        <v>1.7</v>
      </c>
      <c r="P4404">
        <v>3.6</v>
      </c>
      <c r="Q4404">
        <f t="shared" si="136"/>
        <v>3310774</v>
      </c>
      <c r="R4404">
        <f t="shared" si="135"/>
        <v>4.1380051915352727</v>
      </c>
      <c r="U4404">
        <v>284</v>
      </c>
      <c r="V4404">
        <v>57</v>
      </c>
      <c r="W4404">
        <v>510</v>
      </c>
      <c r="X4404">
        <v>413</v>
      </c>
      <c r="Y4404">
        <v>40.700000000000003</v>
      </c>
      <c r="Z4404">
        <v>31.4</v>
      </c>
      <c r="AA4404">
        <v>50.1</v>
      </c>
    </row>
    <row r="4405" spans="1:27" x14ac:dyDescent="0.25">
      <c r="A4405" t="s">
        <v>269</v>
      </c>
      <c r="B4405" t="s">
        <v>201</v>
      </c>
      <c r="C4405" s="76">
        <v>43935</v>
      </c>
      <c r="D4405">
        <v>2195</v>
      </c>
      <c r="E4405">
        <v>1096</v>
      </c>
      <c r="F4405">
        <v>3293</v>
      </c>
      <c r="G4405">
        <v>2818</v>
      </c>
      <c r="H4405">
        <v>43.8</v>
      </c>
      <c r="I4405">
        <v>37.1</v>
      </c>
      <c r="J4405">
        <v>50.4</v>
      </c>
      <c r="K4405">
        <v>175</v>
      </c>
      <c r="L4405">
        <v>69</v>
      </c>
      <c r="M4405">
        <v>281</v>
      </c>
      <c r="N4405">
        <v>3.5</v>
      </c>
      <c r="O4405">
        <v>2.2999999999999998</v>
      </c>
      <c r="P4405">
        <v>4.7</v>
      </c>
      <c r="Q4405">
        <f t="shared" si="136"/>
        <v>3310774</v>
      </c>
      <c r="R4405">
        <f t="shared" si="135"/>
        <v>5.2857730548808224</v>
      </c>
      <c r="U4405">
        <v>270</v>
      </c>
      <c r="V4405">
        <v>98</v>
      </c>
      <c r="W4405">
        <v>442</v>
      </c>
      <c r="X4405">
        <v>329</v>
      </c>
      <c r="Y4405">
        <v>45.1</v>
      </c>
      <c r="Z4405">
        <v>36.799999999999997</v>
      </c>
      <c r="AA4405">
        <v>53.3</v>
      </c>
    </row>
    <row r="4406" spans="1:27" x14ac:dyDescent="0.25">
      <c r="A4406" t="s">
        <v>269</v>
      </c>
      <c r="B4406" t="s">
        <v>201</v>
      </c>
      <c r="C4406" s="76">
        <v>43936</v>
      </c>
      <c r="D4406">
        <v>2268</v>
      </c>
      <c r="E4406">
        <v>1137</v>
      </c>
      <c r="F4406">
        <v>3399</v>
      </c>
      <c r="G4406">
        <v>2767</v>
      </c>
      <c r="H4406">
        <v>45</v>
      </c>
      <c r="I4406">
        <v>37.5</v>
      </c>
      <c r="J4406">
        <v>52.6</v>
      </c>
      <c r="K4406">
        <v>151</v>
      </c>
      <c r="L4406">
        <v>62</v>
      </c>
      <c r="M4406">
        <v>239</v>
      </c>
      <c r="N4406">
        <v>3</v>
      </c>
      <c r="O4406">
        <v>2</v>
      </c>
      <c r="P4406">
        <v>4</v>
      </c>
      <c r="Q4406">
        <f t="shared" si="136"/>
        <v>3310774</v>
      </c>
      <c r="R4406">
        <f t="shared" si="135"/>
        <v>4.5608670359257379</v>
      </c>
      <c r="U4406">
        <v>278</v>
      </c>
      <c r="V4406">
        <v>105</v>
      </c>
      <c r="W4406">
        <v>451</v>
      </c>
      <c r="X4406">
        <v>323</v>
      </c>
      <c r="Y4406">
        <v>46.2</v>
      </c>
      <c r="Z4406">
        <v>37.9</v>
      </c>
      <c r="AA4406">
        <v>54.5</v>
      </c>
    </row>
    <row r="4407" spans="1:27" x14ac:dyDescent="0.25">
      <c r="A4407" t="s">
        <v>269</v>
      </c>
      <c r="B4407" t="s">
        <v>201</v>
      </c>
      <c r="C4407" s="76">
        <v>43937</v>
      </c>
      <c r="D4407">
        <v>2338</v>
      </c>
      <c r="E4407">
        <v>1178</v>
      </c>
      <c r="F4407">
        <v>3497</v>
      </c>
      <c r="G4407">
        <v>2684</v>
      </c>
      <c r="H4407">
        <v>46.5</v>
      </c>
      <c r="I4407">
        <v>39.200000000000003</v>
      </c>
      <c r="J4407">
        <v>53.9</v>
      </c>
      <c r="K4407">
        <v>190</v>
      </c>
      <c r="L4407">
        <v>85</v>
      </c>
      <c r="M4407">
        <v>295</v>
      </c>
      <c r="N4407">
        <v>3.8</v>
      </c>
      <c r="O4407">
        <v>2.7</v>
      </c>
      <c r="P4407">
        <v>4.9000000000000004</v>
      </c>
      <c r="Q4407">
        <f t="shared" si="136"/>
        <v>3310774</v>
      </c>
      <c r="R4407">
        <f t="shared" si="135"/>
        <v>5.7388393167277503</v>
      </c>
      <c r="U4407">
        <v>274</v>
      </c>
      <c r="V4407">
        <v>100</v>
      </c>
      <c r="W4407">
        <v>447</v>
      </c>
      <c r="X4407">
        <v>317</v>
      </c>
      <c r="Y4407">
        <v>46.4</v>
      </c>
      <c r="Z4407">
        <v>39</v>
      </c>
      <c r="AA4407">
        <v>53.7</v>
      </c>
    </row>
    <row r="4408" spans="1:27" x14ac:dyDescent="0.25">
      <c r="A4408" t="s">
        <v>269</v>
      </c>
      <c r="B4408" t="s">
        <v>201</v>
      </c>
      <c r="C4408" s="76">
        <v>43938</v>
      </c>
      <c r="D4408">
        <v>2391</v>
      </c>
      <c r="E4408">
        <v>1165</v>
      </c>
      <c r="F4408">
        <v>3617</v>
      </c>
      <c r="G4408">
        <v>2663</v>
      </c>
      <c r="H4408">
        <v>47.3</v>
      </c>
      <c r="I4408">
        <v>37.6</v>
      </c>
      <c r="J4408">
        <v>57</v>
      </c>
      <c r="K4408">
        <v>186</v>
      </c>
      <c r="L4408">
        <v>68</v>
      </c>
      <c r="M4408">
        <v>304</v>
      </c>
      <c r="N4408">
        <v>3.7</v>
      </c>
      <c r="O4408">
        <v>2.2999999999999998</v>
      </c>
      <c r="P4408">
        <v>5.0999999999999996</v>
      </c>
      <c r="Q4408">
        <f t="shared" si="136"/>
        <v>3310774</v>
      </c>
      <c r="R4408">
        <f t="shared" si="135"/>
        <v>5.6180216469019024</v>
      </c>
      <c r="U4408">
        <v>308</v>
      </c>
      <c r="V4408">
        <v>106</v>
      </c>
      <c r="W4408">
        <v>510</v>
      </c>
      <c r="X4408">
        <v>276</v>
      </c>
      <c r="Y4408">
        <v>52.7</v>
      </c>
      <c r="Z4408">
        <v>41.5</v>
      </c>
      <c r="AA4408">
        <v>63.9</v>
      </c>
    </row>
    <row r="4409" spans="1:27" x14ac:dyDescent="0.25">
      <c r="A4409" t="s">
        <v>269</v>
      </c>
      <c r="B4409" t="s">
        <v>201</v>
      </c>
      <c r="C4409" s="76">
        <v>43939</v>
      </c>
      <c r="D4409">
        <v>2333</v>
      </c>
      <c r="E4409">
        <v>1163</v>
      </c>
      <c r="F4409">
        <v>3503</v>
      </c>
      <c r="G4409">
        <v>2706</v>
      </c>
      <c r="H4409">
        <v>46.3</v>
      </c>
      <c r="I4409">
        <v>38.200000000000003</v>
      </c>
      <c r="J4409">
        <v>54.4</v>
      </c>
      <c r="K4409">
        <v>177</v>
      </c>
      <c r="L4409">
        <v>65</v>
      </c>
      <c r="M4409">
        <v>290</v>
      </c>
      <c r="N4409">
        <v>3.5</v>
      </c>
      <c r="O4409">
        <v>2.2000000000000002</v>
      </c>
      <c r="P4409">
        <v>4.9000000000000004</v>
      </c>
      <c r="Q4409">
        <f t="shared" si="136"/>
        <v>3310774</v>
      </c>
      <c r="R4409">
        <f t="shared" si="135"/>
        <v>5.3461818897937459</v>
      </c>
      <c r="U4409">
        <v>287</v>
      </c>
      <c r="V4409">
        <v>90</v>
      </c>
      <c r="W4409">
        <v>484</v>
      </c>
      <c r="X4409">
        <v>297</v>
      </c>
      <c r="Y4409">
        <v>49.2</v>
      </c>
      <c r="Z4409">
        <v>36.799999999999997</v>
      </c>
      <c r="AA4409">
        <v>61.5</v>
      </c>
    </row>
    <row r="4410" spans="1:27" x14ac:dyDescent="0.25">
      <c r="A4410" t="s">
        <v>269</v>
      </c>
      <c r="B4410" t="s">
        <v>201</v>
      </c>
      <c r="C4410" s="76">
        <v>43940</v>
      </c>
      <c r="D4410">
        <v>2276</v>
      </c>
      <c r="E4410">
        <v>1108</v>
      </c>
      <c r="F4410">
        <v>3444</v>
      </c>
      <c r="G4410">
        <v>2721</v>
      </c>
      <c r="H4410">
        <v>45.6</v>
      </c>
      <c r="I4410">
        <v>38.200000000000003</v>
      </c>
      <c r="J4410">
        <v>52.9</v>
      </c>
      <c r="K4410">
        <v>147</v>
      </c>
      <c r="L4410">
        <v>47</v>
      </c>
      <c r="M4410">
        <v>246</v>
      </c>
      <c r="N4410">
        <v>2.9</v>
      </c>
      <c r="O4410">
        <v>1.7</v>
      </c>
      <c r="P4410">
        <v>4.2</v>
      </c>
      <c r="Q4410">
        <f t="shared" si="136"/>
        <v>3310774</v>
      </c>
      <c r="R4410">
        <f t="shared" si="135"/>
        <v>4.440049366099891</v>
      </c>
      <c r="U4410">
        <v>279</v>
      </c>
      <c r="V4410">
        <v>83</v>
      </c>
      <c r="W4410">
        <v>475</v>
      </c>
      <c r="X4410">
        <v>322</v>
      </c>
      <c r="Y4410">
        <v>46.4</v>
      </c>
      <c r="Z4410">
        <v>33.799999999999997</v>
      </c>
      <c r="AA4410">
        <v>59.1</v>
      </c>
    </row>
    <row r="4411" spans="1:27" x14ac:dyDescent="0.25">
      <c r="A4411" t="s">
        <v>269</v>
      </c>
      <c r="B4411" t="s">
        <v>201</v>
      </c>
      <c r="C4411" s="76">
        <v>43941</v>
      </c>
      <c r="D4411">
        <v>1943</v>
      </c>
      <c r="E4411">
        <v>986</v>
      </c>
      <c r="F4411">
        <v>2900</v>
      </c>
      <c r="G4411">
        <v>3072</v>
      </c>
      <c r="H4411">
        <v>38.700000000000003</v>
      </c>
      <c r="I4411">
        <v>33</v>
      </c>
      <c r="J4411">
        <v>44.4</v>
      </c>
      <c r="K4411">
        <v>183</v>
      </c>
      <c r="L4411">
        <v>76</v>
      </c>
      <c r="M4411">
        <v>289</v>
      </c>
      <c r="N4411">
        <v>3.6</v>
      </c>
      <c r="O4411">
        <v>2.4</v>
      </c>
      <c r="P4411">
        <v>4.9000000000000004</v>
      </c>
      <c r="Q4411">
        <f t="shared" si="136"/>
        <v>3310774</v>
      </c>
      <c r="R4411">
        <f t="shared" si="135"/>
        <v>5.5274083945325172</v>
      </c>
      <c r="U4411">
        <v>272</v>
      </c>
      <c r="V4411">
        <v>81</v>
      </c>
      <c r="W4411">
        <v>463</v>
      </c>
      <c r="X4411">
        <v>310</v>
      </c>
      <c r="Y4411">
        <v>46.7</v>
      </c>
      <c r="Z4411">
        <v>36.9</v>
      </c>
      <c r="AA4411">
        <v>56.6</v>
      </c>
    </row>
    <row r="4412" spans="1:27" x14ac:dyDescent="0.25">
      <c r="A4412" t="s">
        <v>269</v>
      </c>
      <c r="B4412" t="s">
        <v>201</v>
      </c>
      <c r="C4412" s="76">
        <v>43942</v>
      </c>
      <c r="D4412">
        <v>2053</v>
      </c>
      <c r="E4412">
        <v>976</v>
      </c>
      <c r="F4412">
        <v>3129</v>
      </c>
      <c r="G4412">
        <v>2944</v>
      </c>
      <c r="H4412">
        <v>41.1</v>
      </c>
      <c r="I4412">
        <v>33.799999999999997</v>
      </c>
      <c r="J4412">
        <v>48.3</v>
      </c>
      <c r="K4412">
        <v>206</v>
      </c>
      <c r="L4412">
        <v>79</v>
      </c>
      <c r="M4412">
        <v>333</v>
      </c>
      <c r="N4412">
        <v>4.0999999999999996</v>
      </c>
      <c r="O4412">
        <v>2.6</v>
      </c>
      <c r="P4412">
        <v>5.7</v>
      </c>
      <c r="Q4412">
        <f t="shared" si="136"/>
        <v>3310774</v>
      </c>
      <c r="R4412">
        <f t="shared" si="135"/>
        <v>6.222109996031139</v>
      </c>
      <c r="U4412">
        <v>274</v>
      </c>
      <c r="V4412">
        <v>80</v>
      </c>
      <c r="W4412">
        <v>468</v>
      </c>
      <c r="X4412">
        <v>304</v>
      </c>
      <c r="Y4412">
        <v>47.5</v>
      </c>
      <c r="Z4412">
        <v>38.1</v>
      </c>
      <c r="AA4412">
        <v>56.8</v>
      </c>
    </row>
    <row r="4413" spans="1:27" x14ac:dyDescent="0.25">
      <c r="A4413" t="s">
        <v>269</v>
      </c>
      <c r="B4413" t="s">
        <v>201</v>
      </c>
      <c r="C4413" s="76">
        <v>43943</v>
      </c>
      <c r="D4413">
        <v>2349</v>
      </c>
      <c r="E4413">
        <v>1143</v>
      </c>
      <c r="F4413">
        <v>3556</v>
      </c>
      <c r="G4413">
        <v>2665</v>
      </c>
      <c r="H4413">
        <v>46.9</v>
      </c>
      <c r="I4413">
        <v>39.299999999999997</v>
      </c>
      <c r="J4413">
        <v>54.4</v>
      </c>
      <c r="K4413">
        <v>190</v>
      </c>
      <c r="L4413">
        <v>81</v>
      </c>
      <c r="M4413">
        <v>300</v>
      </c>
      <c r="N4413">
        <v>3.8</v>
      </c>
      <c r="O4413">
        <v>2.8</v>
      </c>
      <c r="P4413">
        <v>4.8</v>
      </c>
      <c r="Q4413">
        <f t="shared" si="136"/>
        <v>3310774</v>
      </c>
      <c r="R4413">
        <f t="shared" si="135"/>
        <v>5.7388393167277503</v>
      </c>
      <c r="U4413">
        <v>318</v>
      </c>
      <c r="V4413">
        <v>104</v>
      </c>
      <c r="W4413">
        <v>532</v>
      </c>
      <c r="X4413">
        <v>258</v>
      </c>
      <c r="Y4413">
        <v>55.2</v>
      </c>
      <c r="Z4413">
        <v>47</v>
      </c>
      <c r="AA4413">
        <v>63.4</v>
      </c>
    </row>
    <row r="4414" spans="1:27" x14ac:dyDescent="0.25">
      <c r="A4414" t="s">
        <v>269</v>
      </c>
      <c r="B4414" t="s">
        <v>201</v>
      </c>
      <c r="C4414" s="76">
        <v>43944</v>
      </c>
      <c r="D4414">
        <v>2339</v>
      </c>
      <c r="E4414">
        <v>1173</v>
      </c>
      <c r="F4414">
        <v>3505</v>
      </c>
      <c r="G4414">
        <v>2705</v>
      </c>
      <c r="H4414">
        <v>46.4</v>
      </c>
      <c r="I4414">
        <v>39.5</v>
      </c>
      <c r="J4414">
        <v>53.2</v>
      </c>
      <c r="K4414">
        <v>221</v>
      </c>
      <c r="L4414">
        <v>99</v>
      </c>
      <c r="M4414">
        <v>344</v>
      </c>
      <c r="N4414">
        <v>4.4000000000000004</v>
      </c>
      <c r="O4414">
        <v>3.1</v>
      </c>
      <c r="P4414">
        <v>5.7</v>
      </c>
      <c r="Q4414">
        <f t="shared" si="136"/>
        <v>3310774</v>
      </c>
      <c r="R4414">
        <f t="shared" si="135"/>
        <v>6.6751762578780669</v>
      </c>
      <c r="U4414">
        <v>322</v>
      </c>
      <c r="V4414">
        <v>108</v>
      </c>
      <c r="W4414">
        <v>535</v>
      </c>
      <c r="X4414">
        <v>266</v>
      </c>
      <c r="Y4414">
        <v>54.7</v>
      </c>
      <c r="Z4414">
        <v>46.1</v>
      </c>
      <c r="AA4414">
        <v>63.3</v>
      </c>
    </row>
    <row r="4415" spans="1:27" x14ac:dyDescent="0.25">
      <c r="A4415" t="s">
        <v>269</v>
      </c>
      <c r="B4415" t="s">
        <v>201</v>
      </c>
      <c r="C4415" s="76">
        <v>43945</v>
      </c>
      <c r="D4415">
        <v>2372</v>
      </c>
      <c r="E4415">
        <v>1154</v>
      </c>
      <c r="F4415">
        <v>3591</v>
      </c>
      <c r="G4415">
        <v>2673</v>
      </c>
      <c r="H4415">
        <v>47</v>
      </c>
      <c r="I4415">
        <v>39.4</v>
      </c>
      <c r="J4415">
        <v>54.7</v>
      </c>
      <c r="K4415">
        <v>184</v>
      </c>
      <c r="L4415">
        <v>76</v>
      </c>
      <c r="M4415">
        <v>291</v>
      </c>
      <c r="N4415">
        <v>3.6</v>
      </c>
      <c r="O4415">
        <v>2.5</v>
      </c>
      <c r="P4415">
        <v>4.8</v>
      </c>
      <c r="Q4415">
        <f t="shared" si="136"/>
        <v>3310774</v>
      </c>
      <c r="R4415">
        <f t="shared" si="135"/>
        <v>5.5576128119889789</v>
      </c>
      <c r="U4415">
        <v>322</v>
      </c>
      <c r="V4415">
        <v>112</v>
      </c>
      <c r="W4415">
        <v>532</v>
      </c>
      <c r="X4415">
        <v>266</v>
      </c>
      <c r="Y4415">
        <v>54.7</v>
      </c>
      <c r="Z4415">
        <v>44.7</v>
      </c>
      <c r="AA4415">
        <v>64.7</v>
      </c>
    </row>
    <row r="4416" spans="1:27" x14ac:dyDescent="0.25">
      <c r="A4416" t="s">
        <v>269</v>
      </c>
      <c r="B4416" t="s">
        <v>201</v>
      </c>
      <c r="C4416" s="76">
        <v>43946</v>
      </c>
      <c r="D4416">
        <v>2365</v>
      </c>
      <c r="E4416">
        <v>1176</v>
      </c>
      <c r="F4416">
        <v>3554</v>
      </c>
      <c r="G4416">
        <v>2650</v>
      </c>
      <c r="H4416">
        <v>47.2</v>
      </c>
      <c r="I4416">
        <v>41</v>
      </c>
      <c r="J4416">
        <v>53.4</v>
      </c>
      <c r="K4416">
        <v>140</v>
      </c>
      <c r="L4416">
        <v>57</v>
      </c>
      <c r="M4416">
        <v>222</v>
      </c>
      <c r="N4416">
        <v>2.8</v>
      </c>
      <c r="O4416">
        <v>2</v>
      </c>
      <c r="P4416">
        <v>3.6</v>
      </c>
      <c r="Q4416">
        <f t="shared" si="136"/>
        <v>3310774</v>
      </c>
      <c r="R4416">
        <f t="shared" si="135"/>
        <v>4.2286184439046579</v>
      </c>
      <c r="U4416">
        <v>320</v>
      </c>
      <c r="V4416">
        <v>111</v>
      </c>
      <c r="W4416">
        <v>530</v>
      </c>
      <c r="X4416">
        <v>262</v>
      </c>
      <c r="Y4416">
        <v>55</v>
      </c>
      <c r="Z4416">
        <v>43.8</v>
      </c>
      <c r="AA4416">
        <v>66.2</v>
      </c>
    </row>
    <row r="4417" spans="1:27" x14ac:dyDescent="0.25">
      <c r="A4417" t="s">
        <v>269</v>
      </c>
      <c r="B4417" t="s">
        <v>201</v>
      </c>
      <c r="C4417" s="76">
        <v>43947</v>
      </c>
      <c r="D4417">
        <v>2113</v>
      </c>
      <c r="E4417">
        <v>994</v>
      </c>
      <c r="F4417">
        <v>3232</v>
      </c>
      <c r="G4417">
        <v>2899</v>
      </c>
      <c r="H4417">
        <v>42.2</v>
      </c>
      <c r="I4417">
        <v>34.6</v>
      </c>
      <c r="J4417">
        <v>49.7</v>
      </c>
      <c r="K4417">
        <v>171</v>
      </c>
      <c r="L4417">
        <v>79</v>
      </c>
      <c r="M4417">
        <v>263</v>
      </c>
      <c r="N4417">
        <v>3.4</v>
      </c>
      <c r="O4417">
        <v>2.6</v>
      </c>
      <c r="P4417">
        <v>4.2</v>
      </c>
      <c r="Q4417">
        <f t="shared" si="136"/>
        <v>3310774</v>
      </c>
      <c r="R4417">
        <f t="shared" si="135"/>
        <v>5.1649553850549754</v>
      </c>
      <c r="U4417">
        <v>274</v>
      </c>
      <c r="V4417">
        <v>88</v>
      </c>
      <c r="W4417">
        <v>460</v>
      </c>
      <c r="X4417">
        <v>305</v>
      </c>
      <c r="Y4417">
        <v>47.3</v>
      </c>
      <c r="Z4417">
        <v>34</v>
      </c>
      <c r="AA4417">
        <v>60.7</v>
      </c>
    </row>
    <row r="4418" spans="1:27" x14ac:dyDescent="0.25">
      <c r="A4418" t="s">
        <v>269</v>
      </c>
      <c r="B4418" t="s">
        <v>201</v>
      </c>
      <c r="C4418" s="76">
        <v>43948</v>
      </c>
      <c r="D4418">
        <v>2232</v>
      </c>
      <c r="E4418">
        <v>1073</v>
      </c>
      <c r="F4418">
        <v>3390</v>
      </c>
      <c r="G4418">
        <v>2792</v>
      </c>
      <c r="H4418">
        <v>44.4</v>
      </c>
      <c r="I4418">
        <v>37.5</v>
      </c>
      <c r="J4418">
        <v>51.4</v>
      </c>
      <c r="K4418">
        <v>213</v>
      </c>
      <c r="L4418">
        <v>97</v>
      </c>
      <c r="M4418">
        <v>328</v>
      </c>
      <c r="N4418">
        <v>4.2</v>
      </c>
      <c r="O4418">
        <v>3.1</v>
      </c>
      <c r="P4418">
        <v>5.3</v>
      </c>
      <c r="Q4418">
        <f t="shared" si="136"/>
        <v>3310774</v>
      </c>
      <c r="R4418">
        <f t="shared" si="135"/>
        <v>6.433540918226373</v>
      </c>
      <c r="U4418">
        <v>298</v>
      </c>
      <c r="V4418">
        <v>101</v>
      </c>
      <c r="W4418">
        <v>495</v>
      </c>
      <c r="X4418">
        <v>285</v>
      </c>
      <c r="Y4418">
        <v>51.1</v>
      </c>
      <c r="Z4418">
        <v>41.5</v>
      </c>
      <c r="AA4418">
        <v>60.7</v>
      </c>
    </row>
    <row r="4419" spans="1:27" x14ac:dyDescent="0.25">
      <c r="A4419" t="s">
        <v>269</v>
      </c>
      <c r="B4419" t="s">
        <v>201</v>
      </c>
      <c r="C4419" s="76">
        <v>43949</v>
      </c>
      <c r="D4419">
        <v>2403</v>
      </c>
      <c r="E4419">
        <v>1182</v>
      </c>
      <c r="F4419">
        <v>3624</v>
      </c>
      <c r="G4419">
        <v>2648</v>
      </c>
      <c r="H4419">
        <v>47.6</v>
      </c>
      <c r="I4419">
        <v>40.4</v>
      </c>
      <c r="J4419">
        <v>54.8</v>
      </c>
      <c r="K4419">
        <v>225</v>
      </c>
      <c r="L4419">
        <v>110</v>
      </c>
      <c r="M4419">
        <v>341</v>
      </c>
      <c r="N4419">
        <v>4.5</v>
      </c>
      <c r="O4419">
        <v>3.5</v>
      </c>
      <c r="P4419">
        <v>5.5</v>
      </c>
      <c r="Q4419">
        <f t="shared" si="136"/>
        <v>3310774</v>
      </c>
      <c r="R4419">
        <f t="shared" si="135"/>
        <v>6.7959939277039139</v>
      </c>
      <c r="U4419">
        <v>321</v>
      </c>
      <c r="V4419">
        <v>108</v>
      </c>
      <c r="W4419">
        <v>534</v>
      </c>
      <c r="X4419">
        <v>265</v>
      </c>
      <c r="Y4419">
        <v>54.8</v>
      </c>
      <c r="Z4419">
        <v>45.1</v>
      </c>
      <c r="AA4419">
        <v>64.400000000000006</v>
      </c>
    </row>
    <row r="4420" spans="1:27" x14ac:dyDescent="0.25">
      <c r="A4420" t="s">
        <v>269</v>
      </c>
      <c r="B4420" t="s">
        <v>201</v>
      </c>
      <c r="C4420" s="76">
        <v>43950</v>
      </c>
      <c r="D4420">
        <v>2339</v>
      </c>
      <c r="E4420">
        <v>1179</v>
      </c>
      <c r="F4420">
        <v>3498</v>
      </c>
      <c r="G4420">
        <v>2733</v>
      </c>
      <c r="H4420">
        <v>46.1</v>
      </c>
      <c r="I4420">
        <v>39.299999999999997</v>
      </c>
      <c r="J4420">
        <v>52.9</v>
      </c>
      <c r="K4420">
        <v>219</v>
      </c>
      <c r="L4420">
        <v>103</v>
      </c>
      <c r="M4420">
        <v>334</v>
      </c>
      <c r="N4420">
        <v>4.3</v>
      </c>
      <c r="O4420">
        <v>3.3</v>
      </c>
      <c r="P4420">
        <v>5.3</v>
      </c>
      <c r="Q4420">
        <f t="shared" si="136"/>
        <v>3310774</v>
      </c>
      <c r="R4420">
        <f t="shared" si="135"/>
        <v>6.6147674229651443</v>
      </c>
      <c r="U4420">
        <v>308</v>
      </c>
      <c r="V4420">
        <v>102</v>
      </c>
      <c r="W4420">
        <v>514</v>
      </c>
      <c r="X4420">
        <v>277</v>
      </c>
      <c r="Y4420">
        <v>52.6</v>
      </c>
      <c r="Z4420">
        <v>42.7</v>
      </c>
      <c r="AA4420">
        <v>62.5</v>
      </c>
    </row>
    <row r="4421" spans="1:27" x14ac:dyDescent="0.25">
      <c r="A4421" t="s">
        <v>269</v>
      </c>
      <c r="B4421" t="s">
        <v>201</v>
      </c>
      <c r="C4421" s="76">
        <v>43951</v>
      </c>
      <c r="D4421">
        <v>2369</v>
      </c>
      <c r="E4421">
        <v>1193</v>
      </c>
      <c r="F4421">
        <v>3545</v>
      </c>
      <c r="G4421">
        <v>2770</v>
      </c>
      <c r="H4421">
        <v>46.1</v>
      </c>
      <c r="I4421">
        <v>39.5</v>
      </c>
      <c r="J4421">
        <v>52.8</v>
      </c>
      <c r="K4421">
        <v>195</v>
      </c>
      <c r="L4421">
        <v>82</v>
      </c>
      <c r="M4421">
        <v>307</v>
      </c>
      <c r="N4421">
        <v>3.8</v>
      </c>
      <c r="O4421">
        <v>2.8</v>
      </c>
      <c r="P4421">
        <v>4.8</v>
      </c>
      <c r="Q4421">
        <f t="shared" si="136"/>
        <v>3310774</v>
      </c>
      <c r="R4421">
        <f t="shared" ref="R4421:R4484" si="137">K4421/(Q4421)*100000</f>
        <v>5.889861404010059</v>
      </c>
      <c r="U4421">
        <v>308</v>
      </c>
      <c r="V4421">
        <v>102</v>
      </c>
      <c r="W4421">
        <v>513</v>
      </c>
      <c r="X4421">
        <v>284</v>
      </c>
      <c r="Y4421">
        <v>52</v>
      </c>
      <c r="Z4421">
        <v>42.6</v>
      </c>
      <c r="AA4421">
        <v>61.3</v>
      </c>
    </row>
    <row r="4422" spans="1:27" x14ac:dyDescent="0.25">
      <c r="A4422" t="s">
        <v>269</v>
      </c>
      <c r="B4422" t="s">
        <v>201</v>
      </c>
      <c r="C4422" s="76">
        <v>43952</v>
      </c>
      <c r="D4422">
        <v>2273</v>
      </c>
      <c r="E4422">
        <v>1136</v>
      </c>
      <c r="F4422">
        <v>3410</v>
      </c>
      <c r="G4422">
        <v>2817</v>
      </c>
      <c r="H4422">
        <v>44.7</v>
      </c>
      <c r="I4422">
        <v>37.6</v>
      </c>
      <c r="J4422">
        <v>51.7</v>
      </c>
      <c r="K4422">
        <v>202</v>
      </c>
      <c r="L4422">
        <v>78</v>
      </c>
      <c r="M4422">
        <v>325</v>
      </c>
      <c r="N4422">
        <v>4</v>
      </c>
      <c r="O4422">
        <v>2.7</v>
      </c>
      <c r="P4422">
        <v>5.2</v>
      </c>
      <c r="Q4422">
        <f t="shared" si="136"/>
        <v>3310774</v>
      </c>
      <c r="R4422">
        <f t="shared" si="137"/>
        <v>6.101292326205292</v>
      </c>
      <c r="U4422">
        <v>294</v>
      </c>
      <c r="V4422">
        <v>102</v>
      </c>
      <c r="W4422">
        <v>486</v>
      </c>
      <c r="X4422">
        <v>291</v>
      </c>
      <c r="Y4422">
        <v>50.2</v>
      </c>
      <c r="Z4422">
        <v>41.2</v>
      </c>
      <c r="AA4422">
        <v>59.2</v>
      </c>
    </row>
    <row r="4423" spans="1:27" x14ac:dyDescent="0.25">
      <c r="A4423" t="s">
        <v>269</v>
      </c>
      <c r="B4423" t="s">
        <v>201</v>
      </c>
      <c r="C4423" s="76">
        <v>43953</v>
      </c>
      <c r="D4423">
        <v>2220</v>
      </c>
      <c r="E4423">
        <v>1100</v>
      </c>
      <c r="F4423">
        <v>3339</v>
      </c>
      <c r="G4423">
        <v>2857</v>
      </c>
      <c r="H4423">
        <v>43.7</v>
      </c>
      <c r="I4423">
        <v>36.6</v>
      </c>
      <c r="J4423">
        <v>50.9</v>
      </c>
      <c r="K4423">
        <v>175</v>
      </c>
      <c r="L4423">
        <v>71</v>
      </c>
      <c r="M4423">
        <v>279</v>
      </c>
      <c r="N4423">
        <v>3.4</v>
      </c>
      <c r="O4423">
        <v>2.2999999999999998</v>
      </c>
      <c r="P4423">
        <v>4.5999999999999996</v>
      </c>
      <c r="Q4423">
        <f t="shared" si="136"/>
        <v>3310774</v>
      </c>
      <c r="R4423">
        <f t="shared" si="137"/>
        <v>5.2857730548808224</v>
      </c>
      <c r="U4423">
        <v>294</v>
      </c>
      <c r="V4423">
        <v>97</v>
      </c>
      <c r="W4423">
        <v>491</v>
      </c>
      <c r="X4423">
        <v>287</v>
      </c>
      <c r="Y4423">
        <v>50.6</v>
      </c>
      <c r="Z4423">
        <v>40.299999999999997</v>
      </c>
      <c r="AA4423">
        <v>60.9</v>
      </c>
    </row>
    <row r="4424" spans="1:27" x14ac:dyDescent="0.25">
      <c r="A4424" t="s">
        <v>269</v>
      </c>
      <c r="B4424" t="s">
        <v>201</v>
      </c>
      <c r="C4424" s="76">
        <v>43954</v>
      </c>
      <c r="D4424">
        <v>2138</v>
      </c>
      <c r="E4424">
        <v>1060</v>
      </c>
      <c r="F4424">
        <v>3216</v>
      </c>
      <c r="G4424">
        <v>2945</v>
      </c>
      <c r="H4424">
        <v>42.1</v>
      </c>
      <c r="I4424">
        <v>34.799999999999997</v>
      </c>
      <c r="J4424">
        <v>49.3</v>
      </c>
      <c r="K4424">
        <v>172</v>
      </c>
      <c r="L4424">
        <v>64</v>
      </c>
      <c r="M4424">
        <v>280</v>
      </c>
      <c r="N4424">
        <v>3.4</v>
      </c>
      <c r="O4424">
        <v>2.2999999999999998</v>
      </c>
      <c r="P4424">
        <v>4.5</v>
      </c>
      <c r="Q4424">
        <f t="shared" si="136"/>
        <v>3310774</v>
      </c>
      <c r="R4424">
        <f t="shared" si="137"/>
        <v>5.1951598025114372</v>
      </c>
      <c r="U4424">
        <v>300</v>
      </c>
      <c r="V4424">
        <v>95</v>
      </c>
      <c r="W4424">
        <v>504</v>
      </c>
      <c r="X4424">
        <v>282</v>
      </c>
      <c r="Y4424">
        <v>51.5</v>
      </c>
      <c r="Z4424">
        <v>42.9</v>
      </c>
      <c r="AA4424">
        <v>60.1</v>
      </c>
    </row>
    <row r="4425" spans="1:27" x14ac:dyDescent="0.25">
      <c r="A4425" t="s">
        <v>269</v>
      </c>
      <c r="B4425" t="s">
        <v>201</v>
      </c>
      <c r="C4425" s="76">
        <v>43955</v>
      </c>
      <c r="D4425">
        <v>2290</v>
      </c>
      <c r="E4425">
        <v>1154</v>
      </c>
      <c r="F4425">
        <v>3427</v>
      </c>
      <c r="G4425">
        <v>2794</v>
      </c>
      <c r="H4425">
        <v>45</v>
      </c>
      <c r="I4425">
        <v>37.9</v>
      </c>
      <c r="J4425">
        <v>52.2</v>
      </c>
      <c r="K4425">
        <v>237</v>
      </c>
      <c r="L4425">
        <v>95</v>
      </c>
      <c r="M4425">
        <v>380</v>
      </c>
      <c r="N4425">
        <v>4.7</v>
      </c>
      <c r="O4425">
        <v>3.3</v>
      </c>
      <c r="P4425">
        <v>6.1</v>
      </c>
      <c r="Q4425">
        <f t="shared" si="136"/>
        <v>3310774</v>
      </c>
      <c r="R4425">
        <f t="shared" si="137"/>
        <v>7.1584469371814565</v>
      </c>
      <c r="U4425">
        <v>308</v>
      </c>
      <c r="V4425">
        <v>111</v>
      </c>
      <c r="W4425">
        <v>505</v>
      </c>
      <c r="X4425">
        <v>275</v>
      </c>
      <c r="Y4425">
        <v>52.8</v>
      </c>
      <c r="Z4425">
        <v>45.8</v>
      </c>
      <c r="AA4425">
        <v>59.8</v>
      </c>
    </row>
    <row r="4426" spans="1:27" x14ac:dyDescent="0.25">
      <c r="A4426" t="s">
        <v>269</v>
      </c>
      <c r="B4426" t="s">
        <v>201</v>
      </c>
      <c r="C4426" s="76">
        <v>43956</v>
      </c>
      <c r="D4426">
        <v>2368</v>
      </c>
      <c r="E4426">
        <v>1218</v>
      </c>
      <c r="F4426">
        <v>3519</v>
      </c>
      <c r="G4426">
        <v>2732</v>
      </c>
      <c r="H4426">
        <v>46.4</v>
      </c>
      <c r="I4426">
        <v>39.4</v>
      </c>
      <c r="J4426">
        <v>53.5</v>
      </c>
      <c r="K4426">
        <v>235</v>
      </c>
      <c r="L4426">
        <v>107</v>
      </c>
      <c r="M4426">
        <v>364</v>
      </c>
      <c r="N4426">
        <v>4.5999999999999996</v>
      </c>
      <c r="O4426">
        <v>3.3</v>
      </c>
      <c r="P4426">
        <v>5.9</v>
      </c>
      <c r="Q4426">
        <f t="shared" si="136"/>
        <v>3310774</v>
      </c>
      <c r="R4426">
        <f t="shared" si="137"/>
        <v>7.098038102268533</v>
      </c>
      <c r="U4426">
        <v>324</v>
      </c>
      <c r="V4426">
        <v>114</v>
      </c>
      <c r="W4426">
        <v>534</v>
      </c>
      <c r="X4426">
        <v>262</v>
      </c>
      <c r="Y4426">
        <v>55.3</v>
      </c>
      <c r="Z4426">
        <v>47.5</v>
      </c>
      <c r="AA4426">
        <v>63.2</v>
      </c>
    </row>
    <row r="4427" spans="1:27" x14ac:dyDescent="0.25">
      <c r="A4427" t="s">
        <v>269</v>
      </c>
      <c r="B4427" t="s">
        <v>201</v>
      </c>
      <c r="C4427" s="76">
        <v>43957</v>
      </c>
      <c r="D4427">
        <v>2436</v>
      </c>
      <c r="E4427">
        <v>1246</v>
      </c>
      <c r="F4427">
        <v>3626</v>
      </c>
      <c r="G4427">
        <v>2667</v>
      </c>
      <c r="H4427">
        <v>47.7</v>
      </c>
      <c r="I4427">
        <v>40.200000000000003</v>
      </c>
      <c r="J4427">
        <v>55.3</v>
      </c>
      <c r="K4427">
        <v>249</v>
      </c>
      <c r="L4427">
        <v>106</v>
      </c>
      <c r="M4427">
        <v>392</v>
      </c>
      <c r="N4427">
        <v>4.9000000000000004</v>
      </c>
      <c r="O4427">
        <v>3.4</v>
      </c>
      <c r="P4427">
        <v>6.4</v>
      </c>
      <c r="Q4427">
        <f t="shared" si="136"/>
        <v>3310774</v>
      </c>
      <c r="R4427">
        <f t="shared" si="137"/>
        <v>7.5208999466589992</v>
      </c>
      <c r="U4427">
        <v>339</v>
      </c>
      <c r="V4427">
        <v>122</v>
      </c>
      <c r="W4427">
        <v>556</v>
      </c>
      <c r="X4427">
        <v>245</v>
      </c>
      <c r="Y4427">
        <v>58</v>
      </c>
      <c r="Z4427">
        <v>50.3</v>
      </c>
      <c r="AA4427">
        <v>65.599999999999994</v>
      </c>
    </row>
    <row r="4428" spans="1:27" x14ac:dyDescent="0.25">
      <c r="A4428" t="s">
        <v>269</v>
      </c>
      <c r="B4428" t="s">
        <v>201</v>
      </c>
      <c r="C4428" s="76">
        <v>43958</v>
      </c>
      <c r="D4428">
        <v>2569</v>
      </c>
      <c r="E4428">
        <v>1254</v>
      </c>
      <c r="F4428">
        <v>3885</v>
      </c>
      <c r="G4428">
        <v>2547</v>
      </c>
      <c r="H4428">
        <v>50.2</v>
      </c>
      <c r="I4428">
        <v>41.8</v>
      </c>
      <c r="J4428">
        <v>58.6</v>
      </c>
      <c r="K4428">
        <v>248</v>
      </c>
      <c r="L4428">
        <v>108</v>
      </c>
      <c r="M4428">
        <v>389</v>
      </c>
      <c r="N4428">
        <v>4.9000000000000004</v>
      </c>
      <c r="O4428">
        <v>3.6</v>
      </c>
      <c r="P4428">
        <v>6.1</v>
      </c>
      <c r="Q4428">
        <f t="shared" si="136"/>
        <v>3310774</v>
      </c>
      <c r="R4428">
        <f t="shared" si="137"/>
        <v>7.4906955292025366</v>
      </c>
      <c r="U4428">
        <v>347</v>
      </c>
      <c r="V4428">
        <v>134</v>
      </c>
      <c r="W4428">
        <v>559</v>
      </c>
      <c r="X4428">
        <v>246</v>
      </c>
      <c r="Y4428">
        <v>58.5</v>
      </c>
      <c r="Z4428">
        <v>52</v>
      </c>
      <c r="AA4428">
        <v>65.099999999999994</v>
      </c>
    </row>
    <row r="4429" spans="1:27" x14ac:dyDescent="0.25">
      <c r="A4429" t="s">
        <v>269</v>
      </c>
      <c r="B4429" t="s">
        <v>201</v>
      </c>
      <c r="C4429" s="76">
        <v>43959</v>
      </c>
      <c r="D4429">
        <v>2594</v>
      </c>
      <c r="E4429">
        <v>1297</v>
      </c>
      <c r="F4429">
        <v>3892</v>
      </c>
      <c r="G4429">
        <v>2822</v>
      </c>
      <c r="H4429">
        <v>47.9</v>
      </c>
      <c r="I4429">
        <v>40.9</v>
      </c>
      <c r="J4429">
        <v>54.9</v>
      </c>
      <c r="K4429">
        <v>240</v>
      </c>
      <c r="L4429">
        <v>102</v>
      </c>
      <c r="M4429">
        <v>377</v>
      </c>
      <c r="N4429">
        <v>4.4000000000000004</v>
      </c>
      <c r="O4429">
        <v>3.2</v>
      </c>
      <c r="P4429">
        <v>5.7</v>
      </c>
      <c r="Q4429">
        <f t="shared" si="136"/>
        <v>3310774</v>
      </c>
      <c r="R4429">
        <f t="shared" si="137"/>
        <v>7.2490601895508417</v>
      </c>
      <c r="U4429">
        <v>334</v>
      </c>
      <c r="V4429">
        <v>130</v>
      </c>
      <c r="W4429">
        <v>539</v>
      </c>
      <c r="X4429">
        <v>273</v>
      </c>
      <c r="Y4429">
        <v>55</v>
      </c>
      <c r="Z4429">
        <v>46.8</v>
      </c>
      <c r="AA4429">
        <v>63.2</v>
      </c>
    </row>
    <row r="4430" spans="1:27" x14ac:dyDescent="0.25">
      <c r="A4430" t="s">
        <v>269</v>
      </c>
      <c r="B4430" t="s">
        <v>201</v>
      </c>
      <c r="C4430" s="76">
        <v>43960</v>
      </c>
      <c r="D4430">
        <v>2608</v>
      </c>
      <c r="E4430">
        <v>1265</v>
      </c>
      <c r="F4430">
        <v>3950</v>
      </c>
      <c r="G4430">
        <v>2813</v>
      </c>
      <c r="H4430">
        <v>48.1</v>
      </c>
      <c r="I4430">
        <v>40.299999999999997</v>
      </c>
      <c r="J4430">
        <v>55.9</v>
      </c>
      <c r="K4430">
        <v>182</v>
      </c>
      <c r="L4430">
        <v>65</v>
      </c>
      <c r="M4430">
        <v>298</v>
      </c>
      <c r="N4430">
        <v>3.4</v>
      </c>
      <c r="O4430">
        <v>2.2000000000000002</v>
      </c>
      <c r="P4430">
        <v>4.5</v>
      </c>
      <c r="Q4430">
        <f t="shared" si="136"/>
        <v>3310774</v>
      </c>
      <c r="R4430">
        <f t="shared" si="137"/>
        <v>5.4972039770760555</v>
      </c>
      <c r="U4430">
        <v>335</v>
      </c>
      <c r="V4430">
        <v>127</v>
      </c>
      <c r="W4430">
        <v>542</v>
      </c>
      <c r="X4430">
        <v>273</v>
      </c>
      <c r="Y4430">
        <v>55.1</v>
      </c>
      <c r="Z4430">
        <v>46.8</v>
      </c>
      <c r="AA4430">
        <v>63.3</v>
      </c>
    </row>
    <row r="4431" spans="1:27" x14ac:dyDescent="0.25">
      <c r="A4431" t="s">
        <v>269</v>
      </c>
      <c r="B4431" t="s">
        <v>201</v>
      </c>
      <c r="C4431" s="76">
        <v>43961</v>
      </c>
      <c r="D4431">
        <v>2404</v>
      </c>
      <c r="E4431">
        <v>1215</v>
      </c>
      <c r="F4431">
        <v>3592</v>
      </c>
      <c r="G4431">
        <v>3019</v>
      </c>
      <c r="H4431">
        <v>44.3</v>
      </c>
      <c r="I4431">
        <v>38.4</v>
      </c>
      <c r="J4431">
        <v>50.3</v>
      </c>
      <c r="K4431">
        <v>210</v>
      </c>
      <c r="L4431">
        <v>81</v>
      </c>
      <c r="M4431">
        <v>338</v>
      </c>
      <c r="N4431">
        <v>3.9</v>
      </c>
      <c r="O4431">
        <v>2.8</v>
      </c>
      <c r="P4431">
        <v>5</v>
      </c>
      <c r="Q4431">
        <f t="shared" si="136"/>
        <v>3310774</v>
      </c>
      <c r="R4431">
        <f t="shared" si="137"/>
        <v>6.3429276658569869</v>
      </c>
      <c r="U4431">
        <v>293</v>
      </c>
      <c r="V4431">
        <v>101</v>
      </c>
      <c r="W4431">
        <v>485</v>
      </c>
      <c r="X4431">
        <v>317</v>
      </c>
      <c r="Y4431">
        <v>48.1</v>
      </c>
      <c r="Z4431">
        <v>31.4</v>
      </c>
      <c r="AA4431">
        <v>64.7</v>
      </c>
    </row>
    <row r="4432" spans="1:27" x14ac:dyDescent="0.25">
      <c r="A4432" t="s">
        <v>269</v>
      </c>
      <c r="B4432" t="s">
        <v>201</v>
      </c>
      <c r="C4432" s="76">
        <v>43962</v>
      </c>
      <c r="D4432">
        <v>2397</v>
      </c>
      <c r="E4432">
        <v>1209</v>
      </c>
      <c r="F4432">
        <v>3586</v>
      </c>
      <c r="G4432">
        <v>3021</v>
      </c>
      <c r="H4432">
        <v>44.2</v>
      </c>
      <c r="I4432">
        <v>38.200000000000003</v>
      </c>
      <c r="J4432">
        <v>50.3</v>
      </c>
      <c r="K4432">
        <v>191</v>
      </c>
      <c r="L4432">
        <v>74</v>
      </c>
      <c r="M4432">
        <v>308</v>
      </c>
      <c r="N4432">
        <v>3.5</v>
      </c>
      <c r="O4432">
        <v>2.5</v>
      </c>
      <c r="P4432">
        <v>4.5999999999999996</v>
      </c>
      <c r="Q4432">
        <f t="shared" si="136"/>
        <v>3310774</v>
      </c>
      <c r="R4432">
        <f t="shared" si="137"/>
        <v>5.769043734184212</v>
      </c>
      <c r="U4432">
        <v>316</v>
      </c>
      <c r="V4432">
        <v>121</v>
      </c>
      <c r="W4432">
        <v>511</v>
      </c>
      <c r="X4432">
        <v>292</v>
      </c>
      <c r="Y4432">
        <v>52</v>
      </c>
      <c r="Z4432">
        <v>45.2</v>
      </c>
      <c r="AA4432">
        <v>58.8</v>
      </c>
    </row>
    <row r="4433" spans="1:27" x14ac:dyDescent="0.25">
      <c r="A4433" t="s">
        <v>269</v>
      </c>
      <c r="B4433" t="s">
        <v>201</v>
      </c>
      <c r="C4433" s="76">
        <v>43963</v>
      </c>
      <c r="D4433">
        <v>2650</v>
      </c>
      <c r="E4433">
        <v>1339</v>
      </c>
      <c r="F4433">
        <v>3961</v>
      </c>
      <c r="G4433">
        <v>2773</v>
      </c>
      <c r="H4433">
        <v>48.9</v>
      </c>
      <c r="I4433">
        <v>41.6</v>
      </c>
      <c r="J4433">
        <v>56.1</v>
      </c>
      <c r="K4433">
        <v>204</v>
      </c>
      <c r="L4433">
        <v>84</v>
      </c>
      <c r="M4433">
        <v>325</v>
      </c>
      <c r="N4433">
        <v>3.8</v>
      </c>
      <c r="O4433">
        <v>2.6</v>
      </c>
      <c r="P4433">
        <v>4.9000000000000004</v>
      </c>
      <c r="Q4433">
        <f t="shared" si="136"/>
        <v>3310774</v>
      </c>
      <c r="R4433">
        <f t="shared" si="137"/>
        <v>6.1617011611182155</v>
      </c>
      <c r="U4433">
        <v>357</v>
      </c>
      <c r="V4433">
        <v>138</v>
      </c>
      <c r="W4433">
        <v>575</v>
      </c>
      <c r="X4433">
        <v>245</v>
      </c>
      <c r="Y4433">
        <v>59.2</v>
      </c>
      <c r="Z4433">
        <v>50.9</v>
      </c>
      <c r="AA4433">
        <v>67.5</v>
      </c>
    </row>
    <row r="4434" spans="1:27" x14ac:dyDescent="0.25">
      <c r="A4434" t="s">
        <v>269</v>
      </c>
      <c r="B4434" t="s">
        <v>201</v>
      </c>
      <c r="C4434" s="76">
        <v>43964</v>
      </c>
      <c r="D4434">
        <v>2716</v>
      </c>
      <c r="E4434">
        <v>1366</v>
      </c>
      <c r="F4434">
        <v>4067</v>
      </c>
      <c r="G4434">
        <v>2714</v>
      </c>
      <c r="H4434">
        <v>50</v>
      </c>
      <c r="I4434">
        <v>43.3</v>
      </c>
      <c r="J4434">
        <v>56.8</v>
      </c>
      <c r="K4434">
        <v>221</v>
      </c>
      <c r="L4434">
        <v>91</v>
      </c>
      <c r="M4434">
        <v>351</v>
      </c>
      <c r="N4434">
        <v>4.0999999999999996</v>
      </c>
      <c r="O4434">
        <v>2.9</v>
      </c>
      <c r="P4434">
        <v>5.3</v>
      </c>
      <c r="Q4434">
        <f t="shared" si="136"/>
        <v>3310774</v>
      </c>
      <c r="R4434">
        <f t="shared" si="137"/>
        <v>6.6751762578780669</v>
      </c>
      <c r="U4434">
        <v>348</v>
      </c>
      <c r="V4434">
        <v>125</v>
      </c>
      <c r="W4434">
        <v>571</v>
      </c>
      <c r="X4434">
        <v>265</v>
      </c>
      <c r="Y4434">
        <v>56.8</v>
      </c>
      <c r="Z4434">
        <v>49</v>
      </c>
      <c r="AA4434">
        <v>64.5</v>
      </c>
    </row>
    <row r="4435" spans="1:27" x14ac:dyDescent="0.25">
      <c r="A4435" t="s">
        <v>269</v>
      </c>
      <c r="B4435" t="s">
        <v>201</v>
      </c>
      <c r="C4435" s="76">
        <v>43965</v>
      </c>
      <c r="D4435">
        <v>2706</v>
      </c>
      <c r="E4435">
        <v>1371</v>
      </c>
      <c r="F4435">
        <v>4042</v>
      </c>
      <c r="G4435">
        <v>2731</v>
      </c>
      <c r="H4435">
        <v>49.8</v>
      </c>
      <c r="I4435">
        <v>43.6</v>
      </c>
      <c r="J4435">
        <v>56</v>
      </c>
      <c r="K4435">
        <v>201</v>
      </c>
      <c r="L4435">
        <v>70</v>
      </c>
      <c r="M4435">
        <v>331</v>
      </c>
      <c r="N4435">
        <v>3.7</v>
      </c>
      <c r="O4435">
        <v>2.4</v>
      </c>
      <c r="P4435">
        <v>5</v>
      </c>
      <c r="Q4435">
        <f t="shared" si="136"/>
        <v>3310774</v>
      </c>
      <c r="R4435">
        <f t="shared" si="137"/>
        <v>6.0710879087488303</v>
      </c>
      <c r="U4435">
        <v>354</v>
      </c>
      <c r="V4435">
        <v>122</v>
      </c>
      <c r="W4435">
        <v>586</v>
      </c>
      <c r="X4435">
        <v>259</v>
      </c>
      <c r="Y4435">
        <v>57.7</v>
      </c>
      <c r="Z4435">
        <v>49</v>
      </c>
      <c r="AA4435">
        <v>66.5</v>
      </c>
    </row>
    <row r="4436" spans="1:27" x14ac:dyDescent="0.25">
      <c r="A4436" t="s">
        <v>269</v>
      </c>
      <c r="B4436" t="s">
        <v>201</v>
      </c>
      <c r="C4436" s="76">
        <v>43966</v>
      </c>
      <c r="D4436">
        <v>2681</v>
      </c>
      <c r="E4436">
        <v>1340</v>
      </c>
      <c r="F4436">
        <v>4023</v>
      </c>
      <c r="G4436">
        <v>2763</v>
      </c>
      <c r="H4436">
        <v>49.3</v>
      </c>
      <c r="I4436">
        <v>42.5</v>
      </c>
      <c r="J4436">
        <v>56</v>
      </c>
      <c r="K4436">
        <v>251</v>
      </c>
      <c r="L4436">
        <v>106</v>
      </c>
      <c r="M4436">
        <v>396</v>
      </c>
      <c r="N4436">
        <v>4.5999999999999996</v>
      </c>
      <c r="O4436">
        <v>3.4</v>
      </c>
      <c r="P4436">
        <v>5.8</v>
      </c>
      <c r="Q4436">
        <f t="shared" si="136"/>
        <v>3310774</v>
      </c>
      <c r="R4436">
        <f t="shared" si="137"/>
        <v>7.5813087815719227</v>
      </c>
      <c r="U4436">
        <v>384</v>
      </c>
      <c r="V4436">
        <v>146</v>
      </c>
      <c r="W4436">
        <v>622</v>
      </c>
      <c r="X4436">
        <v>235</v>
      </c>
      <c r="Y4436">
        <v>62</v>
      </c>
      <c r="Z4436">
        <v>55</v>
      </c>
      <c r="AA4436">
        <v>69</v>
      </c>
    </row>
    <row r="4437" spans="1:27" x14ac:dyDescent="0.25">
      <c r="A4437" t="s">
        <v>269</v>
      </c>
      <c r="B4437" t="s">
        <v>201</v>
      </c>
      <c r="C4437" s="76">
        <v>43967</v>
      </c>
      <c r="D4437">
        <v>2507</v>
      </c>
      <c r="E4437">
        <v>1274</v>
      </c>
      <c r="F4437">
        <v>3739</v>
      </c>
      <c r="G4437">
        <v>2903</v>
      </c>
      <c r="H4437">
        <v>46.3</v>
      </c>
      <c r="I4437">
        <v>40.200000000000003</v>
      </c>
      <c r="J4437">
        <v>52.5</v>
      </c>
      <c r="K4437">
        <v>221</v>
      </c>
      <c r="L4437">
        <v>82</v>
      </c>
      <c r="M4437">
        <v>359</v>
      </c>
      <c r="N4437">
        <v>4.0999999999999996</v>
      </c>
      <c r="O4437">
        <v>2.7</v>
      </c>
      <c r="P4437">
        <v>5.5</v>
      </c>
      <c r="Q4437">
        <f t="shared" si="136"/>
        <v>3310774</v>
      </c>
      <c r="R4437">
        <f t="shared" si="137"/>
        <v>6.6751762578780669</v>
      </c>
      <c r="U4437">
        <v>337</v>
      </c>
      <c r="V4437">
        <v>115</v>
      </c>
      <c r="W4437">
        <v>560</v>
      </c>
      <c r="X4437">
        <v>296</v>
      </c>
      <c r="Y4437">
        <v>53.3</v>
      </c>
      <c r="Z4437">
        <v>39.200000000000003</v>
      </c>
      <c r="AA4437">
        <v>67.400000000000006</v>
      </c>
    </row>
    <row r="4438" spans="1:27" x14ac:dyDescent="0.25">
      <c r="A4438" t="s">
        <v>269</v>
      </c>
      <c r="B4438" t="s">
        <v>201</v>
      </c>
      <c r="C4438" s="76">
        <v>43968</v>
      </c>
      <c r="D4438">
        <v>2518</v>
      </c>
      <c r="E4438">
        <v>1263</v>
      </c>
      <c r="F4438">
        <v>3773</v>
      </c>
      <c r="G4438">
        <v>2892</v>
      </c>
      <c r="H4438">
        <v>46.5</v>
      </c>
      <c r="I4438">
        <v>39.6</v>
      </c>
      <c r="J4438">
        <v>53.5</v>
      </c>
      <c r="K4438">
        <v>186</v>
      </c>
      <c r="L4438">
        <v>56</v>
      </c>
      <c r="M4438">
        <v>316</v>
      </c>
      <c r="N4438">
        <v>3.4</v>
      </c>
      <c r="O4438">
        <v>2.1</v>
      </c>
      <c r="P4438">
        <v>4.8</v>
      </c>
      <c r="Q4438">
        <f t="shared" si="136"/>
        <v>3310774</v>
      </c>
      <c r="R4438">
        <f t="shared" si="137"/>
        <v>5.6180216469019024</v>
      </c>
      <c r="U4438">
        <v>331</v>
      </c>
      <c r="V4438">
        <v>117</v>
      </c>
      <c r="W4438">
        <v>546</v>
      </c>
      <c r="X4438">
        <v>274</v>
      </c>
      <c r="Y4438">
        <v>54.7</v>
      </c>
      <c r="Z4438">
        <v>44.4</v>
      </c>
      <c r="AA4438">
        <v>65</v>
      </c>
    </row>
    <row r="4439" spans="1:27" x14ac:dyDescent="0.25">
      <c r="A4439" t="s">
        <v>269</v>
      </c>
      <c r="B4439" t="s">
        <v>201</v>
      </c>
      <c r="C4439" s="76">
        <v>43969</v>
      </c>
      <c r="D4439">
        <v>2337</v>
      </c>
      <c r="E4439">
        <v>1124</v>
      </c>
      <c r="F4439">
        <v>3549</v>
      </c>
      <c r="G4439">
        <v>2861</v>
      </c>
      <c r="H4439">
        <v>45</v>
      </c>
      <c r="I4439">
        <v>39</v>
      </c>
      <c r="J4439">
        <v>50.9</v>
      </c>
      <c r="K4439">
        <v>190</v>
      </c>
      <c r="L4439">
        <v>64</v>
      </c>
      <c r="M4439">
        <v>315</v>
      </c>
      <c r="N4439">
        <v>3.6</v>
      </c>
      <c r="O4439">
        <v>2.4</v>
      </c>
      <c r="P4439">
        <v>4.9000000000000004</v>
      </c>
      <c r="Q4439">
        <f t="shared" si="136"/>
        <v>3310774</v>
      </c>
      <c r="R4439">
        <f t="shared" si="137"/>
        <v>5.7388393167277503</v>
      </c>
      <c r="U4439">
        <v>303</v>
      </c>
      <c r="V4439">
        <v>104</v>
      </c>
      <c r="W4439">
        <v>502</v>
      </c>
      <c r="X4439">
        <v>249</v>
      </c>
      <c r="Y4439">
        <v>54.9</v>
      </c>
      <c r="Z4439">
        <v>44.8</v>
      </c>
      <c r="AA4439">
        <v>64.900000000000006</v>
      </c>
    </row>
    <row r="4440" spans="1:27" x14ac:dyDescent="0.25">
      <c r="A4440" t="s">
        <v>269</v>
      </c>
      <c r="B4440" t="s">
        <v>201</v>
      </c>
      <c r="C4440" s="76">
        <v>43970</v>
      </c>
      <c r="D4440">
        <v>2660</v>
      </c>
      <c r="E4440">
        <v>1288</v>
      </c>
      <c r="F4440">
        <v>4032</v>
      </c>
      <c r="G4440">
        <v>2558</v>
      </c>
      <c r="H4440">
        <v>51</v>
      </c>
      <c r="I4440">
        <v>44.3</v>
      </c>
      <c r="J4440">
        <v>57.7</v>
      </c>
      <c r="K4440">
        <v>190</v>
      </c>
      <c r="L4440">
        <v>64</v>
      </c>
      <c r="M4440">
        <v>316</v>
      </c>
      <c r="N4440">
        <v>3.6</v>
      </c>
      <c r="O4440">
        <v>2.2000000000000002</v>
      </c>
      <c r="P4440">
        <v>5.0999999999999996</v>
      </c>
      <c r="Q4440">
        <f t="shared" si="136"/>
        <v>3310774</v>
      </c>
      <c r="R4440">
        <f t="shared" si="137"/>
        <v>5.7388393167277503</v>
      </c>
      <c r="U4440">
        <v>317</v>
      </c>
      <c r="V4440">
        <v>112</v>
      </c>
      <c r="W4440">
        <v>522</v>
      </c>
      <c r="X4440">
        <v>217</v>
      </c>
      <c r="Y4440">
        <v>59.4</v>
      </c>
      <c r="Z4440">
        <v>51.9</v>
      </c>
      <c r="AA4440">
        <v>66.8</v>
      </c>
    </row>
    <row r="4441" spans="1:27" x14ac:dyDescent="0.25">
      <c r="A4441" t="s">
        <v>269</v>
      </c>
      <c r="B4441" t="s">
        <v>201</v>
      </c>
      <c r="C4441" s="76">
        <v>43971</v>
      </c>
      <c r="D4441">
        <v>2732</v>
      </c>
      <c r="E4441">
        <v>1345</v>
      </c>
      <c r="F4441">
        <v>4118</v>
      </c>
      <c r="G4441">
        <v>2491</v>
      </c>
      <c r="H4441">
        <v>52.3</v>
      </c>
      <c r="I4441">
        <v>46.1</v>
      </c>
      <c r="J4441">
        <v>58.5</v>
      </c>
      <c r="K4441">
        <v>169</v>
      </c>
      <c r="L4441">
        <v>56</v>
      </c>
      <c r="M4441">
        <v>282</v>
      </c>
      <c r="N4441">
        <v>3.2</v>
      </c>
      <c r="O4441">
        <v>2.1</v>
      </c>
      <c r="P4441">
        <v>4.4000000000000004</v>
      </c>
      <c r="Q4441">
        <f t="shared" si="136"/>
        <v>3310774</v>
      </c>
      <c r="R4441">
        <f t="shared" si="137"/>
        <v>5.1045465501420511</v>
      </c>
      <c r="U4441">
        <v>335</v>
      </c>
      <c r="V4441">
        <v>112</v>
      </c>
      <c r="W4441">
        <v>557</v>
      </c>
      <c r="X4441">
        <v>204</v>
      </c>
      <c r="Y4441">
        <v>62.1</v>
      </c>
      <c r="Z4441">
        <v>51.2</v>
      </c>
      <c r="AA4441">
        <v>73</v>
      </c>
    </row>
    <row r="4442" spans="1:27" x14ac:dyDescent="0.25">
      <c r="A4442" t="s">
        <v>269</v>
      </c>
      <c r="B4442" t="s">
        <v>201</v>
      </c>
      <c r="C4442" s="76">
        <v>43972</v>
      </c>
      <c r="D4442">
        <v>2757</v>
      </c>
      <c r="E4442">
        <v>1340</v>
      </c>
      <c r="F4442">
        <v>4173</v>
      </c>
      <c r="G4442">
        <v>2471</v>
      </c>
      <c r="H4442">
        <v>52.7</v>
      </c>
      <c r="I4442">
        <v>46.3</v>
      </c>
      <c r="J4442">
        <v>59.2</v>
      </c>
      <c r="K4442">
        <v>174</v>
      </c>
      <c r="L4442">
        <v>61</v>
      </c>
      <c r="M4442">
        <v>286</v>
      </c>
      <c r="N4442">
        <v>3.3</v>
      </c>
      <c r="O4442">
        <v>2.1</v>
      </c>
      <c r="P4442">
        <v>4.5</v>
      </c>
      <c r="Q4442">
        <f t="shared" si="136"/>
        <v>3310774</v>
      </c>
      <c r="R4442">
        <f t="shared" si="137"/>
        <v>5.2555686374243606</v>
      </c>
      <c r="U4442">
        <v>328</v>
      </c>
      <c r="V4442">
        <v>113</v>
      </c>
      <c r="W4442">
        <v>543</v>
      </c>
      <c r="X4442">
        <v>216</v>
      </c>
      <c r="Y4442">
        <v>60.4</v>
      </c>
      <c r="Z4442">
        <v>50.5</v>
      </c>
      <c r="AA4442">
        <v>70.2</v>
      </c>
    </row>
    <row r="4443" spans="1:27" x14ac:dyDescent="0.25">
      <c r="A4443" t="s">
        <v>269</v>
      </c>
      <c r="B4443" t="s">
        <v>201</v>
      </c>
      <c r="C4443" s="76">
        <v>43973</v>
      </c>
      <c r="D4443">
        <v>2634</v>
      </c>
      <c r="E4443">
        <v>1265</v>
      </c>
      <c r="F4443">
        <v>4002</v>
      </c>
      <c r="G4443">
        <v>2601</v>
      </c>
      <c r="H4443">
        <v>50.3</v>
      </c>
      <c r="I4443">
        <v>43.8</v>
      </c>
      <c r="J4443">
        <v>56.8</v>
      </c>
      <c r="K4443">
        <v>148</v>
      </c>
      <c r="L4443">
        <v>48</v>
      </c>
      <c r="M4443">
        <v>248</v>
      </c>
      <c r="N4443">
        <v>2.8</v>
      </c>
      <c r="O4443">
        <v>1.7</v>
      </c>
      <c r="P4443">
        <v>4</v>
      </c>
      <c r="Q4443">
        <f t="shared" si="136"/>
        <v>3310774</v>
      </c>
      <c r="R4443">
        <f t="shared" si="137"/>
        <v>4.4702537835563527</v>
      </c>
      <c r="U4443">
        <v>294</v>
      </c>
      <c r="V4443">
        <v>91</v>
      </c>
      <c r="W4443">
        <v>497</v>
      </c>
      <c r="X4443">
        <v>243</v>
      </c>
      <c r="Y4443">
        <v>54.7</v>
      </c>
      <c r="Z4443">
        <v>44.7</v>
      </c>
      <c r="AA4443">
        <v>64.7</v>
      </c>
    </row>
    <row r="4444" spans="1:27" x14ac:dyDescent="0.25">
      <c r="A4444" t="s">
        <v>269</v>
      </c>
      <c r="B4444" t="s">
        <v>201</v>
      </c>
      <c r="C4444" s="76">
        <v>43974</v>
      </c>
      <c r="D4444">
        <v>2603</v>
      </c>
      <c r="E4444">
        <v>1246</v>
      </c>
      <c r="F4444">
        <v>3960</v>
      </c>
      <c r="G4444">
        <v>2601</v>
      </c>
      <c r="H4444">
        <v>50</v>
      </c>
      <c r="I4444">
        <v>43.5</v>
      </c>
      <c r="J4444">
        <v>56.5</v>
      </c>
      <c r="K4444">
        <v>160</v>
      </c>
      <c r="L4444">
        <v>51</v>
      </c>
      <c r="M4444">
        <v>269</v>
      </c>
      <c r="N4444">
        <v>3.1</v>
      </c>
      <c r="O4444">
        <v>1.8</v>
      </c>
      <c r="P4444">
        <v>4.3</v>
      </c>
      <c r="Q4444">
        <f t="shared" si="136"/>
        <v>3310774</v>
      </c>
      <c r="R4444">
        <f t="shared" si="137"/>
        <v>4.8327067930338945</v>
      </c>
      <c r="U4444">
        <v>300</v>
      </c>
      <c r="V4444">
        <v>97</v>
      </c>
      <c r="W4444">
        <v>504</v>
      </c>
      <c r="X4444">
        <v>257</v>
      </c>
      <c r="Y4444">
        <v>53.9</v>
      </c>
      <c r="Z4444">
        <v>43.6</v>
      </c>
      <c r="AA4444">
        <v>64.3</v>
      </c>
    </row>
    <row r="4445" spans="1:27" x14ac:dyDescent="0.25">
      <c r="A4445" t="s">
        <v>269</v>
      </c>
      <c r="B4445" t="s">
        <v>201</v>
      </c>
      <c r="C4445" s="76">
        <v>43975</v>
      </c>
      <c r="D4445">
        <v>2445</v>
      </c>
      <c r="E4445">
        <v>1140</v>
      </c>
      <c r="F4445">
        <v>3750</v>
      </c>
      <c r="G4445">
        <v>2747</v>
      </c>
      <c r="H4445">
        <v>47.1</v>
      </c>
      <c r="I4445">
        <v>40.299999999999997</v>
      </c>
      <c r="J4445">
        <v>53.9</v>
      </c>
      <c r="K4445">
        <v>160</v>
      </c>
      <c r="L4445">
        <v>57</v>
      </c>
      <c r="M4445">
        <v>264</v>
      </c>
      <c r="N4445">
        <v>3.1</v>
      </c>
      <c r="O4445">
        <v>2</v>
      </c>
      <c r="P4445">
        <v>4.2</v>
      </c>
      <c r="Q4445">
        <f t="shared" si="136"/>
        <v>3310774</v>
      </c>
      <c r="R4445">
        <f t="shared" si="137"/>
        <v>4.8327067930338945</v>
      </c>
      <c r="U4445">
        <v>288</v>
      </c>
      <c r="V4445">
        <v>95</v>
      </c>
      <c r="W4445">
        <v>481</v>
      </c>
      <c r="X4445">
        <v>247</v>
      </c>
      <c r="Y4445">
        <v>53.9</v>
      </c>
      <c r="Z4445">
        <v>45.8</v>
      </c>
      <c r="AA4445">
        <v>62.1</v>
      </c>
    </row>
    <row r="4446" spans="1:27" x14ac:dyDescent="0.25">
      <c r="A4446" t="s">
        <v>269</v>
      </c>
      <c r="B4446" t="s">
        <v>201</v>
      </c>
      <c r="C4446" s="76">
        <v>43976</v>
      </c>
      <c r="D4446">
        <v>2322</v>
      </c>
      <c r="E4446">
        <v>1060</v>
      </c>
      <c r="F4446">
        <v>3584</v>
      </c>
      <c r="G4446">
        <v>2829</v>
      </c>
      <c r="H4446">
        <v>45.1</v>
      </c>
      <c r="I4446">
        <v>38.6</v>
      </c>
      <c r="J4446">
        <v>51.6</v>
      </c>
      <c r="K4446">
        <v>124</v>
      </c>
      <c r="L4446">
        <v>37</v>
      </c>
      <c r="M4446">
        <v>211</v>
      </c>
      <c r="N4446">
        <v>2.4</v>
      </c>
      <c r="O4446">
        <v>1.4</v>
      </c>
      <c r="P4446">
        <v>3.4</v>
      </c>
      <c r="Q4446">
        <f t="shared" si="136"/>
        <v>3310774</v>
      </c>
      <c r="R4446">
        <f t="shared" si="137"/>
        <v>3.7453477646012683</v>
      </c>
      <c r="U4446">
        <v>302</v>
      </c>
      <c r="V4446">
        <v>95</v>
      </c>
      <c r="W4446">
        <v>508</v>
      </c>
      <c r="X4446">
        <v>232</v>
      </c>
      <c r="Y4446">
        <v>56.6</v>
      </c>
      <c r="Z4446">
        <v>46.9</v>
      </c>
      <c r="AA4446">
        <v>66.2</v>
      </c>
    </row>
    <row r="4447" spans="1:27" x14ac:dyDescent="0.25">
      <c r="A4447" t="s">
        <v>269</v>
      </c>
      <c r="B4447" t="s">
        <v>201</v>
      </c>
      <c r="C4447" s="76">
        <v>43977</v>
      </c>
      <c r="D4447">
        <v>2611</v>
      </c>
      <c r="E4447">
        <v>1195</v>
      </c>
      <c r="F4447">
        <v>4027</v>
      </c>
      <c r="G4447">
        <v>2672</v>
      </c>
      <c r="H4447">
        <v>49.4</v>
      </c>
      <c r="I4447">
        <v>42</v>
      </c>
      <c r="J4447">
        <v>56.8</v>
      </c>
      <c r="K4447">
        <v>191</v>
      </c>
      <c r="L4447">
        <v>71</v>
      </c>
      <c r="M4447">
        <v>310</v>
      </c>
      <c r="N4447">
        <v>3.6</v>
      </c>
      <c r="O4447">
        <v>2.4</v>
      </c>
      <c r="P4447">
        <v>4.8</v>
      </c>
      <c r="Q4447">
        <f t="shared" si="136"/>
        <v>3310774</v>
      </c>
      <c r="R4447">
        <f t="shared" si="137"/>
        <v>5.769043734184212</v>
      </c>
      <c r="U4447">
        <v>327</v>
      </c>
      <c r="V4447">
        <v>105</v>
      </c>
      <c r="W4447">
        <v>550</v>
      </c>
      <c r="X4447">
        <v>224</v>
      </c>
      <c r="Y4447">
        <v>59.4</v>
      </c>
      <c r="Z4447">
        <v>47.9</v>
      </c>
      <c r="AA4447">
        <v>70.8</v>
      </c>
    </row>
    <row r="4448" spans="1:27" x14ac:dyDescent="0.25">
      <c r="A4448" t="s">
        <v>269</v>
      </c>
      <c r="B4448" t="s">
        <v>201</v>
      </c>
      <c r="C4448" s="76">
        <v>43978</v>
      </c>
      <c r="D4448">
        <v>2732</v>
      </c>
      <c r="E4448">
        <v>1284</v>
      </c>
      <c r="F4448">
        <v>4180</v>
      </c>
      <c r="G4448">
        <v>2556</v>
      </c>
      <c r="H4448">
        <v>51.7</v>
      </c>
      <c r="I4448">
        <v>44.9</v>
      </c>
      <c r="J4448">
        <v>58.4</v>
      </c>
      <c r="K4448">
        <v>157</v>
      </c>
      <c r="L4448">
        <v>58</v>
      </c>
      <c r="M4448">
        <v>255</v>
      </c>
      <c r="N4448">
        <v>3</v>
      </c>
      <c r="O4448">
        <v>1.9</v>
      </c>
      <c r="P4448">
        <v>4</v>
      </c>
      <c r="Q4448">
        <f t="shared" si="136"/>
        <v>3310774</v>
      </c>
      <c r="R4448">
        <f t="shared" si="137"/>
        <v>4.7420935406645093</v>
      </c>
      <c r="U4448">
        <v>328</v>
      </c>
      <c r="V4448">
        <v>103</v>
      </c>
      <c r="W4448">
        <v>552</v>
      </c>
      <c r="X4448">
        <v>221</v>
      </c>
      <c r="Y4448">
        <v>59.7</v>
      </c>
      <c r="Z4448">
        <v>47.7</v>
      </c>
      <c r="AA4448">
        <v>71.7</v>
      </c>
    </row>
    <row r="4449" spans="1:27" x14ac:dyDescent="0.25">
      <c r="A4449" t="s">
        <v>269</v>
      </c>
      <c r="B4449" t="s">
        <v>201</v>
      </c>
      <c r="C4449" s="76">
        <v>43979</v>
      </c>
      <c r="D4449">
        <v>2781</v>
      </c>
      <c r="E4449">
        <v>1274</v>
      </c>
      <c r="F4449">
        <v>4288</v>
      </c>
      <c r="G4449">
        <v>2506</v>
      </c>
      <c r="H4449">
        <v>52.6</v>
      </c>
      <c r="I4449">
        <v>45.8</v>
      </c>
      <c r="J4449">
        <v>59.4</v>
      </c>
      <c r="K4449">
        <v>149</v>
      </c>
      <c r="L4449">
        <v>53</v>
      </c>
      <c r="M4449">
        <v>244</v>
      </c>
      <c r="N4449">
        <v>2.8</v>
      </c>
      <c r="O4449">
        <v>1.7</v>
      </c>
      <c r="P4449">
        <v>3.9</v>
      </c>
      <c r="Q4449">
        <f t="shared" si="136"/>
        <v>3310774</v>
      </c>
      <c r="R4449">
        <f t="shared" si="137"/>
        <v>4.5004582010128145</v>
      </c>
      <c r="U4449">
        <v>339</v>
      </c>
      <c r="V4449">
        <v>108</v>
      </c>
      <c r="W4449">
        <v>570</v>
      </c>
      <c r="X4449">
        <v>231</v>
      </c>
      <c r="Y4449">
        <v>59.5</v>
      </c>
      <c r="Z4449">
        <v>47.2</v>
      </c>
      <c r="AA4449">
        <v>71.8</v>
      </c>
    </row>
    <row r="4450" spans="1:27" x14ac:dyDescent="0.25">
      <c r="A4450" t="s">
        <v>269</v>
      </c>
      <c r="B4450" t="s">
        <v>201</v>
      </c>
      <c r="C4450" s="76">
        <v>43980</v>
      </c>
      <c r="D4450">
        <v>2941</v>
      </c>
      <c r="E4450">
        <v>1427</v>
      </c>
      <c r="F4450">
        <v>4456</v>
      </c>
      <c r="G4450">
        <v>2393</v>
      </c>
      <c r="H4450">
        <v>55.1</v>
      </c>
      <c r="I4450">
        <v>48.1</v>
      </c>
      <c r="J4450">
        <v>62.2</v>
      </c>
      <c r="K4450">
        <v>187</v>
      </c>
      <c r="L4450">
        <v>57</v>
      </c>
      <c r="M4450">
        <v>317</v>
      </c>
      <c r="N4450">
        <v>3.5</v>
      </c>
      <c r="O4450">
        <v>1.8</v>
      </c>
      <c r="P4450">
        <v>5.2</v>
      </c>
      <c r="Q4450">
        <f t="shared" si="136"/>
        <v>3310774</v>
      </c>
      <c r="R4450">
        <f t="shared" si="137"/>
        <v>5.6482260643583651</v>
      </c>
      <c r="U4450">
        <v>335</v>
      </c>
      <c r="V4450">
        <v>130</v>
      </c>
      <c r="W4450">
        <v>541</v>
      </c>
      <c r="X4450">
        <v>211</v>
      </c>
      <c r="Y4450">
        <v>61.4</v>
      </c>
      <c r="Z4450">
        <v>52.5</v>
      </c>
      <c r="AA4450">
        <v>70.3</v>
      </c>
    </row>
    <row r="4451" spans="1:27" x14ac:dyDescent="0.25">
      <c r="A4451" t="s">
        <v>269</v>
      </c>
      <c r="B4451" t="s">
        <v>201</v>
      </c>
      <c r="C4451" s="76">
        <v>43981</v>
      </c>
      <c r="D4451">
        <v>2759</v>
      </c>
      <c r="E4451">
        <v>1297</v>
      </c>
      <c r="F4451">
        <v>4222</v>
      </c>
      <c r="G4451">
        <v>2573</v>
      </c>
      <c r="H4451">
        <v>51.7</v>
      </c>
      <c r="I4451">
        <v>44.3</v>
      </c>
      <c r="J4451">
        <v>59.2</v>
      </c>
      <c r="K4451">
        <v>172</v>
      </c>
      <c r="L4451">
        <v>58</v>
      </c>
      <c r="M4451">
        <v>286</v>
      </c>
      <c r="N4451">
        <v>3.2</v>
      </c>
      <c r="O4451">
        <v>1.8</v>
      </c>
      <c r="P4451">
        <v>4.5999999999999996</v>
      </c>
      <c r="Q4451">
        <f t="shared" si="136"/>
        <v>3310774</v>
      </c>
      <c r="R4451">
        <f t="shared" si="137"/>
        <v>5.1951598025114372</v>
      </c>
      <c r="U4451">
        <v>329</v>
      </c>
      <c r="V4451">
        <v>111</v>
      </c>
      <c r="W4451">
        <v>547</v>
      </c>
      <c r="X4451">
        <v>224</v>
      </c>
      <c r="Y4451">
        <v>59.5</v>
      </c>
      <c r="Z4451">
        <v>42.6</v>
      </c>
      <c r="AA4451">
        <v>76.400000000000006</v>
      </c>
    </row>
    <row r="4452" spans="1:27" x14ac:dyDescent="0.25">
      <c r="A4452" t="s">
        <v>269</v>
      </c>
      <c r="B4452" t="s">
        <v>201</v>
      </c>
      <c r="C4452" s="76">
        <v>43982</v>
      </c>
      <c r="D4452">
        <v>2695</v>
      </c>
      <c r="E4452">
        <v>1213</v>
      </c>
      <c r="F4452">
        <v>4176</v>
      </c>
      <c r="G4452">
        <v>2590</v>
      </c>
      <c r="H4452">
        <v>51</v>
      </c>
      <c r="I4452">
        <v>43.4</v>
      </c>
      <c r="J4452">
        <v>58.5</v>
      </c>
      <c r="K4452">
        <v>166</v>
      </c>
      <c r="L4452">
        <v>60</v>
      </c>
      <c r="M4452">
        <v>272</v>
      </c>
      <c r="N4452">
        <v>3.1</v>
      </c>
      <c r="O4452">
        <v>1.9</v>
      </c>
      <c r="P4452">
        <v>4.4000000000000004</v>
      </c>
      <c r="Q4452">
        <f t="shared" si="136"/>
        <v>3310774</v>
      </c>
      <c r="R4452">
        <f t="shared" si="137"/>
        <v>5.0139332977726658</v>
      </c>
      <c r="U4452">
        <v>305</v>
      </c>
      <c r="V4452">
        <v>103</v>
      </c>
      <c r="W4452">
        <v>506</v>
      </c>
      <c r="X4452">
        <v>261</v>
      </c>
      <c r="Y4452">
        <v>53.8</v>
      </c>
      <c r="Z4452">
        <v>46.4</v>
      </c>
      <c r="AA4452">
        <v>61.2</v>
      </c>
    </row>
    <row r="4453" spans="1:27" x14ac:dyDescent="0.25">
      <c r="A4453" t="s">
        <v>269</v>
      </c>
      <c r="B4453" t="s">
        <v>201</v>
      </c>
      <c r="C4453" s="76">
        <v>43983</v>
      </c>
      <c r="D4453">
        <v>2485</v>
      </c>
      <c r="E4453">
        <v>1118</v>
      </c>
      <c r="F4453">
        <v>3851</v>
      </c>
      <c r="G4453">
        <v>2788</v>
      </c>
      <c r="H4453">
        <v>47.1</v>
      </c>
      <c r="I4453">
        <v>40</v>
      </c>
      <c r="J4453">
        <v>54.2</v>
      </c>
      <c r="K4453">
        <v>157</v>
      </c>
      <c r="L4453">
        <v>49</v>
      </c>
      <c r="M4453">
        <v>265</v>
      </c>
      <c r="N4453">
        <v>3</v>
      </c>
      <c r="O4453">
        <v>1.7</v>
      </c>
      <c r="P4453">
        <v>4.3</v>
      </c>
      <c r="Q4453">
        <f t="shared" si="136"/>
        <v>3310774</v>
      </c>
      <c r="R4453">
        <f t="shared" si="137"/>
        <v>4.7420935406645093</v>
      </c>
      <c r="U4453">
        <v>301</v>
      </c>
      <c r="V4453">
        <v>110</v>
      </c>
      <c r="W4453">
        <v>491</v>
      </c>
      <c r="X4453">
        <v>263</v>
      </c>
      <c r="Y4453">
        <v>53.4</v>
      </c>
      <c r="Z4453">
        <v>44.1</v>
      </c>
      <c r="AA4453">
        <v>62.6</v>
      </c>
    </row>
    <row r="4454" spans="1:27" x14ac:dyDescent="0.25">
      <c r="A4454" t="s">
        <v>269</v>
      </c>
      <c r="B4454" t="s">
        <v>201</v>
      </c>
      <c r="C4454" s="76">
        <v>43984</v>
      </c>
      <c r="D4454">
        <v>2790</v>
      </c>
      <c r="E4454">
        <v>1311</v>
      </c>
      <c r="F4454">
        <v>4268</v>
      </c>
      <c r="G4454">
        <v>2512</v>
      </c>
      <c r="H4454">
        <v>52.6</v>
      </c>
      <c r="I4454">
        <v>45.8</v>
      </c>
      <c r="J4454">
        <v>59.5</v>
      </c>
      <c r="K4454">
        <v>178</v>
      </c>
      <c r="L4454">
        <v>63</v>
      </c>
      <c r="M4454">
        <v>292</v>
      </c>
      <c r="N4454">
        <v>3.4</v>
      </c>
      <c r="O4454">
        <v>2</v>
      </c>
      <c r="P4454">
        <v>4.7</v>
      </c>
      <c r="Q4454">
        <f t="shared" si="136"/>
        <v>3310774</v>
      </c>
      <c r="R4454">
        <f t="shared" si="137"/>
        <v>5.3763863072502076</v>
      </c>
      <c r="U4454">
        <v>323</v>
      </c>
      <c r="V4454">
        <v>132</v>
      </c>
      <c r="W4454">
        <v>513</v>
      </c>
      <c r="X4454">
        <v>243</v>
      </c>
      <c r="Y4454">
        <v>57.1</v>
      </c>
      <c r="Z4454">
        <v>48.7</v>
      </c>
      <c r="AA4454">
        <v>65.400000000000006</v>
      </c>
    </row>
    <row r="4455" spans="1:27" x14ac:dyDescent="0.25">
      <c r="A4455" t="s">
        <v>269</v>
      </c>
      <c r="B4455" t="s">
        <v>201</v>
      </c>
      <c r="C4455" s="76">
        <v>43985</v>
      </c>
      <c r="D4455">
        <v>2996</v>
      </c>
      <c r="E4455">
        <v>1443</v>
      </c>
      <c r="F4455">
        <v>4549</v>
      </c>
      <c r="G4455">
        <v>2338</v>
      </c>
      <c r="H4455">
        <v>56.2</v>
      </c>
      <c r="I4455">
        <v>49.5</v>
      </c>
      <c r="J4455">
        <v>62.8</v>
      </c>
      <c r="K4455">
        <v>169</v>
      </c>
      <c r="L4455">
        <v>62</v>
      </c>
      <c r="M4455">
        <v>277</v>
      </c>
      <c r="N4455">
        <v>3.2</v>
      </c>
      <c r="O4455">
        <v>1.9</v>
      </c>
      <c r="P4455">
        <v>4.5</v>
      </c>
      <c r="Q4455">
        <f t="shared" ref="Q4455:Q4518" si="138">VLOOKUP(B4455,$AE$4:$AF$55,2,FALSE)</f>
        <v>3310774</v>
      </c>
      <c r="R4455">
        <f t="shared" si="137"/>
        <v>5.1045465501420511</v>
      </c>
      <c r="U4455">
        <v>326</v>
      </c>
      <c r="V4455">
        <v>129</v>
      </c>
      <c r="W4455">
        <v>524</v>
      </c>
      <c r="X4455">
        <v>237</v>
      </c>
      <c r="Y4455">
        <v>57.9</v>
      </c>
      <c r="Z4455">
        <v>48.8</v>
      </c>
      <c r="AA4455">
        <v>67.099999999999994</v>
      </c>
    </row>
    <row r="4456" spans="1:27" x14ac:dyDescent="0.25">
      <c r="A4456" t="s">
        <v>269</v>
      </c>
      <c r="B4456" t="s">
        <v>201</v>
      </c>
      <c r="C4456" s="76">
        <v>43986</v>
      </c>
      <c r="D4456">
        <v>2944</v>
      </c>
      <c r="E4456">
        <v>1368</v>
      </c>
      <c r="F4456">
        <v>4520</v>
      </c>
      <c r="G4456">
        <v>2372</v>
      </c>
      <c r="H4456">
        <v>55.4</v>
      </c>
      <c r="I4456">
        <v>47.8</v>
      </c>
      <c r="J4456">
        <v>63</v>
      </c>
      <c r="K4456">
        <v>168</v>
      </c>
      <c r="L4456">
        <v>48</v>
      </c>
      <c r="M4456">
        <v>288</v>
      </c>
      <c r="N4456">
        <v>3.2</v>
      </c>
      <c r="O4456">
        <v>1.7</v>
      </c>
      <c r="P4456">
        <v>4.5999999999999996</v>
      </c>
      <c r="Q4456">
        <f t="shared" si="138"/>
        <v>3310774</v>
      </c>
      <c r="R4456">
        <f t="shared" si="137"/>
        <v>5.0743421326855893</v>
      </c>
      <c r="U4456">
        <v>560</v>
      </c>
      <c r="V4456">
        <v>158</v>
      </c>
      <c r="W4456">
        <v>962</v>
      </c>
      <c r="X4456">
        <v>383</v>
      </c>
      <c r="Y4456">
        <v>59.4</v>
      </c>
      <c r="Z4456">
        <v>51.9</v>
      </c>
      <c r="AA4456">
        <v>67</v>
      </c>
    </row>
    <row r="4457" spans="1:27" x14ac:dyDescent="0.25">
      <c r="A4457" t="s">
        <v>269</v>
      </c>
      <c r="B4457" t="s">
        <v>201</v>
      </c>
      <c r="C4457" s="76">
        <v>43987</v>
      </c>
      <c r="D4457">
        <v>3006</v>
      </c>
      <c r="E4457">
        <v>1405</v>
      </c>
      <c r="F4457">
        <v>4606</v>
      </c>
      <c r="G4457">
        <v>2521</v>
      </c>
      <c r="H4457">
        <v>54.4</v>
      </c>
      <c r="I4457">
        <v>46.9</v>
      </c>
      <c r="J4457">
        <v>61.9</v>
      </c>
      <c r="K4457">
        <v>251</v>
      </c>
      <c r="L4457">
        <v>90</v>
      </c>
      <c r="M4457">
        <v>412</v>
      </c>
      <c r="N4457">
        <v>4.5</v>
      </c>
      <c r="O4457">
        <v>2.8</v>
      </c>
      <c r="P4457">
        <v>6.3</v>
      </c>
      <c r="Q4457">
        <f t="shared" si="138"/>
        <v>3310774</v>
      </c>
      <c r="R4457">
        <f t="shared" si="137"/>
        <v>7.5813087815719227</v>
      </c>
      <c r="U4457">
        <v>597</v>
      </c>
      <c r="V4457">
        <v>193</v>
      </c>
      <c r="W4457">
        <v>1002</v>
      </c>
      <c r="X4457">
        <v>449</v>
      </c>
      <c r="Y4457">
        <v>57.1</v>
      </c>
      <c r="Z4457">
        <v>49.2</v>
      </c>
      <c r="AA4457">
        <v>65</v>
      </c>
    </row>
    <row r="4458" spans="1:27" x14ac:dyDescent="0.25">
      <c r="A4458" t="s">
        <v>269</v>
      </c>
      <c r="B4458" t="s">
        <v>201</v>
      </c>
      <c r="C4458" s="76">
        <v>43988</v>
      </c>
      <c r="D4458">
        <v>2775</v>
      </c>
      <c r="E4458">
        <v>1299</v>
      </c>
      <c r="F4458">
        <v>4252</v>
      </c>
      <c r="G4458">
        <v>2659</v>
      </c>
      <c r="H4458">
        <v>51.1</v>
      </c>
      <c r="I4458">
        <v>43.2</v>
      </c>
      <c r="J4458">
        <v>58.9</v>
      </c>
      <c r="K4458">
        <v>215</v>
      </c>
      <c r="L4458">
        <v>91</v>
      </c>
      <c r="M4458">
        <v>339</v>
      </c>
      <c r="N4458">
        <v>4</v>
      </c>
      <c r="O4458">
        <v>2.8</v>
      </c>
      <c r="P4458">
        <v>5.0999999999999996</v>
      </c>
      <c r="Q4458">
        <f t="shared" si="138"/>
        <v>3310774</v>
      </c>
      <c r="R4458">
        <f t="shared" si="137"/>
        <v>6.4939497531392965</v>
      </c>
      <c r="U4458">
        <v>575</v>
      </c>
      <c r="V4458">
        <v>194</v>
      </c>
      <c r="W4458">
        <v>956</v>
      </c>
      <c r="X4458">
        <v>441</v>
      </c>
      <c r="Y4458">
        <v>56.6</v>
      </c>
      <c r="Z4458">
        <v>48.1</v>
      </c>
      <c r="AA4458">
        <v>65.099999999999994</v>
      </c>
    </row>
    <row r="4459" spans="1:27" x14ac:dyDescent="0.25">
      <c r="A4459" t="s">
        <v>269</v>
      </c>
      <c r="B4459" t="s">
        <v>201</v>
      </c>
      <c r="C4459" s="76">
        <v>43989</v>
      </c>
      <c r="D4459">
        <v>2670</v>
      </c>
      <c r="E4459">
        <v>1251</v>
      </c>
      <c r="F4459">
        <v>4090</v>
      </c>
      <c r="G4459">
        <v>2750</v>
      </c>
      <c r="H4459">
        <v>49.3</v>
      </c>
      <c r="I4459">
        <v>42</v>
      </c>
      <c r="J4459">
        <v>56.5</v>
      </c>
      <c r="K4459">
        <v>263</v>
      </c>
      <c r="L4459">
        <v>102</v>
      </c>
      <c r="M4459">
        <v>424</v>
      </c>
      <c r="N4459">
        <v>4.8</v>
      </c>
      <c r="O4459">
        <v>3.3</v>
      </c>
      <c r="P4459">
        <v>6.4</v>
      </c>
      <c r="Q4459">
        <f t="shared" si="138"/>
        <v>3310774</v>
      </c>
      <c r="R4459">
        <f t="shared" si="137"/>
        <v>7.9437617910494644</v>
      </c>
      <c r="U4459">
        <v>555</v>
      </c>
      <c r="V4459">
        <v>184</v>
      </c>
      <c r="W4459">
        <v>927</v>
      </c>
      <c r="X4459">
        <v>452</v>
      </c>
      <c r="Y4459">
        <v>55.1</v>
      </c>
      <c r="Z4459">
        <v>46.3</v>
      </c>
      <c r="AA4459">
        <v>64</v>
      </c>
    </row>
    <row r="4460" spans="1:27" x14ac:dyDescent="0.25">
      <c r="A4460" t="s">
        <v>269</v>
      </c>
      <c r="B4460" t="s">
        <v>201</v>
      </c>
      <c r="C4460" s="76">
        <v>43990</v>
      </c>
      <c r="D4460">
        <v>2684</v>
      </c>
      <c r="E4460">
        <v>1238</v>
      </c>
      <c r="F4460">
        <v>4129</v>
      </c>
      <c r="G4460">
        <v>2860</v>
      </c>
      <c r="H4460">
        <v>48.4</v>
      </c>
      <c r="I4460">
        <v>41.1</v>
      </c>
      <c r="J4460">
        <v>55.7</v>
      </c>
      <c r="K4460">
        <v>228</v>
      </c>
      <c r="L4460">
        <v>87</v>
      </c>
      <c r="M4460">
        <v>369</v>
      </c>
      <c r="N4460">
        <v>4.0999999999999996</v>
      </c>
      <c r="O4460">
        <v>2.7</v>
      </c>
      <c r="P4460">
        <v>5.5</v>
      </c>
      <c r="Q4460">
        <f t="shared" si="138"/>
        <v>3310774</v>
      </c>
      <c r="R4460">
        <f t="shared" si="137"/>
        <v>6.8866071800733</v>
      </c>
      <c r="U4460">
        <v>593</v>
      </c>
      <c r="V4460">
        <v>204</v>
      </c>
      <c r="W4460">
        <v>982</v>
      </c>
      <c r="X4460">
        <v>456</v>
      </c>
      <c r="Y4460">
        <v>56.5</v>
      </c>
      <c r="Z4460">
        <v>47</v>
      </c>
      <c r="AA4460">
        <v>66.099999999999994</v>
      </c>
    </row>
    <row r="4461" spans="1:27" x14ac:dyDescent="0.25">
      <c r="A4461" t="s">
        <v>269</v>
      </c>
      <c r="B4461" t="s">
        <v>201</v>
      </c>
      <c r="C4461" s="76">
        <v>43991</v>
      </c>
      <c r="D4461">
        <v>2966</v>
      </c>
      <c r="E4461">
        <v>1405</v>
      </c>
      <c r="F4461">
        <v>4527</v>
      </c>
      <c r="G4461">
        <v>2596</v>
      </c>
      <c r="H4461">
        <v>53.3</v>
      </c>
      <c r="I4461">
        <v>46.2</v>
      </c>
      <c r="J4461">
        <v>60.4</v>
      </c>
      <c r="K4461">
        <v>244</v>
      </c>
      <c r="L4461">
        <v>91</v>
      </c>
      <c r="M4461">
        <v>397</v>
      </c>
      <c r="N4461">
        <v>4.4000000000000004</v>
      </c>
      <c r="O4461">
        <v>2.8</v>
      </c>
      <c r="P4461">
        <v>6</v>
      </c>
      <c r="Q4461">
        <f t="shared" si="138"/>
        <v>3310774</v>
      </c>
      <c r="R4461">
        <f t="shared" si="137"/>
        <v>7.3698778593766887</v>
      </c>
      <c r="U4461">
        <v>630</v>
      </c>
      <c r="V4461">
        <v>214</v>
      </c>
      <c r="W4461">
        <v>1046</v>
      </c>
      <c r="X4461">
        <v>424</v>
      </c>
      <c r="Y4461">
        <v>59.8</v>
      </c>
      <c r="Z4461">
        <v>51.3</v>
      </c>
      <c r="AA4461">
        <v>68.2</v>
      </c>
    </row>
    <row r="4462" spans="1:27" x14ac:dyDescent="0.25">
      <c r="A4462" t="s">
        <v>269</v>
      </c>
      <c r="B4462" t="s">
        <v>201</v>
      </c>
      <c r="C4462" s="76">
        <v>43992</v>
      </c>
      <c r="D4462">
        <v>3059</v>
      </c>
      <c r="E4462">
        <v>1435</v>
      </c>
      <c r="F4462">
        <v>4684</v>
      </c>
      <c r="G4462">
        <v>2479</v>
      </c>
      <c r="H4462">
        <v>55.2</v>
      </c>
      <c r="I4462">
        <v>48.5</v>
      </c>
      <c r="J4462">
        <v>62</v>
      </c>
      <c r="K4462">
        <v>145</v>
      </c>
      <c r="L4462">
        <v>40</v>
      </c>
      <c r="M4462">
        <v>249</v>
      </c>
      <c r="N4462">
        <v>2.6</v>
      </c>
      <c r="O4462">
        <v>1.3</v>
      </c>
      <c r="P4462">
        <v>4</v>
      </c>
      <c r="Q4462">
        <f t="shared" si="138"/>
        <v>3310774</v>
      </c>
      <c r="R4462">
        <f t="shared" si="137"/>
        <v>4.3796405311869675</v>
      </c>
      <c r="U4462">
        <v>635</v>
      </c>
      <c r="V4462">
        <v>190</v>
      </c>
      <c r="W4462">
        <v>1079</v>
      </c>
      <c r="X4462">
        <v>440</v>
      </c>
      <c r="Y4462">
        <v>59.1</v>
      </c>
      <c r="Z4462">
        <v>51.8</v>
      </c>
      <c r="AA4462">
        <v>66.400000000000006</v>
      </c>
    </row>
    <row r="4463" spans="1:27" x14ac:dyDescent="0.25">
      <c r="A4463" t="s">
        <v>269</v>
      </c>
      <c r="B4463" t="s">
        <v>201</v>
      </c>
      <c r="C4463" s="76">
        <v>43993</v>
      </c>
      <c r="D4463">
        <v>3059</v>
      </c>
      <c r="E4463">
        <v>1453</v>
      </c>
      <c r="F4463">
        <v>4664</v>
      </c>
      <c r="G4463">
        <v>2396</v>
      </c>
      <c r="H4463">
        <v>56.1</v>
      </c>
      <c r="I4463">
        <v>48.2</v>
      </c>
      <c r="J4463">
        <v>63.9</v>
      </c>
      <c r="K4463">
        <v>312</v>
      </c>
      <c r="L4463">
        <v>109</v>
      </c>
      <c r="M4463">
        <v>515</v>
      </c>
      <c r="N4463">
        <v>5.7</v>
      </c>
      <c r="O4463">
        <v>3.6</v>
      </c>
      <c r="P4463">
        <v>7.9</v>
      </c>
      <c r="Q4463">
        <f t="shared" si="138"/>
        <v>3310774</v>
      </c>
      <c r="R4463">
        <f t="shared" si="137"/>
        <v>9.4237782464160951</v>
      </c>
      <c r="U4463">
        <v>617</v>
      </c>
      <c r="V4463">
        <v>201</v>
      </c>
      <c r="W4463">
        <v>1034</v>
      </c>
      <c r="X4463">
        <v>398</v>
      </c>
      <c r="Y4463">
        <v>60.8</v>
      </c>
      <c r="Z4463">
        <v>51.8</v>
      </c>
      <c r="AA4463">
        <v>69.8</v>
      </c>
    </row>
    <row r="4464" spans="1:27" x14ac:dyDescent="0.25">
      <c r="A4464" t="s">
        <v>269</v>
      </c>
      <c r="B4464" t="s">
        <v>201</v>
      </c>
      <c r="C4464" s="76">
        <v>43994</v>
      </c>
      <c r="D4464">
        <v>3059</v>
      </c>
      <c r="E4464">
        <v>1428</v>
      </c>
      <c r="F4464">
        <v>4691</v>
      </c>
      <c r="G4464">
        <v>2495</v>
      </c>
      <c r="H4464">
        <v>55.1</v>
      </c>
      <c r="I4464">
        <v>47.3</v>
      </c>
      <c r="J4464">
        <v>62.9</v>
      </c>
      <c r="K4464">
        <v>199</v>
      </c>
      <c r="L4464">
        <v>65</v>
      </c>
      <c r="M4464">
        <v>333</v>
      </c>
      <c r="N4464">
        <v>3.6</v>
      </c>
      <c r="O4464">
        <v>2.1</v>
      </c>
      <c r="P4464">
        <v>5.0999999999999996</v>
      </c>
      <c r="Q4464">
        <f t="shared" si="138"/>
        <v>3310774</v>
      </c>
      <c r="R4464">
        <f t="shared" si="137"/>
        <v>6.0106790738359068</v>
      </c>
      <c r="U4464">
        <v>632</v>
      </c>
      <c r="V4464">
        <v>196</v>
      </c>
      <c r="W4464">
        <v>1067</v>
      </c>
      <c r="X4464">
        <v>416</v>
      </c>
      <c r="Y4464">
        <v>60.3</v>
      </c>
      <c r="Z4464">
        <v>51.9</v>
      </c>
      <c r="AA4464">
        <v>68.7</v>
      </c>
    </row>
    <row r="4465" spans="1:27" x14ac:dyDescent="0.25">
      <c r="A4465" t="s">
        <v>269</v>
      </c>
      <c r="B4465" t="s">
        <v>201</v>
      </c>
      <c r="C4465" s="76">
        <v>43995</v>
      </c>
      <c r="D4465">
        <v>2828</v>
      </c>
      <c r="E4465">
        <v>1302</v>
      </c>
      <c r="F4465">
        <v>4353</v>
      </c>
      <c r="G4465">
        <v>2716</v>
      </c>
      <c r="H4465">
        <v>51</v>
      </c>
      <c r="I4465">
        <v>43.6</v>
      </c>
      <c r="J4465">
        <v>58.5</v>
      </c>
      <c r="K4465">
        <v>329</v>
      </c>
      <c r="L4465">
        <v>114</v>
      </c>
      <c r="M4465">
        <v>545</v>
      </c>
      <c r="N4465">
        <v>5.9</v>
      </c>
      <c r="O4465">
        <v>3.6</v>
      </c>
      <c r="P4465">
        <v>8.3000000000000007</v>
      </c>
      <c r="Q4465">
        <f t="shared" si="138"/>
        <v>3310774</v>
      </c>
      <c r="R4465">
        <f t="shared" si="137"/>
        <v>9.9372533431759464</v>
      </c>
      <c r="U4465">
        <v>618</v>
      </c>
      <c r="V4465">
        <v>192</v>
      </c>
      <c r="W4465">
        <v>1045</v>
      </c>
      <c r="X4465">
        <v>424</v>
      </c>
      <c r="Y4465">
        <v>59.3</v>
      </c>
      <c r="Z4465">
        <v>51.1</v>
      </c>
      <c r="AA4465">
        <v>67.5</v>
      </c>
    </row>
    <row r="4466" spans="1:27" x14ac:dyDescent="0.25">
      <c r="A4466" t="s">
        <v>269</v>
      </c>
      <c r="B4466" t="s">
        <v>201</v>
      </c>
      <c r="C4466" s="76">
        <v>43996</v>
      </c>
      <c r="D4466">
        <v>2712</v>
      </c>
      <c r="E4466">
        <v>1250</v>
      </c>
      <c r="F4466">
        <v>4174</v>
      </c>
      <c r="G4466">
        <v>2711</v>
      </c>
      <c r="H4466">
        <v>50</v>
      </c>
      <c r="I4466">
        <v>42.3</v>
      </c>
      <c r="J4466">
        <v>57.8</v>
      </c>
      <c r="K4466">
        <v>294</v>
      </c>
      <c r="L4466">
        <v>96</v>
      </c>
      <c r="M4466">
        <v>491</v>
      </c>
      <c r="N4466">
        <v>5.4</v>
      </c>
      <c r="O4466">
        <v>3.4</v>
      </c>
      <c r="P4466">
        <v>7.4</v>
      </c>
      <c r="Q4466">
        <f t="shared" si="138"/>
        <v>3310774</v>
      </c>
      <c r="R4466">
        <f t="shared" si="137"/>
        <v>8.880098732199782</v>
      </c>
      <c r="U4466">
        <v>562</v>
      </c>
      <c r="V4466">
        <v>180</v>
      </c>
      <c r="W4466">
        <v>943</v>
      </c>
      <c r="X4466">
        <v>448</v>
      </c>
      <c r="Y4466">
        <v>55.7</v>
      </c>
      <c r="Z4466">
        <v>47.3</v>
      </c>
      <c r="AA4466">
        <v>64</v>
      </c>
    </row>
    <row r="4467" spans="1:27" x14ac:dyDescent="0.25">
      <c r="A4467" t="s">
        <v>269</v>
      </c>
      <c r="B4467" t="s">
        <v>201</v>
      </c>
      <c r="C4467" s="76">
        <v>43997</v>
      </c>
      <c r="D4467">
        <v>2959</v>
      </c>
      <c r="E4467">
        <v>1376</v>
      </c>
      <c r="F4467">
        <v>4543</v>
      </c>
      <c r="G4467">
        <v>2573</v>
      </c>
      <c r="H4467">
        <v>53.5</v>
      </c>
      <c r="I4467">
        <v>45.3</v>
      </c>
      <c r="J4467">
        <v>61.6</v>
      </c>
      <c r="K4467">
        <v>351</v>
      </c>
      <c r="L4467">
        <v>131</v>
      </c>
      <c r="M4467">
        <v>570</v>
      </c>
      <c r="N4467">
        <v>6.3</v>
      </c>
      <c r="O4467">
        <v>4.0999999999999996</v>
      </c>
      <c r="P4467">
        <v>8.6</v>
      </c>
      <c r="Q4467">
        <f t="shared" si="138"/>
        <v>3310774</v>
      </c>
      <c r="R4467">
        <f t="shared" si="137"/>
        <v>10.601750527218107</v>
      </c>
      <c r="U4467">
        <v>618</v>
      </c>
      <c r="V4467">
        <v>191</v>
      </c>
      <c r="W4467">
        <v>1044</v>
      </c>
      <c r="X4467">
        <v>428</v>
      </c>
      <c r="Y4467">
        <v>59</v>
      </c>
      <c r="Z4467">
        <v>50.5</v>
      </c>
      <c r="AA4467">
        <v>67.599999999999994</v>
      </c>
    </row>
    <row r="4468" spans="1:27" x14ac:dyDescent="0.25">
      <c r="A4468" t="s">
        <v>269</v>
      </c>
      <c r="B4468" t="s">
        <v>201</v>
      </c>
      <c r="C4468" s="76">
        <v>43998</v>
      </c>
      <c r="D4468">
        <v>3046</v>
      </c>
      <c r="E4468">
        <v>1378</v>
      </c>
      <c r="F4468">
        <v>4715</v>
      </c>
      <c r="G4468">
        <v>2464</v>
      </c>
      <c r="H4468">
        <v>55.3</v>
      </c>
      <c r="I4468">
        <v>47.7</v>
      </c>
      <c r="J4468">
        <v>62.9</v>
      </c>
      <c r="K4468">
        <v>331</v>
      </c>
      <c r="L4468">
        <v>132</v>
      </c>
      <c r="M4468">
        <v>529</v>
      </c>
      <c r="N4468">
        <v>6</v>
      </c>
      <c r="O4468">
        <v>3.9</v>
      </c>
      <c r="P4468">
        <v>8.1</v>
      </c>
      <c r="Q4468">
        <f t="shared" si="138"/>
        <v>3310774</v>
      </c>
      <c r="R4468">
        <f t="shared" si="137"/>
        <v>9.9976621780888699</v>
      </c>
      <c r="U4468">
        <v>629</v>
      </c>
      <c r="V4468">
        <v>165</v>
      </c>
      <c r="W4468">
        <v>1093</v>
      </c>
      <c r="X4468">
        <v>432</v>
      </c>
      <c r="Y4468">
        <v>59.3</v>
      </c>
      <c r="Z4468">
        <v>51.1</v>
      </c>
      <c r="AA4468">
        <v>67.5</v>
      </c>
    </row>
    <row r="4469" spans="1:27" x14ac:dyDescent="0.25">
      <c r="A4469" t="s">
        <v>269</v>
      </c>
      <c r="B4469" t="s">
        <v>201</v>
      </c>
      <c r="C4469" s="76">
        <v>43999</v>
      </c>
      <c r="D4469">
        <v>3229</v>
      </c>
      <c r="E4469">
        <v>1418</v>
      </c>
      <c r="F4469">
        <v>5040</v>
      </c>
      <c r="G4469">
        <v>2335</v>
      </c>
      <c r="H4469">
        <v>58</v>
      </c>
      <c r="I4469">
        <v>51.3</v>
      </c>
      <c r="J4469">
        <v>64.8</v>
      </c>
      <c r="K4469">
        <v>297</v>
      </c>
      <c r="L4469">
        <v>128</v>
      </c>
      <c r="M4469">
        <v>467</v>
      </c>
      <c r="N4469">
        <v>5.3</v>
      </c>
      <c r="O4469">
        <v>3.6</v>
      </c>
      <c r="P4469">
        <v>7.1</v>
      </c>
      <c r="Q4469">
        <f t="shared" si="138"/>
        <v>3310774</v>
      </c>
      <c r="R4469">
        <f t="shared" si="137"/>
        <v>8.9707119845691672</v>
      </c>
      <c r="U4469">
        <v>682</v>
      </c>
      <c r="V4469">
        <v>149</v>
      </c>
      <c r="W4469">
        <v>1215</v>
      </c>
      <c r="X4469">
        <v>447</v>
      </c>
      <c r="Y4469">
        <v>60.4</v>
      </c>
      <c r="Z4469">
        <v>51.9</v>
      </c>
      <c r="AA4469">
        <v>68.900000000000006</v>
      </c>
    </row>
    <row r="4470" spans="1:27" x14ac:dyDescent="0.25">
      <c r="A4470" t="s">
        <v>269</v>
      </c>
      <c r="B4470" t="s">
        <v>201</v>
      </c>
      <c r="C4470" s="76">
        <v>44000</v>
      </c>
      <c r="D4470">
        <v>3099</v>
      </c>
      <c r="E4470">
        <v>1528</v>
      </c>
      <c r="F4470">
        <v>4670</v>
      </c>
      <c r="G4470">
        <v>2354</v>
      </c>
      <c r="H4470">
        <v>56.8</v>
      </c>
      <c r="I4470">
        <v>49.8</v>
      </c>
      <c r="J4470">
        <v>63.8</v>
      </c>
      <c r="K4470">
        <v>302</v>
      </c>
      <c r="L4470">
        <v>102</v>
      </c>
      <c r="M4470">
        <v>502</v>
      </c>
      <c r="N4470">
        <v>5.5</v>
      </c>
      <c r="O4470">
        <v>3.5</v>
      </c>
      <c r="P4470">
        <v>7.5</v>
      </c>
      <c r="Q4470">
        <f t="shared" si="138"/>
        <v>3310774</v>
      </c>
      <c r="R4470">
        <f t="shared" si="137"/>
        <v>9.1217340718514759</v>
      </c>
      <c r="U4470">
        <v>618</v>
      </c>
      <c r="V4470">
        <v>204</v>
      </c>
      <c r="W4470">
        <v>1033</v>
      </c>
      <c r="X4470">
        <v>391</v>
      </c>
      <c r="Y4470">
        <v>61.3</v>
      </c>
      <c r="Z4470">
        <v>52.7</v>
      </c>
      <c r="AA4470">
        <v>69.8</v>
      </c>
    </row>
    <row r="4471" spans="1:27" x14ac:dyDescent="0.25">
      <c r="A4471" t="s">
        <v>269</v>
      </c>
      <c r="B4471" t="s">
        <v>201</v>
      </c>
      <c r="C4471" s="76">
        <v>44001</v>
      </c>
      <c r="D4471">
        <v>2992</v>
      </c>
      <c r="E4471">
        <v>1415</v>
      </c>
      <c r="F4471">
        <v>4570</v>
      </c>
      <c r="G4471">
        <v>2512</v>
      </c>
      <c r="H4471">
        <v>54.4</v>
      </c>
      <c r="I4471">
        <v>46.9</v>
      </c>
      <c r="J4471">
        <v>61.8</v>
      </c>
      <c r="K4471">
        <v>314</v>
      </c>
      <c r="L4471">
        <v>101</v>
      </c>
      <c r="M4471">
        <v>526</v>
      </c>
      <c r="N4471">
        <v>5.7</v>
      </c>
      <c r="O4471">
        <v>3.5</v>
      </c>
      <c r="P4471">
        <v>7.9</v>
      </c>
      <c r="Q4471">
        <f t="shared" si="138"/>
        <v>3310774</v>
      </c>
      <c r="R4471">
        <f t="shared" si="137"/>
        <v>9.4841870813290186</v>
      </c>
      <c r="U4471">
        <v>634</v>
      </c>
      <c r="V4471">
        <v>204</v>
      </c>
      <c r="W4471">
        <v>1065</v>
      </c>
      <c r="X4471">
        <v>411</v>
      </c>
      <c r="Y4471">
        <v>60.7</v>
      </c>
      <c r="Z4471">
        <v>52.5</v>
      </c>
      <c r="AA4471">
        <v>68.900000000000006</v>
      </c>
    </row>
    <row r="4472" spans="1:27" x14ac:dyDescent="0.25">
      <c r="A4472" t="s">
        <v>269</v>
      </c>
      <c r="B4472" t="s">
        <v>201</v>
      </c>
      <c r="C4472" s="76">
        <v>44002</v>
      </c>
      <c r="D4472">
        <v>2932</v>
      </c>
      <c r="E4472">
        <v>1377</v>
      </c>
      <c r="F4472">
        <v>4487</v>
      </c>
      <c r="G4472">
        <v>2571</v>
      </c>
      <c r="H4472">
        <v>53.3</v>
      </c>
      <c r="I4472">
        <v>46.1</v>
      </c>
      <c r="J4472">
        <v>60.4</v>
      </c>
      <c r="K4472">
        <v>240</v>
      </c>
      <c r="L4472">
        <v>79</v>
      </c>
      <c r="M4472">
        <v>401</v>
      </c>
      <c r="N4472">
        <v>4.4000000000000004</v>
      </c>
      <c r="O4472">
        <v>2.6</v>
      </c>
      <c r="P4472">
        <v>6.1</v>
      </c>
      <c r="Q4472">
        <f t="shared" si="138"/>
        <v>3310774</v>
      </c>
      <c r="R4472">
        <f t="shared" si="137"/>
        <v>7.2490601895508417</v>
      </c>
      <c r="U4472">
        <v>621</v>
      </c>
      <c r="V4472">
        <v>192</v>
      </c>
      <c r="W4472">
        <v>1051</v>
      </c>
      <c r="X4472">
        <v>419</v>
      </c>
      <c r="Y4472">
        <v>59.7</v>
      </c>
      <c r="Z4472">
        <v>51.3</v>
      </c>
      <c r="AA4472">
        <v>68.2</v>
      </c>
    </row>
    <row r="4473" spans="1:27" x14ac:dyDescent="0.25">
      <c r="A4473" t="s">
        <v>269</v>
      </c>
      <c r="B4473" t="s">
        <v>201</v>
      </c>
      <c r="C4473" s="76">
        <v>44003</v>
      </c>
      <c r="D4473">
        <v>2595</v>
      </c>
      <c r="E4473">
        <v>1241</v>
      </c>
      <c r="F4473">
        <v>3948</v>
      </c>
      <c r="G4473">
        <v>2808</v>
      </c>
      <c r="H4473">
        <v>48</v>
      </c>
      <c r="I4473">
        <v>41.4</v>
      </c>
      <c r="J4473">
        <v>54.7</v>
      </c>
      <c r="K4473">
        <v>275</v>
      </c>
      <c r="L4473">
        <v>100</v>
      </c>
      <c r="M4473">
        <v>450</v>
      </c>
      <c r="N4473">
        <v>5.0999999999999996</v>
      </c>
      <c r="O4473">
        <v>3.4</v>
      </c>
      <c r="P4473">
        <v>6.8</v>
      </c>
      <c r="Q4473">
        <f t="shared" si="138"/>
        <v>3310774</v>
      </c>
      <c r="R4473">
        <f t="shared" si="137"/>
        <v>8.3062148005270071</v>
      </c>
      <c r="U4473">
        <v>593</v>
      </c>
      <c r="V4473">
        <v>190</v>
      </c>
      <c r="W4473">
        <v>996</v>
      </c>
      <c r="X4473">
        <v>431</v>
      </c>
      <c r="Y4473">
        <v>57.9</v>
      </c>
      <c r="Z4473">
        <v>49.2</v>
      </c>
      <c r="AA4473">
        <v>66.599999999999994</v>
      </c>
    </row>
    <row r="4474" spans="1:27" x14ac:dyDescent="0.25">
      <c r="A4474" t="s">
        <v>269</v>
      </c>
      <c r="B4474" t="s">
        <v>201</v>
      </c>
      <c r="C4474" s="76">
        <v>44004</v>
      </c>
      <c r="D4474">
        <v>2884</v>
      </c>
      <c r="E4474">
        <v>1368</v>
      </c>
      <c r="F4474">
        <v>4399</v>
      </c>
      <c r="G4474">
        <v>2620</v>
      </c>
      <c r="H4474">
        <v>52.4</v>
      </c>
      <c r="I4474">
        <v>45.4</v>
      </c>
      <c r="J4474">
        <v>59.4</v>
      </c>
      <c r="K4474">
        <v>287</v>
      </c>
      <c r="L4474">
        <v>114</v>
      </c>
      <c r="M4474">
        <v>459</v>
      </c>
      <c r="N4474">
        <v>5.2</v>
      </c>
      <c r="O4474">
        <v>3.5</v>
      </c>
      <c r="P4474">
        <v>6.9</v>
      </c>
      <c r="Q4474">
        <f t="shared" si="138"/>
        <v>3310774</v>
      </c>
      <c r="R4474">
        <f t="shared" si="137"/>
        <v>8.6686678100045498</v>
      </c>
      <c r="U4474">
        <v>613</v>
      </c>
      <c r="V4474">
        <v>184</v>
      </c>
      <c r="W4474">
        <v>1043</v>
      </c>
      <c r="X4474">
        <v>432</v>
      </c>
      <c r="Y4474">
        <v>58.7</v>
      </c>
      <c r="Z4474">
        <v>50.1</v>
      </c>
      <c r="AA4474">
        <v>67.3</v>
      </c>
    </row>
    <row r="4475" spans="1:27" x14ac:dyDescent="0.25">
      <c r="A4475" t="s">
        <v>269</v>
      </c>
      <c r="B4475" t="s">
        <v>201</v>
      </c>
      <c r="C4475" s="76">
        <v>44005</v>
      </c>
      <c r="D4475">
        <v>3009</v>
      </c>
      <c r="E4475">
        <v>1450</v>
      </c>
      <c r="F4475">
        <v>4568</v>
      </c>
      <c r="G4475">
        <v>2527</v>
      </c>
      <c r="H4475">
        <v>54.4</v>
      </c>
      <c r="I4475">
        <v>47.4</v>
      </c>
      <c r="J4475">
        <v>61.4</v>
      </c>
      <c r="K4475">
        <v>249</v>
      </c>
      <c r="L4475">
        <v>89</v>
      </c>
      <c r="M4475">
        <v>409</v>
      </c>
      <c r="N4475">
        <v>4.5</v>
      </c>
      <c r="O4475">
        <v>2.8</v>
      </c>
      <c r="P4475">
        <v>6.2</v>
      </c>
      <c r="Q4475">
        <f t="shared" si="138"/>
        <v>3310774</v>
      </c>
      <c r="R4475">
        <f t="shared" si="137"/>
        <v>7.5208999466589992</v>
      </c>
      <c r="U4475">
        <v>642</v>
      </c>
      <c r="V4475">
        <v>195</v>
      </c>
      <c r="W4475">
        <v>1089</v>
      </c>
      <c r="X4475">
        <v>400</v>
      </c>
      <c r="Y4475">
        <v>61.6</v>
      </c>
      <c r="Z4475">
        <v>52.9</v>
      </c>
      <c r="AA4475">
        <v>70.3</v>
      </c>
    </row>
    <row r="4476" spans="1:27" x14ac:dyDescent="0.25">
      <c r="A4476" t="s">
        <v>269</v>
      </c>
      <c r="B4476" t="s">
        <v>201</v>
      </c>
      <c r="C4476" s="76">
        <v>44006</v>
      </c>
      <c r="D4476">
        <v>2467</v>
      </c>
      <c r="E4476">
        <v>259</v>
      </c>
      <c r="F4476">
        <v>4675</v>
      </c>
      <c r="G4476">
        <v>2478</v>
      </c>
      <c r="H4476">
        <v>49.9</v>
      </c>
      <c r="I4476">
        <v>39.299999999999997</v>
      </c>
      <c r="J4476">
        <v>60.5</v>
      </c>
      <c r="K4476">
        <v>181</v>
      </c>
      <c r="L4476">
        <v>13</v>
      </c>
      <c r="M4476">
        <v>349</v>
      </c>
      <c r="N4476">
        <v>3.7</v>
      </c>
      <c r="O4476">
        <v>2.2999999999999998</v>
      </c>
      <c r="P4476">
        <v>5</v>
      </c>
      <c r="Q4476">
        <f t="shared" si="138"/>
        <v>3310774</v>
      </c>
      <c r="R4476">
        <f t="shared" si="137"/>
        <v>5.4669995596195937</v>
      </c>
      <c r="U4476">
        <v>355</v>
      </c>
      <c r="V4476">
        <v>29</v>
      </c>
      <c r="W4476">
        <v>681</v>
      </c>
      <c r="X4476">
        <v>270</v>
      </c>
      <c r="Y4476">
        <v>56.8</v>
      </c>
      <c r="Z4476">
        <v>45.1</v>
      </c>
      <c r="AA4476">
        <v>68.5</v>
      </c>
    </row>
    <row r="4477" spans="1:27" x14ac:dyDescent="0.25">
      <c r="A4477" t="s">
        <v>269</v>
      </c>
      <c r="B4477" t="s">
        <v>201</v>
      </c>
      <c r="C4477" s="76">
        <v>44007</v>
      </c>
      <c r="D4477">
        <v>3131</v>
      </c>
      <c r="E4477">
        <v>1452</v>
      </c>
      <c r="F4477">
        <v>4811</v>
      </c>
      <c r="G4477">
        <v>2325</v>
      </c>
      <c r="H4477">
        <v>57.4</v>
      </c>
      <c r="I4477">
        <v>46.9</v>
      </c>
      <c r="J4477">
        <v>67.900000000000006</v>
      </c>
      <c r="K4477">
        <v>341</v>
      </c>
      <c r="L4477">
        <v>122</v>
      </c>
      <c r="M4477">
        <v>561</v>
      </c>
      <c r="N4477">
        <v>6.3</v>
      </c>
      <c r="O4477">
        <v>4.2</v>
      </c>
      <c r="P4477">
        <v>8.3000000000000007</v>
      </c>
      <c r="Q4477">
        <f t="shared" si="138"/>
        <v>3310774</v>
      </c>
      <c r="R4477">
        <f t="shared" si="137"/>
        <v>10.299706352653487</v>
      </c>
      <c r="U4477">
        <v>606</v>
      </c>
      <c r="V4477">
        <v>201</v>
      </c>
      <c r="W4477">
        <v>1011</v>
      </c>
      <c r="X4477">
        <v>415</v>
      </c>
      <c r="Y4477">
        <v>59.4</v>
      </c>
      <c r="Z4477">
        <v>51</v>
      </c>
      <c r="AA4477">
        <v>67.7</v>
      </c>
    </row>
    <row r="4478" spans="1:27" x14ac:dyDescent="0.25">
      <c r="A4478" t="s">
        <v>269</v>
      </c>
      <c r="B4478" t="s">
        <v>201</v>
      </c>
      <c r="C4478" s="76">
        <v>44008</v>
      </c>
      <c r="D4478">
        <v>3026</v>
      </c>
      <c r="E4478">
        <v>1409</v>
      </c>
      <c r="F4478">
        <v>4643</v>
      </c>
      <c r="G4478">
        <v>2499</v>
      </c>
      <c r="H4478">
        <v>54.8</v>
      </c>
      <c r="I4478">
        <v>47.1</v>
      </c>
      <c r="J4478">
        <v>62.5</v>
      </c>
      <c r="K4478">
        <v>392</v>
      </c>
      <c r="L4478">
        <v>159</v>
      </c>
      <c r="M4478">
        <v>625</v>
      </c>
      <c r="N4478">
        <v>7.1</v>
      </c>
      <c r="O4478">
        <v>5.2</v>
      </c>
      <c r="P4478">
        <v>9</v>
      </c>
      <c r="Q4478">
        <f t="shared" si="138"/>
        <v>3310774</v>
      </c>
      <c r="R4478">
        <f t="shared" si="137"/>
        <v>11.840131642933041</v>
      </c>
      <c r="U4478">
        <v>653</v>
      </c>
      <c r="V4478">
        <v>200</v>
      </c>
      <c r="W4478">
        <v>1106</v>
      </c>
      <c r="X4478">
        <v>400</v>
      </c>
      <c r="Y4478">
        <v>62</v>
      </c>
      <c r="Z4478">
        <v>53.2</v>
      </c>
      <c r="AA4478">
        <v>70.900000000000006</v>
      </c>
    </row>
    <row r="4479" spans="1:27" x14ac:dyDescent="0.25">
      <c r="A4479" t="s">
        <v>269</v>
      </c>
      <c r="B4479" t="s">
        <v>201</v>
      </c>
      <c r="C4479" s="76">
        <v>44009</v>
      </c>
      <c r="D4479">
        <v>2847</v>
      </c>
      <c r="E4479">
        <v>1348</v>
      </c>
      <c r="F4479">
        <v>4345</v>
      </c>
      <c r="G4479">
        <v>2574</v>
      </c>
      <c r="H4479">
        <v>52.5</v>
      </c>
      <c r="I4479">
        <v>45.1</v>
      </c>
      <c r="J4479">
        <v>60</v>
      </c>
      <c r="K4479">
        <v>304</v>
      </c>
      <c r="L4479">
        <v>101</v>
      </c>
      <c r="M4479">
        <v>506</v>
      </c>
      <c r="N4479">
        <v>5.6</v>
      </c>
      <c r="O4479">
        <v>3.7</v>
      </c>
      <c r="P4479">
        <v>7.5</v>
      </c>
      <c r="Q4479">
        <f t="shared" si="138"/>
        <v>3310774</v>
      </c>
      <c r="R4479">
        <f t="shared" si="137"/>
        <v>9.1821429067644011</v>
      </c>
      <c r="U4479">
        <v>598</v>
      </c>
      <c r="V4479">
        <v>196</v>
      </c>
      <c r="W4479">
        <v>1000</v>
      </c>
      <c r="X4479">
        <v>435</v>
      </c>
      <c r="Y4479">
        <v>57.9</v>
      </c>
      <c r="Z4479">
        <v>50</v>
      </c>
      <c r="AA4479">
        <v>65.8</v>
      </c>
    </row>
    <row r="4480" spans="1:27" x14ac:dyDescent="0.25">
      <c r="A4480" t="s">
        <v>269</v>
      </c>
      <c r="B4480" t="s">
        <v>201</v>
      </c>
      <c r="C4480" s="76">
        <v>44010</v>
      </c>
      <c r="D4480">
        <v>2786</v>
      </c>
      <c r="E4480">
        <v>1291</v>
      </c>
      <c r="F4480">
        <v>4280</v>
      </c>
      <c r="G4480">
        <v>2622</v>
      </c>
      <c r="H4480">
        <v>51.5</v>
      </c>
      <c r="I4480">
        <v>43.8</v>
      </c>
      <c r="J4480">
        <v>59.2</v>
      </c>
      <c r="K4480">
        <v>272</v>
      </c>
      <c r="L4480">
        <v>91</v>
      </c>
      <c r="M4480">
        <v>454</v>
      </c>
      <c r="N4480">
        <v>5</v>
      </c>
      <c r="O4480">
        <v>3.3</v>
      </c>
      <c r="P4480">
        <v>6.8</v>
      </c>
      <c r="Q4480">
        <f t="shared" si="138"/>
        <v>3310774</v>
      </c>
      <c r="R4480">
        <f t="shared" si="137"/>
        <v>8.2156015481576219</v>
      </c>
      <c r="U4480">
        <v>597</v>
      </c>
      <c r="V4480">
        <v>195</v>
      </c>
      <c r="W4480">
        <v>1000</v>
      </c>
      <c r="X4480">
        <v>434</v>
      </c>
      <c r="Y4480">
        <v>57.9</v>
      </c>
      <c r="Z4480">
        <v>49.9</v>
      </c>
      <c r="AA4480">
        <v>65.900000000000006</v>
      </c>
    </row>
    <row r="4481" spans="1:27" x14ac:dyDescent="0.25">
      <c r="A4481" t="s">
        <v>269</v>
      </c>
      <c r="B4481" t="s">
        <v>201</v>
      </c>
      <c r="C4481" s="76">
        <v>44011</v>
      </c>
      <c r="D4481">
        <v>2926</v>
      </c>
      <c r="E4481">
        <v>1403</v>
      </c>
      <c r="F4481">
        <v>4449</v>
      </c>
      <c r="G4481">
        <v>2493</v>
      </c>
      <c r="H4481">
        <v>54</v>
      </c>
      <c r="I4481">
        <v>46.9</v>
      </c>
      <c r="J4481">
        <v>61.1</v>
      </c>
      <c r="K4481">
        <v>321</v>
      </c>
      <c r="L4481">
        <v>109</v>
      </c>
      <c r="M4481">
        <v>534</v>
      </c>
      <c r="N4481">
        <v>5.9</v>
      </c>
      <c r="O4481">
        <v>3.8</v>
      </c>
      <c r="P4481">
        <v>8.1</v>
      </c>
      <c r="Q4481">
        <f t="shared" si="138"/>
        <v>3310774</v>
      </c>
      <c r="R4481">
        <f t="shared" si="137"/>
        <v>9.6956180035242525</v>
      </c>
      <c r="U4481">
        <v>618</v>
      </c>
      <c r="V4481">
        <v>201</v>
      </c>
      <c r="W4481">
        <v>1035</v>
      </c>
      <c r="X4481">
        <v>399</v>
      </c>
      <c r="Y4481">
        <v>60.8</v>
      </c>
      <c r="Z4481">
        <v>52.7</v>
      </c>
      <c r="AA4481">
        <v>68.900000000000006</v>
      </c>
    </row>
    <row r="4482" spans="1:27" x14ac:dyDescent="0.25">
      <c r="A4482" t="s">
        <v>269</v>
      </c>
      <c r="B4482" t="s">
        <v>201</v>
      </c>
      <c r="C4482" s="76">
        <v>44012</v>
      </c>
      <c r="D4482">
        <v>3018</v>
      </c>
      <c r="E4482">
        <v>1471</v>
      </c>
      <c r="F4482">
        <v>4566</v>
      </c>
      <c r="G4482">
        <v>2428</v>
      </c>
      <c r="H4482">
        <v>55.4</v>
      </c>
      <c r="I4482">
        <v>48.6</v>
      </c>
      <c r="J4482">
        <v>62.2</v>
      </c>
      <c r="K4482">
        <v>278</v>
      </c>
      <c r="L4482">
        <v>101</v>
      </c>
      <c r="M4482">
        <v>455</v>
      </c>
      <c r="N4482">
        <v>5.0999999999999996</v>
      </c>
      <c r="O4482">
        <v>3.5</v>
      </c>
      <c r="P4482">
        <v>6.7</v>
      </c>
      <c r="Q4482">
        <f t="shared" si="138"/>
        <v>3310774</v>
      </c>
      <c r="R4482">
        <f t="shared" si="137"/>
        <v>8.3968280528963923</v>
      </c>
      <c r="U4482">
        <v>621</v>
      </c>
      <c r="V4482">
        <v>205</v>
      </c>
      <c r="W4482">
        <v>1037</v>
      </c>
      <c r="X4482">
        <v>394</v>
      </c>
      <c r="Y4482">
        <v>61.2</v>
      </c>
      <c r="Z4482">
        <v>53.3</v>
      </c>
      <c r="AA4482">
        <v>69</v>
      </c>
    </row>
    <row r="4483" spans="1:27" x14ac:dyDescent="0.25">
      <c r="A4483" t="s">
        <v>269</v>
      </c>
      <c r="B4483" t="s">
        <v>201</v>
      </c>
      <c r="C4483" s="76">
        <v>44013</v>
      </c>
      <c r="D4483">
        <v>3134</v>
      </c>
      <c r="E4483">
        <v>1527</v>
      </c>
      <c r="F4483">
        <v>4740</v>
      </c>
      <c r="G4483">
        <v>2325</v>
      </c>
      <c r="H4483">
        <v>57.4</v>
      </c>
      <c r="I4483">
        <v>50.5</v>
      </c>
      <c r="J4483">
        <v>64.3</v>
      </c>
      <c r="K4483">
        <v>250</v>
      </c>
      <c r="L4483">
        <v>82</v>
      </c>
      <c r="M4483">
        <v>419</v>
      </c>
      <c r="N4483">
        <v>4.5999999999999996</v>
      </c>
      <c r="O4483">
        <v>2.9</v>
      </c>
      <c r="P4483">
        <v>6.3</v>
      </c>
      <c r="Q4483">
        <f t="shared" si="138"/>
        <v>3310774</v>
      </c>
      <c r="R4483">
        <f t="shared" si="137"/>
        <v>7.55110436411546</v>
      </c>
      <c r="U4483">
        <v>613</v>
      </c>
      <c r="V4483">
        <v>203</v>
      </c>
      <c r="W4483">
        <v>1024</v>
      </c>
      <c r="X4483">
        <v>406</v>
      </c>
      <c r="Y4483">
        <v>60.2</v>
      </c>
      <c r="Z4483">
        <v>51.9</v>
      </c>
      <c r="AA4483">
        <v>68.5</v>
      </c>
    </row>
    <row r="4484" spans="1:27" x14ac:dyDescent="0.25">
      <c r="A4484" t="s">
        <v>269</v>
      </c>
      <c r="B4484" t="s">
        <v>201</v>
      </c>
      <c r="C4484" s="76">
        <v>44014</v>
      </c>
      <c r="D4484">
        <v>3148</v>
      </c>
      <c r="E4484">
        <v>1510</v>
      </c>
      <c r="F4484">
        <v>4787</v>
      </c>
      <c r="G4484">
        <v>2313</v>
      </c>
      <c r="H4484">
        <v>57.6</v>
      </c>
      <c r="I4484">
        <v>50.2</v>
      </c>
      <c r="J4484">
        <v>65.099999999999994</v>
      </c>
      <c r="K4484">
        <v>318</v>
      </c>
      <c r="L4484">
        <v>107</v>
      </c>
      <c r="M4484">
        <v>529</v>
      </c>
      <c r="N4484">
        <v>5.8</v>
      </c>
      <c r="O4484">
        <v>3.8</v>
      </c>
      <c r="P4484">
        <v>7.8</v>
      </c>
      <c r="Q4484">
        <f t="shared" si="138"/>
        <v>3310774</v>
      </c>
      <c r="R4484">
        <f t="shared" si="137"/>
        <v>9.6050047511548655</v>
      </c>
      <c r="U4484">
        <v>648</v>
      </c>
      <c r="V4484">
        <v>208</v>
      </c>
      <c r="W4484">
        <v>1088</v>
      </c>
      <c r="X4484">
        <v>369</v>
      </c>
      <c r="Y4484">
        <v>63.7</v>
      </c>
      <c r="Z4484">
        <v>54.6</v>
      </c>
      <c r="AA4484">
        <v>72.8</v>
      </c>
    </row>
    <row r="4485" spans="1:27" x14ac:dyDescent="0.25">
      <c r="A4485" t="s">
        <v>269</v>
      </c>
      <c r="B4485" t="s">
        <v>201</v>
      </c>
      <c r="C4485" s="76">
        <v>44015</v>
      </c>
      <c r="D4485">
        <v>2859</v>
      </c>
      <c r="E4485">
        <v>1364</v>
      </c>
      <c r="F4485">
        <v>4354</v>
      </c>
      <c r="G4485">
        <v>2667</v>
      </c>
      <c r="H4485">
        <v>51.7</v>
      </c>
      <c r="I4485">
        <v>45.3</v>
      </c>
      <c r="J4485">
        <v>58.2</v>
      </c>
      <c r="K4485">
        <v>292</v>
      </c>
      <c r="L4485">
        <v>110</v>
      </c>
      <c r="M4485">
        <v>473</v>
      </c>
      <c r="N4485">
        <v>5.3</v>
      </c>
      <c r="O4485">
        <v>3.6</v>
      </c>
      <c r="P4485">
        <v>6.9</v>
      </c>
      <c r="Q4485">
        <f t="shared" si="138"/>
        <v>3310774</v>
      </c>
      <c r="R4485">
        <f t="shared" ref="R4485:R4548" si="139">K4485/(Q4485)*100000</f>
        <v>8.8196898972868585</v>
      </c>
      <c r="U4485">
        <v>647</v>
      </c>
      <c r="V4485">
        <v>194</v>
      </c>
      <c r="W4485">
        <v>1100</v>
      </c>
      <c r="X4485">
        <v>394</v>
      </c>
      <c r="Y4485">
        <v>62.1</v>
      </c>
      <c r="Z4485">
        <v>53.5</v>
      </c>
      <c r="AA4485">
        <v>70.8</v>
      </c>
    </row>
    <row r="4486" spans="1:27" x14ac:dyDescent="0.25">
      <c r="A4486" t="s">
        <v>269</v>
      </c>
      <c r="B4486" t="s">
        <v>201</v>
      </c>
      <c r="C4486" s="76">
        <v>44016</v>
      </c>
      <c r="D4486">
        <v>2674</v>
      </c>
      <c r="E4486">
        <v>1272</v>
      </c>
      <c r="F4486">
        <v>4076</v>
      </c>
      <c r="G4486">
        <v>2834</v>
      </c>
      <c r="H4486">
        <v>48.5</v>
      </c>
      <c r="I4486">
        <v>42.4</v>
      </c>
      <c r="J4486">
        <v>54.7</v>
      </c>
      <c r="K4486">
        <v>275</v>
      </c>
      <c r="L4486">
        <v>102</v>
      </c>
      <c r="M4486">
        <v>449</v>
      </c>
      <c r="N4486">
        <v>5</v>
      </c>
      <c r="O4486">
        <v>3.3</v>
      </c>
      <c r="P4486">
        <v>6.6</v>
      </c>
      <c r="Q4486">
        <f t="shared" si="138"/>
        <v>3310774</v>
      </c>
      <c r="R4486">
        <f t="shared" si="139"/>
        <v>8.3062148005270071</v>
      </c>
      <c r="U4486">
        <v>645</v>
      </c>
      <c r="V4486">
        <v>199</v>
      </c>
      <c r="W4486">
        <v>1091</v>
      </c>
      <c r="X4486">
        <v>400</v>
      </c>
      <c r="Y4486">
        <v>61.7</v>
      </c>
      <c r="Z4486">
        <v>53.7</v>
      </c>
      <c r="AA4486">
        <v>69.7</v>
      </c>
    </row>
    <row r="4487" spans="1:27" x14ac:dyDescent="0.25">
      <c r="A4487" t="s">
        <v>269</v>
      </c>
      <c r="B4487" t="s">
        <v>201</v>
      </c>
      <c r="C4487" s="76">
        <v>44017</v>
      </c>
      <c r="D4487">
        <v>2708</v>
      </c>
      <c r="E4487">
        <v>1254</v>
      </c>
      <c r="F4487">
        <v>4162</v>
      </c>
      <c r="G4487">
        <v>2799</v>
      </c>
      <c r="H4487">
        <v>49.2</v>
      </c>
      <c r="I4487">
        <v>42.2</v>
      </c>
      <c r="J4487">
        <v>56.1</v>
      </c>
      <c r="K4487">
        <v>283</v>
      </c>
      <c r="L4487">
        <v>93</v>
      </c>
      <c r="M4487">
        <v>472</v>
      </c>
      <c r="N4487">
        <v>5.0999999999999996</v>
      </c>
      <c r="O4487">
        <v>3.1</v>
      </c>
      <c r="P4487">
        <v>7.1</v>
      </c>
      <c r="Q4487">
        <f t="shared" si="138"/>
        <v>3310774</v>
      </c>
      <c r="R4487">
        <f t="shared" si="139"/>
        <v>8.547850140178701</v>
      </c>
      <c r="U4487">
        <v>617</v>
      </c>
      <c r="V4487">
        <v>194</v>
      </c>
      <c r="W4487">
        <v>1041</v>
      </c>
      <c r="X4487">
        <v>425</v>
      </c>
      <c r="Y4487">
        <v>59.2</v>
      </c>
      <c r="Z4487">
        <v>51.2</v>
      </c>
      <c r="AA4487">
        <v>67.2</v>
      </c>
    </row>
    <row r="4488" spans="1:27" x14ac:dyDescent="0.25">
      <c r="A4488" t="s">
        <v>269</v>
      </c>
      <c r="B4488" t="s">
        <v>201</v>
      </c>
      <c r="C4488" s="76">
        <v>44018</v>
      </c>
      <c r="D4488">
        <v>2968</v>
      </c>
      <c r="E4488">
        <v>1366</v>
      </c>
      <c r="F4488">
        <v>4570</v>
      </c>
      <c r="G4488">
        <v>2551</v>
      </c>
      <c r="H4488">
        <v>53.8</v>
      </c>
      <c r="I4488">
        <v>45.9</v>
      </c>
      <c r="J4488">
        <v>61.7</v>
      </c>
      <c r="K4488">
        <v>279</v>
      </c>
      <c r="L4488">
        <v>88</v>
      </c>
      <c r="M4488">
        <v>470</v>
      </c>
      <c r="N4488">
        <v>5.0999999999999996</v>
      </c>
      <c r="O4488">
        <v>3.1</v>
      </c>
      <c r="P4488">
        <v>7</v>
      </c>
      <c r="Q4488">
        <f t="shared" si="138"/>
        <v>3310774</v>
      </c>
      <c r="R4488">
        <f t="shared" si="139"/>
        <v>8.4270324703528541</v>
      </c>
      <c r="U4488">
        <v>652</v>
      </c>
      <c r="V4488">
        <v>204</v>
      </c>
      <c r="W4488">
        <v>1100</v>
      </c>
      <c r="X4488">
        <v>418</v>
      </c>
      <c r="Y4488">
        <v>60.9</v>
      </c>
      <c r="Z4488">
        <v>51.6</v>
      </c>
      <c r="AA4488">
        <v>70.3</v>
      </c>
    </row>
    <row r="4489" spans="1:27" x14ac:dyDescent="0.25">
      <c r="A4489" t="s">
        <v>269</v>
      </c>
      <c r="B4489" t="s">
        <v>201</v>
      </c>
      <c r="C4489" s="76">
        <v>44019</v>
      </c>
      <c r="D4489">
        <v>3247</v>
      </c>
      <c r="E4489">
        <v>1493</v>
      </c>
      <c r="F4489">
        <v>5002</v>
      </c>
      <c r="G4489">
        <v>2265</v>
      </c>
      <c r="H4489">
        <v>58.9</v>
      </c>
      <c r="I4489">
        <v>49.4</v>
      </c>
      <c r="J4489">
        <v>68.400000000000006</v>
      </c>
      <c r="K4489">
        <v>289</v>
      </c>
      <c r="L4489">
        <v>102</v>
      </c>
      <c r="M4489">
        <v>476</v>
      </c>
      <c r="N4489">
        <v>5.3</v>
      </c>
      <c r="O4489">
        <v>3.4</v>
      </c>
      <c r="P4489">
        <v>7.1</v>
      </c>
      <c r="Q4489">
        <f t="shared" si="138"/>
        <v>3310774</v>
      </c>
      <c r="R4489">
        <f t="shared" si="139"/>
        <v>8.7290766449174733</v>
      </c>
      <c r="U4489">
        <v>651</v>
      </c>
      <c r="V4489">
        <v>199</v>
      </c>
      <c r="W4489">
        <v>1103</v>
      </c>
      <c r="X4489">
        <v>395</v>
      </c>
      <c r="Y4489">
        <v>62.2</v>
      </c>
      <c r="Z4489">
        <v>52.6</v>
      </c>
      <c r="AA4489">
        <v>71.900000000000006</v>
      </c>
    </row>
    <row r="4490" spans="1:27" x14ac:dyDescent="0.25">
      <c r="A4490" t="s">
        <v>270</v>
      </c>
      <c r="B4490" t="s">
        <v>183</v>
      </c>
      <c r="C4490" s="76">
        <v>43922</v>
      </c>
      <c r="D4490">
        <v>6028</v>
      </c>
      <c r="E4490">
        <v>1452</v>
      </c>
      <c r="F4490">
        <v>10605</v>
      </c>
      <c r="G4490">
        <v>5909</v>
      </c>
      <c r="H4490">
        <v>50.5</v>
      </c>
      <c r="I4490">
        <v>40.799999999999997</v>
      </c>
      <c r="J4490">
        <v>60.2</v>
      </c>
      <c r="K4490">
        <v>820</v>
      </c>
      <c r="L4490">
        <v>34</v>
      </c>
      <c r="M4490">
        <v>1606</v>
      </c>
      <c r="N4490">
        <v>6.9</v>
      </c>
      <c r="O4490">
        <v>3.5</v>
      </c>
      <c r="P4490">
        <v>10.3</v>
      </c>
      <c r="Q4490">
        <f t="shared" si="138"/>
        <v>8603985</v>
      </c>
      <c r="R4490">
        <f t="shared" si="139"/>
        <v>9.530467568225653</v>
      </c>
      <c r="U4490">
        <v>741</v>
      </c>
      <c r="V4490">
        <v>106</v>
      </c>
      <c r="W4490">
        <v>1376</v>
      </c>
      <c r="X4490">
        <v>522</v>
      </c>
      <c r="Y4490">
        <v>58.7</v>
      </c>
      <c r="Z4490">
        <v>51.5</v>
      </c>
      <c r="AA4490">
        <v>65.900000000000006</v>
      </c>
    </row>
    <row r="4491" spans="1:27" x14ac:dyDescent="0.25">
      <c r="A4491" t="s">
        <v>270</v>
      </c>
      <c r="B4491" t="s">
        <v>183</v>
      </c>
      <c r="C4491" s="76">
        <v>43923</v>
      </c>
      <c r="D4491">
        <v>6137</v>
      </c>
      <c r="E4491">
        <v>1616</v>
      </c>
      <c r="F4491">
        <v>10659</v>
      </c>
      <c r="G4491">
        <v>5795</v>
      </c>
      <c r="H4491">
        <v>51.4</v>
      </c>
      <c r="I4491">
        <v>42.8</v>
      </c>
      <c r="J4491">
        <v>60.1</v>
      </c>
      <c r="K4491">
        <v>900</v>
      </c>
      <c r="L4491">
        <v>0</v>
      </c>
      <c r="M4491">
        <v>1804</v>
      </c>
      <c r="N4491">
        <v>7.5</v>
      </c>
      <c r="O4491">
        <v>3.4</v>
      </c>
      <c r="P4491">
        <v>11.7</v>
      </c>
      <c r="Q4491">
        <f t="shared" si="138"/>
        <v>8603985</v>
      </c>
      <c r="R4491">
        <f t="shared" si="139"/>
        <v>10.460269282198889</v>
      </c>
      <c r="U4491">
        <v>761</v>
      </c>
      <c r="V4491">
        <v>109</v>
      </c>
      <c r="W4491">
        <v>1414</v>
      </c>
      <c r="X4491">
        <v>518</v>
      </c>
      <c r="Y4491">
        <v>59.5</v>
      </c>
      <c r="Z4491">
        <v>52.5</v>
      </c>
      <c r="AA4491">
        <v>66.5</v>
      </c>
    </row>
    <row r="4492" spans="1:27" x14ac:dyDescent="0.25">
      <c r="A4492" t="s">
        <v>270</v>
      </c>
      <c r="B4492" t="s">
        <v>183</v>
      </c>
      <c r="C4492" s="76">
        <v>43924</v>
      </c>
      <c r="D4492">
        <v>6072</v>
      </c>
      <c r="E4492">
        <v>1482</v>
      </c>
      <c r="F4492">
        <v>10662</v>
      </c>
      <c r="G4492">
        <v>5972</v>
      </c>
      <c r="H4492">
        <v>50.4</v>
      </c>
      <c r="I4492">
        <v>40.6</v>
      </c>
      <c r="J4492">
        <v>60.3</v>
      </c>
      <c r="K4492">
        <v>980</v>
      </c>
      <c r="L4492">
        <v>0</v>
      </c>
      <c r="M4492">
        <v>1971</v>
      </c>
      <c r="N4492">
        <v>8.1</v>
      </c>
      <c r="O4492">
        <v>3.6</v>
      </c>
      <c r="P4492">
        <v>12.7</v>
      </c>
      <c r="Q4492">
        <f t="shared" si="138"/>
        <v>8603985</v>
      </c>
      <c r="R4492">
        <f t="shared" si="139"/>
        <v>11.390070996172122</v>
      </c>
      <c r="U4492">
        <v>779</v>
      </c>
      <c r="V4492">
        <v>123</v>
      </c>
      <c r="W4492">
        <v>1434</v>
      </c>
      <c r="X4492">
        <v>515</v>
      </c>
      <c r="Y4492">
        <v>60.2</v>
      </c>
      <c r="Z4492">
        <v>50.9</v>
      </c>
      <c r="AA4492">
        <v>69.5</v>
      </c>
    </row>
    <row r="4493" spans="1:27" x14ac:dyDescent="0.25">
      <c r="A4493" t="s">
        <v>270</v>
      </c>
      <c r="B4493" t="s">
        <v>183</v>
      </c>
      <c r="C4493" s="76">
        <v>43925</v>
      </c>
      <c r="D4493">
        <v>6033</v>
      </c>
      <c r="E4493">
        <v>1473</v>
      </c>
      <c r="F4493">
        <v>10593</v>
      </c>
      <c r="G4493">
        <v>6003</v>
      </c>
      <c r="H4493">
        <v>50.1</v>
      </c>
      <c r="I4493">
        <v>40.1</v>
      </c>
      <c r="J4493">
        <v>60.2</v>
      </c>
      <c r="K4493">
        <v>960</v>
      </c>
      <c r="L4493">
        <v>0</v>
      </c>
      <c r="M4493">
        <v>1951</v>
      </c>
      <c r="N4493">
        <v>8</v>
      </c>
      <c r="O4493">
        <v>3.4</v>
      </c>
      <c r="P4493">
        <v>12.6</v>
      </c>
      <c r="Q4493">
        <f t="shared" si="138"/>
        <v>8603985</v>
      </c>
      <c r="R4493">
        <f t="shared" si="139"/>
        <v>11.157620567678814</v>
      </c>
      <c r="U4493">
        <v>805</v>
      </c>
      <c r="V4493">
        <v>89</v>
      </c>
      <c r="W4493">
        <v>1522</v>
      </c>
      <c r="X4493">
        <v>527</v>
      </c>
      <c r="Y4493">
        <v>60.5</v>
      </c>
      <c r="Z4493">
        <v>49.7</v>
      </c>
      <c r="AA4493">
        <v>71.2</v>
      </c>
    </row>
    <row r="4494" spans="1:27" x14ac:dyDescent="0.25">
      <c r="A4494" t="s">
        <v>270</v>
      </c>
      <c r="B4494" t="s">
        <v>183</v>
      </c>
      <c r="C4494" s="76">
        <v>43926</v>
      </c>
      <c r="D4494">
        <v>6072</v>
      </c>
      <c r="E4494">
        <v>1542</v>
      </c>
      <c r="F4494">
        <v>10602</v>
      </c>
      <c r="G4494">
        <v>5866</v>
      </c>
      <c r="H4494">
        <v>50.9</v>
      </c>
      <c r="I4494">
        <v>41.7</v>
      </c>
      <c r="J4494">
        <v>60.1</v>
      </c>
      <c r="K4494">
        <v>935</v>
      </c>
      <c r="L4494">
        <v>0</v>
      </c>
      <c r="M4494">
        <v>1946</v>
      </c>
      <c r="N4494">
        <v>7.8</v>
      </c>
      <c r="O4494">
        <v>2.6</v>
      </c>
      <c r="P4494">
        <v>13</v>
      </c>
      <c r="Q4494">
        <f t="shared" si="138"/>
        <v>8603985</v>
      </c>
      <c r="R4494">
        <f t="shared" si="139"/>
        <v>10.867057532062178</v>
      </c>
      <c r="U4494">
        <v>784</v>
      </c>
      <c r="V4494">
        <v>114</v>
      </c>
      <c r="W4494">
        <v>1454</v>
      </c>
      <c r="X4494">
        <v>482</v>
      </c>
      <c r="Y4494">
        <v>61.9</v>
      </c>
      <c r="Z4494">
        <v>53.4</v>
      </c>
      <c r="AA4494">
        <v>70.5</v>
      </c>
    </row>
    <row r="4495" spans="1:27" x14ac:dyDescent="0.25">
      <c r="A4495" t="s">
        <v>270</v>
      </c>
      <c r="B4495" t="s">
        <v>183</v>
      </c>
      <c r="C4495" s="76">
        <v>43927</v>
      </c>
      <c r="D4495">
        <v>6251</v>
      </c>
      <c r="E4495">
        <v>1433</v>
      </c>
      <c r="F4495">
        <v>11069</v>
      </c>
      <c r="G4495">
        <v>5695</v>
      </c>
      <c r="H4495">
        <v>52.3</v>
      </c>
      <c r="I4495">
        <v>42.1</v>
      </c>
      <c r="J4495">
        <v>62.5</v>
      </c>
      <c r="K4495">
        <v>1126</v>
      </c>
      <c r="L4495">
        <v>0</v>
      </c>
      <c r="M4495">
        <v>2356</v>
      </c>
      <c r="N4495">
        <v>9.4</v>
      </c>
      <c r="O4495">
        <v>3.3</v>
      </c>
      <c r="P4495">
        <v>15.6</v>
      </c>
      <c r="Q4495">
        <f t="shared" si="138"/>
        <v>8603985</v>
      </c>
      <c r="R4495">
        <f t="shared" si="139"/>
        <v>13.086959124173275</v>
      </c>
      <c r="U4495">
        <v>813</v>
      </c>
      <c r="V4495">
        <v>30</v>
      </c>
      <c r="W4495">
        <v>1596</v>
      </c>
      <c r="X4495">
        <v>522</v>
      </c>
      <c r="Y4495">
        <v>60.9</v>
      </c>
      <c r="Z4495">
        <v>45.7</v>
      </c>
      <c r="AA4495">
        <v>76.2</v>
      </c>
    </row>
    <row r="4496" spans="1:27" x14ac:dyDescent="0.25">
      <c r="A4496" t="s">
        <v>270</v>
      </c>
      <c r="B4496" t="s">
        <v>183</v>
      </c>
      <c r="C4496" s="76">
        <v>43928</v>
      </c>
      <c r="D4496">
        <v>6542</v>
      </c>
      <c r="E4496">
        <v>1600</v>
      </c>
      <c r="F4496">
        <v>11483</v>
      </c>
      <c r="G4496">
        <v>5430</v>
      </c>
      <c r="H4496">
        <v>54.6</v>
      </c>
      <c r="I4496">
        <v>45</v>
      </c>
      <c r="J4496">
        <v>64.3</v>
      </c>
      <c r="K4496">
        <v>1171</v>
      </c>
      <c r="L4496">
        <v>0</v>
      </c>
      <c r="M4496">
        <v>2347</v>
      </c>
      <c r="N4496">
        <v>9.8000000000000007</v>
      </c>
      <c r="O4496">
        <v>4.5999999999999996</v>
      </c>
      <c r="P4496">
        <v>14.9</v>
      </c>
      <c r="Q4496">
        <f t="shared" si="138"/>
        <v>8603985</v>
      </c>
      <c r="R4496">
        <f t="shared" si="139"/>
        <v>13.60997258828322</v>
      </c>
      <c r="U4496">
        <v>879</v>
      </c>
      <c r="V4496">
        <v>93</v>
      </c>
      <c r="W4496">
        <v>1664</v>
      </c>
      <c r="X4496">
        <v>438</v>
      </c>
      <c r="Y4496">
        <v>66.7</v>
      </c>
      <c r="Z4496">
        <v>54.7</v>
      </c>
      <c r="AA4496">
        <v>78.8</v>
      </c>
    </row>
    <row r="4497" spans="1:27" x14ac:dyDescent="0.25">
      <c r="A4497" t="s">
        <v>270</v>
      </c>
      <c r="B4497" t="s">
        <v>183</v>
      </c>
      <c r="C4497" s="76">
        <v>43929</v>
      </c>
      <c r="D4497">
        <v>6596</v>
      </c>
      <c r="E4497">
        <v>1707</v>
      </c>
      <c r="F4497">
        <v>11486</v>
      </c>
      <c r="G4497">
        <v>5372</v>
      </c>
      <c r="H4497">
        <v>55.1</v>
      </c>
      <c r="I4497">
        <v>45</v>
      </c>
      <c r="J4497">
        <v>65.2</v>
      </c>
      <c r="K4497">
        <v>1147</v>
      </c>
      <c r="L4497">
        <v>27</v>
      </c>
      <c r="M4497">
        <v>2267</v>
      </c>
      <c r="N4497">
        <v>9.6</v>
      </c>
      <c r="O4497">
        <v>4.8</v>
      </c>
      <c r="P4497">
        <v>14.3</v>
      </c>
      <c r="Q4497">
        <f t="shared" si="138"/>
        <v>8603985</v>
      </c>
      <c r="R4497">
        <f t="shared" si="139"/>
        <v>13.331032074091249</v>
      </c>
      <c r="U4497">
        <v>767</v>
      </c>
      <c r="V4497">
        <v>86</v>
      </c>
      <c r="W4497">
        <v>1448</v>
      </c>
      <c r="X4497">
        <v>587</v>
      </c>
      <c r="Y4497">
        <v>56.7</v>
      </c>
      <c r="Z4497">
        <v>45.6</v>
      </c>
      <c r="AA4497">
        <v>67.8</v>
      </c>
    </row>
    <row r="4498" spans="1:27" x14ac:dyDescent="0.25">
      <c r="A4498" t="s">
        <v>270</v>
      </c>
      <c r="B4498" t="s">
        <v>183</v>
      </c>
      <c r="C4498" s="76">
        <v>43930</v>
      </c>
      <c r="D4498">
        <v>6603</v>
      </c>
      <c r="E4498">
        <v>1602</v>
      </c>
      <c r="F4498">
        <v>11603</v>
      </c>
      <c r="G4498">
        <v>5366</v>
      </c>
      <c r="H4498">
        <v>55.2</v>
      </c>
      <c r="I4498">
        <v>44.1</v>
      </c>
      <c r="J4498">
        <v>66.2</v>
      </c>
      <c r="K4498">
        <v>1050</v>
      </c>
      <c r="L4498">
        <v>10</v>
      </c>
      <c r="M4498">
        <v>2089</v>
      </c>
      <c r="N4498">
        <v>8.8000000000000007</v>
      </c>
      <c r="O4498">
        <v>4.0999999999999996</v>
      </c>
      <c r="P4498">
        <v>13.4</v>
      </c>
      <c r="Q4498">
        <f t="shared" si="138"/>
        <v>8603985</v>
      </c>
      <c r="R4498">
        <f t="shared" si="139"/>
        <v>12.203647495898702</v>
      </c>
      <c r="U4498">
        <v>773</v>
      </c>
      <c r="V4498">
        <v>100</v>
      </c>
      <c r="W4498">
        <v>1446</v>
      </c>
      <c r="X4498">
        <v>520</v>
      </c>
      <c r="Y4498">
        <v>59.8</v>
      </c>
      <c r="Z4498">
        <v>49.6</v>
      </c>
      <c r="AA4498">
        <v>69.900000000000006</v>
      </c>
    </row>
    <row r="4499" spans="1:27" x14ac:dyDescent="0.25">
      <c r="A4499" t="s">
        <v>270</v>
      </c>
      <c r="B4499" t="s">
        <v>183</v>
      </c>
      <c r="C4499" s="76">
        <v>43931</v>
      </c>
      <c r="D4499">
        <v>6972</v>
      </c>
      <c r="E4499">
        <v>1849</v>
      </c>
      <c r="F4499">
        <v>12096</v>
      </c>
      <c r="G4499">
        <v>5343</v>
      </c>
      <c r="H4499">
        <v>56.6</v>
      </c>
      <c r="I4499">
        <v>46.1</v>
      </c>
      <c r="J4499">
        <v>67.2</v>
      </c>
      <c r="K4499">
        <v>1106</v>
      </c>
      <c r="L4499">
        <v>0</v>
      </c>
      <c r="M4499">
        <v>2223</v>
      </c>
      <c r="N4499">
        <v>9</v>
      </c>
      <c r="O4499">
        <v>3.9</v>
      </c>
      <c r="P4499">
        <v>14.1</v>
      </c>
      <c r="Q4499">
        <f t="shared" si="138"/>
        <v>8603985</v>
      </c>
      <c r="R4499">
        <f t="shared" si="139"/>
        <v>12.854508695679968</v>
      </c>
      <c r="U4499">
        <v>753</v>
      </c>
      <c r="V4499">
        <v>92</v>
      </c>
      <c r="W4499">
        <v>1415</v>
      </c>
      <c r="X4499">
        <v>607</v>
      </c>
      <c r="Y4499">
        <v>55.4</v>
      </c>
      <c r="Z4499">
        <v>44.8</v>
      </c>
      <c r="AA4499">
        <v>66</v>
      </c>
    </row>
    <row r="4500" spans="1:27" x14ac:dyDescent="0.25">
      <c r="A4500" t="s">
        <v>270</v>
      </c>
      <c r="B4500" t="s">
        <v>183</v>
      </c>
      <c r="C4500" s="76">
        <v>43932</v>
      </c>
      <c r="D4500">
        <v>6789</v>
      </c>
      <c r="E4500">
        <v>1712</v>
      </c>
      <c r="F4500">
        <v>11867</v>
      </c>
      <c r="G4500">
        <v>5526</v>
      </c>
      <c r="H4500">
        <v>55.1</v>
      </c>
      <c r="I4500">
        <v>44.2</v>
      </c>
      <c r="J4500">
        <v>66.099999999999994</v>
      </c>
      <c r="K4500">
        <v>988</v>
      </c>
      <c r="L4500">
        <v>0</v>
      </c>
      <c r="M4500">
        <v>2017</v>
      </c>
      <c r="N4500">
        <v>8</v>
      </c>
      <c r="O4500">
        <v>3.4</v>
      </c>
      <c r="P4500">
        <v>12.7</v>
      </c>
      <c r="Q4500">
        <f t="shared" si="138"/>
        <v>8603985</v>
      </c>
      <c r="R4500">
        <f t="shared" si="139"/>
        <v>11.483051167569446</v>
      </c>
      <c r="U4500">
        <v>743</v>
      </c>
      <c r="V4500">
        <v>103</v>
      </c>
      <c r="W4500">
        <v>1384</v>
      </c>
      <c r="X4500">
        <v>650</v>
      </c>
      <c r="Y4500">
        <v>53.3</v>
      </c>
      <c r="Z4500">
        <v>42.4</v>
      </c>
      <c r="AA4500">
        <v>64.3</v>
      </c>
    </row>
    <row r="4501" spans="1:27" x14ac:dyDescent="0.25">
      <c r="A4501" t="s">
        <v>270</v>
      </c>
      <c r="B4501" t="s">
        <v>183</v>
      </c>
      <c r="C4501" s="76">
        <v>43933</v>
      </c>
      <c r="D4501">
        <v>7938</v>
      </c>
      <c r="E4501">
        <v>2100</v>
      </c>
      <c r="F4501">
        <v>13775</v>
      </c>
      <c r="G4501">
        <v>6845</v>
      </c>
      <c r="H4501">
        <v>53.7</v>
      </c>
      <c r="I4501">
        <v>46.6</v>
      </c>
      <c r="J4501">
        <v>60.8</v>
      </c>
      <c r="K4501">
        <v>994</v>
      </c>
      <c r="L4501">
        <v>99</v>
      </c>
      <c r="M4501">
        <v>1890</v>
      </c>
      <c r="N4501">
        <v>6.7</v>
      </c>
      <c r="O4501">
        <v>3.1</v>
      </c>
      <c r="P4501">
        <v>10.4</v>
      </c>
      <c r="Q4501">
        <f t="shared" si="138"/>
        <v>8603985</v>
      </c>
      <c r="R4501">
        <f t="shared" si="139"/>
        <v>11.552786296117437</v>
      </c>
      <c r="U4501">
        <v>1046</v>
      </c>
      <c r="V4501">
        <v>66</v>
      </c>
      <c r="W4501">
        <v>2025</v>
      </c>
      <c r="X4501">
        <v>802</v>
      </c>
      <c r="Y4501">
        <v>56.6</v>
      </c>
      <c r="Z4501">
        <v>51.4</v>
      </c>
      <c r="AA4501">
        <v>61.8</v>
      </c>
    </row>
    <row r="4502" spans="1:27" x14ac:dyDescent="0.25">
      <c r="A4502" t="s">
        <v>270</v>
      </c>
      <c r="B4502" t="s">
        <v>183</v>
      </c>
      <c r="C4502" s="76">
        <v>43934</v>
      </c>
      <c r="D4502">
        <v>8397</v>
      </c>
      <c r="E4502">
        <v>2332</v>
      </c>
      <c r="F4502">
        <v>14462</v>
      </c>
      <c r="G4502">
        <v>6742</v>
      </c>
      <c r="H4502">
        <v>55.5</v>
      </c>
      <c r="I4502">
        <v>48.7</v>
      </c>
      <c r="J4502">
        <v>62.2</v>
      </c>
      <c r="K4502">
        <v>1098</v>
      </c>
      <c r="L4502">
        <v>149</v>
      </c>
      <c r="M4502">
        <v>2048</v>
      </c>
      <c r="N4502">
        <v>7.3</v>
      </c>
      <c r="O4502">
        <v>3.4</v>
      </c>
      <c r="P4502">
        <v>11.1</v>
      </c>
      <c r="Q4502">
        <f t="shared" si="138"/>
        <v>8603985</v>
      </c>
      <c r="R4502">
        <f t="shared" si="139"/>
        <v>12.761528524282644</v>
      </c>
      <c r="U4502">
        <v>1151</v>
      </c>
      <c r="V4502">
        <v>127</v>
      </c>
      <c r="W4502">
        <v>2174</v>
      </c>
      <c r="X4502">
        <v>820</v>
      </c>
      <c r="Y4502">
        <v>58.4</v>
      </c>
      <c r="Z4502">
        <v>52.6</v>
      </c>
      <c r="AA4502">
        <v>64.2</v>
      </c>
    </row>
    <row r="4503" spans="1:27" x14ac:dyDescent="0.25">
      <c r="A4503" t="s">
        <v>270</v>
      </c>
      <c r="B4503" t="s">
        <v>183</v>
      </c>
      <c r="C4503" s="76">
        <v>43935</v>
      </c>
      <c r="D4503">
        <v>8976</v>
      </c>
      <c r="E4503">
        <v>4342</v>
      </c>
      <c r="F4503">
        <v>13610</v>
      </c>
      <c r="G4503">
        <v>10048</v>
      </c>
      <c r="H4503">
        <v>47.2</v>
      </c>
      <c r="I4503">
        <v>40.200000000000003</v>
      </c>
      <c r="J4503">
        <v>54.2</v>
      </c>
      <c r="K4503">
        <v>1129</v>
      </c>
      <c r="L4503">
        <v>432</v>
      </c>
      <c r="M4503">
        <v>1826</v>
      </c>
      <c r="N4503">
        <v>5.9</v>
      </c>
      <c r="O4503">
        <v>3.6</v>
      </c>
      <c r="P4503">
        <v>8.1999999999999993</v>
      </c>
      <c r="Q4503">
        <f t="shared" si="138"/>
        <v>8603985</v>
      </c>
      <c r="R4503">
        <f t="shared" si="139"/>
        <v>13.121826688447273</v>
      </c>
      <c r="U4503">
        <v>1239</v>
      </c>
      <c r="V4503">
        <v>508</v>
      </c>
      <c r="W4503">
        <v>1969</v>
      </c>
      <c r="X4503">
        <v>731</v>
      </c>
      <c r="Y4503">
        <v>62.9</v>
      </c>
      <c r="Z4503">
        <v>58.1</v>
      </c>
      <c r="AA4503">
        <v>67.7</v>
      </c>
    </row>
    <row r="4504" spans="1:27" x14ac:dyDescent="0.25">
      <c r="A4504" t="s">
        <v>270</v>
      </c>
      <c r="B4504" t="s">
        <v>183</v>
      </c>
      <c r="C4504" s="76">
        <v>43936</v>
      </c>
      <c r="D4504">
        <v>9200</v>
      </c>
      <c r="E4504">
        <v>4550</v>
      </c>
      <c r="F4504">
        <v>13850</v>
      </c>
      <c r="G4504">
        <v>9844</v>
      </c>
      <c r="H4504">
        <v>48.3</v>
      </c>
      <c r="I4504">
        <v>41.5</v>
      </c>
      <c r="J4504">
        <v>55.1</v>
      </c>
      <c r="K4504">
        <v>1058</v>
      </c>
      <c r="L4504">
        <v>419</v>
      </c>
      <c r="M4504">
        <v>1696</v>
      </c>
      <c r="N4504">
        <v>5.6</v>
      </c>
      <c r="O4504">
        <v>3.4</v>
      </c>
      <c r="P4504">
        <v>7.8</v>
      </c>
      <c r="Q4504">
        <f t="shared" si="138"/>
        <v>8603985</v>
      </c>
      <c r="R4504">
        <f t="shared" si="139"/>
        <v>12.296627667296027</v>
      </c>
      <c r="U4504">
        <v>1292</v>
      </c>
      <c r="V4504">
        <v>499</v>
      </c>
      <c r="W4504">
        <v>2085</v>
      </c>
      <c r="X4504">
        <v>664</v>
      </c>
      <c r="Y4504">
        <v>66.099999999999994</v>
      </c>
      <c r="Z4504">
        <v>59</v>
      </c>
      <c r="AA4504">
        <v>73.099999999999994</v>
      </c>
    </row>
    <row r="4505" spans="1:27" x14ac:dyDescent="0.25">
      <c r="A4505" t="s">
        <v>270</v>
      </c>
      <c r="B4505" t="s">
        <v>183</v>
      </c>
      <c r="C4505" s="76">
        <v>43937</v>
      </c>
      <c r="D4505">
        <v>9192</v>
      </c>
      <c r="E4505">
        <v>4516</v>
      </c>
      <c r="F4505">
        <v>13868</v>
      </c>
      <c r="G4505">
        <v>9862</v>
      </c>
      <c r="H4505">
        <v>48.2</v>
      </c>
      <c r="I4505">
        <v>40.700000000000003</v>
      </c>
      <c r="J4505">
        <v>55.8</v>
      </c>
      <c r="K4505">
        <v>1118</v>
      </c>
      <c r="L4505">
        <v>460</v>
      </c>
      <c r="M4505">
        <v>1776</v>
      </c>
      <c r="N4505">
        <v>5.9</v>
      </c>
      <c r="O4505">
        <v>3.7</v>
      </c>
      <c r="P4505">
        <v>8</v>
      </c>
      <c r="Q4505">
        <f t="shared" si="138"/>
        <v>8603985</v>
      </c>
      <c r="R4505">
        <f t="shared" si="139"/>
        <v>12.993978952775953</v>
      </c>
      <c r="U4505">
        <v>1275</v>
      </c>
      <c r="V4505">
        <v>463</v>
      </c>
      <c r="W4505">
        <v>2087</v>
      </c>
      <c r="X4505">
        <v>787</v>
      </c>
      <c r="Y4505">
        <v>61.9</v>
      </c>
      <c r="Z4505">
        <v>57.2</v>
      </c>
      <c r="AA4505">
        <v>66.5</v>
      </c>
    </row>
    <row r="4506" spans="1:27" x14ac:dyDescent="0.25">
      <c r="A4506" t="s">
        <v>270</v>
      </c>
      <c r="B4506" t="s">
        <v>183</v>
      </c>
      <c r="C4506" s="76">
        <v>43938</v>
      </c>
      <c r="D4506">
        <v>9048</v>
      </c>
      <c r="E4506">
        <v>4477</v>
      </c>
      <c r="F4506">
        <v>13619</v>
      </c>
      <c r="G4506">
        <v>10001</v>
      </c>
      <c r="H4506">
        <v>47.5</v>
      </c>
      <c r="I4506">
        <v>40.6</v>
      </c>
      <c r="J4506">
        <v>54.4</v>
      </c>
      <c r="K4506">
        <v>1123</v>
      </c>
      <c r="L4506">
        <v>464</v>
      </c>
      <c r="M4506">
        <v>1783</v>
      </c>
      <c r="N4506">
        <v>5.9</v>
      </c>
      <c r="O4506">
        <v>3.8</v>
      </c>
      <c r="P4506">
        <v>8</v>
      </c>
      <c r="Q4506">
        <f t="shared" si="138"/>
        <v>8603985</v>
      </c>
      <c r="R4506">
        <f t="shared" si="139"/>
        <v>13.05209155989928</v>
      </c>
      <c r="U4506">
        <v>1096</v>
      </c>
      <c r="V4506">
        <v>504</v>
      </c>
      <c r="W4506">
        <v>1689</v>
      </c>
      <c r="X4506">
        <v>962</v>
      </c>
      <c r="Y4506">
        <v>53.3</v>
      </c>
      <c r="Z4506">
        <v>41</v>
      </c>
      <c r="AA4506">
        <v>65.5</v>
      </c>
    </row>
    <row r="4507" spans="1:27" x14ac:dyDescent="0.25">
      <c r="A4507" t="s">
        <v>270</v>
      </c>
      <c r="B4507" t="s">
        <v>183</v>
      </c>
      <c r="C4507" s="76">
        <v>43939</v>
      </c>
      <c r="D4507">
        <v>8886</v>
      </c>
      <c r="E4507">
        <v>4379</v>
      </c>
      <c r="F4507">
        <v>13393</v>
      </c>
      <c r="G4507">
        <v>10157</v>
      </c>
      <c r="H4507">
        <v>46.7</v>
      </c>
      <c r="I4507">
        <v>39.4</v>
      </c>
      <c r="J4507">
        <v>53.9</v>
      </c>
      <c r="K4507">
        <v>906</v>
      </c>
      <c r="L4507">
        <v>350</v>
      </c>
      <c r="M4507">
        <v>1461</v>
      </c>
      <c r="N4507">
        <v>4.8</v>
      </c>
      <c r="O4507">
        <v>2.7</v>
      </c>
      <c r="P4507">
        <v>6.8</v>
      </c>
      <c r="Q4507">
        <f t="shared" si="138"/>
        <v>8603985</v>
      </c>
      <c r="R4507">
        <f t="shared" si="139"/>
        <v>10.53000441074688</v>
      </c>
      <c r="U4507">
        <v>1155</v>
      </c>
      <c r="V4507">
        <v>467</v>
      </c>
      <c r="W4507">
        <v>1843</v>
      </c>
      <c r="X4507">
        <v>798</v>
      </c>
      <c r="Y4507">
        <v>59.1</v>
      </c>
      <c r="Z4507">
        <v>52.8</v>
      </c>
      <c r="AA4507">
        <v>65.5</v>
      </c>
    </row>
    <row r="4508" spans="1:27" x14ac:dyDescent="0.25">
      <c r="A4508" t="s">
        <v>270</v>
      </c>
      <c r="B4508" t="s">
        <v>183</v>
      </c>
      <c r="C4508" s="76">
        <v>43940</v>
      </c>
      <c r="D4508">
        <v>8632</v>
      </c>
      <c r="E4508">
        <v>4212</v>
      </c>
      <c r="F4508">
        <v>13052</v>
      </c>
      <c r="G4508">
        <v>10414</v>
      </c>
      <c r="H4508">
        <v>45.3</v>
      </c>
      <c r="I4508">
        <v>38.1</v>
      </c>
      <c r="J4508">
        <v>52.6</v>
      </c>
      <c r="K4508">
        <v>915</v>
      </c>
      <c r="L4508">
        <v>357</v>
      </c>
      <c r="M4508">
        <v>1474</v>
      </c>
      <c r="N4508">
        <v>4.8</v>
      </c>
      <c r="O4508">
        <v>2.8</v>
      </c>
      <c r="P4508">
        <v>6.8</v>
      </c>
      <c r="Q4508">
        <f t="shared" si="138"/>
        <v>8603985</v>
      </c>
      <c r="R4508">
        <f t="shared" si="139"/>
        <v>10.63460710356887</v>
      </c>
      <c r="U4508">
        <v>1143</v>
      </c>
      <c r="V4508">
        <v>459</v>
      </c>
      <c r="W4508">
        <v>1828</v>
      </c>
      <c r="X4508">
        <v>679</v>
      </c>
      <c r="Y4508">
        <v>62.7</v>
      </c>
      <c r="Z4508">
        <v>51.6</v>
      </c>
      <c r="AA4508">
        <v>73.8</v>
      </c>
    </row>
    <row r="4509" spans="1:27" x14ac:dyDescent="0.25">
      <c r="A4509" t="s">
        <v>270</v>
      </c>
      <c r="B4509" t="s">
        <v>183</v>
      </c>
      <c r="C4509" s="76">
        <v>43941</v>
      </c>
      <c r="D4509">
        <v>8962</v>
      </c>
      <c r="E4509">
        <v>4345</v>
      </c>
      <c r="F4509">
        <v>13578</v>
      </c>
      <c r="G4509">
        <v>10092</v>
      </c>
      <c r="H4509">
        <v>47</v>
      </c>
      <c r="I4509">
        <v>39.799999999999997</v>
      </c>
      <c r="J4509">
        <v>54.3</v>
      </c>
      <c r="K4509">
        <v>901</v>
      </c>
      <c r="L4509">
        <v>367</v>
      </c>
      <c r="M4509">
        <v>1435</v>
      </c>
      <c r="N4509">
        <v>4.7</v>
      </c>
      <c r="O4509">
        <v>2.9</v>
      </c>
      <c r="P4509">
        <v>6.6</v>
      </c>
      <c r="Q4509">
        <f t="shared" si="138"/>
        <v>8603985</v>
      </c>
      <c r="R4509">
        <f t="shared" si="139"/>
        <v>10.471891803623555</v>
      </c>
      <c r="U4509">
        <v>1150</v>
      </c>
      <c r="V4509">
        <v>448</v>
      </c>
      <c r="W4509">
        <v>1852</v>
      </c>
      <c r="X4509">
        <v>807</v>
      </c>
      <c r="Y4509">
        <v>58.8</v>
      </c>
      <c r="Z4509">
        <v>52.5</v>
      </c>
      <c r="AA4509">
        <v>65</v>
      </c>
    </row>
    <row r="4510" spans="1:27" x14ac:dyDescent="0.25">
      <c r="A4510" t="s">
        <v>270</v>
      </c>
      <c r="B4510" t="s">
        <v>183</v>
      </c>
      <c r="C4510" s="76">
        <v>43942</v>
      </c>
      <c r="D4510">
        <v>8942</v>
      </c>
      <c r="E4510">
        <v>4322</v>
      </c>
      <c r="F4510">
        <v>13563</v>
      </c>
      <c r="G4510">
        <v>9786</v>
      </c>
      <c r="H4510">
        <v>47.7</v>
      </c>
      <c r="I4510">
        <v>40.5</v>
      </c>
      <c r="J4510">
        <v>55</v>
      </c>
      <c r="K4510">
        <v>1067</v>
      </c>
      <c r="L4510">
        <v>413</v>
      </c>
      <c r="M4510">
        <v>1720</v>
      </c>
      <c r="N4510">
        <v>5.7</v>
      </c>
      <c r="O4510">
        <v>3.6</v>
      </c>
      <c r="P4510">
        <v>7.8</v>
      </c>
      <c r="Q4510">
        <f t="shared" si="138"/>
        <v>8603985</v>
      </c>
      <c r="R4510">
        <f t="shared" si="139"/>
        <v>12.401230360118014</v>
      </c>
      <c r="U4510">
        <v>1110</v>
      </c>
      <c r="V4510">
        <v>394</v>
      </c>
      <c r="W4510">
        <v>1825</v>
      </c>
      <c r="X4510">
        <v>754</v>
      </c>
      <c r="Y4510">
        <v>59.6</v>
      </c>
      <c r="Z4510">
        <v>53.1</v>
      </c>
      <c r="AA4510">
        <v>66</v>
      </c>
    </row>
    <row r="4511" spans="1:27" x14ac:dyDescent="0.25">
      <c r="A4511" t="s">
        <v>270</v>
      </c>
      <c r="B4511" t="s">
        <v>183</v>
      </c>
      <c r="C4511" s="76">
        <v>43943</v>
      </c>
      <c r="D4511">
        <v>9030</v>
      </c>
      <c r="E4511">
        <v>4381</v>
      </c>
      <c r="F4511">
        <v>13679</v>
      </c>
      <c r="G4511">
        <v>9695</v>
      </c>
      <c r="H4511">
        <v>48.2</v>
      </c>
      <c r="I4511">
        <v>41</v>
      </c>
      <c r="J4511">
        <v>55.5</v>
      </c>
      <c r="K4511">
        <v>1115</v>
      </c>
      <c r="L4511">
        <v>424</v>
      </c>
      <c r="M4511">
        <v>1807</v>
      </c>
      <c r="N4511">
        <v>6</v>
      </c>
      <c r="O4511">
        <v>3.8</v>
      </c>
      <c r="P4511">
        <v>8.1</v>
      </c>
      <c r="Q4511">
        <f t="shared" si="138"/>
        <v>8603985</v>
      </c>
      <c r="R4511">
        <f t="shared" si="139"/>
        <v>12.959111388501956</v>
      </c>
      <c r="U4511">
        <v>1173</v>
      </c>
      <c r="V4511">
        <v>430</v>
      </c>
      <c r="W4511">
        <v>1917</v>
      </c>
      <c r="X4511">
        <v>684</v>
      </c>
      <c r="Y4511">
        <v>63.2</v>
      </c>
      <c r="Z4511">
        <v>57.3</v>
      </c>
      <c r="AA4511">
        <v>69</v>
      </c>
    </row>
    <row r="4512" spans="1:27" x14ac:dyDescent="0.25">
      <c r="A4512" t="s">
        <v>270</v>
      </c>
      <c r="B4512" t="s">
        <v>183</v>
      </c>
      <c r="C4512" s="76">
        <v>43944</v>
      </c>
      <c r="D4512">
        <v>9132</v>
      </c>
      <c r="E4512">
        <v>4374</v>
      </c>
      <c r="F4512">
        <v>13890</v>
      </c>
      <c r="G4512">
        <v>9563</v>
      </c>
      <c r="H4512">
        <v>48.8</v>
      </c>
      <c r="I4512">
        <v>41.4</v>
      </c>
      <c r="J4512">
        <v>56.3</v>
      </c>
      <c r="K4512">
        <v>1135</v>
      </c>
      <c r="L4512">
        <v>427</v>
      </c>
      <c r="M4512">
        <v>1844</v>
      </c>
      <c r="N4512">
        <v>6.1</v>
      </c>
      <c r="O4512">
        <v>3.8</v>
      </c>
      <c r="P4512">
        <v>8.3000000000000007</v>
      </c>
      <c r="Q4512">
        <f t="shared" si="138"/>
        <v>8603985</v>
      </c>
      <c r="R4512">
        <f t="shared" si="139"/>
        <v>13.191561816995264</v>
      </c>
      <c r="U4512">
        <v>1195</v>
      </c>
      <c r="V4512">
        <v>445</v>
      </c>
      <c r="W4512">
        <v>1944</v>
      </c>
      <c r="X4512">
        <v>662</v>
      </c>
      <c r="Y4512">
        <v>64.400000000000006</v>
      </c>
      <c r="Z4512">
        <v>58.3</v>
      </c>
      <c r="AA4512">
        <v>70.400000000000006</v>
      </c>
    </row>
    <row r="4513" spans="1:27" x14ac:dyDescent="0.25">
      <c r="A4513" t="s">
        <v>270</v>
      </c>
      <c r="B4513" t="s">
        <v>183</v>
      </c>
      <c r="C4513" s="76">
        <v>43945</v>
      </c>
      <c r="D4513">
        <v>9029</v>
      </c>
      <c r="E4513">
        <v>4290</v>
      </c>
      <c r="F4513">
        <v>13768</v>
      </c>
      <c r="G4513">
        <v>9623</v>
      </c>
      <c r="H4513">
        <v>48.4</v>
      </c>
      <c r="I4513">
        <v>40.799999999999997</v>
      </c>
      <c r="J4513">
        <v>56.1</v>
      </c>
      <c r="K4513">
        <v>1098</v>
      </c>
      <c r="L4513">
        <v>387</v>
      </c>
      <c r="M4513">
        <v>1809</v>
      </c>
      <c r="N4513">
        <v>5.9</v>
      </c>
      <c r="O4513">
        <v>3.5</v>
      </c>
      <c r="P4513">
        <v>8.3000000000000007</v>
      </c>
      <c r="Q4513">
        <f t="shared" si="138"/>
        <v>8603985</v>
      </c>
      <c r="R4513">
        <f t="shared" si="139"/>
        <v>12.761528524282644</v>
      </c>
      <c r="U4513">
        <v>1196</v>
      </c>
      <c r="V4513">
        <v>430</v>
      </c>
      <c r="W4513">
        <v>1963</v>
      </c>
      <c r="X4513">
        <v>660</v>
      </c>
      <c r="Y4513">
        <v>64.400000000000006</v>
      </c>
      <c r="Z4513">
        <v>58.4</v>
      </c>
      <c r="AA4513">
        <v>70.5</v>
      </c>
    </row>
    <row r="4514" spans="1:27" x14ac:dyDescent="0.25">
      <c r="A4514" t="s">
        <v>270</v>
      </c>
      <c r="B4514" t="s">
        <v>183</v>
      </c>
      <c r="C4514" s="76">
        <v>43946</v>
      </c>
      <c r="D4514">
        <v>8964</v>
      </c>
      <c r="E4514">
        <v>4331</v>
      </c>
      <c r="F4514">
        <v>13597</v>
      </c>
      <c r="G4514">
        <v>9695</v>
      </c>
      <c r="H4514">
        <v>48</v>
      </c>
      <c r="I4514">
        <v>40.5</v>
      </c>
      <c r="J4514">
        <v>55.6</v>
      </c>
      <c r="K4514">
        <v>1053</v>
      </c>
      <c r="L4514">
        <v>381</v>
      </c>
      <c r="M4514">
        <v>1725</v>
      </c>
      <c r="N4514">
        <v>5.6</v>
      </c>
      <c r="O4514">
        <v>3.4</v>
      </c>
      <c r="P4514">
        <v>7.9</v>
      </c>
      <c r="Q4514">
        <f t="shared" si="138"/>
        <v>8603985</v>
      </c>
      <c r="R4514">
        <f t="shared" si="139"/>
        <v>12.2385150601727</v>
      </c>
      <c r="U4514">
        <v>1089</v>
      </c>
      <c r="V4514">
        <v>412</v>
      </c>
      <c r="W4514">
        <v>1767</v>
      </c>
      <c r="X4514">
        <v>762</v>
      </c>
      <c r="Y4514">
        <v>58.9</v>
      </c>
      <c r="Z4514">
        <v>53.8</v>
      </c>
      <c r="AA4514">
        <v>63.9</v>
      </c>
    </row>
    <row r="4515" spans="1:27" x14ac:dyDescent="0.25">
      <c r="A4515" t="s">
        <v>270</v>
      </c>
      <c r="B4515" t="s">
        <v>183</v>
      </c>
      <c r="C4515" s="76">
        <v>43947</v>
      </c>
      <c r="D4515">
        <v>8938</v>
      </c>
      <c r="E4515">
        <v>4340</v>
      </c>
      <c r="F4515">
        <v>13537</v>
      </c>
      <c r="G4515">
        <v>9728</v>
      </c>
      <c r="H4515">
        <v>47.9</v>
      </c>
      <c r="I4515">
        <v>40.200000000000003</v>
      </c>
      <c r="J4515">
        <v>55.6</v>
      </c>
      <c r="K4515">
        <v>1031</v>
      </c>
      <c r="L4515">
        <v>370</v>
      </c>
      <c r="M4515">
        <v>1691</v>
      </c>
      <c r="N4515">
        <v>5.5</v>
      </c>
      <c r="O4515">
        <v>3.2</v>
      </c>
      <c r="P4515">
        <v>7.8</v>
      </c>
      <c r="Q4515">
        <f t="shared" si="138"/>
        <v>8603985</v>
      </c>
      <c r="R4515">
        <f t="shared" si="139"/>
        <v>11.982819588830059</v>
      </c>
      <c r="U4515">
        <v>1137</v>
      </c>
      <c r="V4515">
        <v>416</v>
      </c>
      <c r="W4515">
        <v>1859</v>
      </c>
      <c r="X4515">
        <v>722</v>
      </c>
      <c r="Y4515">
        <v>61.2</v>
      </c>
      <c r="Z4515">
        <v>55.1</v>
      </c>
      <c r="AA4515">
        <v>67.2</v>
      </c>
    </row>
    <row r="4516" spans="1:27" x14ac:dyDescent="0.25">
      <c r="A4516" t="s">
        <v>270</v>
      </c>
      <c r="B4516" t="s">
        <v>183</v>
      </c>
      <c r="C4516" s="76">
        <v>43948</v>
      </c>
      <c r="D4516">
        <v>9427</v>
      </c>
      <c r="E4516">
        <v>4642</v>
      </c>
      <c r="F4516">
        <v>14211</v>
      </c>
      <c r="G4516">
        <v>9216</v>
      </c>
      <c r="H4516">
        <v>50.6</v>
      </c>
      <c r="I4516">
        <v>42.6</v>
      </c>
      <c r="J4516">
        <v>58.5</v>
      </c>
      <c r="K4516">
        <v>1152</v>
      </c>
      <c r="L4516">
        <v>399</v>
      </c>
      <c r="M4516">
        <v>1904</v>
      </c>
      <c r="N4516">
        <v>6.2</v>
      </c>
      <c r="O4516">
        <v>3.5</v>
      </c>
      <c r="P4516">
        <v>8.8000000000000007</v>
      </c>
      <c r="Q4516">
        <f t="shared" si="138"/>
        <v>8603985</v>
      </c>
      <c r="R4516">
        <f t="shared" si="139"/>
        <v>13.389144681214576</v>
      </c>
      <c r="U4516">
        <v>1147</v>
      </c>
      <c r="V4516">
        <v>440</v>
      </c>
      <c r="W4516">
        <v>1854</v>
      </c>
      <c r="X4516">
        <v>746</v>
      </c>
      <c r="Y4516">
        <v>60.6</v>
      </c>
      <c r="Z4516">
        <v>55.6</v>
      </c>
      <c r="AA4516">
        <v>65.599999999999994</v>
      </c>
    </row>
    <row r="4517" spans="1:27" x14ac:dyDescent="0.25">
      <c r="A4517" t="s">
        <v>270</v>
      </c>
      <c r="B4517" t="s">
        <v>183</v>
      </c>
      <c r="C4517" s="76">
        <v>43949</v>
      </c>
      <c r="D4517">
        <v>9732</v>
      </c>
      <c r="E4517">
        <v>4806</v>
      </c>
      <c r="F4517">
        <v>14658</v>
      </c>
      <c r="G4517">
        <v>9225</v>
      </c>
      <c r="H4517">
        <v>51.3</v>
      </c>
      <c r="I4517">
        <v>43.2</v>
      </c>
      <c r="J4517">
        <v>59.4</v>
      </c>
      <c r="K4517">
        <v>1195</v>
      </c>
      <c r="L4517">
        <v>425</v>
      </c>
      <c r="M4517">
        <v>1965</v>
      </c>
      <c r="N4517">
        <v>6.3</v>
      </c>
      <c r="O4517">
        <v>3.6</v>
      </c>
      <c r="P4517">
        <v>9</v>
      </c>
      <c r="Q4517">
        <f t="shared" si="138"/>
        <v>8603985</v>
      </c>
      <c r="R4517">
        <f t="shared" si="139"/>
        <v>13.88891310247519</v>
      </c>
      <c r="U4517">
        <v>1270</v>
      </c>
      <c r="V4517">
        <v>498</v>
      </c>
      <c r="W4517">
        <v>2042</v>
      </c>
      <c r="X4517">
        <v>697</v>
      </c>
      <c r="Y4517">
        <v>64.599999999999994</v>
      </c>
      <c r="Z4517">
        <v>58.3</v>
      </c>
      <c r="AA4517">
        <v>70.8</v>
      </c>
    </row>
    <row r="4518" spans="1:27" x14ac:dyDescent="0.25">
      <c r="A4518" t="s">
        <v>270</v>
      </c>
      <c r="B4518" t="s">
        <v>183</v>
      </c>
      <c r="C4518" s="76">
        <v>43950</v>
      </c>
      <c r="D4518">
        <v>9906</v>
      </c>
      <c r="E4518">
        <v>4945</v>
      </c>
      <c r="F4518">
        <v>14867</v>
      </c>
      <c r="G4518">
        <v>9124</v>
      </c>
      <c r="H4518">
        <v>52.1</v>
      </c>
      <c r="I4518">
        <v>44.1</v>
      </c>
      <c r="J4518">
        <v>60</v>
      </c>
      <c r="K4518">
        <v>1153</v>
      </c>
      <c r="L4518">
        <v>371</v>
      </c>
      <c r="M4518">
        <v>1935</v>
      </c>
      <c r="N4518">
        <v>6.1</v>
      </c>
      <c r="O4518">
        <v>3.2</v>
      </c>
      <c r="P4518">
        <v>8.9</v>
      </c>
      <c r="Q4518">
        <f t="shared" si="138"/>
        <v>8603985</v>
      </c>
      <c r="R4518">
        <f t="shared" si="139"/>
        <v>13.400767202639241</v>
      </c>
      <c r="U4518">
        <v>1335</v>
      </c>
      <c r="V4518">
        <v>517</v>
      </c>
      <c r="W4518">
        <v>2154</v>
      </c>
      <c r="X4518">
        <v>627</v>
      </c>
      <c r="Y4518">
        <v>68.099999999999994</v>
      </c>
      <c r="Z4518">
        <v>60.8</v>
      </c>
      <c r="AA4518">
        <v>75.3</v>
      </c>
    </row>
    <row r="4519" spans="1:27" x14ac:dyDescent="0.25">
      <c r="A4519" t="s">
        <v>270</v>
      </c>
      <c r="B4519" t="s">
        <v>183</v>
      </c>
      <c r="C4519" s="76">
        <v>43951</v>
      </c>
      <c r="D4519">
        <v>9851</v>
      </c>
      <c r="E4519">
        <v>4877</v>
      </c>
      <c r="F4519">
        <v>14825</v>
      </c>
      <c r="G4519">
        <v>9187</v>
      </c>
      <c r="H4519">
        <v>51.7</v>
      </c>
      <c r="I4519">
        <v>43.6</v>
      </c>
      <c r="J4519">
        <v>59.9</v>
      </c>
      <c r="K4519">
        <v>1178</v>
      </c>
      <c r="L4519">
        <v>378</v>
      </c>
      <c r="M4519">
        <v>1978</v>
      </c>
      <c r="N4519">
        <v>6.2</v>
      </c>
      <c r="O4519">
        <v>3.2</v>
      </c>
      <c r="P4519">
        <v>9.1999999999999993</v>
      </c>
      <c r="Q4519">
        <f t="shared" ref="Q4519:Q4582" si="140">VLOOKUP(B4519,$AE$4:$AF$55,2,FALSE)</f>
        <v>8603985</v>
      </c>
      <c r="R4519">
        <f t="shared" si="139"/>
        <v>13.691330238255878</v>
      </c>
      <c r="U4519">
        <v>1281</v>
      </c>
      <c r="V4519">
        <v>485</v>
      </c>
      <c r="W4519">
        <v>2077</v>
      </c>
      <c r="X4519">
        <v>717</v>
      </c>
      <c r="Y4519">
        <v>64.099999999999994</v>
      </c>
      <c r="Z4519">
        <v>56.6</v>
      </c>
      <c r="AA4519">
        <v>71.599999999999994</v>
      </c>
    </row>
    <row r="4520" spans="1:27" x14ac:dyDescent="0.25">
      <c r="A4520" t="s">
        <v>270</v>
      </c>
      <c r="B4520" t="s">
        <v>183</v>
      </c>
      <c r="C4520" s="76">
        <v>43952</v>
      </c>
      <c r="D4520">
        <v>9927</v>
      </c>
      <c r="E4520">
        <v>4935</v>
      </c>
      <c r="F4520">
        <v>14918</v>
      </c>
      <c r="G4520">
        <v>9111</v>
      </c>
      <c r="H4520">
        <v>52.1</v>
      </c>
      <c r="I4520">
        <v>44.3</v>
      </c>
      <c r="J4520">
        <v>60</v>
      </c>
      <c r="K4520">
        <v>1176</v>
      </c>
      <c r="L4520">
        <v>399</v>
      </c>
      <c r="M4520">
        <v>1952</v>
      </c>
      <c r="N4520">
        <v>6.2</v>
      </c>
      <c r="O4520">
        <v>3.3</v>
      </c>
      <c r="P4520">
        <v>9</v>
      </c>
      <c r="Q4520">
        <f t="shared" si="140"/>
        <v>8603985</v>
      </c>
      <c r="R4520">
        <f t="shared" si="139"/>
        <v>13.668085195406547</v>
      </c>
      <c r="U4520">
        <v>1260</v>
      </c>
      <c r="V4520">
        <v>489</v>
      </c>
      <c r="W4520">
        <v>2031</v>
      </c>
      <c r="X4520">
        <v>713</v>
      </c>
      <c r="Y4520">
        <v>63.9</v>
      </c>
      <c r="Z4520">
        <v>57.7</v>
      </c>
      <c r="AA4520">
        <v>70.099999999999994</v>
      </c>
    </row>
    <row r="4521" spans="1:27" x14ac:dyDescent="0.25">
      <c r="A4521" t="s">
        <v>270</v>
      </c>
      <c r="B4521" t="s">
        <v>183</v>
      </c>
      <c r="C4521" s="76">
        <v>43953</v>
      </c>
      <c r="D4521">
        <v>9460</v>
      </c>
      <c r="E4521">
        <v>4691</v>
      </c>
      <c r="F4521">
        <v>14229</v>
      </c>
      <c r="G4521">
        <v>9583</v>
      </c>
      <c r="H4521">
        <v>49.7</v>
      </c>
      <c r="I4521">
        <v>42</v>
      </c>
      <c r="J4521">
        <v>57.3</v>
      </c>
      <c r="K4521">
        <v>1112</v>
      </c>
      <c r="L4521">
        <v>368</v>
      </c>
      <c r="M4521">
        <v>1856</v>
      </c>
      <c r="N4521">
        <v>5.8</v>
      </c>
      <c r="O4521">
        <v>3.1</v>
      </c>
      <c r="P4521">
        <v>8.5</v>
      </c>
      <c r="Q4521">
        <f t="shared" si="140"/>
        <v>8603985</v>
      </c>
      <c r="R4521">
        <f t="shared" si="139"/>
        <v>12.924243824227961</v>
      </c>
      <c r="U4521">
        <v>1251</v>
      </c>
      <c r="V4521">
        <v>496</v>
      </c>
      <c r="W4521">
        <v>2006</v>
      </c>
      <c r="X4521">
        <v>712</v>
      </c>
      <c r="Y4521">
        <v>63.7</v>
      </c>
      <c r="Z4521">
        <v>58.1</v>
      </c>
      <c r="AA4521">
        <v>69.3</v>
      </c>
    </row>
    <row r="4522" spans="1:27" x14ac:dyDescent="0.25">
      <c r="A4522" t="s">
        <v>270</v>
      </c>
      <c r="B4522" t="s">
        <v>183</v>
      </c>
      <c r="C4522" s="76">
        <v>43954</v>
      </c>
      <c r="D4522">
        <v>9634</v>
      </c>
      <c r="E4522">
        <v>4787</v>
      </c>
      <c r="F4522">
        <v>14481</v>
      </c>
      <c r="G4522">
        <v>9409</v>
      </c>
      <c r="H4522">
        <v>50.6</v>
      </c>
      <c r="I4522">
        <v>42.9</v>
      </c>
      <c r="J4522">
        <v>58.3</v>
      </c>
      <c r="K4522">
        <v>1115</v>
      </c>
      <c r="L4522">
        <v>334</v>
      </c>
      <c r="M4522">
        <v>1896</v>
      </c>
      <c r="N4522">
        <v>5.9</v>
      </c>
      <c r="O4522">
        <v>3</v>
      </c>
      <c r="P4522">
        <v>8.6999999999999993</v>
      </c>
      <c r="Q4522">
        <f t="shared" si="140"/>
        <v>8603985</v>
      </c>
      <c r="R4522">
        <f t="shared" si="139"/>
        <v>12.959111388501956</v>
      </c>
      <c r="U4522">
        <v>1260</v>
      </c>
      <c r="V4522">
        <v>503</v>
      </c>
      <c r="W4522">
        <v>2017</v>
      </c>
      <c r="X4522">
        <v>708</v>
      </c>
      <c r="Y4522">
        <v>64</v>
      </c>
      <c r="Z4522">
        <v>57.8</v>
      </c>
      <c r="AA4522">
        <v>70.3</v>
      </c>
    </row>
    <row r="4523" spans="1:27" x14ac:dyDescent="0.25">
      <c r="A4523" t="s">
        <v>270</v>
      </c>
      <c r="B4523" t="s">
        <v>183</v>
      </c>
      <c r="C4523" s="76">
        <v>43955</v>
      </c>
      <c r="D4523">
        <v>10250</v>
      </c>
      <c r="E4523">
        <v>5009</v>
      </c>
      <c r="F4523">
        <v>15490</v>
      </c>
      <c r="G4523">
        <v>8790</v>
      </c>
      <c r="H4523">
        <v>53.8</v>
      </c>
      <c r="I4523">
        <v>45.7</v>
      </c>
      <c r="J4523">
        <v>61.9</v>
      </c>
      <c r="K4523">
        <v>1207</v>
      </c>
      <c r="L4523">
        <v>455</v>
      </c>
      <c r="M4523">
        <v>1959</v>
      </c>
      <c r="N4523">
        <v>6.3</v>
      </c>
      <c r="O4523">
        <v>3.8</v>
      </c>
      <c r="P4523">
        <v>8.8000000000000007</v>
      </c>
      <c r="Q4523">
        <f t="shared" si="140"/>
        <v>8603985</v>
      </c>
      <c r="R4523">
        <f t="shared" si="139"/>
        <v>14.028383359571174</v>
      </c>
      <c r="U4523">
        <v>1313</v>
      </c>
      <c r="V4523">
        <v>498</v>
      </c>
      <c r="W4523">
        <v>2127</v>
      </c>
      <c r="X4523">
        <v>660</v>
      </c>
      <c r="Y4523">
        <v>66.5</v>
      </c>
      <c r="Z4523">
        <v>59.6</v>
      </c>
      <c r="AA4523">
        <v>73.400000000000006</v>
      </c>
    </row>
    <row r="4524" spans="1:27" x14ac:dyDescent="0.25">
      <c r="A4524" t="s">
        <v>270</v>
      </c>
      <c r="B4524" t="s">
        <v>183</v>
      </c>
      <c r="C4524" s="76">
        <v>43956</v>
      </c>
      <c r="D4524">
        <v>10568</v>
      </c>
      <c r="E4524">
        <v>5204</v>
      </c>
      <c r="F4524">
        <v>15932</v>
      </c>
      <c r="G4524">
        <v>8389</v>
      </c>
      <c r="H4524">
        <v>55.7</v>
      </c>
      <c r="I4524">
        <v>46.6</v>
      </c>
      <c r="J4524">
        <v>64.900000000000006</v>
      </c>
      <c r="K4524">
        <v>1254</v>
      </c>
      <c r="L4524">
        <v>436</v>
      </c>
      <c r="M4524">
        <v>2073</v>
      </c>
      <c r="N4524">
        <v>6.6</v>
      </c>
      <c r="O4524">
        <v>3.7</v>
      </c>
      <c r="P4524">
        <v>9.5</v>
      </c>
      <c r="Q4524">
        <f t="shared" si="140"/>
        <v>8603985</v>
      </c>
      <c r="R4524">
        <f t="shared" si="139"/>
        <v>14.574641866530451</v>
      </c>
      <c r="U4524">
        <v>1364</v>
      </c>
      <c r="V4524">
        <v>480</v>
      </c>
      <c r="W4524">
        <v>2249</v>
      </c>
      <c r="X4524">
        <v>608</v>
      </c>
      <c r="Y4524">
        <v>69.2</v>
      </c>
      <c r="Z4524">
        <v>60.8</v>
      </c>
      <c r="AA4524">
        <v>77.599999999999994</v>
      </c>
    </row>
    <row r="4525" spans="1:27" x14ac:dyDescent="0.25">
      <c r="A4525" t="s">
        <v>270</v>
      </c>
      <c r="B4525" t="s">
        <v>183</v>
      </c>
      <c r="C4525" s="76">
        <v>43957</v>
      </c>
      <c r="D4525">
        <v>10540</v>
      </c>
      <c r="E4525">
        <v>5136</v>
      </c>
      <c r="F4525">
        <v>15943</v>
      </c>
      <c r="G4525">
        <v>8464</v>
      </c>
      <c r="H4525">
        <v>55.5</v>
      </c>
      <c r="I4525">
        <v>46.3</v>
      </c>
      <c r="J4525">
        <v>64.599999999999994</v>
      </c>
      <c r="K4525">
        <v>1170</v>
      </c>
      <c r="L4525">
        <v>398</v>
      </c>
      <c r="M4525">
        <v>1941</v>
      </c>
      <c r="N4525">
        <v>6.2</v>
      </c>
      <c r="O4525">
        <v>3.4</v>
      </c>
      <c r="P4525">
        <v>8.9</v>
      </c>
      <c r="Q4525">
        <f t="shared" si="140"/>
        <v>8603985</v>
      </c>
      <c r="R4525">
        <f t="shared" si="139"/>
        <v>13.598350066858556</v>
      </c>
      <c r="U4525">
        <v>1041</v>
      </c>
      <c r="V4525">
        <v>501</v>
      </c>
      <c r="W4525">
        <v>1582</v>
      </c>
      <c r="X4525">
        <v>931</v>
      </c>
      <c r="Y4525">
        <v>52.8</v>
      </c>
      <c r="Z4525">
        <v>35.799999999999997</v>
      </c>
      <c r="AA4525">
        <v>69.8</v>
      </c>
    </row>
    <row r="4526" spans="1:27" x14ac:dyDescent="0.25">
      <c r="A4526" t="s">
        <v>270</v>
      </c>
      <c r="B4526" t="s">
        <v>183</v>
      </c>
      <c r="C4526" s="76">
        <v>43958</v>
      </c>
      <c r="D4526">
        <v>10511</v>
      </c>
      <c r="E4526">
        <v>5058</v>
      </c>
      <c r="F4526">
        <v>15965</v>
      </c>
      <c r="G4526">
        <v>8481</v>
      </c>
      <c r="H4526">
        <v>55.3</v>
      </c>
      <c r="I4526">
        <v>45.9</v>
      </c>
      <c r="J4526">
        <v>64.8</v>
      </c>
      <c r="K4526">
        <v>1149</v>
      </c>
      <c r="L4526">
        <v>381</v>
      </c>
      <c r="M4526">
        <v>1918</v>
      </c>
      <c r="N4526">
        <v>6.1</v>
      </c>
      <c r="O4526">
        <v>3.3</v>
      </c>
      <c r="P4526">
        <v>8.8000000000000007</v>
      </c>
      <c r="Q4526">
        <f t="shared" si="140"/>
        <v>8603985</v>
      </c>
      <c r="R4526">
        <f t="shared" si="139"/>
        <v>13.354277116940581</v>
      </c>
      <c r="U4526">
        <v>1235</v>
      </c>
      <c r="V4526">
        <v>449</v>
      </c>
      <c r="W4526">
        <v>2020</v>
      </c>
      <c r="X4526">
        <v>734</v>
      </c>
      <c r="Y4526">
        <v>62.7</v>
      </c>
      <c r="Z4526">
        <v>54.8</v>
      </c>
      <c r="AA4526">
        <v>70.599999999999994</v>
      </c>
    </row>
    <row r="4527" spans="1:27" x14ac:dyDescent="0.25">
      <c r="A4527" t="s">
        <v>270</v>
      </c>
      <c r="B4527" t="s">
        <v>183</v>
      </c>
      <c r="C4527" s="76">
        <v>43959</v>
      </c>
      <c r="D4527">
        <v>10440</v>
      </c>
      <c r="E4527">
        <v>5032</v>
      </c>
      <c r="F4527">
        <v>15849</v>
      </c>
      <c r="G4527">
        <v>8552</v>
      </c>
      <c r="H4527">
        <v>55</v>
      </c>
      <c r="I4527">
        <v>45.6</v>
      </c>
      <c r="J4527">
        <v>64.400000000000006</v>
      </c>
      <c r="K4527">
        <v>1201</v>
      </c>
      <c r="L4527">
        <v>385</v>
      </c>
      <c r="M4527">
        <v>2018</v>
      </c>
      <c r="N4527">
        <v>6.3</v>
      </c>
      <c r="O4527">
        <v>3.4</v>
      </c>
      <c r="P4527">
        <v>9.1999999999999993</v>
      </c>
      <c r="Q4527">
        <f t="shared" si="140"/>
        <v>8603985</v>
      </c>
      <c r="R4527">
        <f t="shared" si="139"/>
        <v>13.958648231023181</v>
      </c>
      <c r="U4527">
        <v>1314</v>
      </c>
      <c r="V4527">
        <v>480</v>
      </c>
      <c r="W4527">
        <v>2149</v>
      </c>
      <c r="X4527">
        <v>657</v>
      </c>
      <c r="Y4527">
        <v>66.7</v>
      </c>
      <c r="Z4527">
        <v>58.3</v>
      </c>
      <c r="AA4527">
        <v>75</v>
      </c>
    </row>
    <row r="4528" spans="1:27" x14ac:dyDescent="0.25">
      <c r="A4528" t="s">
        <v>270</v>
      </c>
      <c r="B4528" t="s">
        <v>183</v>
      </c>
      <c r="C4528" s="76">
        <v>43960</v>
      </c>
      <c r="D4528">
        <v>10083</v>
      </c>
      <c r="E4528">
        <v>4874</v>
      </c>
      <c r="F4528">
        <v>15292</v>
      </c>
      <c r="G4528">
        <v>8910</v>
      </c>
      <c r="H4528">
        <v>53.1</v>
      </c>
      <c r="I4528">
        <v>44.1</v>
      </c>
      <c r="J4528">
        <v>62.1</v>
      </c>
      <c r="K4528">
        <v>1117</v>
      </c>
      <c r="L4528">
        <v>372</v>
      </c>
      <c r="M4528">
        <v>1862</v>
      </c>
      <c r="N4528">
        <v>5.9</v>
      </c>
      <c r="O4528">
        <v>3.2</v>
      </c>
      <c r="P4528">
        <v>8.6</v>
      </c>
      <c r="Q4528">
        <f t="shared" si="140"/>
        <v>8603985</v>
      </c>
      <c r="R4528">
        <f t="shared" si="139"/>
        <v>12.982356431351288</v>
      </c>
      <c r="U4528">
        <v>1312</v>
      </c>
      <c r="V4528">
        <v>472</v>
      </c>
      <c r="W4528">
        <v>2152</v>
      </c>
      <c r="X4528">
        <v>664</v>
      </c>
      <c r="Y4528">
        <v>66.400000000000006</v>
      </c>
      <c r="Z4528">
        <v>58.1</v>
      </c>
      <c r="AA4528">
        <v>74.7</v>
      </c>
    </row>
    <row r="4529" spans="1:27" x14ac:dyDescent="0.25">
      <c r="A4529" t="s">
        <v>270</v>
      </c>
      <c r="B4529" t="s">
        <v>183</v>
      </c>
      <c r="C4529" s="76">
        <v>43961</v>
      </c>
      <c r="D4529">
        <v>9946</v>
      </c>
      <c r="E4529">
        <v>4811</v>
      </c>
      <c r="F4529">
        <v>15080</v>
      </c>
      <c r="G4529">
        <v>9054</v>
      </c>
      <c r="H4529">
        <v>52.3</v>
      </c>
      <c r="I4529">
        <v>43.4</v>
      </c>
      <c r="J4529">
        <v>61.3</v>
      </c>
      <c r="K4529">
        <v>1083</v>
      </c>
      <c r="L4529">
        <v>328</v>
      </c>
      <c r="M4529">
        <v>1838</v>
      </c>
      <c r="N4529">
        <v>5.7</v>
      </c>
      <c r="O4529">
        <v>2.9</v>
      </c>
      <c r="P4529">
        <v>8.5</v>
      </c>
      <c r="Q4529">
        <f t="shared" si="140"/>
        <v>8603985</v>
      </c>
      <c r="R4529">
        <f t="shared" si="139"/>
        <v>12.587190702912661</v>
      </c>
      <c r="U4529">
        <v>1284</v>
      </c>
      <c r="V4529">
        <v>447</v>
      </c>
      <c r="W4529">
        <v>2122</v>
      </c>
      <c r="X4529">
        <v>687</v>
      </c>
      <c r="Y4529">
        <v>65.2</v>
      </c>
      <c r="Z4529">
        <v>56</v>
      </c>
      <c r="AA4529">
        <v>74.3</v>
      </c>
    </row>
    <row r="4530" spans="1:27" x14ac:dyDescent="0.25">
      <c r="A4530" t="s">
        <v>270</v>
      </c>
      <c r="B4530" t="s">
        <v>183</v>
      </c>
      <c r="C4530" s="76">
        <v>43962</v>
      </c>
      <c r="D4530">
        <v>10348</v>
      </c>
      <c r="E4530">
        <v>4980</v>
      </c>
      <c r="F4530">
        <v>15716</v>
      </c>
      <c r="G4530">
        <v>8662</v>
      </c>
      <c r="H4530">
        <v>54.4</v>
      </c>
      <c r="I4530">
        <v>45.4</v>
      </c>
      <c r="J4530">
        <v>63.5</v>
      </c>
      <c r="K4530">
        <v>1121</v>
      </c>
      <c r="L4530">
        <v>385</v>
      </c>
      <c r="M4530">
        <v>1858</v>
      </c>
      <c r="N4530">
        <v>5.9</v>
      </c>
      <c r="O4530">
        <v>3.3</v>
      </c>
      <c r="P4530">
        <v>8.5</v>
      </c>
      <c r="Q4530">
        <f t="shared" si="140"/>
        <v>8603985</v>
      </c>
      <c r="R4530">
        <f t="shared" si="139"/>
        <v>13.028846517049947</v>
      </c>
      <c r="U4530">
        <v>1339</v>
      </c>
      <c r="V4530">
        <v>471</v>
      </c>
      <c r="W4530">
        <v>2206</v>
      </c>
      <c r="X4530">
        <v>638</v>
      </c>
      <c r="Y4530">
        <v>67.7</v>
      </c>
      <c r="Z4530">
        <v>59.4</v>
      </c>
      <c r="AA4530">
        <v>76.099999999999994</v>
      </c>
    </row>
    <row r="4531" spans="1:27" x14ac:dyDescent="0.25">
      <c r="A4531" t="s">
        <v>270</v>
      </c>
      <c r="B4531" t="s">
        <v>183</v>
      </c>
      <c r="C4531" s="76">
        <v>43963</v>
      </c>
      <c r="D4531">
        <v>10257</v>
      </c>
      <c r="E4531">
        <v>4927</v>
      </c>
      <c r="F4531">
        <v>15587</v>
      </c>
      <c r="G4531">
        <v>8746</v>
      </c>
      <c r="H4531">
        <v>54</v>
      </c>
      <c r="I4531">
        <v>44.3</v>
      </c>
      <c r="J4531">
        <v>63.6</v>
      </c>
      <c r="K4531">
        <v>1103</v>
      </c>
      <c r="L4531">
        <v>416</v>
      </c>
      <c r="M4531">
        <v>1791</v>
      </c>
      <c r="N4531">
        <v>5.8</v>
      </c>
      <c r="O4531">
        <v>3.6</v>
      </c>
      <c r="P4531">
        <v>8</v>
      </c>
      <c r="Q4531">
        <f t="shared" si="140"/>
        <v>8603985</v>
      </c>
      <c r="R4531">
        <f t="shared" si="139"/>
        <v>12.819641131405971</v>
      </c>
      <c r="U4531">
        <v>1299</v>
      </c>
      <c r="V4531">
        <v>450</v>
      </c>
      <c r="W4531">
        <v>2149</v>
      </c>
      <c r="X4531">
        <v>671</v>
      </c>
      <c r="Y4531">
        <v>66</v>
      </c>
      <c r="Z4531">
        <v>57.3</v>
      </c>
      <c r="AA4531">
        <v>74.599999999999994</v>
      </c>
    </row>
    <row r="4532" spans="1:27" x14ac:dyDescent="0.25">
      <c r="A4532" t="s">
        <v>270</v>
      </c>
      <c r="B4532" t="s">
        <v>183</v>
      </c>
      <c r="C4532" s="76">
        <v>43964</v>
      </c>
      <c r="D4532">
        <v>10493</v>
      </c>
      <c r="E4532">
        <v>4992</v>
      </c>
      <c r="F4532">
        <v>15995</v>
      </c>
      <c r="G4532">
        <v>8550</v>
      </c>
      <c r="H4532">
        <v>55.1</v>
      </c>
      <c r="I4532">
        <v>45.6</v>
      </c>
      <c r="J4532">
        <v>64.599999999999994</v>
      </c>
      <c r="K4532">
        <v>1126</v>
      </c>
      <c r="L4532">
        <v>441</v>
      </c>
      <c r="M4532">
        <v>1812</v>
      </c>
      <c r="N4532">
        <v>5.9</v>
      </c>
      <c r="O4532">
        <v>3.7</v>
      </c>
      <c r="P4532">
        <v>8.1</v>
      </c>
      <c r="Q4532">
        <f t="shared" si="140"/>
        <v>8603985</v>
      </c>
      <c r="R4532">
        <f t="shared" si="139"/>
        <v>13.086959124173275</v>
      </c>
      <c r="U4532">
        <v>1319</v>
      </c>
      <c r="V4532">
        <v>449</v>
      </c>
      <c r="W4532">
        <v>2190</v>
      </c>
      <c r="X4532">
        <v>656</v>
      </c>
      <c r="Y4532">
        <v>66.8</v>
      </c>
      <c r="Z4532">
        <v>57.5</v>
      </c>
      <c r="AA4532">
        <v>76.099999999999994</v>
      </c>
    </row>
    <row r="4533" spans="1:27" x14ac:dyDescent="0.25">
      <c r="A4533" t="s">
        <v>270</v>
      </c>
      <c r="B4533" t="s">
        <v>183</v>
      </c>
      <c r="C4533" s="76">
        <v>43965</v>
      </c>
      <c r="D4533">
        <v>10487</v>
      </c>
      <c r="E4533">
        <v>5060</v>
      </c>
      <c r="F4533">
        <v>15914</v>
      </c>
      <c r="G4533">
        <v>8516</v>
      </c>
      <c r="H4533">
        <v>55.2</v>
      </c>
      <c r="I4533">
        <v>45.8</v>
      </c>
      <c r="J4533">
        <v>64.5</v>
      </c>
      <c r="K4533">
        <v>1096</v>
      </c>
      <c r="L4533">
        <v>442</v>
      </c>
      <c r="M4533">
        <v>1750</v>
      </c>
      <c r="N4533">
        <v>5.8</v>
      </c>
      <c r="O4533">
        <v>3.6</v>
      </c>
      <c r="P4533">
        <v>7.9</v>
      </c>
      <c r="Q4533">
        <f t="shared" si="140"/>
        <v>8603985</v>
      </c>
      <c r="R4533">
        <f t="shared" si="139"/>
        <v>12.738283481433314</v>
      </c>
      <c r="U4533">
        <v>1336</v>
      </c>
      <c r="V4533">
        <v>476</v>
      </c>
      <c r="W4533">
        <v>2197</v>
      </c>
      <c r="X4533">
        <v>639</v>
      </c>
      <c r="Y4533">
        <v>67.599999999999994</v>
      </c>
      <c r="Z4533">
        <v>59.8</v>
      </c>
      <c r="AA4533">
        <v>75.5</v>
      </c>
    </row>
    <row r="4534" spans="1:27" x14ac:dyDescent="0.25">
      <c r="A4534" t="s">
        <v>270</v>
      </c>
      <c r="B4534" t="s">
        <v>183</v>
      </c>
      <c r="C4534" s="76">
        <v>43966</v>
      </c>
      <c r="D4534">
        <v>10542</v>
      </c>
      <c r="E4534">
        <v>5117</v>
      </c>
      <c r="F4534">
        <v>15967</v>
      </c>
      <c r="G4534">
        <v>8510</v>
      </c>
      <c r="H4534">
        <v>55.3</v>
      </c>
      <c r="I4534">
        <v>46.3</v>
      </c>
      <c r="J4534">
        <v>64.400000000000006</v>
      </c>
      <c r="K4534">
        <v>1127</v>
      </c>
      <c r="L4534">
        <v>446</v>
      </c>
      <c r="M4534">
        <v>1808</v>
      </c>
      <c r="N4534">
        <v>5.9</v>
      </c>
      <c r="O4534">
        <v>3.7</v>
      </c>
      <c r="P4534">
        <v>8.1</v>
      </c>
      <c r="Q4534">
        <f t="shared" si="140"/>
        <v>8603985</v>
      </c>
      <c r="R4534">
        <f t="shared" si="139"/>
        <v>13.098581645597939</v>
      </c>
      <c r="U4534">
        <v>1377</v>
      </c>
      <c r="V4534">
        <v>506</v>
      </c>
      <c r="W4534">
        <v>2247</v>
      </c>
      <c r="X4534">
        <v>637</v>
      </c>
      <c r="Y4534">
        <v>68.400000000000006</v>
      </c>
      <c r="Z4534">
        <v>60.4</v>
      </c>
      <c r="AA4534">
        <v>76.400000000000006</v>
      </c>
    </row>
    <row r="4535" spans="1:27" x14ac:dyDescent="0.25">
      <c r="A4535" t="s">
        <v>270</v>
      </c>
      <c r="B4535" t="s">
        <v>183</v>
      </c>
      <c r="C4535" s="76">
        <v>43967</v>
      </c>
      <c r="D4535">
        <v>10186</v>
      </c>
      <c r="E4535">
        <v>4945</v>
      </c>
      <c r="F4535">
        <v>15428</v>
      </c>
      <c r="G4535">
        <v>8933</v>
      </c>
      <c r="H4535">
        <v>53.3</v>
      </c>
      <c r="I4535">
        <v>44</v>
      </c>
      <c r="J4535">
        <v>62.6</v>
      </c>
      <c r="K4535">
        <v>1092</v>
      </c>
      <c r="L4535">
        <v>409</v>
      </c>
      <c r="M4535">
        <v>1774</v>
      </c>
      <c r="N4535">
        <v>5.7</v>
      </c>
      <c r="O4535">
        <v>3.5</v>
      </c>
      <c r="P4535">
        <v>8</v>
      </c>
      <c r="Q4535">
        <f t="shared" si="140"/>
        <v>8603985</v>
      </c>
      <c r="R4535">
        <f t="shared" si="139"/>
        <v>12.691793395734651</v>
      </c>
      <c r="U4535">
        <v>1310</v>
      </c>
      <c r="V4535">
        <v>471</v>
      </c>
      <c r="W4535">
        <v>2150</v>
      </c>
      <c r="X4535">
        <v>680</v>
      </c>
      <c r="Y4535">
        <v>65.900000000000006</v>
      </c>
      <c r="Z4535">
        <v>58.1</v>
      </c>
      <c r="AA4535">
        <v>73.7</v>
      </c>
    </row>
    <row r="4536" spans="1:27" x14ac:dyDescent="0.25">
      <c r="A4536" t="s">
        <v>270</v>
      </c>
      <c r="B4536" t="s">
        <v>183</v>
      </c>
      <c r="C4536" s="76">
        <v>43968</v>
      </c>
      <c r="D4536">
        <v>10267</v>
      </c>
      <c r="E4536">
        <v>4991</v>
      </c>
      <c r="F4536">
        <v>15543</v>
      </c>
      <c r="G4536">
        <v>8834</v>
      </c>
      <c r="H4536">
        <v>53.8</v>
      </c>
      <c r="I4536">
        <v>45</v>
      </c>
      <c r="J4536">
        <v>62.5</v>
      </c>
      <c r="K4536">
        <v>1050</v>
      </c>
      <c r="L4536">
        <v>394</v>
      </c>
      <c r="M4536">
        <v>1707</v>
      </c>
      <c r="N4536">
        <v>5.5</v>
      </c>
      <c r="O4536">
        <v>3.4</v>
      </c>
      <c r="P4536">
        <v>7.6</v>
      </c>
      <c r="Q4536">
        <f t="shared" si="140"/>
        <v>8603985</v>
      </c>
      <c r="R4536">
        <f t="shared" si="139"/>
        <v>12.203647495898702</v>
      </c>
      <c r="U4536">
        <v>1327</v>
      </c>
      <c r="V4536">
        <v>479</v>
      </c>
      <c r="W4536">
        <v>2176</v>
      </c>
      <c r="X4536">
        <v>658</v>
      </c>
      <c r="Y4536">
        <v>66.8</v>
      </c>
      <c r="Z4536">
        <v>59</v>
      </c>
      <c r="AA4536">
        <v>74.7</v>
      </c>
    </row>
    <row r="4537" spans="1:27" x14ac:dyDescent="0.25">
      <c r="A4537" t="s">
        <v>270</v>
      </c>
      <c r="B4537" t="s">
        <v>183</v>
      </c>
      <c r="C4537" s="76">
        <v>43969</v>
      </c>
      <c r="D4537">
        <v>10565</v>
      </c>
      <c r="E4537">
        <v>5182</v>
      </c>
      <c r="F4537">
        <v>15949</v>
      </c>
      <c r="G4537">
        <v>8544</v>
      </c>
      <c r="H4537">
        <v>55.3</v>
      </c>
      <c r="I4537">
        <v>46.3</v>
      </c>
      <c r="J4537">
        <v>64.2</v>
      </c>
      <c r="K4537">
        <v>1098</v>
      </c>
      <c r="L4537">
        <v>406</v>
      </c>
      <c r="M4537">
        <v>1791</v>
      </c>
      <c r="N4537">
        <v>5.7</v>
      </c>
      <c r="O4537">
        <v>3.5</v>
      </c>
      <c r="P4537">
        <v>8</v>
      </c>
      <c r="Q4537">
        <f t="shared" si="140"/>
        <v>8603985</v>
      </c>
      <c r="R4537">
        <f t="shared" si="139"/>
        <v>12.761528524282644</v>
      </c>
      <c r="U4537">
        <v>1320</v>
      </c>
      <c r="V4537">
        <v>447</v>
      </c>
      <c r="W4537">
        <v>2193</v>
      </c>
      <c r="X4537">
        <v>662</v>
      </c>
      <c r="Y4537">
        <v>66.599999999999994</v>
      </c>
      <c r="Z4537">
        <v>57</v>
      </c>
      <c r="AA4537">
        <v>76.3</v>
      </c>
    </row>
    <row r="4538" spans="1:27" x14ac:dyDescent="0.25">
      <c r="A4538" t="s">
        <v>270</v>
      </c>
      <c r="B4538" t="s">
        <v>183</v>
      </c>
      <c r="C4538" s="76">
        <v>43970</v>
      </c>
      <c r="D4538">
        <v>10929</v>
      </c>
      <c r="E4538">
        <v>5393</v>
      </c>
      <c r="F4538">
        <v>16466</v>
      </c>
      <c r="G4538">
        <v>8188</v>
      </c>
      <c r="H4538">
        <v>57.2</v>
      </c>
      <c r="I4538">
        <v>48.2</v>
      </c>
      <c r="J4538">
        <v>66.099999999999994</v>
      </c>
      <c r="K4538">
        <v>1050</v>
      </c>
      <c r="L4538">
        <v>404</v>
      </c>
      <c r="M4538">
        <v>1696</v>
      </c>
      <c r="N4538">
        <v>5.5</v>
      </c>
      <c r="O4538">
        <v>3.4</v>
      </c>
      <c r="P4538">
        <v>7.6</v>
      </c>
      <c r="Q4538">
        <f t="shared" si="140"/>
        <v>8603985</v>
      </c>
      <c r="R4538">
        <f t="shared" si="139"/>
        <v>12.203647495898702</v>
      </c>
      <c r="U4538">
        <v>1401</v>
      </c>
      <c r="V4538">
        <v>532</v>
      </c>
      <c r="W4538">
        <v>2269</v>
      </c>
      <c r="X4538">
        <v>604</v>
      </c>
      <c r="Y4538">
        <v>69.900000000000006</v>
      </c>
      <c r="Z4538">
        <v>61.8</v>
      </c>
      <c r="AA4538">
        <v>77.900000000000006</v>
      </c>
    </row>
    <row r="4539" spans="1:27" x14ac:dyDescent="0.25">
      <c r="A4539" t="s">
        <v>270</v>
      </c>
      <c r="B4539" t="s">
        <v>183</v>
      </c>
      <c r="C4539" s="76">
        <v>43971</v>
      </c>
      <c r="D4539">
        <v>10963</v>
      </c>
      <c r="E4539">
        <v>5390</v>
      </c>
      <c r="F4539">
        <v>16536</v>
      </c>
      <c r="G4539">
        <v>8034</v>
      </c>
      <c r="H4539">
        <v>57.7</v>
      </c>
      <c r="I4539">
        <v>48.2</v>
      </c>
      <c r="J4539">
        <v>67.2</v>
      </c>
      <c r="K4539">
        <v>1028</v>
      </c>
      <c r="L4539">
        <v>397</v>
      </c>
      <c r="M4539">
        <v>1659</v>
      </c>
      <c r="N4539">
        <v>5.4</v>
      </c>
      <c r="O4539">
        <v>3.3</v>
      </c>
      <c r="P4539">
        <v>7.5</v>
      </c>
      <c r="Q4539">
        <f t="shared" si="140"/>
        <v>8603985</v>
      </c>
      <c r="R4539">
        <f t="shared" si="139"/>
        <v>11.947952024556063</v>
      </c>
      <c r="U4539">
        <v>1410</v>
      </c>
      <c r="V4539">
        <v>512</v>
      </c>
      <c r="W4539">
        <v>2308</v>
      </c>
      <c r="X4539">
        <v>570</v>
      </c>
      <c r="Y4539">
        <v>71.2</v>
      </c>
      <c r="Z4539">
        <v>62.7</v>
      </c>
      <c r="AA4539">
        <v>79.8</v>
      </c>
    </row>
    <row r="4540" spans="1:27" x14ac:dyDescent="0.25">
      <c r="A4540" t="s">
        <v>270</v>
      </c>
      <c r="B4540" t="s">
        <v>183</v>
      </c>
      <c r="C4540" s="76">
        <v>43972</v>
      </c>
      <c r="D4540">
        <v>10922</v>
      </c>
      <c r="E4540">
        <v>5372</v>
      </c>
      <c r="F4540">
        <v>16471</v>
      </c>
      <c r="G4540">
        <v>8079</v>
      </c>
      <c r="H4540">
        <v>57.5</v>
      </c>
      <c r="I4540">
        <v>48.3</v>
      </c>
      <c r="J4540">
        <v>66.599999999999994</v>
      </c>
      <c r="K4540">
        <v>1036</v>
      </c>
      <c r="L4540">
        <v>400</v>
      </c>
      <c r="M4540">
        <v>1673</v>
      </c>
      <c r="N4540">
        <v>5.5</v>
      </c>
      <c r="O4540">
        <v>3.3</v>
      </c>
      <c r="P4540">
        <v>7.6</v>
      </c>
      <c r="Q4540">
        <f t="shared" si="140"/>
        <v>8603985</v>
      </c>
      <c r="R4540">
        <f t="shared" si="139"/>
        <v>12.040932195953387</v>
      </c>
      <c r="U4540">
        <v>1342</v>
      </c>
      <c r="V4540">
        <v>493</v>
      </c>
      <c r="W4540">
        <v>2191</v>
      </c>
      <c r="X4540">
        <v>631</v>
      </c>
      <c r="Y4540">
        <v>68</v>
      </c>
      <c r="Z4540">
        <v>59.1</v>
      </c>
      <c r="AA4540">
        <v>77</v>
      </c>
    </row>
    <row r="4541" spans="1:27" x14ac:dyDescent="0.25">
      <c r="A4541" t="s">
        <v>270</v>
      </c>
      <c r="B4541" t="s">
        <v>183</v>
      </c>
      <c r="C4541" s="76">
        <v>43973</v>
      </c>
      <c r="D4541">
        <v>10705</v>
      </c>
      <c r="E4541">
        <v>5152</v>
      </c>
      <c r="F4541">
        <v>16258</v>
      </c>
      <c r="G4541">
        <v>8257</v>
      </c>
      <c r="H4541">
        <v>56.5</v>
      </c>
      <c r="I4541">
        <v>47.4</v>
      </c>
      <c r="J4541">
        <v>65.5</v>
      </c>
      <c r="K4541">
        <v>976</v>
      </c>
      <c r="L4541">
        <v>368</v>
      </c>
      <c r="M4541">
        <v>1584</v>
      </c>
      <c r="N4541">
        <v>5.0999999999999996</v>
      </c>
      <c r="O4541">
        <v>3.2</v>
      </c>
      <c r="P4541">
        <v>7.1</v>
      </c>
      <c r="Q4541">
        <f t="shared" si="140"/>
        <v>8603985</v>
      </c>
      <c r="R4541">
        <f t="shared" si="139"/>
        <v>11.343580910473461</v>
      </c>
      <c r="U4541">
        <v>1304</v>
      </c>
      <c r="V4541">
        <v>447</v>
      </c>
      <c r="W4541">
        <v>2161</v>
      </c>
      <c r="X4541">
        <v>662</v>
      </c>
      <c r="Y4541">
        <v>66.3</v>
      </c>
      <c r="Z4541">
        <v>56.7</v>
      </c>
      <c r="AA4541">
        <v>76</v>
      </c>
    </row>
    <row r="4542" spans="1:27" x14ac:dyDescent="0.25">
      <c r="A4542" t="s">
        <v>270</v>
      </c>
      <c r="B4542" t="s">
        <v>183</v>
      </c>
      <c r="C4542" s="76">
        <v>43974</v>
      </c>
      <c r="D4542">
        <v>10446</v>
      </c>
      <c r="E4542">
        <v>5020</v>
      </c>
      <c r="F4542">
        <v>15872</v>
      </c>
      <c r="G4542">
        <v>8515</v>
      </c>
      <c r="H4542">
        <v>55.1</v>
      </c>
      <c r="I4542">
        <v>45.8</v>
      </c>
      <c r="J4542">
        <v>64.400000000000006</v>
      </c>
      <c r="K4542">
        <v>961</v>
      </c>
      <c r="L4542">
        <v>343</v>
      </c>
      <c r="M4542">
        <v>1579</v>
      </c>
      <c r="N4542">
        <v>5.0999999999999996</v>
      </c>
      <c r="O4542">
        <v>3</v>
      </c>
      <c r="P4542">
        <v>7.2</v>
      </c>
      <c r="Q4542">
        <f t="shared" si="140"/>
        <v>8603985</v>
      </c>
      <c r="R4542">
        <f t="shared" si="139"/>
        <v>11.16924308910348</v>
      </c>
      <c r="U4542">
        <v>1338</v>
      </c>
      <c r="V4542">
        <v>475</v>
      </c>
      <c r="W4542">
        <v>2201</v>
      </c>
      <c r="X4542">
        <v>629</v>
      </c>
      <c r="Y4542">
        <v>68</v>
      </c>
      <c r="Z4542">
        <v>58.3</v>
      </c>
      <c r="AA4542">
        <v>77.7</v>
      </c>
    </row>
    <row r="4543" spans="1:27" x14ac:dyDescent="0.25">
      <c r="A4543" t="s">
        <v>270</v>
      </c>
      <c r="B4543" t="s">
        <v>183</v>
      </c>
      <c r="C4543" s="76">
        <v>43975</v>
      </c>
      <c r="D4543">
        <v>10115</v>
      </c>
      <c r="E4543">
        <v>4925</v>
      </c>
      <c r="F4543">
        <v>15305</v>
      </c>
      <c r="G4543">
        <v>8855</v>
      </c>
      <c r="H4543">
        <v>53.3</v>
      </c>
      <c r="I4543">
        <v>44.8</v>
      </c>
      <c r="J4543">
        <v>61.9</v>
      </c>
      <c r="K4543">
        <v>987</v>
      </c>
      <c r="L4543">
        <v>342</v>
      </c>
      <c r="M4543">
        <v>1631</v>
      </c>
      <c r="N4543">
        <v>5.2</v>
      </c>
      <c r="O4543">
        <v>3</v>
      </c>
      <c r="P4543">
        <v>7.4</v>
      </c>
      <c r="Q4543">
        <f t="shared" si="140"/>
        <v>8603985</v>
      </c>
      <c r="R4543">
        <f t="shared" si="139"/>
        <v>11.471428646144782</v>
      </c>
      <c r="U4543">
        <v>1293</v>
      </c>
      <c r="V4543">
        <v>455</v>
      </c>
      <c r="W4543">
        <v>2130</v>
      </c>
      <c r="X4543">
        <v>677</v>
      </c>
      <c r="Y4543">
        <v>65.599999999999994</v>
      </c>
      <c r="Z4543">
        <v>54.7</v>
      </c>
      <c r="AA4543">
        <v>76.5</v>
      </c>
    </row>
    <row r="4544" spans="1:27" x14ac:dyDescent="0.25">
      <c r="A4544" t="s">
        <v>270</v>
      </c>
      <c r="B4544" t="s">
        <v>183</v>
      </c>
      <c r="C4544" s="76">
        <v>43976</v>
      </c>
      <c r="D4544">
        <v>9776</v>
      </c>
      <c r="E4544">
        <v>4669</v>
      </c>
      <c r="F4544">
        <v>14883</v>
      </c>
      <c r="G4544">
        <v>8793</v>
      </c>
      <c r="H4544">
        <v>52.6</v>
      </c>
      <c r="I4544">
        <v>44.2</v>
      </c>
      <c r="J4544">
        <v>61.1</v>
      </c>
      <c r="K4544">
        <v>902</v>
      </c>
      <c r="L4544">
        <v>332</v>
      </c>
      <c r="M4544">
        <v>1473</v>
      </c>
      <c r="N4544">
        <v>4.9000000000000004</v>
      </c>
      <c r="O4544">
        <v>3.2</v>
      </c>
      <c r="P4544">
        <v>6.6</v>
      </c>
      <c r="Q4544">
        <f t="shared" si="140"/>
        <v>8603985</v>
      </c>
      <c r="R4544">
        <f t="shared" si="139"/>
        <v>10.483514325048219</v>
      </c>
      <c r="U4544">
        <v>1186</v>
      </c>
      <c r="V4544">
        <v>395</v>
      </c>
      <c r="W4544">
        <v>1977</v>
      </c>
      <c r="X4544">
        <v>692</v>
      </c>
      <c r="Y4544">
        <v>63.2</v>
      </c>
      <c r="Z4544">
        <v>52.4</v>
      </c>
      <c r="AA4544">
        <v>73.900000000000006</v>
      </c>
    </row>
    <row r="4545" spans="1:27" x14ac:dyDescent="0.25">
      <c r="A4545" t="s">
        <v>270</v>
      </c>
      <c r="B4545" t="s">
        <v>183</v>
      </c>
      <c r="C4545" s="76">
        <v>43977</v>
      </c>
      <c r="D4545">
        <v>10038</v>
      </c>
      <c r="E4545">
        <v>4768</v>
      </c>
      <c r="F4545">
        <v>15307</v>
      </c>
      <c r="G4545">
        <v>8562</v>
      </c>
      <c r="H4545">
        <v>54</v>
      </c>
      <c r="I4545">
        <v>45.2</v>
      </c>
      <c r="J4545">
        <v>62.7</v>
      </c>
      <c r="K4545">
        <v>1060</v>
      </c>
      <c r="L4545">
        <v>378</v>
      </c>
      <c r="M4545">
        <v>1742</v>
      </c>
      <c r="N4545">
        <v>5.7</v>
      </c>
      <c r="O4545">
        <v>3.5</v>
      </c>
      <c r="P4545">
        <v>7.9</v>
      </c>
      <c r="Q4545">
        <f t="shared" si="140"/>
        <v>8603985</v>
      </c>
      <c r="R4545">
        <f t="shared" si="139"/>
        <v>12.319872710145358</v>
      </c>
      <c r="U4545">
        <v>1183</v>
      </c>
      <c r="V4545">
        <v>368</v>
      </c>
      <c r="W4545">
        <v>1999</v>
      </c>
      <c r="X4545">
        <v>703</v>
      </c>
      <c r="Y4545">
        <v>62.7</v>
      </c>
      <c r="Z4545">
        <v>52.4</v>
      </c>
      <c r="AA4545">
        <v>73.099999999999994</v>
      </c>
    </row>
    <row r="4546" spans="1:27" x14ac:dyDescent="0.25">
      <c r="A4546" t="s">
        <v>270</v>
      </c>
      <c r="B4546" t="s">
        <v>183</v>
      </c>
      <c r="C4546" s="76">
        <v>43978</v>
      </c>
      <c r="D4546">
        <v>10144</v>
      </c>
      <c r="E4546">
        <v>4764</v>
      </c>
      <c r="F4546">
        <v>15523</v>
      </c>
      <c r="G4546">
        <v>8288</v>
      </c>
      <c r="H4546">
        <v>55</v>
      </c>
      <c r="I4546">
        <v>46.3</v>
      </c>
      <c r="J4546">
        <v>63.8</v>
      </c>
      <c r="K4546">
        <v>1116</v>
      </c>
      <c r="L4546">
        <v>418</v>
      </c>
      <c r="M4546">
        <v>1814</v>
      </c>
      <c r="N4546">
        <v>6.1</v>
      </c>
      <c r="O4546">
        <v>3.9</v>
      </c>
      <c r="P4546">
        <v>8.3000000000000007</v>
      </c>
      <c r="Q4546">
        <f t="shared" si="140"/>
        <v>8603985</v>
      </c>
      <c r="R4546">
        <f t="shared" si="139"/>
        <v>12.97073390992662</v>
      </c>
      <c r="U4546">
        <v>1312</v>
      </c>
      <c r="V4546">
        <v>418</v>
      </c>
      <c r="W4546">
        <v>2207</v>
      </c>
      <c r="X4546">
        <v>560</v>
      </c>
      <c r="Y4546">
        <v>70.099999999999994</v>
      </c>
      <c r="Z4546">
        <v>60.1</v>
      </c>
      <c r="AA4546">
        <v>80.099999999999994</v>
      </c>
    </row>
    <row r="4547" spans="1:27" x14ac:dyDescent="0.25">
      <c r="A4547" t="s">
        <v>270</v>
      </c>
      <c r="B4547" t="s">
        <v>183</v>
      </c>
      <c r="C4547" s="76">
        <v>43979</v>
      </c>
      <c r="D4547">
        <v>10448</v>
      </c>
      <c r="E4547">
        <v>4446</v>
      </c>
      <c r="F4547">
        <v>16450</v>
      </c>
      <c r="G4547">
        <v>8442</v>
      </c>
      <c r="H4547">
        <v>55.3</v>
      </c>
      <c r="I4547">
        <v>46.4</v>
      </c>
      <c r="J4547">
        <v>64.2</v>
      </c>
      <c r="K4547">
        <v>1095</v>
      </c>
      <c r="L4547">
        <v>376</v>
      </c>
      <c r="M4547">
        <v>1814</v>
      </c>
      <c r="N4547">
        <v>5.8</v>
      </c>
      <c r="O4547">
        <v>3.7</v>
      </c>
      <c r="P4547">
        <v>7.9</v>
      </c>
      <c r="Q4547">
        <f t="shared" si="140"/>
        <v>8603985</v>
      </c>
      <c r="R4547">
        <f t="shared" si="139"/>
        <v>12.726660960008646</v>
      </c>
      <c r="U4547">
        <v>1400</v>
      </c>
      <c r="V4547">
        <v>327</v>
      </c>
      <c r="W4547">
        <v>2472</v>
      </c>
      <c r="X4547">
        <v>522</v>
      </c>
      <c r="Y4547">
        <v>72.8</v>
      </c>
      <c r="Z4547">
        <v>59.8</v>
      </c>
      <c r="AA4547">
        <v>85.9</v>
      </c>
    </row>
    <row r="4548" spans="1:27" x14ac:dyDescent="0.25">
      <c r="A4548" t="s">
        <v>270</v>
      </c>
      <c r="B4548" t="s">
        <v>183</v>
      </c>
      <c r="C4548" s="76">
        <v>43980</v>
      </c>
      <c r="D4548">
        <v>11185</v>
      </c>
      <c r="E4548">
        <v>4817</v>
      </c>
      <c r="F4548">
        <v>17553</v>
      </c>
      <c r="G4548">
        <v>8248</v>
      </c>
      <c r="H4548">
        <v>57.6</v>
      </c>
      <c r="I4548">
        <v>47.8</v>
      </c>
      <c r="J4548">
        <v>67.3</v>
      </c>
      <c r="K4548">
        <v>1158</v>
      </c>
      <c r="L4548">
        <v>432</v>
      </c>
      <c r="M4548">
        <v>1884</v>
      </c>
      <c r="N4548">
        <v>6</v>
      </c>
      <c r="O4548">
        <v>3.9</v>
      </c>
      <c r="P4548">
        <v>8</v>
      </c>
      <c r="Q4548">
        <f t="shared" si="140"/>
        <v>8603985</v>
      </c>
      <c r="R4548">
        <f t="shared" si="139"/>
        <v>13.458879809762569</v>
      </c>
      <c r="U4548">
        <v>1444</v>
      </c>
      <c r="V4548">
        <v>376</v>
      </c>
      <c r="W4548">
        <v>2511</v>
      </c>
      <c r="X4548">
        <v>608</v>
      </c>
      <c r="Y4548">
        <v>70.400000000000006</v>
      </c>
      <c r="Z4548">
        <v>57.3</v>
      </c>
      <c r="AA4548">
        <v>83.5</v>
      </c>
    </row>
    <row r="4549" spans="1:27" x14ac:dyDescent="0.25">
      <c r="A4549" t="s">
        <v>270</v>
      </c>
      <c r="B4549" t="s">
        <v>183</v>
      </c>
      <c r="C4549" s="76">
        <v>43981</v>
      </c>
      <c r="D4549">
        <v>10699</v>
      </c>
      <c r="E4549">
        <v>5134</v>
      </c>
      <c r="F4549">
        <v>16265</v>
      </c>
      <c r="G4549">
        <v>8246</v>
      </c>
      <c r="H4549">
        <v>56.5</v>
      </c>
      <c r="I4549">
        <v>46.9</v>
      </c>
      <c r="J4549">
        <v>66</v>
      </c>
      <c r="K4549">
        <v>1073</v>
      </c>
      <c r="L4549">
        <v>433</v>
      </c>
      <c r="M4549">
        <v>1713</v>
      </c>
      <c r="N4549">
        <v>5.7</v>
      </c>
      <c r="O4549">
        <v>3.8</v>
      </c>
      <c r="P4549">
        <v>7.6</v>
      </c>
      <c r="Q4549">
        <f t="shared" si="140"/>
        <v>8603985</v>
      </c>
      <c r="R4549">
        <f t="shared" ref="R4549:R4612" si="141">K4549/(Q4549)*100000</f>
        <v>12.470965488666007</v>
      </c>
      <c r="U4549">
        <v>1369</v>
      </c>
      <c r="V4549">
        <v>434</v>
      </c>
      <c r="W4549">
        <v>2303</v>
      </c>
      <c r="X4549">
        <v>610</v>
      </c>
      <c r="Y4549">
        <v>69.2</v>
      </c>
      <c r="Z4549">
        <v>55.7</v>
      </c>
      <c r="AA4549">
        <v>82.6</v>
      </c>
    </row>
    <row r="4550" spans="1:27" x14ac:dyDescent="0.25">
      <c r="A4550" t="s">
        <v>270</v>
      </c>
      <c r="B4550" t="s">
        <v>183</v>
      </c>
      <c r="C4550" s="76">
        <v>43982</v>
      </c>
      <c r="D4550">
        <v>10300</v>
      </c>
      <c r="E4550">
        <v>4851</v>
      </c>
      <c r="F4550">
        <v>15748</v>
      </c>
      <c r="G4550">
        <v>8561</v>
      </c>
      <c r="H4550">
        <v>54.6</v>
      </c>
      <c r="I4550">
        <v>45.3</v>
      </c>
      <c r="J4550">
        <v>63.9</v>
      </c>
      <c r="K4550">
        <v>986</v>
      </c>
      <c r="L4550">
        <v>377</v>
      </c>
      <c r="M4550">
        <v>1594</v>
      </c>
      <c r="N4550">
        <v>5.2</v>
      </c>
      <c r="O4550">
        <v>3.4</v>
      </c>
      <c r="P4550">
        <v>7</v>
      </c>
      <c r="Q4550">
        <f t="shared" si="140"/>
        <v>8603985</v>
      </c>
      <c r="R4550">
        <f t="shared" si="141"/>
        <v>11.459806124720116</v>
      </c>
      <c r="U4550">
        <v>1112</v>
      </c>
      <c r="V4550">
        <v>382</v>
      </c>
      <c r="W4550">
        <v>1843</v>
      </c>
      <c r="X4550">
        <v>721</v>
      </c>
      <c r="Y4550">
        <v>60.7</v>
      </c>
      <c r="Z4550">
        <v>49.4</v>
      </c>
      <c r="AA4550">
        <v>71.900000000000006</v>
      </c>
    </row>
    <row r="4551" spans="1:27" x14ac:dyDescent="0.25">
      <c r="A4551" t="s">
        <v>270</v>
      </c>
      <c r="B4551" t="s">
        <v>183</v>
      </c>
      <c r="C4551" s="76">
        <v>43983</v>
      </c>
      <c r="D4551">
        <v>9586</v>
      </c>
      <c r="E4551">
        <v>4393</v>
      </c>
      <c r="F4551">
        <v>14779</v>
      </c>
      <c r="G4551">
        <v>8179</v>
      </c>
      <c r="H4551">
        <v>54</v>
      </c>
      <c r="I4551">
        <v>44.2</v>
      </c>
      <c r="J4551">
        <v>63.7</v>
      </c>
      <c r="K4551">
        <v>982</v>
      </c>
      <c r="L4551">
        <v>332</v>
      </c>
      <c r="M4551">
        <v>1632</v>
      </c>
      <c r="N4551">
        <v>5.5</v>
      </c>
      <c r="O4551">
        <v>3.4</v>
      </c>
      <c r="P4551">
        <v>7.7</v>
      </c>
      <c r="Q4551">
        <f t="shared" si="140"/>
        <v>8603985</v>
      </c>
      <c r="R4551">
        <f t="shared" si="141"/>
        <v>11.413316039021455</v>
      </c>
      <c r="U4551">
        <v>1007</v>
      </c>
      <c r="V4551">
        <v>385</v>
      </c>
      <c r="W4551">
        <v>1628</v>
      </c>
      <c r="X4551">
        <v>576</v>
      </c>
      <c r="Y4551">
        <v>63.6</v>
      </c>
      <c r="Z4551">
        <v>53.2</v>
      </c>
      <c r="AA4551">
        <v>74</v>
      </c>
    </row>
    <row r="4552" spans="1:27" x14ac:dyDescent="0.25">
      <c r="A4552" t="s">
        <v>270</v>
      </c>
      <c r="B4552" t="s">
        <v>183</v>
      </c>
      <c r="C4552" s="76">
        <v>43984</v>
      </c>
      <c r="D4552">
        <v>9579</v>
      </c>
      <c r="E4552">
        <v>4364</v>
      </c>
      <c r="F4552">
        <v>14793</v>
      </c>
      <c r="G4552">
        <v>8130</v>
      </c>
      <c r="H4552">
        <v>54.1</v>
      </c>
      <c r="I4552">
        <v>43.7</v>
      </c>
      <c r="J4552">
        <v>64.400000000000006</v>
      </c>
      <c r="K4552">
        <v>998</v>
      </c>
      <c r="L4552">
        <v>353</v>
      </c>
      <c r="M4552">
        <v>1642</v>
      </c>
      <c r="N4552">
        <v>5.6</v>
      </c>
      <c r="O4552">
        <v>3.6</v>
      </c>
      <c r="P4552">
        <v>7.7</v>
      </c>
      <c r="Q4552">
        <f t="shared" si="140"/>
        <v>8603985</v>
      </c>
      <c r="R4552">
        <f t="shared" si="141"/>
        <v>11.5992763818161</v>
      </c>
      <c r="U4552">
        <v>1040</v>
      </c>
      <c r="V4552">
        <v>409</v>
      </c>
      <c r="W4552">
        <v>1672</v>
      </c>
      <c r="X4552">
        <v>531</v>
      </c>
      <c r="Y4552">
        <v>66.2</v>
      </c>
      <c r="Z4552">
        <v>56.9</v>
      </c>
      <c r="AA4552">
        <v>75.5</v>
      </c>
    </row>
    <row r="4553" spans="1:27" x14ac:dyDescent="0.25">
      <c r="A4553" t="s">
        <v>270</v>
      </c>
      <c r="B4553" t="s">
        <v>183</v>
      </c>
      <c r="C4553" s="76">
        <v>43985</v>
      </c>
      <c r="D4553">
        <v>10318</v>
      </c>
      <c r="E4553">
        <v>4716</v>
      </c>
      <c r="F4553">
        <v>15920</v>
      </c>
      <c r="G4553">
        <v>8078</v>
      </c>
      <c r="H4553">
        <v>56.1</v>
      </c>
      <c r="I4553">
        <v>46.6</v>
      </c>
      <c r="J4553">
        <v>65.599999999999994</v>
      </c>
      <c r="K4553">
        <v>974</v>
      </c>
      <c r="L4553">
        <v>386</v>
      </c>
      <c r="M4553">
        <v>1562</v>
      </c>
      <c r="N4553">
        <v>5.3</v>
      </c>
      <c r="O4553">
        <v>3.6</v>
      </c>
      <c r="P4553">
        <v>7</v>
      </c>
      <c r="Q4553">
        <f t="shared" si="140"/>
        <v>8603985</v>
      </c>
      <c r="R4553">
        <f t="shared" si="141"/>
        <v>11.320335867624131</v>
      </c>
      <c r="U4553">
        <v>1288</v>
      </c>
      <c r="V4553">
        <v>396</v>
      </c>
      <c r="W4553">
        <v>2181</v>
      </c>
      <c r="X4553">
        <v>528</v>
      </c>
      <c r="Y4553">
        <v>70.900000000000006</v>
      </c>
      <c r="Z4553">
        <v>61.5</v>
      </c>
      <c r="AA4553">
        <v>80.400000000000006</v>
      </c>
    </row>
    <row r="4554" spans="1:27" x14ac:dyDescent="0.25">
      <c r="A4554" t="s">
        <v>270</v>
      </c>
      <c r="B4554" t="s">
        <v>183</v>
      </c>
      <c r="C4554" s="76">
        <v>43986</v>
      </c>
      <c r="D4554">
        <v>10519</v>
      </c>
      <c r="E4554">
        <v>5074</v>
      </c>
      <c r="F4554">
        <v>15963</v>
      </c>
      <c r="G4554">
        <v>7897</v>
      </c>
      <c r="H4554">
        <v>57.1</v>
      </c>
      <c r="I4554">
        <v>48.7</v>
      </c>
      <c r="J4554">
        <v>65.5</v>
      </c>
      <c r="K4554">
        <v>938</v>
      </c>
      <c r="L4554">
        <v>416</v>
      </c>
      <c r="M4554">
        <v>1461</v>
      </c>
      <c r="N4554">
        <v>5.0999999999999996</v>
      </c>
      <c r="O4554">
        <v>3.7</v>
      </c>
      <c r="P4554">
        <v>6.5</v>
      </c>
      <c r="Q4554">
        <f t="shared" si="140"/>
        <v>8603985</v>
      </c>
      <c r="R4554">
        <f t="shared" si="141"/>
        <v>10.901925096336173</v>
      </c>
      <c r="U4554">
        <v>1323</v>
      </c>
      <c r="V4554">
        <v>443</v>
      </c>
      <c r="W4554">
        <v>2203</v>
      </c>
      <c r="X4554">
        <v>584</v>
      </c>
      <c r="Y4554">
        <v>69.400000000000006</v>
      </c>
      <c r="Z4554">
        <v>60.5</v>
      </c>
      <c r="AA4554">
        <v>78.3</v>
      </c>
    </row>
    <row r="4555" spans="1:27" x14ac:dyDescent="0.25">
      <c r="A4555" t="s">
        <v>270</v>
      </c>
      <c r="B4555" t="s">
        <v>183</v>
      </c>
      <c r="C4555" s="76">
        <v>43987</v>
      </c>
      <c r="D4555">
        <v>10930</v>
      </c>
      <c r="E4555">
        <v>5177</v>
      </c>
      <c r="F4555">
        <v>16683</v>
      </c>
      <c r="G4555">
        <v>8402</v>
      </c>
      <c r="H4555">
        <v>56.5</v>
      </c>
      <c r="I4555">
        <v>47.6</v>
      </c>
      <c r="J4555">
        <v>65.5</v>
      </c>
      <c r="K4555">
        <v>985</v>
      </c>
      <c r="L4555">
        <v>421</v>
      </c>
      <c r="M4555">
        <v>1548</v>
      </c>
      <c r="N4555">
        <v>5.0999999999999996</v>
      </c>
      <c r="O4555">
        <v>3.3</v>
      </c>
      <c r="P4555">
        <v>6.9</v>
      </c>
      <c r="Q4555">
        <f t="shared" si="140"/>
        <v>8603985</v>
      </c>
      <c r="R4555">
        <f t="shared" si="141"/>
        <v>11.448183603295449</v>
      </c>
      <c r="U4555">
        <v>1526</v>
      </c>
      <c r="V4555">
        <v>537</v>
      </c>
      <c r="W4555">
        <v>2515</v>
      </c>
      <c r="X4555">
        <v>818</v>
      </c>
      <c r="Y4555">
        <v>65.099999999999994</v>
      </c>
      <c r="Z4555">
        <v>55</v>
      </c>
      <c r="AA4555">
        <v>75.2</v>
      </c>
    </row>
    <row r="4556" spans="1:27" x14ac:dyDescent="0.25">
      <c r="A4556" t="s">
        <v>270</v>
      </c>
      <c r="B4556" t="s">
        <v>183</v>
      </c>
      <c r="C4556" s="76">
        <v>43988</v>
      </c>
      <c r="D4556">
        <v>9588</v>
      </c>
      <c r="E4556">
        <v>4478</v>
      </c>
      <c r="F4556">
        <v>14698</v>
      </c>
      <c r="G4556">
        <v>8910</v>
      </c>
      <c r="H4556">
        <v>51.8</v>
      </c>
      <c r="I4556">
        <v>42.3</v>
      </c>
      <c r="J4556">
        <v>61.4</v>
      </c>
      <c r="K4556">
        <v>903</v>
      </c>
      <c r="L4556">
        <v>340</v>
      </c>
      <c r="M4556">
        <v>1466</v>
      </c>
      <c r="N4556">
        <v>4.9000000000000004</v>
      </c>
      <c r="O4556">
        <v>2.9</v>
      </c>
      <c r="P4556">
        <v>6.8</v>
      </c>
      <c r="Q4556">
        <f t="shared" si="140"/>
        <v>8603985</v>
      </c>
      <c r="R4556">
        <f t="shared" si="141"/>
        <v>10.495136846472883</v>
      </c>
      <c r="U4556">
        <v>1203</v>
      </c>
      <c r="V4556">
        <v>445</v>
      </c>
      <c r="W4556">
        <v>1961</v>
      </c>
      <c r="X4556">
        <v>868</v>
      </c>
      <c r="Y4556">
        <v>58.1</v>
      </c>
      <c r="Z4556">
        <v>50.6</v>
      </c>
      <c r="AA4556">
        <v>65.599999999999994</v>
      </c>
    </row>
    <row r="4557" spans="1:27" x14ac:dyDescent="0.25">
      <c r="A4557" t="s">
        <v>270</v>
      </c>
      <c r="B4557" t="s">
        <v>183</v>
      </c>
      <c r="C4557" s="76">
        <v>43989</v>
      </c>
      <c r="D4557">
        <v>10538</v>
      </c>
      <c r="E4557">
        <v>5102</v>
      </c>
      <c r="F4557">
        <v>15973</v>
      </c>
      <c r="G4557">
        <v>8888</v>
      </c>
      <c r="H4557">
        <v>54.2</v>
      </c>
      <c r="I4557">
        <v>45.1</v>
      </c>
      <c r="J4557">
        <v>63.4</v>
      </c>
      <c r="K4557">
        <v>950</v>
      </c>
      <c r="L4557">
        <v>401</v>
      </c>
      <c r="M4557">
        <v>1499</v>
      </c>
      <c r="N4557">
        <v>4.9000000000000004</v>
      </c>
      <c r="O4557">
        <v>3.2</v>
      </c>
      <c r="P4557">
        <v>6.6</v>
      </c>
      <c r="Q4557">
        <f t="shared" si="140"/>
        <v>8603985</v>
      </c>
      <c r="R4557">
        <f t="shared" si="141"/>
        <v>11.04139535343216</v>
      </c>
      <c r="U4557">
        <v>1515</v>
      </c>
      <c r="V4557">
        <v>570</v>
      </c>
      <c r="W4557">
        <v>2461</v>
      </c>
      <c r="X4557">
        <v>921</v>
      </c>
      <c r="Y4557">
        <v>62.2</v>
      </c>
      <c r="Z4557">
        <v>54.7</v>
      </c>
      <c r="AA4557">
        <v>69.7</v>
      </c>
    </row>
    <row r="4558" spans="1:27" x14ac:dyDescent="0.25">
      <c r="A4558" t="s">
        <v>270</v>
      </c>
      <c r="B4558" t="s">
        <v>183</v>
      </c>
      <c r="C4558" s="76">
        <v>43990</v>
      </c>
      <c r="D4558">
        <v>10719</v>
      </c>
      <c r="E4558">
        <v>5179</v>
      </c>
      <c r="F4558">
        <v>16259</v>
      </c>
      <c r="G4558">
        <v>8621</v>
      </c>
      <c r="H4558">
        <v>55.4</v>
      </c>
      <c r="I4558">
        <v>46.2</v>
      </c>
      <c r="J4558">
        <v>64.7</v>
      </c>
      <c r="K4558">
        <v>1023</v>
      </c>
      <c r="L4558">
        <v>436</v>
      </c>
      <c r="M4558">
        <v>1610</v>
      </c>
      <c r="N4558">
        <v>5.3</v>
      </c>
      <c r="O4558">
        <v>3.4</v>
      </c>
      <c r="P4558">
        <v>7.2</v>
      </c>
      <c r="Q4558">
        <f t="shared" si="140"/>
        <v>8603985</v>
      </c>
      <c r="R4558">
        <f t="shared" si="141"/>
        <v>11.889839417432736</v>
      </c>
      <c r="U4558">
        <v>1501</v>
      </c>
      <c r="V4558">
        <v>550</v>
      </c>
      <c r="W4558">
        <v>2451</v>
      </c>
      <c r="X4558">
        <v>931</v>
      </c>
      <c r="Y4558">
        <v>61.7</v>
      </c>
      <c r="Z4558">
        <v>54.3</v>
      </c>
      <c r="AA4558">
        <v>69.099999999999994</v>
      </c>
    </row>
    <row r="4559" spans="1:27" x14ac:dyDescent="0.25">
      <c r="A4559" t="s">
        <v>270</v>
      </c>
      <c r="B4559" t="s">
        <v>183</v>
      </c>
      <c r="C4559" s="76">
        <v>43991</v>
      </c>
      <c r="D4559">
        <v>11304</v>
      </c>
      <c r="E4559">
        <v>4825</v>
      </c>
      <c r="F4559">
        <v>17784</v>
      </c>
      <c r="G4559">
        <v>8824</v>
      </c>
      <c r="H4559">
        <v>56.2</v>
      </c>
      <c r="I4559">
        <v>46.3</v>
      </c>
      <c r="J4559">
        <v>66.099999999999994</v>
      </c>
      <c r="K4559">
        <v>1092</v>
      </c>
      <c r="L4559">
        <v>397</v>
      </c>
      <c r="M4559">
        <v>1786</v>
      </c>
      <c r="N4559">
        <v>5.4</v>
      </c>
      <c r="O4559">
        <v>3</v>
      </c>
      <c r="P4559">
        <v>7.8</v>
      </c>
      <c r="Q4559">
        <f t="shared" si="140"/>
        <v>8603985</v>
      </c>
      <c r="R4559">
        <f t="shared" si="141"/>
        <v>12.691793395734651</v>
      </c>
      <c r="U4559">
        <v>1651</v>
      </c>
      <c r="V4559">
        <v>527</v>
      </c>
      <c r="W4559">
        <v>2774</v>
      </c>
      <c r="X4559">
        <v>917</v>
      </c>
      <c r="Y4559">
        <v>64.3</v>
      </c>
      <c r="Z4559">
        <v>56.1</v>
      </c>
      <c r="AA4559">
        <v>72.5</v>
      </c>
    </row>
    <row r="4560" spans="1:27" x14ac:dyDescent="0.25">
      <c r="A4560" t="s">
        <v>270</v>
      </c>
      <c r="B4560" t="s">
        <v>183</v>
      </c>
      <c r="C4560" s="76">
        <v>43992</v>
      </c>
      <c r="D4560">
        <v>10251</v>
      </c>
      <c r="E4560">
        <v>3970</v>
      </c>
      <c r="F4560">
        <v>16533</v>
      </c>
      <c r="G4560">
        <v>8656</v>
      </c>
      <c r="H4560">
        <v>54.2</v>
      </c>
      <c r="I4560">
        <v>44</v>
      </c>
      <c r="J4560">
        <v>64.400000000000006</v>
      </c>
      <c r="K4560">
        <v>927</v>
      </c>
      <c r="L4560">
        <v>279</v>
      </c>
      <c r="M4560">
        <v>1575</v>
      </c>
      <c r="N4560">
        <v>4.9000000000000004</v>
      </c>
      <c r="O4560">
        <v>2.5</v>
      </c>
      <c r="P4560">
        <v>7.3</v>
      </c>
      <c r="Q4560">
        <f t="shared" si="140"/>
        <v>8603985</v>
      </c>
      <c r="R4560">
        <f t="shared" si="141"/>
        <v>10.774077360664855</v>
      </c>
      <c r="U4560">
        <v>1253</v>
      </c>
      <c r="V4560">
        <v>364</v>
      </c>
      <c r="W4560">
        <v>2142</v>
      </c>
      <c r="X4560">
        <v>831</v>
      </c>
      <c r="Y4560">
        <v>60.1</v>
      </c>
      <c r="Z4560">
        <v>55.1</v>
      </c>
      <c r="AA4560">
        <v>65.2</v>
      </c>
    </row>
    <row r="4561" spans="1:27" x14ac:dyDescent="0.25">
      <c r="A4561" t="s">
        <v>270</v>
      </c>
      <c r="B4561" t="s">
        <v>183</v>
      </c>
      <c r="C4561" s="76">
        <v>43993</v>
      </c>
      <c r="D4561">
        <v>11227</v>
      </c>
      <c r="E4561">
        <v>5398</v>
      </c>
      <c r="F4561">
        <v>17056</v>
      </c>
      <c r="G4561">
        <v>8277</v>
      </c>
      <c r="H4561">
        <v>57.6</v>
      </c>
      <c r="I4561">
        <v>48.6</v>
      </c>
      <c r="J4561">
        <v>66.5</v>
      </c>
      <c r="K4561">
        <v>934</v>
      </c>
      <c r="L4561">
        <v>388</v>
      </c>
      <c r="M4561">
        <v>1480</v>
      </c>
      <c r="N4561">
        <v>4.8</v>
      </c>
      <c r="O4561">
        <v>2.9</v>
      </c>
      <c r="P4561">
        <v>6.7</v>
      </c>
      <c r="Q4561">
        <f t="shared" si="140"/>
        <v>8603985</v>
      </c>
      <c r="R4561">
        <f t="shared" si="141"/>
        <v>10.855435010637512</v>
      </c>
      <c r="U4561">
        <v>1573</v>
      </c>
      <c r="V4561">
        <v>575</v>
      </c>
      <c r="W4561">
        <v>2570</v>
      </c>
      <c r="X4561">
        <v>854</v>
      </c>
      <c r="Y4561">
        <v>64.8</v>
      </c>
      <c r="Z4561">
        <v>56.8</v>
      </c>
      <c r="AA4561">
        <v>72.8</v>
      </c>
    </row>
    <row r="4562" spans="1:27" x14ac:dyDescent="0.25">
      <c r="A4562" t="s">
        <v>270</v>
      </c>
      <c r="B4562" t="s">
        <v>183</v>
      </c>
      <c r="C4562" s="76">
        <v>43994</v>
      </c>
      <c r="D4562">
        <v>11040</v>
      </c>
      <c r="E4562">
        <v>5316</v>
      </c>
      <c r="F4562">
        <v>16763</v>
      </c>
      <c r="G4562">
        <v>8257</v>
      </c>
      <c r="H4562">
        <v>57.2</v>
      </c>
      <c r="I4562">
        <v>48.6</v>
      </c>
      <c r="J4562">
        <v>65.8</v>
      </c>
      <c r="K4562">
        <v>831</v>
      </c>
      <c r="L4562">
        <v>343</v>
      </c>
      <c r="M4562">
        <v>1319</v>
      </c>
      <c r="N4562">
        <v>4.3</v>
      </c>
      <c r="O4562">
        <v>2.7</v>
      </c>
      <c r="P4562">
        <v>5.9</v>
      </c>
      <c r="Q4562">
        <f t="shared" si="140"/>
        <v>8603985</v>
      </c>
      <c r="R4562">
        <f t="shared" si="141"/>
        <v>9.6583153038969733</v>
      </c>
      <c r="U4562">
        <v>1512</v>
      </c>
      <c r="V4562">
        <v>562</v>
      </c>
      <c r="W4562">
        <v>2461</v>
      </c>
      <c r="X4562">
        <v>937</v>
      </c>
      <c r="Y4562">
        <v>61.7</v>
      </c>
      <c r="Z4562">
        <v>54.1</v>
      </c>
      <c r="AA4562">
        <v>69.400000000000006</v>
      </c>
    </row>
    <row r="4563" spans="1:27" x14ac:dyDescent="0.25">
      <c r="A4563" t="s">
        <v>270</v>
      </c>
      <c r="B4563" t="s">
        <v>183</v>
      </c>
      <c r="C4563" s="76">
        <v>43995</v>
      </c>
      <c r="D4563">
        <v>10668</v>
      </c>
      <c r="E4563">
        <v>5119</v>
      </c>
      <c r="F4563">
        <v>16218</v>
      </c>
      <c r="G4563">
        <v>8648</v>
      </c>
      <c r="H4563">
        <v>55.2</v>
      </c>
      <c r="I4563">
        <v>46.6</v>
      </c>
      <c r="J4563">
        <v>63.8</v>
      </c>
      <c r="K4563">
        <v>756</v>
      </c>
      <c r="L4563">
        <v>311</v>
      </c>
      <c r="M4563">
        <v>1201</v>
      </c>
      <c r="N4563">
        <v>3.9</v>
      </c>
      <c r="O4563">
        <v>2.6</v>
      </c>
      <c r="P4563">
        <v>5.2</v>
      </c>
      <c r="Q4563">
        <f t="shared" si="140"/>
        <v>8603985</v>
      </c>
      <c r="R4563">
        <f t="shared" si="141"/>
        <v>8.7866261970470649</v>
      </c>
      <c r="U4563">
        <v>1498</v>
      </c>
      <c r="V4563">
        <v>539</v>
      </c>
      <c r="W4563">
        <v>2456</v>
      </c>
      <c r="X4563">
        <v>906</v>
      </c>
      <c r="Y4563">
        <v>62.3</v>
      </c>
      <c r="Z4563">
        <v>54.1</v>
      </c>
      <c r="AA4563">
        <v>70.5</v>
      </c>
    </row>
    <row r="4564" spans="1:27" x14ac:dyDescent="0.25">
      <c r="A4564" t="s">
        <v>270</v>
      </c>
      <c r="B4564" t="s">
        <v>183</v>
      </c>
      <c r="C4564" s="76">
        <v>43996</v>
      </c>
      <c r="D4564">
        <v>10290</v>
      </c>
      <c r="E4564">
        <v>4949</v>
      </c>
      <c r="F4564">
        <v>15631</v>
      </c>
      <c r="G4564">
        <v>8894</v>
      </c>
      <c r="H4564">
        <v>53.6</v>
      </c>
      <c r="I4564">
        <v>45.3</v>
      </c>
      <c r="J4564">
        <v>61.9</v>
      </c>
      <c r="K4564">
        <v>701</v>
      </c>
      <c r="L4564">
        <v>289</v>
      </c>
      <c r="M4564">
        <v>1113</v>
      </c>
      <c r="N4564">
        <v>3.7</v>
      </c>
      <c r="O4564">
        <v>2.5</v>
      </c>
      <c r="P4564">
        <v>4.8</v>
      </c>
      <c r="Q4564">
        <f t="shared" si="140"/>
        <v>8603985</v>
      </c>
      <c r="R4564">
        <f t="shared" si="141"/>
        <v>8.1473875186904667</v>
      </c>
      <c r="U4564">
        <v>1470</v>
      </c>
      <c r="V4564">
        <v>545</v>
      </c>
      <c r="W4564">
        <v>2395</v>
      </c>
      <c r="X4564">
        <v>967</v>
      </c>
      <c r="Y4564">
        <v>60.3</v>
      </c>
      <c r="Z4564">
        <v>52.8</v>
      </c>
      <c r="AA4564">
        <v>67.8</v>
      </c>
    </row>
    <row r="4565" spans="1:27" x14ac:dyDescent="0.25">
      <c r="A4565" t="s">
        <v>270</v>
      </c>
      <c r="B4565" t="s">
        <v>183</v>
      </c>
      <c r="C4565" s="76">
        <v>43997</v>
      </c>
      <c r="D4565">
        <v>10234</v>
      </c>
      <c r="E4565">
        <v>4822</v>
      </c>
      <c r="F4565">
        <v>15645</v>
      </c>
      <c r="G4565">
        <v>9001</v>
      </c>
      <c r="H4565">
        <v>53.2</v>
      </c>
      <c r="I4565">
        <v>44.5</v>
      </c>
      <c r="J4565">
        <v>61.9</v>
      </c>
      <c r="K4565">
        <v>673</v>
      </c>
      <c r="L4565">
        <v>266</v>
      </c>
      <c r="M4565">
        <v>1081</v>
      </c>
      <c r="N4565">
        <v>3.5</v>
      </c>
      <c r="O4565">
        <v>2.2999999999999998</v>
      </c>
      <c r="P4565">
        <v>4.7</v>
      </c>
      <c r="Q4565">
        <f t="shared" si="140"/>
        <v>8603985</v>
      </c>
      <c r="R4565">
        <f t="shared" si="141"/>
        <v>7.8219569187998346</v>
      </c>
      <c r="U4565">
        <v>1519</v>
      </c>
      <c r="V4565">
        <v>522</v>
      </c>
      <c r="W4565">
        <v>2516</v>
      </c>
      <c r="X4565">
        <v>905</v>
      </c>
      <c r="Y4565">
        <v>62.7</v>
      </c>
      <c r="Z4565">
        <v>51.4</v>
      </c>
      <c r="AA4565">
        <v>73.900000000000006</v>
      </c>
    </row>
    <row r="4566" spans="1:27" x14ac:dyDescent="0.25">
      <c r="A4566" t="s">
        <v>270</v>
      </c>
      <c r="B4566" t="s">
        <v>183</v>
      </c>
      <c r="C4566" s="76">
        <v>43998</v>
      </c>
      <c r="D4566">
        <v>9906</v>
      </c>
      <c r="E4566">
        <v>4507</v>
      </c>
      <c r="F4566">
        <v>15304</v>
      </c>
      <c r="G4566">
        <v>8202</v>
      </c>
      <c r="H4566">
        <v>54.7</v>
      </c>
      <c r="I4566">
        <v>44.8</v>
      </c>
      <c r="J4566">
        <v>64.599999999999994</v>
      </c>
      <c r="K4566">
        <v>682</v>
      </c>
      <c r="L4566">
        <v>254</v>
      </c>
      <c r="M4566">
        <v>1109</v>
      </c>
      <c r="N4566">
        <v>3.8</v>
      </c>
      <c r="O4566">
        <v>2.2999999999999998</v>
      </c>
      <c r="P4566">
        <v>5.2</v>
      </c>
      <c r="Q4566">
        <f t="shared" si="140"/>
        <v>8603985</v>
      </c>
      <c r="R4566">
        <f t="shared" si="141"/>
        <v>7.9265596116218244</v>
      </c>
      <c r="U4566">
        <v>1257</v>
      </c>
      <c r="V4566">
        <v>461</v>
      </c>
      <c r="W4566">
        <v>2052</v>
      </c>
      <c r="X4566">
        <v>795</v>
      </c>
      <c r="Y4566">
        <v>61.3</v>
      </c>
      <c r="Z4566">
        <v>53.5</v>
      </c>
      <c r="AA4566">
        <v>69</v>
      </c>
    </row>
    <row r="4567" spans="1:27" x14ac:dyDescent="0.25">
      <c r="A4567" t="s">
        <v>270</v>
      </c>
      <c r="B4567" t="s">
        <v>183</v>
      </c>
      <c r="C4567" s="76">
        <v>43999</v>
      </c>
      <c r="D4567">
        <v>9852</v>
      </c>
      <c r="E4567">
        <v>4155</v>
      </c>
      <c r="F4567">
        <v>15549</v>
      </c>
      <c r="G4567">
        <v>7923</v>
      </c>
      <c r="H4567">
        <v>55.4</v>
      </c>
      <c r="I4567">
        <v>44.9</v>
      </c>
      <c r="J4567">
        <v>66</v>
      </c>
      <c r="K4567">
        <v>676</v>
      </c>
      <c r="L4567">
        <v>225</v>
      </c>
      <c r="M4567">
        <v>1127</v>
      </c>
      <c r="N4567">
        <v>3.8</v>
      </c>
      <c r="O4567">
        <v>2.2000000000000002</v>
      </c>
      <c r="P4567">
        <v>5.4</v>
      </c>
      <c r="Q4567">
        <f t="shared" si="140"/>
        <v>8603985</v>
      </c>
      <c r="R4567">
        <f t="shared" si="141"/>
        <v>7.8568244830738312</v>
      </c>
      <c r="U4567">
        <v>1340</v>
      </c>
      <c r="V4567">
        <v>469</v>
      </c>
      <c r="W4567">
        <v>2212</v>
      </c>
      <c r="X4567">
        <v>668</v>
      </c>
      <c r="Y4567">
        <v>66.7</v>
      </c>
      <c r="Z4567">
        <v>57.8</v>
      </c>
      <c r="AA4567">
        <v>75.7</v>
      </c>
    </row>
    <row r="4568" spans="1:27" x14ac:dyDescent="0.25">
      <c r="A4568" t="s">
        <v>270</v>
      </c>
      <c r="B4568" t="s">
        <v>183</v>
      </c>
      <c r="C4568" s="76">
        <v>44000</v>
      </c>
      <c r="D4568">
        <v>11476</v>
      </c>
      <c r="E4568">
        <v>5540</v>
      </c>
      <c r="F4568">
        <v>17411</v>
      </c>
      <c r="G4568">
        <v>7906</v>
      </c>
      <c r="H4568">
        <v>59.2</v>
      </c>
      <c r="I4568">
        <v>49.9</v>
      </c>
      <c r="J4568">
        <v>68.5</v>
      </c>
      <c r="K4568">
        <v>658</v>
      </c>
      <c r="L4568">
        <v>273</v>
      </c>
      <c r="M4568">
        <v>1043</v>
      </c>
      <c r="N4568">
        <v>3.4</v>
      </c>
      <c r="O4568">
        <v>2.2999999999999998</v>
      </c>
      <c r="P4568">
        <v>4.5</v>
      </c>
      <c r="Q4568">
        <f t="shared" si="140"/>
        <v>8603985</v>
      </c>
      <c r="R4568">
        <f t="shared" si="141"/>
        <v>7.6476190974298541</v>
      </c>
      <c r="U4568">
        <v>1665</v>
      </c>
      <c r="V4568">
        <v>628</v>
      </c>
      <c r="W4568">
        <v>2701</v>
      </c>
      <c r="X4568">
        <v>797</v>
      </c>
      <c r="Y4568">
        <v>67.599999999999994</v>
      </c>
      <c r="Z4568">
        <v>59.8</v>
      </c>
      <c r="AA4568">
        <v>75.5</v>
      </c>
    </row>
    <row r="4569" spans="1:27" x14ac:dyDescent="0.25">
      <c r="A4569" t="s">
        <v>270</v>
      </c>
      <c r="B4569" t="s">
        <v>183</v>
      </c>
      <c r="C4569" s="76">
        <v>44001</v>
      </c>
      <c r="D4569">
        <v>11127</v>
      </c>
      <c r="E4569">
        <v>5325</v>
      </c>
      <c r="F4569">
        <v>16929</v>
      </c>
      <c r="G4569">
        <v>8235</v>
      </c>
      <c r="H4569">
        <v>57.5</v>
      </c>
      <c r="I4569">
        <v>48.2</v>
      </c>
      <c r="J4569">
        <v>66.7</v>
      </c>
      <c r="K4569">
        <v>679</v>
      </c>
      <c r="L4569">
        <v>292</v>
      </c>
      <c r="M4569">
        <v>1066</v>
      </c>
      <c r="N4569">
        <v>3.5</v>
      </c>
      <c r="O4569">
        <v>2.4</v>
      </c>
      <c r="P4569">
        <v>4.5999999999999996</v>
      </c>
      <c r="Q4569">
        <f t="shared" si="140"/>
        <v>8603985</v>
      </c>
      <c r="R4569">
        <f t="shared" si="141"/>
        <v>7.8916920473478287</v>
      </c>
      <c r="U4569">
        <v>1633</v>
      </c>
      <c r="V4569">
        <v>602</v>
      </c>
      <c r="W4569">
        <v>2664</v>
      </c>
      <c r="X4569">
        <v>818</v>
      </c>
      <c r="Y4569">
        <v>66.599999999999994</v>
      </c>
      <c r="Z4569">
        <v>58.6</v>
      </c>
      <c r="AA4569">
        <v>74.7</v>
      </c>
    </row>
    <row r="4570" spans="1:27" x14ac:dyDescent="0.25">
      <c r="A4570" t="s">
        <v>270</v>
      </c>
      <c r="B4570" t="s">
        <v>183</v>
      </c>
      <c r="C4570" s="76">
        <v>44002</v>
      </c>
      <c r="D4570">
        <v>10817</v>
      </c>
      <c r="E4570">
        <v>5142</v>
      </c>
      <c r="F4570">
        <v>16492</v>
      </c>
      <c r="G4570">
        <v>8607</v>
      </c>
      <c r="H4570">
        <v>55.7</v>
      </c>
      <c r="I4570">
        <v>46.4</v>
      </c>
      <c r="J4570">
        <v>65</v>
      </c>
      <c r="K4570">
        <v>657</v>
      </c>
      <c r="L4570">
        <v>278</v>
      </c>
      <c r="M4570">
        <v>1036</v>
      </c>
      <c r="N4570">
        <v>3.4</v>
      </c>
      <c r="O4570">
        <v>2.2999999999999998</v>
      </c>
      <c r="P4570">
        <v>4.4000000000000004</v>
      </c>
      <c r="Q4570">
        <f t="shared" si="140"/>
        <v>8603985</v>
      </c>
      <c r="R4570">
        <f t="shared" si="141"/>
        <v>7.635996576005188</v>
      </c>
      <c r="U4570">
        <v>1621</v>
      </c>
      <c r="V4570">
        <v>562</v>
      </c>
      <c r="W4570">
        <v>2681</v>
      </c>
      <c r="X4570">
        <v>825</v>
      </c>
      <c r="Y4570">
        <v>66.3</v>
      </c>
      <c r="Z4570">
        <v>56.1</v>
      </c>
      <c r="AA4570">
        <v>76.400000000000006</v>
      </c>
    </row>
    <row r="4571" spans="1:27" x14ac:dyDescent="0.25">
      <c r="A4571" t="s">
        <v>270</v>
      </c>
      <c r="B4571" t="s">
        <v>183</v>
      </c>
      <c r="C4571" s="76">
        <v>44003</v>
      </c>
      <c r="D4571">
        <v>9726</v>
      </c>
      <c r="E4571">
        <v>4607</v>
      </c>
      <c r="F4571">
        <v>14845</v>
      </c>
      <c r="G4571">
        <v>8810</v>
      </c>
      <c r="H4571">
        <v>52.5</v>
      </c>
      <c r="I4571">
        <v>43.5</v>
      </c>
      <c r="J4571">
        <v>61.4</v>
      </c>
      <c r="K4571">
        <v>599</v>
      </c>
      <c r="L4571">
        <v>235</v>
      </c>
      <c r="M4571">
        <v>963</v>
      </c>
      <c r="N4571">
        <v>3.2</v>
      </c>
      <c r="O4571">
        <v>2.2000000000000002</v>
      </c>
      <c r="P4571">
        <v>4.3</v>
      </c>
      <c r="Q4571">
        <f t="shared" si="140"/>
        <v>8603985</v>
      </c>
      <c r="R4571">
        <f t="shared" si="141"/>
        <v>6.9618903333745941</v>
      </c>
      <c r="U4571">
        <v>1268</v>
      </c>
      <c r="V4571">
        <v>495</v>
      </c>
      <c r="W4571">
        <v>2042</v>
      </c>
      <c r="X4571">
        <v>906</v>
      </c>
      <c r="Y4571">
        <v>58.3</v>
      </c>
      <c r="Z4571">
        <v>50.1</v>
      </c>
      <c r="AA4571">
        <v>66.599999999999994</v>
      </c>
    </row>
    <row r="4572" spans="1:27" x14ac:dyDescent="0.25">
      <c r="A4572" t="s">
        <v>270</v>
      </c>
      <c r="B4572" t="s">
        <v>183</v>
      </c>
      <c r="C4572" s="76">
        <v>44004</v>
      </c>
      <c r="D4572">
        <v>10816</v>
      </c>
      <c r="E4572">
        <v>5163</v>
      </c>
      <c r="F4572">
        <v>16470</v>
      </c>
      <c r="G4572">
        <v>8545</v>
      </c>
      <c r="H4572">
        <v>55.9</v>
      </c>
      <c r="I4572">
        <v>46.5</v>
      </c>
      <c r="J4572">
        <v>65.2</v>
      </c>
      <c r="K4572">
        <v>633</v>
      </c>
      <c r="L4572">
        <v>284</v>
      </c>
      <c r="M4572">
        <v>983</v>
      </c>
      <c r="N4572">
        <v>3.3</v>
      </c>
      <c r="O4572">
        <v>2.4</v>
      </c>
      <c r="P4572">
        <v>4.0999999999999996</v>
      </c>
      <c r="Q4572">
        <f t="shared" si="140"/>
        <v>8603985</v>
      </c>
      <c r="R4572">
        <f t="shared" si="141"/>
        <v>7.3570560618132177</v>
      </c>
      <c r="U4572">
        <v>1570</v>
      </c>
      <c r="V4572">
        <v>562</v>
      </c>
      <c r="W4572">
        <v>2577</v>
      </c>
      <c r="X4572">
        <v>893</v>
      </c>
      <c r="Y4572">
        <v>63.7</v>
      </c>
      <c r="Z4572">
        <v>53.7</v>
      </c>
      <c r="AA4572">
        <v>73.8</v>
      </c>
    </row>
    <row r="4573" spans="1:27" x14ac:dyDescent="0.25">
      <c r="A4573" t="s">
        <v>270</v>
      </c>
      <c r="B4573" t="s">
        <v>183</v>
      </c>
      <c r="C4573" s="76">
        <v>44005</v>
      </c>
      <c r="D4573">
        <v>11353</v>
      </c>
      <c r="E4573">
        <v>5440</v>
      </c>
      <c r="F4573">
        <v>17266</v>
      </c>
      <c r="G4573">
        <v>7992</v>
      </c>
      <c r="H4573">
        <v>58.7</v>
      </c>
      <c r="I4573">
        <v>49.3</v>
      </c>
      <c r="J4573">
        <v>68.099999999999994</v>
      </c>
      <c r="K4573">
        <v>663</v>
      </c>
      <c r="L4573">
        <v>319</v>
      </c>
      <c r="M4573">
        <v>1007</v>
      </c>
      <c r="N4573">
        <v>3.4</v>
      </c>
      <c r="O4573">
        <v>2.6</v>
      </c>
      <c r="P4573">
        <v>4.2</v>
      </c>
      <c r="Q4573">
        <f t="shared" si="140"/>
        <v>8603985</v>
      </c>
      <c r="R4573">
        <f t="shared" si="141"/>
        <v>7.7057317045531812</v>
      </c>
      <c r="U4573">
        <v>1633</v>
      </c>
      <c r="V4573">
        <v>592</v>
      </c>
      <c r="W4573">
        <v>2675</v>
      </c>
      <c r="X4573">
        <v>772</v>
      </c>
      <c r="Y4573">
        <v>67.900000000000006</v>
      </c>
      <c r="Z4573">
        <v>58.4</v>
      </c>
      <c r="AA4573">
        <v>77.5</v>
      </c>
    </row>
    <row r="4574" spans="1:27" x14ac:dyDescent="0.25">
      <c r="A4574" t="s">
        <v>270</v>
      </c>
      <c r="B4574" t="s">
        <v>183</v>
      </c>
      <c r="C4574" s="76">
        <v>44006</v>
      </c>
      <c r="D4574">
        <v>10052</v>
      </c>
      <c r="E4574">
        <v>4542</v>
      </c>
      <c r="F4574">
        <v>15562</v>
      </c>
      <c r="G4574">
        <v>8050</v>
      </c>
      <c r="H4574">
        <v>55.5</v>
      </c>
      <c r="I4574">
        <v>45.8</v>
      </c>
      <c r="J4574">
        <v>65.3</v>
      </c>
      <c r="K4574">
        <v>614</v>
      </c>
      <c r="L4574">
        <v>259</v>
      </c>
      <c r="M4574">
        <v>969</v>
      </c>
      <c r="N4574">
        <v>3.4</v>
      </c>
      <c r="O4574">
        <v>2.2999999999999998</v>
      </c>
      <c r="P4574">
        <v>4.5</v>
      </c>
      <c r="Q4574">
        <f t="shared" si="140"/>
        <v>8603985</v>
      </c>
      <c r="R4574">
        <f t="shared" si="141"/>
        <v>7.1362281547445745</v>
      </c>
      <c r="U4574">
        <v>1237</v>
      </c>
      <c r="V4574">
        <v>436</v>
      </c>
      <c r="W4574">
        <v>2037</v>
      </c>
      <c r="X4574">
        <v>770</v>
      </c>
      <c r="Y4574">
        <v>61.6</v>
      </c>
      <c r="Z4574">
        <v>54.5</v>
      </c>
      <c r="AA4574">
        <v>68.8</v>
      </c>
    </row>
    <row r="4575" spans="1:27" x14ac:dyDescent="0.25">
      <c r="A4575" t="s">
        <v>270</v>
      </c>
      <c r="B4575" t="s">
        <v>183</v>
      </c>
      <c r="C4575" s="76">
        <v>44007</v>
      </c>
      <c r="D4575">
        <v>11344</v>
      </c>
      <c r="E4575">
        <v>5348</v>
      </c>
      <c r="F4575">
        <v>17340</v>
      </c>
      <c r="G4575">
        <v>7921</v>
      </c>
      <c r="H4575">
        <v>58.9</v>
      </c>
      <c r="I4575">
        <v>49.3</v>
      </c>
      <c r="J4575">
        <v>68.5</v>
      </c>
      <c r="K4575">
        <v>620</v>
      </c>
      <c r="L4575">
        <v>287</v>
      </c>
      <c r="M4575">
        <v>953</v>
      </c>
      <c r="N4575">
        <v>3.2</v>
      </c>
      <c r="O4575">
        <v>2.2999999999999998</v>
      </c>
      <c r="P4575">
        <v>4.0999999999999996</v>
      </c>
      <c r="Q4575">
        <f t="shared" si="140"/>
        <v>8603985</v>
      </c>
      <c r="R4575">
        <f t="shared" si="141"/>
        <v>7.2059632832925677</v>
      </c>
      <c r="U4575">
        <v>1649</v>
      </c>
      <c r="V4575">
        <v>595</v>
      </c>
      <c r="W4575">
        <v>2703</v>
      </c>
      <c r="X4575">
        <v>786</v>
      </c>
      <c r="Y4575">
        <v>67.7</v>
      </c>
      <c r="Z4575">
        <v>57.8</v>
      </c>
      <c r="AA4575">
        <v>77.599999999999994</v>
      </c>
    </row>
    <row r="4576" spans="1:27" x14ac:dyDescent="0.25">
      <c r="A4576" t="s">
        <v>270</v>
      </c>
      <c r="B4576" t="s">
        <v>183</v>
      </c>
      <c r="C4576" s="76">
        <v>44008</v>
      </c>
      <c r="D4576">
        <v>11270</v>
      </c>
      <c r="E4576">
        <v>5361</v>
      </c>
      <c r="F4576">
        <v>17179</v>
      </c>
      <c r="G4576">
        <v>8038</v>
      </c>
      <c r="H4576">
        <v>58.4</v>
      </c>
      <c r="I4576">
        <v>49.1</v>
      </c>
      <c r="J4576">
        <v>67.599999999999994</v>
      </c>
      <c r="K4576">
        <v>572</v>
      </c>
      <c r="L4576">
        <v>265</v>
      </c>
      <c r="M4576">
        <v>879</v>
      </c>
      <c r="N4576">
        <v>3</v>
      </c>
      <c r="O4576">
        <v>2.1</v>
      </c>
      <c r="P4576">
        <v>3.9</v>
      </c>
      <c r="Q4576">
        <f t="shared" si="140"/>
        <v>8603985</v>
      </c>
      <c r="R4576">
        <f t="shared" si="141"/>
        <v>6.6480822549086271</v>
      </c>
      <c r="U4576">
        <v>1636</v>
      </c>
      <c r="V4576">
        <v>610</v>
      </c>
      <c r="W4576">
        <v>2661</v>
      </c>
      <c r="X4576">
        <v>798</v>
      </c>
      <c r="Y4576">
        <v>67.2</v>
      </c>
      <c r="Z4576">
        <v>58.2</v>
      </c>
      <c r="AA4576">
        <v>76.2</v>
      </c>
    </row>
    <row r="4577" spans="1:27" x14ac:dyDescent="0.25">
      <c r="A4577" t="s">
        <v>270</v>
      </c>
      <c r="B4577" t="s">
        <v>183</v>
      </c>
      <c r="C4577" s="76">
        <v>44009</v>
      </c>
      <c r="D4577">
        <v>10969</v>
      </c>
      <c r="E4577">
        <v>5318</v>
      </c>
      <c r="F4577">
        <v>16620</v>
      </c>
      <c r="G4577">
        <v>8432</v>
      </c>
      <c r="H4577">
        <v>56.5</v>
      </c>
      <c r="I4577">
        <v>47.7</v>
      </c>
      <c r="J4577">
        <v>65.400000000000006</v>
      </c>
      <c r="K4577">
        <v>553</v>
      </c>
      <c r="L4577">
        <v>244</v>
      </c>
      <c r="M4577">
        <v>862</v>
      </c>
      <c r="N4577">
        <v>2.9</v>
      </c>
      <c r="O4577">
        <v>1.9</v>
      </c>
      <c r="P4577">
        <v>3.8</v>
      </c>
      <c r="Q4577">
        <f t="shared" si="140"/>
        <v>8603985</v>
      </c>
      <c r="R4577">
        <f t="shared" si="141"/>
        <v>6.427254347839984</v>
      </c>
      <c r="U4577">
        <v>1555</v>
      </c>
      <c r="V4577">
        <v>566</v>
      </c>
      <c r="W4577">
        <v>2544</v>
      </c>
      <c r="X4577">
        <v>865</v>
      </c>
      <c r="Y4577">
        <v>64.3</v>
      </c>
      <c r="Z4577">
        <v>55.2</v>
      </c>
      <c r="AA4577">
        <v>73.3</v>
      </c>
    </row>
    <row r="4578" spans="1:27" x14ac:dyDescent="0.25">
      <c r="A4578" t="s">
        <v>270</v>
      </c>
      <c r="B4578" t="s">
        <v>183</v>
      </c>
      <c r="C4578" s="76">
        <v>44010</v>
      </c>
      <c r="D4578">
        <v>10864</v>
      </c>
      <c r="E4578">
        <v>5219</v>
      </c>
      <c r="F4578">
        <v>16509</v>
      </c>
      <c r="G4578">
        <v>8586</v>
      </c>
      <c r="H4578">
        <v>55.9</v>
      </c>
      <c r="I4578">
        <v>46.7</v>
      </c>
      <c r="J4578">
        <v>65</v>
      </c>
      <c r="K4578">
        <v>551</v>
      </c>
      <c r="L4578">
        <v>255</v>
      </c>
      <c r="M4578">
        <v>847</v>
      </c>
      <c r="N4578">
        <v>2.8</v>
      </c>
      <c r="O4578">
        <v>1.9</v>
      </c>
      <c r="P4578">
        <v>3.7</v>
      </c>
      <c r="Q4578">
        <f t="shared" si="140"/>
        <v>8603985</v>
      </c>
      <c r="R4578">
        <f t="shared" si="141"/>
        <v>6.4040093049906526</v>
      </c>
      <c r="U4578">
        <v>1590</v>
      </c>
      <c r="V4578">
        <v>568</v>
      </c>
      <c r="W4578">
        <v>2612</v>
      </c>
      <c r="X4578">
        <v>842</v>
      </c>
      <c r="Y4578">
        <v>65.400000000000006</v>
      </c>
      <c r="Z4578">
        <v>55.4</v>
      </c>
      <c r="AA4578">
        <v>75.3</v>
      </c>
    </row>
    <row r="4579" spans="1:27" x14ac:dyDescent="0.25">
      <c r="A4579" t="s">
        <v>270</v>
      </c>
      <c r="B4579" t="s">
        <v>183</v>
      </c>
      <c r="C4579" s="76">
        <v>44011</v>
      </c>
      <c r="D4579">
        <v>11095</v>
      </c>
      <c r="E4579">
        <v>5297</v>
      </c>
      <c r="F4579">
        <v>16892</v>
      </c>
      <c r="G4579">
        <v>8253</v>
      </c>
      <c r="H4579">
        <v>57.3</v>
      </c>
      <c r="I4579">
        <v>47.5</v>
      </c>
      <c r="J4579">
        <v>67.099999999999994</v>
      </c>
      <c r="K4579">
        <v>601</v>
      </c>
      <c r="L4579">
        <v>284</v>
      </c>
      <c r="M4579">
        <v>919</v>
      </c>
      <c r="N4579">
        <v>3.1</v>
      </c>
      <c r="O4579">
        <v>2.1</v>
      </c>
      <c r="P4579">
        <v>4.0999999999999996</v>
      </c>
      <c r="Q4579">
        <f t="shared" si="140"/>
        <v>8603985</v>
      </c>
      <c r="R4579">
        <f t="shared" si="141"/>
        <v>6.9851353762239237</v>
      </c>
      <c r="U4579">
        <v>1627</v>
      </c>
      <c r="V4579">
        <v>581</v>
      </c>
      <c r="W4579">
        <v>2673</v>
      </c>
      <c r="X4579">
        <v>813</v>
      </c>
      <c r="Y4579">
        <v>66.7</v>
      </c>
      <c r="Z4579">
        <v>56.6</v>
      </c>
      <c r="AA4579">
        <v>76.8</v>
      </c>
    </row>
    <row r="4580" spans="1:27" x14ac:dyDescent="0.25">
      <c r="A4580" t="s">
        <v>270</v>
      </c>
      <c r="B4580" t="s">
        <v>183</v>
      </c>
      <c r="C4580" s="76">
        <v>44012</v>
      </c>
      <c r="D4580">
        <v>11473</v>
      </c>
      <c r="E4580">
        <v>5376</v>
      </c>
      <c r="F4580">
        <v>17570</v>
      </c>
      <c r="G4580">
        <v>7818</v>
      </c>
      <c r="H4580">
        <v>59.5</v>
      </c>
      <c r="I4580">
        <v>49.1</v>
      </c>
      <c r="J4580">
        <v>69.8</v>
      </c>
      <c r="K4580">
        <v>547</v>
      </c>
      <c r="L4580">
        <v>253</v>
      </c>
      <c r="M4580">
        <v>840</v>
      </c>
      <c r="N4580">
        <v>2.8</v>
      </c>
      <c r="O4580">
        <v>1.9</v>
      </c>
      <c r="P4580">
        <v>3.8</v>
      </c>
      <c r="Q4580">
        <f t="shared" si="140"/>
        <v>8603985</v>
      </c>
      <c r="R4580">
        <f t="shared" si="141"/>
        <v>6.3575192192919907</v>
      </c>
      <c r="U4580">
        <v>1693</v>
      </c>
      <c r="V4580">
        <v>615</v>
      </c>
      <c r="W4580">
        <v>2771</v>
      </c>
      <c r="X4580">
        <v>749</v>
      </c>
      <c r="Y4580">
        <v>69.3</v>
      </c>
      <c r="Z4580">
        <v>59.9</v>
      </c>
      <c r="AA4580">
        <v>78.8</v>
      </c>
    </row>
    <row r="4581" spans="1:27" x14ac:dyDescent="0.25">
      <c r="A4581" t="s">
        <v>270</v>
      </c>
      <c r="B4581" t="s">
        <v>183</v>
      </c>
      <c r="C4581" s="76">
        <v>44013</v>
      </c>
      <c r="D4581">
        <v>11609</v>
      </c>
      <c r="E4581">
        <v>5520</v>
      </c>
      <c r="F4581">
        <v>17698</v>
      </c>
      <c r="G4581">
        <v>7741</v>
      </c>
      <c r="H4581">
        <v>60</v>
      </c>
      <c r="I4581">
        <v>49.8</v>
      </c>
      <c r="J4581">
        <v>70.2</v>
      </c>
      <c r="K4581">
        <v>590</v>
      </c>
      <c r="L4581">
        <v>265</v>
      </c>
      <c r="M4581">
        <v>915</v>
      </c>
      <c r="N4581">
        <v>3.1</v>
      </c>
      <c r="O4581">
        <v>2</v>
      </c>
      <c r="P4581">
        <v>4.0999999999999996</v>
      </c>
      <c r="Q4581">
        <f t="shared" si="140"/>
        <v>8603985</v>
      </c>
      <c r="R4581">
        <f t="shared" si="141"/>
        <v>6.8572876405526042</v>
      </c>
      <c r="U4581">
        <v>1663</v>
      </c>
      <c r="V4581">
        <v>614</v>
      </c>
      <c r="W4581">
        <v>2711</v>
      </c>
      <c r="X4581">
        <v>778</v>
      </c>
      <c r="Y4581">
        <v>68.099999999999994</v>
      </c>
      <c r="Z4581">
        <v>59.5</v>
      </c>
      <c r="AA4581">
        <v>76.7</v>
      </c>
    </row>
    <row r="4582" spans="1:27" x14ac:dyDescent="0.25">
      <c r="A4582" t="s">
        <v>270</v>
      </c>
      <c r="B4582" t="s">
        <v>183</v>
      </c>
      <c r="C4582" s="76">
        <v>44014</v>
      </c>
      <c r="D4582">
        <v>11674</v>
      </c>
      <c r="E4582">
        <v>5536</v>
      </c>
      <c r="F4582">
        <v>17812</v>
      </c>
      <c r="G4582">
        <v>7688</v>
      </c>
      <c r="H4582">
        <v>60.3</v>
      </c>
      <c r="I4582">
        <v>49.8</v>
      </c>
      <c r="J4582">
        <v>70.8</v>
      </c>
      <c r="K4582">
        <v>567</v>
      </c>
      <c r="L4582">
        <v>250</v>
      </c>
      <c r="M4582">
        <v>884</v>
      </c>
      <c r="N4582">
        <v>2.9</v>
      </c>
      <c r="O4582">
        <v>1.9</v>
      </c>
      <c r="P4582">
        <v>4</v>
      </c>
      <c r="Q4582">
        <f t="shared" si="140"/>
        <v>8603985</v>
      </c>
      <c r="R4582">
        <f t="shared" si="141"/>
        <v>6.5899696477853</v>
      </c>
      <c r="U4582">
        <v>1621</v>
      </c>
      <c r="V4582">
        <v>589</v>
      </c>
      <c r="W4582">
        <v>2654</v>
      </c>
      <c r="X4582">
        <v>821</v>
      </c>
      <c r="Y4582">
        <v>66.400000000000006</v>
      </c>
      <c r="Z4582">
        <v>56.5</v>
      </c>
      <c r="AA4582">
        <v>76.2</v>
      </c>
    </row>
    <row r="4583" spans="1:27" x14ac:dyDescent="0.25">
      <c r="A4583" t="s">
        <v>270</v>
      </c>
      <c r="B4583" t="s">
        <v>183</v>
      </c>
      <c r="C4583" s="76">
        <v>44015</v>
      </c>
      <c r="D4583">
        <v>11050</v>
      </c>
      <c r="E4583">
        <v>5230</v>
      </c>
      <c r="F4583">
        <v>16869</v>
      </c>
      <c r="G4583">
        <v>8228</v>
      </c>
      <c r="H4583">
        <v>57.3</v>
      </c>
      <c r="I4583">
        <v>47</v>
      </c>
      <c r="J4583">
        <v>67.7</v>
      </c>
      <c r="K4583">
        <v>563</v>
      </c>
      <c r="L4583">
        <v>255</v>
      </c>
      <c r="M4583">
        <v>872</v>
      </c>
      <c r="N4583">
        <v>2.9</v>
      </c>
      <c r="O4583">
        <v>1.9</v>
      </c>
      <c r="P4583">
        <v>4</v>
      </c>
      <c r="Q4583">
        <f t="shared" ref="Q4583:Q4646" si="142">VLOOKUP(B4583,$AE$4:$AF$55,2,FALSE)</f>
        <v>8603985</v>
      </c>
      <c r="R4583">
        <f t="shared" si="141"/>
        <v>6.5434795620866373</v>
      </c>
      <c r="U4583">
        <v>1518</v>
      </c>
      <c r="V4583">
        <v>590</v>
      </c>
      <c r="W4583">
        <v>2445</v>
      </c>
      <c r="X4583">
        <v>919</v>
      </c>
      <c r="Y4583">
        <v>62.3</v>
      </c>
      <c r="Z4583">
        <v>53.2</v>
      </c>
      <c r="AA4583">
        <v>71.400000000000006</v>
      </c>
    </row>
    <row r="4584" spans="1:27" x14ac:dyDescent="0.25">
      <c r="A4584" t="s">
        <v>270</v>
      </c>
      <c r="B4584" t="s">
        <v>183</v>
      </c>
      <c r="C4584" s="76">
        <v>44016</v>
      </c>
      <c r="D4584">
        <v>10333</v>
      </c>
      <c r="E4584">
        <v>4852</v>
      </c>
      <c r="F4584">
        <v>15814</v>
      </c>
      <c r="G4584">
        <v>8855</v>
      </c>
      <c r="H4584">
        <v>53.9</v>
      </c>
      <c r="I4584">
        <v>43.6</v>
      </c>
      <c r="J4584">
        <v>64.099999999999994</v>
      </c>
      <c r="K4584">
        <v>564</v>
      </c>
      <c r="L4584">
        <v>270</v>
      </c>
      <c r="M4584">
        <v>858</v>
      </c>
      <c r="N4584">
        <v>2.9</v>
      </c>
      <c r="O4584">
        <v>2.1</v>
      </c>
      <c r="P4584">
        <v>3.8</v>
      </c>
      <c r="Q4584">
        <f t="shared" si="142"/>
        <v>8603985</v>
      </c>
      <c r="R4584">
        <f t="shared" si="141"/>
        <v>6.5551020835113034</v>
      </c>
      <c r="U4584">
        <v>1471</v>
      </c>
      <c r="V4584">
        <v>565</v>
      </c>
      <c r="W4584">
        <v>2378</v>
      </c>
      <c r="X4584">
        <v>960</v>
      </c>
      <c r="Y4584">
        <v>60.5</v>
      </c>
      <c r="Z4584">
        <v>51.5</v>
      </c>
      <c r="AA4584">
        <v>69.5</v>
      </c>
    </row>
    <row r="4585" spans="1:27" x14ac:dyDescent="0.25">
      <c r="A4585" t="s">
        <v>270</v>
      </c>
      <c r="B4585" t="s">
        <v>183</v>
      </c>
      <c r="C4585" s="76">
        <v>44017</v>
      </c>
      <c r="D4585">
        <v>10134</v>
      </c>
      <c r="E4585">
        <v>4770</v>
      </c>
      <c r="F4585">
        <v>15497</v>
      </c>
      <c r="G4585">
        <v>9069</v>
      </c>
      <c r="H4585">
        <v>52.8</v>
      </c>
      <c r="I4585">
        <v>43.8</v>
      </c>
      <c r="J4585">
        <v>61.8</v>
      </c>
      <c r="K4585">
        <v>588</v>
      </c>
      <c r="L4585">
        <v>289</v>
      </c>
      <c r="M4585">
        <v>887</v>
      </c>
      <c r="N4585">
        <v>3.1</v>
      </c>
      <c r="O4585">
        <v>2.2000000000000002</v>
      </c>
      <c r="P4585">
        <v>3.9</v>
      </c>
      <c r="Q4585">
        <f t="shared" si="142"/>
        <v>8603985</v>
      </c>
      <c r="R4585">
        <f t="shared" si="141"/>
        <v>6.8340425977032737</v>
      </c>
      <c r="U4585">
        <v>1558</v>
      </c>
      <c r="V4585">
        <v>545</v>
      </c>
      <c r="W4585">
        <v>2570</v>
      </c>
      <c r="X4585">
        <v>868</v>
      </c>
      <c r="Y4585">
        <v>64.2</v>
      </c>
      <c r="Z4585">
        <v>54.6</v>
      </c>
      <c r="AA4585">
        <v>73.8</v>
      </c>
    </row>
    <row r="4586" spans="1:27" x14ac:dyDescent="0.25">
      <c r="A4586" t="s">
        <v>270</v>
      </c>
      <c r="B4586" t="s">
        <v>183</v>
      </c>
      <c r="C4586" s="76">
        <v>44018</v>
      </c>
      <c r="D4586">
        <v>10755</v>
      </c>
      <c r="E4586">
        <v>5115</v>
      </c>
      <c r="F4586">
        <v>16395</v>
      </c>
      <c r="G4586">
        <v>8541</v>
      </c>
      <c r="H4586">
        <v>55.7</v>
      </c>
      <c r="I4586">
        <v>46.5</v>
      </c>
      <c r="J4586">
        <v>64.900000000000006</v>
      </c>
      <c r="K4586">
        <v>656</v>
      </c>
      <c r="L4586">
        <v>312</v>
      </c>
      <c r="M4586">
        <v>1000</v>
      </c>
      <c r="N4586">
        <v>3.4</v>
      </c>
      <c r="O4586">
        <v>2.4</v>
      </c>
      <c r="P4586">
        <v>4.4000000000000004</v>
      </c>
      <c r="Q4586">
        <f t="shared" si="142"/>
        <v>8603985</v>
      </c>
      <c r="R4586">
        <f t="shared" si="141"/>
        <v>7.6243740545805228</v>
      </c>
      <c r="U4586">
        <v>1630</v>
      </c>
      <c r="V4586">
        <v>559</v>
      </c>
      <c r="W4586">
        <v>2700</v>
      </c>
      <c r="X4586">
        <v>800</v>
      </c>
      <c r="Y4586">
        <v>67.099999999999994</v>
      </c>
      <c r="Z4586">
        <v>56.2</v>
      </c>
      <c r="AA4586">
        <v>77.900000000000006</v>
      </c>
    </row>
    <row r="4587" spans="1:27" x14ac:dyDescent="0.25">
      <c r="A4587" t="s">
        <v>270</v>
      </c>
      <c r="B4587" t="s">
        <v>183</v>
      </c>
      <c r="C4587" s="76">
        <v>44019</v>
      </c>
      <c r="D4587">
        <v>11486</v>
      </c>
      <c r="E4587">
        <v>5504</v>
      </c>
      <c r="F4587">
        <v>17467</v>
      </c>
      <c r="G4587">
        <v>7831</v>
      </c>
      <c r="H4587">
        <v>59.5</v>
      </c>
      <c r="I4587">
        <v>49.6</v>
      </c>
      <c r="J4587">
        <v>69.3</v>
      </c>
      <c r="K4587">
        <v>633</v>
      </c>
      <c r="L4587">
        <v>284</v>
      </c>
      <c r="M4587">
        <v>981</v>
      </c>
      <c r="N4587">
        <v>3.3</v>
      </c>
      <c r="O4587">
        <v>2.2999999999999998</v>
      </c>
      <c r="P4587">
        <v>4.2</v>
      </c>
      <c r="Q4587">
        <f t="shared" si="142"/>
        <v>8603985</v>
      </c>
      <c r="R4587">
        <f t="shared" si="141"/>
        <v>7.3570560618132177</v>
      </c>
      <c r="U4587">
        <v>1604</v>
      </c>
      <c r="V4587">
        <v>546</v>
      </c>
      <c r="W4587">
        <v>2661</v>
      </c>
      <c r="X4587">
        <v>830</v>
      </c>
      <c r="Y4587">
        <v>65.900000000000006</v>
      </c>
      <c r="Z4587">
        <v>53.1</v>
      </c>
      <c r="AA4587">
        <v>78.7</v>
      </c>
    </row>
    <row r="4588" spans="1:27" x14ac:dyDescent="0.25">
      <c r="A4588" t="s">
        <v>271</v>
      </c>
      <c r="B4588" t="s">
        <v>222</v>
      </c>
      <c r="C4588" s="76">
        <v>43922</v>
      </c>
      <c r="D4588">
        <v>645</v>
      </c>
      <c r="E4588">
        <v>0</v>
      </c>
      <c r="F4588">
        <v>1443</v>
      </c>
      <c r="G4588">
        <v>497</v>
      </c>
      <c r="H4588">
        <v>56.5</v>
      </c>
      <c r="I4588">
        <v>34.700000000000003</v>
      </c>
      <c r="J4588">
        <v>78.3</v>
      </c>
      <c r="K4588">
        <v>81</v>
      </c>
      <c r="L4588">
        <v>0</v>
      </c>
      <c r="M4588">
        <v>213</v>
      </c>
      <c r="N4588">
        <v>7.1</v>
      </c>
      <c r="O4588">
        <v>0.2</v>
      </c>
      <c r="P4588">
        <v>14</v>
      </c>
      <c r="Q4588">
        <f t="shared" si="142"/>
        <v>623251</v>
      </c>
      <c r="R4588">
        <f t="shared" si="141"/>
        <v>12.99636903911907</v>
      </c>
      <c r="U4588">
        <v>67</v>
      </c>
      <c r="V4588">
        <v>0</v>
      </c>
      <c r="W4588">
        <v>167</v>
      </c>
      <c r="X4588">
        <v>73</v>
      </c>
      <c r="Y4588">
        <v>47.8</v>
      </c>
      <c r="Z4588">
        <v>14.3</v>
      </c>
      <c r="AA4588">
        <v>81.2</v>
      </c>
    </row>
    <row r="4589" spans="1:27" x14ac:dyDescent="0.25">
      <c r="A4589" t="s">
        <v>271</v>
      </c>
      <c r="B4589" t="s">
        <v>222</v>
      </c>
      <c r="C4589" s="76">
        <v>43923</v>
      </c>
      <c r="D4589">
        <v>549</v>
      </c>
      <c r="E4589">
        <v>0</v>
      </c>
      <c r="F4589">
        <v>1251</v>
      </c>
      <c r="G4589">
        <v>600</v>
      </c>
      <c r="H4589">
        <v>47.8</v>
      </c>
      <c r="I4589">
        <v>23</v>
      </c>
      <c r="J4589">
        <v>72.599999999999994</v>
      </c>
      <c r="K4589">
        <v>81</v>
      </c>
      <c r="L4589">
        <v>0</v>
      </c>
      <c r="M4589">
        <v>221</v>
      </c>
      <c r="N4589">
        <v>7.1</v>
      </c>
      <c r="O4589">
        <v>0</v>
      </c>
      <c r="P4589">
        <v>14.7</v>
      </c>
      <c r="Q4589">
        <f t="shared" si="142"/>
        <v>623251</v>
      </c>
      <c r="R4589">
        <f t="shared" si="141"/>
        <v>12.99636903911907</v>
      </c>
      <c r="U4589">
        <v>55</v>
      </c>
      <c r="V4589">
        <v>0</v>
      </c>
      <c r="W4589">
        <v>136</v>
      </c>
      <c r="X4589">
        <v>84</v>
      </c>
      <c r="Y4589">
        <v>39.6</v>
      </c>
      <c r="Z4589">
        <v>14.8</v>
      </c>
      <c r="AA4589">
        <v>64.400000000000006</v>
      </c>
    </row>
    <row r="4590" spans="1:27" x14ac:dyDescent="0.25">
      <c r="A4590" t="s">
        <v>271</v>
      </c>
      <c r="B4590" t="s">
        <v>222</v>
      </c>
      <c r="C4590" s="76">
        <v>43924</v>
      </c>
      <c r="D4590">
        <v>551</v>
      </c>
      <c r="E4590">
        <v>0</v>
      </c>
      <c r="F4590">
        <v>1190</v>
      </c>
      <c r="G4590">
        <v>601</v>
      </c>
      <c r="H4590">
        <v>47.8</v>
      </c>
      <c r="I4590">
        <v>30.2</v>
      </c>
      <c r="J4590">
        <v>65.400000000000006</v>
      </c>
      <c r="K4590">
        <v>77</v>
      </c>
      <c r="L4590">
        <v>0</v>
      </c>
      <c r="M4590">
        <v>177</v>
      </c>
      <c r="N4590">
        <v>6.7</v>
      </c>
      <c r="O4590">
        <v>2.2999999999999998</v>
      </c>
      <c r="P4590">
        <v>11.1</v>
      </c>
      <c r="Q4590">
        <f t="shared" si="142"/>
        <v>623251</v>
      </c>
      <c r="R4590">
        <f t="shared" si="141"/>
        <v>12.354573037187265</v>
      </c>
      <c r="U4590">
        <v>70</v>
      </c>
      <c r="V4590">
        <v>0</v>
      </c>
      <c r="W4590">
        <v>171</v>
      </c>
      <c r="X4590">
        <v>70</v>
      </c>
      <c r="Y4590">
        <v>50.1</v>
      </c>
      <c r="Z4590">
        <v>15.5</v>
      </c>
      <c r="AA4590">
        <v>84.8</v>
      </c>
    </row>
    <row r="4591" spans="1:27" x14ac:dyDescent="0.25">
      <c r="A4591" t="s">
        <v>271</v>
      </c>
      <c r="B4591" t="s">
        <v>222</v>
      </c>
      <c r="C4591" s="76">
        <v>43925</v>
      </c>
      <c r="D4591">
        <v>508</v>
      </c>
      <c r="E4591">
        <v>0</v>
      </c>
      <c r="F4591">
        <v>1142</v>
      </c>
      <c r="G4591">
        <v>645</v>
      </c>
      <c r="H4591">
        <v>44.1</v>
      </c>
      <c r="I4591">
        <v>16.3</v>
      </c>
      <c r="J4591">
        <v>71.8</v>
      </c>
      <c r="K4591">
        <v>74</v>
      </c>
      <c r="L4591">
        <v>0</v>
      </c>
      <c r="M4591">
        <v>185</v>
      </c>
      <c r="N4591">
        <v>6.4</v>
      </c>
      <c r="O4591">
        <v>1.1000000000000001</v>
      </c>
      <c r="P4591">
        <v>11.8</v>
      </c>
      <c r="Q4591">
        <f t="shared" si="142"/>
        <v>623251</v>
      </c>
      <c r="R4591">
        <f t="shared" si="141"/>
        <v>11.87322603573841</v>
      </c>
      <c r="U4591">
        <v>58</v>
      </c>
      <c r="V4591">
        <v>0</v>
      </c>
      <c r="W4591">
        <v>141</v>
      </c>
      <c r="X4591">
        <v>72</v>
      </c>
      <c r="Y4591">
        <v>44.4</v>
      </c>
      <c r="Z4591">
        <v>16.399999999999999</v>
      </c>
      <c r="AA4591">
        <v>72.400000000000006</v>
      </c>
    </row>
    <row r="4592" spans="1:27" x14ac:dyDescent="0.25">
      <c r="A4592" t="s">
        <v>271</v>
      </c>
      <c r="B4592" t="s">
        <v>222</v>
      </c>
      <c r="C4592" s="76">
        <v>43926</v>
      </c>
      <c r="D4592">
        <v>541</v>
      </c>
      <c r="E4592">
        <v>0</v>
      </c>
      <c r="F4592">
        <v>1228</v>
      </c>
      <c r="G4592">
        <v>611</v>
      </c>
      <c r="H4592">
        <v>46.9</v>
      </c>
      <c r="I4592">
        <v>23.1</v>
      </c>
      <c r="J4592">
        <v>70.8</v>
      </c>
      <c r="K4592">
        <v>82</v>
      </c>
      <c r="L4592">
        <v>0</v>
      </c>
      <c r="M4592">
        <v>210</v>
      </c>
      <c r="N4592">
        <v>7.2</v>
      </c>
      <c r="O4592">
        <v>0.1</v>
      </c>
      <c r="P4592">
        <v>14.2</v>
      </c>
      <c r="Q4592">
        <f t="shared" si="142"/>
        <v>623251</v>
      </c>
      <c r="R4592">
        <f t="shared" si="141"/>
        <v>13.156818039602024</v>
      </c>
      <c r="U4592">
        <v>66</v>
      </c>
      <c r="V4592">
        <v>0</v>
      </c>
      <c r="W4592">
        <v>157</v>
      </c>
      <c r="X4592">
        <v>74</v>
      </c>
      <c r="Y4592">
        <v>47.1</v>
      </c>
      <c r="Z4592">
        <v>15.4</v>
      </c>
      <c r="AA4592">
        <v>78.8</v>
      </c>
    </row>
    <row r="4593" spans="1:27" x14ac:dyDescent="0.25">
      <c r="A4593" t="s">
        <v>271</v>
      </c>
      <c r="B4593" t="s">
        <v>222</v>
      </c>
      <c r="C4593" s="76">
        <v>43927</v>
      </c>
      <c r="D4593">
        <v>524</v>
      </c>
      <c r="E4593">
        <v>0</v>
      </c>
      <c r="F4593">
        <v>1199</v>
      </c>
      <c r="G4593">
        <v>599</v>
      </c>
      <c r="H4593">
        <v>46.6</v>
      </c>
      <c r="I4593">
        <v>22.9</v>
      </c>
      <c r="J4593">
        <v>70.3</v>
      </c>
      <c r="K4593">
        <v>65</v>
      </c>
      <c r="L4593">
        <v>0</v>
      </c>
      <c r="M4593">
        <v>173</v>
      </c>
      <c r="N4593">
        <v>5.8</v>
      </c>
      <c r="O4593">
        <v>0</v>
      </c>
      <c r="P4593">
        <v>12.1</v>
      </c>
      <c r="Q4593">
        <f t="shared" si="142"/>
        <v>623251</v>
      </c>
      <c r="R4593">
        <f t="shared" si="141"/>
        <v>10.429185031391848</v>
      </c>
      <c r="U4593">
        <v>58</v>
      </c>
      <c r="V4593">
        <v>0</v>
      </c>
      <c r="W4593">
        <v>136</v>
      </c>
      <c r="X4593">
        <v>77</v>
      </c>
      <c r="Y4593">
        <v>43</v>
      </c>
      <c r="Z4593">
        <v>19.5</v>
      </c>
      <c r="AA4593">
        <v>66.599999999999994</v>
      </c>
    </row>
    <row r="4594" spans="1:27" x14ac:dyDescent="0.25">
      <c r="A4594" t="s">
        <v>271</v>
      </c>
      <c r="B4594" t="s">
        <v>222</v>
      </c>
      <c r="C4594" s="76">
        <v>43928</v>
      </c>
      <c r="D4594">
        <v>531</v>
      </c>
      <c r="E4594">
        <v>0</v>
      </c>
      <c r="F4594">
        <v>1186</v>
      </c>
      <c r="G4594">
        <v>592</v>
      </c>
      <c r="H4594">
        <v>47.3</v>
      </c>
      <c r="I4594">
        <v>27.4</v>
      </c>
      <c r="J4594">
        <v>67.2</v>
      </c>
      <c r="K4594">
        <v>57</v>
      </c>
      <c r="L4594">
        <v>0</v>
      </c>
      <c r="M4594">
        <v>123</v>
      </c>
      <c r="N4594">
        <v>5.0999999999999996</v>
      </c>
      <c r="O4594">
        <v>3.6</v>
      </c>
      <c r="P4594">
        <v>6.5</v>
      </c>
      <c r="Q4594">
        <f t="shared" si="142"/>
        <v>623251</v>
      </c>
      <c r="R4594">
        <f t="shared" si="141"/>
        <v>9.1455930275282356</v>
      </c>
      <c r="U4594">
        <v>61</v>
      </c>
      <c r="V4594">
        <v>0</v>
      </c>
      <c r="W4594">
        <v>148</v>
      </c>
      <c r="X4594">
        <v>74</v>
      </c>
      <c r="Y4594">
        <v>45</v>
      </c>
      <c r="Z4594">
        <v>16.5</v>
      </c>
      <c r="AA4594">
        <v>73.400000000000006</v>
      </c>
    </row>
    <row r="4595" spans="1:27" x14ac:dyDescent="0.25">
      <c r="A4595" t="s">
        <v>271</v>
      </c>
      <c r="B4595" t="s">
        <v>222</v>
      </c>
      <c r="C4595" s="76">
        <v>43929</v>
      </c>
      <c r="D4595">
        <v>579</v>
      </c>
      <c r="E4595">
        <v>0</v>
      </c>
      <c r="F4595">
        <v>1228</v>
      </c>
      <c r="G4595">
        <v>542</v>
      </c>
      <c r="H4595">
        <v>51.7</v>
      </c>
      <c r="I4595">
        <v>42.3</v>
      </c>
      <c r="J4595">
        <v>61</v>
      </c>
      <c r="K4595">
        <v>57</v>
      </c>
      <c r="L4595">
        <v>0</v>
      </c>
      <c r="M4595">
        <v>117</v>
      </c>
      <c r="N4595">
        <v>5.0999999999999996</v>
      </c>
      <c r="O4595">
        <v>3.5</v>
      </c>
      <c r="P4595">
        <v>6.7</v>
      </c>
      <c r="Q4595">
        <f t="shared" si="142"/>
        <v>623251</v>
      </c>
      <c r="R4595">
        <f t="shared" si="141"/>
        <v>9.1455930275282356</v>
      </c>
      <c r="U4595">
        <v>63</v>
      </c>
      <c r="V4595">
        <v>0</v>
      </c>
      <c r="W4595">
        <v>147</v>
      </c>
      <c r="X4595">
        <v>72</v>
      </c>
      <c r="Y4595">
        <v>46.8</v>
      </c>
      <c r="Z4595">
        <v>25.4</v>
      </c>
      <c r="AA4595">
        <v>68.2</v>
      </c>
    </row>
    <row r="4596" spans="1:27" x14ac:dyDescent="0.25">
      <c r="A4596" t="s">
        <v>271</v>
      </c>
      <c r="B4596" t="s">
        <v>222</v>
      </c>
      <c r="C4596" s="76">
        <v>43930</v>
      </c>
      <c r="D4596">
        <v>559</v>
      </c>
      <c r="E4596">
        <v>0</v>
      </c>
      <c r="F4596">
        <v>1156</v>
      </c>
      <c r="G4596">
        <v>564</v>
      </c>
      <c r="H4596">
        <v>49.8</v>
      </c>
      <c r="I4596">
        <v>42.4</v>
      </c>
      <c r="J4596">
        <v>57.1</v>
      </c>
      <c r="K4596">
        <v>56</v>
      </c>
      <c r="L4596">
        <v>0</v>
      </c>
      <c r="M4596">
        <v>121</v>
      </c>
      <c r="N4596">
        <v>5</v>
      </c>
      <c r="O4596">
        <v>3.1</v>
      </c>
      <c r="P4596">
        <v>6.9</v>
      </c>
      <c r="Q4596">
        <f t="shared" si="142"/>
        <v>623251</v>
      </c>
      <c r="R4596">
        <f t="shared" si="141"/>
        <v>8.9851440270452834</v>
      </c>
      <c r="U4596">
        <v>59</v>
      </c>
      <c r="V4596">
        <v>0</v>
      </c>
      <c r="W4596">
        <v>135</v>
      </c>
      <c r="X4596">
        <v>76</v>
      </c>
      <c r="Y4596">
        <v>43.7</v>
      </c>
      <c r="Z4596">
        <v>26</v>
      </c>
      <c r="AA4596">
        <v>61.4</v>
      </c>
    </row>
    <row r="4597" spans="1:27" x14ac:dyDescent="0.25">
      <c r="A4597" t="s">
        <v>271</v>
      </c>
      <c r="B4597" t="s">
        <v>222</v>
      </c>
      <c r="C4597" s="76">
        <v>43931</v>
      </c>
      <c r="D4597">
        <v>560</v>
      </c>
      <c r="E4597">
        <v>0</v>
      </c>
      <c r="F4597">
        <v>1180</v>
      </c>
      <c r="G4597">
        <v>563</v>
      </c>
      <c r="H4597">
        <v>49.9</v>
      </c>
      <c r="I4597">
        <v>43.8</v>
      </c>
      <c r="J4597">
        <v>55.9</v>
      </c>
      <c r="K4597">
        <v>58</v>
      </c>
      <c r="L4597">
        <v>0</v>
      </c>
      <c r="M4597">
        <v>130</v>
      </c>
      <c r="N4597">
        <v>5.2</v>
      </c>
      <c r="O4597">
        <v>3.2</v>
      </c>
      <c r="P4597">
        <v>7.1</v>
      </c>
      <c r="Q4597">
        <f t="shared" si="142"/>
        <v>623251</v>
      </c>
      <c r="R4597">
        <f t="shared" si="141"/>
        <v>9.306042028011186</v>
      </c>
      <c r="U4597">
        <v>56</v>
      </c>
      <c r="V4597">
        <v>0</v>
      </c>
      <c r="W4597">
        <v>132</v>
      </c>
      <c r="X4597">
        <v>79</v>
      </c>
      <c r="Y4597">
        <v>41.3</v>
      </c>
      <c r="Z4597">
        <v>25.1</v>
      </c>
      <c r="AA4597">
        <v>57.5</v>
      </c>
    </row>
    <row r="4598" spans="1:27" x14ac:dyDescent="0.25">
      <c r="A4598" t="s">
        <v>271</v>
      </c>
      <c r="B4598" t="s">
        <v>222</v>
      </c>
      <c r="C4598" s="76">
        <v>43932</v>
      </c>
      <c r="D4598">
        <v>539</v>
      </c>
      <c r="E4598">
        <v>0</v>
      </c>
      <c r="F4598">
        <v>1144</v>
      </c>
      <c r="G4598">
        <v>591</v>
      </c>
      <c r="H4598">
        <v>47.6</v>
      </c>
      <c r="I4598">
        <v>35.9</v>
      </c>
      <c r="J4598">
        <v>59.4</v>
      </c>
      <c r="K4598">
        <v>64</v>
      </c>
      <c r="L4598">
        <v>0</v>
      </c>
      <c r="M4598">
        <v>128</v>
      </c>
      <c r="N4598">
        <v>5.7</v>
      </c>
      <c r="O4598">
        <v>3.5</v>
      </c>
      <c r="P4598">
        <v>7.8</v>
      </c>
      <c r="Q4598">
        <f t="shared" si="142"/>
        <v>623251</v>
      </c>
      <c r="R4598">
        <f t="shared" si="141"/>
        <v>10.268736030908896</v>
      </c>
      <c r="U4598">
        <v>64</v>
      </c>
      <c r="V4598">
        <v>0</v>
      </c>
      <c r="W4598">
        <v>146</v>
      </c>
      <c r="X4598">
        <v>68</v>
      </c>
      <c r="Y4598">
        <v>48</v>
      </c>
      <c r="Z4598">
        <v>34.5</v>
      </c>
      <c r="AA4598">
        <v>61.6</v>
      </c>
    </row>
    <row r="4599" spans="1:27" x14ac:dyDescent="0.25">
      <c r="A4599" t="s">
        <v>271</v>
      </c>
      <c r="B4599" t="s">
        <v>222</v>
      </c>
      <c r="C4599" s="76">
        <v>43933</v>
      </c>
      <c r="D4599">
        <v>504</v>
      </c>
      <c r="E4599">
        <v>0</v>
      </c>
      <c r="F4599">
        <v>1072</v>
      </c>
      <c r="G4599">
        <v>625</v>
      </c>
      <c r="H4599">
        <v>44.6</v>
      </c>
      <c r="I4599">
        <v>37.5</v>
      </c>
      <c r="J4599">
        <v>51.8</v>
      </c>
      <c r="K4599">
        <v>58</v>
      </c>
      <c r="L4599">
        <v>0</v>
      </c>
      <c r="M4599">
        <v>116</v>
      </c>
      <c r="N4599">
        <v>5.0999999999999996</v>
      </c>
      <c r="O4599">
        <v>3.6</v>
      </c>
      <c r="P4599">
        <v>6.5</v>
      </c>
      <c r="Q4599">
        <f t="shared" si="142"/>
        <v>623251</v>
      </c>
      <c r="R4599">
        <f t="shared" si="141"/>
        <v>9.306042028011186</v>
      </c>
      <c r="U4599">
        <v>60</v>
      </c>
      <c r="V4599">
        <v>0</v>
      </c>
      <c r="W4599">
        <v>139</v>
      </c>
      <c r="X4599">
        <v>72</v>
      </c>
      <c r="Y4599">
        <v>45.6</v>
      </c>
      <c r="Z4599">
        <v>34.1</v>
      </c>
      <c r="AA4599">
        <v>57</v>
      </c>
    </row>
    <row r="4600" spans="1:27" x14ac:dyDescent="0.25">
      <c r="A4600" t="s">
        <v>271</v>
      </c>
      <c r="B4600" t="s">
        <v>222</v>
      </c>
      <c r="C4600" s="76">
        <v>43934</v>
      </c>
      <c r="D4600">
        <v>573</v>
      </c>
      <c r="E4600">
        <v>0</v>
      </c>
      <c r="F4600">
        <v>1190</v>
      </c>
      <c r="G4600">
        <v>698</v>
      </c>
      <c r="H4600">
        <v>45.1</v>
      </c>
      <c r="I4600">
        <v>33</v>
      </c>
      <c r="J4600">
        <v>57.2</v>
      </c>
      <c r="K4600">
        <v>51</v>
      </c>
      <c r="L4600">
        <v>0</v>
      </c>
      <c r="M4600">
        <v>114</v>
      </c>
      <c r="N4600">
        <v>4</v>
      </c>
      <c r="O4600">
        <v>2.2999999999999998</v>
      </c>
      <c r="P4600">
        <v>5.7</v>
      </c>
      <c r="Q4600">
        <f t="shared" si="142"/>
        <v>623251</v>
      </c>
      <c r="R4600">
        <f t="shared" si="141"/>
        <v>8.182899024630526</v>
      </c>
      <c r="U4600">
        <v>77</v>
      </c>
      <c r="V4600">
        <v>0</v>
      </c>
      <c r="W4600">
        <v>170</v>
      </c>
      <c r="X4600">
        <v>76</v>
      </c>
      <c r="Y4600">
        <v>50.5</v>
      </c>
      <c r="Z4600">
        <v>26.2</v>
      </c>
      <c r="AA4600">
        <v>74.8</v>
      </c>
    </row>
    <row r="4601" spans="1:27" x14ac:dyDescent="0.25">
      <c r="A4601" t="s">
        <v>271</v>
      </c>
      <c r="B4601" t="s">
        <v>222</v>
      </c>
      <c r="C4601" s="76">
        <v>43935</v>
      </c>
      <c r="D4601">
        <v>614</v>
      </c>
      <c r="E4601">
        <v>0</v>
      </c>
      <c r="F4601">
        <v>1267</v>
      </c>
      <c r="G4601">
        <v>652</v>
      </c>
      <c r="H4601">
        <v>48.5</v>
      </c>
      <c r="I4601">
        <v>35.6</v>
      </c>
      <c r="J4601">
        <v>61.4</v>
      </c>
      <c r="K4601">
        <v>59</v>
      </c>
      <c r="L4601">
        <v>0</v>
      </c>
      <c r="M4601">
        <v>128</v>
      </c>
      <c r="N4601">
        <v>4.5999999999999996</v>
      </c>
      <c r="O4601">
        <v>2.9</v>
      </c>
      <c r="P4601">
        <v>6.4</v>
      </c>
      <c r="Q4601">
        <f t="shared" si="142"/>
        <v>623251</v>
      </c>
      <c r="R4601">
        <f t="shared" si="141"/>
        <v>9.4664910284941381</v>
      </c>
      <c r="U4601">
        <v>75</v>
      </c>
      <c r="V4601">
        <v>0</v>
      </c>
      <c r="W4601">
        <v>169</v>
      </c>
      <c r="X4601">
        <v>70</v>
      </c>
      <c r="Y4601">
        <v>51.7</v>
      </c>
      <c r="Z4601">
        <v>27.1</v>
      </c>
      <c r="AA4601">
        <v>76.3</v>
      </c>
    </row>
    <row r="4602" spans="1:27" x14ac:dyDescent="0.25">
      <c r="A4602" t="s">
        <v>271</v>
      </c>
      <c r="B4602" t="s">
        <v>222</v>
      </c>
      <c r="C4602" s="76">
        <v>43936</v>
      </c>
      <c r="D4602">
        <v>627</v>
      </c>
      <c r="E4602">
        <v>0</v>
      </c>
      <c r="F4602">
        <v>1290</v>
      </c>
      <c r="G4602">
        <v>639</v>
      </c>
      <c r="H4602">
        <v>49.5</v>
      </c>
      <c r="I4602">
        <v>36.9</v>
      </c>
      <c r="J4602">
        <v>62.2</v>
      </c>
      <c r="K4602">
        <v>55</v>
      </c>
      <c r="L4602">
        <v>0</v>
      </c>
      <c r="M4602">
        <v>118</v>
      </c>
      <c r="N4602">
        <v>4.4000000000000004</v>
      </c>
      <c r="O4602">
        <v>3.2</v>
      </c>
      <c r="P4602">
        <v>5.5</v>
      </c>
      <c r="Q4602">
        <f t="shared" si="142"/>
        <v>623251</v>
      </c>
      <c r="R4602">
        <f t="shared" si="141"/>
        <v>8.8246950265623312</v>
      </c>
      <c r="U4602">
        <v>65</v>
      </c>
      <c r="V4602">
        <v>0</v>
      </c>
      <c r="W4602">
        <v>146</v>
      </c>
      <c r="X4602">
        <v>80</v>
      </c>
      <c r="Y4602">
        <v>44.6</v>
      </c>
      <c r="Z4602">
        <v>22.2</v>
      </c>
      <c r="AA4602">
        <v>67</v>
      </c>
    </row>
    <row r="4603" spans="1:27" x14ac:dyDescent="0.25">
      <c r="A4603" t="s">
        <v>271</v>
      </c>
      <c r="B4603" t="s">
        <v>222</v>
      </c>
      <c r="C4603" s="76">
        <v>43937</v>
      </c>
      <c r="D4603">
        <v>627</v>
      </c>
      <c r="E4603">
        <v>0</v>
      </c>
      <c r="F4603">
        <v>1297</v>
      </c>
      <c r="G4603">
        <v>640</v>
      </c>
      <c r="H4603">
        <v>49.5</v>
      </c>
      <c r="I4603">
        <v>37.799999999999997</v>
      </c>
      <c r="J4603">
        <v>61.1</v>
      </c>
      <c r="K4603">
        <v>46</v>
      </c>
      <c r="L4603">
        <v>0</v>
      </c>
      <c r="M4603">
        <v>100</v>
      </c>
      <c r="N4603">
        <v>3.6</v>
      </c>
      <c r="O4603">
        <v>2.1</v>
      </c>
      <c r="P4603">
        <v>5.0999999999999996</v>
      </c>
      <c r="Q4603">
        <f t="shared" si="142"/>
        <v>623251</v>
      </c>
      <c r="R4603">
        <f t="shared" si="141"/>
        <v>7.3806540222157686</v>
      </c>
      <c r="U4603">
        <v>74</v>
      </c>
      <c r="V4603">
        <v>0</v>
      </c>
      <c r="W4603">
        <v>164</v>
      </c>
      <c r="X4603">
        <v>67</v>
      </c>
      <c r="Y4603">
        <v>52.4</v>
      </c>
      <c r="Z4603">
        <v>27.8</v>
      </c>
      <c r="AA4603">
        <v>76.900000000000006</v>
      </c>
    </row>
    <row r="4604" spans="1:27" x14ac:dyDescent="0.25">
      <c r="A4604" t="s">
        <v>271</v>
      </c>
      <c r="B4604" t="s">
        <v>222</v>
      </c>
      <c r="C4604" s="76">
        <v>43938</v>
      </c>
      <c r="D4604">
        <v>617</v>
      </c>
      <c r="E4604">
        <v>0</v>
      </c>
      <c r="F4604">
        <v>1272</v>
      </c>
      <c r="G4604">
        <v>658</v>
      </c>
      <c r="H4604">
        <v>48.4</v>
      </c>
      <c r="I4604">
        <v>37</v>
      </c>
      <c r="J4604">
        <v>59.8</v>
      </c>
      <c r="K4604">
        <v>49</v>
      </c>
      <c r="L4604">
        <v>0</v>
      </c>
      <c r="M4604">
        <v>102</v>
      </c>
      <c r="N4604">
        <v>3.8</v>
      </c>
      <c r="O4604">
        <v>2.5</v>
      </c>
      <c r="P4604">
        <v>5.0999999999999996</v>
      </c>
      <c r="Q4604">
        <f t="shared" si="142"/>
        <v>623251</v>
      </c>
      <c r="R4604">
        <f t="shared" si="141"/>
        <v>7.8620010236646234</v>
      </c>
      <c r="U4604">
        <v>71</v>
      </c>
      <c r="V4604">
        <v>0</v>
      </c>
      <c r="W4604">
        <v>158</v>
      </c>
      <c r="X4604">
        <v>73</v>
      </c>
      <c r="Y4604">
        <v>49.3</v>
      </c>
      <c r="Z4604">
        <v>29.5</v>
      </c>
      <c r="AA4604">
        <v>69.099999999999994</v>
      </c>
    </row>
    <row r="4605" spans="1:27" x14ac:dyDescent="0.25">
      <c r="A4605" t="s">
        <v>271</v>
      </c>
      <c r="B4605" t="s">
        <v>222</v>
      </c>
      <c r="C4605" s="76">
        <v>43939</v>
      </c>
      <c r="D4605">
        <v>616</v>
      </c>
      <c r="E4605">
        <v>0</v>
      </c>
      <c r="F4605">
        <v>1261</v>
      </c>
      <c r="G4605">
        <v>659</v>
      </c>
      <c r="H4605">
        <v>48.3</v>
      </c>
      <c r="I4605">
        <v>37.700000000000003</v>
      </c>
      <c r="J4605">
        <v>59</v>
      </c>
      <c r="K4605">
        <v>34</v>
      </c>
      <c r="L4605">
        <v>0</v>
      </c>
      <c r="M4605">
        <v>70</v>
      </c>
      <c r="N4605">
        <v>2.6</v>
      </c>
      <c r="O4605">
        <v>1.7</v>
      </c>
      <c r="P4605">
        <v>3.6</v>
      </c>
      <c r="Q4605">
        <f t="shared" si="142"/>
        <v>623251</v>
      </c>
      <c r="R4605">
        <f t="shared" si="141"/>
        <v>5.4552660164203504</v>
      </c>
      <c r="U4605">
        <v>67</v>
      </c>
      <c r="V4605">
        <v>0</v>
      </c>
      <c r="W4605">
        <v>154</v>
      </c>
      <c r="X4605">
        <v>76</v>
      </c>
      <c r="Y4605">
        <v>46.4</v>
      </c>
      <c r="Z4605">
        <v>22.3</v>
      </c>
      <c r="AA4605">
        <v>70.5</v>
      </c>
    </row>
    <row r="4606" spans="1:27" x14ac:dyDescent="0.25">
      <c r="A4606" t="s">
        <v>271</v>
      </c>
      <c r="B4606" t="s">
        <v>222</v>
      </c>
      <c r="C4606" s="76">
        <v>43940</v>
      </c>
      <c r="D4606">
        <v>595</v>
      </c>
      <c r="E4606">
        <v>0</v>
      </c>
      <c r="F4606">
        <v>1218</v>
      </c>
      <c r="G4606">
        <v>680</v>
      </c>
      <c r="H4606">
        <v>46.7</v>
      </c>
      <c r="I4606">
        <v>35.4</v>
      </c>
      <c r="J4606">
        <v>58</v>
      </c>
      <c r="K4606">
        <v>35</v>
      </c>
      <c r="L4606">
        <v>0</v>
      </c>
      <c r="M4606">
        <v>72</v>
      </c>
      <c r="N4606">
        <v>2.7</v>
      </c>
      <c r="O4606">
        <v>1.6</v>
      </c>
      <c r="P4606">
        <v>3.8</v>
      </c>
      <c r="Q4606">
        <f t="shared" si="142"/>
        <v>623251</v>
      </c>
      <c r="R4606">
        <f t="shared" si="141"/>
        <v>5.6157150169033025</v>
      </c>
      <c r="U4606">
        <v>69</v>
      </c>
      <c r="V4606">
        <v>0</v>
      </c>
      <c r="W4606">
        <v>154</v>
      </c>
      <c r="X4606">
        <v>74</v>
      </c>
      <c r="Y4606">
        <v>48.2</v>
      </c>
      <c r="Z4606">
        <v>28</v>
      </c>
      <c r="AA4606">
        <v>68.400000000000006</v>
      </c>
    </row>
    <row r="4607" spans="1:27" x14ac:dyDescent="0.25">
      <c r="A4607" t="s">
        <v>271</v>
      </c>
      <c r="B4607" t="s">
        <v>222</v>
      </c>
      <c r="C4607" s="76">
        <v>43941</v>
      </c>
      <c r="D4607">
        <v>601</v>
      </c>
      <c r="E4607">
        <v>0</v>
      </c>
      <c r="F4607">
        <v>1244</v>
      </c>
      <c r="G4607">
        <v>673</v>
      </c>
      <c r="H4607">
        <v>47.2</v>
      </c>
      <c r="I4607">
        <v>34.6</v>
      </c>
      <c r="J4607">
        <v>59.8</v>
      </c>
      <c r="K4607">
        <v>34</v>
      </c>
      <c r="L4607">
        <v>0</v>
      </c>
      <c r="M4607">
        <v>70</v>
      </c>
      <c r="N4607">
        <v>2.7</v>
      </c>
      <c r="O4607">
        <v>1.8</v>
      </c>
      <c r="P4607">
        <v>3.6</v>
      </c>
      <c r="Q4607">
        <f t="shared" si="142"/>
        <v>623251</v>
      </c>
      <c r="R4607">
        <f t="shared" si="141"/>
        <v>5.4552660164203504</v>
      </c>
      <c r="U4607">
        <v>64</v>
      </c>
      <c r="V4607">
        <v>0</v>
      </c>
      <c r="W4607">
        <v>148</v>
      </c>
      <c r="X4607">
        <v>82</v>
      </c>
      <c r="Y4607">
        <v>43.9</v>
      </c>
      <c r="Z4607">
        <v>23.9</v>
      </c>
      <c r="AA4607">
        <v>63.9</v>
      </c>
    </row>
    <row r="4608" spans="1:27" x14ac:dyDescent="0.25">
      <c r="A4608" t="s">
        <v>271</v>
      </c>
      <c r="B4608" t="s">
        <v>222</v>
      </c>
      <c r="C4608" s="76">
        <v>43942</v>
      </c>
      <c r="D4608">
        <v>542</v>
      </c>
      <c r="E4608">
        <v>0</v>
      </c>
      <c r="F4608">
        <v>1169</v>
      </c>
      <c r="G4608">
        <v>588</v>
      </c>
      <c r="H4608">
        <v>47.9</v>
      </c>
      <c r="I4608">
        <v>38.9</v>
      </c>
      <c r="J4608">
        <v>56.9</v>
      </c>
      <c r="K4608">
        <v>34</v>
      </c>
      <c r="L4608">
        <v>0</v>
      </c>
      <c r="M4608">
        <v>75</v>
      </c>
      <c r="N4608">
        <v>3</v>
      </c>
      <c r="O4608">
        <v>2</v>
      </c>
      <c r="P4608">
        <v>4</v>
      </c>
      <c r="Q4608">
        <f t="shared" si="142"/>
        <v>623251</v>
      </c>
      <c r="R4608">
        <f t="shared" si="141"/>
        <v>5.4552660164203504</v>
      </c>
      <c r="U4608">
        <v>64</v>
      </c>
      <c r="V4608">
        <v>0</v>
      </c>
      <c r="W4608">
        <v>152</v>
      </c>
      <c r="X4608">
        <v>62</v>
      </c>
      <c r="Y4608">
        <v>50.7</v>
      </c>
      <c r="Z4608">
        <v>35.200000000000003</v>
      </c>
      <c r="AA4608">
        <v>66.2</v>
      </c>
    </row>
    <row r="4609" spans="1:27" x14ac:dyDescent="0.25">
      <c r="A4609" t="s">
        <v>271</v>
      </c>
      <c r="B4609" t="s">
        <v>222</v>
      </c>
      <c r="C4609" s="76">
        <v>43943</v>
      </c>
      <c r="D4609">
        <v>558</v>
      </c>
      <c r="E4609">
        <v>0</v>
      </c>
      <c r="F4609">
        <v>1198</v>
      </c>
      <c r="G4609">
        <v>572</v>
      </c>
      <c r="H4609">
        <v>49.4</v>
      </c>
      <c r="I4609">
        <v>39.5</v>
      </c>
      <c r="J4609">
        <v>59.2</v>
      </c>
      <c r="K4609">
        <v>28</v>
      </c>
      <c r="L4609">
        <v>0</v>
      </c>
      <c r="M4609">
        <v>61</v>
      </c>
      <c r="N4609">
        <v>2.5</v>
      </c>
      <c r="O4609">
        <v>1.9</v>
      </c>
      <c r="P4609">
        <v>3</v>
      </c>
      <c r="Q4609">
        <f t="shared" si="142"/>
        <v>623251</v>
      </c>
      <c r="R4609">
        <f t="shared" si="141"/>
        <v>4.4925720135226417</v>
      </c>
      <c r="U4609">
        <v>68</v>
      </c>
      <c r="V4609">
        <v>0</v>
      </c>
      <c r="W4609">
        <v>157</v>
      </c>
      <c r="X4609">
        <v>58</v>
      </c>
      <c r="Y4609">
        <v>53.9</v>
      </c>
      <c r="Z4609">
        <v>44.1</v>
      </c>
      <c r="AA4609">
        <v>63.7</v>
      </c>
    </row>
    <row r="4610" spans="1:27" x14ac:dyDescent="0.25">
      <c r="A4610" t="s">
        <v>271</v>
      </c>
      <c r="B4610" t="s">
        <v>222</v>
      </c>
      <c r="C4610" s="76">
        <v>43944</v>
      </c>
      <c r="D4610">
        <v>549</v>
      </c>
      <c r="E4610">
        <v>0</v>
      </c>
      <c r="F4610">
        <v>1182</v>
      </c>
      <c r="G4610">
        <v>581</v>
      </c>
      <c r="H4610">
        <v>48.6</v>
      </c>
      <c r="I4610">
        <v>40.1</v>
      </c>
      <c r="J4610">
        <v>57.1</v>
      </c>
      <c r="K4610">
        <v>33</v>
      </c>
      <c r="L4610">
        <v>0</v>
      </c>
      <c r="M4610">
        <v>66</v>
      </c>
      <c r="N4610">
        <v>2.9</v>
      </c>
      <c r="O4610">
        <v>1.6</v>
      </c>
      <c r="P4610">
        <v>4.2</v>
      </c>
      <c r="Q4610">
        <f t="shared" si="142"/>
        <v>623251</v>
      </c>
      <c r="R4610">
        <f t="shared" si="141"/>
        <v>5.2948170159373991</v>
      </c>
      <c r="U4610">
        <v>61</v>
      </c>
      <c r="V4610">
        <v>0</v>
      </c>
      <c r="W4610">
        <v>145</v>
      </c>
      <c r="X4610">
        <v>65</v>
      </c>
      <c r="Y4610">
        <v>48.5</v>
      </c>
      <c r="Z4610">
        <v>37.299999999999997</v>
      </c>
      <c r="AA4610">
        <v>59.6</v>
      </c>
    </row>
    <row r="4611" spans="1:27" x14ac:dyDescent="0.25">
      <c r="A4611" t="s">
        <v>271</v>
      </c>
      <c r="B4611" t="s">
        <v>222</v>
      </c>
      <c r="C4611" s="76">
        <v>43945</v>
      </c>
      <c r="D4611">
        <v>523</v>
      </c>
      <c r="E4611">
        <v>0</v>
      </c>
      <c r="F4611">
        <v>1118</v>
      </c>
      <c r="G4611">
        <v>605</v>
      </c>
      <c r="H4611">
        <v>46.4</v>
      </c>
      <c r="I4611">
        <v>38.200000000000003</v>
      </c>
      <c r="J4611">
        <v>54.5</v>
      </c>
      <c r="K4611">
        <v>20</v>
      </c>
      <c r="L4611">
        <v>0</v>
      </c>
      <c r="M4611">
        <v>40</v>
      </c>
      <c r="N4611">
        <v>1.7</v>
      </c>
      <c r="O4611">
        <v>0.3</v>
      </c>
      <c r="P4611">
        <v>3.2</v>
      </c>
      <c r="Q4611">
        <f t="shared" si="142"/>
        <v>623251</v>
      </c>
      <c r="R4611">
        <f t="shared" si="141"/>
        <v>3.2089800096590295</v>
      </c>
      <c r="U4611">
        <v>55</v>
      </c>
      <c r="V4611">
        <v>0</v>
      </c>
      <c r="W4611">
        <v>123</v>
      </c>
      <c r="X4611">
        <v>70</v>
      </c>
      <c r="Y4611">
        <v>43.9</v>
      </c>
      <c r="Z4611">
        <v>35.5</v>
      </c>
      <c r="AA4611">
        <v>52.2</v>
      </c>
    </row>
    <row r="4612" spans="1:27" x14ac:dyDescent="0.25">
      <c r="A4612" t="s">
        <v>271</v>
      </c>
      <c r="B4612" t="s">
        <v>222</v>
      </c>
      <c r="C4612" s="76">
        <v>43946</v>
      </c>
      <c r="D4612">
        <v>531</v>
      </c>
      <c r="E4612">
        <v>0</v>
      </c>
      <c r="F4612">
        <v>1150</v>
      </c>
      <c r="G4612">
        <v>599</v>
      </c>
      <c r="H4612">
        <v>47</v>
      </c>
      <c r="I4612">
        <v>38.299999999999997</v>
      </c>
      <c r="J4612">
        <v>55.8</v>
      </c>
      <c r="K4612">
        <v>24</v>
      </c>
      <c r="L4612">
        <v>2</v>
      </c>
      <c r="M4612">
        <v>46</v>
      </c>
      <c r="N4612">
        <v>2.1</v>
      </c>
      <c r="O4612">
        <v>1.2</v>
      </c>
      <c r="P4612">
        <v>3</v>
      </c>
      <c r="Q4612">
        <f t="shared" si="142"/>
        <v>623251</v>
      </c>
      <c r="R4612">
        <f t="shared" si="141"/>
        <v>3.8507760115908356</v>
      </c>
      <c r="U4612">
        <v>60</v>
      </c>
      <c r="V4612">
        <v>0</v>
      </c>
      <c r="W4612">
        <v>141</v>
      </c>
      <c r="X4612">
        <v>66</v>
      </c>
      <c r="Y4612">
        <v>47.6</v>
      </c>
      <c r="Z4612">
        <v>37.1</v>
      </c>
      <c r="AA4612">
        <v>58</v>
      </c>
    </row>
    <row r="4613" spans="1:27" x14ac:dyDescent="0.25">
      <c r="A4613" t="s">
        <v>271</v>
      </c>
      <c r="B4613" t="s">
        <v>222</v>
      </c>
      <c r="C4613" s="76">
        <v>43947</v>
      </c>
      <c r="D4613">
        <v>539</v>
      </c>
      <c r="E4613">
        <v>0</v>
      </c>
      <c r="F4613">
        <v>1158</v>
      </c>
      <c r="G4613">
        <v>580</v>
      </c>
      <c r="H4613">
        <v>48.2</v>
      </c>
      <c r="I4613">
        <v>40.799999999999997</v>
      </c>
      <c r="J4613">
        <v>55.6</v>
      </c>
      <c r="K4613">
        <v>21</v>
      </c>
      <c r="L4613">
        <v>0</v>
      </c>
      <c r="M4613">
        <v>42</v>
      </c>
      <c r="N4613">
        <v>1.8</v>
      </c>
      <c r="O4613">
        <v>0.9</v>
      </c>
      <c r="P4613">
        <v>2.8</v>
      </c>
      <c r="Q4613">
        <f t="shared" si="142"/>
        <v>623251</v>
      </c>
      <c r="R4613">
        <f t="shared" ref="R4613:R4676" si="143">K4613/(Q4613)*100000</f>
        <v>3.3694290101419813</v>
      </c>
      <c r="U4613">
        <v>59</v>
      </c>
      <c r="V4613">
        <v>0</v>
      </c>
      <c r="W4613">
        <v>136</v>
      </c>
      <c r="X4613">
        <v>69</v>
      </c>
      <c r="Y4613">
        <v>46.2</v>
      </c>
      <c r="Z4613">
        <v>36.6</v>
      </c>
      <c r="AA4613">
        <v>55.7</v>
      </c>
    </row>
    <row r="4614" spans="1:27" x14ac:dyDescent="0.25">
      <c r="A4614" t="s">
        <v>271</v>
      </c>
      <c r="B4614" t="s">
        <v>222</v>
      </c>
      <c r="C4614" s="76">
        <v>43948</v>
      </c>
      <c r="D4614">
        <v>536</v>
      </c>
      <c r="E4614">
        <v>0</v>
      </c>
      <c r="F4614">
        <v>1166</v>
      </c>
      <c r="G4614">
        <v>568</v>
      </c>
      <c r="H4614">
        <v>48.5</v>
      </c>
      <c r="I4614">
        <v>39.799999999999997</v>
      </c>
      <c r="J4614">
        <v>57.3</v>
      </c>
      <c r="K4614">
        <v>26</v>
      </c>
      <c r="L4614">
        <v>5</v>
      </c>
      <c r="M4614">
        <v>46</v>
      </c>
      <c r="N4614">
        <v>2.2999999999999998</v>
      </c>
      <c r="O4614">
        <v>0.7</v>
      </c>
      <c r="P4614">
        <v>3.9</v>
      </c>
      <c r="Q4614">
        <f t="shared" si="142"/>
        <v>623251</v>
      </c>
      <c r="R4614">
        <f t="shared" si="143"/>
        <v>4.1716740125567382</v>
      </c>
      <c r="U4614">
        <v>61</v>
      </c>
      <c r="V4614">
        <v>0</v>
      </c>
      <c r="W4614">
        <v>145</v>
      </c>
      <c r="X4614">
        <v>64</v>
      </c>
      <c r="Y4614">
        <v>48.8</v>
      </c>
      <c r="Z4614">
        <v>32.6</v>
      </c>
      <c r="AA4614">
        <v>65.099999999999994</v>
      </c>
    </row>
    <row r="4615" spans="1:27" x14ac:dyDescent="0.25">
      <c r="A4615" t="s">
        <v>271</v>
      </c>
      <c r="B4615" t="s">
        <v>222</v>
      </c>
      <c r="C4615" s="76">
        <v>43949</v>
      </c>
      <c r="D4615">
        <v>634</v>
      </c>
      <c r="E4615">
        <v>4</v>
      </c>
      <c r="F4615">
        <v>1263</v>
      </c>
      <c r="G4615">
        <v>616</v>
      </c>
      <c r="H4615">
        <v>50.7</v>
      </c>
      <c r="I4615">
        <v>42.4</v>
      </c>
      <c r="J4615">
        <v>58.9</v>
      </c>
      <c r="K4615">
        <v>24</v>
      </c>
      <c r="L4615">
        <v>2</v>
      </c>
      <c r="M4615">
        <v>45</v>
      </c>
      <c r="N4615">
        <v>1.9</v>
      </c>
      <c r="O4615">
        <v>0.5</v>
      </c>
      <c r="P4615">
        <v>3.3</v>
      </c>
      <c r="Q4615">
        <f t="shared" si="142"/>
        <v>623251</v>
      </c>
      <c r="R4615">
        <f t="shared" si="143"/>
        <v>3.8507760115908356</v>
      </c>
      <c r="U4615">
        <v>65</v>
      </c>
      <c r="V4615">
        <v>0</v>
      </c>
      <c r="W4615">
        <v>146</v>
      </c>
      <c r="X4615">
        <v>110</v>
      </c>
      <c r="Y4615">
        <v>37</v>
      </c>
      <c r="Z4615">
        <v>13.1</v>
      </c>
      <c r="AA4615">
        <v>60.9</v>
      </c>
    </row>
    <row r="4616" spans="1:27" x14ac:dyDescent="0.25">
      <c r="A4616" t="s">
        <v>271</v>
      </c>
      <c r="B4616" t="s">
        <v>222</v>
      </c>
      <c r="C4616" s="76">
        <v>43950</v>
      </c>
      <c r="D4616">
        <v>651</v>
      </c>
      <c r="E4616">
        <v>0</v>
      </c>
      <c r="F4616">
        <v>1321</v>
      </c>
      <c r="G4616">
        <v>605</v>
      </c>
      <c r="H4616">
        <v>51.8</v>
      </c>
      <c r="I4616">
        <v>40</v>
      </c>
      <c r="J4616">
        <v>63.7</v>
      </c>
      <c r="K4616">
        <v>19</v>
      </c>
      <c r="L4616">
        <v>0</v>
      </c>
      <c r="M4616">
        <v>38</v>
      </c>
      <c r="N4616">
        <v>1.5</v>
      </c>
      <c r="O4616">
        <v>0.7</v>
      </c>
      <c r="P4616">
        <v>2.2999999999999998</v>
      </c>
      <c r="Q4616">
        <f t="shared" si="142"/>
        <v>623251</v>
      </c>
      <c r="R4616">
        <f t="shared" si="143"/>
        <v>3.0485310091760782</v>
      </c>
      <c r="U4616">
        <v>68</v>
      </c>
      <c r="V4616">
        <v>0</v>
      </c>
      <c r="W4616">
        <v>155</v>
      </c>
      <c r="X4616">
        <v>76</v>
      </c>
      <c r="Y4616">
        <v>47.2</v>
      </c>
      <c r="Z4616">
        <v>25</v>
      </c>
      <c r="AA4616">
        <v>69.5</v>
      </c>
    </row>
    <row r="4617" spans="1:27" x14ac:dyDescent="0.25">
      <c r="A4617" t="s">
        <v>271</v>
      </c>
      <c r="B4617" t="s">
        <v>222</v>
      </c>
      <c r="C4617" s="76">
        <v>43951</v>
      </c>
      <c r="D4617">
        <v>652</v>
      </c>
      <c r="E4617">
        <v>0</v>
      </c>
      <c r="F4617">
        <v>1318</v>
      </c>
      <c r="G4617">
        <v>600</v>
      </c>
      <c r="H4617">
        <v>52.1</v>
      </c>
      <c r="I4617">
        <v>41.5</v>
      </c>
      <c r="J4617">
        <v>62.7</v>
      </c>
      <c r="K4617">
        <v>19</v>
      </c>
      <c r="L4617">
        <v>0</v>
      </c>
      <c r="M4617">
        <v>39</v>
      </c>
      <c r="N4617">
        <v>1.5</v>
      </c>
      <c r="O4617">
        <v>0.6</v>
      </c>
      <c r="P4617">
        <v>2.4</v>
      </c>
      <c r="Q4617">
        <f t="shared" si="142"/>
        <v>623251</v>
      </c>
      <c r="R4617">
        <f t="shared" si="143"/>
        <v>3.0485310091760782</v>
      </c>
      <c r="U4617">
        <v>65</v>
      </c>
      <c r="V4617">
        <v>0</v>
      </c>
      <c r="W4617">
        <v>145</v>
      </c>
      <c r="X4617">
        <v>79</v>
      </c>
      <c r="Y4617">
        <v>45.2</v>
      </c>
      <c r="Z4617">
        <v>24.2</v>
      </c>
      <c r="AA4617">
        <v>66.2</v>
      </c>
    </row>
    <row r="4618" spans="1:27" x14ac:dyDescent="0.25">
      <c r="A4618" t="s">
        <v>271</v>
      </c>
      <c r="B4618" t="s">
        <v>222</v>
      </c>
      <c r="C4618" s="76">
        <v>43952</v>
      </c>
      <c r="D4618">
        <v>636</v>
      </c>
      <c r="E4618">
        <v>0</v>
      </c>
      <c r="F4618">
        <v>1303</v>
      </c>
      <c r="G4618">
        <v>616</v>
      </c>
      <c r="H4618">
        <v>50.8</v>
      </c>
      <c r="I4618">
        <v>39.799999999999997</v>
      </c>
      <c r="J4618">
        <v>61.8</v>
      </c>
      <c r="K4618">
        <v>19</v>
      </c>
      <c r="L4618">
        <v>1</v>
      </c>
      <c r="M4618">
        <v>37</v>
      </c>
      <c r="N4618">
        <v>1.5</v>
      </c>
      <c r="O4618">
        <v>0.7</v>
      </c>
      <c r="P4618">
        <v>2.2999999999999998</v>
      </c>
      <c r="Q4618">
        <f t="shared" si="142"/>
        <v>623251</v>
      </c>
      <c r="R4618">
        <f t="shared" si="143"/>
        <v>3.0485310091760782</v>
      </c>
      <c r="U4618">
        <v>62</v>
      </c>
      <c r="V4618">
        <v>0</v>
      </c>
      <c r="W4618">
        <v>140</v>
      </c>
      <c r="X4618">
        <v>84</v>
      </c>
      <c r="Y4618">
        <v>42.6</v>
      </c>
      <c r="Z4618">
        <v>24.3</v>
      </c>
      <c r="AA4618">
        <v>60.9</v>
      </c>
    </row>
    <row r="4619" spans="1:27" x14ac:dyDescent="0.25">
      <c r="A4619" t="s">
        <v>271</v>
      </c>
      <c r="B4619" t="s">
        <v>222</v>
      </c>
      <c r="C4619" s="76">
        <v>43953</v>
      </c>
      <c r="D4619">
        <v>643</v>
      </c>
      <c r="E4619">
        <v>0</v>
      </c>
      <c r="F4619">
        <v>1296</v>
      </c>
      <c r="G4619">
        <v>609</v>
      </c>
      <c r="H4619">
        <v>51.3</v>
      </c>
      <c r="I4619">
        <v>40.4</v>
      </c>
      <c r="J4619">
        <v>62.2</v>
      </c>
      <c r="K4619">
        <v>22</v>
      </c>
      <c r="L4619">
        <v>3</v>
      </c>
      <c r="M4619">
        <v>42</v>
      </c>
      <c r="N4619">
        <v>1.8</v>
      </c>
      <c r="O4619">
        <v>0.3</v>
      </c>
      <c r="P4619">
        <v>3.2</v>
      </c>
      <c r="Q4619">
        <f t="shared" si="142"/>
        <v>623251</v>
      </c>
      <c r="R4619">
        <f t="shared" si="143"/>
        <v>3.5298780106249326</v>
      </c>
      <c r="U4619">
        <v>69</v>
      </c>
      <c r="V4619">
        <v>0</v>
      </c>
      <c r="W4619">
        <v>154</v>
      </c>
      <c r="X4619">
        <v>75</v>
      </c>
      <c r="Y4619">
        <v>48</v>
      </c>
      <c r="Z4619">
        <v>28.1</v>
      </c>
      <c r="AA4619">
        <v>67.8</v>
      </c>
    </row>
    <row r="4620" spans="1:27" x14ac:dyDescent="0.25">
      <c r="A4620" t="s">
        <v>271</v>
      </c>
      <c r="B4620" t="s">
        <v>222</v>
      </c>
      <c r="C4620" s="76">
        <v>43954</v>
      </c>
      <c r="D4620">
        <v>600</v>
      </c>
      <c r="E4620">
        <v>0</v>
      </c>
      <c r="F4620">
        <v>1211</v>
      </c>
      <c r="G4620">
        <v>652</v>
      </c>
      <c r="H4620">
        <v>48</v>
      </c>
      <c r="I4620">
        <v>37.9</v>
      </c>
      <c r="J4620">
        <v>58</v>
      </c>
      <c r="K4620">
        <v>20</v>
      </c>
      <c r="L4620">
        <v>2</v>
      </c>
      <c r="M4620">
        <v>39</v>
      </c>
      <c r="N4620">
        <v>1.6</v>
      </c>
      <c r="O4620">
        <v>0.2</v>
      </c>
      <c r="P4620">
        <v>3</v>
      </c>
      <c r="Q4620">
        <f t="shared" si="142"/>
        <v>623251</v>
      </c>
      <c r="R4620">
        <f t="shared" si="143"/>
        <v>3.2089800096590295</v>
      </c>
      <c r="U4620">
        <v>61</v>
      </c>
      <c r="V4620">
        <v>0</v>
      </c>
      <c r="W4620">
        <v>139</v>
      </c>
      <c r="X4620">
        <v>83</v>
      </c>
      <c r="Y4620">
        <v>42.5</v>
      </c>
      <c r="Z4620">
        <v>25.4</v>
      </c>
      <c r="AA4620">
        <v>59.6</v>
      </c>
    </row>
    <row r="4621" spans="1:27" x14ac:dyDescent="0.25">
      <c r="A4621" t="s">
        <v>271</v>
      </c>
      <c r="B4621" t="s">
        <v>222</v>
      </c>
      <c r="C4621" s="76">
        <v>43955</v>
      </c>
      <c r="D4621">
        <v>610</v>
      </c>
      <c r="E4621">
        <v>0</v>
      </c>
      <c r="F4621">
        <v>1223</v>
      </c>
      <c r="G4621">
        <v>642</v>
      </c>
      <c r="H4621">
        <v>48.7</v>
      </c>
      <c r="I4621">
        <v>40.799999999999997</v>
      </c>
      <c r="J4621">
        <v>56.6</v>
      </c>
      <c r="K4621">
        <v>18</v>
      </c>
      <c r="L4621">
        <v>3</v>
      </c>
      <c r="M4621">
        <v>33</v>
      </c>
      <c r="N4621">
        <v>1.4</v>
      </c>
      <c r="O4621">
        <v>0.4</v>
      </c>
      <c r="P4621">
        <v>2.5</v>
      </c>
      <c r="Q4621">
        <f t="shared" si="142"/>
        <v>623251</v>
      </c>
      <c r="R4621">
        <f t="shared" si="143"/>
        <v>2.8880820086931265</v>
      </c>
      <c r="U4621">
        <v>72</v>
      </c>
      <c r="V4621">
        <v>0</v>
      </c>
      <c r="W4621">
        <v>168</v>
      </c>
      <c r="X4621">
        <v>73</v>
      </c>
      <c r="Y4621">
        <v>49.6</v>
      </c>
      <c r="Z4621">
        <v>24.7</v>
      </c>
      <c r="AA4621">
        <v>74.599999999999994</v>
      </c>
    </row>
    <row r="4622" spans="1:27" x14ac:dyDescent="0.25">
      <c r="A4622" t="s">
        <v>271</v>
      </c>
      <c r="B4622" t="s">
        <v>222</v>
      </c>
      <c r="C4622" s="76">
        <v>43956</v>
      </c>
      <c r="D4622">
        <v>642</v>
      </c>
      <c r="E4622">
        <v>0</v>
      </c>
      <c r="F4622">
        <v>1290</v>
      </c>
      <c r="G4622">
        <v>610</v>
      </c>
      <c r="H4622">
        <v>51.3</v>
      </c>
      <c r="I4622">
        <v>41.6</v>
      </c>
      <c r="J4622">
        <v>60.9</v>
      </c>
      <c r="K4622">
        <v>19</v>
      </c>
      <c r="L4622">
        <v>4</v>
      </c>
      <c r="M4622">
        <v>34</v>
      </c>
      <c r="N4622">
        <v>1.6</v>
      </c>
      <c r="O4622">
        <v>0.3</v>
      </c>
      <c r="P4622">
        <v>2.8</v>
      </c>
      <c r="Q4622">
        <f t="shared" si="142"/>
        <v>623251</v>
      </c>
      <c r="R4622">
        <f t="shared" si="143"/>
        <v>3.0485310091760782</v>
      </c>
      <c r="U4622">
        <v>84</v>
      </c>
      <c r="V4622">
        <v>0</v>
      </c>
      <c r="W4622">
        <v>186</v>
      </c>
      <c r="X4622">
        <v>61</v>
      </c>
      <c r="Y4622">
        <v>57.8</v>
      </c>
      <c r="Z4622">
        <v>34.200000000000003</v>
      </c>
      <c r="AA4622">
        <v>81.400000000000006</v>
      </c>
    </row>
    <row r="4623" spans="1:27" x14ac:dyDescent="0.25">
      <c r="A4623" t="s">
        <v>271</v>
      </c>
      <c r="B4623" t="s">
        <v>222</v>
      </c>
      <c r="C4623" s="76">
        <v>43957</v>
      </c>
      <c r="D4623">
        <v>667</v>
      </c>
      <c r="E4623">
        <v>0</v>
      </c>
      <c r="F4623">
        <v>1350</v>
      </c>
      <c r="G4623">
        <v>585</v>
      </c>
      <c r="H4623">
        <v>53.3</v>
      </c>
      <c r="I4623">
        <v>42.9</v>
      </c>
      <c r="J4623">
        <v>63.7</v>
      </c>
      <c r="K4623">
        <v>13</v>
      </c>
      <c r="L4623">
        <v>1</v>
      </c>
      <c r="M4623">
        <v>24</v>
      </c>
      <c r="N4623">
        <v>1</v>
      </c>
      <c r="O4623">
        <v>0.2</v>
      </c>
      <c r="P4623">
        <v>1.8</v>
      </c>
      <c r="Q4623">
        <f t="shared" si="142"/>
        <v>623251</v>
      </c>
      <c r="R4623">
        <f t="shared" si="143"/>
        <v>2.0858370062783691</v>
      </c>
      <c r="U4623">
        <v>77</v>
      </c>
      <c r="V4623">
        <v>0</v>
      </c>
      <c r="W4623">
        <v>172</v>
      </c>
      <c r="X4623">
        <v>68</v>
      </c>
      <c r="Y4623">
        <v>53.1</v>
      </c>
      <c r="Z4623">
        <v>32</v>
      </c>
      <c r="AA4623">
        <v>74.2</v>
      </c>
    </row>
    <row r="4624" spans="1:27" x14ac:dyDescent="0.25">
      <c r="A4624" t="s">
        <v>271</v>
      </c>
      <c r="B4624" t="s">
        <v>222</v>
      </c>
      <c r="C4624" s="76">
        <v>43958</v>
      </c>
      <c r="D4624">
        <v>624</v>
      </c>
      <c r="E4624">
        <v>0</v>
      </c>
      <c r="F4624">
        <v>1268</v>
      </c>
      <c r="G4624">
        <v>628</v>
      </c>
      <c r="H4624">
        <v>49.8</v>
      </c>
      <c r="I4624">
        <v>40.9</v>
      </c>
      <c r="J4624">
        <v>58.7</v>
      </c>
      <c r="K4624">
        <v>14</v>
      </c>
      <c r="L4624">
        <v>1</v>
      </c>
      <c r="M4624">
        <v>26</v>
      </c>
      <c r="N4624">
        <v>1.1000000000000001</v>
      </c>
      <c r="O4624">
        <v>0.4</v>
      </c>
      <c r="P4624">
        <v>1.8</v>
      </c>
      <c r="Q4624">
        <f t="shared" si="142"/>
        <v>623251</v>
      </c>
      <c r="R4624">
        <f t="shared" si="143"/>
        <v>2.2462860067613208</v>
      </c>
      <c r="U4624">
        <v>75</v>
      </c>
      <c r="V4624">
        <v>0</v>
      </c>
      <c r="W4624">
        <v>169</v>
      </c>
      <c r="X4624">
        <v>70</v>
      </c>
      <c r="Y4624">
        <v>51.8</v>
      </c>
      <c r="Z4624">
        <v>31.1</v>
      </c>
      <c r="AA4624">
        <v>72.400000000000006</v>
      </c>
    </row>
    <row r="4625" spans="1:27" x14ac:dyDescent="0.25">
      <c r="A4625" t="s">
        <v>271</v>
      </c>
      <c r="B4625" t="s">
        <v>222</v>
      </c>
      <c r="C4625" s="76">
        <v>43959</v>
      </c>
      <c r="D4625">
        <v>649</v>
      </c>
      <c r="E4625">
        <v>0</v>
      </c>
      <c r="F4625">
        <v>1309</v>
      </c>
      <c r="G4625">
        <v>603</v>
      </c>
      <c r="H4625">
        <v>51.9</v>
      </c>
      <c r="I4625">
        <v>43.6</v>
      </c>
      <c r="J4625">
        <v>60.1</v>
      </c>
      <c r="K4625">
        <v>13</v>
      </c>
      <c r="L4625">
        <v>0</v>
      </c>
      <c r="M4625">
        <v>27</v>
      </c>
      <c r="N4625">
        <v>1</v>
      </c>
      <c r="O4625">
        <v>0.1</v>
      </c>
      <c r="P4625">
        <v>2</v>
      </c>
      <c r="Q4625">
        <f t="shared" si="142"/>
        <v>623251</v>
      </c>
      <c r="R4625">
        <f t="shared" si="143"/>
        <v>2.0858370062783691</v>
      </c>
      <c r="U4625">
        <v>71</v>
      </c>
      <c r="V4625">
        <v>0</v>
      </c>
      <c r="W4625">
        <v>161</v>
      </c>
      <c r="X4625">
        <v>74</v>
      </c>
      <c r="Y4625">
        <v>49.1</v>
      </c>
      <c r="Z4625">
        <v>28.8</v>
      </c>
      <c r="AA4625">
        <v>69.3</v>
      </c>
    </row>
    <row r="4626" spans="1:27" x14ac:dyDescent="0.25">
      <c r="A4626" t="s">
        <v>271</v>
      </c>
      <c r="B4626" t="s">
        <v>222</v>
      </c>
      <c r="C4626" s="76">
        <v>43960</v>
      </c>
      <c r="D4626">
        <v>620</v>
      </c>
      <c r="E4626">
        <v>0</v>
      </c>
      <c r="F4626">
        <v>1275</v>
      </c>
      <c r="G4626">
        <v>624</v>
      </c>
      <c r="H4626">
        <v>49.8</v>
      </c>
      <c r="I4626">
        <v>39.5</v>
      </c>
      <c r="J4626">
        <v>60.1</v>
      </c>
      <c r="K4626">
        <v>18</v>
      </c>
      <c r="L4626">
        <v>0</v>
      </c>
      <c r="M4626">
        <v>36</v>
      </c>
      <c r="N4626">
        <v>1.4</v>
      </c>
      <c r="O4626">
        <v>0.4</v>
      </c>
      <c r="P4626">
        <v>2.4</v>
      </c>
      <c r="Q4626">
        <f t="shared" si="142"/>
        <v>623251</v>
      </c>
      <c r="R4626">
        <f t="shared" si="143"/>
        <v>2.8880820086931265</v>
      </c>
      <c r="U4626">
        <v>71</v>
      </c>
      <c r="V4626">
        <v>0</v>
      </c>
      <c r="W4626">
        <v>164</v>
      </c>
      <c r="X4626">
        <v>74</v>
      </c>
      <c r="Y4626">
        <v>49.1</v>
      </c>
      <c r="Z4626">
        <v>28.7</v>
      </c>
      <c r="AA4626">
        <v>69.400000000000006</v>
      </c>
    </row>
    <row r="4627" spans="1:27" x14ac:dyDescent="0.25">
      <c r="A4627" t="s">
        <v>271</v>
      </c>
      <c r="B4627" t="s">
        <v>222</v>
      </c>
      <c r="C4627" s="76">
        <v>43961</v>
      </c>
      <c r="D4627">
        <v>602</v>
      </c>
      <c r="E4627">
        <v>0</v>
      </c>
      <c r="F4627">
        <v>1220</v>
      </c>
      <c r="G4627">
        <v>642</v>
      </c>
      <c r="H4627">
        <v>48.4</v>
      </c>
      <c r="I4627">
        <v>38.799999999999997</v>
      </c>
      <c r="J4627">
        <v>58</v>
      </c>
      <c r="K4627">
        <v>17</v>
      </c>
      <c r="L4627">
        <v>0</v>
      </c>
      <c r="M4627">
        <v>38</v>
      </c>
      <c r="N4627">
        <v>1.4</v>
      </c>
      <c r="O4627">
        <v>0.1</v>
      </c>
      <c r="P4627">
        <v>2.7</v>
      </c>
      <c r="Q4627">
        <f t="shared" si="142"/>
        <v>623251</v>
      </c>
      <c r="R4627">
        <f t="shared" si="143"/>
        <v>2.7276330082101752</v>
      </c>
      <c r="U4627">
        <v>78</v>
      </c>
      <c r="V4627">
        <v>0</v>
      </c>
      <c r="W4627">
        <v>177</v>
      </c>
      <c r="X4627">
        <v>67</v>
      </c>
      <c r="Y4627">
        <v>53.8</v>
      </c>
      <c r="Z4627">
        <v>33</v>
      </c>
      <c r="AA4627">
        <v>74.599999999999994</v>
      </c>
    </row>
    <row r="4628" spans="1:27" x14ac:dyDescent="0.25">
      <c r="A4628" t="s">
        <v>271</v>
      </c>
      <c r="B4628" t="s">
        <v>222</v>
      </c>
      <c r="C4628" s="76">
        <v>43962</v>
      </c>
      <c r="D4628">
        <v>627</v>
      </c>
      <c r="E4628">
        <v>0</v>
      </c>
      <c r="F4628">
        <v>1257</v>
      </c>
      <c r="G4628">
        <v>617</v>
      </c>
      <c r="H4628">
        <v>50.4</v>
      </c>
      <c r="I4628">
        <v>39.1</v>
      </c>
      <c r="J4628">
        <v>61.7</v>
      </c>
      <c r="K4628">
        <v>16</v>
      </c>
      <c r="L4628">
        <v>0</v>
      </c>
      <c r="M4628">
        <v>35</v>
      </c>
      <c r="N4628">
        <v>1.3</v>
      </c>
      <c r="O4628">
        <v>0.5</v>
      </c>
      <c r="P4628">
        <v>2</v>
      </c>
      <c r="Q4628">
        <f t="shared" si="142"/>
        <v>623251</v>
      </c>
      <c r="R4628">
        <f t="shared" si="143"/>
        <v>2.5671840077272239</v>
      </c>
      <c r="U4628">
        <v>76</v>
      </c>
      <c r="V4628">
        <v>0</v>
      </c>
      <c r="W4628">
        <v>176</v>
      </c>
      <c r="X4628">
        <v>68</v>
      </c>
      <c r="Y4628">
        <v>52.7</v>
      </c>
      <c r="Z4628">
        <v>21.9</v>
      </c>
      <c r="AA4628">
        <v>83.4</v>
      </c>
    </row>
    <row r="4629" spans="1:27" x14ac:dyDescent="0.25">
      <c r="A4629" t="s">
        <v>271</v>
      </c>
      <c r="B4629" t="s">
        <v>222</v>
      </c>
      <c r="C4629" s="76">
        <v>43963</v>
      </c>
      <c r="D4629">
        <v>676</v>
      </c>
      <c r="E4629">
        <v>0</v>
      </c>
      <c r="F4629">
        <v>1354</v>
      </c>
      <c r="G4629">
        <v>584</v>
      </c>
      <c r="H4629">
        <v>53.7</v>
      </c>
      <c r="I4629">
        <v>45.8</v>
      </c>
      <c r="J4629">
        <v>61.5</v>
      </c>
      <c r="K4629">
        <v>14</v>
      </c>
      <c r="L4629">
        <v>0</v>
      </c>
      <c r="M4629">
        <v>27</v>
      </c>
      <c r="N4629">
        <v>1.1000000000000001</v>
      </c>
      <c r="O4629">
        <v>0.6</v>
      </c>
      <c r="P4629">
        <v>1.6</v>
      </c>
      <c r="Q4629">
        <f t="shared" si="142"/>
        <v>623251</v>
      </c>
      <c r="R4629">
        <f t="shared" si="143"/>
        <v>2.2462860067613208</v>
      </c>
      <c r="U4629">
        <v>76</v>
      </c>
      <c r="V4629">
        <v>0</v>
      </c>
      <c r="W4629">
        <v>168</v>
      </c>
      <c r="X4629">
        <v>68</v>
      </c>
      <c r="Y4629">
        <v>52.7</v>
      </c>
      <c r="Z4629">
        <v>36.9</v>
      </c>
      <c r="AA4629">
        <v>68.400000000000006</v>
      </c>
    </row>
    <row r="4630" spans="1:27" x14ac:dyDescent="0.25">
      <c r="A4630" t="s">
        <v>271</v>
      </c>
      <c r="B4630" t="s">
        <v>222</v>
      </c>
      <c r="C4630" s="76">
        <v>43964</v>
      </c>
      <c r="D4630">
        <v>695</v>
      </c>
      <c r="E4630">
        <v>0</v>
      </c>
      <c r="F4630">
        <v>1414</v>
      </c>
      <c r="G4630">
        <v>564</v>
      </c>
      <c r="H4630">
        <v>55.2</v>
      </c>
      <c r="I4630">
        <v>46.4</v>
      </c>
      <c r="J4630">
        <v>64</v>
      </c>
      <c r="K4630">
        <v>12</v>
      </c>
      <c r="L4630">
        <v>0</v>
      </c>
      <c r="M4630">
        <v>25</v>
      </c>
      <c r="N4630">
        <v>1</v>
      </c>
      <c r="O4630">
        <v>0.2</v>
      </c>
      <c r="P4630">
        <v>1.8</v>
      </c>
      <c r="Q4630">
        <f t="shared" si="142"/>
        <v>623251</v>
      </c>
      <c r="R4630">
        <f t="shared" si="143"/>
        <v>1.9253880057954178</v>
      </c>
      <c r="U4630">
        <v>76</v>
      </c>
      <c r="V4630">
        <v>0</v>
      </c>
      <c r="W4630">
        <v>170</v>
      </c>
      <c r="X4630">
        <v>68</v>
      </c>
      <c r="Y4630">
        <v>52.9</v>
      </c>
      <c r="Z4630">
        <v>30.4</v>
      </c>
      <c r="AA4630">
        <v>75.400000000000006</v>
      </c>
    </row>
    <row r="4631" spans="1:27" x14ac:dyDescent="0.25">
      <c r="A4631" t="s">
        <v>271</v>
      </c>
      <c r="B4631" t="s">
        <v>222</v>
      </c>
      <c r="C4631" s="76">
        <v>43965</v>
      </c>
      <c r="D4631">
        <v>697</v>
      </c>
      <c r="E4631">
        <v>0</v>
      </c>
      <c r="F4631">
        <v>1414</v>
      </c>
      <c r="G4631">
        <v>562</v>
      </c>
      <c r="H4631">
        <v>55.4</v>
      </c>
      <c r="I4631">
        <v>37.700000000000003</v>
      </c>
      <c r="J4631">
        <v>73</v>
      </c>
      <c r="K4631">
        <v>10</v>
      </c>
      <c r="L4631">
        <v>1</v>
      </c>
      <c r="M4631">
        <v>20</v>
      </c>
      <c r="N4631">
        <v>0.8</v>
      </c>
      <c r="O4631">
        <v>0.3</v>
      </c>
      <c r="P4631">
        <v>1.4</v>
      </c>
      <c r="Q4631">
        <f t="shared" si="142"/>
        <v>623251</v>
      </c>
      <c r="R4631">
        <f t="shared" si="143"/>
        <v>1.6044900048295148</v>
      </c>
      <c r="U4631">
        <v>78</v>
      </c>
      <c r="V4631">
        <v>0</v>
      </c>
      <c r="W4631">
        <v>182</v>
      </c>
      <c r="X4631">
        <v>66</v>
      </c>
      <c r="Y4631">
        <v>54.3</v>
      </c>
      <c r="Z4631">
        <v>28.8</v>
      </c>
      <c r="AA4631">
        <v>79.8</v>
      </c>
    </row>
    <row r="4632" spans="1:27" x14ac:dyDescent="0.25">
      <c r="A4632" t="s">
        <v>271</v>
      </c>
      <c r="B4632" t="s">
        <v>222</v>
      </c>
      <c r="C4632" s="76">
        <v>43966</v>
      </c>
      <c r="D4632">
        <v>678</v>
      </c>
      <c r="E4632">
        <v>0</v>
      </c>
      <c r="F4632">
        <v>1386</v>
      </c>
      <c r="G4632">
        <v>581</v>
      </c>
      <c r="H4632">
        <v>53.8</v>
      </c>
      <c r="I4632">
        <v>40.4</v>
      </c>
      <c r="J4632">
        <v>67.3</v>
      </c>
      <c r="K4632">
        <v>10</v>
      </c>
      <c r="L4632">
        <v>0</v>
      </c>
      <c r="M4632">
        <v>21</v>
      </c>
      <c r="N4632">
        <v>0.8</v>
      </c>
      <c r="O4632">
        <v>0.2</v>
      </c>
      <c r="P4632">
        <v>1.5</v>
      </c>
      <c r="Q4632">
        <f t="shared" si="142"/>
        <v>623251</v>
      </c>
      <c r="R4632">
        <f t="shared" si="143"/>
        <v>1.6044900048295148</v>
      </c>
      <c r="U4632">
        <v>76</v>
      </c>
      <c r="V4632">
        <v>0</v>
      </c>
      <c r="W4632">
        <v>171</v>
      </c>
      <c r="X4632">
        <v>69</v>
      </c>
      <c r="Y4632">
        <v>52.3</v>
      </c>
      <c r="Z4632">
        <v>31.7</v>
      </c>
      <c r="AA4632">
        <v>72.900000000000006</v>
      </c>
    </row>
    <row r="4633" spans="1:27" x14ac:dyDescent="0.25">
      <c r="A4633" t="s">
        <v>271</v>
      </c>
      <c r="B4633" t="s">
        <v>222</v>
      </c>
      <c r="C4633" s="76">
        <v>43967</v>
      </c>
      <c r="D4633">
        <v>655</v>
      </c>
      <c r="E4633">
        <v>0</v>
      </c>
      <c r="F4633">
        <v>1349</v>
      </c>
      <c r="G4633">
        <v>604</v>
      </c>
      <c r="H4633">
        <v>52</v>
      </c>
      <c r="I4633">
        <v>37.799999999999997</v>
      </c>
      <c r="J4633">
        <v>66.3</v>
      </c>
      <c r="K4633">
        <v>16</v>
      </c>
      <c r="L4633">
        <v>0</v>
      </c>
      <c r="M4633">
        <v>32</v>
      </c>
      <c r="N4633">
        <v>1.3</v>
      </c>
      <c r="O4633">
        <v>0.4</v>
      </c>
      <c r="P4633">
        <v>2.1</v>
      </c>
      <c r="Q4633">
        <f t="shared" si="142"/>
        <v>623251</v>
      </c>
      <c r="R4633">
        <f t="shared" si="143"/>
        <v>2.5671840077272239</v>
      </c>
      <c r="U4633">
        <v>88</v>
      </c>
      <c r="V4633">
        <v>0</v>
      </c>
      <c r="W4633">
        <v>195</v>
      </c>
      <c r="X4633">
        <v>56</v>
      </c>
      <c r="Y4633">
        <v>61.1</v>
      </c>
      <c r="Z4633">
        <v>29.5</v>
      </c>
      <c r="AA4633">
        <v>92.6</v>
      </c>
    </row>
    <row r="4634" spans="1:27" x14ac:dyDescent="0.25">
      <c r="A4634" t="s">
        <v>271</v>
      </c>
      <c r="B4634" t="s">
        <v>222</v>
      </c>
      <c r="C4634" s="76">
        <v>43968</v>
      </c>
      <c r="D4634">
        <v>653</v>
      </c>
      <c r="E4634">
        <v>0</v>
      </c>
      <c r="F4634">
        <v>1350</v>
      </c>
      <c r="G4634">
        <v>606</v>
      </c>
      <c r="H4634">
        <v>51.9</v>
      </c>
      <c r="I4634">
        <v>35.799999999999997</v>
      </c>
      <c r="J4634">
        <v>67.900000000000006</v>
      </c>
      <c r="K4634">
        <v>18</v>
      </c>
      <c r="L4634">
        <v>1</v>
      </c>
      <c r="M4634">
        <v>35</v>
      </c>
      <c r="N4634">
        <v>1.5</v>
      </c>
      <c r="O4634">
        <v>0.2</v>
      </c>
      <c r="P4634">
        <v>2.7</v>
      </c>
      <c r="Q4634">
        <f t="shared" si="142"/>
        <v>623251</v>
      </c>
      <c r="R4634">
        <f t="shared" si="143"/>
        <v>2.8880820086931265</v>
      </c>
      <c r="U4634">
        <v>78</v>
      </c>
      <c r="V4634">
        <v>0</v>
      </c>
      <c r="W4634">
        <v>173</v>
      </c>
      <c r="X4634">
        <v>67</v>
      </c>
      <c r="Y4634">
        <v>53.7</v>
      </c>
      <c r="Z4634">
        <v>33.700000000000003</v>
      </c>
      <c r="AA4634">
        <v>73.8</v>
      </c>
    </row>
    <row r="4635" spans="1:27" x14ac:dyDescent="0.25">
      <c r="A4635" t="s">
        <v>271</v>
      </c>
      <c r="B4635" t="s">
        <v>222</v>
      </c>
      <c r="C4635" s="76">
        <v>43969</v>
      </c>
      <c r="D4635">
        <v>658</v>
      </c>
      <c r="E4635">
        <v>2</v>
      </c>
      <c r="F4635">
        <v>1315</v>
      </c>
      <c r="G4635">
        <v>606</v>
      </c>
      <c r="H4635">
        <v>52.1</v>
      </c>
      <c r="I4635">
        <v>40.9</v>
      </c>
      <c r="J4635">
        <v>63.3</v>
      </c>
      <c r="K4635">
        <v>11</v>
      </c>
      <c r="L4635">
        <v>1</v>
      </c>
      <c r="M4635">
        <v>22</v>
      </c>
      <c r="N4635">
        <v>0.9</v>
      </c>
      <c r="O4635">
        <v>0.1</v>
      </c>
      <c r="P4635">
        <v>1.7</v>
      </c>
      <c r="Q4635">
        <f t="shared" si="142"/>
        <v>623251</v>
      </c>
      <c r="R4635">
        <f t="shared" si="143"/>
        <v>1.7649390053124663</v>
      </c>
      <c r="U4635">
        <v>75</v>
      </c>
      <c r="V4635">
        <v>0</v>
      </c>
      <c r="W4635">
        <v>170</v>
      </c>
      <c r="X4635">
        <v>72</v>
      </c>
      <c r="Y4635">
        <v>51.2</v>
      </c>
      <c r="Z4635">
        <v>32.200000000000003</v>
      </c>
      <c r="AA4635">
        <v>70.099999999999994</v>
      </c>
    </row>
    <row r="4636" spans="1:27" x14ac:dyDescent="0.25">
      <c r="A4636" t="s">
        <v>271</v>
      </c>
      <c r="B4636" t="s">
        <v>222</v>
      </c>
      <c r="C4636" s="76">
        <v>43970</v>
      </c>
      <c r="D4636">
        <v>681</v>
      </c>
      <c r="E4636">
        <v>0</v>
      </c>
      <c r="F4636">
        <v>1364</v>
      </c>
      <c r="G4636">
        <v>551</v>
      </c>
      <c r="H4636">
        <v>55.3</v>
      </c>
      <c r="I4636">
        <v>41.1</v>
      </c>
      <c r="J4636">
        <v>69.5</v>
      </c>
      <c r="K4636">
        <v>10</v>
      </c>
      <c r="L4636">
        <v>0</v>
      </c>
      <c r="M4636">
        <v>21</v>
      </c>
      <c r="N4636">
        <v>0.8</v>
      </c>
      <c r="O4636">
        <v>0.3</v>
      </c>
      <c r="P4636">
        <v>1.4</v>
      </c>
      <c r="Q4636">
        <f t="shared" si="142"/>
        <v>623251</v>
      </c>
      <c r="R4636">
        <f t="shared" si="143"/>
        <v>1.6044900048295148</v>
      </c>
      <c r="U4636">
        <v>83</v>
      </c>
      <c r="V4636">
        <v>0</v>
      </c>
      <c r="W4636">
        <v>185</v>
      </c>
      <c r="X4636">
        <v>64</v>
      </c>
      <c r="Y4636">
        <v>56.3</v>
      </c>
      <c r="Z4636">
        <v>37.5</v>
      </c>
      <c r="AA4636">
        <v>75.2</v>
      </c>
    </row>
    <row r="4637" spans="1:27" x14ac:dyDescent="0.25">
      <c r="A4637" t="s">
        <v>271</v>
      </c>
      <c r="B4637" t="s">
        <v>222</v>
      </c>
      <c r="C4637" s="76">
        <v>43971</v>
      </c>
      <c r="D4637">
        <v>687</v>
      </c>
      <c r="E4637">
        <v>0</v>
      </c>
      <c r="F4637">
        <v>1407</v>
      </c>
      <c r="G4637">
        <v>542</v>
      </c>
      <c r="H4637">
        <v>55.9</v>
      </c>
      <c r="I4637">
        <v>40</v>
      </c>
      <c r="J4637">
        <v>71.8</v>
      </c>
      <c r="K4637">
        <v>7</v>
      </c>
      <c r="L4637">
        <v>0</v>
      </c>
      <c r="M4637">
        <v>14</v>
      </c>
      <c r="N4637">
        <v>0.5</v>
      </c>
      <c r="O4637">
        <v>0.2</v>
      </c>
      <c r="P4637">
        <v>0.9</v>
      </c>
      <c r="Q4637">
        <f t="shared" si="142"/>
        <v>623251</v>
      </c>
      <c r="R4637">
        <f t="shared" si="143"/>
        <v>1.1231430033806604</v>
      </c>
      <c r="U4637">
        <v>82</v>
      </c>
      <c r="V4637">
        <v>0</v>
      </c>
      <c r="W4637">
        <v>190</v>
      </c>
      <c r="X4637">
        <v>64</v>
      </c>
      <c r="Y4637">
        <v>56.2</v>
      </c>
      <c r="Z4637">
        <v>18.2</v>
      </c>
      <c r="AA4637">
        <v>94.3</v>
      </c>
    </row>
    <row r="4638" spans="1:27" x14ac:dyDescent="0.25">
      <c r="A4638" t="s">
        <v>271</v>
      </c>
      <c r="B4638" t="s">
        <v>222</v>
      </c>
      <c r="C4638" s="76">
        <v>43972</v>
      </c>
      <c r="D4638">
        <v>734</v>
      </c>
      <c r="E4638">
        <v>0</v>
      </c>
      <c r="F4638">
        <v>1474</v>
      </c>
      <c r="G4638">
        <v>514</v>
      </c>
      <c r="H4638">
        <v>58.8</v>
      </c>
      <c r="I4638">
        <v>47.4</v>
      </c>
      <c r="J4638">
        <v>70.3</v>
      </c>
      <c r="K4638">
        <v>10</v>
      </c>
      <c r="L4638">
        <v>0</v>
      </c>
      <c r="M4638">
        <v>22</v>
      </c>
      <c r="N4638">
        <v>0.8</v>
      </c>
      <c r="O4638">
        <v>0.4</v>
      </c>
      <c r="P4638">
        <v>1.2</v>
      </c>
      <c r="Q4638">
        <f t="shared" si="142"/>
        <v>623251</v>
      </c>
      <c r="R4638">
        <f t="shared" si="143"/>
        <v>1.6044900048295148</v>
      </c>
      <c r="U4638">
        <v>74</v>
      </c>
      <c r="V4638">
        <v>0</v>
      </c>
      <c r="W4638">
        <v>164</v>
      </c>
      <c r="X4638">
        <v>67</v>
      </c>
      <c r="Y4638">
        <v>52.6</v>
      </c>
      <c r="Z4638">
        <v>32.9</v>
      </c>
      <c r="AA4638">
        <v>72.2</v>
      </c>
    </row>
    <row r="4639" spans="1:27" x14ac:dyDescent="0.25">
      <c r="A4639" t="s">
        <v>271</v>
      </c>
      <c r="B4639" t="s">
        <v>222</v>
      </c>
      <c r="C4639" s="76">
        <v>43973</v>
      </c>
      <c r="D4639">
        <v>745</v>
      </c>
      <c r="E4639">
        <v>7</v>
      </c>
      <c r="F4639">
        <v>1483</v>
      </c>
      <c r="G4639">
        <v>503</v>
      </c>
      <c r="H4639">
        <v>59.7</v>
      </c>
      <c r="I4639">
        <v>47.2</v>
      </c>
      <c r="J4639">
        <v>72.2</v>
      </c>
      <c r="K4639">
        <v>15</v>
      </c>
      <c r="L4639">
        <v>0</v>
      </c>
      <c r="M4639">
        <v>31</v>
      </c>
      <c r="N4639">
        <v>1.2</v>
      </c>
      <c r="O4639">
        <v>0</v>
      </c>
      <c r="P4639">
        <v>2.5</v>
      </c>
      <c r="Q4639">
        <f t="shared" si="142"/>
        <v>623251</v>
      </c>
      <c r="R4639">
        <f t="shared" si="143"/>
        <v>2.4067350072442721</v>
      </c>
      <c r="U4639">
        <v>70</v>
      </c>
      <c r="V4639">
        <v>0</v>
      </c>
      <c r="W4639">
        <v>154</v>
      </c>
      <c r="X4639">
        <v>72</v>
      </c>
      <c r="Y4639">
        <v>49.3</v>
      </c>
      <c r="Z4639">
        <v>29.9</v>
      </c>
      <c r="AA4639">
        <v>68.7</v>
      </c>
    </row>
    <row r="4640" spans="1:27" x14ac:dyDescent="0.25">
      <c r="A4640" t="s">
        <v>271</v>
      </c>
      <c r="B4640" t="s">
        <v>222</v>
      </c>
      <c r="C4640" s="76">
        <v>43974</v>
      </c>
      <c r="D4640">
        <v>715</v>
      </c>
      <c r="E4640">
        <v>0</v>
      </c>
      <c r="F4640">
        <v>1437</v>
      </c>
      <c r="G4640">
        <v>528</v>
      </c>
      <c r="H4640">
        <v>57.5</v>
      </c>
      <c r="I4640">
        <v>43.8</v>
      </c>
      <c r="J4640">
        <v>71.2</v>
      </c>
      <c r="K4640">
        <v>19</v>
      </c>
      <c r="L4640">
        <v>0</v>
      </c>
      <c r="M4640">
        <v>42</v>
      </c>
      <c r="N4640">
        <v>1.5</v>
      </c>
      <c r="O4640">
        <v>0.3</v>
      </c>
      <c r="P4640">
        <v>2.7</v>
      </c>
      <c r="Q4640">
        <f t="shared" si="142"/>
        <v>623251</v>
      </c>
      <c r="R4640">
        <f t="shared" si="143"/>
        <v>3.0485310091760782</v>
      </c>
      <c r="U4640">
        <v>68</v>
      </c>
      <c r="V4640">
        <v>0</v>
      </c>
      <c r="W4640">
        <v>145</v>
      </c>
      <c r="X4640">
        <v>73</v>
      </c>
      <c r="Y4640">
        <v>48.2</v>
      </c>
      <c r="Z4640">
        <v>31.8</v>
      </c>
      <c r="AA4640">
        <v>64.599999999999994</v>
      </c>
    </row>
    <row r="4641" spans="1:27" x14ac:dyDescent="0.25">
      <c r="A4641" t="s">
        <v>271</v>
      </c>
      <c r="B4641" t="s">
        <v>222</v>
      </c>
      <c r="C4641" s="76">
        <v>43975</v>
      </c>
      <c r="D4641">
        <v>664</v>
      </c>
      <c r="E4641">
        <v>0</v>
      </c>
      <c r="F4641">
        <v>1360</v>
      </c>
      <c r="G4641">
        <v>576</v>
      </c>
      <c r="H4641">
        <v>53.6</v>
      </c>
      <c r="I4641">
        <v>39</v>
      </c>
      <c r="J4641">
        <v>68.099999999999994</v>
      </c>
      <c r="K4641">
        <v>11</v>
      </c>
      <c r="L4641">
        <v>0</v>
      </c>
      <c r="M4641">
        <v>29</v>
      </c>
      <c r="N4641">
        <v>0.9</v>
      </c>
      <c r="O4641">
        <v>0</v>
      </c>
      <c r="P4641">
        <v>2.1</v>
      </c>
      <c r="Q4641">
        <f t="shared" si="142"/>
        <v>623251</v>
      </c>
      <c r="R4641">
        <f t="shared" si="143"/>
        <v>1.7649390053124663</v>
      </c>
      <c r="U4641">
        <v>66</v>
      </c>
      <c r="V4641">
        <v>0</v>
      </c>
      <c r="W4641">
        <v>146</v>
      </c>
      <c r="X4641">
        <v>75</v>
      </c>
      <c r="Y4641">
        <v>46.7</v>
      </c>
      <c r="Z4641">
        <v>28.2</v>
      </c>
      <c r="AA4641">
        <v>65.2</v>
      </c>
    </row>
    <row r="4642" spans="1:27" x14ac:dyDescent="0.25">
      <c r="A4642" t="s">
        <v>271</v>
      </c>
      <c r="B4642" t="s">
        <v>222</v>
      </c>
      <c r="C4642" s="76">
        <v>43976</v>
      </c>
      <c r="D4642">
        <v>604</v>
      </c>
      <c r="E4642">
        <v>0</v>
      </c>
      <c r="F4642">
        <v>1275</v>
      </c>
      <c r="G4642">
        <v>486</v>
      </c>
      <c r="H4642">
        <v>55.4</v>
      </c>
      <c r="I4642">
        <v>47.6</v>
      </c>
      <c r="J4642">
        <v>63.3</v>
      </c>
      <c r="K4642">
        <v>6</v>
      </c>
      <c r="L4642">
        <v>0</v>
      </c>
      <c r="M4642">
        <v>13</v>
      </c>
      <c r="N4642">
        <v>0.6</v>
      </c>
      <c r="O4642">
        <v>0.2</v>
      </c>
      <c r="P4642">
        <v>0.9</v>
      </c>
      <c r="Q4642">
        <f t="shared" si="142"/>
        <v>623251</v>
      </c>
      <c r="R4642">
        <f t="shared" si="143"/>
        <v>0.9626940028977089</v>
      </c>
      <c r="U4642">
        <v>56</v>
      </c>
      <c r="V4642">
        <v>0</v>
      </c>
      <c r="W4642">
        <v>135</v>
      </c>
      <c r="X4642">
        <v>63</v>
      </c>
      <c r="Y4642">
        <v>47.1</v>
      </c>
      <c r="Z4642">
        <v>38.6</v>
      </c>
      <c r="AA4642">
        <v>55.5</v>
      </c>
    </row>
    <row r="4643" spans="1:27" x14ac:dyDescent="0.25">
      <c r="A4643" t="s">
        <v>271</v>
      </c>
      <c r="B4643" t="s">
        <v>222</v>
      </c>
      <c r="C4643" s="76">
        <v>43977</v>
      </c>
      <c r="D4643">
        <v>621</v>
      </c>
      <c r="E4643">
        <v>0</v>
      </c>
      <c r="F4643">
        <v>1297</v>
      </c>
      <c r="G4643">
        <v>469</v>
      </c>
      <c r="H4643">
        <v>57</v>
      </c>
      <c r="I4643">
        <v>49.5</v>
      </c>
      <c r="J4643">
        <v>64.400000000000006</v>
      </c>
      <c r="K4643">
        <v>8</v>
      </c>
      <c r="L4643">
        <v>0</v>
      </c>
      <c r="M4643">
        <v>18</v>
      </c>
      <c r="N4643">
        <v>0.7</v>
      </c>
      <c r="O4643">
        <v>0</v>
      </c>
      <c r="P4643">
        <v>1.4</v>
      </c>
      <c r="Q4643">
        <f t="shared" si="142"/>
        <v>623251</v>
      </c>
      <c r="R4643">
        <f t="shared" si="143"/>
        <v>1.2835920038636119</v>
      </c>
      <c r="U4643">
        <v>59</v>
      </c>
      <c r="V4643">
        <v>0</v>
      </c>
      <c r="W4643">
        <v>139</v>
      </c>
      <c r="X4643">
        <v>60</v>
      </c>
      <c r="Y4643">
        <v>49.6</v>
      </c>
      <c r="Z4643">
        <v>42</v>
      </c>
      <c r="AA4643">
        <v>57.2</v>
      </c>
    </row>
    <row r="4644" spans="1:27" x14ac:dyDescent="0.25">
      <c r="A4644" t="s">
        <v>271</v>
      </c>
      <c r="B4644" t="s">
        <v>222</v>
      </c>
      <c r="C4644" s="76">
        <v>43978</v>
      </c>
      <c r="D4644">
        <v>675</v>
      </c>
      <c r="E4644">
        <v>0</v>
      </c>
      <c r="F4644">
        <v>1395</v>
      </c>
      <c r="G4644">
        <v>420</v>
      </c>
      <c r="H4644">
        <v>61.6</v>
      </c>
      <c r="I4644">
        <v>54.5</v>
      </c>
      <c r="J4644">
        <v>68.8</v>
      </c>
      <c r="K4644">
        <v>6</v>
      </c>
      <c r="L4644">
        <v>0</v>
      </c>
      <c r="M4644">
        <v>12</v>
      </c>
      <c r="N4644">
        <v>0.5</v>
      </c>
      <c r="O4644">
        <v>0</v>
      </c>
      <c r="P4644">
        <v>1.1000000000000001</v>
      </c>
      <c r="Q4644">
        <f t="shared" si="142"/>
        <v>623251</v>
      </c>
      <c r="R4644">
        <f t="shared" si="143"/>
        <v>0.9626940028977089</v>
      </c>
      <c r="U4644">
        <v>70</v>
      </c>
      <c r="V4644">
        <v>0</v>
      </c>
      <c r="W4644">
        <v>164</v>
      </c>
      <c r="X4644">
        <v>49</v>
      </c>
      <c r="Y4644">
        <v>58.8</v>
      </c>
      <c r="Z4644">
        <v>49.7</v>
      </c>
      <c r="AA4644">
        <v>67.900000000000006</v>
      </c>
    </row>
    <row r="4645" spans="1:27" x14ac:dyDescent="0.25">
      <c r="A4645" t="s">
        <v>271</v>
      </c>
      <c r="B4645" t="s">
        <v>222</v>
      </c>
      <c r="C4645" s="76">
        <v>43979</v>
      </c>
      <c r="D4645">
        <v>661</v>
      </c>
      <c r="E4645">
        <v>0</v>
      </c>
      <c r="F4645">
        <v>1372</v>
      </c>
      <c r="G4645">
        <v>429</v>
      </c>
      <c r="H4645">
        <v>60.6</v>
      </c>
      <c r="I4645">
        <v>52.5</v>
      </c>
      <c r="J4645">
        <v>68.8</v>
      </c>
      <c r="K4645">
        <v>10</v>
      </c>
      <c r="L4645">
        <v>0</v>
      </c>
      <c r="M4645">
        <v>22</v>
      </c>
      <c r="N4645">
        <v>0.9</v>
      </c>
      <c r="O4645">
        <v>0</v>
      </c>
      <c r="P4645">
        <v>2.2999999999999998</v>
      </c>
      <c r="Q4645">
        <f t="shared" si="142"/>
        <v>623251</v>
      </c>
      <c r="R4645">
        <f t="shared" si="143"/>
        <v>1.6044900048295148</v>
      </c>
      <c r="U4645">
        <v>61</v>
      </c>
      <c r="V4645">
        <v>0</v>
      </c>
      <c r="W4645">
        <v>136</v>
      </c>
      <c r="X4645">
        <v>68</v>
      </c>
      <c r="Y4645">
        <v>47.3</v>
      </c>
      <c r="Z4645">
        <v>38.799999999999997</v>
      </c>
      <c r="AA4645">
        <v>55.7</v>
      </c>
    </row>
    <row r="4646" spans="1:27" x14ac:dyDescent="0.25">
      <c r="A4646" t="s">
        <v>271</v>
      </c>
      <c r="B4646" t="s">
        <v>222</v>
      </c>
      <c r="C4646" s="76">
        <v>43980</v>
      </c>
      <c r="D4646">
        <v>784</v>
      </c>
      <c r="E4646">
        <v>0</v>
      </c>
      <c r="F4646">
        <v>1582</v>
      </c>
      <c r="G4646">
        <v>450</v>
      </c>
      <c r="H4646">
        <v>63.6</v>
      </c>
      <c r="I4646">
        <v>52.2</v>
      </c>
      <c r="J4646">
        <v>74.900000000000006</v>
      </c>
      <c r="K4646">
        <v>10</v>
      </c>
      <c r="L4646">
        <v>0</v>
      </c>
      <c r="M4646">
        <v>21</v>
      </c>
      <c r="N4646">
        <v>0.8</v>
      </c>
      <c r="O4646">
        <v>0</v>
      </c>
      <c r="P4646">
        <v>1.8</v>
      </c>
      <c r="Q4646">
        <f t="shared" si="142"/>
        <v>623251</v>
      </c>
      <c r="R4646">
        <f t="shared" si="143"/>
        <v>1.6044900048295148</v>
      </c>
      <c r="U4646">
        <v>95</v>
      </c>
      <c r="V4646">
        <v>0</v>
      </c>
      <c r="W4646">
        <v>206</v>
      </c>
      <c r="X4646">
        <v>48</v>
      </c>
      <c r="Y4646">
        <v>66.3</v>
      </c>
      <c r="Z4646">
        <v>42.1</v>
      </c>
      <c r="AA4646">
        <v>90.6</v>
      </c>
    </row>
    <row r="4647" spans="1:27" x14ac:dyDescent="0.25">
      <c r="A4647" t="s">
        <v>271</v>
      </c>
      <c r="B4647" t="s">
        <v>222</v>
      </c>
      <c r="C4647" s="76">
        <v>43981</v>
      </c>
      <c r="D4647">
        <v>764</v>
      </c>
      <c r="E4647">
        <v>0</v>
      </c>
      <c r="F4647">
        <v>1558</v>
      </c>
      <c r="G4647">
        <v>483</v>
      </c>
      <c r="H4647">
        <v>61.3</v>
      </c>
      <c r="I4647">
        <v>50.3</v>
      </c>
      <c r="J4647">
        <v>72.2</v>
      </c>
      <c r="K4647">
        <v>4</v>
      </c>
      <c r="L4647">
        <v>0</v>
      </c>
      <c r="M4647">
        <v>14</v>
      </c>
      <c r="N4647">
        <v>0.3</v>
      </c>
      <c r="O4647">
        <v>0</v>
      </c>
      <c r="P4647">
        <v>1.2</v>
      </c>
      <c r="Q4647">
        <f t="shared" ref="Q4647:Q4710" si="144">VLOOKUP(B4647,$AE$4:$AF$55,2,FALSE)</f>
        <v>623251</v>
      </c>
      <c r="R4647">
        <f t="shared" si="143"/>
        <v>0.64179600193180597</v>
      </c>
      <c r="U4647">
        <v>85</v>
      </c>
      <c r="V4647">
        <v>0</v>
      </c>
      <c r="W4647">
        <v>190</v>
      </c>
      <c r="X4647">
        <v>65</v>
      </c>
      <c r="Y4647">
        <v>56.7</v>
      </c>
      <c r="Z4647">
        <v>36.1</v>
      </c>
      <c r="AA4647">
        <v>77.400000000000006</v>
      </c>
    </row>
    <row r="4648" spans="1:27" x14ac:dyDescent="0.25">
      <c r="A4648" t="s">
        <v>271</v>
      </c>
      <c r="B4648" t="s">
        <v>222</v>
      </c>
      <c r="C4648" s="76">
        <v>43982</v>
      </c>
      <c r="D4648">
        <v>617</v>
      </c>
      <c r="E4648">
        <v>0</v>
      </c>
      <c r="F4648">
        <v>1308</v>
      </c>
      <c r="G4648">
        <v>498</v>
      </c>
      <c r="H4648">
        <v>55.3</v>
      </c>
      <c r="I4648">
        <v>44.9</v>
      </c>
      <c r="J4648">
        <v>65.8</v>
      </c>
      <c r="K4648">
        <v>5</v>
      </c>
      <c r="L4648">
        <v>0</v>
      </c>
      <c r="M4648">
        <v>14</v>
      </c>
      <c r="N4648">
        <v>0.5</v>
      </c>
      <c r="O4648">
        <v>0</v>
      </c>
      <c r="P4648">
        <v>1.2</v>
      </c>
      <c r="Q4648">
        <f t="shared" si="144"/>
        <v>623251</v>
      </c>
      <c r="R4648">
        <f t="shared" si="143"/>
        <v>0.80224500241475738</v>
      </c>
      <c r="U4648">
        <v>70</v>
      </c>
      <c r="V4648">
        <v>0</v>
      </c>
      <c r="W4648">
        <v>168</v>
      </c>
      <c r="X4648">
        <v>59</v>
      </c>
      <c r="Y4648">
        <v>53.8</v>
      </c>
      <c r="Z4648">
        <v>35.6</v>
      </c>
      <c r="AA4648">
        <v>72</v>
      </c>
    </row>
    <row r="4649" spans="1:27" x14ac:dyDescent="0.25">
      <c r="A4649" t="s">
        <v>271</v>
      </c>
      <c r="B4649" t="s">
        <v>222</v>
      </c>
      <c r="C4649" s="76">
        <v>43983</v>
      </c>
      <c r="D4649">
        <v>605</v>
      </c>
      <c r="E4649">
        <v>0</v>
      </c>
      <c r="F4649">
        <v>1273</v>
      </c>
      <c r="G4649">
        <v>511</v>
      </c>
      <c r="H4649">
        <v>54.2</v>
      </c>
      <c r="I4649">
        <v>45.1</v>
      </c>
      <c r="J4649">
        <v>63.3</v>
      </c>
      <c r="K4649">
        <v>2</v>
      </c>
      <c r="L4649">
        <v>0</v>
      </c>
      <c r="M4649">
        <v>8</v>
      </c>
      <c r="N4649">
        <v>0.1</v>
      </c>
      <c r="O4649">
        <v>0</v>
      </c>
      <c r="P4649">
        <v>0.7</v>
      </c>
      <c r="Q4649">
        <f t="shared" si="144"/>
        <v>623251</v>
      </c>
      <c r="R4649">
        <f t="shared" si="143"/>
        <v>0.32089800096590299</v>
      </c>
      <c r="U4649">
        <v>70</v>
      </c>
      <c r="V4649">
        <v>0</v>
      </c>
      <c r="W4649">
        <v>170</v>
      </c>
      <c r="X4649">
        <v>59</v>
      </c>
      <c r="Y4649">
        <v>54.2</v>
      </c>
      <c r="Z4649">
        <v>24.8</v>
      </c>
      <c r="AA4649">
        <v>83.7</v>
      </c>
    </row>
    <row r="4650" spans="1:27" x14ac:dyDescent="0.25">
      <c r="A4650" t="s">
        <v>271</v>
      </c>
      <c r="B4650" t="s">
        <v>222</v>
      </c>
      <c r="C4650" s="76">
        <v>43984</v>
      </c>
      <c r="D4650">
        <v>570</v>
      </c>
      <c r="E4650">
        <v>0</v>
      </c>
      <c r="F4650">
        <v>1286</v>
      </c>
      <c r="G4650">
        <v>427</v>
      </c>
      <c r="H4650">
        <v>57.2</v>
      </c>
      <c r="I4650">
        <v>46.8</v>
      </c>
      <c r="J4650">
        <v>67.5</v>
      </c>
      <c r="K4650">
        <v>2</v>
      </c>
      <c r="L4650">
        <v>0</v>
      </c>
      <c r="M4650">
        <v>6</v>
      </c>
      <c r="N4650">
        <v>0.2</v>
      </c>
      <c r="O4650">
        <v>0</v>
      </c>
      <c r="P4650">
        <v>0.4</v>
      </c>
      <c r="Q4650">
        <f t="shared" si="144"/>
        <v>623251</v>
      </c>
      <c r="R4650">
        <f t="shared" si="143"/>
        <v>0.32089800096590299</v>
      </c>
      <c r="U4650">
        <v>67</v>
      </c>
      <c r="V4650">
        <v>0</v>
      </c>
      <c r="W4650">
        <v>167</v>
      </c>
      <c r="X4650">
        <v>49</v>
      </c>
      <c r="Y4650">
        <v>57.6</v>
      </c>
      <c r="Z4650">
        <v>44.2</v>
      </c>
      <c r="AA4650">
        <v>71.099999999999994</v>
      </c>
    </row>
    <row r="4651" spans="1:27" x14ac:dyDescent="0.25">
      <c r="A4651" t="s">
        <v>271</v>
      </c>
      <c r="B4651" t="s">
        <v>222</v>
      </c>
      <c r="C4651" s="76">
        <v>43985</v>
      </c>
      <c r="D4651">
        <v>558</v>
      </c>
      <c r="E4651">
        <v>0</v>
      </c>
      <c r="F4651">
        <v>1285</v>
      </c>
      <c r="G4651">
        <v>418</v>
      </c>
      <c r="H4651">
        <v>57.2</v>
      </c>
      <c r="I4651">
        <v>47.9</v>
      </c>
      <c r="J4651">
        <v>66.5</v>
      </c>
      <c r="K4651">
        <v>14</v>
      </c>
      <c r="L4651">
        <v>0</v>
      </c>
      <c r="M4651">
        <v>38</v>
      </c>
      <c r="N4651">
        <v>1.4</v>
      </c>
      <c r="O4651">
        <v>0</v>
      </c>
      <c r="P4651">
        <v>4.0999999999999996</v>
      </c>
      <c r="Q4651">
        <f t="shared" si="144"/>
        <v>623251</v>
      </c>
      <c r="R4651">
        <f t="shared" si="143"/>
        <v>2.2462860067613208</v>
      </c>
      <c r="U4651">
        <v>70</v>
      </c>
      <c r="V4651">
        <v>0</v>
      </c>
      <c r="W4651">
        <v>166</v>
      </c>
      <c r="X4651">
        <v>69</v>
      </c>
      <c r="Y4651">
        <v>50.4</v>
      </c>
      <c r="Z4651">
        <v>34.6</v>
      </c>
      <c r="AA4651">
        <v>66.099999999999994</v>
      </c>
    </row>
    <row r="4652" spans="1:27" x14ac:dyDescent="0.25">
      <c r="A4652" t="s">
        <v>271</v>
      </c>
      <c r="B4652" t="s">
        <v>222</v>
      </c>
      <c r="C4652" s="76">
        <v>43986</v>
      </c>
      <c r="D4652">
        <v>558</v>
      </c>
      <c r="E4652">
        <v>0</v>
      </c>
      <c r="F4652">
        <v>1276</v>
      </c>
      <c r="G4652">
        <v>483</v>
      </c>
      <c r="H4652">
        <v>53.6</v>
      </c>
      <c r="I4652">
        <v>40.799999999999997</v>
      </c>
      <c r="J4652">
        <v>66.3</v>
      </c>
      <c r="K4652">
        <v>6</v>
      </c>
      <c r="L4652">
        <v>0</v>
      </c>
      <c r="M4652">
        <v>17</v>
      </c>
      <c r="N4652">
        <v>0.6</v>
      </c>
      <c r="O4652">
        <v>0</v>
      </c>
      <c r="P4652">
        <v>1.6</v>
      </c>
      <c r="Q4652">
        <f t="shared" si="144"/>
        <v>623251</v>
      </c>
      <c r="R4652">
        <f t="shared" si="143"/>
        <v>0.9626940028977089</v>
      </c>
      <c r="U4652">
        <v>74</v>
      </c>
      <c r="V4652">
        <v>0</v>
      </c>
      <c r="W4652">
        <v>175</v>
      </c>
      <c r="X4652">
        <v>55</v>
      </c>
      <c r="Y4652">
        <v>57.4</v>
      </c>
      <c r="Z4652">
        <v>43.2</v>
      </c>
      <c r="AA4652">
        <v>71.599999999999994</v>
      </c>
    </row>
    <row r="4653" spans="1:27" x14ac:dyDescent="0.25">
      <c r="A4653" t="s">
        <v>271</v>
      </c>
      <c r="B4653" t="s">
        <v>222</v>
      </c>
      <c r="C4653" s="76">
        <v>43987</v>
      </c>
      <c r="D4653">
        <v>739</v>
      </c>
      <c r="E4653">
        <v>0</v>
      </c>
      <c r="F4653">
        <v>1499</v>
      </c>
      <c r="G4653">
        <v>551</v>
      </c>
      <c r="H4653">
        <v>57.3</v>
      </c>
      <c r="I4653">
        <v>44.6</v>
      </c>
      <c r="J4653">
        <v>70</v>
      </c>
      <c r="K4653">
        <v>10</v>
      </c>
      <c r="L4653">
        <v>1</v>
      </c>
      <c r="M4653">
        <v>19</v>
      </c>
      <c r="N4653">
        <v>0.8</v>
      </c>
      <c r="O4653">
        <v>0.3</v>
      </c>
      <c r="P4653">
        <v>1.2</v>
      </c>
      <c r="Q4653">
        <f t="shared" si="144"/>
        <v>623251</v>
      </c>
      <c r="R4653">
        <f t="shared" si="143"/>
        <v>1.6044900048295148</v>
      </c>
      <c r="U4653">
        <v>64</v>
      </c>
      <c r="V4653">
        <v>0</v>
      </c>
      <c r="W4653">
        <v>139</v>
      </c>
      <c r="X4653">
        <v>90</v>
      </c>
      <c r="Y4653">
        <v>41.6</v>
      </c>
      <c r="Z4653">
        <v>24</v>
      </c>
      <c r="AA4653">
        <v>59.1</v>
      </c>
    </row>
    <row r="4654" spans="1:27" x14ac:dyDescent="0.25">
      <c r="A4654" t="s">
        <v>271</v>
      </c>
      <c r="B4654" t="s">
        <v>222</v>
      </c>
      <c r="C4654" s="76">
        <v>43988</v>
      </c>
      <c r="D4654">
        <v>703</v>
      </c>
      <c r="E4654">
        <v>0</v>
      </c>
      <c r="F4654">
        <v>1440</v>
      </c>
      <c r="G4654">
        <v>587</v>
      </c>
      <c r="H4654">
        <v>54.5</v>
      </c>
      <c r="I4654">
        <v>41.3</v>
      </c>
      <c r="J4654">
        <v>67.7</v>
      </c>
      <c r="K4654">
        <v>4</v>
      </c>
      <c r="L4654">
        <v>0</v>
      </c>
      <c r="M4654">
        <v>9</v>
      </c>
      <c r="N4654">
        <v>0.3</v>
      </c>
      <c r="O4654">
        <v>0</v>
      </c>
      <c r="P4654">
        <v>0.6</v>
      </c>
      <c r="Q4654">
        <f t="shared" si="144"/>
        <v>623251</v>
      </c>
      <c r="R4654">
        <f t="shared" si="143"/>
        <v>0.64179600193180597</v>
      </c>
      <c r="U4654">
        <v>69</v>
      </c>
      <c r="V4654">
        <v>0</v>
      </c>
      <c r="W4654">
        <v>147</v>
      </c>
      <c r="X4654">
        <v>85</v>
      </c>
      <c r="Y4654">
        <v>44.6</v>
      </c>
      <c r="Z4654">
        <v>28.4</v>
      </c>
      <c r="AA4654">
        <v>60.8</v>
      </c>
    </row>
    <row r="4655" spans="1:27" x14ac:dyDescent="0.25">
      <c r="A4655" t="s">
        <v>271</v>
      </c>
      <c r="B4655" t="s">
        <v>222</v>
      </c>
      <c r="C4655" s="76">
        <v>43989</v>
      </c>
      <c r="D4655">
        <v>694</v>
      </c>
      <c r="E4655">
        <v>0</v>
      </c>
      <c r="F4655">
        <v>1403</v>
      </c>
      <c r="G4655">
        <v>587</v>
      </c>
      <c r="H4655">
        <v>54.2</v>
      </c>
      <c r="I4655">
        <v>42.6</v>
      </c>
      <c r="J4655">
        <v>65.8</v>
      </c>
      <c r="K4655">
        <v>13</v>
      </c>
      <c r="L4655">
        <v>0</v>
      </c>
      <c r="M4655">
        <v>28</v>
      </c>
      <c r="N4655">
        <v>1</v>
      </c>
      <c r="O4655">
        <v>0</v>
      </c>
      <c r="P4655">
        <v>2.1</v>
      </c>
      <c r="Q4655">
        <f t="shared" si="144"/>
        <v>623251</v>
      </c>
      <c r="R4655">
        <f t="shared" si="143"/>
        <v>2.0858370062783691</v>
      </c>
      <c r="U4655">
        <v>62</v>
      </c>
      <c r="V4655">
        <v>0</v>
      </c>
      <c r="W4655">
        <v>136</v>
      </c>
      <c r="X4655">
        <v>87</v>
      </c>
      <c r="Y4655">
        <v>41.5</v>
      </c>
      <c r="Z4655">
        <v>23</v>
      </c>
      <c r="AA4655">
        <v>60</v>
      </c>
    </row>
    <row r="4656" spans="1:27" x14ac:dyDescent="0.25">
      <c r="A4656" t="s">
        <v>271</v>
      </c>
      <c r="B4656" t="s">
        <v>222</v>
      </c>
      <c r="C4656" s="76">
        <v>43990</v>
      </c>
      <c r="D4656">
        <v>676</v>
      </c>
      <c r="E4656">
        <v>0</v>
      </c>
      <c r="F4656">
        <v>1378</v>
      </c>
      <c r="G4656">
        <v>579</v>
      </c>
      <c r="H4656">
        <v>53.9</v>
      </c>
      <c r="I4656">
        <v>40.5</v>
      </c>
      <c r="J4656">
        <v>67.3</v>
      </c>
      <c r="K4656">
        <v>10</v>
      </c>
      <c r="L4656">
        <v>1</v>
      </c>
      <c r="M4656">
        <v>19</v>
      </c>
      <c r="N4656">
        <v>0.8</v>
      </c>
      <c r="O4656">
        <v>0.2</v>
      </c>
      <c r="P4656">
        <v>1.4</v>
      </c>
      <c r="Q4656">
        <f t="shared" si="144"/>
        <v>623251</v>
      </c>
      <c r="R4656">
        <f t="shared" si="143"/>
        <v>1.6044900048295148</v>
      </c>
      <c r="U4656">
        <v>57</v>
      </c>
      <c r="V4656">
        <v>0</v>
      </c>
      <c r="W4656">
        <v>130</v>
      </c>
      <c r="X4656">
        <v>90</v>
      </c>
      <c r="Y4656">
        <v>38.9</v>
      </c>
      <c r="Z4656">
        <v>18.399999999999999</v>
      </c>
      <c r="AA4656">
        <v>59.3</v>
      </c>
    </row>
    <row r="4657" spans="1:27" x14ac:dyDescent="0.25">
      <c r="A4657" t="s">
        <v>271</v>
      </c>
      <c r="B4657" t="s">
        <v>222</v>
      </c>
      <c r="C4657" s="76">
        <v>43991</v>
      </c>
      <c r="D4657">
        <v>792</v>
      </c>
      <c r="E4657">
        <v>0</v>
      </c>
      <c r="F4657">
        <v>1599</v>
      </c>
      <c r="G4657">
        <v>451</v>
      </c>
      <c r="H4657">
        <v>63.7</v>
      </c>
      <c r="I4657">
        <v>49.2</v>
      </c>
      <c r="J4657">
        <v>78.3</v>
      </c>
      <c r="K4657">
        <v>11</v>
      </c>
      <c r="L4657">
        <v>0</v>
      </c>
      <c r="M4657">
        <v>24</v>
      </c>
      <c r="N4657">
        <v>0.9</v>
      </c>
      <c r="O4657">
        <v>0</v>
      </c>
      <c r="P4657">
        <v>1.8</v>
      </c>
      <c r="Q4657">
        <f t="shared" si="144"/>
        <v>623251</v>
      </c>
      <c r="R4657">
        <f t="shared" si="143"/>
        <v>1.7649390053124663</v>
      </c>
      <c r="U4657">
        <v>71</v>
      </c>
      <c r="V4657">
        <v>0</v>
      </c>
      <c r="W4657">
        <v>153</v>
      </c>
      <c r="X4657">
        <v>79</v>
      </c>
      <c r="Y4657">
        <v>47.3</v>
      </c>
      <c r="Z4657">
        <v>26.2</v>
      </c>
      <c r="AA4657">
        <v>68.3</v>
      </c>
    </row>
    <row r="4658" spans="1:27" x14ac:dyDescent="0.25">
      <c r="A4658" t="s">
        <v>271</v>
      </c>
      <c r="B4658" t="s">
        <v>222</v>
      </c>
      <c r="C4658" s="76">
        <v>43992</v>
      </c>
      <c r="D4658">
        <v>723</v>
      </c>
      <c r="E4658">
        <v>0</v>
      </c>
      <c r="F4658">
        <v>1526</v>
      </c>
      <c r="G4658">
        <v>401</v>
      </c>
      <c r="H4658">
        <v>64.3</v>
      </c>
      <c r="I4658">
        <v>56.7</v>
      </c>
      <c r="J4658">
        <v>71.900000000000006</v>
      </c>
      <c r="K4658">
        <v>4</v>
      </c>
      <c r="L4658">
        <v>0</v>
      </c>
      <c r="M4658">
        <v>9</v>
      </c>
      <c r="N4658">
        <v>0.4</v>
      </c>
      <c r="O4658">
        <v>0</v>
      </c>
      <c r="P4658">
        <v>0.8</v>
      </c>
      <c r="Q4658">
        <f t="shared" si="144"/>
        <v>623251</v>
      </c>
      <c r="R4658">
        <f t="shared" si="143"/>
        <v>0.64179600193180597</v>
      </c>
      <c r="U4658">
        <v>52</v>
      </c>
      <c r="V4658">
        <v>0</v>
      </c>
      <c r="W4658">
        <v>121</v>
      </c>
      <c r="X4658">
        <v>81</v>
      </c>
      <c r="Y4658">
        <v>39.1</v>
      </c>
      <c r="Z4658">
        <v>28.9</v>
      </c>
      <c r="AA4658">
        <v>49.2</v>
      </c>
    </row>
    <row r="4659" spans="1:27" x14ac:dyDescent="0.25">
      <c r="A4659" t="s">
        <v>271</v>
      </c>
      <c r="B4659" t="s">
        <v>222</v>
      </c>
      <c r="C4659" s="76">
        <v>43993</v>
      </c>
      <c r="D4659">
        <v>782</v>
      </c>
      <c r="E4659">
        <v>0</v>
      </c>
      <c r="F4659">
        <v>1585</v>
      </c>
      <c r="G4659">
        <v>521</v>
      </c>
      <c r="H4659">
        <v>60</v>
      </c>
      <c r="I4659">
        <v>44.6</v>
      </c>
      <c r="J4659">
        <v>75.5</v>
      </c>
      <c r="K4659">
        <v>6</v>
      </c>
      <c r="L4659">
        <v>0</v>
      </c>
      <c r="M4659">
        <v>15</v>
      </c>
      <c r="N4659">
        <v>0.5</v>
      </c>
      <c r="O4659">
        <v>0.1</v>
      </c>
      <c r="P4659">
        <v>0.8</v>
      </c>
      <c r="Q4659">
        <f t="shared" si="144"/>
        <v>623251</v>
      </c>
      <c r="R4659">
        <f t="shared" si="143"/>
        <v>0.9626940028977089</v>
      </c>
      <c r="U4659">
        <v>70</v>
      </c>
      <c r="V4659">
        <v>0</v>
      </c>
      <c r="W4659">
        <v>153</v>
      </c>
      <c r="X4659">
        <v>80</v>
      </c>
      <c r="Y4659">
        <v>46.7</v>
      </c>
      <c r="Z4659">
        <v>22.1</v>
      </c>
      <c r="AA4659">
        <v>71.400000000000006</v>
      </c>
    </row>
    <row r="4660" spans="1:27" x14ac:dyDescent="0.25">
      <c r="A4660" t="s">
        <v>271</v>
      </c>
      <c r="B4660" t="s">
        <v>222</v>
      </c>
      <c r="C4660" s="76">
        <v>43994</v>
      </c>
      <c r="D4660">
        <v>793</v>
      </c>
      <c r="E4660">
        <v>24</v>
      </c>
      <c r="F4660">
        <v>1561</v>
      </c>
      <c r="G4660">
        <v>501</v>
      </c>
      <c r="H4660">
        <v>61.3</v>
      </c>
      <c r="I4660">
        <v>50.3</v>
      </c>
      <c r="J4660">
        <v>72.3</v>
      </c>
      <c r="K4660">
        <v>3</v>
      </c>
      <c r="L4660">
        <v>0</v>
      </c>
      <c r="M4660">
        <v>7</v>
      </c>
      <c r="N4660">
        <v>0.2</v>
      </c>
      <c r="O4660">
        <v>0.1</v>
      </c>
      <c r="P4660">
        <v>0.4</v>
      </c>
      <c r="Q4660">
        <f t="shared" si="144"/>
        <v>623251</v>
      </c>
      <c r="R4660">
        <f t="shared" si="143"/>
        <v>0.48134700144885445</v>
      </c>
      <c r="U4660">
        <v>62</v>
      </c>
      <c r="V4660">
        <v>0</v>
      </c>
      <c r="W4660">
        <v>131</v>
      </c>
      <c r="X4660">
        <v>90</v>
      </c>
      <c r="Y4660">
        <v>40.9</v>
      </c>
      <c r="Z4660">
        <v>21.6</v>
      </c>
      <c r="AA4660">
        <v>60.2</v>
      </c>
    </row>
    <row r="4661" spans="1:27" x14ac:dyDescent="0.25">
      <c r="A4661" t="s">
        <v>271</v>
      </c>
      <c r="B4661" t="s">
        <v>222</v>
      </c>
      <c r="C4661" s="76">
        <v>43995</v>
      </c>
      <c r="D4661">
        <v>748</v>
      </c>
      <c r="E4661">
        <v>11</v>
      </c>
      <c r="F4661">
        <v>1485</v>
      </c>
      <c r="G4661">
        <v>527</v>
      </c>
      <c r="H4661">
        <v>58.7</v>
      </c>
      <c r="I4661">
        <v>48.9</v>
      </c>
      <c r="J4661">
        <v>68.400000000000006</v>
      </c>
      <c r="K4661">
        <v>9</v>
      </c>
      <c r="L4661">
        <v>0</v>
      </c>
      <c r="M4661">
        <v>21</v>
      </c>
      <c r="N4661">
        <v>0.7</v>
      </c>
      <c r="O4661">
        <v>0</v>
      </c>
      <c r="P4661">
        <v>1.5</v>
      </c>
      <c r="Q4661">
        <f t="shared" si="144"/>
        <v>623251</v>
      </c>
      <c r="R4661">
        <f t="shared" si="143"/>
        <v>1.4440410043465632</v>
      </c>
      <c r="U4661">
        <v>63</v>
      </c>
      <c r="V4661">
        <v>0</v>
      </c>
      <c r="W4661">
        <v>126</v>
      </c>
      <c r="X4661">
        <v>81</v>
      </c>
      <c r="Y4661">
        <v>43.6</v>
      </c>
      <c r="Z4661">
        <v>26.2</v>
      </c>
      <c r="AA4661">
        <v>61</v>
      </c>
    </row>
    <row r="4662" spans="1:27" x14ac:dyDescent="0.25">
      <c r="A4662" t="s">
        <v>271</v>
      </c>
      <c r="B4662" t="s">
        <v>222</v>
      </c>
      <c r="C4662" s="76">
        <v>43996</v>
      </c>
      <c r="D4662">
        <v>741</v>
      </c>
      <c r="E4662">
        <v>33</v>
      </c>
      <c r="F4662">
        <v>1450</v>
      </c>
      <c r="G4662">
        <v>552</v>
      </c>
      <c r="H4662">
        <v>57.3</v>
      </c>
      <c r="I4662">
        <v>46.6</v>
      </c>
      <c r="J4662">
        <v>68.099999999999994</v>
      </c>
      <c r="K4662">
        <v>6</v>
      </c>
      <c r="L4662">
        <v>0</v>
      </c>
      <c r="M4662">
        <v>14</v>
      </c>
      <c r="N4662">
        <v>0.5</v>
      </c>
      <c r="O4662">
        <v>0.1</v>
      </c>
      <c r="P4662">
        <v>0.9</v>
      </c>
      <c r="Q4662">
        <f t="shared" si="144"/>
        <v>623251</v>
      </c>
      <c r="R4662">
        <f t="shared" si="143"/>
        <v>0.9626940028977089</v>
      </c>
      <c r="U4662">
        <v>62</v>
      </c>
      <c r="V4662">
        <v>0</v>
      </c>
      <c r="W4662">
        <v>128</v>
      </c>
      <c r="X4662">
        <v>75</v>
      </c>
      <c r="Y4662">
        <v>45.3</v>
      </c>
      <c r="Z4662">
        <v>23.8</v>
      </c>
      <c r="AA4662">
        <v>66.7</v>
      </c>
    </row>
    <row r="4663" spans="1:27" x14ac:dyDescent="0.25">
      <c r="A4663" t="s">
        <v>271</v>
      </c>
      <c r="B4663" t="s">
        <v>222</v>
      </c>
      <c r="C4663" s="76">
        <v>43997</v>
      </c>
      <c r="D4663">
        <v>749</v>
      </c>
      <c r="E4663">
        <v>7</v>
      </c>
      <c r="F4663">
        <v>1490</v>
      </c>
      <c r="G4663">
        <v>506</v>
      </c>
      <c r="H4663">
        <v>59.7</v>
      </c>
      <c r="I4663">
        <v>50.7</v>
      </c>
      <c r="J4663">
        <v>68.7</v>
      </c>
      <c r="K4663">
        <v>7</v>
      </c>
      <c r="L4663">
        <v>0</v>
      </c>
      <c r="M4663">
        <v>19</v>
      </c>
      <c r="N4663">
        <v>0.6</v>
      </c>
      <c r="O4663">
        <v>0.1</v>
      </c>
      <c r="P4663">
        <v>1.1000000000000001</v>
      </c>
      <c r="Q4663">
        <f t="shared" si="144"/>
        <v>623251</v>
      </c>
      <c r="R4663">
        <f t="shared" si="143"/>
        <v>1.1231430033806604</v>
      </c>
      <c r="U4663">
        <v>59</v>
      </c>
      <c r="V4663">
        <v>0</v>
      </c>
      <c r="W4663">
        <v>132</v>
      </c>
      <c r="X4663">
        <v>78</v>
      </c>
      <c r="Y4663">
        <v>43</v>
      </c>
      <c r="Z4663">
        <v>10.3</v>
      </c>
      <c r="AA4663">
        <v>75.8</v>
      </c>
    </row>
    <row r="4664" spans="1:27" x14ac:dyDescent="0.25">
      <c r="A4664" t="s">
        <v>271</v>
      </c>
      <c r="B4664" t="s">
        <v>222</v>
      </c>
      <c r="C4664" s="76">
        <v>43998</v>
      </c>
      <c r="D4664">
        <v>578</v>
      </c>
      <c r="E4664">
        <v>0</v>
      </c>
      <c r="F4664">
        <v>1288</v>
      </c>
      <c r="G4664">
        <v>415</v>
      </c>
      <c r="H4664">
        <v>58.2</v>
      </c>
      <c r="I4664">
        <v>50.5</v>
      </c>
      <c r="J4664">
        <v>65.900000000000006</v>
      </c>
      <c r="K4664">
        <v>3</v>
      </c>
      <c r="L4664">
        <v>0</v>
      </c>
      <c r="M4664">
        <v>8</v>
      </c>
      <c r="N4664">
        <v>0.3</v>
      </c>
      <c r="O4664">
        <v>0.1</v>
      </c>
      <c r="P4664">
        <v>0.6</v>
      </c>
      <c r="Q4664">
        <f t="shared" si="144"/>
        <v>623251</v>
      </c>
      <c r="R4664">
        <f t="shared" si="143"/>
        <v>0.48134700144885445</v>
      </c>
      <c r="U4664">
        <v>45</v>
      </c>
      <c r="V4664">
        <v>0</v>
      </c>
      <c r="W4664">
        <v>112</v>
      </c>
      <c r="X4664">
        <v>56</v>
      </c>
      <c r="Y4664">
        <v>44.6</v>
      </c>
      <c r="Z4664">
        <v>37.4</v>
      </c>
      <c r="AA4664">
        <v>51.9</v>
      </c>
    </row>
    <row r="4665" spans="1:27" x14ac:dyDescent="0.25">
      <c r="A4665" t="s">
        <v>271</v>
      </c>
      <c r="B4665" t="s">
        <v>222</v>
      </c>
      <c r="C4665" s="76">
        <v>43999</v>
      </c>
      <c r="D4665">
        <v>545</v>
      </c>
      <c r="E4665">
        <v>0</v>
      </c>
      <c r="F4665">
        <v>1256</v>
      </c>
      <c r="G4665">
        <v>436</v>
      </c>
      <c r="H4665">
        <v>55.6</v>
      </c>
      <c r="I4665">
        <v>44.4</v>
      </c>
      <c r="J4665">
        <v>66.7</v>
      </c>
      <c r="K4665">
        <v>4</v>
      </c>
      <c r="L4665">
        <v>0</v>
      </c>
      <c r="M4665">
        <v>10</v>
      </c>
      <c r="N4665">
        <v>0.4</v>
      </c>
      <c r="O4665">
        <v>0.1</v>
      </c>
      <c r="P4665">
        <v>0.8</v>
      </c>
      <c r="Q4665">
        <f t="shared" si="144"/>
        <v>623251</v>
      </c>
      <c r="R4665">
        <f t="shared" si="143"/>
        <v>0.64179600193180597</v>
      </c>
      <c r="U4665">
        <v>49</v>
      </c>
      <c r="V4665">
        <v>0</v>
      </c>
      <c r="W4665">
        <v>122</v>
      </c>
      <c r="X4665">
        <v>52</v>
      </c>
      <c r="Y4665">
        <v>48.4</v>
      </c>
      <c r="Z4665">
        <v>36.6</v>
      </c>
      <c r="AA4665">
        <v>60.2</v>
      </c>
    </row>
    <row r="4666" spans="1:27" x14ac:dyDescent="0.25">
      <c r="A4666" t="s">
        <v>271</v>
      </c>
      <c r="B4666" t="s">
        <v>222</v>
      </c>
      <c r="C4666" s="76">
        <v>44000</v>
      </c>
      <c r="D4666">
        <v>769</v>
      </c>
      <c r="E4666">
        <v>0</v>
      </c>
      <c r="F4666">
        <v>1569</v>
      </c>
      <c r="G4666">
        <v>526</v>
      </c>
      <c r="H4666">
        <v>59.4</v>
      </c>
      <c r="I4666">
        <v>44.9</v>
      </c>
      <c r="J4666">
        <v>73.900000000000006</v>
      </c>
      <c r="K4666">
        <v>10</v>
      </c>
      <c r="L4666">
        <v>0</v>
      </c>
      <c r="M4666">
        <v>26</v>
      </c>
      <c r="N4666">
        <v>0.8</v>
      </c>
      <c r="O4666">
        <v>0</v>
      </c>
      <c r="P4666">
        <v>1.9</v>
      </c>
      <c r="Q4666">
        <f t="shared" si="144"/>
        <v>623251</v>
      </c>
      <c r="R4666">
        <f t="shared" si="143"/>
        <v>1.6044900048295148</v>
      </c>
      <c r="U4666">
        <v>61</v>
      </c>
      <c r="V4666">
        <v>0</v>
      </c>
      <c r="W4666">
        <v>144</v>
      </c>
      <c r="X4666">
        <v>85</v>
      </c>
      <c r="Y4666">
        <v>42</v>
      </c>
      <c r="Z4666">
        <v>18.5</v>
      </c>
      <c r="AA4666">
        <v>65.5</v>
      </c>
    </row>
    <row r="4667" spans="1:27" x14ac:dyDescent="0.25">
      <c r="A4667" t="s">
        <v>271</v>
      </c>
      <c r="B4667" t="s">
        <v>222</v>
      </c>
      <c r="C4667" s="76">
        <v>44001</v>
      </c>
      <c r="D4667">
        <v>808</v>
      </c>
      <c r="E4667">
        <v>7</v>
      </c>
      <c r="F4667">
        <v>1610</v>
      </c>
      <c r="G4667">
        <v>490</v>
      </c>
      <c r="H4667">
        <v>62.3</v>
      </c>
      <c r="I4667">
        <v>50</v>
      </c>
      <c r="J4667">
        <v>74.599999999999994</v>
      </c>
      <c r="K4667">
        <v>4</v>
      </c>
      <c r="L4667">
        <v>0</v>
      </c>
      <c r="M4667">
        <v>9</v>
      </c>
      <c r="N4667">
        <v>0.3</v>
      </c>
      <c r="O4667">
        <v>0</v>
      </c>
      <c r="P4667">
        <v>0.7</v>
      </c>
      <c r="Q4667">
        <f t="shared" si="144"/>
        <v>623251</v>
      </c>
      <c r="R4667">
        <f t="shared" si="143"/>
        <v>0.64179600193180597</v>
      </c>
      <c r="U4667">
        <v>68</v>
      </c>
      <c r="V4667">
        <v>0</v>
      </c>
      <c r="W4667">
        <v>152</v>
      </c>
      <c r="X4667">
        <v>77</v>
      </c>
      <c r="Y4667">
        <v>46.9</v>
      </c>
      <c r="Z4667">
        <v>23</v>
      </c>
      <c r="AA4667">
        <v>70.8</v>
      </c>
    </row>
    <row r="4668" spans="1:27" x14ac:dyDescent="0.25">
      <c r="A4668" t="s">
        <v>271</v>
      </c>
      <c r="B4668" t="s">
        <v>222</v>
      </c>
      <c r="C4668" s="76">
        <v>44002</v>
      </c>
      <c r="D4668">
        <v>694</v>
      </c>
      <c r="E4668">
        <v>0</v>
      </c>
      <c r="F4668">
        <v>1421</v>
      </c>
      <c r="G4668">
        <v>602</v>
      </c>
      <c r="H4668">
        <v>53.6</v>
      </c>
      <c r="I4668">
        <v>41</v>
      </c>
      <c r="J4668">
        <v>66.2</v>
      </c>
      <c r="K4668">
        <v>9</v>
      </c>
      <c r="L4668">
        <v>0</v>
      </c>
      <c r="M4668">
        <v>20</v>
      </c>
      <c r="N4668">
        <v>0.7</v>
      </c>
      <c r="O4668">
        <v>0.3</v>
      </c>
      <c r="P4668">
        <v>1.1000000000000001</v>
      </c>
      <c r="Q4668">
        <f t="shared" si="144"/>
        <v>623251</v>
      </c>
      <c r="R4668">
        <f t="shared" si="143"/>
        <v>1.4440410043465632</v>
      </c>
      <c r="U4668">
        <v>75</v>
      </c>
      <c r="V4668">
        <v>0</v>
      </c>
      <c r="W4668">
        <v>162</v>
      </c>
      <c r="X4668">
        <v>75</v>
      </c>
      <c r="Y4668">
        <v>49.8</v>
      </c>
      <c r="Z4668">
        <v>29.2</v>
      </c>
      <c r="AA4668">
        <v>70.400000000000006</v>
      </c>
    </row>
    <row r="4669" spans="1:27" x14ac:dyDescent="0.25">
      <c r="A4669" t="s">
        <v>271</v>
      </c>
      <c r="B4669" t="s">
        <v>222</v>
      </c>
      <c r="C4669" s="76">
        <v>44003</v>
      </c>
      <c r="D4669">
        <v>641</v>
      </c>
      <c r="E4669">
        <v>0</v>
      </c>
      <c r="F4669">
        <v>1365</v>
      </c>
      <c r="G4669">
        <v>501</v>
      </c>
      <c r="H4669">
        <v>56.1</v>
      </c>
      <c r="I4669">
        <v>43.1</v>
      </c>
      <c r="J4669">
        <v>69.099999999999994</v>
      </c>
      <c r="K4669">
        <v>6</v>
      </c>
      <c r="L4669">
        <v>0</v>
      </c>
      <c r="M4669">
        <v>13</v>
      </c>
      <c r="N4669">
        <v>0.5</v>
      </c>
      <c r="O4669">
        <v>0.1</v>
      </c>
      <c r="P4669">
        <v>0.9</v>
      </c>
      <c r="Q4669">
        <f t="shared" si="144"/>
        <v>623251</v>
      </c>
      <c r="R4669">
        <f t="shared" si="143"/>
        <v>0.9626940028977089</v>
      </c>
      <c r="U4669">
        <v>68</v>
      </c>
      <c r="V4669">
        <v>0</v>
      </c>
      <c r="W4669">
        <v>150</v>
      </c>
      <c r="X4669">
        <v>63</v>
      </c>
      <c r="Y4669">
        <v>52.1</v>
      </c>
      <c r="Z4669">
        <v>28.3</v>
      </c>
      <c r="AA4669">
        <v>75.900000000000006</v>
      </c>
    </row>
    <row r="4670" spans="1:27" x14ac:dyDescent="0.25">
      <c r="A4670" t="s">
        <v>271</v>
      </c>
      <c r="B4670" t="s">
        <v>222</v>
      </c>
      <c r="C4670" s="76">
        <v>44004</v>
      </c>
      <c r="D4670">
        <v>703</v>
      </c>
      <c r="E4670">
        <v>0</v>
      </c>
      <c r="F4670">
        <v>1551</v>
      </c>
      <c r="G4670">
        <v>442</v>
      </c>
      <c r="H4670">
        <v>61.4</v>
      </c>
      <c r="I4670">
        <v>23.7</v>
      </c>
      <c r="J4670">
        <v>99.1</v>
      </c>
      <c r="K4670">
        <v>4</v>
      </c>
      <c r="L4670">
        <v>0</v>
      </c>
      <c r="M4670">
        <v>10</v>
      </c>
      <c r="N4670">
        <v>0.3</v>
      </c>
      <c r="O4670">
        <v>0</v>
      </c>
      <c r="P4670">
        <v>0.7</v>
      </c>
      <c r="Q4670">
        <f t="shared" si="144"/>
        <v>623251</v>
      </c>
      <c r="R4670">
        <f t="shared" si="143"/>
        <v>0.64179600193180597</v>
      </c>
      <c r="U4670">
        <v>87</v>
      </c>
      <c r="V4670">
        <v>0</v>
      </c>
      <c r="W4670">
        <v>196</v>
      </c>
      <c r="X4670">
        <v>43</v>
      </c>
      <c r="Y4670">
        <v>66.8</v>
      </c>
      <c r="Z4670">
        <v>35</v>
      </c>
      <c r="AA4670">
        <v>98.7</v>
      </c>
    </row>
    <row r="4671" spans="1:27" x14ac:dyDescent="0.25">
      <c r="A4671" t="s">
        <v>271</v>
      </c>
      <c r="B4671" t="s">
        <v>222</v>
      </c>
      <c r="C4671" s="76">
        <v>44005</v>
      </c>
      <c r="D4671">
        <v>713</v>
      </c>
      <c r="E4671">
        <v>0</v>
      </c>
      <c r="F4671">
        <v>1485</v>
      </c>
      <c r="G4671">
        <v>429</v>
      </c>
      <c r="H4671">
        <v>62.4</v>
      </c>
      <c r="I4671">
        <v>49.9</v>
      </c>
      <c r="J4671">
        <v>75</v>
      </c>
      <c r="K4671">
        <v>11</v>
      </c>
      <c r="L4671">
        <v>1</v>
      </c>
      <c r="M4671">
        <v>22</v>
      </c>
      <c r="N4671">
        <v>1</v>
      </c>
      <c r="O4671">
        <v>0</v>
      </c>
      <c r="P4671">
        <v>2</v>
      </c>
      <c r="Q4671">
        <f t="shared" si="144"/>
        <v>623251</v>
      </c>
      <c r="R4671">
        <f t="shared" si="143"/>
        <v>1.7649390053124663</v>
      </c>
      <c r="U4671">
        <v>89</v>
      </c>
      <c r="V4671">
        <v>0</v>
      </c>
      <c r="W4671">
        <v>202</v>
      </c>
      <c r="X4671">
        <v>41</v>
      </c>
      <c r="Y4671">
        <v>68.5</v>
      </c>
      <c r="Z4671">
        <v>35.6</v>
      </c>
      <c r="AA4671">
        <v>100</v>
      </c>
    </row>
    <row r="4672" spans="1:27" x14ac:dyDescent="0.25">
      <c r="A4672" t="s">
        <v>271</v>
      </c>
      <c r="B4672" t="s">
        <v>222</v>
      </c>
      <c r="C4672" s="76">
        <v>44006</v>
      </c>
      <c r="D4672">
        <v>621</v>
      </c>
      <c r="E4672">
        <v>0</v>
      </c>
      <c r="F4672">
        <v>1361</v>
      </c>
      <c r="G4672">
        <v>399</v>
      </c>
      <c r="H4672">
        <v>60.9</v>
      </c>
      <c r="I4672">
        <v>53.6</v>
      </c>
      <c r="J4672">
        <v>68.099999999999994</v>
      </c>
      <c r="K4672">
        <v>3</v>
      </c>
      <c r="L4672">
        <v>0</v>
      </c>
      <c r="M4672">
        <v>9</v>
      </c>
      <c r="N4672">
        <v>0.3</v>
      </c>
      <c r="O4672">
        <v>0</v>
      </c>
      <c r="P4672">
        <v>0.6</v>
      </c>
      <c r="Q4672">
        <f t="shared" si="144"/>
        <v>623251</v>
      </c>
      <c r="R4672">
        <f t="shared" si="143"/>
        <v>0.48134700144885445</v>
      </c>
      <c r="U4672">
        <v>70</v>
      </c>
      <c r="V4672">
        <v>0</v>
      </c>
      <c r="W4672">
        <v>172</v>
      </c>
      <c r="X4672">
        <v>41</v>
      </c>
      <c r="Y4672">
        <v>62.9</v>
      </c>
      <c r="Z4672">
        <v>50.3</v>
      </c>
      <c r="AA4672">
        <v>75.5</v>
      </c>
    </row>
    <row r="4673" spans="1:27" x14ac:dyDescent="0.25">
      <c r="A4673" t="s">
        <v>271</v>
      </c>
      <c r="B4673" t="s">
        <v>222</v>
      </c>
      <c r="C4673" s="76">
        <v>44007</v>
      </c>
      <c r="D4673">
        <v>850</v>
      </c>
      <c r="E4673">
        <v>0</v>
      </c>
      <c r="F4673">
        <v>1706</v>
      </c>
      <c r="G4673">
        <v>446</v>
      </c>
      <c r="H4673">
        <v>65.599999999999994</v>
      </c>
      <c r="I4673">
        <v>43.4</v>
      </c>
      <c r="J4673">
        <v>87.7</v>
      </c>
      <c r="K4673">
        <v>10</v>
      </c>
      <c r="L4673">
        <v>0</v>
      </c>
      <c r="M4673">
        <v>21</v>
      </c>
      <c r="N4673">
        <v>0.8</v>
      </c>
      <c r="O4673">
        <v>0.1</v>
      </c>
      <c r="P4673">
        <v>1.5</v>
      </c>
      <c r="Q4673">
        <f t="shared" si="144"/>
        <v>623251</v>
      </c>
      <c r="R4673">
        <f t="shared" si="143"/>
        <v>1.6044900048295148</v>
      </c>
      <c r="U4673">
        <v>86</v>
      </c>
      <c r="V4673">
        <v>0</v>
      </c>
      <c r="W4673">
        <v>201</v>
      </c>
      <c r="X4673">
        <v>62</v>
      </c>
      <c r="Y4673">
        <v>58.2</v>
      </c>
      <c r="Z4673">
        <v>29.3</v>
      </c>
      <c r="AA4673">
        <v>87</v>
      </c>
    </row>
    <row r="4674" spans="1:27" x14ac:dyDescent="0.25">
      <c r="A4674" t="s">
        <v>271</v>
      </c>
      <c r="B4674" t="s">
        <v>222</v>
      </c>
      <c r="C4674" s="76">
        <v>44008</v>
      </c>
      <c r="D4674">
        <v>824</v>
      </c>
      <c r="E4674">
        <v>0</v>
      </c>
      <c r="F4674">
        <v>1661</v>
      </c>
      <c r="G4674">
        <v>473</v>
      </c>
      <c r="H4674">
        <v>63.5</v>
      </c>
      <c r="I4674">
        <v>49.9</v>
      </c>
      <c r="J4674">
        <v>77.099999999999994</v>
      </c>
      <c r="K4674">
        <v>9</v>
      </c>
      <c r="L4674">
        <v>0</v>
      </c>
      <c r="M4674">
        <v>18</v>
      </c>
      <c r="N4674">
        <v>0.7</v>
      </c>
      <c r="O4674">
        <v>0.1</v>
      </c>
      <c r="P4674">
        <v>1.3</v>
      </c>
      <c r="Q4674">
        <f t="shared" si="144"/>
        <v>623251</v>
      </c>
      <c r="R4674">
        <f t="shared" si="143"/>
        <v>1.4440410043465632</v>
      </c>
      <c r="U4674">
        <v>98</v>
      </c>
      <c r="V4674">
        <v>0</v>
      </c>
      <c r="W4674">
        <v>286</v>
      </c>
      <c r="X4674">
        <v>50</v>
      </c>
      <c r="Y4674">
        <v>66.3</v>
      </c>
      <c r="Z4674">
        <v>0</v>
      </c>
      <c r="AA4674">
        <v>100</v>
      </c>
    </row>
    <row r="4675" spans="1:27" x14ac:dyDescent="0.25">
      <c r="A4675" t="s">
        <v>271</v>
      </c>
      <c r="B4675" t="s">
        <v>222</v>
      </c>
      <c r="C4675" s="76">
        <v>44009</v>
      </c>
      <c r="D4675">
        <v>855</v>
      </c>
      <c r="E4675">
        <v>7</v>
      </c>
      <c r="F4675">
        <v>1703</v>
      </c>
      <c r="G4675">
        <v>441</v>
      </c>
      <c r="H4675">
        <v>66</v>
      </c>
      <c r="I4675">
        <v>56.1</v>
      </c>
      <c r="J4675">
        <v>75.8</v>
      </c>
      <c r="K4675">
        <v>13</v>
      </c>
      <c r="L4675">
        <v>0</v>
      </c>
      <c r="M4675">
        <v>29</v>
      </c>
      <c r="N4675">
        <v>1</v>
      </c>
      <c r="O4675">
        <v>0.2</v>
      </c>
      <c r="P4675">
        <v>1.8</v>
      </c>
      <c r="Q4675">
        <f t="shared" si="144"/>
        <v>623251</v>
      </c>
      <c r="R4675">
        <f t="shared" si="143"/>
        <v>2.0858370062783691</v>
      </c>
      <c r="U4675">
        <v>81</v>
      </c>
      <c r="V4675">
        <v>0</v>
      </c>
      <c r="W4675">
        <v>187</v>
      </c>
      <c r="X4675">
        <v>70</v>
      </c>
      <c r="Y4675">
        <v>53.7</v>
      </c>
      <c r="Z4675">
        <v>29.2</v>
      </c>
      <c r="AA4675">
        <v>78.099999999999994</v>
      </c>
    </row>
    <row r="4676" spans="1:27" x14ac:dyDescent="0.25">
      <c r="A4676" t="s">
        <v>271</v>
      </c>
      <c r="B4676" t="s">
        <v>222</v>
      </c>
      <c r="C4676" s="76">
        <v>44010</v>
      </c>
      <c r="D4676">
        <v>706</v>
      </c>
      <c r="E4676">
        <v>0</v>
      </c>
      <c r="F4676">
        <v>1484</v>
      </c>
      <c r="G4676">
        <v>459</v>
      </c>
      <c r="H4676">
        <v>60.6</v>
      </c>
      <c r="I4676">
        <v>46.9</v>
      </c>
      <c r="J4676">
        <v>74.3</v>
      </c>
      <c r="K4676">
        <v>6</v>
      </c>
      <c r="L4676">
        <v>0</v>
      </c>
      <c r="M4676">
        <v>13</v>
      </c>
      <c r="N4676">
        <v>0.5</v>
      </c>
      <c r="O4676">
        <v>0.1</v>
      </c>
      <c r="P4676">
        <v>1</v>
      </c>
      <c r="Q4676">
        <f t="shared" si="144"/>
        <v>623251</v>
      </c>
      <c r="R4676">
        <f t="shared" si="143"/>
        <v>0.9626940028977089</v>
      </c>
      <c r="U4676">
        <v>87</v>
      </c>
      <c r="V4676">
        <v>0</v>
      </c>
      <c r="W4676">
        <v>221</v>
      </c>
      <c r="X4676">
        <v>46</v>
      </c>
      <c r="Y4676">
        <v>65.400000000000006</v>
      </c>
      <c r="Z4676">
        <v>3.7</v>
      </c>
      <c r="AA4676">
        <v>100</v>
      </c>
    </row>
    <row r="4677" spans="1:27" x14ac:dyDescent="0.25">
      <c r="A4677" t="s">
        <v>271</v>
      </c>
      <c r="B4677" t="s">
        <v>222</v>
      </c>
      <c r="C4677" s="76">
        <v>44011</v>
      </c>
      <c r="D4677">
        <v>680</v>
      </c>
      <c r="E4677">
        <v>0</v>
      </c>
      <c r="F4677">
        <v>1434</v>
      </c>
      <c r="G4677">
        <v>490</v>
      </c>
      <c r="H4677">
        <v>58.1</v>
      </c>
      <c r="I4677">
        <v>47.1</v>
      </c>
      <c r="J4677">
        <v>69.2</v>
      </c>
      <c r="K4677">
        <v>10</v>
      </c>
      <c r="L4677">
        <v>0</v>
      </c>
      <c r="M4677">
        <v>23</v>
      </c>
      <c r="N4677">
        <v>0.9</v>
      </c>
      <c r="O4677">
        <v>0</v>
      </c>
      <c r="P4677">
        <v>1.7</v>
      </c>
      <c r="Q4677">
        <f t="shared" si="144"/>
        <v>623251</v>
      </c>
      <c r="R4677">
        <f t="shared" ref="R4677:R4740" si="145">K4677/(Q4677)*100000</f>
        <v>1.6044900048295148</v>
      </c>
      <c r="U4677">
        <v>83</v>
      </c>
      <c r="V4677">
        <v>0</v>
      </c>
      <c r="W4677">
        <v>191</v>
      </c>
      <c r="X4677">
        <v>45</v>
      </c>
      <c r="Y4677">
        <v>65</v>
      </c>
      <c r="Z4677">
        <v>36.799999999999997</v>
      </c>
      <c r="AA4677">
        <v>93.3</v>
      </c>
    </row>
    <row r="4678" spans="1:27" x14ac:dyDescent="0.25">
      <c r="A4678" t="s">
        <v>271</v>
      </c>
      <c r="B4678" t="s">
        <v>222</v>
      </c>
      <c r="C4678" s="76">
        <v>44012</v>
      </c>
      <c r="D4678">
        <v>701</v>
      </c>
      <c r="E4678">
        <v>0</v>
      </c>
      <c r="F4678">
        <v>1509</v>
      </c>
      <c r="G4678">
        <v>466</v>
      </c>
      <c r="H4678">
        <v>60.1</v>
      </c>
      <c r="I4678">
        <v>46.4</v>
      </c>
      <c r="J4678">
        <v>73.8</v>
      </c>
      <c r="K4678">
        <v>10</v>
      </c>
      <c r="L4678">
        <v>0</v>
      </c>
      <c r="M4678">
        <v>21</v>
      </c>
      <c r="N4678">
        <v>0.9</v>
      </c>
      <c r="O4678">
        <v>0.1</v>
      </c>
      <c r="P4678">
        <v>1.6</v>
      </c>
      <c r="Q4678">
        <f t="shared" si="144"/>
        <v>623251</v>
      </c>
      <c r="R4678">
        <f t="shared" si="145"/>
        <v>1.6044900048295148</v>
      </c>
      <c r="U4678">
        <v>83</v>
      </c>
      <c r="V4678">
        <v>0</v>
      </c>
      <c r="W4678">
        <v>201</v>
      </c>
      <c r="X4678">
        <v>43</v>
      </c>
      <c r="Y4678">
        <v>66.099999999999994</v>
      </c>
      <c r="Z4678">
        <v>38.299999999999997</v>
      </c>
      <c r="AA4678">
        <v>94</v>
      </c>
    </row>
    <row r="4679" spans="1:27" x14ac:dyDescent="0.25">
      <c r="A4679" t="s">
        <v>271</v>
      </c>
      <c r="B4679" t="s">
        <v>222</v>
      </c>
      <c r="C4679" s="76">
        <v>44013</v>
      </c>
      <c r="D4679">
        <v>706</v>
      </c>
      <c r="E4679">
        <v>0</v>
      </c>
      <c r="F4679">
        <v>1505</v>
      </c>
      <c r="G4679">
        <v>461</v>
      </c>
      <c r="H4679">
        <v>60.5</v>
      </c>
      <c r="I4679">
        <v>47.3</v>
      </c>
      <c r="J4679">
        <v>73.599999999999994</v>
      </c>
      <c r="K4679">
        <v>11</v>
      </c>
      <c r="L4679">
        <v>0</v>
      </c>
      <c r="M4679">
        <v>24</v>
      </c>
      <c r="N4679">
        <v>0.9</v>
      </c>
      <c r="O4679">
        <v>0.1</v>
      </c>
      <c r="P4679">
        <v>1.8</v>
      </c>
      <c r="Q4679">
        <f t="shared" si="144"/>
        <v>623251</v>
      </c>
      <c r="R4679">
        <f t="shared" si="145"/>
        <v>1.7649390053124663</v>
      </c>
      <c r="U4679">
        <v>79</v>
      </c>
      <c r="V4679">
        <v>0</v>
      </c>
      <c r="W4679">
        <v>187</v>
      </c>
      <c r="X4679">
        <v>47</v>
      </c>
      <c r="Y4679">
        <v>62.9</v>
      </c>
      <c r="Z4679">
        <v>35.200000000000003</v>
      </c>
      <c r="AA4679">
        <v>90.5</v>
      </c>
    </row>
    <row r="4680" spans="1:27" x14ac:dyDescent="0.25">
      <c r="A4680" t="s">
        <v>271</v>
      </c>
      <c r="B4680" t="s">
        <v>222</v>
      </c>
      <c r="C4680" s="76">
        <v>44014</v>
      </c>
      <c r="D4680">
        <v>696</v>
      </c>
      <c r="E4680">
        <v>0</v>
      </c>
      <c r="F4680">
        <v>1503</v>
      </c>
      <c r="G4680">
        <v>474</v>
      </c>
      <c r="H4680">
        <v>59.5</v>
      </c>
      <c r="I4680">
        <v>43.5</v>
      </c>
      <c r="J4680">
        <v>75.599999999999994</v>
      </c>
      <c r="K4680">
        <v>13</v>
      </c>
      <c r="L4680">
        <v>0</v>
      </c>
      <c r="M4680">
        <v>26</v>
      </c>
      <c r="N4680">
        <v>1.1000000000000001</v>
      </c>
      <c r="O4680">
        <v>0.3</v>
      </c>
      <c r="P4680">
        <v>1.9</v>
      </c>
      <c r="Q4680">
        <f t="shared" si="144"/>
        <v>623251</v>
      </c>
      <c r="R4680">
        <f t="shared" si="145"/>
        <v>2.0858370062783691</v>
      </c>
      <c r="U4680">
        <v>74</v>
      </c>
      <c r="V4680">
        <v>0</v>
      </c>
      <c r="W4680">
        <v>175</v>
      </c>
      <c r="X4680">
        <v>50</v>
      </c>
      <c r="Y4680">
        <v>59.7</v>
      </c>
      <c r="Z4680">
        <v>37.1</v>
      </c>
      <c r="AA4680">
        <v>82.2</v>
      </c>
    </row>
    <row r="4681" spans="1:27" x14ac:dyDescent="0.25">
      <c r="A4681" t="s">
        <v>271</v>
      </c>
      <c r="B4681" t="s">
        <v>222</v>
      </c>
      <c r="C4681" s="76">
        <v>44015</v>
      </c>
      <c r="D4681">
        <v>769</v>
      </c>
      <c r="E4681">
        <v>0</v>
      </c>
      <c r="F4681">
        <v>1587</v>
      </c>
      <c r="G4681">
        <v>515</v>
      </c>
      <c r="H4681">
        <v>59.9</v>
      </c>
      <c r="I4681">
        <v>47</v>
      </c>
      <c r="J4681">
        <v>72.8</v>
      </c>
      <c r="K4681">
        <v>11</v>
      </c>
      <c r="L4681">
        <v>0</v>
      </c>
      <c r="M4681">
        <v>24</v>
      </c>
      <c r="N4681">
        <v>0.9</v>
      </c>
      <c r="O4681">
        <v>0.4</v>
      </c>
      <c r="P4681">
        <v>1.4</v>
      </c>
      <c r="Q4681">
        <f t="shared" si="144"/>
        <v>623251</v>
      </c>
      <c r="R4681">
        <f t="shared" si="145"/>
        <v>1.7649390053124663</v>
      </c>
      <c r="U4681">
        <v>84</v>
      </c>
      <c r="V4681">
        <v>0</v>
      </c>
      <c r="W4681">
        <v>191</v>
      </c>
      <c r="X4681">
        <v>54</v>
      </c>
      <c r="Y4681">
        <v>60.9</v>
      </c>
      <c r="Z4681">
        <v>38.299999999999997</v>
      </c>
      <c r="AA4681">
        <v>83.5</v>
      </c>
    </row>
    <row r="4682" spans="1:27" x14ac:dyDescent="0.25">
      <c r="A4682" t="s">
        <v>271</v>
      </c>
      <c r="B4682" t="s">
        <v>222</v>
      </c>
      <c r="C4682" s="76">
        <v>44016</v>
      </c>
      <c r="D4682">
        <v>737</v>
      </c>
      <c r="E4682">
        <v>0</v>
      </c>
      <c r="F4682">
        <v>1488</v>
      </c>
      <c r="G4682">
        <v>547</v>
      </c>
      <c r="H4682">
        <v>57.4</v>
      </c>
      <c r="I4682">
        <v>45.2</v>
      </c>
      <c r="J4682">
        <v>69.5</v>
      </c>
      <c r="K4682">
        <v>10</v>
      </c>
      <c r="L4682">
        <v>0</v>
      </c>
      <c r="M4682">
        <v>22</v>
      </c>
      <c r="N4682">
        <v>0.8</v>
      </c>
      <c r="O4682">
        <v>0</v>
      </c>
      <c r="P4682">
        <v>1.8</v>
      </c>
      <c r="Q4682">
        <f t="shared" si="144"/>
        <v>623251</v>
      </c>
      <c r="R4682">
        <f t="shared" si="145"/>
        <v>1.6044900048295148</v>
      </c>
      <c r="U4682">
        <v>71</v>
      </c>
      <c r="V4682">
        <v>0</v>
      </c>
      <c r="W4682">
        <v>160</v>
      </c>
      <c r="X4682">
        <v>67</v>
      </c>
      <c r="Y4682">
        <v>51.5</v>
      </c>
      <c r="Z4682">
        <v>30.4</v>
      </c>
      <c r="AA4682">
        <v>72.599999999999994</v>
      </c>
    </row>
    <row r="4683" spans="1:27" x14ac:dyDescent="0.25">
      <c r="A4683" t="s">
        <v>271</v>
      </c>
      <c r="B4683" t="s">
        <v>222</v>
      </c>
      <c r="C4683" s="76">
        <v>44017</v>
      </c>
      <c r="D4683">
        <v>746</v>
      </c>
      <c r="E4683">
        <v>0</v>
      </c>
      <c r="F4683">
        <v>1505</v>
      </c>
      <c r="G4683">
        <v>538</v>
      </c>
      <c r="H4683">
        <v>58.1</v>
      </c>
      <c r="I4683">
        <v>46</v>
      </c>
      <c r="J4683">
        <v>70.2</v>
      </c>
      <c r="K4683">
        <v>12</v>
      </c>
      <c r="L4683">
        <v>0</v>
      </c>
      <c r="M4683">
        <v>31</v>
      </c>
      <c r="N4683">
        <v>0.9</v>
      </c>
      <c r="O4683">
        <v>0</v>
      </c>
      <c r="P4683">
        <v>2.5</v>
      </c>
      <c r="Q4683">
        <f t="shared" si="144"/>
        <v>623251</v>
      </c>
      <c r="R4683">
        <f t="shared" si="145"/>
        <v>1.9253880057954178</v>
      </c>
      <c r="U4683">
        <v>67</v>
      </c>
      <c r="V4683">
        <v>0</v>
      </c>
      <c r="W4683">
        <v>152</v>
      </c>
      <c r="X4683">
        <v>73</v>
      </c>
      <c r="Y4683">
        <v>48.1</v>
      </c>
      <c r="Z4683">
        <v>20.7</v>
      </c>
      <c r="AA4683">
        <v>75.400000000000006</v>
      </c>
    </row>
    <row r="4684" spans="1:27" x14ac:dyDescent="0.25">
      <c r="A4684" t="s">
        <v>271</v>
      </c>
      <c r="B4684" t="s">
        <v>222</v>
      </c>
      <c r="C4684" s="76">
        <v>44018</v>
      </c>
      <c r="D4684">
        <v>742</v>
      </c>
      <c r="E4684">
        <v>0</v>
      </c>
      <c r="F4684">
        <v>1496</v>
      </c>
      <c r="G4684">
        <v>541</v>
      </c>
      <c r="H4684">
        <v>57.8</v>
      </c>
      <c r="I4684">
        <v>45.6</v>
      </c>
      <c r="J4684">
        <v>70</v>
      </c>
      <c r="K4684">
        <v>10</v>
      </c>
      <c r="L4684">
        <v>0</v>
      </c>
      <c r="M4684">
        <v>21</v>
      </c>
      <c r="N4684">
        <v>0.8</v>
      </c>
      <c r="O4684">
        <v>0</v>
      </c>
      <c r="P4684">
        <v>1.6</v>
      </c>
      <c r="Q4684">
        <f t="shared" si="144"/>
        <v>623251</v>
      </c>
      <c r="R4684">
        <f t="shared" si="145"/>
        <v>1.6044900048295148</v>
      </c>
      <c r="U4684">
        <v>70</v>
      </c>
      <c r="V4684">
        <v>0</v>
      </c>
      <c r="W4684">
        <v>160</v>
      </c>
      <c r="X4684">
        <v>72</v>
      </c>
      <c r="Y4684">
        <v>49.1</v>
      </c>
      <c r="Z4684">
        <v>20.399999999999999</v>
      </c>
      <c r="AA4684">
        <v>77.7</v>
      </c>
    </row>
    <row r="4685" spans="1:27" x14ac:dyDescent="0.25">
      <c r="A4685" t="s">
        <v>271</v>
      </c>
      <c r="B4685" t="s">
        <v>222</v>
      </c>
      <c r="C4685" s="76">
        <v>44019</v>
      </c>
      <c r="D4685">
        <v>803</v>
      </c>
      <c r="E4685">
        <v>0</v>
      </c>
      <c r="F4685">
        <v>1637</v>
      </c>
      <c r="G4685">
        <v>481</v>
      </c>
      <c r="H4685">
        <v>62.5</v>
      </c>
      <c r="I4685">
        <v>50.2</v>
      </c>
      <c r="J4685">
        <v>74.8</v>
      </c>
      <c r="K4685">
        <v>15</v>
      </c>
      <c r="L4685">
        <v>0</v>
      </c>
      <c r="M4685">
        <v>33</v>
      </c>
      <c r="N4685">
        <v>1.2</v>
      </c>
      <c r="O4685">
        <v>0</v>
      </c>
      <c r="P4685">
        <v>2.5</v>
      </c>
      <c r="Q4685">
        <f t="shared" si="144"/>
        <v>623251</v>
      </c>
      <c r="R4685">
        <f t="shared" si="145"/>
        <v>2.4067350072442721</v>
      </c>
      <c r="U4685">
        <v>77</v>
      </c>
      <c r="V4685">
        <v>0</v>
      </c>
      <c r="W4685">
        <v>174</v>
      </c>
      <c r="X4685">
        <v>64</v>
      </c>
      <c r="Y4685">
        <v>54.4</v>
      </c>
      <c r="Z4685">
        <v>27.8</v>
      </c>
      <c r="AA4685">
        <v>80.900000000000006</v>
      </c>
    </row>
    <row r="4686" spans="1:27" x14ac:dyDescent="0.25">
      <c r="A4686" t="s">
        <v>272</v>
      </c>
      <c r="B4686" t="s">
        <v>184</v>
      </c>
      <c r="C4686" s="76">
        <v>43936</v>
      </c>
      <c r="D4686">
        <v>6270</v>
      </c>
      <c r="E4686">
        <v>3243</v>
      </c>
      <c r="F4686">
        <v>9297</v>
      </c>
      <c r="G4686">
        <v>7159</v>
      </c>
      <c r="H4686">
        <v>46.7</v>
      </c>
      <c r="I4686">
        <v>35.6</v>
      </c>
      <c r="J4686">
        <v>57.8</v>
      </c>
      <c r="K4686">
        <v>922</v>
      </c>
      <c r="L4686">
        <v>387</v>
      </c>
      <c r="M4686">
        <v>1457</v>
      </c>
      <c r="N4686">
        <v>6.9</v>
      </c>
      <c r="O4686">
        <v>4.3</v>
      </c>
      <c r="P4686">
        <v>9.5</v>
      </c>
      <c r="Q4686">
        <f t="shared" si="144"/>
        <v>7796941</v>
      </c>
      <c r="R4686">
        <f t="shared" si="145"/>
        <v>11.825150401933271</v>
      </c>
      <c r="U4686">
        <v>790</v>
      </c>
      <c r="V4686">
        <v>363</v>
      </c>
      <c r="W4686">
        <v>1217</v>
      </c>
      <c r="X4686">
        <v>1046</v>
      </c>
      <c r="Y4686">
        <v>43</v>
      </c>
      <c r="Z4686">
        <v>29.9</v>
      </c>
      <c r="AA4686">
        <v>56.2</v>
      </c>
    </row>
    <row r="4687" spans="1:27" x14ac:dyDescent="0.25">
      <c r="A4687" t="s">
        <v>272</v>
      </c>
      <c r="B4687" t="s">
        <v>184</v>
      </c>
      <c r="C4687" s="76">
        <v>43937</v>
      </c>
      <c r="D4687">
        <v>6006</v>
      </c>
      <c r="E4687">
        <v>3459</v>
      </c>
      <c r="F4687">
        <v>8553</v>
      </c>
      <c r="G4687">
        <v>7792</v>
      </c>
      <c r="H4687">
        <v>43.5</v>
      </c>
      <c r="I4687">
        <v>34.4</v>
      </c>
      <c r="J4687">
        <v>52.6</v>
      </c>
      <c r="K4687">
        <v>970</v>
      </c>
      <c r="L4687">
        <v>500</v>
      </c>
      <c r="M4687">
        <v>1439</v>
      </c>
      <c r="N4687">
        <v>7</v>
      </c>
      <c r="O4687">
        <v>5</v>
      </c>
      <c r="P4687">
        <v>9</v>
      </c>
      <c r="Q4687">
        <f t="shared" si="144"/>
        <v>7796941</v>
      </c>
      <c r="R4687">
        <f t="shared" si="145"/>
        <v>12.440776453226976</v>
      </c>
      <c r="U4687">
        <v>754</v>
      </c>
      <c r="V4687">
        <v>396</v>
      </c>
      <c r="W4687">
        <v>1112</v>
      </c>
      <c r="X4687">
        <v>1020</v>
      </c>
      <c r="Y4687">
        <v>42.5</v>
      </c>
      <c r="Z4687">
        <v>30.9</v>
      </c>
      <c r="AA4687">
        <v>54.1</v>
      </c>
    </row>
    <row r="4688" spans="1:27" x14ac:dyDescent="0.25">
      <c r="A4688" t="s">
        <v>272</v>
      </c>
      <c r="B4688" t="s">
        <v>184</v>
      </c>
      <c r="C4688" s="76">
        <v>43938</v>
      </c>
      <c r="D4688">
        <v>6242</v>
      </c>
      <c r="E4688">
        <v>3868</v>
      </c>
      <c r="F4688">
        <v>8615</v>
      </c>
      <c r="G4688">
        <v>7869</v>
      </c>
      <c r="H4688">
        <v>44.2</v>
      </c>
      <c r="I4688">
        <v>35.799999999999997</v>
      </c>
      <c r="J4688">
        <v>52.7</v>
      </c>
      <c r="K4688">
        <v>931</v>
      </c>
      <c r="L4688">
        <v>539</v>
      </c>
      <c r="M4688">
        <v>1324</v>
      </c>
      <c r="N4688">
        <v>6.6</v>
      </c>
      <c r="O4688">
        <v>5</v>
      </c>
      <c r="P4688">
        <v>8.1999999999999993</v>
      </c>
      <c r="Q4688">
        <f t="shared" si="144"/>
        <v>7796941</v>
      </c>
      <c r="R4688">
        <f t="shared" si="145"/>
        <v>11.940580286550841</v>
      </c>
      <c r="U4688">
        <v>837</v>
      </c>
      <c r="V4688">
        <v>486</v>
      </c>
      <c r="W4688">
        <v>1189</v>
      </c>
      <c r="X4688">
        <v>987</v>
      </c>
      <c r="Y4688">
        <v>45.9</v>
      </c>
      <c r="Z4688">
        <v>34.299999999999997</v>
      </c>
      <c r="AA4688">
        <v>57.5</v>
      </c>
    </row>
    <row r="4689" spans="1:27" x14ac:dyDescent="0.25">
      <c r="A4689" t="s">
        <v>272</v>
      </c>
      <c r="B4689" t="s">
        <v>184</v>
      </c>
      <c r="C4689" s="76">
        <v>43939</v>
      </c>
      <c r="D4689">
        <v>6154</v>
      </c>
      <c r="E4689">
        <v>3813</v>
      </c>
      <c r="F4689">
        <v>8494</v>
      </c>
      <c r="G4689">
        <v>7910</v>
      </c>
      <c r="H4689">
        <v>43.8</v>
      </c>
      <c r="I4689">
        <v>35.299999999999997</v>
      </c>
      <c r="J4689">
        <v>52.2</v>
      </c>
      <c r="K4689">
        <v>895</v>
      </c>
      <c r="L4689">
        <v>522</v>
      </c>
      <c r="M4689">
        <v>1268</v>
      </c>
      <c r="N4689">
        <v>6.4</v>
      </c>
      <c r="O4689">
        <v>4.7</v>
      </c>
      <c r="P4689">
        <v>8</v>
      </c>
      <c r="Q4689">
        <f t="shared" si="144"/>
        <v>7796941</v>
      </c>
      <c r="R4689">
        <f t="shared" si="145"/>
        <v>11.47886074808056</v>
      </c>
      <c r="U4689">
        <v>822</v>
      </c>
      <c r="V4689">
        <v>477</v>
      </c>
      <c r="W4689">
        <v>1168</v>
      </c>
      <c r="X4689">
        <v>1086</v>
      </c>
      <c r="Y4689">
        <v>43.1</v>
      </c>
      <c r="Z4689">
        <v>32.700000000000003</v>
      </c>
      <c r="AA4689">
        <v>53.5</v>
      </c>
    </row>
    <row r="4690" spans="1:27" x14ac:dyDescent="0.25">
      <c r="A4690" t="s">
        <v>272</v>
      </c>
      <c r="B4690" t="s">
        <v>184</v>
      </c>
      <c r="C4690" s="76">
        <v>43940</v>
      </c>
      <c r="D4690">
        <v>6090</v>
      </c>
      <c r="E4690">
        <v>3793</v>
      </c>
      <c r="F4690">
        <v>8387</v>
      </c>
      <c r="G4690">
        <v>7747</v>
      </c>
      <c r="H4690">
        <v>44</v>
      </c>
      <c r="I4690">
        <v>35.6</v>
      </c>
      <c r="J4690">
        <v>52.4</v>
      </c>
      <c r="K4690">
        <v>901</v>
      </c>
      <c r="L4690">
        <v>533</v>
      </c>
      <c r="M4690">
        <v>1270</v>
      </c>
      <c r="N4690">
        <v>6.5</v>
      </c>
      <c r="O4690">
        <v>4.8</v>
      </c>
      <c r="P4690">
        <v>8.1999999999999993</v>
      </c>
      <c r="Q4690">
        <f t="shared" si="144"/>
        <v>7796941</v>
      </c>
      <c r="R4690">
        <f t="shared" si="145"/>
        <v>11.555814004492275</v>
      </c>
      <c r="U4690">
        <v>766</v>
      </c>
      <c r="V4690">
        <v>435</v>
      </c>
      <c r="W4690">
        <v>1097</v>
      </c>
      <c r="X4690">
        <v>1145</v>
      </c>
      <c r="Y4690">
        <v>40.1</v>
      </c>
      <c r="Z4690">
        <v>29.5</v>
      </c>
      <c r="AA4690">
        <v>50.6</v>
      </c>
    </row>
    <row r="4691" spans="1:27" x14ac:dyDescent="0.25">
      <c r="A4691" t="s">
        <v>272</v>
      </c>
      <c r="B4691" t="s">
        <v>184</v>
      </c>
      <c r="C4691" s="76">
        <v>43941</v>
      </c>
      <c r="D4691">
        <v>5994</v>
      </c>
      <c r="E4691">
        <v>3753</v>
      </c>
      <c r="F4691">
        <v>8234</v>
      </c>
      <c r="G4691">
        <v>8047</v>
      </c>
      <c r="H4691">
        <v>42.7</v>
      </c>
      <c r="I4691">
        <v>35.1</v>
      </c>
      <c r="J4691">
        <v>50.3</v>
      </c>
      <c r="K4691">
        <v>902</v>
      </c>
      <c r="L4691">
        <v>524</v>
      </c>
      <c r="M4691">
        <v>1279</v>
      </c>
      <c r="N4691">
        <v>6.4</v>
      </c>
      <c r="O4691">
        <v>4.8</v>
      </c>
      <c r="P4691">
        <v>8.1</v>
      </c>
      <c r="Q4691">
        <f t="shared" si="144"/>
        <v>7796941</v>
      </c>
      <c r="R4691">
        <f t="shared" si="145"/>
        <v>11.56863954722756</v>
      </c>
      <c r="U4691">
        <v>820</v>
      </c>
      <c r="V4691">
        <v>471</v>
      </c>
      <c r="W4691">
        <v>1169</v>
      </c>
      <c r="X4691">
        <v>1086</v>
      </c>
      <c r="Y4691">
        <v>43</v>
      </c>
      <c r="Z4691">
        <v>33.5</v>
      </c>
      <c r="AA4691">
        <v>52.6</v>
      </c>
    </row>
    <row r="4692" spans="1:27" x14ac:dyDescent="0.25">
      <c r="A4692" t="s">
        <v>272</v>
      </c>
      <c r="B4692" t="s">
        <v>184</v>
      </c>
      <c r="C4692" s="76">
        <v>43942</v>
      </c>
      <c r="D4692">
        <v>5866</v>
      </c>
      <c r="E4692">
        <v>3615</v>
      </c>
      <c r="F4692">
        <v>8118</v>
      </c>
      <c r="G4692">
        <v>6985</v>
      </c>
      <c r="H4692">
        <v>45.6</v>
      </c>
      <c r="I4692">
        <v>36.1</v>
      </c>
      <c r="J4692">
        <v>55.2</v>
      </c>
      <c r="K4692">
        <v>857</v>
      </c>
      <c r="L4692">
        <v>500</v>
      </c>
      <c r="M4692">
        <v>1213</v>
      </c>
      <c r="N4692">
        <v>6.7</v>
      </c>
      <c r="O4692">
        <v>5</v>
      </c>
      <c r="P4692">
        <v>8.3000000000000007</v>
      </c>
      <c r="Q4692">
        <f t="shared" si="144"/>
        <v>7796941</v>
      </c>
      <c r="R4692">
        <f t="shared" si="145"/>
        <v>10.991490124139711</v>
      </c>
      <c r="U4692">
        <v>689</v>
      </c>
      <c r="V4692">
        <v>374</v>
      </c>
      <c r="W4692">
        <v>1004</v>
      </c>
      <c r="X4692">
        <v>1061</v>
      </c>
      <c r="Y4692">
        <v>39.4</v>
      </c>
      <c r="Z4692">
        <v>28</v>
      </c>
      <c r="AA4692">
        <v>50.8</v>
      </c>
    </row>
    <row r="4693" spans="1:27" x14ac:dyDescent="0.25">
      <c r="A4693" t="s">
        <v>272</v>
      </c>
      <c r="B4693" t="s">
        <v>184</v>
      </c>
      <c r="C4693" s="76">
        <v>43943</v>
      </c>
      <c r="D4693">
        <v>6026</v>
      </c>
      <c r="E4693">
        <v>3669</v>
      </c>
      <c r="F4693">
        <v>8384</v>
      </c>
      <c r="G4693">
        <v>6827</v>
      </c>
      <c r="H4693">
        <v>46.9</v>
      </c>
      <c r="I4693">
        <v>37.1</v>
      </c>
      <c r="J4693">
        <v>56.7</v>
      </c>
      <c r="K4693">
        <v>800</v>
      </c>
      <c r="L4693">
        <v>463</v>
      </c>
      <c r="M4693">
        <v>1136</v>
      </c>
      <c r="N4693">
        <v>6.2</v>
      </c>
      <c r="O4693">
        <v>4.7</v>
      </c>
      <c r="P4693">
        <v>7.8</v>
      </c>
      <c r="Q4693">
        <f t="shared" si="144"/>
        <v>7796941</v>
      </c>
      <c r="R4693">
        <f t="shared" si="145"/>
        <v>10.260434188228434</v>
      </c>
      <c r="U4693">
        <v>705</v>
      </c>
      <c r="V4693">
        <v>387</v>
      </c>
      <c r="W4693">
        <v>1023</v>
      </c>
      <c r="X4693">
        <v>1097</v>
      </c>
      <c r="Y4693">
        <v>39.1</v>
      </c>
      <c r="Z4693">
        <v>27.8</v>
      </c>
      <c r="AA4693">
        <v>50.4</v>
      </c>
    </row>
    <row r="4694" spans="1:27" x14ac:dyDescent="0.25">
      <c r="A4694" t="s">
        <v>272</v>
      </c>
      <c r="B4694" t="s">
        <v>184</v>
      </c>
      <c r="C4694" s="76">
        <v>43944</v>
      </c>
      <c r="D4694">
        <v>6041</v>
      </c>
      <c r="E4694">
        <v>3670</v>
      </c>
      <c r="F4694">
        <v>8412</v>
      </c>
      <c r="G4694">
        <v>6790</v>
      </c>
      <c r="H4694">
        <v>47.1</v>
      </c>
      <c r="I4694">
        <v>37.1</v>
      </c>
      <c r="J4694">
        <v>57</v>
      </c>
      <c r="K4694">
        <v>814</v>
      </c>
      <c r="L4694">
        <v>459</v>
      </c>
      <c r="M4694">
        <v>1169</v>
      </c>
      <c r="N4694">
        <v>6.3</v>
      </c>
      <c r="O4694">
        <v>4.5999999999999996</v>
      </c>
      <c r="P4694">
        <v>8.1</v>
      </c>
      <c r="Q4694">
        <f t="shared" si="144"/>
        <v>7796941</v>
      </c>
      <c r="R4694">
        <f t="shared" si="145"/>
        <v>10.439991786522432</v>
      </c>
      <c r="U4694">
        <v>720</v>
      </c>
      <c r="V4694">
        <v>392</v>
      </c>
      <c r="W4694">
        <v>1049</v>
      </c>
      <c r="X4694">
        <v>1017</v>
      </c>
      <c r="Y4694">
        <v>41.5</v>
      </c>
      <c r="Z4694">
        <v>29.2</v>
      </c>
      <c r="AA4694">
        <v>53.7</v>
      </c>
    </row>
    <row r="4695" spans="1:27" x14ac:dyDescent="0.25">
      <c r="A4695" t="s">
        <v>272</v>
      </c>
      <c r="B4695" t="s">
        <v>184</v>
      </c>
      <c r="C4695" s="76">
        <v>43945</v>
      </c>
      <c r="D4695">
        <v>6305</v>
      </c>
      <c r="E4695">
        <v>3844</v>
      </c>
      <c r="F4695">
        <v>8767</v>
      </c>
      <c r="G4695">
        <v>6470</v>
      </c>
      <c r="H4695">
        <v>49.4</v>
      </c>
      <c r="I4695">
        <v>39.700000000000003</v>
      </c>
      <c r="J4695">
        <v>59</v>
      </c>
      <c r="K4695">
        <v>902</v>
      </c>
      <c r="L4695">
        <v>531</v>
      </c>
      <c r="M4695">
        <v>1273</v>
      </c>
      <c r="N4695">
        <v>7.1</v>
      </c>
      <c r="O4695">
        <v>5.4</v>
      </c>
      <c r="P4695">
        <v>8.8000000000000007</v>
      </c>
      <c r="Q4695">
        <f t="shared" si="144"/>
        <v>7796941</v>
      </c>
      <c r="R4695">
        <f t="shared" si="145"/>
        <v>11.56863954722756</v>
      </c>
      <c r="U4695">
        <v>784</v>
      </c>
      <c r="V4695">
        <v>446</v>
      </c>
      <c r="W4695">
        <v>1123</v>
      </c>
      <c r="X4695">
        <v>950</v>
      </c>
      <c r="Y4695">
        <v>45.2</v>
      </c>
      <c r="Z4695">
        <v>34.4</v>
      </c>
      <c r="AA4695">
        <v>56</v>
      </c>
    </row>
    <row r="4696" spans="1:27" x14ac:dyDescent="0.25">
      <c r="A4696" t="s">
        <v>272</v>
      </c>
      <c r="B4696" t="s">
        <v>184</v>
      </c>
      <c r="C4696" s="76">
        <v>43946</v>
      </c>
      <c r="D4696">
        <v>6238</v>
      </c>
      <c r="E4696">
        <v>3793</v>
      </c>
      <c r="F4696">
        <v>8683</v>
      </c>
      <c r="G4696">
        <v>6442</v>
      </c>
      <c r="H4696">
        <v>49.2</v>
      </c>
      <c r="I4696">
        <v>39.299999999999997</v>
      </c>
      <c r="J4696">
        <v>59.1</v>
      </c>
      <c r="K4696">
        <v>826</v>
      </c>
      <c r="L4696">
        <v>476</v>
      </c>
      <c r="M4696">
        <v>1177</v>
      </c>
      <c r="N4696">
        <v>6.5</v>
      </c>
      <c r="O4696">
        <v>4.9000000000000004</v>
      </c>
      <c r="P4696">
        <v>8.1</v>
      </c>
      <c r="Q4696">
        <f t="shared" si="144"/>
        <v>7796941</v>
      </c>
      <c r="R4696">
        <f t="shared" si="145"/>
        <v>10.593898299345859</v>
      </c>
      <c r="U4696">
        <v>801</v>
      </c>
      <c r="V4696">
        <v>454</v>
      </c>
      <c r="W4696">
        <v>1147</v>
      </c>
      <c r="X4696">
        <v>946</v>
      </c>
      <c r="Y4696">
        <v>45.8</v>
      </c>
      <c r="Z4696">
        <v>35.1</v>
      </c>
      <c r="AA4696">
        <v>56.5</v>
      </c>
    </row>
    <row r="4697" spans="1:27" x14ac:dyDescent="0.25">
      <c r="A4697" t="s">
        <v>272</v>
      </c>
      <c r="B4697" t="s">
        <v>184</v>
      </c>
      <c r="C4697" s="76">
        <v>43947</v>
      </c>
      <c r="D4697">
        <v>6571</v>
      </c>
      <c r="E4697">
        <v>4028</v>
      </c>
      <c r="F4697">
        <v>9114</v>
      </c>
      <c r="G4697">
        <v>6107</v>
      </c>
      <c r="H4697">
        <v>51.8</v>
      </c>
      <c r="I4697">
        <v>42.7</v>
      </c>
      <c r="J4697">
        <v>61</v>
      </c>
      <c r="K4697">
        <v>932</v>
      </c>
      <c r="L4697">
        <v>528</v>
      </c>
      <c r="M4697">
        <v>1335</v>
      </c>
      <c r="N4697">
        <v>7.3</v>
      </c>
      <c r="O4697">
        <v>5.5</v>
      </c>
      <c r="P4697">
        <v>9.1999999999999993</v>
      </c>
      <c r="Q4697">
        <f t="shared" si="144"/>
        <v>7796941</v>
      </c>
      <c r="R4697">
        <f t="shared" si="145"/>
        <v>11.953405829286126</v>
      </c>
      <c r="U4697">
        <v>817</v>
      </c>
      <c r="V4697">
        <v>460</v>
      </c>
      <c r="W4697">
        <v>1175</v>
      </c>
      <c r="X4697">
        <v>889</v>
      </c>
      <c r="Y4697">
        <v>47.9</v>
      </c>
      <c r="Z4697">
        <v>36.1</v>
      </c>
      <c r="AA4697">
        <v>59.7</v>
      </c>
    </row>
    <row r="4698" spans="1:27" x14ac:dyDescent="0.25">
      <c r="A4698" t="s">
        <v>272</v>
      </c>
      <c r="B4698" t="s">
        <v>184</v>
      </c>
      <c r="C4698" s="76">
        <v>43948</v>
      </c>
      <c r="D4698">
        <v>7235</v>
      </c>
      <c r="E4698">
        <v>4471</v>
      </c>
      <c r="F4698">
        <v>9998</v>
      </c>
      <c r="G4698">
        <v>5465</v>
      </c>
      <c r="H4698">
        <v>57</v>
      </c>
      <c r="I4698">
        <v>49.4</v>
      </c>
      <c r="J4698">
        <v>64.5</v>
      </c>
      <c r="K4698">
        <v>997</v>
      </c>
      <c r="L4698">
        <v>578</v>
      </c>
      <c r="M4698">
        <v>1415</v>
      </c>
      <c r="N4698">
        <v>7.8</v>
      </c>
      <c r="O4698">
        <v>6.1</v>
      </c>
      <c r="P4698">
        <v>9.6</v>
      </c>
      <c r="Q4698">
        <f t="shared" si="144"/>
        <v>7796941</v>
      </c>
      <c r="R4698">
        <f t="shared" si="145"/>
        <v>12.787066107079688</v>
      </c>
      <c r="U4698">
        <v>830</v>
      </c>
      <c r="V4698">
        <v>484</v>
      </c>
      <c r="W4698">
        <v>1176</v>
      </c>
      <c r="X4698">
        <v>888</v>
      </c>
      <c r="Y4698">
        <v>48.3</v>
      </c>
      <c r="Z4698">
        <v>38.4</v>
      </c>
      <c r="AA4698">
        <v>58.2</v>
      </c>
    </row>
    <row r="4699" spans="1:27" x14ac:dyDescent="0.25">
      <c r="A4699" t="s">
        <v>272</v>
      </c>
      <c r="B4699" t="s">
        <v>184</v>
      </c>
      <c r="C4699" s="76">
        <v>43949</v>
      </c>
      <c r="D4699">
        <v>7396</v>
      </c>
      <c r="E4699">
        <v>4624</v>
      </c>
      <c r="F4699">
        <v>10168</v>
      </c>
      <c r="G4699">
        <v>5713</v>
      </c>
      <c r="H4699">
        <v>56.4</v>
      </c>
      <c r="I4699">
        <v>48.9</v>
      </c>
      <c r="J4699">
        <v>63.9</v>
      </c>
      <c r="K4699">
        <v>1076</v>
      </c>
      <c r="L4699">
        <v>641</v>
      </c>
      <c r="M4699">
        <v>1510</v>
      </c>
      <c r="N4699">
        <v>8.1999999999999993</v>
      </c>
      <c r="O4699">
        <v>6.6</v>
      </c>
      <c r="P4699">
        <v>9.8000000000000007</v>
      </c>
      <c r="Q4699">
        <f t="shared" si="144"/>
        <v>7796941</v>
      </c>
      <c r="R4699">
        <f t="shared" si="145"/>
        <v>13.800283983167244</v>
      </c>
      <c r="U4699">
        <v>914</v>
      </c>
      <c r="V4699">
        <v>525</v>
      </c>
      <c r="W4699">
        <v>1303</v>
      </c>
      <c r="X4699">
        <v>875</v>
      </c>
      <c r="Y4699">
        <v>51.1</v>
      </c>
      <c r="Z4699">
        <v>39.4</v>
      </c>
      <c r="AA4699">
        <v>62.7</v>
      </c>
    </row>
    <row r="4700" spans="1:27" x14ac:dyDescent="0.25">
      <c r="A4700" t="s">
        <v>272</v>
      </c>
      <c r="B4700" t="s">
        <v>184</v>
      </c>
      <c r="C4700" s="76">
        <v>43950</v>
      </c>
      <c r="D4700">
        <v>7698</v>
      </c>
      <c r="E4700">
        <v>4797</v>
      </c>
      <c r="F4700">
        <v>10599</v>
      </c>
      <c r="G4700">
        <v>5406</v>
      </c>
      <c r="H4700">
        <v>58.7</v>
      </c>
      <c r="I4700">
        <v>50.3</v>
      </c>
      <c r="J4700">
        <v>67.2</v>
      </c>
      <c r="K4700">
        <v>1102</v>
      </c>
      <c r="L4700">
        <v>651</v>
      </c>
      <c r="M4700">
        <v>1552</v>
      </c>
      <c r="N4700">
        <v>8.4</v>
      </c>
      <c r="O4700">
        <v>6.7</v>
      </c>
      <c r="P4700">
        <v>10.1</v>
      </c>
      <c r="Q4700">
        <f t="shared" si="144"/>
        <v>7796941</v>
      </c>
      <c r="R4700">
        <f t="shared" si="145"/>
        <v>14.13374809428467</v>
      </c>
      <c r="U4700">
        <v>920</v>
      </c>
      <c r="V4700">
        <v>533</v>
      </c>
      <c r="W4700">
        <v>1308</v>
      </c>
      <c r="X4700">
        <v>863</v>
      </c>
      <c r="Y4700">
        <v>51.6</v>
      </c>
      <c r="Z4700">
        <v>40.200000000000003</v>
      </c>
      <c r="AA4700">
        <v>63</v>
      </c>
    </row>
    <row r="4701" spans="1:27" x14ac:dyDescent="0.25">
      <c r="A4701" t="s">
        <v>272</v>
      </c>
      <c r="B4701" t="s">
        <v>184</v>
      </c>
      <c r="C4701" s="76">
        <v>43951</v>
      </c>
      <c r="D4701">
        <v>6696</v>
      </c>
      <c r="E4701">
        <v>4088</v>
      </c>
      <c r="F4701">
        <v>9304</v>
      </c>
      <c r="G4701">
        <v>6411</v>
      </c>
      <c r="H4701">
        <v>51.1</v>
      </c>
      <c r="I4701">
        <v>40.4</v>
      </c>
      <c r="J4701">
        <v>61.8</v>
      </c>
      <c r="K4701">
        <v>868</v>
      </c>
      <c r="L4701">
        <v>516</v>
      </c>
      <c r="M4701">
        <v>1220</v>
      </c>
      <c r="N4701">
        <v>6.6</v>
      </c>
      <c r="O4701">
        <v>5.0999999999999996</v>
      </c>
      <c r="P4701">
        <v>8.1999999999999993</v>
      </c>
      <c r="Q4701">
        <f t="shared" si="144"/>
        <v>7796941</v>
      </c>
      <c r="R4701">
        <f t="shared" si="145"/>
        <v>11.132571094227851</v>
      </c>
      <c r="U4701">
        <v>912</v>
      </c>
      <c r="V4701">
        <v>521</v>
      </c>
      <c r="W4701">
        <v>1304</v>
      </c>
      <c r="X4701">
        <v>874</v>
      </c>
      <c r="Y4701">
        <v>51.1</v>
      </c>
      <c r="Z4701">
        <v>38.700000000000003</v>
      </c>
      <c r="AA4701">
        <v>63.4</v>
      </c>
    </row>
    <row r="4702" spans="1:27" x14ac:dyDescent="0.25">
      <c r="A4702" t="s">
        <v>272</v>
      </c>
      <c r="B4702" t="s">
        <v>184</v>
      </c>
      <c r="C4702" s="76">
        <v>43952</v>
      </c>
      <c r="D4702">
        <v>7488</v>
      </c>
      <c r="E4702">
        <v>4670</v>
      </c>
      <c r="F4702">
        <v>10307</v>
      </c>
      <c r="G4702">
        <v>5555</v>
      </c>
      <c r="H4702">
        <v>57.4</v>
      </c>
      <c r="I4702">
        <v>48.8</v>
      </c>
      <c r="J4702">
        <v>66.099999999999994</v>
      </c>
      <c r="K4702">
        <v>1039</v>
      </c>
      <c r="L4702">
        <v>624</v>
      </c>
      <c r="M4702">
        <v>1453</v>
      </c>
      <c r="N4702">
        <v>8</v>
      </c>
      <c r="O4702">
        <v>6.3</v>
      </c>
      <c r="P4702">
        <v>9.6999999999999993</v>
      </c>
      <c r="Q4702">
        <f t="shared" si="144"/>
        <v>7796941</v>
      </c>
      <c r="R4702">
        <f t="shared" si="145"/>
        <v>13.32573890196168</v>
      </c>
      <c r="U4702">
        <v>959</v>
      </c>
      <c r="V4702">
        <v>555</v>
      </c>
      <c r="W4702">
        <v>1364</v>
      </c>
      <c r="X4702">
        <v>838</v>
      </c>
      <c r="Y4702">
        <v>53.4</v>
      </c>
      <c r="Z4702">
        <v>42.7</v>
      </c>
      <c r="AA4702">
        <v>64.099999999999994</v>
      </c>
    </row>
    <row r="4703" spans="1:27" x14ac:dyDescent="0.25">
      <c r="A4703" t="s">
        <v>272</v>
      </c>
      <c r="B4703" t="s">
        <v>184</v>
      </c>
      <c r="C4703" s="76">
        <v>43953</v>
      </c>
      <c r="D4703">
        <v>6802</v>
      </c>
      <c r="E4703">
        <v>4207</v>
      </c>
      <c r="F4703">
        <v>9397</v>
      </c>
      <c r="G4703">
        <v>6203</v>
      </c>
      <c r="H4703">
        <v>52.3</v>
      </c>
      <c r="I4703">
        <v>42.8</v>
      </c>
      <c r="J4703">
        <v>61.8</v>
      </c>
      <c r="K4703">
        <v>1045</v>
      </c>
      <c r="L4703">
        <v>623</v>
      </c>
      <c r="M4703">
        <v>1468</v>
      </c>
      <c r="N4703">
        <v>8</v>
      </c>
      <c r="O4703">
        <v>6.1</v>
      </c>
      <c r="P4703">
        <v>10</v>
      </c>
      <c r="Q4703">
        <f t="shared" si="144"/>
        <v>7796941</v>
      </c>
      <c r="R4703">
        <f t="shared" si="145"/>
        <v>13.402692158373393</v>
      </c>
      <c r="U4703">
        <v>959</v>
      </c>
      <c r="V4703">
        <v>556</v>
      </c>
      <c r="W4703">
        <v>1363</v>
      </c>
      <c r="X4703">
        <v>869</v>
      </c>
      <c r="Y4703">
        <v>52.5</v>
      </c>
      <c r="Z4703">
        <v>41.1</v>
      </c>
      <c r="AA4703">
        <v>63.8</v>
      </c>
    </row>
    <row r="4704" spans="1:27" x14ac:dyDescent="0.25">
      <c r="A4704" t="s">
        <v>272</v>
      </c>
      <c r="B4704" t="s">
        <v>184</v>
      </c>
      <c r="C4704" s="76">
        <v>43954</v>
      </c>
      <c r="D4704">
        <v>6344</v>
      </c>
      <c r="E4704">
        <v>3852</v>
      </c>
      <c r="F4704">
        <v>8837</v>
      </c>
      <c r="G4704">
        <v>6703</v>
      </c>
      <c r="H4704">
        <v>48.6</v>
      </c>
      <c r="I4704">
        <v>38.1</v>
      </c>
      <c r="J4704">
        <v>59.1</v>
      </c>
      <c r="K4704">
        <v>909</v>
      </c>
      <c r="L4704">
        <v>539</v>
      </c>
      <c r="M4704">
        <v>1278</v>
      </c>
      <c r="N4704">
        <v>7</v>
      </c>
      <c r="O4704">
        <v>5.2</v>
      </c>
      <c r="P4704">
        <v>8.6999999999999993</v>
      </c>
      <c r="Q4704">
        <f t="shared" si="144"/>
        <v>7796941</v>
      </c>
      <c r="R4704">
        <f t="shared" si="145"/>
        <v>11.658418346374559</v>
      </c>
      <c r="U4704">
        <v>859</v>
      </c>
      <c r="V4704">
        <v>484</v>
      </c>
      <c r="W4704">
        <v>1234</v>
      </c>
      <c r="X4704">
        <v>957</v>
      </c>
      <c r="Y4704">
        <v>47.3</v>
      </c>
      <c r="Z4704">
        <v>34.299999999999997</v>
      </c>
      <c r="AA4704">
        <v>60.3</v>
      </c>
    </row>
    <row r="4705" spans="1:27" x14ac:dyDescent="0.25">
      <c r="A4705" t="s">
        <v>272</v>
      </c>
      <c r="B4705" t="s">
        <v>184</v>
      </c>
      <c r="C4705" s="76">
        <v>43955</v>
      </c>
      <c r="D4705">
        <v>6152</v>
      </c>
      <c r="E4705">
        <v>3747</v>
      </c>
      <c r="F4705">
        <v>8557</v>
      </c>
      <c r="G4705">
        <v>6861</v>
      </c>
      <c r="H4705">
        <v>47.3</v>
      </c>
      <c r="I4705">
        <v>37</v>
      </c>
      <c r="J4705">
        <v>57.5</v>
      </c>
      <c r="K4705">
        <v>848</v>
      </c>
      <c r="L4705">
        <v>493</v>
      </c>
      <c r="M4705">
        <v>1203</v>
      </c>
      <c r="N4705">
        <v>6.5</v>
      </c>
      <c r="O4705">
        <v>4.8</v>
      </c>
      <c r="P4705">
        <v>8.1999999999999993</v>
      </c>
      <c r="Q4705">
        <f t="shared" si="144"/>
        <v>7796941</v>
      </c>
      <c r="R4705">
        <f t="shared" si="145"/>
        <v>10.87606023952214</v>
      </c>
      <c r="U4705">
        <v>819</v>
      </c>
      <c r="V4705">
        <v>454</v>
      </c>
      <c r="W4705">
        <v>1184</v>
      </c>
      <c r="X4705">
        <v>963</v>
      </c>
      <c r="Y4705">
        <v>46</v>
      </c>
      <c r="Z4705">
        <v>32.9</v>
      </c>
      <c r="AA4705">
        <v>59</v>
      </c>
    </row>
    <row r="4706" spans="1:27" x14ac:dyDescent="0.25">
      <c r="A4706" t="s">
        <v>272</v>
      </c>
      <c r="B4706" t="s">
        <v>184</v>
      </c>
      <c r="C4706" s="76">
        <v>43956</v>
      </c>
      <c r="D4706">
        <v>6448</v>
      </c>
      <c r="E4706">
        <v>3927</v>
      </c>
      <c r="F4706">
        <v>8969</v>
      </c>
      <c r="G4706">
        <v>6472</v>
      </c>
      <c r="H4706">
        <v>49.9</v>
      </c>
      <c r="I4706">
        <v>39</v>
      </c>
      <c r="J4706">
        <v>60.8</v>
      </c>
      <c r="K4706">
        <v>916</v>
      </c>
      <c r="L4706">
        <v>540</v>
      </c>
      <c r="M4706">
        <v>1292</v>
      </c>
      <c r="N4706">
        <v>7.1</v>
      </c>
      <c r="O4706">
        <v>5.2</v>
      </c>
      <c r="P4706">
        <v>9</v>
      </c>
      <c r="Q4706">
        <f t="shared" si="144"/>
        <v>7796941</v>
      </c>
      <c r="R4706">
        <f t="shared" si="145"/>
        <v>11.748197145521559</v>
      </c>
      <c r="U4706">
        <v>864</v>
      </c>
      <c r="V4706">
        <v>486</v>
      </c>
      <c r="W4706">
        <v>1242</v>
      </c>
      <c r="X4706">
        <v>924</v>
      </c>
      <c r="Y4706">
        <v>48.3</v>
      </c>
      <c r="Z4706">
        <v>35.700000000000003</v>
      </c>
      <c r="AA4706">
        <v>61</v>
      </c>
    </row>
    <row r="4707" spans="1:27" x14ac:dyDescent="0.25">
      <c r="A4707" t="s">
        <v>272</v>
      </c>
      <c r="B4707" t="s">
        <v>184</v>
      </c>
      <c r="C4707" s="76">
        <v>43957</v>
      </c>
      <c r="D4707">
        <v>6595</v>
      </c>
      <c r="E4707">
        <v>4072</v>
      </c>
      <c r="F4707">
        <v>9118</v>
      </c>
      <c r="G4707">
        <v>6406</v>
      </c>
      <c r="H4707">
        <v>50.7</v>
      </c>
      <c r="I4707">
        <v>40.4</v>
      </c>
      <c r="J4707">
        <v>61</v>
      </c>
      <c r="K4707">
        <v>830</v>
      </c>
      <c r="L4707">
        <v>474</v>
      </c>
      <c r="M4707">
        <v>1186</v>
      </c>
      <c r="N4707">
        <v>6.4</v>
      </c>
      <c r="O4707">
        <v>4.7</v>
      </c>
      <c r="P4707">
        <v>8.1</v>
      </c>
      <c r="Q4707">
        <f t="shared" si="144"/>
        <v>7796941</v>
      </c>
      <c r="R4707">
        <f t="shared" si="145"/>
        <v>10.645200470287001</v>
      </c>
      <c r="U4707">
        <v>927</v>
      </c>
      <c r="V4707">
        <v>516</v>
      </c>
      <c r="W4707">
        <v>1339</v>
      </c>
      <c r="X4707">
        <v>877</v>
      </c>
      <c r="Y4707">
        <v>51.4</v>
      </c>
      <c r="Z4707">
        <v>38</v>
      </c>
      <c r="AA4707">
        <v>64.7</v>
      </c>
    </row>
    <row r="4708" spans="1:27" x14ac:dyDescent="0.25">
      <c r="A4708" t="s">
        <v>272</v>
      </c>
      <c r="B4708" t="s">
        <v>184</v>
      </c>
      <c r="C4708" s="76">
        <v>43958</v>
      </c>
      <c r="D4708">
        <v>6421</v>
      </c>
      <c r="E4708">
        <v>3912</v>
      </c>
      <c r="F4708">
        <v>8930</v>
      </c>
      <c r="G4708">
        <v>6446</v>
      </c>
      <c r="H4708">
        <v>49.9</v>
      </c>
      <c r="I4708">
        <v>38.799999999999997</v>
      </c>
      <c r="J4708">
        <v>61</v>
      </c>
      <c r="K4708">
        <v>780</v>
      </c>
      <c r="L4708">
        <v>442</v>
      </c>
      <c r="M4708">
        <v>1117</v>
      </c>
      <c r="N4708">
        <v>6.1</v>
      </c>
      <c r="O4708">
        <v>4.3</v>
      </c>
      <c r="P4708">
        <v>7.8</v>
      </c>
      <c r="Q4708">
        <f t="shared" si="144"/>
        <v>7796941</v>
      </c>
      <c r="R4708">
        <f t="shared" si="145"/>
        <v>10.003923333522723</v>
      </c>
      <c r="U4708">
        <v>855</v>
      </c>
      <c r="V4708">
        <v>462</v>
      </c>
      <c r="W4708">
        <v>1248</v>
      </c>
      <c r="X4708">
        <v>945</v>
      </c>
      <c r="Y4708">
        <v>47.5</v>
      </c>
      <c r="Z4708">
        <v>33.6</v>
      </c>
      <c r="AA4708">
        <v>61.4</v>
      </c>
    </row>
    <row r="4709" spans="1:27" x14ac:dyDescent="0.25">
      <c r="A4709" t="s">
        <v>272</v>
      </c>
      <c r="B4709" t="s">
        <v>184</v>
      </c>
      <c r="C4709" s="76">
        <v>43959</v>
      </c>
      <c r="D4709">
        <v>6313</v>
      </c>
      <c r="E4709">
        <v>3829</v>
      </c>
      <c r="F4709">
        <v>8797</v>
      </c>
      <c r="G4709">
        <v>6644</v>
      </c>
      <c r="H4709">
        <v>48.7</v>
      </c>
      <c r="I4709">
        <v>37</v>
      </c>
      <c r="J4709">
        <v>60.5</v>
      </c>
      <c r="K4709">
        <v>800</v>
      </c>
      <c r="L4709">
        <v>457</v>
      </c>
      <c r="M4709">
        <v>1142</v>
      </c>
      <c r="N4709">
        <v>6.2</v>
      </c>
      <c r="O4709">
        <v>4.4000000000000004</v>
      </c>
      <c r="P4709">
        <v>7.9</v>
      </c>
      <c r="Q4709">
        <f t="shared" si="144"/>
        <v>7796941</v>
      </c>
      <c r="R4709">
        <f t="shared" si="145"/>
        <v>10.260434188228434</v>
      </c>
      <c r="U4709">
        <v>817</v>
      </c>
      <c r="V4709">
        <v>438</v>
      </c>
      <c r="W4709">
        <v>1196</v>
      </c>
      <c r="X4709">
        <v>995</v>
      </c>
      <c r="Y4709">
        <v>45.1</v>
      </c>
      <c r="Z4709">
        <v>30.9</v>
      </c>
      <c r="AA4709">
        <v>59.3</v>
      </c>
    </row>
    <row r="4710" spans="1:27" x14ac:dyDescent="0.25">
      <c r="A4710" t="s">
        <v>272</v>
      </c>
      <c r="B4710" t="s">
        <v>184</v>
      </c>
      <c r="C4710" s="76">
        <v>43960</v>
      </c>
      <c r="D4710">
        <v>8121</v>
      </c>
      <c r="E4710">
        <v>5025</v>
      </c>
      <c r="F4710">
        <v>11216</v>
      </c>
      <c r="G4710">
        <v>4766</v>
      </c>
      <c r="H4710">
        <v>63</v>
      </c>
      <c r="I4710">
        <v>56.4</v>
      </c>
      <c r="J4710">
        <v>69.599999999999994</v>
      </c>
      <c r="K4710">
        <v>837</v>
      </c>
      <c r="L4710">
        <v>491</v>
      </c>
      <c r="M4710">
        <v>1183</v>
      </c>
      <c r="N4710">
        <v>6.5</v>
      </c>
      <c r="O4710">
        <v>4.5999999999999996</v>
      </c>
      <c r="P4710">
        <v>8.3000000000000007</v>
      </c>
      <c r="Q4710">
        <f t="shared" si="144"/>
        <v>7796941</v>
      </c>
      <c r="R4710">
        <f t="shared" si="145"/>
        <v>10.734979269434</v>
      </c>
      <c r="U4710">
        <v>1022</v>
      </c>
      <c r="V4710">
        <v>582</v>
      </c>
      <c r="W4710">
        <v>1462</v>
      </c>
      <c r="X4710">
        <v>800</v>
      </c>
      <c r="Y4710">
        <v>56.1</v>
      </c>
      <c r="Z4710">
        <v>45.1</v>
      </c>
      <c r="AA4710">
        <v>67</v>
      </c>
    </row>
    <row r="4711" spans="1:27" x14ac:dyDescent="0.25">
      <c r="A4711" t="s">
        <v>272</v>
      </c>
      <c r="B4711" t="s">
        <v>184</v>
      </c>
      <c r="C4711" s="76">
        <v>43961</v>
      </c>
      <c r="D4711">
        <v>8058</v>
      </c>
      <c r="E4711">
        <v>5004</v>
      </c>
      <c r="F4711">
        <v>11113</v>
      </c>
      <c r="G4711">
        <v>4798</v>
      </c>
      <c r="H4711">
        <v>62.7</v>
      </c>
      <c r="I4711">
        <v>56.2</v>
      </c>
      <c r="J4711">
        <v>69.2</v>
      </c>
      <c r="K4711">
        <v>802</v>
      </c>
      <c r="L4711">
        <v>454</v>
      </c>
      <c r="M4711">
        <v>1150</v>
      </c>
      <c r="N4711">
        <v>6.2</v>
      </c>
      <c r="O4711">
        <v>4.4000000000000004</v>
      </c>
      <c r="P4711">
        <v>8.1</v>
      </c>
      <c r="Q4711">
        <f t="shared" ref="Q4711:Q4774" si="146">VLOOKUP(B4711,$AE$4:$AF$55,2,FALSE)</f>
        <v>7796941</v>
      </c>
      <c r="R4711">
        <f t="shared" si="145"/>
        <v>10.286085273699006</v>
      </c>
      <c r="U4711">
        <v>1001</v>
      </c>
      <c r="V4711">
        <v>564</v>
      </c>
      <c r="W4711">
        <v>1439</v>
      </c>
      <c r="X4711">
        <v>793</v>
      </c>
      <c r="Y4711">
        <v>55.8</v>
      </c>
      <c r="Z4711">
        <v>44.6</v>
      </c>
      <c r="AA4711">
        <v>67</v>
      </c>
    </row>
    <row r="4712" spans="1:27" x14ac:dyDescent="0.25">
      <c r="A4712" t="s">
        <v>272</v>
      </c>
      <c r="B4712" t="s">
        <v>184</v>
      </c>
      <c r="C4712" s="76">
        <v>43962</v>
      </c>
      <c r="D4712">
        <v>8049</v>
      </c>
      <c r="E4712">
        <v>5041</v>
      </c>
      <c r="F4712">
        <v>11057</v>
      </c>
      <c r="G4712">
        <v>4684</v>
      </c>
      <c r="H4712">
        <v>63.2</v>
      </c>
      <c r="I4712">
        <v>56.9</v>
      </c>
      <c r="J4712">
        <v>69.5</v>
      </c>
      <c r="K4712">
        <v>835</v>
      </c>
      <c r="L4712">
        <v>484</v>
      </c>
      <c r="M4712">
        <v>1186</v>
      </c>
      <c r="N4712">
        <v>6.6</v>
      </c>
      <c r="O4712">
        <v>4.7</v>
      </c>
      <c r="P4712">
        <v>8.4</v>
      </c>
      <c r="Q4712">
        <f t="shared" si="146"/>
        <v>7796941</v>
      </c>
      <c r="R4712">
        <f t="shared" si="145"/>
        <v>10.709328183963429</v>
      </c>
      <c r="U4712">
        <v>1005</v>
      </c>
      <c r="V4712">
        <v>568</v>
      </c>
      <c r="W4712">
        <v>1442</v>
      </c>
      <c r="X4712">
        <v>794</v>
      </c>
      <c r="Y4712">
        <v>55.9</v>
      </c>
      <c r="Z4712">
        <v>45.2</v>
      </c>
      <c r="AA4712">
        <v>66.5</v>
      </c>
    </row>
    <row r="4713" spans="1:27" x14ac:dyDescent="0.25">
      <c r="A4713" t="s">
        <v>272</v>
      </c>
      <c r="B4713" t="s">
        <v>184</v>
      </c>
      <c r="C4713" s="76">
        <v>43963</v>
      </c>
      <c r="D4713">
        <v>8508</v>
      </c>
      <c r="E4713">
        <v>5338</v>
      </c>
      <c r="F4713">
        <v>11677</v>
      </c>
      <c r="G4713">
        <v>4260</v>
      </c>
      <c r="H4713">
        <v>66.599999999999994</v>
      </c>
      <c r="I4713">
        <v>60.4</v>
      </c>
      <c r="J4713">
        <v>72.900000000000006</v>
      </c>
      <c r="K4713">
        <v>939</v>
      </c>
      <c r="L4713">
        <v>556</v>
      </c>
      <c r="M4713">
        <v>1321</v>
      </c>
      <c r="N4713">
        <v>7.4</v>
      </c>
      <c r="O4713">
        <v>5.3</v>
      </c>
      <c r="P4713">
        <v>9.4</v>
      </c>
      <c r="Q4713">
        <f t="shared" si="146"/>
        <v>7796941</v>
      </c>
      <c r="R4713">
        <f t="shared" si="145"/>
        <v>12.043184628433126</v>
      </c>
      <c r="U4713">
        <v>1074</v>
      </c>
      <c r="V4713">
        <v>617</v>
      </c>
      <c r="W4713">
        <v>1531</v>
      </c>
      <c r="X4713">
        <v>730</v>
      </c>
      <c r="Y4713">
        <v>59.5</v>
      </c>
      <c r="Z4713">
        <v>49.2</v>
      </c>
      <c r="AA4713">
        <v>69.900000000000006</v>
      </c>
    </row>
    <row r="4714" spans="1:27" x14ac:dyDescent="0.25">
      <c r="A4714" t="s">
        <v>272</v>
      </c>
      <c r="B4714" t="s">
        <v>184</v>
      </c>
      <c r="C4714" s="76">
        <v>43964</v>
      </c>
      <c r="D4714">
        <v>8629</v>
      </c>
      <c r="E4714">
        <v>5416</v>
      </c>
      <c r="F4714">
        <v>11842</v>
      </c>
      <c r="G4714">
        <v>4311</v>
      </c>
      <c r="H4714">
        <v>66.7</v>
      </c>
      <c r="I4714">
        <v>60.4</v>
      </c>
      <c r="J4714">
        <v>73</v>
      </c>
      <c r="K4714">
        <v>918</v>
      </c>
      <c r="L4714">
        <v>548</v>
      </c>
      <c r="M4714">
        <v>1289</v>
      </c>
      <c r="N4714">
        <v>7.1</v>
      </c>
      <c r="O4714">
        <v>5.2</v>
      </c>
      <c r="P4714">
        <v>9</v>
      </c>
      <c r="Q4714">
        <f t="shared" si="146"/>
        <v>7796941</v>
      </c>
      <c r="R4714">
        <f t="shared" si="145"/>
        <v>11.77384823099213</v>
      </c>
      <c r="U4714">
        <v>1049</v>
      </c>
      <c r="V4714">
        <v>601</v>
      </c>
      <c r="W4714">
        <v>1498</v>
      </c>
      <c r="X4714">
        <v>777</v>
      </c>
      <c r="Y4714">
        <v>57.4</v>
      </c>
      <c r="Z4714">
        <v>47.2</v>
      </c>
      <c r="AA4714">
        <v>67.7</v>
      </c>
    </row>
    <row r="4715" spans="1:27" x14ac:dyDescent="0.25">
      <c r="A4715" t="s">
        <v>272</v>
      </c>
      <c r="B4715" t="s">
        <v>184</v>
      </c>
      <c r="C4715" s="76">
        <v>43965</v>
      </c>
      <c r="D4715">
        <v>8663</v>
      </c>
      <c r="E4715">
        <v>5461</v>
      </c>
      <c r="F4715">
        <v>11865</v>
      </c>
      <c r="G4715">
        <v>4287</v>
      </c>
      <c r="H4715">
        <v>66.900000000000006</v>
      </c>
      <c r="I4715">
        <v>60.7</v>
      </c>
      <c r="J4715">
        <v>73.099999999999994</v>
      </c>
      <c r="K4715">
        <v>887</v>
      </c>
      <c r="L4715">
        <v>529</v>
      </c>
      <c r="M4715">
        <v>1246</v>
      </c>
      <c r="N4715">
        <v>6.9</v>
      </c>
      <c r="O4715">
        <v>4.8</v>
      </c>
      <c r="P4715">
        <v>8.9</v>
      </c>
      <c r="Q4715">
        <f t="shared" si="146"/>
        <v>7796941</v>
      </c>
      <c r="R4715">
        <f t="shared" si="145"/>
        <v>11.376256406198278</v>
      </c>
      <c r="U4715">
        <v>1070</v>
      </c>
      <c r="V4715">
        <v>624</v>
      </c>
      <c r="W4715">
        <v>1515</v>
      </c>
      <c r="X4715">
        <v>761</v>
      </c>
      <c r="Y4715">
        <v>58.4</v>
      </c>
      <c r="Z4715">
        <v>48.2</v>
      </c>
      <c r="AA4715">
        <v>68.7</v>
      </c>
    </row>
    <row r="4716" spans="1:27" x14ac:dyDescent="0.25">
      <c r="A4716" t="s">
        <v>272</v>
      </c>
      <c r="B4716" t="s">
        <v>184</v>
      </c>
      <c r="C4716" s="76">
        <v>43966</v>
      </c>
      <c r="D4716">
        <v>8486</v>
      </c>
      <c r="E4716">
        <v>5349</v>
      </c>
      <c r="F4716">
        <v>11622</v>
      </c>
      <c r="G4716">
        <v>4372</v>
      </c>
      <c r="H4716">
        <v>66</v>
      </c>
      <c r="I4716">
        <v>59.7</v>
      </c>
      <c r="J4716">
        <v>72.3</v>
      </c>
      <c r="K4716">
        <v>820</v>
      </c>
      <c r="L4716">
        <v>486</v>
      </c>
      <c r="M4716">
        <v>1154</v>
      </c>
      <c r="N4716">
        <v>6.4</v>
      </c>
      <c r="O4716">
        <v>4.5999999999999996</v>
      </c>
      <c r="P4716">
        <v>8.1999999999999993</v>
      </c>
      <c r="Q4716">
        <f t="shared" si="146"/>
        <v>7796941</v>
      </c>
      <c r="R4716">
        <f t="shared" si="145"/>
        <v>10.516945042934147</v>
      </c>
      <c r="U4716">
        <v>993</v>
      </c>
      <c r="V4716">
        <v>556</v>
      </c>
      <c r="W4716">
        <v>1431</v>
      </c>
      <c r="X4716">
        <v>797</v>
      </c>
      <c r="Y4716">
        <v>55.5</v>
      </c>
      <c r="Z4716">
        <v>45.1</v>
      </c>
      <c r="AA4716">
        <v>65.900000000000006</v>
      </c>
    </row>
    <row r="4717" spans="1:27" x14ac:dyDescent="0.25">
      <c r="A4717" t="s">
        <v>272</v>
      </c>
      <c r="B4717" t="s">
        <v>184</v>
      </c>
      <c r="C4717" s="76">
        <v>43967</v>
      </c>
      <c r="D4717">
        <v>8479</v>
      </c>
      <c r="E4717">
        <v>4836</v>
      </c>
      <c r="F4717">
        <v>12123</v>
      </c>
      <c r="G4717">
        <v>3787</v>
      </c>
      <c r="H4717">
        <v>69.099999999999994</v>
      </c>
      <c r="I4717">
        <v>62.3</v>
      </c>
      <c r="J4717">
        <v>76</v>
      </c>
      <c r="K4717">
        <v>818</v>
      </c>
      <c r="L4717">
        <v>458</v>
      </c>
      <c r="M4717">
        <v>1177</v>
      </c>
      <c r="N4717">
        <v>6.7</v>
      </c>
      <c r="O4717">
        <v>4.5999999999999996</v>
      </c>
      <c r="P4717">
        <v>8.6999999999999993</v>
      </c>
      <c r="Q4717">
        <f t="shared" si="146"/>
        <v>7796941</v>
      </c>
      <c r="R4717">
        <f t="shared" si="145"/>
        <v>10.491293957463574</v>
      </c>
      <c r="U4717">
        <v>1040</v>
      </c>
      <c r="V4717">
        <v>513</v>
      </c>
      <c r="W4717">
        <v>1567</v>
      </c>
      <c r="X4717">
        <v>723</v>
      </c>
      <c r="Y4717">
        <v>59</v>
      </c>
      <c r="Z4717">
        <v>47.9</v>
      </c>
      <c r="AA4717">
        <v>70.099999999999994</v>
      </c>
    </row>
    <row r="4718" spans="1:27" x14ac:dyDescent="0.25">
      <c r="A4718" t="s">
        <v>272</v>
      </c>
      <c r="B4718" t="s">
        <v>184</v>
      </c>
      <c r="C4718" s="76">
        <v>43968</v>
      </c>
      <c r="D4718">
        <v>8322</v>
      </c>
      <c r="E4718">
        <v>3942</v>
      </c>
      <c r="F4718">
        <v>12702</v>
      </c>
      <c r="G4718">
        <v>3153</v>
      </c>
      <c r="H4718">
        <v>72.5</v>
      </c>
      <c r="I4718">
        <v>64.599999999999994</v>
      </c>
      <c r="J4718">
        <v>80.5</v>
      </c>
      <c r="K4718">
        <v>943</v>
      </c>
      <c r="L4718">
        <v>469</v>
      </c>
      <c r="M4718">
        <v>1418</v>
      </c>
      <c r="N4718">
        <v>8.1999999999999993</v>
      </c>
      <c r="O4718">
        <v>6.3</v>
      </c>
      <c r="P4718">
        <v>10.199999999999999</v>
      </c>
      <c r="Q4718">
        <f t="shared" si="146"/>
        <v>7796941</v>
      </c>
      <c r="R4718">
        <f t="shared" si="145"/>
        <v>12.094486799374268</v>
      </c>
      <c r="U4718">
        <v>1045</v>
      </c>
      <c r="V4718">
        <v>365</v>
      </c>
      <c r="W4718">
        <v>1725</v>
      </c>
      <c r="X4718">
        <v>652</v>
      </c>
      <c r="Y4718">
        <v>61.6</v>
      </c>
      <c r="Z4718">
        <v>47.3</v>
      </c>
      <c r="AA4718">
        <v>75.8</v>
      </c>
    </row>
    <row r="4719" spans="1:27" x14ac:dyDescent="0.25">
      <c r="A4719" t="s">
        <v>272</v>
      </c>
      <c r="B4719" t="s">
        <v>184</v>
      </c>
      <c r="C4719" s="76">
        <v>43969</v>
      </c>
      <c r="D4719">
        <v>8569</v>
      </c>
      <c r="E4719">
        <v>4175</v>
      </c>
      <c r="F4719">
        <v>12963</v>
      </c>
      <c r="G4719">
        <v>3033</v>
      </c>
      <c r="H4719">
        <v>73.900000000000006</v>
      </c>
      <c r="I4719">
        <v>67.5</v>
      </c>
      <c r="J4719">
        <v>80.2</v>
      </c>
      <c r="K4719">
        <v>979</v>
      </c>
      <c r="L4719">
        <v>427</v>
      </c>
      <c r="M4719">
        <v>1530</v>
      </c>
      <c r="N4719">
        <v>8.4</v>
      </c>
      <c r="O4719">
        <v>5.9</v>
      </c>
      <c r="P4719">
        <v>11</v>
      </c>
      <c r="Q4719">
        <f t="shared" si="146"/>
        <v>7796941</v>
      </c>
      <c r="R4719">
        <f t="shared" si="145"/>
        <v>12.556206337844547</v>
      </c>
      <c r="U4719">
        <v>1021</v>
      </c>
      <c r="V4719">
        <v>383</v>
      </c>
      <c r="W4719">
        <v>1658</v>
      </c>
      <c r="X4719">
        <v>708</v>
      </c>
      <c r="Y4719">
        <v>59</v>
      </c>
      <c r="Z4719">
        <v>44.6</v>
      </c>
      <c r="AA4719">
        <v>73.400000000000006</v>
      </c>
    </row>
    <row r="4720" spans="1:27" x14ac:dyDescent="0.25">
      <c r="A4720" t="s">
        <v>272</v>
      </c>
      <c r="B4720" t="s">
        <v>184</v>
      </c>
      <c r="C4720" s="76">
        <v>43970</v>
      </c>
      <c r="D4720">
        <v>8919</v>
      </c>
      <c r="E4720">
        <v>4356</v>
      </c>
      <c r="F4720">
        <v>13482</v>
      </c>
      <c r="G4720">
        <v>2607</v>
      </c>
      <c r="H4720">
        <v>77.400000000000006</v>
      </c>
      <c r="I4720">
        <v>71.599999999999994</v>
      </c>
      <c r="J4720">
        <v>83.2</v>
      </c>
      <c r="K4720">
        <v>969</v>
      </c>
      <c r="L4720">
        <v>425</v>
      </c>
      <c r="M4720">
        <v>1514</v>
      </c>
      <c r="N4720">
        <v>8.4</v>
      </c>
      <c r="O4720">
        <v>5.9</v>
      </c>
      <c r="P4720">
        <v>11</v>
      </c>
      <c r="Q4720">
        <f t="shared" si="146"/>
        <v>7796941</v>
      </c>
      <c r="R4720">
        <f t="shared" si="145"/>
        <v>12.427950910491692</v>
      </c>
      <c r="U4720">
        <v>1020</v>
      </c>
      <c r="V4720">
        <v>370</v>
      </c>
      <c r="W4720">
        <v>1670</v>
      </c>
      <c r="X4720">
        <v>692</v>
      </c>
      <c r="Y4720">
        <v>59.6</v>
      </c>
      <c r="Z4720">
        <v>44.3</v>
      </c>
      <c r="AA4720">
        <v>74.8</v>
      </c>
    </row>
    <row r="4721" spans="1:27" x14ac:dyDescent="0.25">
      <c r="A4721" t="s">
        <v>272</v>
      </c>
      <c r="B4721" t="s">
        <v>184</v>
      </c>
      <c r="C4721" s="76">
        <v>43971</v>
      </c>
      <c r="D4721">
        <v>9410</v>
      </c>
      <c r="E4721">
        <v>4579</v>
      </c>
      <c r="F4721">
        <v>14241</v>
      </c>
      <c r="G4721">
        <v>2387</v>
      </c>
      <c r="H4721">
        <v>79.8</v>
      </c>
      <c r="I4721">
        <v>73.7</v>
      </c>
      <c r="J4721">
        <v>85.8</v>
      </c>
      <c r="K4721">
        <v>1058</v>
      </c>
      <c r="L4721">
        <v>468</v>
      </c>
      <c r="M4721">
        <v>1647</v>
      </c>
      <c r="N4721">
        <v>9</v>
      </c>
      <c r="O4721">
        <v>6.5</v>
      </c>
      <c r="P4721">
        <v>11.5</v>
      </c>
      <c r="Q4721">
        <f t="shared" si="146"/>
        <v>7796941</v>
      </c>
      <c r="R4721">
        <f t="shared" si="145"/>
        <v>13.569424213932106</v>
      </c>
      <c r="U4721">
        <v>1136</v>
      </c>
      <c r="V4721">
        <v>412</v>
      </c>
      <c r="W4721">
        <v>1861</v>
      </c>
      <c r="X4721">
        <v>654</v>
      </c>
      <c r="Y4721">
        <v>63.5</v>
      </c>
      <c r="Z4721">
        <v>48.8</v>
      </c>
      <c r="AA4721">
        <v>78.099999999999994</v>
      </c>
    </row>
    <row r="4722" spans="1:27" x14ac:dyDescent="0.25">
      <c r="A4722" t="s">
        <v>272</v>
      </c>
      <c r="B4722" t="s">
        <v>184</v>
      </c>
      <c r="C4722" s="76">
        <v>43972</v>
      </c>
      <c r="D4722">
        <v>9497</v>
      </c>
      <c r="E4722">
        <v>4623</v>
      </c>
      <c r="F4722">
        <v>14371</v>
      </c>
      <c r="G4722">
        <v>2493</v>
      </c>
      <c r="H4722">
        <v>79.2</v>
      </c>
      <c r="I4722">
        <v>73</v>
      </c>
      <c r="J4722">
        <v>85.4</v>
      </c>
      <c r="K4722">
        <v>1014</v>
      </c>
      <c r="L4722">
        <v>476</v>
      </c>
      <c r="M4722">
        <v>1552</v>
      </c>
      <c r="N4722">
        <v>8.5</v>
      </c>
      <c r="O4722">
        <v>6.2</v>
      </c>
      <c r="P4722">
        <v>10.7</v>
      </c>
      <c r="Q4722">
        <f t="shared" si="146"/>
        <v>7796941</v>
      </c>
      <c r="R4722">
        <f t="shared" si="145"/>
        <v>13.00510033357954</v>
      </c>
      <c r="U4722">
        <v>1141</v>
      </c>
      <c r="V4722">
        <v>437</v>
      </c>
      <c r="W4722">
        <v>1844</v>
      </c>
      <c r="X4722">
        <v>628</v>
      </c>
      <c r="Y4722">
        <v>64.5</v>
      </c>
      <c r="Z4722">
        <v>51.1</v>
      </c>
      <c r="AA4722">
        <v>77.900000000000006</v>
      </c>
    </row>
    <row r="4723" spans="1:27" x14ac:dyDescent="0.25">
      <c r="A4723" t="s">
        <v>272</v>
      </c>
      <c r="B4723" t="s">
        <v>184</v>
      </c>
      <c r="C4723" s="76">
        <v>43973</v>
      </c>
      <c r="D4723">
        <v>9553</v>
      </c>
      <c r="E4723">
        <v>4625</v>
      </c>
      <c r="F4723">
        <v>14482</v>
      </c>
      <c r="G4723">
        <v>2301</v>
      </c>
      <c r="H4723">
        <v>80.599999999999994</v>
      </c>
      <c r="I4723">
        <v>74.400000000000006</v>
      </c>
      <c r="J4723">
        <v>86.8</v>
      </c>
      <c r="K4723">
        <v>1080</v>
      </c>
      <c r="L4723">
        <v>495</v>
      </c>
      <c r="M4723">
        <v>1666</v>
      </c>
      <c r="N4723">
        <v>9.1</v>
      </c>
      <c r="O4723">
        <v>6.7</v>
      </c>
      <c r="P4723">
        <v>11.5</v>
      </c>
      <c r="Q4723">
        <f t="shared" si="146"/>
        <v>7796941</v>
      </c>
      <c r="R4723">
        <f t="shared" si="145"/>
        <v>13.851586154108386</v>
      </c>
      <c r="U4723">
        <v>1145</v>
      </c>
      <c r="V4723">
        <v>431</v>
      </c>
      <c r="W4723">
        <v>1859</v>
      </c>
      <c r="X4723">
        <v>622</v>
      </c>
      <c r="Y4723">
        <v>64.8</v>
      </c>
      <c r="Z4723">
        <v>51.3</v>
      </c>
      <c r="AA4723">
        <v>78.3</v>
      </c>
    </row>
    <row r="4724" spans="1:27" x14ac:dyDescent="0.25">
      <c r="A4724" t="s">
        <v>272</v>
      </c>
      <c r="B4724" t="s">
        <v>184</v>
      </c>
      <c r="C4724" s="76">
        <v>43974</v>
      </c>
      <c r="D4724">
        <v>9285</v>
      </c>
      <c r="E4724">
        <v>4483</v>
      </c>
      <c r="F4724">
        <v>14086</v>
      </c>
      <c r="G4724">
        <v>2528</v>
      </c>
      <c r="H4724">
        <v>78.599999999999994</v>
      </c>
      <c r="I4724">
        <v>71.400000000000006</v>
      </c>
      <c r="J4724">
        <v>85.8</v>
      </c>
      <c r="K4724">
        <v>1031</v>
      </c>
      <c r="L4724">
        <v>521</v>
      </c>
      <c r="M4724">
        <v>1541</v>
      </c>
      <c r="N4724">
        <v>8.6999999999999993</v>
      </c>
      <c r="O4724">
        <v>6.3</v>
      </c>
      <c r="P4724">
        <v>11.1</v>
      </c>
      <c r="Q4724">
        <f t="shared" si="146"/>
        <v>7796941</v>
      </c>
      <c r="R4724">
        <f t="shared" si="145"/>
        <v>13.223134560079396</v>
      </c>
      <c r="U4724">
        <v>1107</v>
      </c>
      <c r="V4724">
        <v>431</v>
      </c>
      <c r="W4724">
        <v>1783</v>
      </c>
      <c r="X4724">
        <v>649</v>
      </c>
      <c r="Y4724">
        <v>63</v>
      </c>
      <c r="Z4724">
        <v>50</v>
      </c>
      <c r="AA4724">
        <v>76</v>
      </c>
    </row>
    <row r="4725" spans="1:27" x14ac:dyDescent="0.25">
      <c r="A4725" t="s">
        <v>272</v>
      </c>
      <c r="B4725" t="s">
        <v>184</v>
      </c>
      <c r="C4725" s="76">
        <v>43975</v>
      </c>
      <c r="D4725">
        <v>8633</v>
      </c>
      <c r="E4725">
        <v>4168</v>
      </c>
      <c r="F4725">
        <v>13099</v>
      </c>
      <c r="G4725">
        <v>2982</v>
      </c>
      <c r="H4725">
        <v>74.3</v>
      </c>
      <c r="I4725">
        <v>67</v>
      </c>
      <c r="J4725">
        <v>81.7</v>
      </c>
      <c r="K4725">
        <v>929</v>
      </c>
      <c r="L4725">
        <v>462</v>
      </c>
      <c r="M4725">
        <v>1396</v>
      </c>
      <c r="N4725">
        <v>8</v>
      </c>
      <c r="O4725">
        <v>6</v>
      </c>
      <c r="P4725">
        <v>10</v>
      </c>
      <c r="Q4725">
        <f t="shared" si="146"/>
        <v>7796941</v>
      </c>
      <c r="R4725">
        <f t="shared" si="145"/>
        <v>11.91492920108027</v>
      </c>
      <c r="U4725">
        <v>1079</v>
      </c>
      <c r="V4725">
        <v>423</v>
      </c>
      <c r="W4725">
        <v>1736</v>
      </c>
      <c r="X4725">
        <v>648</v>
      </c>
      <c r="Y4725">
        <v>62.5</v>
      </c>
      <c r="Z4725">
        <v>48.7</v>
      </c>
      <c r="AA4725">
        <v>76.3</v>
      </c>
    </row>
    <row r="4726" spans="1:27" x14ac:dyDescent="0.25">
      <c r="A4726" t="s">
        <v>272</v>
      </c>
      <c r="B4726" t="s">
        <v>184</v>
      </c>
      <c r="C4726" s="76">
        <v>43976</v>
      </c>
      <c r="D4726">
        <v>8283</v>
      </c>
      <c r="E4726">
        <v>3914</v>
      </c>
      <c r="F4726">
        <v>12652</v>
      </c>
      <c r="G4726">
        <v>2970</v>
      </c>
      <c r="H4726">
        <v>73.599999999999994</v>
      </c>
      <c r="I4726">
        <v>66.8</v>
      </c>
      <c r="J4726">
        <v>80.400000000000006</v>
      </c>
      <c r="K4726">
        <v>984</v>
      </c>
      <c r="L4726">
        <v>444</v>
      </c>
      <c r="M4726">
        <v>1523</v>
      </c>
      <c r="N4726">
        <v>8.6999999999999993</v>
      </c>
      <c r="O4726">
        <v>5.8</v>
      </c>
      <c r="P4726">
        <v>11.7</v>
      </c>
      <c r="Q4726">
        <f t="shared" si="146"/>
        <v>7796941</v>
      </c>
      <c r="R4726">
        <f t="shared" si="145"/>
        <v>12.620334051520976</v>
      </c>
      <c r="U4726">
        <v>976</v>
      </c>
      <c r="V4726">
        <v>365</v>
      </c>
      <c r="W4726">
        <v>1588</v>
      </c>
      <c r="X4726">
        <v>687</v>
      </c>
      <c r="Y4726">
        <v>58.7</v>
      </c>
      <c r="Z4726">
        <v>43.5</v>
      </c>
      <c r="AA4726">
        <v>73.900000000000006</v>
      </c>
    </row>
    <row r="4727" spans="1:27" x14ac:dyDescent="0.25">
      <c r="A4727" t="s">
        <v>272</v>
      </c>
      <c r="B4727" t="s">
        <v>184</v>
      </c>
      <c r="C4727" s="76">
        <v>43977</v>
      </c>
      <c r="D4727">
        <v>8755</v>
      </c>
      <c r="E4727">
        <v>4225</v>
      </c>
      <c r="F4727">
        <v>13285</v>
      </c>
      <c r="G4727">
        <v>2769</v>
      </c>
      <c r="H4727">
        <v>76</v>
      </c>
      <c r="I4727">
        <v>69.400000000000006</v>
      </c>
      <c r="J4727">
        <v>82.5</v>
      </c>
      <c r="K4727">
        <v>848</v>
      </c>
      <c r="L4727">
        <v>351</v>
      </c>
      <c r="M4727">
        <v>1345</v>
      </c>
      <c r="N4727">
        <v>7.4</v>
      </c>
      <c r="O4727">
        <v>4.7</v>
      </c>
      <c r="P4727">
        <v>10.1</v>
      </c>
      <c r="Q4727">
        <f t="shared" si="146"/>
        <v>7796941</v>
      </c>
      <c r="R4727">
        <f t="shared" si="145"/>
        <v>10.87606023952214</v>
      </c>
      <c r="U4727">
        <v>939</v>
      </c>
      <c r="V4727">
        <v>327</v>
      </c>
      <c r="W4727">
        <v>1551</v>
      </c>
      <c r="X4727">
        <v>709</v>
      </c>
      <c r="Y4727">
        <v>57</v>
      </c>
      <c r="Z4727">
        <v>40.6</v>
      </c>
      <c r="AA4727">
        <v>73.400000000000006</v>
      </c>
    </row>
    <row r="4728" spans="1:27" x14ac:dyDescent="0.25">
      <c r="A4728" t="s">
        <v>272</v>
      </c>
      <c r="B4728" t="s">
        <v>184</v>
      </c>
      <c r="C4728" s="76">
        <v>43978</v>
      </c>
      <c r="D4728">
        <v>9297</v>
      </c>
      <c r="E4728">
        <v>3794</v>
      </c>
      <c r="F4728">
        <v>14799</v>
      </c>
      <c r="G4728">
        <v>2196</v>
      </c>
      <c r="H4728">
        <v>80.900000000000006</v>
      </c>
      <c r="I4728">
        <v>74.3</v>
      </c>
      <c r="J4728">
        <v>87.5</v>
      </c>
      <c r="K4728">
        <v>695</v>
      </c>
      <c r="L4728">
        <v>309</v>
      </c>
      <c r="M4728">
        <v>1080</v>
      </c>
      <c r="N4728">
        <v>6</v>
      </c>
      <c r="O4728">
        <v>4.0999999999999996</v>
      </c>
      <c r="P4728">
        <v>8</v>
      </c>
      <c r="Q4728">
        <f t="shared" si="146"/>
        <v>7796941</v>
      </c>
      <c r="R4728">
        <f t="shared" si="145"/>
        <v>8.9137522010234527</v>
      </c>
      <c r="U4728">
        <v>1099</v>
      </c>
      <c r="V4728">
        <v>275</v>
      </c>
      <c r="W4728">
        <v>1922</v>
      </c>
      <c r="X4728">
        <v>633</v>
      </c>
      <c r="Y4728">
        <v>63.4</v>
      </c>
      <c r="Z4728">
        <v>47.6</v>
      </c>
      <c r="AA4728">
        <v>79.2</v>
      </c>
    </row>
    <row r="4729" spans="1:27" x14ac:dyDescent="0.25">
      <c r="A4729" t="s">
        <v>272</v>
      </c>
      <c r="B4729" t="s">
        <v>184</v>
      </c>
      <c r="C4729" s="76">
        <v>43979</v>
      </c>
      <c r="D4729">
        <v>9725</v>
      </c>
      <c r="E4729">
        <v>2521</v>
      </c>
      <c r="F4729">
        <v>16928</v>
      </c>
      <c r="G4729">
        <v>1645</v>
      </c>
      <c r="H4729">
        <v>85.5</v>
      </c>
      <c r="I4729">
        <v>78</v>
      </c>
      <c r="J4729">
        <v>93.1</v>
      </c>
      <c r="K4729">
        <v>869</v>
      </c>
      <c r="L4729">
        <v>281</v>
      </c>
      <c r="M4729">
        <v>1457</v>
      </c>
      <c r="N4729">
        <v>7.6</v>
      </c>
      <c r="O4729">
        <v>5.9</v>
      </c>
      <c r="P4729">
        <v>9.4</v>
      </c>
      <c r="Q4729">
        <f t="shared" si="146"/>
        <v>7796941</v>
      </c>
      <c r="R4729">
        <f t="shared" si="145"/>
        <v>11.145396636963138</v>
      </c>
      <c r="U4729">
        <v>1162</v>
      </c>
      <c r="V4729">
        <v>96</v>
      </c>
      <c r="W4729">
        <v>2229</v>
      </c>
      <c r="X4729">
        <v>451</v>
      </c>
      <c r="Y4729">
        <v>72</v>
      </c>
      <c r="Z4729">
        <v>56</v>
      </c>
      <c r="AA4729">
        <v>88.1</v>
      </c>
    </row>
    <row r="4730" spans="1:27" x14ac:dyDescent="0.25">
      <c r="A4730" t="s">
        <v>272</v>
      </c>
      <c r="B4730" t="s">
        <v>184</v>
      </c>
      <c r="C4730" s="76">
        <v>43980</v>
      </c>
      <c r="D4730">
        <v>9064</v>
      </c>
      <c r="E4730">
        <v>3629</v>
      </c>
      <c r="F4730">
        <v>14499</v>
      </c>
      <c r="G4730">
        <v>2268</v>
      </c>
      <c r="H4730">
        <v>80</v>
      </c>
      <c r="I4730">
        <v>71.900000000000006</v>
      </c>
      <c r="J4730">
        <v>88.1</v>
      </c>
      <c r="K4730">
        <v>877</v>
      </c>
      <c r="L4730">
        <v>362</v>
      </c>
      <c r="M4730">
        <v>1392</v>
      </c>
      <c r="N4730">
        <v>7.7</v>
      </c>
      <c r="O4730">
        <v>5.7</v>
      </c>
      <c r="P4730">
        <v>9.6999999999999993</v>
      </c>
      <c r="Q4730">
        <f t="shared" si="146"/>
        <v>7796941</v>
      </c>
      <c r="R4730">
        <f t="shared" si="145"/>
        <v>11.248000978845422</v>
      </c>
      <c r="U4730">
        <v>1137</v>
      </c>
      <c r="V4730">
        <v>357</v>
      </c>
      <c r="W4730">
        <v>1916</v>
      </c>
      <c r="X4730">
        <v>488</v>
      </c>
      <c r="Y4730">
        <v>70</v>
      </c>
      <c r="Z4730">
        <v>56.9</v>
      </c>
      <c r="AA4730">
        <v>83</v>
      </c>
    </row>
    <row r="4731" spans="1:27" x14ac:dyDescent="0.25">
      <c r="A4731" t="s">
        <v>272</v>
      </c>
      <c r="B4731" t="s">
        <v>184</v>
      </c>
      <c r="C4731" s="76">
        <v>43981</v>
      </c>
      <c r="D4731">
        <v>8945</v>
      </c>
      <c r="E4731">
        <v>3734</v>
      </c>
      <c r="F4731">
        <v>14157</v>
      </c>
      <c r="G4731">
        <v>2520</v>
      </c>
      <c r="H4731">
        <v>78</v>
      </c>
      <c r="I4731">
        <v>70.400000000000006</v>
      </c>
      <c r="J4731">
        <v>85.6</v>
      </c>
      <c r="K4731">
        <v>885</v>
      </c>
      <c r="L4731">
        <v>391</v>
      </c>
      <c r="M4731">
        <v>1378</v>
      </c>
      <c r="N4731">
        <v>7.7</v>
      </c>
      <c r="O4731">
        <v>5.6</v>
      </c>
      <c r="P4731">
        <v>9.9</v>
      </c>
      <c r="Q4731">
        <f t="shared" si="146"/>
        <v>7796941</v>
      </c>
      <c r="R4731">
        <f t="shared" si="145"/>
        <v>11.350605320727707</v>
      </c>
      <c r="U4731">
        <v>1097</v>
      </c>
      <c r="V4731">
        <v>327</v>
      </c>
      <c r="W4731">
        <v>1866</v>
      </c>
      <c r="X4731">
        <v>469</v>
      </c>
      <c r="Y4731">
        <v>70</v>
      </c>
      <c r="Z4731">
        <v>56.5</v>
      </c>
      <c r="AA4731">
        <v>83.6</v>
      </c>
    </row>
    <row r="4732" spans="1:27" x14ac:dyDescent="0.25">
      <c r="A4732" t="s">
        <v>272</v>
      </c>
      <c r="B4732" t="s">
        <v>184</v>
      </c>
      <c r="C4732" s="76">
        <v>43982</v>
      </c>
      <c r="D4732">
        <v>8297</v>
      </c>
      <c r="E4732">
        <v>3303</v>
      </c>
      <c r="F4732">
        <v>13291</v>
      </c>
      <c r="G4732">
        <v>2603</v>
      </c>
      <c r="H4732">
        <v>76.099999999999994</v>
      </c>
      <c r="I4732">
        <v>67</v>
      </c>
      <c r="J4732">
        <v>85.3</v>
      </c>
      <c r="K4732">
        <v>765</v>
      </c>
      <c r="L4732">
        <v>313</v>
      </c>
      <c r="M4732">
        <v>1217</v>
      </c>
      <c r="N4732">
        <v>7</v>
      </c>
      <c r="O4732">
        <v>5.3</v>
      </c>
      <c r="P4732">
        <v>8.8000000000000007</v>
      </c>
      <c r="Q4732">
        <f t="shared" si="146"/>
        <v>7796941</v>
      </c>
      <c r="R4732">
        <f t="shared" si="145"/>
        <v>9.8115401924934407</v>
      </c>
      <c r="U4732">
        <v>960</v>
      </c>
      <c r="V4732">
        <v>239</v>
      </c>
      <c r="W4732">
        <v>1681</v>
      </c>
      <c r="X4732">
        <v>466</v>
      </c>
      <c r="Y4732">
        <v>67.3</v>
      </c>
      <c r="Z4732">
        <v>53.9</v>
      </c>
      <c r="AA4732">
        <v>80.7</v>
      </c>
    </row>
    <row r="4733" spans="1:27" x14ac:dyDescent="0.25">
      <c r="A4733" t="s">
        <v>272</v>
      </c>
      <c r="B4733" t="s">
        <v>184</v>
      </c>
      <c r="C4733" s="76">
        <v>43983</v>
      </c>
      <c r="D4733">
        <v>8262</v>
      </c>
      <c r="E4733">
        <v>3430</v>
      </c>
      <c r="F4733">
        <v>13094</v>
      </c>
      <c r="G4733">
        <v>2569</v>
      </c>
      <c r="H4733">
        <v>76.3</v>
      </c>
      <c r="I4733">
        <v>70.099999999999994</v>
      </c>
      <c r="J4733">
        <v>82.4</v>
      </c>
      <c r="K4733">
        <v>832</v>
      </c>
      <c r="L4733">
        <v>264</v>
      </c>
      <c r="M4733">
        <v>1400</v>
      </c>
      <c r="N4733">
        <v>7.7</v>
      </c>
      <c r="O4733">
        <v>4.8</v>
      </c>
      <c r="P4733">
        <v>10.6</v>
      </c>
      <c r="Q4733">
        <f t="shared" si="146"/>
        <v>7796941</v>
      </c>
      <c r="R4733">
        <f t="shared" si="145"/>
        <v>10.670851555757572</v>
      </c>
      <c r="U4733">
        <v>946</v>
      </c>
      <c r="V4733">
        <v>223</v>
      </c>
      <c r="W4733">
        <v>1668</v>
      </c>
      <c r="X4733">
        <v>494</v>
      </c>
      <c r="Y4733">
        <v>65.7</v>
      </c>
      <c r="Z4733">
        <v>52.6</v>
      </c>
      <c r="AA4733">
        <v>78.7</v>
      </c>
    </row>
    <row r="4734" spans="1:27" x14ac:dyDescent="0.25">
      <c r="A4734" t="s">
        <v>272</v>
      </c>
      <c r="B4734" t="s">
        <v>184</v>
      </c>
      <c r="C4734" s="76">
        <v>43984</v>
      </c>
      <c r="D4734">
        <v>8996</v>
      </c>
      <c r="E4734">
        <v>501</v>
      </c>
      <c r="F4734">
        <v>17490</v>
      </c>
      <c r="G4734">
        <v>2107</v>
      </c>
      <c r="H4734">
        <v>81</v>
      </c>
      <c r="I4734">
        <v>72.599999999999994</v>
      </c>
      <c r="J4734">
        <v>89.4</v>
      </c>
      <c r="K4734">
        <v>784</v>
      </c>
      <c r="L4734">
        <v>25</v>
      </c>
      <c r="M4734">
        <v>1542</v>
      </c>
      <c r="N4734">
        <v>7.1</v>
      </c>
      <c r="O4734">
        <v>5.2</v>
      </c>
      <c r="P4734">
        <v>8.9</v>
      </c>
      <c r="Q4734">
        <f t="shared" si="146"/>
        <v>7796941</v>
      </c>
      <c r="R4734">
        <f t="shared" si="145"/>
        <v>10.055225504463866</v>
      </c>
      <c r="U4734">
        <v>869</v>
      </c>
      <c r="V4734">
        <v>0</v>
      </c>
      <c r="W4734">
        <v>1770</v>
      </c>
      <c r="X4734">
        <v>394</v>
      </c>
      <c r="Y4734">
        <v>68.8</v>
      </c>
      <c r="Z4734">
        <v>51.6</v>
      </c>
      <c r="AA4734">
        <v>86</v>
      </c>
    </row>
    <row r="4735" spans="1:27" x14ac:dyDescent="0.25">
      <c r="A4735" t="s">
        <v>272</v>
      </c>
      <c r="B4735" t="s">
        <v>184</v>
      </c>
      <c r="C4735" s="76">
        <v>43985</v>
      </c>
      <c r="D4735">
        <v>8406</v>
      </c>
      <c r="E4735">
        <v>270</v>
      </c>
      <c r="F4735">
        <v>16542</v>
      </c>
      <c r="G4735">
        <v>2178</v>
      </c>
      <c r="H4735">
        <v>79.400000000000006</v>
      </c>
      <c r="I4735">
        <v>69.8</v>
      </c>
      <c r="J4735">
        <v>89</v>
      </c>
      <c r="K4735">
        <v>771</v>
      </c>
      <c r="L4735">
        <v>19</v>
      </c>
      <c r="M4735">
        <v>1522</v>
      </c>
      <c r="N4735">
        <v>7.3</v>
      </c>
      <c r="O4735">
        <v>5.8</v>
      </c>
      <c r="P4735">
        <v>8.8000000000000007</v>
      </c>
      <c r="Q4735">
        <f t="shared" si="146"/>
        <v>7796941</v>
      </c>
      <c r="R4735">
        <f t="shared" si="145"/>
        <v>9.8884934489051535</v>
      </c>
      <c r="U4735">
        <v>909</v>
      </c>
      <c r="V4735">
        <v>0</v>
      </c>
      <c r="W4735">
        <v>1981</v>
      </c>
      <c r="X4735">
        <v>340</v>
      </c>
      <c r="Y4735">
        <v>72.8</v>
      </c>
      <c r="Z4735">
        <v>46.1</v>
      </c>
      <c r="AA4735">
        <v>99.5</v>
      </c>
    </row>
    <row r="4736" spans="1:27" x14ac:dyDescent="0.25">
      <c r="A4736" t="s">
        <v>272</v>
      </c>
      <c r="B4736" t="s">
        <v>184</v>
      </c>
      <c r="C4736" s="76">
        <v>43986</v>
      </c>
      <c r="D4736">
        <v>9043</v>
      </c>
      <c r="E4736">
        <v>3310</v>
      </c>
      <c r="F4736">
        <v>14776</v>
      </c>
      <c r="G4736">
        <v>2532</v>
      </c>
      <c r="H4736">
        <v>78.099999999999994</v>
      </c>
      <c r="I4736">
        <v>70.3</v>
      </c>
      <c r="J4736">
        <v>85.9</v>
      </c>
      <c r="K4736">
        <v>635</v>
      </c>
      <c r="L4736">
        <v>255</v>
      </c>
      <c r="M4736">
        <v>1014</v>
      </c>
      <c r="N4736">
        <v>5.5</v>
      </c>
      <c r="O4736">
        <v>3.7</v>
      </c>
      <c r="P4736">
        <v>7.3</v>
      </c>
      <c r="Q4736">
        <f t="shared" si="146"/>
        <v>7796941</v>
      </c>
      <c r="R4736">
        <f t="shared" si="145"/>
        <v>8.1442196369063211</v>
      </c>
      <c r="U4736">
        <v>1131</v>
      </c>
      <c r="V4736">
        <v>262</v>
      </c>
      <c r="W4736">
        <v>2001</v>
      </c>
      <c r="X4736">
        <v>669</v>
      </c>
      <c r="Y4736">
        <v>62.9</v>
      </c>
      <c r="Z4736">
        <v>48.1</v>
      </c>
      <c r="AA4736">
        <v>77.599999999999994</v>
      </c>
    </row>
    <row r="4737" spans="1:27" x14ac:dyDescent="0.25">
      <c r="A4737" t="s">
        <v>272</v>
      </c>
      <c r="B4737" t="s">
        <v>184</v>
      </c>
      <c r="C4737" s="76">
        <v>43987</v>
      </c>
      <c r="D4737">
        <v>9337</v>
      </c>
      <c r="E4737">
        <v>3556</v>
      </c>
      <c r="F4737">
        <v>15118</v>
      </c>
      <c r="G4737">
        <v>2521</v>
      </c>
      <c r="H4737">
        <v>78.7</v>
      </c>
      <c r="I4737">
        <v>70.400000000000006</v>
      </c>
      <c r="J4737">
        <v>87.1</v>
      </c>
      <c r="K4737">
        <v>423</v>
      </c>
      <c r="L4737">
        <v>161</v>
      </c>
      <c r="M4737">
        <v>685</v>
      </c>
      <c r="N4737">
        <v>3.6</v>
      </c>
      <c r="O4737">
        <v>2.2000000000000002</v>
      </c>
      <c r="P4737">
        <v>4.9000000000000004</v>
      </c>
      <c r="Q4737">
        <f t="shared" si="146"/>
        <v>7796941</v>
      </c>
      <c r="R4737">
        <f t="shared" si="145"/>
        <v>5.4252045770257853</v>
      </c>
      <c r="U4737">
        <v>1180</v>
      </c>
      <c r="V4737">
        <v>316</v>
      </c>
      <c r="W4737">
        <v>2043</v>
      </c>
      <c r="X4737">
        <v>637</v>
      </c>
      <c r="Y4737">
        <v>64.900000000000006</v>
      </c>
      <c r="Z4737">
        <v>49.8</v>
      </c>
      <c r="AA4737">
        <v>80.099999999999994</v>
      </c>
    </row>
    <row r="4738" spans="1:27" x14ac:dyDescent="0.25">
      <c r="A4738" t="s">
        <v>272</v>
      </c>
      <c r="B4738" t="s">
        <v>184</v>
      </c>
      <c r="C4738" s="76">
        <v>43988</v>
      </c>
      <c r="D4738">
        <v>9446</v>
      </c>
      <c r="E4738">
        <v>5759</v>
      </c>
      <c r="F4738">
        <v>13132</v>
      </c>
      <c r="G4738">
        <v>3862</v>
      </c>
      <c r="H4738">
        <v>71</v>
      </c>
      <c r="I4738">
        <v>64.2</v>
      </c>
      <c r="J4738">
        <v>77.8</v>
      </c>
      <c r="K4738">
        <v>432</v>
      </c>
      <c r="L4738">
        <v>184</v>
      </c>
      <c r="M4738">
        <v>681</v>
      </c>
      <c r="N4738">
        <v>3.2</v>
      </c>
      <c r="O4738">
        <v>1.7</v>
      </c>
      <c r="P4738">
        <v>4.8</v>
      </c>
      <c r="Q4738">
        <f t="shared" si="146"/>
        <v>7796941</v>
      </c>
      <c r="R4738">
        <f t="shared" si="145"/>
        <v>5.5406344616433545</v>
      </c>
      <c r="U4738">
        <v>1076</v>
      </c>
      <c r="V4738">
        <v>573</v>
      </c>
      <c r="W4738">
        <v>1579</v>
      </c>
      <c r="X4738">
        <v>784</v>
      </c>
      <c r="Y4738">
        <v>57.9</v>
      </c>
      <c r="Z4738">
        <v>46.9</v>
      </c>
      <c r="AA4738">
        <v>68.8</v>
      </c>
    </row>
    <row r="4739" spans="1:27" x14ac:dyDescent="0.25">
      <c r="A4739" t="s">
        <v>272</v>
      </c>
      <c r="B4739" t="s">
        <v>184</v>
      </c>
      <c r="C4739" s="76">
        <v>43989</v>
      </c>
      <c r="D4739">
        <v>8712</v>
      </c>
      <c r="E4739">
        <v>5216</v>
      </c>
      <c r="F4739">
        <v>12209</v>
      </c>
      <c r="G4739">
        <v>4343</v>
      </c>
      <c r="H4739">
        <v>66.7</v>
      </c>
      <c r="I4739">
        <v>59.7</v>
      </c>
      <c r="J4739">
        <v>73.7</v>
      </c>
      <c r="K4739">
        <v>365</v>
      </c>
      <c r="L4739">
        <v>152</v>
      </c>
      <c r="M4739">
        <v>577</v>
      </c>
      <c r="N4739">
        <v>2.8</v>
      </c>
      <c r="O4739">
        <v>1.5</v>
      </c>
      <c r="P4739">
        <v>4</v>
      </c>
      <c r="Q4739">
        <f t="shared" si="146"/>
        <v>7796941</v>
      </c>
      <c r="R4739">
        <f t="shared" si="145"/>
        <v>4.6813230983792238</v>
      </c>
      <c r="U4739">
        <v>998</v>
      </c>
      <c r="V4739">
        <v>533</v>
      </c>
      <c r="W4739">
        <v>1463</v>
      </c>
      <c r="X4739">
        <v>838</v>
      </c>
      <c r="Y4739">
        <v>54.3</v>
      </c>
      <c r="Z4739">
        <v>43.5</v>
      </c>
      <c r="AA4739">
        <v>65.2</v>
      </c>
    </row>
    <row r="4740" spans="1:27" x14ac:dyDescent="0.25">
      <c r="A4740" t="s">
        <v>272</v>
      </c>
      <c r="B4740" t="s">
        <v>184</v>
      </c>
      <c r="C4740" s="76">
        <v>43990</v>
      </c>
      <c r="D4740">
        <v>9109</v>
      </c>
      <c r="E4740">
        <v>2744</v>
      </c>
      <c r="F4740">
        <v>15475</v>
      </c>
      <c r="G4740">
        <v>2673</v>
      </c>
      <c r="H4740">
        <v>77.3</v>
      </c>
      <c r="I4740">
        <v>67.900000000000006</v>
      </c>
      <c r="J4740">
        <v>86.7</v>
      </c>
      <c r="K4740">
        <v>295</v>
      </c>
      <c r="L4740">
        <v>52</v>
      </c>
      <c r="M4740">
        <v>537</v>
      </c>
      <c r="N4740">
        <v>2.5</v>
      </c>
      <c r="O4740">
        <v>0.5</v>
      </c>
      <c r="P4740">
        <v>4.5</v>
      </c>
      <c r="Q4740">
        <f t="shared" si="146"/>
        <v>7796941</v>
      </c>
      <c r="R4740">
        <f t="shared" si="145"/>
        <v>3.7835351069092353</v>
      </c>
      <c r="U4740">
        <v>1046</v>
      </c>
      <c r="V4740">
        <v>200</v>
      </c>
      <c r="W4740">
        <v>1893</v>
      </c>
      <c r="X4740">
        <v>873</v>
      </c>
      <c r="Y4740">
        <v>54.5</v>
      </c>
      <c r="Z4740">
        <v>36.6</v>
      </c>
      <c r="AA4740">
        <v>72.5</v>
      </c>
    </row>
    <row r="4741" spans="1:27" x14ac:dyDescent="0.25">
      <c r="A4741" t="s">
        <v>272</v>
      </c>
      <c r="B4741" t="s">
        <v>184</v>
      </c>
      <c r="C4741" s="76">
        <v>43991</v>
      </c>
      <c r="D4741">
        <v>10175</v>
      </c>
      <c r="E4741">
        <v>3018</v>
      </c>
      <c r="F4741">
        <v>17331</v>
      </c>
      <c r="G4741">
        <v>1947</v>
      </c>
      <c r="H4741">
        <v>83.9</v>
      </c>
      <c r="I4741">
        <v>76.3</v>
      </c>
      <c r="J4741">
        <v>91.6</v>
      </c>
      <c r="K4741">
        <v>271</v>
      </c>
      <c r="L4741">
        <v>73</v>
      </c>
      <c r="M4741">
        <v>470</v>
      </c>
      <c r="N4741">
        <v>2.2000000000000002</v>
      </c>
      <c r="O4741">
        <v>0.6</v>
      </c>
      <c r="P4741">
        <v>3.8</v>
      </c>
      <c r="Q4741">
        <f t="shared" si="146"/>
        <v>7796941</v>
      </c>
      <c r="R4741">
        <f t="shared" ref="R4741:R4804" si="147">K4741/(Q4741)*100000</f>
        <v>3.4757220812623819</v>
      </c>
      <c r="U4741">
        <v>1231</v>
      </c>
      <c r="V4741">
        <v>287</v>
      </c>
      <c r="W4741">
        <v>2174</v>
      </c>
      <c r="X4741">
        <v>701</v>
      </c>
      <c r="Y4741">
        <v>63.7</v>
      </c>
      <c r="Z4741">
        <v>44</v>
      </c>
      <c r="AA4741">
        <v>83.4</v>
      </c>
    </row>
    <row r="4742" spans="1:27" x14ac:dyDescent="0.25">
      <c r="A4742" t="s">
        <v>272</v>
      </c>
      <c r="B4742" t="s">
        <v>184</v>
      </c>
      <c r="C4742" s="76">
        <v>43992</v>
      </c>
      <c r="D4742">
        <v>10909</v>
      </c>
      <c r="E4742">
        <v>0</v>
      </c>
      <c r="F4742">
        <v>22038</v>
      </c>
      <c r="G4742">
        <v>1032</v>
      </c>
      <c r="H4742">
        <v>91.4</v>
      </c>
      <c r="I4742">
        <v>82.7</v>
      </c>
      <c r="J4742">
        <v>100</v>
      </c>
      <c r="K4742">
        <v>268</v>
      </c>
      <c r="L4742">
        <v>32</v>
      </c>
      <c r="M4742">
        <v>505</v>
      </c>
      <c r="N4742">
        <v>2.2000000000000002</v>
      </c>
      <c r="O4742">
        <v>0.8</v>
      </c>
      <c r="P4742">
        <v>3.7</v>
      </c>
      <c r="Q4742">
        <f t="shared" si="146"/>
        <v>7796941</v>
      </c>
      <c r="R4742">
        <f t="shared" si="147"/>
        <v>3.4372454530565255</v>
      </c>
      <c r="U4742">
        <v>1344</v>
      </c>
      <c r="V4742">
        <v>0</v>
      </c>
      <c r="W4742">
        <v>2922</v>
      </c>
      <c r="X4742">
        <v>183</v>
      </c>
      <c r="Y4742">
        <v>88</v>
      </c>
      <c r="Z4742">
        <v>73.3</v>
      </c>
      <c r="AA4742">
        <v>100</v>
      </c>
    </row>
    <row r="4743" spans="1:27" x14ac:dyDescent="0.25">
      <c r="A4743" t="s">
        <v>272</v>
      </c>
      <c r="B4743" t="s">
        <v>184</v>
      </c>
      <c r="C4743" s="76">
        <v>43993</v>
      </c>
      <c r="D4743">
        <v>9758</v>
      </c>
      <c r="E4743">
        <v>3656</v>
      </c>
      <c r="F4743">
        <v>15859</v>
      </c>
      <c r="G4743">
        <v>1777</v>
      </c>
      <c r="H4743">
        <v>84.6</v>
      </c>
      <c r="I4743">
        <v>77.400000000000006</v>
      </c>
      <c r="J4743">
        <v>91.7</v>
      </c>
      <c r="K4743">
        <v>418</v>
      </c>
      <c r="L4743">
        <v>109</v>
      </c>
      <c r="M4743">
        <v>728</v>
      </c>
      <c r="N4743">
        <v>3.6</v>
      </c>
      <c r="O4743">
        <v>1.9</v>
      </c>
      <c r="P4743">
        <v>5.4</v>
      </c>
      <c r="Q4743">
        <f t="shared" si="146"/>
        <v>7796941</v>
      </c>
      <c r="R4743">
        <f t="shared" si="147"/>
        <v>5.3610768633493571</v>
      </c>
      <c r="U4743">
        <v>1164</v>
      </c>
      <c r="V4743">
        <v>360</v>
      </c>
      <c r="W4743">
        <v>1969</v>
      </c>
      <c r="X4743">
        <v>543</v>
      </c>
      <c r="Y4743">
        <v>68.2</v>
      </c>
      <c r="Z4743">
        <v>48</v>
      </c>
      <c r="AA4743">
        <v>88.4</v>
      </c>
    </row>
    <row r="4744" spans="1:27" x14ac:dyDescent="0.25">
      <c r="A4744" t="s">
        <v>272</v>
      </c>
      <c r="B4744" t="s">
        <v>184</v>
      </c>
      <c r="C4744" s="76">
        <v>43994</v>
      </c>
      <c r="D4744">
        <v>8569</v>
      </c>
      <c r="E4744">
        <v>3408</v>
      </c>
      <c r="F4744">
        <v>13729</v>
      </c>
      <c r="G4744">
        <v>4212</v>
      </c>
      <c r="H4744">
        <v>67</v>
      </c>
      <c r="I4744">
        <v>58.8</v>
      </c>
      <c r="J4744">
        <v>75.3</v>
      </c>
      <c r="K4744">
        <v>359</v>
      </c>
      <c r="L4744">
        <v>42</v>
      </c>
      <c r="M4744">
        <v>675</v>
      </c>
      <c r="N4744">
        <v>2.8</v>
      </c>
      <c r="O4744">
        <v>0.9</v>
      </c>
      <c r="P4744">
        <v>4.7</v>
      </c>
      <c r="Q4744">
        <f t="shared" si="146"/>
        <v>7796941</v>
      </c>
      <c r="R4744">
        <f t="shared" si="147"/>
        <v>4.6043698419675101</v>
      </c>
      <c r="U4744">
        <v>1073</v>
      </c>
      <c r="V4744">
        <v>354</v>
      </c>
      <c r="W4744">
        <v>1792</v>
      </c>
      <c r="X4744">
        <v>675</v>
      </c>
      <c r="Y4744">
        <v>61.4</v>
      </c>
      <c r="Z4744">
        <v>48.1</v>
      </c>
      <c r="AA4744">
        <v>74.7</v>
      </c>
    </row>
    <row r="4745" spans="1:27" x14ac:dyDescent="0.25">
      <c r="A4745" t="s">
        <v>272</v>
      </c>
      <c r="B4745" t="s">
        <v>184</v>
      </c>
      <c r="C4745" s="76">
        <v>43995</v>
      </c>
      <c r="D4745">
        <v>8396</v>
      </c>
      <c r="E4745">
        <v>5096</v>
      </c>
      <c r="F4745">
        <v>11696</v>
      </c>
      <c r="G4745">
        <v>5288</v>
      </c>
      <c r="H4745">
        <v>61.4</v>
      </c>
      <c r="I4745">
        <v>55.7</v>
      </c>
      <c r="J4745">
        <v>67</v>
      </c>
      <c r="K4745">
        <v>407</v>
      </c>
      <c r="L4745">
        <v>193</v>
      </c>
      <c r="M4745">
        <v>622</v>
      </c>
      <c r="N4745">
        <v>3</v>
      </c>
      <c r="O4745">
        <v>1.8</v>
      </c>
      <c r="P4745">
        <v>4.0999999999999996</v>
      </c>
      <c r="Q4745">
        <f t="shared" si="146"/>
        <v>7796941</v>
      </c>
      <c r="R4745">
        <f t="shared" si="147"/>
        <v>5.219995893261216</v>
      </c>
      <c r="U4745">
        <v>1104</v>
      </c>
      <c r="V4745">
        <v>608</v>
      </c>
      <c r="W4745">
        <v>1600</v>
      </c>
      <c r="X4745">
        <v>720</v>
      </c>
      <c r="Y4745">
        <v>60.5</v>
      </c>
      <c r="Z4745">
        <v>48.1</v>
      </c>
      <c r="AA4745">
        <v>73</v>
      </c>
    </row>
    <row r="4746" spans="1:27" x14ac:dyDescent="0.25">
      <c r="A4746" t="s">
        <v>272</v>
      </c>
      <c r="B4746" t="s">
        <v>184</v>
      </c>
      <c r="C4746" s="76">
        <v>43996</v>
      </c>
      <c r="D4746">
        <v>8112</v>
      </c>
      <c r="E4746">
        <v>4942</v>
      </c>
      <c r="F4746">
        <v>11283</v>
      </c>
      <c r="G4746">
        <v>5474</v>
      </c>
      <c r="H4746">
        <v>59.7</v>
      </c>
      <c r="I4746">
        <v>54.3</v>
      </c>
      <c r="J4746">
        <v>65.099999999999994</v>
      </c>
      <c r="K4746">
        <v>439</v>
      </c>
      <c r="L4746">
        <v>200</v>
      </c>
      <c r="M4746">
        <v>678</v>
      </c>
      <c r="N4746">
        <v>3.2</v>
      </c>
      <c r="O4746">
        <v>1.9</v>
      </c>
      <c r="P4746">
        <v>4.5</v>
      </c>
      <c r="Q4746">
        <f t="shared" si="146"/>
        <v>7796941</v>
      </c>
      <c r="R4746">
        <f t="shared" si="147"/>
        <v>5.6304132607903536</v>
      </c>
      <c r="U4746">
        <v>1028</v>
      </c>
      <c r="V4746">
        <v>570</v>
      </c>
      <c r="W4746">
        <v>1486</v>
      </c>
      <c r="X4746">
        <v>803</v>
      </c>
      <c r="Y4746">
        <v>56.1</v>
      </c>
      <c r="Z4746">
        <v>44.9</v>
      </c>
      <c r="AA4746">
        <v>67.3</v>
      </c>
    </row>
    <row r="4747" spans="1:27" x14ac:dyDescent="0.25">
      <c r="A4747" t="s">
        <v>272</v>
      </c>
      <c r="B4747" t="s">
        <v>184</v>
      </c>
      <c r="C4747" s="76">
        <v>43997</v>
      </c>
      <c r="D4747">
        <v>7917</v>
      </c>
      <c r="E4747">
        <v>3260</v>
      </c>
      <c r="F4747">
        <v>12574</v>
      </c>
      <c r="G4747">
        <v>4869</v>
      </c>
      <c r="H4747">
        <v>61.9</v>
      </c>
      <c r="I4747">
        <v>55.9</v>
      </c>
      <c r="J4747">
        <v>68</v>
      </c>
      <c r="K4747">
        <v>399</v>
      </c>
      <c r="L4747">
        <v>56</v>
      </c>
      <c r="M4747">
        <v>742</v>
      </c>
      <c r="N4747">
        <v>3.1</v>
      </c>
      <c r="O4747">
        <v>1</v>
      </c>
      <c r="P4747">
        <v>5.3</v>
      </c>
      <c r="Q4747">
        <f t="shared" si="146"/>
        <v>7796941</v>
      </c>
      <c r="R4747">
        <f t="shared" si="147"/>
        <v>5.1173915513789314</v>
      </c>
      <c r="U4747">
        <v>1032</v>
      </c>
      <c r="V4747">
        <v>369</v>
      </c>
      <c r="W4747">
        <v>1695</v>
      </c>
      <c r="X4747">
        <v>795</v>
      </c>
      <c r="Y4747">
        <v>56.5</v>
      </c>
      <c r="Z4747">
        <v>38.9</v>
      </c>
      <c r="AA4747">
        <v>74.099999999999994</v>
      </c>
    </row>
    <row r="4748" spans="1:27" x14ac:dyDescent="0.25">
      <c r="A4748" t="s">
        <v>272</v>
      </c>
      <c r="B4748" t="s">
        <v>184</v>
      </c>
      <c r="C4748" s="76">
        <v>43998</v>
      </c>
      <c r="D4748">
        <v>9039</v>
      </c>
      <c r="E4748">
        <v>2448</v>
      </c>
      <c r="F4748">
        <v>15629</v>
      </c>
      <c r="G4748">
        <v>4501</v>
      </c>
      <c r="H4748">
        <v>66.8</v>
      </c>
      <c r="I4748">
        <v>58.4</v>
      </c>
      <c r="J4748">
        <v>75.099999999999994</v>
      </c>
      <c r="K4748">
        <v>334</v>
      </c>
      <c r="L4748">
        <v>48</v>
      </c>
      <c r="M4748">
        <v>621</v>
      </c>
      <c r="N4748">
        <v>2.5</v>
      </c>
      <c r="O4748">
        <v>0.4</v>
      </c>
      <c r="P4748">
        <v>4.5</v>
      </c>
      <c r="Q4748">
        <f t="shared" si="146"/>
        <v>7796941</v>
      </c>
      <c r="R4748">
        <f t="shared" si="147"/>
        <v>4.2837312735853716</v>
      </c>
      <c r="U4748">
        <v>1099</v>
      </c>
      <c r="V4748">
        <v>209</v>
      </c>
      <c r="W4748">
        <v>1990</v>
      </c>
      <c r="X4748">
        <v>846</v>
      </c>
      <c r="Y4748">
        <v>56.5</v>
      </c>
      <c r="Z4748">
        <v>37.200000000000003</v>
      </c>
      <c r="AA4748">
        <v>75.8</v>
      </c>
    </row>
    <row r="4749" spans="1:27" x14ac:dyDescent="0.25">
      <c r="A4749" t="s">
        <v>272</v>
      </c>
      <c r="B4749" t="s">
        <v>184</v>
      </c>
      <c r="C4749" s="76">
        <v>43999</v>
      </c>
      <c r="D4749">
        <v>8989</v>
      </c>
      <c r="E4749">
        <v>0</v>
      </c>
      <c r="F4749">
        <v>17983</v>
      </c>
      <c r="G4749">
        <v>5224</v>
      </c>
      <c r="H4749">
        <v>63.2</v>
      </c>
      <c r="I4749">
        <v>56.8</v>
      </c>
      <c r="J4749">
        <v>69.7</v>
      </c>
      <c r="K4749">
        <v>296</v>
      </c>
      <c r="L4749">
        <v>22</v>
      </c>
      <c r="M4749">
        <v>570</v>
      </c>
      <c r="N4749">
        <v>2.1</v>
      </c>
      <c r="O4749">
        <v>0.6</v>
      </c>
      <c r="P4749">
        <v>3.6</v>
      </c>
      <c r="Q4749">
        <f t="shared" si="146"/>
        <v>7796941</v>
      </c>
      <c r="R4749">
        <f t="shared" si="147"/>
        <v>3.7963606496445212</v>
      </c>
      <c r="U4749">
        <v>1170</v>
      </c>
      <c r="V4749">
        <v>0</v>
      </c>
      <c r="W4749">
        <v>2533</v>
      </c>
      <c r="X4749">
        <v>379</v>
      </c>
      <c r="Y4749">
        <v>75.5</v>
      </c>
      <c r="Z4749">
        <v>62.6</v>
      </c>
      <c r="AA4749">
        <v>88.4</v>
      </c>
    </row>
    <row r="4750" spans="1:27" x14ac:dyDescent="0.25">
      <c r="A4750" t="s">
        <v>272</v>
      </c>
      <c r="B4750" t="s">
        <v>184</v>
      </c>
      <c r="C4750" s="76">
        <v>44000</v>
      </c>
      <c r="D4750">
        <v>7992</v>
      </c>
      <c r="E4750">
        <v>2340</v>
      </c>
      <c r="F4750">
        <v>13644</v>
      </c>
      <c r="G4750">
        <v>4400</v>
      </c>
      <c r="H4750">
        <v>64.5</v>
      </c>
      <c r="I4750">
        <v>58.4</v>
      </c>
      <c r="J4750">
        <v>70.599999999999994</v>
      </c>
      <c r="K4750">
        <v>525</v>
      </c>
      <c r="L4750">
        <v>0</v>
      </c>
      <c r="M4750">
        <v>1126</v>
      </c>
      <c r="N4750">
        <v>4.2</v>
      </c>
      <c r="O4750">
        <v>0.4</v>
      </c>
      <c r="P4750">
        <v>8.1</v>
      </c>
      <c r="Q4750">
        <f t="shared" si="146"/>
        <v>7796941</v>
      </c>
      <c r="R4750">
        <f t="shared" si="147"/>
        <v>6.73340993602491</v>
      </c>
      <c r="U4750">
        <v>1103</v>
      </c>
      <c r="V4750">
        <v>248</v>
      </c>
      <c r="W4750">
        <v>1958</v>
      </c>
      <c r="X4750">
        <v>395</v>
      </c>
      <c r="Y4750">
        <v>73.7</v>
      </c>
      <c r="Z4750">
        <v>61.2</v>
      </c>
      <c r="AA4750">
        <v>86.1</v>
      </c>
    </row>
    <row r="4751" spans="1:27" x14ac:dyDescent="0.25">
      <c r="A4751" t="s">
        <v>272</v>
      </c>
      <c r="B4751" t="s">
        <v>184</v>
      </c>
      <c r="C4751" s="76">
        <v>44001</v>
      </c>
      <c r="D4751">
        <v>8820</v>
      </c>
      <c r="E4751">
        <v>3475</v>
      </c>
      <c r="F4751">
        <v>14164</v>
      </c>
      <c r="G4751">
        <v>3890</v>
      </c>
      <c r="H4751">
        <v>69.400000000000006</v>
      </c>
      <c r="I4751">
        <v>60.5</v>
      </c>
      <c r="J4751">
        <v>78.3</v>
      </c>
      <c r="K4751">
        <v>411</v>
      </c>
      <c r="L4751">
        <v>81</v>
      </c>
      <c r="M4751">
        <v>741</v>
      </c>
      <c r="N4751">
        <v>3.2</v>
      </c>
      <c r="O4751">
        <v>1.1000000000000001</v>
      </c>
      <c r="P4751">
        <v>5.4</v>
      </c>
      <c r="Q4751">
        <f t="shared" si="146"/>
        <v>7796941</v>
      </c>
      <c r="R4751">
        <f t="shared" si="147"/>
        <v>5.2712980642023588</v>
      </c>
      <c r="U4751">
        <v>1158</v>
      </c>
      <c r="V4751">
        <v>387</v>
      </c>
      <c r="W4751">
        <v>1928</v>
      </c>
      <c r="X4751">
        <v>677</v>
      </c>
      <c r="Y4751">
        <v>63.1</v>
      </c>
      <c r="Z4751">
        <v>51.1</v>
      </c>
      <c r="AA4751">
        <v>75</v>
      </c>
    </row>
    <row r="4752" spans="1:27" x14ac:dyDescent="0.25">
      <c r="A4752" t="s">
        <v>272</v>
      </c>
      <c r="B4752" t="s">
        <v>184</v>
      </c>
      <c r="C4752" s="76">
        <v>44002</v>
      </c>
      <c r="D4752">
        <v>8308</v>
      </c>
      <c r="E4752">
        <v>4979</v>
      </c>
      <c r="F4752">
        <v>11637</v>
      </c>
      <c r="G4752">
        <v>5067</v>
      </c>
      <c r="H4752">
        <v>62.1</v>
      </c>
      <c r="I4752">
        <v>55.7</v>
      </c>
      <c r="J4752">
        <v>68.5</v>
      </c>
      <c r="K4752">
        <v>454</v>
      </c>
      <c r="L4752">
        <v>208</v>
      </c>
      <c r="M4752">
        <v>700</v>
      </c>
      <c r="N4752">
        <v>3.4</v>
      </c>
      <c r="O4752">
        <v>2</v>
      </c>
      <c r="P4752">
        <v>4.8</v>
      </c>
      <c r="Q4752">
        <f t="shared" si="146"/>
        <v>7796941</v>
      </c>
      <c r="R4752">
        <f t="shared" si="147"/>
        <v>5.8227964018196365</v>
      </c>
      <c r="U4752">
        <v>1117</v>
      </c>
      <c r="V4752">
        <v>623</v>
      </c>
      <c r="W4752">
        <v>1611</v>
      </c>
      <c r="X4752">
        <v>725</v>
      </c>
      <c r="Y4752">
        <v>60.6</v>
      </c>
      <c r="Z4752">
        <v>50.6</v>
      </c>
      <c r="AA4752">
        <v>70.7</v>
      </c>
    </row>
    <row r="4753" spans="1:27" x14ac:dyDescent="0.25">
      <c r="A4753" t="s">
        <v>272</v>
      </c>
      <c r="B4753" t="s">
        <v>184</v>
      </c>
      <c r="C4753" s="76">
        <v>44003</v>
      </c>
      <c r="D4753">
        <v>8040</v>
      </c>
      <c r="E4753">
        <v>4778</v>
      </c>
      <c r="F4753">
        <v>11301</v>
      </c>
      <c r="G4753">
        <v>5582</v>
      </c>
      <c r="H4753">
        <v>59</v>
      </c>
      <c r="I4753">
        <v>53.3</v>
      </c>
      <c r="J4753">
        <v>64.7</v>
      </c>
      <c r="K4753">
        <v>502</v>
      </c>
      <c r="L4753">
        <v>248</v>
      </c>
      <c r="M4753">
        <v>756</v>
      </c>
      <c r="N4753">
        <v>3.7</v>
      </c>
      <c r="O4753">
        <v>2.2000000000000002</v>
      </c>
      <c r="P4753">
        <v>5.0999999999999996</v>
      </c>
      <c r="Q4753">
        <f t="shared" si="146"/>
        <v>7796941</v>
      </c>
      <c r="R4753">
        <f t="shared" si="147"/>
        <v>6.4384224531133434</v>
      </c>
      <c r="U4753">
        <v>1031</v>
      </c>
      <c r="V4753">
        <v>568</v>
      </c>
      <c r="W4753">
        <v>1493</v>
      </c>
      <c r="X4753">
        <v>774</v>
      </c>
      <c r="Y4753">
        <v>57.1</v>
      </c>
      <c r="Z4753">
        <v>46.7</v>
      </c>
      <c r="AA4753">
        <v>67.599999999999994</v>
      </c>
    </row>
    <row r="4754" spans="1:27" x14ac:dyDescent="0.25">
      <c r="A4754" t="s">
        <v>272</v>
      </c>
      <c r="B4754" t="s">
        <v>184</v>
      </c>
      <c r="C4754" s="76">
        <v>44004</v>
      </c>
      <c r="D4754">
        <v>8636</v>
      </c>
      <c r="E4754">
        <v>3514</v>
      </c>
      <c r="F4754">
        <v>13758</v>
      </c>
      <c r="G4754">
        <v>4327</v>
      </c>
      <c r="H4754">
        <v>66.599999999999994</v>
      </c>
      <c r="I4754">
        <v>55.9</v>
      </c>
      <c r="J4754">
        <v>77.3</v>
      </c>
      <c r="K4754">
        <v>407</v>
      </c>
      <c r="L4754">
        <v>89</v>
      </c>
      <c r="M4754">
        <v>725</v>
      </c>
      <c r="N4754">
        <v>3.1</v>
      </c>
      <c r="O4754">
        <v>1.2</v>
      </c>
      <c r="P4754">
        <v>5.0999999999999996</v>
      </c>
      <c r="Q4754">
        <f t="shared" si="146"/>
        <v>7796941</v>
      </c>
      <c r="R4754">
        <f t="shared" si="147"/>
        <v>5.219995893261216</v>
      </c>
      <c r="U4754">
        <v>1093</v>
      </c>
      <c r="V4754">
        <v>435</v>
      </c>
      <c r="W4754">
        <v>1752</v>
      </c>
      <c r="X4754">
        <v>750</v>
      </c>
      <c r="Y4754">
        <v>59.3</v>
      </c>
      <c r="Z4754">
        <v>47</v>
      </c>
      <c r="AA4754">
        <v>71.599999999999994</v>
      </c>
    </row>
    <row r="4755" spans="1:27" x14ac:dyDescent="0.25">
      <c r="A4755" t="s">
        <v>272</v>
      </c>
      <c r="B4755" t="s">
        <v>184</v>
      </c>
      <c r="C4755" s="76">
        <v>44005</v>
      </c>
      <c r="D4755">
        <v>9585</v>
      </c>
      <c r="E4755">
        <v>2922</v>
      </c>
      <c r="F4755">
        <v>16247</v>
      </c>
      <c r="G4755">
        <v>3806</v>
      </c>
      <c r="H4755">
        <v>71.599999999999994</v>
      </c>
      <c r="I4755">
        <v>58.4</v>
      </c>
      <c r="J4755">
        <v>84.8</v>
      </c>
      <c r="K4755">
        <v>280</v>
      </c>
      <c r="L4755">
        <v>76</v>
      </c>
      <c r="M4755">
        <v>483</v>
      </c>
      <c r="N4755">
        <v>2.1</v>
      </c>
      <c r="O4755">
        <v>0.9</v>
      </c>
      <c r="P4755">
        <v>3.3</v>
      </c>
      <c r="Q4755">
        <f t="shared" si="146"/>
        <v>7796941</v>
      </c>
      <c r="R4755">
        <f t="shared" si="147"/>
        <v>3.591151965879952</v>
      </c>
      <c r="U4755">
        <v>1207</v>
      </c>
      <c r="V4755">
        <v>349</v>
      </c>
      <c r="W4755">
        <v>2065</v>
      </c>
      <c r="X4755">
        <v>787</v>
      </c>
      <c r="Y4755">
        <v>60.5</v>
      </c>
      <c r="Z4755">
        <v>48.3</v>
      </c>
      <c r="AA4755">
        <v>72.7</v>
      </c>
    </row>
    <row r="4756" spans="1:27" x14ac:dyDescent="0.25">
      <c r="A4756" t="s">
        <v>272</v>
      </c>
      <c r="B4756" t="s">
        <v>184</v>
      </c>
      <c r="C4756" s="76">
        <v>44006</v>
      </c>
      <c r="D4756">
        <v>9866</v>
      </c>
      <c r="E4756">
        <v>1238</v>
      </c>
      <c r="F4756">
        <v>18493</v>
      </c>
      <c r="G4756">
        <v>4086</v>
      </c>
      <c r="H4756">
        <v>70.7</v>
      </c>
      <c r="I4756">
        <v>54.1</v>
      </c>
      <c r="J4756">
        <v>87.3</v>
      </c>
      <c r="K4756">
        <v>287</v>
      </c>
      <c r="L4756">
        <v>59</v>
      </c>
      <c r="M4756">
        <v>514</v>
      </c>
      <c r="N4756">
        <v>2.1</v>
      </c>
      <c r="O4756">
        <v>0.8</v>
      </c>
      <c r="P4756">
        <v>3.3</v>
      </c>
      <c r="Q4756">
        <f t="shared" si="146"/>
        <v>7796941</v>
      </c>
      <c r="R4756">
        <f t="shared" si="147"/>
        <v>3.6809307650269512</v>
      </c>
      <c r="U4756">
        <v>1261</v>
      </c>
      <c r="V4756">
        <v>133</v>
      </c>
      <c r="W4756">
        <v>2388</v>
      </c>
      <c r="X4756">
        <v>491</v>
      </c>
      <c r="Y4756">
        <v>72</v>
      </c>
      <c r="Z4756">
        <v>64.900000000000006</v>
      </c>
      <c r="AA4756">
        <v>79</v>
      </c>
    </row>
    <row r="4757" spans="1:27" x14ac:dyDescent="0.25">
      <c r="A4757" t="s">
        <v>272</v>
      </c>
      <c r="B4757" t="s">
        <v>184</v>
      </c>
      <c r="C4757" s="76">
        <v>44007</v>
      </c>
      <c r="D4757">
        <v>9663</v>
      </c>
      <c r="E4757">
        <v>4012</v>
      </c>
      <c r="F4757">
        <v>15314</v>
      </c>
      <c r="G4757">
        <v>3512</v>
      </c>
      <c r="H4757">
        <v>73.3</v>
      </c>
      <c r="I4757">
        <v>63.6</v>
      </c>
      <c r="J4757">
        <v>83.1</v>
      </c>
      <c r="K4757">
        <v>377</v>
      </c>
      <c r="L4757">
        <v>63</v>
      </c>
      <c r="M4757">
        <v>690</v>
      </c>
      <c r="N4757">
        <v>2.9</v>
      </c>
      <c r="O4757">
        <v>0.9</v>
      </c>
      <c r="P4757">
        <v>4.8</v>
      </c>
      <c r="Q4757">
        <f t="shared" si="146"/>
        <v>7796941</v>
      </c>
      <c r="R4757">
        <f t="shared" si="147"/>
        <v>4.8352296112026503</v>
      </c>
      <c r="U4757">
        <v>1232</v>
      </c>
      <c r="V4757">
        <v>462</v>
      </c>
      <c r="W4757">
        <v>2003</v>
      </c>
      <c r="X4757">
        <v>667</v>
      </c>
      <c r="Y4757">
        <v>64.900000000000006</v>
      </c>
      <c r="Z4757">
        <v>53.1</v>
      </c>
      <c r="AA4757">
        <v>76.7</v>
      </c>
    </row>
    <row r="4758" spans="1:27" x14ac:dyDescent="0.25">
      <c r="A4758" t="s">
        <v>272</v>
      </c>
      <c r="B4758" t="s">
        <v>184</v>
      </c>
      <c r="C4758" s="76">
        <v>44008</v>
      </c>
      <c r="D4758">
        <v>9540</v>
      </c>
      <c r="E4758">
        <v>3759</v>
      </c>
      <c r="F4758">
        <v>15322</v>
      </c>
      <c r="G4758">
        <v>3447</v>
      </c>
      <c r="H4758">
        <v>73.5</v>
      </c>
      <c r="I4758">
        <v>62.6</v>
      </c>
      <c r="J4758">
        <v>84.3</v>
      </c>
      <c r="K4758">
        <v>428</v>
      </c>
      <c r="L4758">
        <v>83</v>
      </c>
      <c r="M4758">
        <v>772</v>
      </c>
      <c r="N4758">
        <v>3.3</v>
      </c>
      <c r="O4758">
        <v>1.2</v>
      </c>
      <c r="P4758">
        <v>5.4</v>
      </c>
      <c r="Q4758">
        <f t="shared" si="146"/>
        <v>7796941</v>
      </c>
      <c r="R4758">
        <f t="shared" si="147"/>
        <v>5.4893322907022126</v>
      </c>
      <c r="U4758">
        <v>1284</v>
      </c>
      <c r="V4758">
        <v>464</v>
      </c>
      <c r="W4758">
        <v>2103</v>
      </c>
      <c r="X4758">
        <v>578</v>
      </c>
      <c r="Y4758">
        <v>69</v>
      </c>
      <c r="Z4758">
        <v>58.8</v>
      </c>
      <c r="AA4758">
        <v>79.099999999999994</v>
      </c>
    </row>
    <row r="4759" spans="1:27" x14ac:dyDescent="0.25">
      <c r="A4759" t="s">
        <v>272</v>
      </c>
      <c r="B4759" t="s">
        <v>184</v>
      </c>
      <c r="C4759" s="76">
        <v>44009</v>
      </c>
      <c r="D4759">
        <v>8563</v>
      </c>
      <c r="E4759">
        <v>5143</v>
      </c>
      <c r="F4759">
        <v>11983</v>
      </c>
      <c r="G4759">
        <v>4841</v>
      </c>
      <c r="H4759">
        <v>63.9</v>
      </c>
      <c r="I4759">
        <v>57.1</v>
      </c>
      <c r="J4759">
        <v>70.7</v>
      </c>
      <c r="K4759">
        <v>450</v>
      </c>
      <c r="L4759">
        <v>201</v>
      </c>
      <c r="M4759">
        <v>698</v>
      </c>
      <c r="N4759">
        <v>3.4</v>
      </c>
      <c r="O4759">
        <v>2</v>
      </c>
      <c r="P4759">
        <v>4.7</v>
      </c>
      <c r="Q4759">
        <f t="shared" si="146"/>
        <v>7796941</v>
      </c>
      <c r="R4759">
        <f t="shared" si="147"/>
        <v>5.7714942308784947</v>
      </c>
      <c r="U4759">
        <v>1038</v>
      </c>
      <c r="V4759">
        <v>578</v>
      </c>
      <c r="W4759">
        <v>1499</v>
      </c>
      <c r="X4759">
        <v>762</v>
      </c>
      <c r="Y4759">
        <v>57.7</v>
      </c>
      <c r="Z4759">
        <v>48.3</v>
      </c>
      <c r="AA4759">
        <v>67.099999999999994</v>
      </c>
    </row>
    <row r="4760" spans="1:27" x14ac:dyDescent="0.25">
      <c r="A4760" t="s">
        <v>272</v>
      </c>
      <c r="B4760" t="s">
        <v>184</v>
      </c>
      <c r="C4760" s="76">
        <v>44010</v>
      </c>
      <c r="D4760">
        <v>8562</v>
      </c>
      <c r="E4760">
        <v>5047</v>
      </c>
      <c r="F4760">
        <v>12078</v>
      </c>
      <c r="G4760">
        <v>5077</v>
      </c>
      <c r="H4760">
        <v>62.8</v>
      </c>
      <c r="I4760">
        <v>55.8</v>
      </c>
      <c r="J4760">
        <v>69.8</v>
      </c>
      <c r="K4760">
        <v>455</v>
      </c>
      <c r="L4760">
        <v>222</v>
      </c>
      <c r="M4760">
        <v>687</v>
      </c>
      <c r="N4760">
        <v>3.3</v>
      </c>
      <c r="O4760">
        <v>2.2000000000000002</v>
      </c>
      <c r="P4760">
        <v>4.5</v>
      </c>
      <c r="Q4760">
        <f t="shared" si="146"/>
        <v>7796941</v>
      </c>
      <c r="R4760">
        <f t="shared" si="147"/>
        <v>5.835621944554922</v>
      </c>
      <c r="U4760">
        <v>1072</v>
      </c>
      <c r="V4760">
        <v>586</v>
      </c>
      <c r="W4760">
        <v>1558</v>
      </c>
      <c r="X4760">
        <v>800</v>
      </c>
      <c r="Y4760">
        <v>57.2</v>
      </c>
      <c r="Z4760">
        <v>47.6</v>
      </c>
      <c r="AA4760">
        <v>66.900000000000006</v>
      </c>
    </row>
    <row r="4761" spans="1:27" x14ac:dyDescent="0.25">
      <c r="A4761" t="s">
        <v>272</v>
      </c>
      <c r="B4761" t="s">
        <v>184</v>
      </c>
      <c r="C4761" s="76">
        <v>44011</v>
      </c>
      <c r="D4761">
        <v>8828</v>
      </c>
      <c r="E4761">
        <v>3960</v>
      </c>
      <c r="F4761">
        <v>13695</v>
      </c>
      <c r="G4761">
        <v>3947</v>
      </c>
      <c r="H4761">
        <v>69.099999999999994</v>
      </c>
      <c r="I4761">
        <v>59.6</v>
      </c>
      <c r="J4761">
        <v>78.599999999999994</v>
      </c>
      <c r="K4761">
        <v>527</v>
      </c>
      <c r="L4761">
        <v>140</v>
      </c>
      <c r="M4761">
        <v>914</v>
      </c>
      <c r="N4761">
        <v>4.0999999999999996</v>
      </c>
      <c r="O4761">
        <v>1.7</v>
      </c>
      <c r="P4761">
        <v>6.6</v>
      </c>
      <c r="Q4761">
        <f t="shared" si="146"/>
        <v>7796941</v>
      </c>
      <c r="R4761">
        <f t="shared" si="147"/>
        <v>6.7590610214954818</v>
      </c>
      <c r="U4761">
        <v>1157</v>
      </c>
      <c r="V4761">
        <v>473</v>
      </c>
      <c r="W4761">
        <v>1842</v>
      </c>
      <c r="X4761">
        <v>637</v>
      </c>
      <c r="Y4761">
        <v>64.5</v>
      </c>
      <c r="Z4761">
        <v>55</v>
      </c>
      <c r="AA4761">
        <v>74</v>
      </c>
    </row>
    <row r="4762" spans="1:27" x14ac:dyDescent="0.25">
      <c r="A4762" t="s">
        <v>272</v>
      </c>
      <c r="B4762" t="s">
        <v>184</v>
      </c>
      <c r="C4762" s="76">
        <v>44012</v>
      </c>
      <c r="D4762">
        <v>8272</v>
      </c>
      <c r="E4762">
        <v>3884</v>
      </c>
      <c r="F4762">
        <v>12659</v>
      </c>
      <c r="G4762">
        <v>3889</v>
      </c>
      <c r="H4762">
        <v>68</v>
      </c>
      <c r="I4762">
        <v>60</v>
      </c>
      <c r="J4762">
        <v>76.099999999999994</v>
      </c>
      <c r="K4762">
        <v>542</v>
      </c>
      <c r="L4762">
        <v>116</v>
      </c>
      <c r="M4762">
        <v>968</v>
      </c>
      <c r="N4762">
        <v>4.5</v>
      </c>
      <c r="O4762">
        <v>1.7</v>
      </c>
      <c r="P4762">
        <v>7.2</v>
      </c>
      <c r="Q4762">
        <f t="shared" si="146"/>
        <v>7796941</v>
      </c>
      <c r="R4762">
        <f t="shared" si="147"/>
        <v>6.9514441625247638</v>
      </c>
      <c r="U4762">
        <v>1178</v>
      </c>
      <c r="V4762">
        <v>466</v>
      </c>
      <c r="W4762">
        <v>1891</v>
      </c>
      <c r="X4762">
        <v>634</v>
      </c>
      <c r="Y4762">
        <v>65</v>
      </c>
      <c r="Z4762">
        <v>53.5</v>
      </c>
      <c r="AA4762">
        <v>76.5</v>
      </c>
    </row>
    <row r="4763" spans="1:27" x14ac:dyDescent="0.25">
      <c r="A4763" t="s">
        <v>272</v>
      </c>
      <c r="B4763" t="s">
        <v>184</v>
      </c>
      <c r="C4763" s="76">
        <v>44013</v>
      </c>
      <c r="D4763">
        <v>7601</v>
      </c>
      <c r="E4763">
        <v>3341</v>
      </c>
      <c r="F4763">
        <v>11861</v>
      </c>
      <c r="G4763">
        <v>5762</v>
      </c>
      <c r="H4763">
        <v>56.9</v>
      </c>
      <c r="I4763">
        <v>42.4</v>
      </c>
      <c r="J4763">
        <v>71.400000000000006</v>
      </c>
      <c r="K4763">
        <v>499</v>
      </c>
      <c r="L4763">
        <v>92</v>
      </c>
      <c r="M4763">
        <v>907</v>
      </c>
      <c r="N4763">
        <v>3.7</v>
      </c>
      <c r="O4763">
        <v>1.2</v>
      </c>
      <c r="P4763">
        <v>6.3</v>
      </c>
      <c r="Q4763">
        <f t="shared" si="146"/>
        <v>7796941</v>
      </c>
      <c r="R4763">
        <f t="shared" si="147"/>
        <v>6.3999458249074861</v>
      </c>
      <c r="U4763">
        <v>1254</v>
      </c>
      <c r="V4763">
        <v>398</v>
      </c>
      <c r="W4763">
        <v>2111</v>
      </c>
      <c r="X4763">
        <v>612</v>
      </c>
      <c r="Y4763">
        <v>67.2</v>
      </c>
      <c r="Z4763">
        <v>54.9</v>
      </c>
      <c r="AA4763">
        <v>79.400000000000006</v>
      </c>
    </row>
    <row r="4764" spans="1:27" x14ac:dyDescent="0.25">
      <c r="A4764" t="s">
        <v>272</v>
      </c>
      <c r="B4764" t="s">
        <v>184</v>
      </c>
      <c r="C4764" s="76">
        <v>44014</v>
      </c>
      <c r="D4764">
        <v>7155</v>
      </c>
      <c r="E4764">
        <v>2680</v>
      </c>
      <c r="F4764">
        <v>11630</v>
      </c>
      <c r="G4764">
        <v>6545</v>
      </c>
      <c r="H4764">
        <v>52.2</v>
      </c>
      <c r="I4764">
        <v>33.9</v>
      </c>
      <c r="J4764">
        <v>70.5</v>
      </c>
      <c r="K4764">
        <v>620</v>
      </c>
      <c r="L4764">
        <v>96</v>
      </c>
      <c r="M4764">
        <v>1144</v>
      </c>
      <c r="N4764">
        <v>4.5</v>
      </c>
      <c r="O4764">
        <v>1.5</v>
      </c>
      <c r="P4764">
        <v>7.5</v>
      </c>
      <c r="Q4764">
        <f t="shared" si="146"/>
        <v>7796941</v>
      </c>
      <c r="R4764">
        <f t="shared" si="147"/>
        <v>7.9518364958770364</v>
      </c>
      <c r="U4764">
        <v>1323</v>
      </c>
      <c r="V4764">
        <v>252</v>
      </c>
      <c r="W4764">
        <v>2395</v>
      </c>
      <c r="X4764">
        <v>483</v>
      </c>
      <c r="Y4764">
        <v>73.3</v>
      </c>
      <c r="Z4764">
        <v>63.5</v>
      </c>
      <c r="AA4764">
        <v>83</v>
      </c>
    </row>
    <row r="4765" spans="1:27" x14ac:dyDescent="0.25">
      <c r="A4765" t="s">
        <v>272</v>
      </c>
      <c r="B4765" t="s">
        <v>184</v>
      </c>
      <c r="C4765" s="76">
        <v>44015</v>
      </c>
      <c r="D4765">
        <v>7173</v>
      </c>
      <c r="E4765">
        <v>3258</v>
      </c>
      <c r="F4765">
        <v>11089</v>
      </c>
      <c r="G4765">
        <v>6174</v>
      </c>
      <c r="H4765">
        <v>53.7</v>
      </c>
      <c r="I4765">
        <v>39.200000000000003</v>
      </c>
      <c r="J4765">
        <v>68.3</v>
      </c>
      <c r="K4765">
        <v>389</v>
      </c>
      <c r="L4765">
        <v>101</v>
      </c>
      <c r="M4765">
        <v>677</v>
      </c>
      <c r="N4765">
        <v>2.9</v>
      </c>
      <c r="O4765">
        <v>1.2</v>
      </c>
      <c r="P4765">
        <v>4.5999999999999996</v>
      </c>
      <c r="Q4765">
        <f t="shared" si="146"/>
        <v>7796941</v>
      </c>
      <c r="R4765">
        <f t="shared" si="147"/>
        <v>4.9891361240260759</v>
      </c>
      <c r="U4765">
        <v>1278</v>
      </c>
      <c r="V4765">
        <v>390</v>
      </c>
      <c r="W4765">
        <v>2166</v>
      </c>
      <c r="X4765">
        <v>440</v>
      </c>
      <c r="Y4765">
        <v>74.400000000000006</v>
      </c>
      <c r="Z4765">
        <v>66.3</v>
      </c>
      <c r="AA4765">
        <v>82.4</v>
      </c>
    </row>
    <row r="4766" spans="1:27" x14ac:dyDescent="0.25">
      <c r="A4766" t="s">
        <v>272</v>
      </c>
      <c r="B4766" t="s">
        <v>184</v>
      </c>
      <c r="C4766" s="76">
        <v>44016</v>
      </c>
      <c r="D4766">
        <v>6702</v>
      </c>
      <c r="E4766">
        <v>3026</v>
      </c>
      <c r="F4766">
        <v>10378</v>
      </c>
      <c r="G4766">
        <v>6627</v>
      </c>
      <c r="H4766">
        <v>50.3</v>
      </c>
      <c r="I4766">
        <v>36.9</v>
      </c>
      <c r="J4766">
        <v>63.7</v>
      </c>
      <c r="K4766">
        <v>409</v>
      </c>
      <c r="L4766">
        <v>89</v>
      </c>
      <c r="M4766">
        <v>728</v>
      </c>
      <c r="N4766">
        <v>3.1</v>
      </c>
      <c r="O4766">
        <v>1.2</v>
      </c>
      <c r="P4766">
        <v>5</v>
      </c>
      <c r="Q4766">
        <f t="shared" si="146"/>
        <v>7796941</v>
      </c>
      <c r="R4766">
        <f t="shared" si="147"/>
        <v>5.245646978731787</v>
      </c>
      <c r="U4766">
        <v>1175</v>
      </c>
      <c r="V4766">
        <v>343</v>
      </c>
      <c r="W4766">
        <v>2006</v>
      </c>
      <c r="X4766">
        <v>568</v>
      </c>
      <c r="Y4766">
        <v>67.400000000000006</v>
      </c>
      <c r="Z4766">
        <v>58.9</v>
      </c>
      <c r="AA4766">
        <v>75.900000000000006</v>
      </c>
    </row>
    <row r="4767" spans="1:27" x14ac:dyDescent="0.25">
      <c r="A4767" t="s">
        <v>272</v>
      </c>
      <c r="B4767" t="s">
        <v>184</v>
      </c>
      <c r="C4767" s="76">
        <v>44017</v>
      </c>
      <c r="D4767">
        <v>6563</v>
      </c>
      <c r="E4767">
        <v>3013</v>
      </c>
      <c r="F4767">
        <v>10113</v>
      </c>
      <c r="G4767">
        <v>6783</v>
      </c>
      <c r="H4767">
        <v>49.2</v>
      </c>
      <c r="I4767">
        <v>35.4</v>
      </c>
      <c r="J4767">
        <v>63</v>
      </c>
      <c r="K4767">
        <v>427</v>
      </c>
      <c r="L4767">
        <v>71</v>
      </c>
      <c r="M4767">
        <v>783</v>
      </c>
      <c r="N4767">
        <v>3.2</v>
      </c>
      <c r="O4767">
        <v>1</v>
      </c>
      <c r="P4767">
        <v>5.4</v>
      </c>
      <c r="Q4767">
        <f t="shared" si="146"/>
        <v>7796941</v>
      </c>
      <c r="R4767">
        <f t="shared" si="147"/>
        <v>5.4765067479669272</v>
      </c>
      <c r="U4767">
        <v>1080</v>
      </c>
      <c r="V4767">
        <v>333</v>
      </c>
      <c r="W4767">
        <v>1827</v>
      </c>
      <c r="X4767">
        <v>639</v>
      </c>
      <c r="Y4767">
        <v>62.8</v>
      </c>
      <c r="Z4767">
        <v>54.5</v>
      </c>
      <c r="AA4767">
        <v>71.099999999999994</v>
      </c>
    </row>
    <row r="4768" spans="1:27" x14ac:dyDescent="0.25">
      <c r="A4768" t="s">
        <v>272</v>
      </c>
      <c r="B4768" t="s">
        <v>184</v>
      </c>
      <c r="C4768" s="76">
        <v>44018</v>
      </c>
      <c r="D4768">
        <v>6547</v>
      </c>
      <c r="E4768">
        <v>2934</v>
      </c>
      <c r="F4768">
        <v>10161</v>
      </c>
      <c r="G4768">
        <v>6721</v>
      </c>
      <c r="H4768">
        <v>49.3</v>
      </c>
      <c r="I4768">
        <v>34.799999999999997</v>
      </c>
      <c r="J4768">
        <v>63.9</v>
      </c>
      <c r="K4768">
        <v>493</v>
      </c>
      <c r="L4768">
        <v>74</v>
      </c>
      <c r="M4768">
        <v>911</v>
      </c>
      <c r="N4768">
        <v>3.7</v>
      </c>
      <c r="O4768">
        <v>1.1000000000000001</v>
      </c>
      <c r="P4768">
        <v>6.3</v>
      </c>
      <c r="Q4768">
        <f t="shared" si="146"/>
        <v>7796941</v>
      </c>
      <c r="R4768">
        <f t="shared" si="147"/>
        <v>6.3229925684957724</v>
      </c>
      <c r="U4768">
        <v>1054</v>
      </c>
      <c r="V4768">
        <v>347</v>
      </c>
      <c r="W4768">
        <v>1761</v>
      </c>
      <c r="X4768">
        <v>657</v>
      </c>
      <c r="Y4768">
        <v>61.6</v>
      </c>
      <c r="Z4768">
        <v>51.3</v>
      </c>
      <c r="AA4768">
        <v>72</v>
      </c>
    </row>
    <row r="4769" spans="1:27" x14ac:dyDescent="0.25">
      <c r="A4769" t="s">
        <v>272</v>
      </c>
      <c r="B4769" t="s">
        <v>184</v>
      </c>
      <c r="C4769" s="76">
        <v>44019</v>
      </c>
      <c r="D4769">
        <v>7206</v>
      </c>
      <c r="E4769">
        <v>3203</v>
      </c>
      <c r="F4769">
        <v>11209</v>
      </c>
      <c r="G4769">
        <v>6120</v>
      </c>
      <c r="H4769">
        <v>54.1</v>
      </c>
      <c r="I4769">
        <v>39.6</v>
      </c>
      <c r="J4769">
        <v>68.5</v>
      </c>
      <c r="K4769">
        <v>487</v>
      </c>
      <c r="L4769">
        <v>66</v>
      </c>
      <c r="M4769">
        <v>907</v>
      </c>
      <c r="N4769">
        <v>3.7</v>
      </c>
      <c r="O4769">
        <v>1.1000000000000001</v>
      </c>
      <c r="P4769">
        <v>6.2</v>
      </c>
      <c r="Q4769">
        <f t="shared" si="146"/>
        <v>7796941</v>
      </c>
      <c r="R4769">
        <f t="shared" si="147"/>
        <v>6.2460393120840587</v>
      </c>
      <c r="U4769">
        <v>1175</v>
      </c>
      <c r="V4769">
        <v>382</v>
      </c>
      <c r="W4769">
        <v>1968</v>
      </c>
      <c r="X4769">
        <v>539</v>
      </c>
      <c r="Y4769">
        <v>68.5</v>
      </c>
      <c r="Z4769">
        <v>56.9</v>
      </c>
      <c r="AA4769">
        <v>80.2</v>
      </c>
    </row>
    <row r="4770" spans="1:27" x14ac:dyDescent="0.25">
      <c r="A4770" t="s">
        <v>273</v>
      </c>
      <c r="B4770" t="s">
        <v>192</v>
      </c>
      <c r="C4770" s="76">
        <v>43936</v>
      </c>
      <c r="D4770">
        <v>5658</v>
      </c>
      <c r="E4770">
        <v>2750</v>
      </c>
      <c r="F4770">
        <v>8565</v>
      </c>
      <c r="G4770">
        <v>8655</v>
      </c>
      <c r="H4770">
        <v>39.5</v>
      </c>
      <c r="I4770">
        <v>33.200000000000003</v>
      </c>
      <c r="J4770">
        <v>45.8</v>
      </c>
      <c r="K4770">
        <v>602</v>
      </c>
      <c r="L4770">
        <v>248</v>
      </c>
      <c r="M4770">
        <v>956</v>
      </c>
      <c r="N4770">
        <v>4.2</v>
      </c>
      <c r="O4770">
        <v>2.9</v>
      </c>
      <c r="P4770">
        <v>5.5</v>
      </c>
      <c r="Q4770">
        <f t="shared" si="146"/>
        <v>5852490</v>
      </c>
      <c r="R4770">
        <f t="shared" si="147"/>
        <v>10.286220053344815</v>
      </c>
      <c r="U4770">
        <v>791</v>
      </c>
      <c r="V4770">
        <v>314</v>
      </c>
      <c r="W4770">
        <v>1269</v>
      </c>
      <c r="X4770">
        <v>1138</v>
      </c>
      <c r="Y4770">
        <v>41</v>
      </c>
      <c r="Z4770">
        <v>32.5</v>
      </c>
      <c r="AA4770">
        <v>49.5</v>
      </c>
    </row>
    <row r="4771" spans="1:27" x14ac:dyDescent="0.25">
      <c r="A4771" t="s">
        <v>273</v>
      </c>
      <c r="B4771" t="s">
        <v>192</v>
      </c>
      <c r="C4771" s="76">
        <v>43937</v>
      </c>
      <c r="D4771">
        <v>5770</v>
      </c>
      <c r="E4771">
        <v>2789</v>
      </c>
      <c r="F4771">
        <v>8752</v>
      </c>
      <c r="G4771">
        <v>8913</v>
      </c>
      <c r="H4771">
        <v>39.299999999999997</v>
      </c>
      <c r="I4771">
        <v>32.799999999999997</v>
      </c>
      <c r="J4771">
        <v>45.8</v>
      </c>
      <c r="K4771">
        <v>579</v>
      </c>
      <c r="L4771">
        <v>234</v>
      </c>
      <c r="M4771">
        <v>925</v>
      </c>
      <c r="N4771">
        <v>3.9</v>
      </c>
      <c r="O4771">
        <v>2.7</v>
      </c>
      <c r="P4771">
        <v>5.2</v>
      </c>
      <c r="Q4771">
        <f t="shared" si="146"/>
        <v>5852490</v>
      </c>
      <c r="R4771">
        <f t="shared" si="147"/>
        <v>9.8932249350276553</v>
      </c>
      <c r="U4771">
        <v>818</v>
      </c>
      <c r="V4771">
        <v>300</v>
      </c>
      <c r="W4771">
        <v>1335</v>
      </c>
      <c r="X4771">
        <v>1667</v>
      </c>
      <c r="Y4771">
        <v>32.9</v>
      </c>
      <c r="Z4771">
        <v>22.1</v>
      </c>
      <c r="AA4771">
        <v>43.8</v>
      </c>
    </row>
    <row r="4772" spans="1:27" x14ac:dyDescent="0.25">
      <c r="A4772" t="s">
        <v>273</v>
      </c>
      <c r="B4772" t="s">
        <v>192</v>
      </c>
      <c r="C4772" s="76">
        <v>43938</v>
      </c>
      <c r="D4772">
        <v>5930</v>
      </c>
      <c r="E4772">
        <v>3053</v>
      </c>
      <c r="F4772">
        <v>8807</v>
      </c>
      <c r="G4772">
        <v>8928</v>
      </c>
      <c r="H4772">
        <v>39.9</v>
      </c>
      <c r="I4772">
        <v>34.299999999999997</v>
      </c>
      <c r="J4772">
        <v>45.5</v>
      </c>
      <c r="K4772">
        <v>595</v>
      </c>
      <c r="L4772">
        <v>270</v>
      </c>
      <c r="M4772">
        <v>921</v>
      </c>
      <c r="N4772">
        <v>4</v>
      </c>
      <c r="O4772">
        <v>2.9</v>
      </c>
      <c r="P4772">
        <v>5.0999999999999996</v>
      </c>
      <c r="Q4772">
        <f t="shared" si="146"/>
        <v>5852490</v>
      </c>
      <c r="R4772">
        <f t="shared" si="147"/>
        <v>10.1666128434222</v>
      </c>
      <c r="U4772">
        <v>762</v>
      </c>
      <c r="V4772">
        <v>271</v>
      </c>
      <c r="W4772">
        <v>1254</v>
      </c>
      <c r="X4772">
        <v>1702</v>
      </c>
      <c r="Y4772">
        <v>30.9</v>
      </c>
      <c r="Z4772">
        <v>21.4</v>
      </c>
      <c r="AA4772">
        <v>40.5</v>
      </c>
    </row>
    <row r="4773" spans="1:27" x14ac:dyDescent="0.25">
      <c r="A4773" t="s">
        <v>273</v>
      </c>
      <c r="B4773" t="s">
        <v>192</v>
      </c>
      <c r="C4773" s="76">
        <v>43939</v>
      </c>
      <c r="D4773">
        <v>5865</v>
      </c>
      <c r="E4773">
        <v>2991</v>
      </c>
      <c r="F4773">
        <v>8739</v>
      </c>
      <c r="G4773">
        <v>8968</v>
      </c>
      <c r="H4773">
        <v>39.5</v>
      </c>
      <c r="I4773">
        <v>33.4</v>
      </c>
      <c r="J4773">
        <v>45.7</v>
      </c>
      <c r="K4773">
        <v>612</v>
      </c>
      <c r="L4773">
        <v>273</v>
      </c>
      <c r="M4773">
        <v>951</v>
      </c>
      <c r="N4773">
        <v>4.0999999999999996</v>
      </c>
      <c r="O4773">
        <v>3.1</v>
      </c>
      <c r="P4773">
        <v>5.2</v>
      </c>
      <c r="Q4773">
        <f t="shared" si="146"/>
        <v>5852490</v>
      </c>
      <c r="R4773">
        <f t="shared" si="147"/>
        <v>10.457087496091408</v>
      </c>
      <c r="U4773">
        <v>794</v>
      </c>
      <c r="V4773">
        <v>272</v>
      </c>
      <c r="W4773">
        <v>1315</v>
      </c>
      <c r="X4773">
        <v>1673</v>
      </c>
      <c r="Y4773">
        <v>32.200000000000003</v>
      </c>
      <c r="Z4773">
        <v>22.3</v>
      </c>
      <c r="AA4773">
        <v>42</v>
      </c>
    </row>
    <row r="4774" spans="1:27" x14ac:dyDescent="0.25">
      <c r="A4774" t="s">
        <v>273</v>
      </c>
      <c r="B4774" t="s">
        <v>192</v>
      </c>
      <c r="C4774" s="76">
        <v>43940</v>
      </c>
      <c r="D4774">
        <v>5770</v>
      </c>
      <c r="E4774">
        <v>2994</v>
      </c>
      <c r="F4774">
        <v>8546</v>
      </c>
      <c r="G4774">
        <v>9113</v>
      </c>
      <c r="H4774">
        <v>38.799999999999997</v>
      </c>
      <c r="I4774">
        <v>33.700000000000003</v>
      </c>
      <c r="J4774">
        <v>43.9</v>
      </c>
      <c r="K4774">
        <v>552</v>
      </c>
      <c r="L4774">
        <v>232</v>
      </c>
      <c r="M4774">
        <v>873</v>
      </c>
      <c r="N4774">
        <v>3.7</v>
      </c>
      <c r="O4774">
        <v>2.7</v>
      </c>
      <c r="P4774">
        <v>4.7</v>
      </c>
      <c r="Q4774">
        <f t="shared" si="146"/>
        <v>5852490</v>
      </c>
      <c r="R4774">
        <f t="shared" si="147"/>
        <v>9.4318828396118572</v>
      </c>
      <c r="U4774">
        <v>807</v>
      </c>
      <c r="V4774">
        <v>291</v>
      </c>
      <c r="W4774">
        <v>1322</v>
      </c>
      <c r="X4774">
        <v>1661</v>
      </c>
      <c r="Y4774">
        <v>32.700000000000003</v>
      </c>
      <c r="Z4774">
        <v>20.9</v>
      </c>
      <c r="AA4774">
        <v>44.5</v>
      </c>
    </row>
    <row r="4775" spans="1:27" x14ac:dyDescent="0.25">
      <c r="A4775" t="s">
        <v>273</v>
      </c>
      <c r="B4775" t="s">
        <v>192</v>
      </c>
      <c r="C4775" s="76">
        <v>43941</v>
      </c>
      <c r="D4775">
        <v>5797</v>
      </c>
      <c r="E4775">
        <v>2962</v>
      </c>
      <c r="F4775">
        <v>8632</v>
      </c>
      <c r="G4775">
        <v>9004</v>
      </c>
      <c r="H4775">
        <v>39.200000000000003</v>
      </c>
      <c r="I4775">
        <v>33.200000000000003</v>
      </c>
      <c r="J4775">
        <v>45.1</v>
      </c>
      <c r="K4775">
        <v>537</v>
      </c>
      <c r="L4775">
        <v>215</v>
      </c>
      <c r="M4775">
        <v>858</v>
      </c>
      <c r="N4775">
        <v>3.6</v>
      </c>
      <c r="O4775">
        <v>2.7</v>
      </c>
      <c r="P4775">
        <v>4.5999999999999996</v>
      </c>
      <c r="Q4775">
        <f t="shared" ref="Q4775:Q4838" si="148">VLOOKUP(B4775,$AE$4:$AF$55,2,FALSE)</f>
        <v>5852490</v>
      </c>
      <c r="R4775">
        <f t="shared" si="147"/>
        <v>9.1755816754919692</v>
      </c>
      <c r="U4775">
        <v>800</v>
      </c>
      <c r="V4775">
        <v>280</v>
      </c>
      <c r="W4775">
        <v>1319</v>
      </c>
      <c r="X4775">
        <v>1706</v>
      </c>
      <c r="Y4775">
        <v>31.9</v>
      </c>
      <c r="Z4775">
        <v>22.3</v>
      </c>
      <c r="AA4775">
        <v>41.5</v>
      </c>
    </row>
    <row r="4776" spans="1:27" x14ac:dyDescent="0.25">
      <c r="A4776" t="s">
        <v>273</v>
      </c>
      <c r="B4776" t="s">
        <v>192</v>
      </c>
      <c r="C4776" s="76">
        <v>43942</v>
      </c>
      <c r="D4776">
        <v>5985</v>
      </c>
      <c r="E4776">
        <v>2739</v>
      </c>
      <c r="F4776">
        <v>9231</v>
      </c>
      <c r="G4776">
        <v>8602</v>
      </c>
      <c r="H4776">
        <v>41</v>
      </c>
      <c r="I4776">
        <v>35.6</v>
      </c>
      <c r="J4776">
        <v>46.4</v>
      </c>
      <c r="K4776">
        <v>531</v>
      </c>
      <c r="L4776">
        <v>187</v>
      </c>
      <c r="M4776">
        <v>874</v>
      </c>
      <c r="N4776">
        <v>3.6</v>
      </c>
      <c r="O4776">
        <v>2.6</v>
      </c>
      <c r="P4776">
        <v>4.7</v>
      </c>
      <c r="Q4776">
        <f t="shared" si="148"/>
        <v>5852490</v>
      </c>
      <c r="R4776">
        <f t="shared" si="147"/>
        <v>9.0730612098440151</v>
      </c>
      <c r="U4776">
        <v>750</v>
      </c>
      <c r="V4776">
        <v>161</v>
      </c>
      <c r="W4776">
        <v>1339</v>
      </c>
      <c r="X4776">
        <v>1798</v>
      </c>
      <c r="Y4776">
        <v>29.4</v>
      </c>
      <c r="Z4776">
        <v>22.2</v>
      </c>
      <c r="AA4776">
        <v>36.6</v>
      </c>
    </row>
    <row r="4777" spans="1:27" x14ac:dyDescent="0.25">
      <c r="A4777" t="s">
        <v>273</v>
      </c>
      <c r="B4777" t="s">
        <v>192</v>
      </c>
      <c r="C4777" s="76">
        <v>43943</v>
      </c>
      <c r="D4777">
        <v>5915</v>
      </c>
      <c r="E4777">
        <v>3144</v>
      </c>
      <c r="F4777">
        <v>8686</v>
      </c>
      <c r="G4777">
        <v>7783</v>
      </c>
      <c r="H4777">
        <v>43.2</v>
      </c>
      <c r="I4777">
        <v>37.1</v>
      </c>
      <c r="J4777">
        <v>49.2</v>
      </c>
      <c r="K4777">
        <v>478</v>
      </c>
      <c r="L4777">
        <v>223</v>
      </c>
      <c r="M4777">
        <v>733</v>
      </c>
      <c r="N4777">
        <v>3.5</v>
      </c>
      <c r="O4777">
        <v>2.5</v>
      </c>
      <c r="P4777">
        <v>4.5</v>
      </c>
      <c r="Q4777">
        <f t="shared" si="148"/>
        <v>5852490</v>
      </c>
      <c r="R4777">
        <f t="shared" si="147"/>
        <v>8.1674637632870795</v>
      </c>
      <c r="U4777">
        <v>699</v>
      </c>
      <c r="V4777">
        <v>251</v>
      </c>
      <c r="W4777">
        <v>1147</v>
      </c>
      <c r="X4777">
        <v>1473</v>
      </c>
      <c r="Y4777">
        <v>32.200000000000003</v>
      </c>
      <c r="Z4777">
        <v>24.4</v>
      </c>
      <c r="AA4777">
        <v>39.9</v>
      </c>
    </row>
    <row r="4778" spans="1:27" x14ac:dyDescent="0.25">
      <c r="A4778" t="s">
        <v>273</v>
      </c>
      <c r="B4778" t="s">
        <v>192</v>
      </c>
      <c r="C4778" s="76">
        <v>43944</v>
      </c>
      <c r="D4778">
        <v>5832</v>
      </c>
      <c r="E4778">
        <v>3076</v>
      </c>
      <c r="F4778">
        <v>8589</v>
      </c>
      <c r="G4778">
        <v>7905</v>
      </c>
      <c r="H4778">
        <v>42.5</v>
      </c>
      <c r="I4778">
        <v>36.799999999999997</v>
      </c>
      <c r="J4778">
        <v>48.1</v>
      </c>
      <c r="K4778">
        <v>472</v>
      </c>
      <c r="L4778">
        <v>222</v>
      </c>
      <c r="M4778">
        <v>722</v>
      </c>
      <c r="N4778">
        <v>3.4</v>
      </c>
      <c r="O4778">
        <v>2.6</v>
      </c>
      <c r="P4778">
        <v>4.3</v>
      </c>
      <c r="Q4778">
        <f t="shared" si="148"/>
        <v>5852490</v>
      </c>
      <c r="R4778">
        <f t="shared" si="147"/>
        <v>8.0649432976391253</v>
      </c>
      <c r="U4778">
        <v>783</v>
      </c>
      <c r="V4778">
        <v>287</v>
      </c>
      <c r="W4778">
        <v>1279</v>
      </c>
      <c r="X4778">
        <v>1451</v>
      </c>
      <c r="Y4778">
        <v>35.1</v>
      </c>
      <c r="Z4778">
        <v>26</v>
      </c>
      <c r="AA4778">
        <v>44.1</v>
      </c>
    </row>
    <row r="4779" spans="1:27" x14ac:dyDescent="0.25">
      <c r="A4779" t="s">
        <v>273</v>
      </c>
      <c r="B4779" t="s">
        <v>192</v>
      </c>
      <c r="C4779" s="76">
        <v>43945</v>
      </c>
      <c r="D4779">
        <v>5739</v>
      </c>
      <c r="E4779">
        <v>3031</v>
      </c>
      <c r="F4779">
        <v>8447</v>
      </c>
      <c r="G4779">
        <v>7930</v>
      </c>
      <c r="H4779">
        <v>42</v>
      </c>
      <c r="I4779">
        <v>35.9</v>
      </c>
      <c r="J4779">
        <v>48</v>
      </c>
      <c r="K4779">
        <v>506</v>
      </c>
      <c r="L4779">
        <v>242</v>
      </c>
      <c r="M4779">
        <v>770</v>
      </c>
      <c r="N4779">
        <v>3.7</v>
      </c>
      <c r="O4779">
        <v>2.9</v>
      </c>
      <c r="P4779">
        <v>4.5</v>
      </c>
      <c r="Q4779">
        <f t="shared" si="148"/>
        <v>5852490</v>
      </c>
      <c r="R4779">
        <f t="shared" si="147"/>
        <v>8.6458926029775363</v>
      </c>
      <c r="U4779">
        <v>750</v>
      </c>
      <c r="V4779">
        <v>260</v>
      </c>
      <c r="W4779">
        <v>1241</v>
      </c>
      <c r="X4779">
        <v>1461</v>
      </c>
      <c r="Y4779">
        <v>33.9</v>
      </c>
      <c r="Z4779">
        <v>25.6</v>
      </c>
      <c r="AA4779">
        <v>42.3</v>
      </c>
    </row>
    <row r="4780" spans="1:27" x14ac:dyDescent="0.25">
      <c r="A4780" t="s">
        <v>273</v>
      </c>
      <c r="B4780" t="s">
        <v>192</v>
      </c>
      <c r="C4780" s="76">
        <v>43946</v>
      </c>
      <c r="D4780">
        <v>5364</v>
      </c>
      <c r="E4780">
        <v>3012</v>
      </c>
      <c r="F4780">
        <v>7715</v>
      </c>
      <c r="G4780">
        <v>7736</v>
      </c>
      <c r="H4780">
        <v>40.9</v>
      </c>
      <c r="I4780">
        <v>35.1</v>
      </c>
      <c r="J4780">
        <v>46.7</v>
      </c>
      <c r="K4780">
        <v>455</v>
      </c>
      <c r="L4780">
        <v>225</v>
      </c>
      <c r="M4780">
        <v>685</v>
      </c>
      <c r="N4780">
        <v>3.5</v>
      </c>
      <c r="O4780">
        <v>2.4</v>
      </c>
      <c r="P4780">
        <v>4.5</v>
      </c>
      <c r="Q4780">
        <f t="shared" si="148"/>
        <v>5852490</v>
      </c>
      <c r="R4780">
        <f t="shared" si="147"/>
        <v>7.774468644969919</v>
      </c>
      <c r="U4780">
        <v>680</v>
      </c>
      <c r="V4780">
        <v>289</v>
      </c>
      <c r="W4780">
        <v>1071</v>
      </c>
      <c r="X4780">
        <v>1368</v>
      </c>
      <c r="Y4780">
        <v>33.200000000000003</v>
      </c>
      <c r="Z4780">
        <v>24.7</v>
      </c>
      <c r="AA4780">
        <v>41.6</v>
      </c>
    </row>
    <row r="4781" spans="1:27" x14ac:dyDescent="0.25">
      <c r="A4781" t="s">
        <v>273</v>
      </c>
      <c r="B4781" t="s">
        <v>192</v>
      </c>
      <c r="C4781" s="76">
        <v>43947</v>
      </c>
      <c r="D4781">
        <v>5385</v>
      </c>
      <c r="E4781">
        <v>3027</v>
      </c>
      <c r="F4781">
        <v>7743</v>
      </c>
      <c r="G4781">
        <v>7731</v>
      </c>
      <c r="H4781">
        <v>41.1</v>
      </c>
      <c r="I4781">
        <v>34.799999999999997</v>
      </c>
      <c r="J4781">
        <v>47.3</v>
      </c>
      <c r="K4781">
        <v>435</v>
      </c>
      <c r="L4781">
        <v>207</v>
      </c>
      <c r="M4781">
        <v>663</v>
      </c>
      <c r="N4781">
        <v>3.3</v>
      </c>
      <c r="O4781">
        <v>2.2999999999999998</v>
      </c>
      <c r="P4781">
        <v>4.4000000000000004</v>
      </c>
      <c r="Q4781">
        <f t="shared" si="148"/>
        <v>5852490</v>
      </c>
      <c r="R4781">
        <f t="shared" si="147"/>
        <v>7.4327337594767346</v>
      </c>
      <c r="U4781">
        <v>708</v>
      </c>
      <c r="V4781">
        <v>314</v>
      </c>
      <c r="W4781">
        <v>1101</v>
      </c>
      <c r="X4781">
        <v>1339</v>
      </c>
      <c r="Y4781">
        <v>34.6</v>
      </c>
      <c r="Z4781">
        <v>25.4</v>
      </c>
      <c r="AA4781">
        <v>43.7</v>
      </c>
    </row>
    <row r="4782" spans="1:27" x14ac:dyDescent="0.25">
      <c r="A4782" t="s">
        <v>273</v>
      </c>
      <c r="B4782" t="s">
        <v>192</v>
      </c>
      <c r="C4782" s="76">
        <v>43948</v>
      </c>
      <c r="D4782">
        <v>5636</v>
      </c>
      <c r="E4782">
        <v>3198</v>
      </c>
      <c r="F4782">
        <v>8074</v>
      </c>
      <c r="G4782">
        <v>7447</v>
      </c>
      <c r="H4782">
        <v>43.1</v>
      </c>
      <c r="I4782">
        <v>37</v>
      </c>
      <c r="J4782">
        <v>49.1</v>
      </c>
      <c r="K4782">
        <v>381</v>
      </c>
      <c r="L4782">
        <v>172</v>
      </c>
      <c r="M4782">
        <v>591</v>
      </c>
      <c r="N4782">
        <v>2.9</v>
      </c>
      <c r="O4782">
        <v>1.9</v>
      </c>
      <c r="P4782">
        <v>3.9</v>
      </c>
      <c r="Q4782">
        <f t="shared" si="148"/>
        <v>5852490</v>
      </c>
      <c r="R4782">
        <f t="shared" si="147"/>
        <v>6.5100495686451412</v>
      </c>
      <c r="U4782">
        <v>672</v>
      </c>
      <c r="V4782">
        <v>289</v>
      </c>
      <c r="W4782">
        <v>1054</v>
      </c>
      <c r="X4782">
        <v>1375</v>
      </c>
      <c r="Y4782">
        <v>32.799999999999997</v>
      </c>
      <c r="Z4782">
        <v>24.7</v>
      </c>
      <c r="AA4782">
        <v>41</v>
      </c>
    </row>
    <row r="4783" spans="1:27" x14ac:dyDescent="0.25">
      <c r="A4783" t="s">
        <v>273</v>
      </c>
      <c r="B4783" t="s">
        <v>192</v>
      </c>
      <c r="C4783" s="76">
        <v>43949</v>
      </c>
      <c r="D4783">
        <v>5975</v>
      </c>
      <c r="E4783">
        <v>3513</v>
      </c>
      <c r="F4783">
        <v>8437</v>
      </c>
      <c r="G4783">
        <v>7560</v>
      </c>
      <c r="H4783">
        <v>44.1</v>
      </c>
      <c r="I4783">
        <v>38</v>
      </c>
      <c r="J4783">
        <v>50.3</v>
      </c>
      <c r="K4783">
        <v>483</v>
      </c>
      <c r="L4783">
        <v>217</v>
      </c>
      <c r="M4783">
        <v>749</v>
      </c>
      <c r="N4783">
        <v>3.6</v>
      </c>
      <c r="O4783">
        <v>2.2000000000000002</v>
      </c>
      <c r="P4783">
        <v>5</v>
      </c>
      <c r="Q4783">
        <f t="shared" si="148"/>
        <v>5852490</v>
      </c>
      <c r="R4783">
        <f t="shared" si="147"/>
        <v>8.2528974846603749</v>
      </c>
      <c r="U4783">
        <v>821</v>
      </c>
      <c r="V4783">
        <v>391</v>
      </c>
      <c r="W4783">
        <v>1252</v>
      </c>
      <c r="X4783">
        <v>1381</v>
      </c>
      <c r="Y4783">
        <v>37.299999999999997</v>
      </c>
      <c r="Z4783">
        <v>27.1</v>
      </c>
      <c r="AA4783">
        <v>47.5</v>
      </c>
    </row>
    <row r="4784" spans="1:27" x14ac:dyDescent="0.25">
      <c r="A4784" t="s">
        <v>273</v>
      </c>
      <c r="B4784" t="s">
        <v>192</v>
      </c>
      <c r="C4784" s="76">
        <v>43950</v>
      </c>
      <c r="D4784">
        <v>5962</v>
      </c>
      <c r="E4784">
        <v>3505</v>
      </c>
      <c r="F4784">
        <v>8419</v>
      </c>
      <c r="G4784">
        <v>7589</v>
      </c>
      <c r="H4784">
        <v>44</v>
      </c>
      <c r="I4784">
        <v>38.1</v>
      </c>
      <c r="J4784">
        <v>49.8</v>
      </c>
      <c r="K4784">
        <v>484</v>
      </c>
      <c r="L4784">
        <v>210</v>
      </c>
      <c r="M4784">
        <v>757</v>
      </c>
      <c r="N4784">
        <v>3.6</v>
      </c>
      <c r="O4784">
        <v>2.1</v>
      </c>
      <c r="P4784">
        <v>5.0999999999999996</v>
      </c>
      <c r="Q4784">
        <f t="shared" si="148"/>
        <v>5852490</v>
      </c>
      <c r="R4784">
        <f t="shared" si="147"/>
        <v>8.2699842289350336</v>
      </c>
      <c r="U4784">
        <v>814</v>
      </c>
      <c r="V4784">
        <v>378</v>
      </c>
      <c r="W4784">
        <v>1250</v>
      </c>
      <c r="X4784">
        <v>1394</v>
      </c>
      <c r="Y4784">
        <v>36.9</v>
      </c>
      <c r="Z4784">
        <v>26.7</v>
      </c>
      <c r="AA4784">
        <v>47</v>
      </c>
    </row>
    <row r="4785" spans="1:27" x14ac:dyDescent="0.25">
      <c r="A4785" t="s">
        <v>273</v>
      </c>
      <c r="B4785" t="s">
        <v>192</v>
      </c>
      <c r="C4785" s="76">
        <v>43951</v>
      </c>
      <c r="D4785">
        <v>6073</v>
      </c>
      <c r="E4785">
        <v>3611</v>
      </c>
      <c r="F4785">
        <v>8534</v>
      </c>
      <c r="G4785">
        <v>7487</v>
      </c>
      <c r="H4785">
        <v>44.8</v>
      </c>
      <c r="I4785">
        <v>38.9</v>
      </c>
      <c r="J4785">
        <v>50.6</v>
      </c>
      <c r="K4785">
        <v>455</v>
      </c>
      <c r="L4785">
        <v>221</v>
      </c>
      <c r="M4785">
        <v>689</v>
      </c>
      <c r="N4785">
        <v>3.4</v>
      </c>
      <c r="O4785">
        <v>2.2000000000000002</v>
      </c>
      <c r="P4785">
        <v>4.5</v>
      </c>
      <c r="Q4785">
        <f t="shared" si="148"/>
        <v>5852490</v>
      </c>
      <c r="R4785">
        <f t="shared" si="147"/>
        <v>7.774468644969919</v>
      </c>
      <c r="U4785">
        <v>793</v>
      </c>
      <c r="V4785">
        <v>371</v>
      </c>
      <c r="W4785">
        <v>1215</v>
      </c>
      <c r="X4785">
        <v>1422</v>
      </c>
      <c r="Y4785">
        <v>35.799999999999997</v>
      </c>
      <c r="Z4785">
        <v>25.9</v>
      </c>
      <c r="AA4785">
        <v>45.7</v>
      </c>
    </row>
    <row r="4786" spans="1:27" x14ac:dyDescent="0.25">
      <c r="A4786" t="s">
        <v>273</v>
      </c>
      <c r="B4786" t="s">
        <v>192</v>
      </c>
      <c r="C4786" s="76">
        <v>43952</v>
      </c>
      <c r="D4786">
        <v>6057</v>
      </c>
      <c r="E4786">
        <v>3591</v>
      </c>
      <c r="F4786">
        <v>8524</v>
      </c>
      <c r="G4786">
        <v>7487</v>
      </c>
      <c r="H4786">
        <v>44.7</v>
      </c>
      <c r="I4786">
        <v>39</v>
      </c>
      <c r="J4786">
        <v>50.5</v>
      </c>
      <c r="K4786">
        <v>590</v>
      </c>
      <c r="L4786">
        <v>294</v>
      </c>
      <c r="M4786">
        <v>886</v>
      </c>
      <c r="N4786">
        <v>4.4000000000000004</v>
      </c>
      <c r="O4786">
        <v>2.9</v>
      </c>
      <c r="P4786">
        <v>5.8</v>
      </c>
      <c r="Q4786">
        <f t="shared" si="148"/>
        <v>5852490</v>
      </c>
      <c r="R4786">
        <f t="shared" si="147"/>
        <v>10.081179122048905</v>
      </c>
      <c r="U4786">
        <v>796</v>
      </c>
      <c r="V4786">
        <v>371</v>
      </c>
      <c r="W4786">
        <v>1222</v>
      </c>
      <c r="X4786">
        <v>1420</v>
      </c>
      <c r="Y4786">
        <v>35.9</v>
      </c>
      <c r="Z4786">
        <v>26.1</v>
      </c>
      <c r="AA4786">
        <v>45.7</v>
      </c>
    </row>
    <row r="4787" spans="1:27" x14ac:dyDescent="0.25">
      <c r="A4787" t="s">
        <v>273</v>
      </c>
      <c r="B4787" t="s">
        <v>192</v>
      </c>
      <c r="C4787" s="76">
        <v>43953</v>
      </c>
      <c r="D4787">
        <v>5758</v>
      </c>
      <c r="E4787">
        <v>3380</v>
      </c>
      <c r="F4787">
        <v>8137</v>
      </c>
      <c r="G4787">
        <v>7829</v>
      </c>
      <c r="H4787">
        <v>42.4</v>
      </c>
      <c r="I4787">
        <v>36.700000000000003</v>
      </c>
      <c r="J4787">
        <v>48</v>
      </c>
      <c r="K4787">
        <v>544</v>
      </c>
      <c r="L4787">
        <v>262</v>
      </c>
      <c r="M4787">
        <v>827</v>
      </c>
      <c r="N4787">
        <v>4</v>
      </c>
      <c r="O4787">
        <v>2.6</v>
      </c>
      <c r="P4787">
        <v>5.4</v>
      </c>
      <c r="Q4787">
        <f t="shared" si="148"/>
        <v>5852490</v>
      </c>
      <c r="R4787">
        <f t="shared" si="147"/>
        <v>9.2951888854145839</v>
      </c>
      <c r="U4787">
        <v>794</v>
      </c>
      <c r="V4787">
        <v>368</v>
      </c>
      <c r="W4787">
        <v>1220</v>
      </c>
      <c r="X4787">
        <v>1417</v>
      </c>
      <c r="Y4787">
        <v>35.9</v>
      </c>
      <c r="Z4787">
        <v>26.4</v>
      </c>
      <c r="AA4787">
        <v>45.5</v>
      </c>
    </row>
    <row r="4788" spans="1:27" x14ac:dyDescent="0.25">
      <c r="A4788" t="s">
        <v>273</v>
      </c>
      <c r="B4788" t="s">
        <v>192</v>
      </c>
      <c r="C4788" s="76">
        <v>43954</v>
      </c>
      <c r="D4788">
        <v>5826</v>
      </c>
      <c r="E4788">
        <v>3409</v>
      </c>
      <c r="F4788">
        <v>8244</v>
      </c>
      <c r="G4788">
        <v>7767</v>
      </c>
      <c r="H4788">
        <v>42.9</v>
      </c>
      <c r="I4788">
        <v>36.6</v>
      </c>
      <c r="J4788">
        <v>49.1</v>
      </c>
      <c r="K4788">
        <v>529</v>
      </c>
      <c r="L4788">
        <v>254</v>
      </c>
      <c r="M4788">
        <v>805</v>
      </c>
      <c r="N4788">
        <v>3.9</v>
      </c>
      <c r="O4788">
        <v>2.5</v>
      </c>
      <c r="P4788">
        <v>5.3</v>
      </c>
      <c r="Q4788">
        <f t="shared" si="148"/>
        <v>5852490</v>
      </c>
      <c r="R4788">
        <f t="shared" si="147"/>
        <v>9.0388877212946959</v>
      </c>
      <c r="U4788">
        <v>787</v>
      </c>
      <c r="V4788">
        <v>360</v>
      </c>
      <c r="W4788">
        <v>1214</v>
      </c>
      <c r="X4788">
        <v>1386</v>
      </c>
      <c r="Y4788">
        <v>36.200000000000003</v>
      </c>
      <c r="Z4788">
        <v>25.2</v>
      </c>
      <c r="AA4788">
        <v>47.2</v>
      </c>
    </row>
    <row r="4789" spans="1:27" x14ac:dyDescent="0.25">
      <c r="A4789" t="s">
        <v>273</v>
      </c>
      <c r="B4789" t="s">
        <v>192</v>
      </c>
      <c r="C4789" s="76">
        <v>43955</v>
      </c>
      <c r="D4789">
        <v>6202</v>
      </c>
      <c r="E4789">
        <v>3658</v>
      </c>
      <c r="F4789">
        <v>8746</v>
      </c>
      <c r="G4789">
        <v>7347</v>
      </c>
      <c r="H4789">
        <v>45.8</v>
      </c>
      <c r="I4789">
        <v>39.6</v>
      </c>
      <c r="J4789">
        <v>51.9</v>
      </c>
      <c r="K4789">
        <v>534</v>
      </c>
      <c r="L4789">
        <v>254</v>
      </c>
      <c r="M4789">
        <v>813</v>
      </c>
      <c r="N4789">
        <v>3.9</v>
      </c>
      <c r="O4789">
        <v>2.4</v>
      </c>
      <c r="P4789">
        <v>5.4</v>
      </c>
      <c r="Q4789">
        <f t="shared" si="148"/>
        <v>5852490</v>
      </c>
      <c r="R4789">
        <f t="shared" si="147"/>
        <v>9.1243214426679931</v>
      </c>
      <c r="U4789">
        <v>812</v>
      </c>
      <c r="V4789">
        <v>393</v>
      </c>
      <c r="W4789">
        <v>1231</v>
      </c>
      <c r="X4789">
        <v>1362</v>
      </c>
      <c r="Y4789">
        <v>37.299999999999997</v>
      </c>
      <c r="Z4789">
        <v>26.4</v>
      </c>
      <c r="AA4789">
        <v>48.3</v>
      </c>
    </row>
    <row r="4790" spans="1:27" x14ac:dyDescent="0.25">
      <c r="A4790" t="s">
        <v>273</v>
      </c>
      <c r="B4790" t="s">
        <v>192</v>
      </c>
      <c r="C4790" s="76">
        <v>43956</v>
      </c>
      <c r="D4790">
        <v>6289</v>
      </c>
      <c r="E4790">
        <v>3725</v>
      </c>
      <c r="F4790">
        <v>8853</v>
      </c>
      <c r="G4790">
        <v>7265</v>
      </c>
      <c r="H4790">
        <v>46.4</v>
      </c>
      <c r="I4790">
        <v>40.6</v>
      </c>
      <c r="J4790">
        <v>52.2</v>
      </c>
      <c r="K4790">
        <v>514</v>
      </c>
      <c r="L4790">
        <v>213</v>
      </c>
      <c r="M4790">
        <v>815</v>
      </c>
      <c r="N4790">
        <v>3.8</v>
      </c>
      <c r="O4790">
        <v>2</v>
      </c>
      <c r="P4790">
        <v>5.6</v>
      </c>
      <c r="Q4790">
        <f t="shared" si="148"/>
        <v>5852490</v>
      </c>
      <c r="R4790">
        <f t="shared" si="147"/>
        <v>8.7825865571748096</v>
      </c>
      <c r="U4790">
        <v>843</v>
      </c>
      <c r="V4790">
        <v>396</v>
      </c>
      <c r="W4790">
        <v>1290</v>
      </c>
      <c r="X4790">
        <v>1328</v>
      </c>
      <c r="Y4790">
        <v>38.799999999999997</v>
      </c>
      <c r="Z4790">
        <v>28</v>
      </c>
      <c r="AA4790">
        <v>49.6</v>
      </c>
    </row>
    <row r="4791" spans="1:27" x14ac:dyDescent="0.25">
      <c r="A4791" t="s">
        <v>273</v>
      </c>
      <c r="B4791" t="s">
        <v>192</v>
      </c>
      <c r="C4791" s="76">
        <v>43957</v>
      </c>
      <c r="D4791">
        <v>6484</v>
      </c>
      <c r="E4791">
        <v>3847</v>
      </c>
      <c r="F4791">
        <v>9120</v>
      </c>
      <c r="G4791">
        <v>6963</v>
      </c>
      <c r="H4791">
        <v>48.2</v>
      </c>
      <c r="I4791">
        <v>42</v>
      </c>
      <c r="J4791">
        <v>54.4</v>
      </c>
      <c r="K4791">
        <v>586</v>
      </c>
      <c r="L4791">
        <v>266</v>
      </c>
      <c r="M4791">
        <v>907</v>
      </c>
      <c r="N4791">
        <v>4.4000000000000004</v>
      </c>
      <c r="O4791">
        <v>2.5</v>
      </c>
      <c r="P4791">
        <v>6.2</v>
      </c>
      <c r="Q4791">
        <f t="shared" si="148"/>
        <v>5852490</v>
      </c>
      <c r="R4791">
        <f t="shared" si="147"/>
        <v>10.01283214495027</v>
      </c>
      <c r="U4791">
        <v>831</v>
      </c>
      <c r="V4791">
        <v>397</v>
      </c>
      <c r="W4791">
        <v>1264</v>
      </c>
      <c r="X4791">
        <v>1349</v>
      </c>
      <c r="Y4791">
        <v>38.1</v>
      </c>
      <c r="Z4791">
        <v>27.5</v>
      </c>
      <c r="AA4791">
        <v>48.7</v>
      </c>
    </row>
    <row r="4792" spans="1:27" x14ac:dyDescent="0.25">
      <c r="A4792" t="s">
        <v>273</v>
      </c>
      <c r="B4792" t="s">
        <v>192</v>
      </c>
      <c r="C4792" s="76">
        <v>43958</v>
      </c>
      <c r="D4792">
        <v>6533</v>
      </c>
      <c r="E4792">
        <v>3855</v>
      </c>
      <c r="F4792">
        <v>9210</v>
      </c>
      <c r="G4792">
        <v>6988</v>
      </c>
      <c r="H4792">
        <v>48.3</v>
      </c>
      <c r="I4792">
        <v>42</v>
      </c>
      <c r="J4792">
        <v>54.6</v>
      </c>
      <c r="K4792">
        <v>685</v>
      </c>
      <c r="L4792">
        <v>301</v>
      </c>
      <c r="M4792">
        <v>1069</v>
      </c>
      <c r="N4792">
        <v>5.0999999999999996</v>
      </c>
      <c r="O4792">
        <v>2.7</v>
      </c>
      <c r="P4792">
        <v>7.4</v>
      </c>
      <c r="Q4792">
        <f t="shared" si="148"/>
        <v>5852490</v>
      </c>
      <c r="R4792">
        <f t="shared" si="147"/>
        <v>11.704419828141527</v>
      </c>
      <c r="U4792">
        <v>846</v>
      </c>
      <c r="V4792">
        <v>410</v>
      </c>
      <c r="W4792">
        <v>1282</v>
      </c>
      <c r="X4792">
        <v>1336</v>
      </c>
      <c r="Y4792">
        <v>38.799999999999997</v>
      </c>
      <c r="Z4792">
        <v>27.7</v>
      </c>
      <c r="AA4792">
        <v>49.9</v>
      </c>
    </row>
    <row r="4793" spans="1:27" x14ac:dyDescent="0.25">
      <c r="A4793" t="s">
        <v>273</v>
      </c>
      <c r="B4793" t="s">
        <v>192</v>
      </c>
      <c r="C4793" s="76">
        <v>43959</v>
      </c>
      <c r="D4793">
        <v>6304</v>
      </c>
      <c r="E4793">
        <v>3694</v>
      </c>
      <c r="F4793">
        <v>8913</v>
      </c>
      <c r="G4793">
        <v>7121</v>
      </c>
      <c r="H4793">
        <v>47</v>
      </c>
      <c r="I4793">
        <v>40.799999999999997</v>
      </c>
      <c r="J4793">
        <v>53.1</v>
      </c>
      <c r="K4793">
        <v>598</v>
      </c>
      <c r="L4793">
        <v>291</v>
      </c>
      <c r="M4793">
        <v>904</v>
      </c>
      <c r="N4793">
        <v>4.5</v>
      </c>
      <c r="O4793">
        <v>2.8</v>
      </c>
      <c r="P4793">
        <v>6.1</v>
      </c>
      <c r="Q4793">
        <f t="shared" si="148"/>
        <v>5852490</v>
      </c>
      <c r="R4793">
        <f t="shared" si="147"/>
        <v>10.217873076246178</v>
      </c>
      <c r="U4793">
        <v>847</v>
      </c>
      <c r="V4793">
        <v>420</v>
      </c>
      <c r="W4793">
        <v>1275</v>
      </c>
      <c r="X4793">
        <v>1352</v>
      </c>
      <c r="Y4793">
        <v>38.5</v>
      </c>
      <c r="Z4793">
        <v>28.3</v>
      </c>
      <c r="AA4793">
        <v>48.8</v>
      </c>
    </row>
    <row r="4794" spans="1:27" x14ac:dyDescent="0.25">
      <c r="A4794" t="s">
        <v>273</v>
      </c>
      <c r="B4794" t="s">
        <v>192</v>
      </c>
      <c r="C4794" s="76">
        <v>43960</v>
      </c>
      <c r="D4794">
        <v>6043</v>
      </c>
      <c r="E4794">
        <v>3502</v>
      </c>
      <c r="F4794">
        <v>8584</v>
      </c>
      <c r="G4794">
        <v>7541</v>
      </c>
      <c r="H4794">
        <v>44.5</v>
      </c>
      <c r="I4794">
        <v>38</v>
      </c>
      <c r="J4794">
        <v>51</v>
      </c>
      <c r="K4794">
        <v>572</v>
      </c>
      <c r="L4794">
        <v>285</v>
      </c>
      <c r="M4794">
        <v>858</v>
      </c>
      <c r="N4794">
        <v>4.2</v>
      </c>
      <c r="O4794">
        <v>2.7</v>
      </c>
      <c r="P4794">
        <v>5.8</v>
      </c>
      <c r="Q4794">
        <f t="shared" si="148"/>
        <v>5852490</v>
      </c>
      <c r="R4794">
        <f t="shared" si="147"/>
        <v>9.7736177251050407</v>
      </c>
      <c r="U4794">
        <v>837</v>
      </c>
      <c r="V4794">
        <v>406</v>
      </c>
      <c r="W4794">
        <v>1268</v>
      </c>
      <c r="X4794">
        <v>1363</v>
      </c>
      <c r="Y4794">
        <v>38</v>
      </c>
      <c r="Z4794">
        <v>27.4</v>
      </c>
      <c r="AA4794">
        <v>48.7</v>
      </c>
    </row>
    <row r="4795" spans="1:27" x14ac:dyDescent="0.25">
      <c r="A4795" t="s">
        <v>273</v>
      </c>
      <c r="B4795" t="s">
        <v>192</v>
      </c>
      <c r="C4795" s="76">
        <v>43961</v>
      </c>
      <c r="D4795">
        <v>5729</v>
      </c>
      <c r="E4795">
        <v>3282</v>
      </c>
      <c r="F4795">
        <v>8176</v>
      </c>
      <c r="G4795">
        <v>7855</v>
      </c>
      <c r="H4795">
        <v>42.2</v>
      </c>
      <c r="I4795">
        <v>35.9</v>
      </c>
      <c r="J4795">
        <v>48.5</v>
      </c>
      <c r="K4795">
        <v>493</v>
      </c>
      <c r="L4795">
        <v>238</v>
      </c>
      <c r="M4795">
        <v>748</v>
      </c>
      <c r="N4795">
        <v>3.6</v>
      </c>
      <c r="O4795">
        <v>2.2000000000000002</v>
      </c>
      <c r="P4795">
        <v>5</v>
      </c>
      <c r="Q4795">
        <f t="shared" si="148"/>
        <v>5852490</v>
      </c>
      <c r="R4795">
        <f t="shared" si="147"/>
        <v>8.4237649274069675</v>
      </c>
      <c r="U4795">
        <v>764</v>
      </c>
      <c r="V4795">
        <v>360</v>
      </c>
      <c r="W4795">
        <v>1168</v>
      </c>
      <c r="X4795">
        <v>1432</v>
      </c>
      <c r="Y4795">
        <v>34.799999999999997</v>
      </c>
      <c r="Z4795">
        <v>24.6</v>
      </c>
      <c r="AA4795">
        <v>45</v>
      </c>
    </row>
    <row r="4796" spans="1:27" x14ac:dyDescent="0.25">
      <c r="A4796" t="s">
        <v>273</v>
      </c>
      <c r="B4796" t="s">
        <v>192</v>
      </c>
      <c r="C4796" s="76">
        <v>43962</v>
      </c>
      <c r="D4796">
        <v>6100</v>
      </c>
      <c r="E4796">
        <v>3518</v>
      </c>
      <c r="F4796">
        <v>8681</v>
      </c>
      <c r="G4796">
        <v>7397</v>
      </c>
      <c r="H4796">
        <v>45.2</v>
      </c>
      <c r="I4796">
        <v>38.4</v>
      </c>
      <c r="J4796">
        <v>52</v>
      </c>
      <c r="K4796">
        <v>582</v>
      </c>
      <c r="L4796">
        <v>252</v>
      </c>
      <c r="M4796">
        <v>911</v>
      </c>
      <c r="N4796">
        <v>4.3</v>
      </c>
      <c r="O4796">
        <v>2.4</v>
      </c>
      <c r="P4796">
        <v>6.2</v>
      </c>
      <c r="Q4796">
        <f t="shared" si="148"/>
        <v>5852490</v>
      </c>
      <c r="R4796">
        <f t="shared" si="147"/>
        <v>9.9444851678516315</v>
      </c>
      <c r="U4796">
        <v>806</v>
      </c>
      <c r="V4796">
        <v>403</v>
      </c>
      <c r="W4796">
        <v>1208</v>
      </c>
      <c r="X4796">
        <v>1416</v>
      </c>
      <c r="Y4796">
        <v>36.299999999999997</v>
      </c>
      <c r="Z4796">
        <v>26.3</v>
      </c>
      <c r="AA4796">
        <v>46.3</v>
      </c>
    </row>
    <row r="4797" spans="1:27" x14ac:dyDescent="0.25">
      <c r="A4797" t="s">
        <v>273</v>
      </c>
      <c r="B4797" t="s">
        <v>192</v>
      </c>
      <c r="C4797" s="76">
        <v>43963</v>
      </c>
      <c r="D4797">
        <v>6424</v>
      </c>
      <c r="E4797">
        <v>3743</v>
      </c>
      <c r="F4797">
        <v>9105</v>
      </c>
      <c r="G4797">
        <v>7160</v>
      </c>
      <c r="H4797">
        <v>47.3</v>
      </c>
      <c r="I4797">
        <v>39.799999999999997</v>
      </c>
      <c r="J4797">
        <v>54.8</v>
      </c>
      <c r="K4797">
        <v>537</v>
      </c>
      <c r="L4797">
        <v>220</v>
      </c>
      <c r="M4797">
        <v>853</v>
      </c>
      <c r="N4797">
        <v>4</v>
      </c>
      <c r="O4797">
        <v>2.1</v>
      </c>
      <c r="P4797">
        <v>5.8</v>
      </c>
      <c r="Q4797">
        <f t="shared" si="148"/>
        <v>5852490</v>
      </c>
      <c r="R4797">
        <f t="shared" si="147"/>
        <v>9.1755816754919692</v>
      </c>
      <c r="U4797">
        <v>836</v>
      </c>
      <c r="V4797">
        <v>404</v>
      </c>
      <c r="W4797">
        <v>1269</v>
      </c>
      <c r="X4797">
        <v>1365</v>
      </c>
      <c r="Y4797">
        <v>38</v>
      </c>
      <c r="Z4797">
        <v>27.2</v>
      </c>
      <c r="AA4797">
        <v>48.8</v>
      </c>
    </row>
    <row r="4798" spans="1:27" x14ac:dyDescent="0.25">
      <c r="A4798" t="s">
        <v>273</v>
      </c>
      <c r="B4798" t="s">
        <v>192</v>
      </c>
      <c r="C4798" s="76">
        <v>43964</v>
      </c>
      <c r="D4798">
        <v>6312</v>
      </c>
      <c r="E4798">
        <v>3727</v>
      </c>
      <c r="F4798">
        <v>8897</v>
      </c>
      <c r="G4798">
        <v>7287</v>
      </c>
      <c r="H4798">
        <v>46.4</v>
      </c>
      <c r="I4798">
        <v>40.700000000000003</v>
      </c>
      <c r="J4798">
        <v>52.1</v>
      </c>
      <c r="K4798">
        <v>624</v>
      </c>
      <c r="L4798">
        <v>331</v>
      </c>
      <c r="M4798">
        <v>918</v>
      </c>
      <c r="N4798">
        <v>4.5999999999999996</v>
      </c>
      <c r="O4798">
        <v>3.1</v>
      </c>
      <c r="P4798">
        <v>6.1</v>
      </c>
      <c r="Q4798">
        <f t="shared" si="148"/>
        <v>5852490</v>
      </c>
      <c r="R4798">
        <f t="shared" si="147"/>
        <v>10.662128427387316</v>
      </c>
      <c r="U4798">
        <v>884</v>
      </c>
      <c r="V4798">
        <v>433</v>
      </c>
      <c r="W4798">
        <v>1335</v>
      </c>
      <c r="X4798">
        <v>1241</v>
      </c>
      <c r="Y4798">
        <v>41.6</v>
      </c>
      <c r="Z4798">
        <v>30.2</v>
      </c>
      <c r="AA4798">
        <v>53</v>
      </c>
    </row>
    <row r="4799" spans="1:27" x14ac:dyDescent="0.25">
      <c r="A4799" t="s">
        <v>273</v>
      </c>
      <c r="B4799" t="s">
        <v>192</v>
      </c>
      <c r="C4799" s="76">
        <v>43965</v>
      </c>
      <c r="D4799">
        <v>6379</v>
      </c>
      <c r="E4799">
        <v>3758</v>
      </c>
      <c r="F4799">
        <v>8999</v>
      </c>
      <c r="G4799">
        <v>7199</v>
      </c>
      <c r="H4799">
        <v>47</v>
      </c>
      <c r="I4799">
        <v>41.1</v>
      </c>
      <c r="J4799">
        <v>52.9</v>
      </c>
      <c r="K4799">
        <v>566</v>
      </c>
      <c r="L4799">
        <v>270</v>
      </c>
      <c r="M4799">
        <v>863</v>
      </c>
      <c r="N4799">
        <v>4.2</v>
      </c>
      <c r="O4799">
        <v>2.5</v>
      </c>
      <c r="P4799">
        <v>5.8</v>
      </c>
      <c r="Q4799">
        <f t="shared" si="148"/>
        <v>5852490</v>
      </c>
      <c r="R4799">
        <f t="shared" si="147"/>
        <v>9.6710972594570848</v>
      </c>
      <c r="U4799">
        <v>893</v>
      </c>
      <c r="V4799">
        <v>454</v>
      </c>
      <c r="W4799">
        <v>1332</v>
      </c>
      <c r="X4799">
        <v>1231</v>
      </c>
      <c r="Y4799">
        <v>42</v>
      </c>
      <c r="Z4799">
        <v>29.2</v>
      </c>
      <c r="AA4799">
        <v>54.9</v>
      </c>
    </row>
    <row r="4800" spans="1:27" x14ac:dyDescent="0.25">
      <c r="A4800" t="s">
        <v>273</v>
      </c>
      <c r="B4800" t="s">
        <v>192</v>
      </c>
      <c r="C4800" s="76">
        <v>43966</v>
      </c>
      <c r="D4800">
        <v>6390</v>
      </c>
      <c r="E4800">
        <v>3745</v>
      </c>
      <c r="F4800">
        <v>9034</v>
      </c>
      <c r="G4800">
        <v>6921</v>
      </c>
      <c r="H4800">
        <v>48</v>
      </c>
      <c r="I4800">
        <v>42.3</v>
      </c>
      <c r="J4800">
        <v>53.7</v>
      </c>
      <c r="K4800">
        <v>671</v>
      </c>
      <c r="L4800">
        <v>315</v>
      </c>
      <c r="M4800">
        <v>1026</v>
      </c>
      <c r="N4800">
        <v>5</v>
      </c>
      <c r="O4800">
        <v>2.9</v>
      </c>
      <c r="P4800">
        <v>7.1</v>
      </c>
      <c r="Q4800">
        <f t="shared" si="148"/>
        <v>5852490</v>
      </c>
      <c r="R4800">
        <f t="shared" si="147"/>
        <v>11.465205408296297</v>
      </c>
      <c r="U4800">
        <v>892</v>
      </c>
      <c r="V4800">
        <v>443</v>
      </c>
      <c r="W4800">
        <v>1340</v>
      </c>
      <c r="X4800">
        <v>1270</v>
      </c>
      <c r="Y4800">
        <v>41.3</v>
      </c>
      <c r="Z4800">
        <v>30.6</v>
      </c>
      <c r="AA4800">
        <v>51.9</v>
      </c>
    </row>
    <row r="4801" spans="1:27" x14ac:dyDescent="0.25">
      <c r="A4801" t="s">
        <v>273</v>
      </c>
      <c r="B4801" t="s">
        <v>192</v>
      </c>
      <c r="C4801" s="76">
        <v>43967</v>
      </c>
      <c r="D4801">
        <v>6132</v>
      </c>
      <c r="E4801">
        <v>3556</v>
      </c>
      <c r="F4801">
        <v>8709</v>
      </c>
      <c r="G4801">
        <v>7450</v>
      </c>
      <c r="H4801">
        <v>45.1</v>
      </c>
      <c r="I4801">
        <v>39</v>
      </c>
      <c r="J4801">
        <v>51.3</v>
      </c>
      <c r="K4801">
        <v>603</v>
      </c>
      <c r="L4801">
        <v>302</v>
      </c>
      <c r="M4801">
        <v>904</v>
      </c>
      <c r="N4801">
        <v>4.4000000000000004</v>
      </c>
      <c r="O4801">
        <v>2.9</v>
      </c>
      <c r="P4801">
        <v>6</v>
      </c>
      <c r="Q4801">
        <f t="shared" si="148"/>
        <v>5852490</v>
      </c>
      <c r="R4801">
        <f t="shared" si="147"/>
        <v>10.303306797619474</v>
      </c>
      <c r="U4801">
        <v>822</v>
      </c>
      <c r="V4801">
        <v>383</v>
      </c>
      <c r="W4801">
        <v>1261</v>
      </c>
      <c r="X4801">
        <v>1299</v>
      </c>
      <c r="Y4801">
        <v>38.700000000000003</v>
      </c>
      <c r="Z4801">
        <v>28</v>
      </c>
      <c r="AA4801">
        <v>49.5</v>
      </c>
    </row>
    <row r="4802" spans="1:27" x14ac:dyDescent="0.25">
      <c r="A4802" t="s">
        <v>273</v>
      </c>
      <c r="B4802" t="s">
        <v>192</v>
      </c>
      <c r="C4802" s="76">
        <v>43968</v>
      </c>
      <c r="D4802">
        <v>5805</v>
      </c>
      <c r="E4802">
        <v>3327</v>
      </c>
      <c r="F4802">
        <v>8283</v>
      </c>
      <c r="G4802">
        <v>7778</v>
      </c>
      <c r="H4802">
        <v>42.7</v>
      </c>
      <c r="I4802">
        <v>36.5</v>
      </c>
      <c r="J4802">
        <v>49</v>
      </c>
      <c r="K4802">
        <v>606</v>
      </c>
      <c r="L4802">
        <v>316</v>
      </c>
      <c r="M4802">
        <v>896</v>
      </c>
      <c r="N4802">
        <v>4.5</v>
      </c>
      <c r="O4802">
        <v>3.1</v>
      </c>
      <c r="P4802">
        <v>5.8</v>
      </c>
      <c r="Q4802">
        <f t="shared" si="148"/>
        <v>5852490</v>
      </c>
      <c r="R4802">
        <f t="shared" si="147"/>
        <v>10.354567030443453</v>
      </c>
      <c r="U4802">
        <v>802</v>
      </c>
      <c r="V4802">
        <v>369</v>
      </c>
      <c r="W4802">
        <v>1235</v>
      </c>
      <c r="X4802">
        <v>1327</v>
      </c>
      <c r="Y4802">
        <v>37.700000000000003</v>
      </c>
      <c r="Z4802">
        <v>27.3</v>
      </c>
      <c r="AA4802">
        <v>48.1</v>
      </c>
    </row>
    <row r="4803" spans="1:27" x14ac:dyDescent="0.25">
      <c r="A4803" t="s">
        <v>273</v>
      </c>
      <c r="B4803" t="s">
        <v>192</v>
      </c>
      <c r="C4803" s="76">
        <v>43969</v>
      </c>
      <c r="D4803">
        <v>6043</v>
      </c>
      <c r="E4803">
        <v>3488</v>
      </c>
      <c r="F4803">
        <v>8597</v>
      </c>
      <c r="G4803">
        <v>7540</v>
      </c>
      <c r="H4803">
        <v>44.5</v>
      </c>
      <c r="I4803">
        <v>38</v>
      </c>
      <c r="J4803">
        <v>50.9</v>
      </c>
      <c r="K4803">
        <v>705</v>
      </c>
      <c r="L4803">
        <v>381</v>
      </c>
      <c r="M4803">
        <v>1029</v>
      </c>
      <c r="N4803">
        <v>5.2</v>
      </c>
      <c r="O4803">
        <v>3.7</v>
      </c>
      <c r="P4803">
        <v>6.7</v>
      </c>
      <c r="Q4803">
        <f t="shared" si="148"/>
        <v>5852490</v>
      </c>
      <c r="R4803">
        <f t="shared" si="147"/>
        <v>12.046154713634708</v>
      </c>
      <c r="U4803">
        <v>791</v>
      </c>
      <c r="V4803">
        <v>386</v>
      </c>
      <c r="W4803">
        <v>1195</v>
      </c>
      <c r="X4803">
        <v>1373</v>
      </c>
      <c r="Y4803">
        <v>36.4</v>
      </c>
      <c r="Z4803">
        <v>26.5</v>
      </c>
      <c r="AA4803">
        <v>46.4</v>
      </c>
    </row>
    <row r="4804" spans="1:27" x14ac:dyDescent="0.25">
      <c r="A4804" t="s">
        <v>273</v>
      </c>
      <c r="B4804" t="s">
        <v>192</v>
      </c>
      <c r="C4804" s="76">
        <v>43970</v>
      </c>
      <c r="D4804">
        <v>6528</v>
      </c>
      <c r="E4804">
        <v>3887</v>
      </c>
      <c r="F4804">
        <v>9169</v>
      </c>
      <c r="G4804">
        <v>7053</v>
      </c>
      <c r="H4804">
        <v>48.1</v>
      </c>
      <c r="I4804">
        <v>42.7</v>
      </c>
      <c r="J4804">
        <v>53.4</v>
      </c>
      <c r="K4804">
        <v>719</v>
      </c>
      <c r="L4804">
        <v>365</v>
      </c>
      <c r="M4804">
        <v>1073</v>
      </c>
      <c r="N4804">
        <v>5.3</v>
      </c>
      <c r="O4804">
        <v>3.6</v>
      </c>
      <c r="P4804">
        <v>7</v>
      </c>
      <c r="Q4804">
        <f t="shared" si="148"/>
        <v>5852490</v>
      </c>
      <c r="R4804">
        <f t="shared" si="147"/>
        <v>12.285369133479938</v>
      </c>
      <c r="U4804">
        <v>794</v>
      </c>
      <c r="V4804">
        <v>374</v>
      </c>
      <c r="W4804">
        <v>1214</v>
      </c>
      <c r="X4804">
        <v>1365</v>
      </c>
      <c r="Y4804">
        <v>36.799999999999997</v>
      </c>
      <c r="Z4804">
        <v>27.1</v>
      </c>
      <c r="AA4804">
        <v>46.4</v>
      </c>
    </row>
    <row r="4805" spans="1:27" x14ac:dyDescent="0.25">
      <c r="A4805" t="s">
        <v>273</v>
      </c>
      <c r="B4805" t="s">
        <v>192</v>
      </c>
      <c r="C4805" s="76">
        <v>43971</v>
      </c>
      <c r="D4805">
        <v>6738</v>
      </c>
      <c r="E4805">
        <v>3932</v>
      </c>
      <c r="F4805">
        <v>9543</v>
      </c>
      <c r="G4805">
        <v>6764</v>
      </c>
      <c r="H4805">
        <v>49.9</v>
      </c>
      <c r="I4805">
        <v>43.7</v>
      </c>
      <c r="J4805">
        <v>56.1</v>
      </c>
      <c r="K4805">
        <v>679</v>
      </c>
      <c r="L4805">
        <v>333</v>
      </c>
      <c r="M4805">
        <v>1025</v>
      </c>
      <c r="N4805">
        <v>5</v>
      </c>
      <c r="O4805">
        <v>3.4</v>
      </c>
      <c r="P4805">
        <v>6.6</v>
      </c>
      <c r="Q4805">
        <f t="shared" si="148"/>
        <v>5852490</v>
      </c>
      <c r="R4805">
        <f t="shared" ref="R4805:R4868" si="149">K4805/(Q4805)*100000</f>
        <v>11.601899362493571</v>
      </c>
      <c r="U4805">
        <v>834</v>
      </c>
      <c r="V4805">
        <v>390</v>
      </c>
      <c r="W4805">
        <v>1278</v>
      </c>
      <c r="X4805">
        <v>1330</v>
      </c>
      <c r="Y4805">
        <v>38.4</v>
      </c>
      <c r="Z4805">
        <v>28.6</v>
      </c>
      <c r="AA4805">
        <v>48.2</v>
      </c>
    </row>
    <row r="4806" spans="1:27" x14ac:dyDescent="0.25">
      <c r="A4806" t="s">
        <v>273</v>
      </c>
      <c r="B4806" t="s">
        <v>192</v>
      </c>
      <c r="C4806" s="76">
        <v>43972</v>
      </c>
      <c r="D4806">
        <v>6846</v>
      </c>
      <c r="E4806">
        <v>3996</v>
      </c>
      <c r="F4806">
        <v>9695</v>
      </c>
      <c r="G4806">
        <v>6759</v>
      </c>
      <c r="H4806">
        <v>50.3</v>
      </c>
      <c r="I4806">
        <v>43.7</v>
      </c>
      <c r="J4806">
        <v>56.9</v>
      </c>
      <c r="K4806">
        <v>734</v>
      </c>
      <c r="L4806">
        <v>352</v>
      </c>
      <c r="M4806">
        <v>1117</v>
      </c>
      <c r="N4806">
        <v>5.4</v>
      </c>
      <c r="O4806">
        <v>3.4</v>
      </c>
      <c r="P4806">
        <v>7.4</v>
      </c>
      <c r="Q4806">
        <f t="shared" si="148"/>
        <v>5852490</v>
      </c>
      <c r="R4806">
        <f t="shared" si="149"/>
        <v>12.541670297599826</v>
      </c>
      <c r="U4806">
        <v>849</v>
      </c>
      <c r="V4806">
        <v>407</v>
      </c>
      <c r="W4806">
        <v>1291</v>
      </c>
      <c r="X4806">
        <v>1305</v>
      </c>
      <c r="Y4806">
        <v>39.4</v>
      </c>
      <c r="Z4806">
        <v>29.1</v>
      </c>
      <c r="AA4806">
        <v>49.8</v>
      </c>
    </row>
    <row r="4807" spans="1:27" x14ac:dyDescent="0.25">
      <c r="A4807" t="s">
        <v>273</v>
      </c>
      <c r="B4807" t="s">
        <v>192</v>
      </c>
      <c r="C4807" s="76">
        <v>43973</v>
      </c>
      <c r="D4807">
        <v>6563</v>
      </c>
      <c r="E4807">
        <v>3815</v>
      </c>
      <c r="F4807">
        <v>9311</v>
      </c>
      <c r="G4807">
        <v>7064</v>
      </c>
      <c r="H4807">
        <v>48.2</v>
      </c>
      <c r="I4807">
        <v>42.2</v>
      </c>
      <c r="J4807">
        <v>54.1</v>
      </c>
      <c r="K4807">
        <v>663</v>
      </c>
      <c r="L4807">
        <v>316</v>
      </c>
      <c r="M4807">
        <v>1010</v>
      </c>
      <c r="N4807">
        <v>4.9000000000000004</v>
      </c>
      <c r="O4807">
        <v>3.1</v>
      </c>
      <c r="P4807">
        <v>6.6</v>
      </c>
      <c r="Q4807">
        <f t="shared" si="148"/>
        <v>5852490</v>
      </c>
      <c r="R4807">
        <f t="shared" si="149"/>
        <v>11.328511454099024</v>
      </c>
      <c r="U4807">
        <v>881</v>
      </c>
      <c r="V4807">
        <v>414</v>
      </c>
      <c r="W4807">
        <v>1348</v>
      </c>
      <c r="X4807">
        <v>1274</v>
      </c>
      <c r="Y4807">
        <v>40.9</v>
      </c>
      <c r="Z4807">
        <v>29.9</v>
      </c>
      <c r="AA4807">
        <v>51.9</v>
      </c>
    </row>
    <row r="4808" spans="1:27" x14ac:dyDescent="0.25">
      <c r="A4808" t="s">
        <v>273</v>
      </c>
      <c r="B4808" t="s">
        <v>192</v>
      </c>
      <c r="C4808" s="76">
        <v>43974</v>
      </c>
      <c r="D4808">
        <v>6362</v>
      </c>
      <c r="E4808">
        <v>3638</v>
      </c>
      <c r="F4808">
        <v>9086</v>
      </c>
      <c r="G4808">
        <v>7216</v>
      </c>
      <c r="H4808">
        <v>46.9</v>
      </c>
      <c r="I4808">
        <v>40.4</v>
      </c>
      <c r="J4808">
        <v>53.3</v>
      </c>
      <c r="K4808">
        <v>581</v>
      </c>
      <c r="L4808">
        <v>255</v>
      </c>
      <c r="M4808">
        <v>906</v>
      </c>
      <c r="N4808">
        <v>4.3</v>
      </c>
      <c r="O4808">
        <v>2.7</v>
      </c>
      <c r="P4808">
        <v>5.9</v>
      </c>
      <c r="Q4808">
        <f t="shared" si="148"/>
        <v>5852490</v>
      </c>
      <c r="R4808">
        <f t="shared" si="149"/>
        <v>9.9273984235769728</v>
      </c>
      <c r="U4808">
        <v>866</v>
      </c>
      <c r="V4808">
        <v>390</v>
      </c>
      <c r="W4808">
        <v>1341</v>
      </c>
      <c r="X4808">
        <v>1259</v>
      </c>
      <c r="Y4808">
        <v>40.799999999999997</v>
      </c>
      <c r="Z4808">
        <v>30.5</v>
      </c>
      <c r="AA4808">
        <v>51</v>
      </c>
    </row>
    <row r="4809" spans="1:27" x14ac:dyDescent="0.25">
      <c r="A4809" t="s">
        <v>273</v>
      </c>
      <c r="B4809" t="s">
        <v>192</v>
      </c>
      <c r="C4809" s="76">
        <v>43975</v>
      </c>
      <c r="D4809">
        <v>6302</v>
      </c>
      <c r="E4809">
        <v>3320</v>
      </c>
      <c r="F4809">
        <v>9284</v>
      </c>
      <c r="G4809">
        <v>7293</v>
      </c>
      <c r="H4809">
        <v>46.4</v>
      </c>
      <c r="I4809">
        <v>38.299999999999997</v>
      </c>
      <c r="J4809">
        <v>54.4</v>
      </c>
      <c r="K4809">
        <v>632</v>
      </c>
      <c r="L4809">
        <v>266</v>
      </c>
      <c r="M4809">
        <v>997</v>
      </c>
      <c r="N4809">
        <v>4.5999999999999996</v>
      </c>
      <c r="O4809">
        <v>2.7</v>
      </c>
      <c r="P4809">
        <v>6.5</v>
      </c>
      <c r="Q4809">
        <f t="shared" si="148"/>
        <v>5852490</v>
      </c>
      <c r="R4809">
        <f t="shared" si="149"/>
        <v>10.798822381584589</v>
      </c>
      <c r="U4809">
        <v>946</v>
      </c>
      <c r="V4809">
        <v>374</v>
      </c>
      <c r="W4809">
        <v>1517</v>
      </c>
      <c r="X4809">
        <v>1183</v>
      </c>
      <c r="Y4809">
        <v>44.4</v>
      </c>
      <c r="Z4809">
        <v>32.200000000000003</v>
      </c>
      <c r="AA4809">
        <v>56.6</v>
      </c>
    </row>
    <row r="4810" spans="1:27" x14ac:dyDescent="0.25">
      <c r="A4810" t="s">
        <v>273</v>
      </c>
      <c r="B4810" t="s">
        <v>192</v>
      </c>
      <c r="C4810" s="76">
        <v>43976</v>
      </c>
      <c r="D4810">
        <v>6206</v>
      </c>
      <c r="E4810">
        <v>3266</v>
      </c>
      <c r="F4810">
        <v>9146</v>
      </c>
      <c r="G4810">
        <v>6927</v>
      </c>
      <c r="H4810">
        <v>47.3</v>
      </c>
      <c r="I4810">
        <v>40.299999999999997</v>
      </c>
      <c r="J4810">
        <v>54.2</v>
      </c>
      <c r="K4810">
        <v>592</v>
      </c>
      <c r="L4810">
        <v>234</v>
      </c>
      <c r="M4810">
        <v>949</v>
      </c>
      <c r="N4810">
        <v>4.5</v>
      </c>
      <c r="O4810">
        <v>2.5</v>
      </c>
      <c r="P4810">
        <v>6.5</v>
      </c>
      <c r="Q4810">
        <f t="shared" si="148"/>
        <v>5852490</v>
      </c>
      <c r="R4810">
        <f t="shared" si="149"/>
        <v>10.115352610598224</v>
      </c>
      <c r="U4810">
        <v>853</v>
      </c>
      <c r="V4810">
        <v>307</v>
      </c>
      <c r="W4810">
        <v>1400</v>
      </c>
      <c r="X4810">
        <v>1089</v>
      </c>
      <c r="Y4810">
        <v>43.9</v>
      </c>
      <c r="Z4810">
        <v>33.700000000000003</v>
      </c>
      <c r="AA4810">
        <v>54.2</v>
      </c>
    </row>
    <row r="4811" spans="1:27" x14ac:dyDescent="0.25">
      <c r="A4811" t="s">
        <v>273</v>
      </c>
      <c r="B4811" t="s">
        <v>192</v>
      </c>
      <c r="C4811" s="76">
        <v>43977</v>
      </c>
      <c r="D4811">
        <v>6467</v>
      </c>
      <c r="E4811">
        <v>3381</v>
      </c>
      <c r="F4811">
        <v>9552</v>
      </c>
      <c r="G4811">
        <v>6597</v>
      </c>
      <c r="H4811">
        <v>49.5</v>
      </c>
      <c r="I4811">
        <v>42.3</v>
      </c>
      <c r="J4811">
        <v>56.7</v>
      </c>
      <c r="K4811">
        <v>548</v>
      </c>
      <c r="L4811">
        <v>135</v>
      </c>
      <c r="M4811">
        <v>961</v>
      </c>
      <c r="N4811">
        <v>4.2</v>
      </c>
      <c r="O4811">
        <v>1.8</v>
      </c>
      <c r="P4811">
        <v>6.6</v>
      </c>
      <c r="Q4811">
        <f t="shared" si="148"/>
        <v>5852490</v>
      </c>
      <c r="R4811">
        <f t="shared" si="149"/>
        <v>9.3635358625132206</v>
      </c>
      <c r="U4811">
        <v>954</v>
      </c>
      <c r="V4811">
        <v>258</v>
      </c>
      <c r="W4811">
        <v>1650</v>
      </c>
      <c r="X4811">
        <v>990</v>
      </c>
      <c r="Y4811">
        <v>49.1</v>
      </c>
      <c r="Z4811">
        <v>30.9</v>
      </c>
      <c r="AA4811">
        <v>67.3</v>
      </c>
    </row>
    <row r="4812" spans="1:27" x14ac:dyDescent="0.25">
      <c r="A4812" t="s">
        <v>273</v>
      </c>
      <c r="B4812" t="s">
        <v>192</v>
      </c>
      <c r="C4812" s="76">
        <v>43978</v>
      </c>
      <c r="D4812">
        <v>5985</v>
      </c>
      <c r="E4812">
        <v>3288</v>
      </c>
      <c r="F4812">
        <v>8682</v>
      </c>
      <c r="G4812">
        <v>6100</v>
      </c>
      <c r="H4812">
        <v>49.5</v>
      </c>
      <c r="I4812">
        <v>43.1</v>
      </c>
      <c r="J4812">
        <v>55.9</v>
      </c>
      <c r="K4812">
        <v>472</v>
      </c>
      <c r="L4812">
        <v>153</v>
      </c>
      <c r="M4812">
        <v>792</v>
      </c>
      <c r="N4812">
        <v>3.9</v>
      </c>
      <c r="O4812">
        <v>1.7</v>
      </c>
      <c r="P4812">
        <v>6.1</v>
      </c>
      <c r="Q4812">
        <f t="shared" si="148"/>
        <v>5852490</v>
      </c>
      <c r="R4812">
        <f t="shared" si="149"/>
        <v>8.0649432976391253</v>
      </c>
      <c r="U4812">
        <v>673</v>
      </c>
      <c r="V4812">
        <v>297</v>
      </c>
      <c r="W4812">
        <v>1049</v>
      </c>
      <c r="X4812">
        <v>709</v>
      </c>
      <c r="Y4812">
        <v>48.7</v>
      </c>
      <c r="Z4812">
        <v>39.5</v>
      </c>
      <c r="AA4812">
        <v>57.8</v>
      </c>
    </row>
    <row r="4813" spans="1:27" x14ac:dyDescent="0.25">
      <c r="A4813" t="s">
        <v>273</v>
      </c>
      <c r="B4813" t="s">
        <v>192</v>
      </c>
      <c r="C4813" s="76">
        <v>43979</v>
      </c>
      <c r="D4813">
        <v>6124</v>
      </c>
      <c r="E4813">
        <v>3384</v>
      </c>
      <c r="F4813">
        <v>8864</v>
      </c>
      <c r="G4813">
        <v>6024</v>
      </c>
      <c r="H4813">
        <v>50.4</v>
      </c>
      <c r="I4813">
        <v>44.2</v>
      </c>
      <c r="J4813">
        <v>56.6</v>
      </c>
      <c r="K4813">
        <v>380</v>
      </c>
      <c r="L4813">
        <v>128</v>
      </c>
      <c r="M4813">
        <v>632</v>
      </c>
      <c r="N4813">
        <v>3.1</v>
      </c>
      <c r="O4813">
        <v>1.4</v>
      </c>
      <c r="P4813">
        <v>4.9000000000000004</v>
      </c>
      <c r="Q4813">
        <f t="shared" si="148"/>
        <v>5852490</v>
      </c>
      <c r="R4813">
        <f t="shared" si="149"/>
        <v>6.4929628243704824</v>
      </c>
      <c r="U4813">
        <v>646</v>
      </c>
      <c r="V4813">
        <v>297</v>
      </c>
      <c r="W4813">
        <v>995</v>
      </c>
      <c r="X4813">
        <v>751</v>
      </c>
      <c r="Y4813">
        <v>46.2</v>
      </c>
      <c r="Z4813">
        <v>39.5</v>
      </c>
      <c r="AA4813">
        <v>53</v>
      </c>
    </row>
    <row r="4814" spans="1:27" x14ac:dyDescent="0.25">
      <c r="A4814" t="s">
        <v>273</v>
      </c>
      <c r="B4814" t="s">
        <v>192</v>
      </c>
      <c r="C4814" s="76">
        <v>43980</v>
      </c>
      <c r="D4814">
        <v>7604</v>
      </c>
      <c r="E4814">
        <v>4087</v>
      </c>
      <c r="F4814">
        <v>11121</v>
      </c>
      <c r="G4814">
        <v>6084</v>
      </c>
      <c r="H4814">
        <v>55.6</v>
      </c>
      <c r="I4814">
        <v>47.4</v>
      </c>
      <c r="J4814">
        <v>63.7</v>
      </c>
      <c r="K4814">
        <v>794</v>
      </c>
      <c r="L4814">
        <v>273</v>
      </c>
      <c r="M4814">
        <v>1314</v>
      </c>
      <c r="N4814">
        <v>5.8</v>
      </c>
      <c r="O4814">
        <v>3.1</v>
      </c>
      <c r="P4814">
        <v>8.5</v>
      </c>
      <c r="Q4814">
        <f t="shared" si="148"/>
        <v>5852490</v>
      </c>
      <c r="R4814">
        <f t="shared" si="149"/>
        <v>13.566874954079374</v>
      </c>
      <c r="U4814">
        <v>1044</v>
      </c>
      <c r="V4814">
        <v>424</v>
      </c>
      <c r="W4814">
        <v>1664</v>
      </c>
      <c r="X4814">
        <v>1139</v>
      </c>
      <c r="Y4814">
        <v>47.8</v>
      </c>
      <c r="Z4814">
        <v>38.5</v>
      </c>
      <c r="AA4814">
        <v>57.2</v>
      </c>
    </row>
    <row r="4815" spans="1:27" x14ac:dyDescent="0.25">
      <c r="A4815" t="s">
        <v>273</v>
      </c>
      <c r="B4815" t="s">
        <v>192</v>
      </c>
      <c r="C4815" s="76">
        <v>43981</v>
      </c>
      <c r="D4815">
        <v>7051</v>
      </c>
      <c r="E4815">
        <v>3822</v>
      </c>
      <c r="F4815">
        <v>10279</v>
      </c>
      <c r="G4815">
        <v>6587</v>
      </c>
      <c r="H4815">
        <v>51.7</v>
      </c>
      <c r="I4815">
        <v>43.7</v>
      </c>
      <c r="J4815">
        <v>59.7</v>
      </c>
      <c r="K4815">
        <v>574</v>
      </c>
      <c r="L4815">
        <v>179</v>
      </c>
      <c r="M4815">
        <v>968</v>
      </c>
      <c r="N4815">
        <v>4.2</v>
      </c>
      <c r="O4815">
        <v>2.1</v>
      </c>
      <c r="P4815">
        <v>6.3</v>
      </c>
      <c r="Q4815">
        <f t="shared" si="148"/>
        <v>5852490</v>
      </c>
      <c r="R4815">
        <f t="shared" si="149"/>
        <v>9.8077912136543581</v>
      </c>
      <c r="U4815">
        <v>953</v>
      </c>
      <c r="V4815">
        <v>373</v>
      </c>
      <c r="W4815">
        <v>1533</v>
      </c>
      <c r="X4815">
        <v>1163</v>
      </c>
      <c r="Y4815">
        <v>45</v>
      </c>
      <c r="Z4815">
        <v>32.6</v>
      </c>
      <c r="AA4815">
        <v>57.5</v>
      </c>
    </row>
    <row r="4816" spans="1:27" x14ac:dyDescent="0.25">
      <c r="A4816" t="s">
        <v>273</v>
      </c>
      <c r="B4816" t="s">
        <v>192</v>
      </c>
      <c r="C4816" s="76">
        <v>43982</v>
      </c>
      <c r="D4816">
        <v>5623</v>
      </c>
      <c r="E4816">
        <v>3180</v>
      </c>
      <c r="F4816">
        <v>8066</v>
      </c>
      <c r="G4816">
        <v>6596</v>
      </c>
      <c r="H4816">
        <v>46</v>
      </c>
      <c r="I4816">
        <v>39.799999999999997</v>
      </c>
      <c r="J4816">
        <v>52.2</v>
      </c>
      <c r="K4816">
        <v>449</v>
      </c>
      <c r="L4816">
        <v>204</v>
      </c>
      <c r="M4816">
        <v>693</v>
      </c>
      <c r="N4816">
        <v>3.7</v>
      </c>
      <c r="O4816">
        <v>2.1</v>
      </c>
      <c r="P4816">
        <v>5.3</v>
      </c>
      <c r="Q4816">
        <f t="shared" si="148"/>
        <v>5852490</v>
      </c>
      <c r="R4816">
        <f t="shared" si="149"/>
        <v>7.6719481793219639</v>
      </c>
      <c r="U4816">
        <v>611</v>
      </c>
      <c r="V4816">
        <v>290</v>
      </c>
      <c r="W4816">
        <v>933</v>
      </c>
      <c r="X4816">
        <v>774</v>
      </c>
      <c r="Y4816">
        <v>44.1</v>
      </c>
      <c r="Z4816">
        <v>35.700000000000003</v>
      </c>
      <c r="AA4816">
        <v>52.6</v>
      </c>
    </row>
    <row r="4817" spans="1:27" x14ac:dyDescent="0.25">
      <c r="A4817" t="s">
        <v>273</v>
      </c>
      <c r="B4817" t="s">
        <v>192</v>
      </c>
      <c r="C4817" s="76">
        <v>43983</v>
      </c>
      <c r="D4817">
        <v>5898</v>
      </c>
      <c r="E4817">
        <v>3307</v>
      </c>
      <c r="F4817">
        <v>8490</v>
      </c>
      <c r="G4817">
        <v>6308</v>
      </c>
      <c r="H4817">
        <v>48.3</v>
      </c>
      <c r="I4817">
        <v>41.9</v>
      </c>
      <c r="J4817">
        <v>54.7</v>
      </c>
      <c r="K4817">
        <v>504</v>
      </c>
      <c r="L4817">
        <v>220</v>
      </c>
      <c r="M4817">
        <v>788</v>
      </c>
      <c r="N4817">
        <v>4.0999999999999996</v>
      </c>
      <c r="O4817">
        <v>2.2999999999999998</v>
      </c>
      <c r="P4817">
        <v>6</v>
      </c>
      <c r="Q4817">
        <f t="shared" si="148"/>
        <v>5852490</v>
      </c>
      <c r="R4817">
        <f t="shared" si="149"/>
        <v>8.6117191144282188</v>
      </c>
      <c r="U4817">
        <v>625</v>
      </c>
      <c r="V4817">
        <v>293</v>
      </c>
      <c r="W4817">
        <v>957</v>
      </c>
      <c r="X4817">
        <v>751</v>
      </c>
      <c r="Y4817">
        <v>45.4</v>
      </c>
      <c r="Z4817">
        <v>36.700000000000003</v>
      </c>
      <c r="AA4817">
        <v>54.2</v>
      </c>
    </row>
    <row r="4818" spans="1:27" x14ac:dyDescent="0.25">
      <c r="A4818" t="s">
        <v>273</v>
      </c>
      <c r="B4818" t="s">
        <v>192</v>
      </c>
      <c r="C4818" s="76">
        <v>43984</v>
      </c>
      <c r="D4818">
        <v>6389</v>
      </c>
      <c r="E4818">
        <v>3287</v>
      </c>
      <c r="F4818">
        <v>9492</v>
      </c>
      <c r="G4818">
        <v>6056</v>
      </c>
      <c r="H4818">
        <v>51.3</v>
      </c>
      <c r="I4818">
        <v>44.8</v>
      </c>
      <c r="J4818">
        <v>57.9</v>
      </c>
      <c r="K4818">
        <v>495</v>
      </c>
      <c r="L4818">
        <v>225</v>
      </c>
      <c r="M4818">
        <v>766</v>
      </c>
      <c r="N4818">
        <v>4</v>
      </c>
      <c r="O4818">
        <v>2.4</v>
      </c>
      <c r="P4818">
        <v>5.6</v>
      </c>
      <c r="Q4818">
        <f t="shared" si="148"/>
        <v>5852490</v>
      </c>
      <c r="R4818">
        <f t="shared" si="149"/>
        <v>8.4579384159562849</v>
      </c>
      <c r="U4818">
        <v>729</v>
      </c>
      <c r="V4818">
        <v>284</v>
      </c>
      <c r="W4818">
        <v>1174</v>
      </c>
      <c r="X4818">
        <v>719</v>
      </c>
      <c r="Y4818">
        <v>50.3</v>
      </c>
      <c r="Z4818">
        <v>39.9</v>
      </c>
      <c r="AA4818">
        <v>60.8</v>
      </c>
    </row>
    <row r="4819" spans="1:27" x14ac:dyDescent="0.25">
      <c r="A4819" t="s">
        <v>273</v>
      </c>
      <c r="B4819" t="s">
        <v>192</v>
      </c>
      <c r="C4819" s="76">
        <v>43985</v>
      </c>
      <c r="D4819">
        <v>5737</v>
      </c>
      <c r="E4819">
        <v>2411</v>
      </c>
      <c r="F4819">
        <v>9063</v>
      </c>
      <c r="G4819">
        <v>6459</v>
      </c>
      <c r="H4819">
        <v>47</v>
      </c>
      <c r="I4819">
        <v>39.1</v>
      </c>
      <c r="J4819">
        <v>55</v>
      </c>
      <c r="K4819">
        <v>351</v>
      </c>
      <c r="L4819">
        <v>99</v>
      </c>
      <c r="M4819">
        <v>602</v>
      </c>
      <c r="N4819">
        <v>2.9</v>
      </c>
      <c r="O4819">
        <v>1.2</v>
      </c>
      <c r="P4819">
        <v>4.5</v>
      </c>
      <c r="Q4819">
        <f t="shared" si="148"/>
        <v>5852490</v>
      </c>
      <c r="R4819">
        <f t="shared" si="149"/>
        <v>5.997447240405366</v>
      </c>
      <c r="U4819">
        <v>721</v>
      </c>
      <c r="V4819">
        <v>185</v>
      </c>
      <c r="W4819">
        <v>1258</v>
      </c>
      <c r="X4819">
        <v>708</v>
      </c>
      <c r="Y4819">
        <v>50.4</v>
      </c>
      <c r="Z4819">
        <v>36.299999999999997</v>
      </c>
      <c r="AA4819">
        <v>64.599999999999994</v>
      </c>
    </row>
    <row r="4820" spans="1:27" x14ac:dyDescent="0.25">
      <c r="A4820" t="s">
        <v>273</v>
      </c>
      <c r="B4820" t="s">
        <v>192</v>
      </c>
      <c r="C4820" s="76">
        <v>43986</v>
      </c>
      <c r="D4820">
        <v>6269</v>
      </c>
      <c r="E4820">
        <v>3162</v>
      </c>
      <c r="F4820">
        <v>9376</v>
      </c>
      <c r="G4820">
        <v>6068</v>
      </c>
      <c r="H4820">
        <v>50.8</v>
      </c>
      <c r="I4820">
        <v>43.2</v>
      </c>
      <c r="J4820">
        <v>58.5</v>
      </c>
      <c r="K4820">
        <v>525</v>
      </c>
      <c r="L4820">
        <v>224</v>
      </c>
      <c r="M4820">
        <v>826</v>
      </c>
      <c r="N4820">
        <v>4.3</v>
      </c>
      <c r="O4820">
        <v>2.4</v>
      </c>
      <c r="P4820">
        <v>6.2</v>
      </c>
      <c r="Q4820">
        <f t="shared" si="148"/>
        <v>5852490</v>
      </c>
      <c r="R4820">
        <f t="shared" si="149"/>
        <v>8.970540744196061</v>
      </c>
      <c r="U4820">
        <v>619</v>
      </c>
      <c r="V4820">
        <v>264</v>
      </c>
      <c r="W4820">
        <v>973</v>
      </c>
      <c r="X4820">
        <v>711</v>
      </c>
      <c r="Y4820">
        <v>46.5</v>
      </c>
      <c r="Z4820">
        <v>38.5</v>
      </c>
      <c r="AA4820">
        <v>54.6</v>
      </c>
    </row>
    <row r="4821" spans="1:27" x14ac:dyDescent="0.25">
      <c r="A4821" t="s">
        <v>273</v>
      </c>
      <c r="B4821" t="s">
        <v>192</v>
      </c>
      <c r="C4821" s="76">
        <v>43987</v>
      </c>
      <c r="D4821">
        <v>6137</v>
      </c>
      <c r="E4821">
        <v>3524</v>
      </c>
      <c r="F4821">
        <v>8751</v>
      </c>
      <c r="G4821">
        <v>6464</v>
      </c>
      <c r="H4821">
        <v>48.7</v>
      </c>
      <c r="I4821">
        <v>41.2</v>
      </c>
      <c r="J4821">
        <v>56.2</v>
      </c>
      <c r="K4821">
        <v>460</v>
      </c>
      <c r="L4821">
        <v>198</v>
      </c>
      <c r="M4821">
        <v>723</v>
      </c>
      <c r="N4821">
        <v>3.7</v>
      </c>
      <c r="O4821">
        <v>2.1</v>
      </c>
      <c r="P4821">
        <v>5.3</v>
      </c>
      <c r="Q4821">
        <f t="shared" si="148"/>
        <v>5852490</v>
      </c>
      <c r="R4821">
        <f t="shared" si="149"/>
        <v>7.8599023663432144</v>
      </c>
      <c r="U4821">
        <v>786</v>
      </c>
      <c r="V4821">
        <v>383</v>
      </c>
      <c r="W4821">
        <v>1188</v>
      </c>
      <c r="X4821">
        <v>806</v>
      </c>
      <c r="Y4821">
        <v>49.3</v>
      </c>
      <c r="Z4821">
        <v>38.299999999999997</v>
      </c>
      <c r="AA4821">
        <v>60.3</v>
      </c>
    </row>
    <row r="4822" spans="1:27" x14ac:dyDescent="0.25">
      <c r="A4822" t="s">
        <v>273</v>
      </c>
      <c r="B4822" t="s">
        <v>192</v>
      </c>
      <c r="C4822" s="76">
        <v>43988</v>
      </c>
      <c r="D4822">
        <v>6017</v>
      </c>
      <c r="E4822">
        <v>3456</v>
      </c>
      <c r="F4822">
        <v>8578</v>
      </c>
      <c r="G4822">
        <v>6599</v>
      </c>
      <c r="H4822">
        <v>47.7</v>
      </c>
      <c r="I4822">
        <v>40.6</v>
      </c>
      <c r="J4822">
        <v>54.8</v>
      </c>
      <c r="K4822">
        <v>357</v>
      </c>
      <c r="L4822">
        <v>153</v>
      </c>
      <c r="M4822">
        <v>562</v>
      </c>
      <c r="N4822">
        <v>2.8</v>
      </c>
      <c r="O4822">
        <v>1.6</v>
      </c>
      <c r="P4822">
        <v>4</v>
      </c>
      <c r="Q4822">
        <f t="shared" si="148"/>
        <v>5852490</v>
      </c>
      <c r="R4822">
        <f t="shared" si="149"/>
        <v>6.0999677060533211</v>
      </c>
      <c r="U4822">
        <v>768</v>
      </c>
      <c r="V4822">
        <v>377</v>
      </c>
      <c r="W4822">
        <v>1158</v>
      </c>
      <c r="X4822">
        <v>829</v>
      </c>
      <c r="Y4822">
        <v>48</v>
      </c>
      <c r="Z4822">
        <v>36.9</v>
      </c>
      <c r="AA4822">
        <v>59.1</v>
      </c>
    </row>
    <row r="4823" spans="1:27" x14ac:dyDescent="0.25">
      <c r="A4823" t="s">
        <v>273</v>
      </c>
      <c r="B4823" t="s">
        <v>192</v>
      </c>
      <c r="C4823" s="76">
        <v>43989</v>
      </c>
      <c r="D4823">
        <v>6035</v>
      </c>
      <c r="E4823">
        <v>3476</v>
      </c>
      <c r="F4823">
        <v>8595</v>
      </c>
      <c r="G4823">
        <v>6713</v>
      </c>
      <c r="H4823">
        <v>47.3</v>
      </c>
      <c r="I4823">
        <v>40.5</v>
      </c>
      <c r="J4823">
        <v>54.2</v>
      </c>
      <c r="K4823">
        <v>394</v>
      </c>
      <c r="L4823">
        <v>172</v>
      </c>
      <c r="M4823">
        <v>616</v>
      </c>
      <c r="N4823">
        <v>3.1</v>
      </c>
      <c r="O4823">
        <v>1.8</v>
      </c>
      <c r="P4823">
        <v>4.4000000000000004</v>
      </c>
      <c r="Q4823">
        <f t="shared" si="148"/>
        <v>5852490</v>
      </c>
      <c r="R4823">
        <f t="shared" si="149"/>
        <v>6.73217724421571</v>
      </c>
      <c r="U4823">
        <v>760</v>
      </c>
      <c r="V4823">
        <v>379</v>
      </c>
      <c r="W4823">
        <v>1140</v>
      </c>
      <c r="X4823">
        <v>871</v>
      </c>
      <c r="Y4823">
        <v>46.6</v>
      </c>
      <c r="Z4823">
        <v>35.9</v>
      </c>
      <c r="AA4823">
        <v>57.3</v>
      </c>
    </row>
    <row r="4824" spans="1:27" x14ac:dyDescent="0.25">
      <c r="A4824" t="s">
        <v>273</v>
      </c>
      <c r="B4824" t="s">
        <v>192</v>
      </c>
      <c r="C4824" s="76">
        <v>43990</v>
      </c>
      <c r="D4824">
        <v>6175</v>
      </c>
      <c r="E4824">
        <v>3501</v>
      </c>
      <c r="F4824">
        <v>8848</v>
      </c>
      <c r="G4824">
        <v>6432</v>
      </c>
      <c r="H4824">
        <v>49</v>
      </c>
      <c r="I4824">
        <v>41.4</v>
      </c>
      <c r="J4824">
        <v>56.6</v>
      </c>
      <c r="K4824">
        <v>433</v>
      </c>
      <c r="L4824">
        <v>173</v>
      </c>
      <c r="M4824">
        <v>693</v>
      </c>
      <c r="N4824">
        <v>3.4</v>
      </c>
      <c r="O4824">
        <v>1.8</v>
      </c>
      <c r="P4824">
        <v>5</v>
      </c>
      <c r="Q4824">
        <f t="shared" si="148"/>
        <v>5852490</v>
      </c>
      <c r="R4824">
        <f t="shared" si="149"/>
        <v>7.3985602709274172</v>
      </c>
      <c r="U4824">
        <v>669</v>
      </c>
      <c r="V4824">
        <v>334</v>
      </c>
      <c r="W4824">
        <v>1004</v>
      </c>
      <c r="X4824">
        <v>860</v>
      </c>
      <c r="Y4824">
        <v>43.5</v>
      </c>
      <c r="Z4824">
        <v>33.4</v>
      </c>
      <c r="AA4824">
        <v>53.7</v>
      </c>
    </row>
    <row r="4825" spans="1:27" x14ac:dyDescent="0.25">
      <c r="A4825" t="s">
        <v>273</v>
      </c>
      <c r="B4825" t="s">
        <v>192</v>
      </c>
      <c r="C4825" s="76">
        <v>43991</v>
      </c>
      <c r="D4825">
        <v>6625</v>
      </c>
      <c r="E4825">
        <v>3783</v>
      </c>
      <c r="F4825">
        <v>9468</v>
      </c>
      <c r="G4825">
        <v>5834</v>
      </c>
      <c r="H4825">
        <v>53.2</v>
      </c>
      <c r="I4825">
        <v>45.9</v>
      </c>
      <c r="J4825">
        <v>60.4</v>
      </c>
      <c r="K4825">
        <v>454</v>
      </c>
      <c r="L4825">
        <v>197</v>
      </c>
      <c r="M4825">
        <v>711</v>
      </c>
      <c r="N4825">
        <v>3.6</v>
      </c>
      <c r="O4825">
        <v>2.2000000000000002</v>
      </c>
      <c r="P4825">
        <v>5.0999999999999996</v>
      </c>
      <c r="Q4825">
        <f t="shared" si="148"/>
        <v>5852490</v>
      </c>
      <c r="R4825">
        <f t="shared" si="149"/>
        <v>7.7573819006952602</v>
      </c>
      <c r="U4825">
        <v>728</v>
      </c>
      <c r="V4825">
        <v>360</v>
      </c>
      <c r="W4825">
        <v>1095</v>
      </c>
      <c r="X4825">
        <v>819</v>
      </c>
      <c r="Y4825">
        <v>47</v>
      </c>
      <c r="Z4825">
        <v>36.200000000000003</v>
      </c>
      <c r="AA4825">
        <v>57.9</v>
      </c>
    </row>
    <row r="4826" spans="1:27" x14ac:dyDescent="0.25">
      <c r="A4826" t="s">
        <v>273</v>
      </c>
      <c r="B4826" t="s">
        <v>192</v>
      </c>
      <c r="C4826" s="76">
        <v>43992</v>
      </c>
      <c r="D4826">
        <v>5322</v>
      </c>
      <c r="E4826">
        <v>2303</v>
      </c>
      <c r="F4826">
        <v>8341</v>
      </c>
      <c r="G4826">
        <v>5627</v>
      </c>
      <c r="H4826">
        <v>48.6</v>
      </c>
      <c r="I4826">
        <v>40.4</v>
      </c>
      <c r="J4826">
        <v>56.8</v>
      </c>
      <c r="K4826">
        <v>247</v>
      </c>
      <c r="L4826">
        <v>69</v>
      </c>
      <c r="M4826">
        <v>425</v>
      </c>
      <c r="N4826">
        <v>2.2999999999999998</v>
      </c>
      <c r="O4826">
        <v>1.1000000000000001</v>
      </c>
      <c r="P4826">
        <v>3.4</v>
      </c>
      <c r="Q4826">
        <f t="shared" si="148"/>
        <v>5852490</v>
      </c>
      <c r="R4826">
        <f t="shared" si="149"/>
        <v>4.2204258358408131</v>
      </c>
      <c r="U4826">
        <v>611</v>
      </c>
      <c r="V4826">
        <v>242</v>
      </c>
      <c r="W4826">
        <v>980</v>
      </c>
      <c r="X4826">
        <v>773</v>
      </c>
      <c r="Y4826">
        <v>44.1</v>
      </c>
      <c r="Z4826">
        <v>35.700000000000003</v>
      </c>
      <c r="AA4826">
        <v>52.6</v>
      </c>
    </row>
    <row r="4827" spans="1:27" x14ac:dyDescent="0.25">
      <c r="A4827" t="s">
        <v>273</v>
      </c>
      <c r="B4827" t="s">
        <v>192</v>
      </c>
      <c r="C4827" s="76">
        <v>43993</v>
      </c>
      <c r="D4827">
        <v>6542</v>
      </c>
      <c r="E4827">
        <v>3679</v>
      </c>
      <c r="F4827">
        <v>9405</v>
      </c>
      <c r="G4827">
        <v>6049</v>
      </c>
      <c r="H4827">
        <v>52</v>
      </c>
      <c r="I4827">
        <v>43.6</v>
      </c>
      <c r="J4827">
        <v>60.3</v>
      </c>
      <c r="K4827">
        <v>304</v>
      </c>
      <c r="L4827">
        <v>134</v>
      </c>
      <c r="M4827">
        <v>475</v>
      </c>
      <c r="N4827">
        <v>2.4</v>
      </c>
      <c r="O4827">
        <v>1.4</v>
      </c>
      <c r="P4827">
        <v>3.4</v>
      </c>
      <c r="Q4827">
        <f t="shared" si="148"/>
        <v>5852490</v>
      </c>
      <c r="R4827">
        <f t="shared" si="149"/>
        <v>5.1943702594963854</v>
      </c>
      <c r="U4827">
        <v>791</v>
      </c>
      <c r="V4827">
        <v>392</v>
      </c>
      <c r="W4827">
        <v>1190</v>
      </c>
      <c r="X4827">
        <v>828</v>
      </c>
      <c r="Y4827">
        <v>48.9</v>
      </c>
      <c r="Z4827">
        <v>39.299999999999997</v>
      </c>
      <c r="AA4827">
        <v>58.5</v>
      </c>
    </row>
    <row r="4828" spans="1:27" x14ac:dyDescent="0.25">
      <c r="A4828" t="s">
        <v>273</v>
      </c>
      <c r="B4828" t="s">
        <v>192</v>
      </c>
      <c r="C4828" s="76">
        <v>43994</v>
      </c>
      <c r="D4828">
        <v>6613</v>
      </c>
      <c r="E4828">
        <v>3868</v>
      </c>
      <c r="F4828">
        <v>9358</v>
      </c>
      <c r="G4828">
        <v>6052</v>
      </c>
      <c r="H4828">
        <v>52.2</v>
      </c>
      <c r="I4828">
        <v>45.6</v>
      </c>
      <c r="J4828">
        <v>58.8</v>
      </c>
      <c r="K4828">
        <v>433</v>
      </c>
      <c r="L4828">
        <v>166</v>
      </c>
      <c r="M4828">
        <v>700</v>
      </c>
      <c r="N4828">
        <v>3.4</v>
      </c>
      <c r="O4828">
        <v>1.7</v>
      </c>
      <c r="P4828">
        <v>5.0999999999999996</v>
      </c>
      <c r="Q4828">
        <f t="shared" si="148"/>
        <v>5852490</v>
      </c>
      <c r="R4828">
        <f t="shared" si="149"/>
        <v>7.3985602709274172</v>
      </c>
      <c r="U4828">
        <v>718</v>
      </c>
      <c r="V4828">
        <v>344</v>
      </c>
      <c r="W4828">
        <v>1092</v>
      </c>
      <c r="X4828">
        <v>900</v>
      </c>
      <c r="Y4828">
        <v>44.4</v>
      </c>
      <c r="Z4828">
        <v>32.799999999999997</v>
      </c>
      <c r="AA4828">
        <v>56</v>
      </c>
    </row>
    <row r="4829" spans="1:27" x14ac:dyDescent="0.25">
      <c r="A4829" t="s">
        <v>273</v>
      </c>
      <c r="B4829" t="s">
        <v>192</v>
      </c>
      <c r="C4829" s="76">
        <v>43995</v>
      </c>
      <c r="D4829">
        <v>5988</v>
      </c>
      <c r="E4829">
        <v>3314</v>
      </c>
      <c r="F4829">
        <v>8662</v>
      </c>
      <c r="G4829">
        <v>6645</v>
      </c>
      <c r="H4829">
        <v>47.4</v>
      </c>
      <c r="I4829">
        <v>39.299999999999997</v>
      </c>
      <c r="J4829">
        <v>55.5</v>
      </c>
      <c r="K4829">
        <v>194</v>
      </c>
      <c r="L4829">
        <v>84</v>
      </c>
      <c r="M4829">
        <v>304</v>
      </c>
      <c r="N4829">
        <v>1.5</v>
      </c>
      <c r="O4829">
        <v>0.9</v>
      </c>
      <c r="P4829">
        <v>2.2000000000000002</v>
      </c>
      <c r="Q4829">
        <f t="shared" si="148"/>
        <v>5852490</v>
      </c>
      <c r="R4829">
        <f t="shared" si="149"/>
        <v>3.3148283892838779</v>
      </c>
      <c r="U4829">
        <v>675</v>
      </c>
      <c r="V4829">
        <v>311</v>
      </c>
      <c r="W4829">
        <v>1038</v>
      </c>
      <c r="X4829">
        <v>877</v>
      </c>
      <c r="Y4829">
        <v>43.5</v>
      </c>
      <c r="Z4829">
        <v>32.200000000000003</v>
      </c>
      <c r="AA4829">
        <v>54.7</v>
      </c>
    </row>
    <row r="4830" spans="1:27" x14ac:dyDescent="0.25">
      <c r="A4830" t="s">
        <v>273</v>
      </c>
      <c r="B4830" t="s">
        <v>192</v>
      </c>
      <c r="C4830" s="76">
        <v>43996</v>
      </c>
      <c r="D4830">
        <v>5957</v>
      </c>
      <c r="E4830">
        <v>3419</v>
      </c>
      <c r="F4830">
        <v>8494</v>
      </c>
      <c r="G4830">
        <v>6591</v>
      </c>
      <c r="H4830">
        <v>47.5</v>
      </c>
      <c r="I4830">
        <v>40.200000000000003</v>
      </c>
      <c r="J4830">
        <v>54.8</v>
      </c>
      <c r="K4830">
        <v>358</v>
      </c>
      <c r="L4830">
        <v>144</v>
      </c>
      <c r="M4830">
        <v>572</v>
      </c>
      <c r="N4830">
        <v>2.9</v>
      </c>
      <c r="O4830">
        <v>1.5</v>
      </c>
      <c r="P4830">
        <v>4.2</v>
      </c>
      <c r="Q4830">
        <f t="shared" si="148"/>
        <v>5852490</v>
      </c>
      <c r="R4830">
        <f t="shared" si="149"/>
        <v>6.1170544503279798</v>
      </c>
      <c r="U4830">
        <v>704</v>
      </c>
      <c r="V4830">
        <v>337</v>
      </c>
      <c r="W4830">
        <v>1070</v>
      </c>
      <c r="X4830">
        <v>876</v>
      </c>
      <c r="Y4830">
        <v>44.5</v>
      </c>
      <c r="Z4830">
        <v>32.9</v>
      </c>
      <c r="AA4830">
        <v>56.2</v>
      </c>
    </row>
    <row r="4831" spans="1:27" x14ac:dyDescent="0.25">
      <c r="A4831" t="s">
        <v>273</v>
      </c>
      <c r="B4831" t="s">
        <v>192</v>
      </c>
      <c r="C4831" s="76">
        <v>43997</v>
      </c>
      <c r="D4831">
        <v>6290</v>
      </c>
      <c r="E4831">
        <v>3412</v>
      </c>
      <c r="F4831">
        <v>9167</v>
      </c>
      <c r="G4831">
        <v>6457</v>
      </c>
      <c r="H4831">
        <v>49.3</v>
      </c>
      <c r="I4831">
        <v>42.7</v>
      </c>
      <c r="J4831">
        <v>56</v>
      </c>
      <c r="K4831">
        <v>410</v>
      </c>
      <c r="L4831">
        <v>151</v>
      </c>
      <c r="M4831">
        <v>668</v>
      </c>
      <c r="N4831">
        <v>3.2</v>
      </c>
      <c r="O4831">
        <v>1.6</v>
      </c>
      <c r="P4831">
        <v>4.8</v>
      </c>
      <c r="Q4831">
        <f t="shared" si="148"/>
        <v>5852490</v>
      </c>
      <c r="R4831">
        <f t="shared" si="149"/>
        <v>7.0055651526102567</v>
      </c>
      <c r="U4831">
        <v>763</v>
      </c>
      <c r="V4831">
        <v>301</v>
      </c>
      <c r="W4831">
        <v>1225</v>
      </c>
      <c r="X4831">
        <v>815</v>
      </c>
      <c r="Y4831">
        <v>48.4</v>
      </c>
      <c r="Z4831">
        <v>34</v>
      </c>
      <c r="AA4831">
        <v>62.7</v>
      </c>
    </row>
    <row r="4832" spans="1:27" x14ac:dyDescent="0.25">
      <c r="A4832" t="s">
        <v>273</v>
      </c>
      <c r="B4832" t="s">
        <v>192</v>
      </c>
      <c r="C4832" s="76">
        <v>43998</v>
      </c>
      <c r="D4832">
        <v>6127</v>
      </c>
      <c r="E4832">
        <v>3299</v>
      </c>
      <c r="F4832">
        <v>8955</v>
      </c>
      <c r="G4832">
        <v>5894</v>
      </c>
      <c r="H4832">
        <v>51</v>
      </c>
      <c r="I4832">
        <v>43.1</v>
      </c>
      <c r="J4832">
        <v>58.8</v>
      </c>
      <c r="K4832">
        <v>231</v>
      </c>
      <c r="L4832">
        <v>110</v>
      </c>
      <c r="M4832">
        <v>352</v>
      </c>
      <c r="N4832">
        <v>1.9</v>
      </c>
      <c r="O4832">
        <v>1.2</v>
      </c>
      <c r="P4832">
        <v>2.6</v>
      </c>
      <c r="Q4832">
        <f t="shared" si="148"/>
        <v>5852490</v>
      </c>
      <c r="R4832">
        <f t="shared" si="149"/>
        <v>3.9470379274462668</v>
      </c>
      <c r="U4832">
        <v>677</v>
      </c>
      <c r="V4832">
        <v>306</v>
      </c>
      <c r="W4832">
        <v>1049</v>
      </c>
      <c r="X4832">
        <v>728</v>
      </c>
      <c r="Y4832">
        <v>48.2</v>
      </c>
      <c r="Z4832">
        <v>36.700000000000003</v>
      </c>
      <c r="AA4832">
        <v>59.7</v>
      </c>
    </row>
    <row r="4833" spans="1:27" x14ac:dyDescent="0.25">
      <c r="A4833" t="s">
        <v>273</v>
      </c>
      <c r="B4833" t="s">
        <v>192</v>
      </c>
      <c r="C4833" s="76">
        <v>43999</v>
      </c>
      <c r="D4833">
        <v>6498</v>
      </c>
      <c r="E4833">
        <v>3511</v>
      </c>
      <c r="F4833">
        <v>9486</v>
      </c>
      <c r="G4833">
        <v>5742</v>
      </c>
      <c r="H4833">
        <v>53.1</v>
      </c>
      <c r="I4833">
        <v>44.6</v>
      </c>
      <c r="J4833">
        <v>61.6</v>
      </c>
      <c r="K4833">
        <v>186</v>
      </c>
      <c r="L4833">
        <v>87</v>
      </c>
      <c r="M4833">
        <v>285</v>
      </c>
      <c r="N4833">
        <v>1.5</v>
      </c>
      <c r="O4833">
        <v>1</v>
      </c>
      <c r="P4833">
        <v>2.1</v>
      </c>
      <c r="Q4833">
        <f t="shared" si="148"/>
        <v>5852490</v>
      </c>
      <c r="R4833">
        <f t="shared" si="149"/>
        <v>3.1781344350866045</v>
      </c>
      <c r="U4833">
        <v>649</v>
      </c>
      <c r="V4833">
        <v>275</v>
      </c>
      <c r="W4833">
        <v>1022</v>
      </c>
      <c r="X4833">
        <v>755</v>
      </c>
      <c r="Y4833">
        <v>46.2</v>
      </c>
      <c r="Z4833">
        <v>34.5</v>
      </c>
      <c r="AA4833">
        <v>57.9</v>
      </c>
    </row>
    <row r="4834" spans="1:27" x14ac:dyDescent="0.25">
      <c r="A4834" t="s">
        <v>273</v>
      </c>
      <c r="B4834" t="s">
        <v>192</v>
      </c>
      <c r="C4834" s="76">
        <v>44000</v>
      </c>
      <c r="D4834">
        <v>6670</v>
      </c>
      <c r="E4834">
        <v>3729</v>
      </c>
      <c r="F4834">
        <v>9611</v>
      </c>
      <c r="G4834">
        <v>5798</v>
      </c>
      <c r="H4834">
        <v>53.5</v>
      </c>
      <c r="I4834">
        <v>45.9</v>
      </c>
      <c r="J4834">
        <v>61</v>
      </c>
      <c r="K4834">
        <v>273</v>
      </c>
      <c r="L4834">
        <v>109</v>
      </c>
      <c r="M4834">
        <v>437</v>
      </c>
      <c r="N4834">
        <v>2.2000000000000002</v>
      </c>
      <c r="O4834">
        <v>1.2</v>
      </c>
      <c r="P4834">
        <v>3.1</v>
      </c>
      <c r="Q4834">
        <f t="shared" si="148"/>
        <v>5852490</v>
      </c>
      <c r="R4834">
        <f t="shared" si="149"/>
        <v>4.6646811869819516</v>
      </c>
      <c r="U4834">
        <v>680</v>
      </c>
      <c r="V4834">
        <v>319</v>
      </c>
      <c r="W4834">
        <v>1041</v>
      </c>
      <c r="X4834">
        <v>831</v>
      </c>
      <c r="Y4834">
        <v>45</v>
      </c>
      <c r="Z4834">
        <v>33.9</v>
      </c>
      <c r="AA4834">
        <v>56.1</v>
      </c>
    </row>
    <row r="4835" spans="1:27" x14ac:dyDescent="0.25">
      <c r="A4835" t="s">
        <v>273</v>
      </c>
      <c r="B4835" t="s">
        <v>192</v>
      </c>
      <c r="C4835" s="76">
        <v>44001</v>
      </c>
      <c r="D4835">
        <v>6665</v>
      </c>
      <c r="E4835">
        <v>3700</v>
      </c>
      <c r="F4835">
        <v>9630</v>
      </c>
      <c r="G4835">
        <v>5967</v>
      </c>
      <c r="H4835">
        <v>52.8</v>
      </c>
      <c r="I4835">
        <v>43.2</v>
      </c>
      <c r="J4835">
        <v>62.3</v>
      </c>
      <c r="K4835">
        <v>230</v>
      </c>
      <c r="L4835">
        <v>115</v>
      </c>
      <c r="M4835">
        <v>345</v>
      </c>
      <c r="N4835">
        <v>1.8</v>
      </c>
      <c r="O4835">
        <v>1.3</v>
      </c>
      <c r="P4835">
        <v>2.4</v>
      </c>
      <c r="Q4835">
        <f t="shared" si="148"/>
        <v>5852490</v>
      </c>
      <c r="R4835">
        <f t="shared" si="149"/>
        <v>3.9299511831716072</v>
      </c>
      <c r="U4835">
        <v>800</v>
      </c>
      <c r="V4835">
        <v>383</v>
      </c>
      <c r="W4835">
        <v>1217</v>
      </c>
      <c r="X4835">
        <v>794</v>
      </c>
      <c r="Y4835">
        <v>50.2</v>
      </c>
      <c r="Z4835">
        <v>38.299999999999997</v>
      </c>
      <c r="AA4835">
        <v>62.1</v>
      </c>
    </row>
    <row r="4836" spans="1:27" x14ac:dyDescent="0.25">
      <c r="A4836" t="s">
        <v>273</v>
      </c>
      <c r="B4836" t="s">
        <v>192</v>
      </c>
      <c r="C4836" s="76">
        <v>44002</v>
      </c>
      <c r="D4836">
        <v>6397</v>
      </c>
      <c r="E4836">
        <v>3739</v>
      </c>
      <c r="F4836">
        <v>9055</v>
      </c>
      <c r="G4836">
        <v>6142</v>
      </c>
      <c r="H4836">
        <v>51</v>
      </c>
      <c r="I4836">
        <v>44.8</v>
      </c>
      <c r="J4836">
        <v>57.2</v>
      </c>
      <c r="K4836">
        <v>359</v>
      </c>
      <c r="L4836">
        <v>160</v>
      </c>
      <c r="M4836">
        <v>558</v>
      </c>
      <c r="N4836">
        <v>2.9</v>
      </c>
      <c r="O4836">
        <v>1.7</v>
      </c>
      <c r="P4836">
        <v>4.0999999999999996</v>
      </c>
      <c r="Q4836">
        <f t="shared" si="148"/>
        <v>5852490</v>
      </c>
      <c r="R4836">
        <f t="shared" si="149"/>
        <v>6.1341411946026394</v>
      </c>
      <c r="U4836">
        <v>764</v>
      </c>
      <c r="V4836">
        <v>374</v>
      </c>
      <c r="W4836">
        <v>1154</v>
      </c>
      <c r="X4836">
        <v>848</v>
      </c>
      <c r="Y4836">
        <v>47.4</v>
      </c>
      <c r="Z4836">
        <v>37.299999999999997</v>
      </c>
      <c r="AA4836">
        <v>57.4</v>
      </c>
    </row>
    <row r="4837" spans="1:27" x14ac:dyDescent="0.25">
      <c r="A4837" t="s">
        <v>273</v>
      </c>
      <c r="B4837" t="s">
        <v>192</v>
      </c>
      <c r="C4837" s="76">
        <v>44003</v>
      </c>
      <c r="D4837">
        <v>6055</v>
      </c>
      <c r="E4837">
        <v>3535</v>
      </c>
      <c r="F4837">
        <v>8576</v>
      </c>
      <c r="G4837">
        <v>6632</v>
      </c>
      <c r="H4837">
        <v>47.7</v>
      </c>
      <c r="I4837">
        <v>41.3</v>
      </c>
      <c r="J4837">
        <v>54.1</v>
      </c>
      <c r="K4837">
        <v>370</v>
      </c>
      <c r="L4837">
        <v>150</v>
      </c>
      <c r="M4837">
        <v>589</v>
      </c>
      <c r="N4837">
        <v>2.9</v>
      </c>
      <c r="O4837">
        <v>1.5</v>
      </c>
      <c r="P4837">
        <v>4.3</v>
      </c>
      <c r="Q4837">
        <f t="shared" si="148"/>
        <v>5852490</v>
      </c>
      <c r="R4837">
        <f t="shared" si="149"/>
        <v>6.3220953816238907</v>
      </c>
      <c r="U4837">
        <v>759</v>
      </c>
      <c r="V4837">
        <v>384</v>
      </c>
      <c r="W4837">
        <v>1134</v>
      </c>
      <c r="X4837">
        <v>832</v>
      </c>
      <c r="Y4837">
        <v>47.7</v>
      </c>
      <c r="Z4837">
        <v>38.6</v>
      </c>
      <c r="AA4837">
        <v>56.8</v>
      </c>
    </row>
    <row r="4838" spans="1:27" x14ac:dyDescent="0.25">
      <c r="A4838" t="s">
        <v>273</v>
      </c>
      <c r="B4838" t="s">
        <v>192</v>
      </c>
      <c r="C4838" s="76">
        <v>44004</v>
      </c>
      <c r="D4838">
        <v>5888</v>
      </c>
      <c r="E4838">
        <v>3242</v>
      </c>
      <c r="F4838">
        <v>8534</v>
      </c>
      <c r="G4838">
        <v>6617</v>
      </c>
      <c r="H4838">
        <v>47.1</v>
      </c>
      <c r="I4838">
        <v>39.4</v>
      </c>
      <c r="J4838">
        <v>54.8</v>
      </c>
      <c r="K4838">
        <v>215</v>
      </c>
      <c r="L4838">
        <v>76</v>
      </c>
      <c r="M4838">
        <v>354</v>
      </c>
      <c r="N4838">
        <v>1.7</v>
      </c>
      <c r="O4838">
        <v>0.9</v>
      </c>
      <c r="P4838">
        <v>2.6</v>
      </c>
      <c r="Q4838">
        <f t="shared" si="148"/>
        <v>5852490</v>
      </c>
      <c r="R4838">
        <f t="shared" si="149"/>
        <v>3.6736500190517201</v>
      </c>
      <c r="U4838">
        <v>697</v>
      </c>
      <c r="V4838">
        <v>331</v>
      </c>
      <c r="W4838">
        <v>1063</v>
      </c>
      <c r="X4838">
        <v>794</v>
      </c>
      <c r="Y4838">
        <v>46.7</v>
      </c>
      <c r="Z4838">
        <v>35.9</v>
      </c>
      <c r="AA4838">
        <v>57.5</v>
      </c>
    </row>
    <row r="4839" spans="1:27" x14ac:dyDescent="0.25">
      <c r="A4839" t="s">
        <v>273</v>
      </c>
      <c r="B4839" t="s">
        <v>192</v>
      </c>
      <c r="C4839" s="76">
        <v>44005</v>
      </c>
      <c r="D4839">
        <v>6526</v>
      </c>
      <c r="E4839">
        <v>3388</v>
      </c>
      <c r="F4839">
        <v>9664</v>
      </c>
      <c r="G4839">
        <v>6104</v>
      </c>
      <c r="H4839">
        <v>51.7</v>
      </c>
      <c r="I4839">
        <v>44.3</v>
      </c>
      <c r="J4839">
        <v>59.1</v>
      </c>
      <c r="K4839">
        <v>220</v>
      </c>
      <c r="L4839">
        <v>97</v>
      </c>
      <c r="M4839">
        <v>342</v>
      </c>
      <c r="N4839">
        <v>1.7</v>
      </c>
      <c r="O4839">
        <v>1.1000000000000001</v>
      </c>
      <c r="P4839">
        <v>2.4</v>
      </c>
      <c r="Q4839">
        <f t="shared" ref="Q4839:Q4902" si="150">VLOOKUP(B4839,$AE$4:$AF$55,2,FALSE)</f>
        <v>5852490</v>
      </c>
      <c r="R4839">
        <f t="shared" si="149"/>
        <v>3.7590837404250155</v>
      </c>
      <c r="U4839">
        <v>801</v>
      </c>
      <c r="V4839">
        <v>328</v>
      </c>
      <c r="W4839">
        <v>1273</v>
      </c>
      <c r="X4839">
        <v>693</v>
      </c>
      <c r="Y4839">
        <v>53.4</v>
      </c>
      <c r="Z4839">
        <v>40.4</v>
      </c>
      <c r="AA4839">
        <v>66.5</v>
      </c>
    </row>
    <row r="4840" spans="1:27" x14ac:dyDescent="0.25">
      <c r="A4840" t="s">
        <v>273</v>
      </c>
      <c r="B4840" t="s">
        <v>192</v>
      </c>
      <c r="C4840" s="76">
        <v>44006</v>
      </c>
      <c r="D4840">
        <v>5021</v>
      </c>
      <c r="E4840">
        <v>2064</v>
      </c>
      <c r="F4840">
        <v>7978</v>
      </c>
      <c r="G4840">
        <v>5661</v>
      </c>
      <c r="H4840">
        <v>47</v>
      </c>
      <c r="I4840">
        <v>39.299999999999997</v>
      </c>
      <c r="J4840">
        <v>54.7</v>
      </c>
      <c r="K4840">
        <v>186</v>
      </c>
      <c r="L4840">
        <v>56</v>
      </c>
      <c r="M4840">
        <v>316</v>
      </c>
      <c r="N4840">
        <v>1.7</v>
      </c>
      <c r="O4840">
        <v>0.9</v>
      </c>
      <c r="P4840">
        <v>2.6</v>
      </c>
      <c r="Q4840">
        <f t="shared" si="150"/>
        <v>5852490</v>
      </c>
      <c r="R4840">
        <f t="shared" si="149"/>
        <v>3.1781344350866045</v>
      </c>
      <c r="U4840">
        <v>585</v>
      </c>
      <c r="V4840">
        <v>204</v>
      </c>
      <c r="W4840">
        <v>965</v>
      </c>
      <c r="X4840">
        <v>678</v>
      </c>
      <c r="Y4840">
        <v>46.3</v>
      </c>
      <c r="Z4840">
        <v>33.4</v>
      </c>
      <c r="AA4840">
        <v>59.2</v>
      </c>
    </row>
    <row r="4841" spans="1:27" x14ac:dyDescent="0.25">
      <c r="A4841" t="s">
        <v>273</v>
      </c>
      <c r="B4841" t="s">
        <v>192</v>
      </c>
      <c r="C4841" s="76">
        <v>44007</v>
      </c>
      <c r="D4841">
        <v>6793</v>
      </c>
      <c r="E4841">
        <v>3802</v>
      </c>
      <c r="F4841">
        <v>9783</v>
      </c>
      <c r="G4841">
        <v>5706</v>
      </c>
      <c r="H4841">
        <v>54.3</v>
      </c>
      <c r="I4841">
        <v>46</v>
      </c>
      <c r="J4841">
        <v>62.7</v>
      </c>
      <c r="K4841">
        <v>262</v>
      </c>
      <c r="L4841">
        <v>139</v>
      </c>
      <c r="M4841">
        <v>385</v>
      </c>
      <c r="N4841">
        <v>2.1</v>
      </c>
      <c r="O4841">
        <v>1.4</v>
      </c>
      <c r="P4841">
        <v>2.8</v>
      </c>
      <c r="Q4841">
        <f t="shared" si="150"/>
        <v>5852490</v>
      </c>
      <c r="R4841">
        <f t="shared" si="149"/>
        <v>4.4767269999607002</v>
      </c>
      <c r="U4841">
        <v>812</v>
      </c>
      <c r="V4841">
        <v>335</v>
      </c>
      <c r="W4841">
        <v>1290</v>
      </c>
      <c r="X4841">
        <v>820</v>
      </c>
      <c r="Y4841">
        <v>49.8</v>
      </c>
      <c r="Z4841">
        <v>33.200000000000003</v>
      </c>
      <c r="AA4841">
        <v>66.400000000000006</v>
      </c>
    </row>
    <row r="4842" spans="1:27" x14ac:dyDescent="0.25">
      <c r="A4842" t="s">
        <v>273</v>
      </c>
      <c r="B4842" t="s">
        <v>192</v>
      </c>
      <c r="C4842" s="76">
        <v>44008</v>
      </c>
      <c r="D4842">
        <v>6811</v>
      </c>
      <c r="E4842">
        <v>4032</v>
      </c>
      <c r="F4842">
        <v>9591</v>
      </c>
      <c r="G4842">
        <v>5790</v>
      </c>
      <c r="H4842">
        <v>54.1</v>
      </c>
      <c r="I4842">
        <v>47.8</v>
      </c>
      <c r="J4842">
        <v>60.4</v>
      </c>
      <c r="K4842">
        <v>390</v>
      </c>
      <c r="L4842">
        <v>156</v>
      </c>
      <c r="M4842">
        <v>624</v>
      </c>
      <c r="N4842">
        <v>3.1</v>
      </c>
      <c r="O4842">
        <v>1.6</v>
      </c>
      <c r="P4842">
        <v>4.5999999999999996</v>
      </c>
      <c r="Q4842">
        <f t="shared" si="150"/>
        <v>5852490</v>
      </c>
      <c r="R4842">
        <f t="shared" si="149"/>
        <v>6.6638302671170724</v>
      </c>
      <c r="U4842">
        <v>774</v>
      </c>
      <c r="V4842">
        <v>375</v>
      </c>
      <c r="W4842">
        <v>1174</v>
      </c>
      <c r="X4842">
        <v>811</v>
      </c>
      <c r="Y4842">
        <v>48.9</v>
      </c>
      <c r="Z4842">
        <v>37.799999999999997</v>
      </c>
      <c r="AA4842">
        <v>59.9</v>
      </c>
    </row>
    <row r="4843" spans="1:27" x14ac:dyDescent="0.25">
      <c r="A4843" t="s">
        <v>273</v>
      </c>
      <c r="B4843" t="s">
        <v>192</v>
      </c>
      <c r="C4843" s="76">
        <v>44009</v>
      </c>
      <c r="D4843">
        <v>6482</v>
      </c>
      <c r="E4843">
        <v>3531</v>
      </c>
      <c r="F4843">
        <v>9432</v>
      </c>
      <c r="G4843">
        <v>6161</v>
      </c>
      <c r="H4843">
        <v>51.3</v>
      </c>
      <c r="I4843">
        <v>44.6</v>
      </c>
      <c r="J4843">
        <v>58</v>
      </c>
      <c r="K4843">
        <v>378</v>
      </c>
      <c r="L4843">
        <v>144</v>
      </c>
      <c r="M4843">
        <v>613</v>
      </c>
      <c r="N4843">
        <v>3</v>
      </c>
      <c r="O4843">
        <v>1.6</v>
      </c>
      <c r="P4843">
        <v>4.4000000000000004</v>
      </c>
      <c r="Q4843">
        <f t="shared" si="150"/>
        <v>5852490</v>
      </c>
      <c r="R4843">
        <f t="shared" si="149"/>
        <v>6.4587893358211632</v>
      </c>
      <c r="U4843">
        <v>793</v>
      </c>
      <c r="V4843">
        <v>355</v>
      </c>
      <c r="W4843">
        <v>1231</v>
      </c>
      <c r="X4843">
        <v>814</v>
      </c>
      <c r="Y4843">
        <v>49.4</v>
      </c>
      <c r="Z4843">
        <v>36.700000000000003</v>
      </c>
      <c r="AA4843">
        <v>62</v>
      </c>
    </row>
    <row r="4844" spans="1:27" x14ac:dyDescent="0.25">
      <c r="A4844" t="s">
        <v>273</v>
      </c>
      <c r="B4844" t="s">
        <v>192</v>
      </c>
      <c r="C4844" s="76">
        <v>44010</v>
      </c>
      <c r="D4844">
        <v>5715</v>
      </c>
      <c r="E4844">
        <v>3233</v>
      </c>
      <c r="F4844">
        <v>8197</v>
      </c>
      <c r="G4844">
        <v>6917</v>
      </c>
      <c r="H4844">
        <v>45.2</v>
      </c>
      <c r="I4844">
        <v>38.299999999999997</v>
      </c>
      <c r="J4844">
        <v>52.2</v>
      </c>
      <c r="K4844">
        <v>292</v>
      </c>
      <c r="L4844">
        <v>143</v>
      </c>
      <c r="M4844">
        <v>442</v>
      </c>
      <c r="N4844">
        <v>2.2999999999999998</v>
      </c>
      <c r="O4844">
        <v>1.5</v>
      </c>
      <c r="P4844">
        <v>3.1</v>
      </c>
      <c r="Q4844">
        <f t="shared" si="150"/>
        <v>5852490</v>
      </c>
      <c r="R4844">
        <f t="shared" si="149"/>
        <v>4.9893293282004754</v>
      </c>
      <c r="U4844">
        <v>680</v>
      </c>
      <c r="V4844">
        <v>310</v>
      </c>
      <c r="W4844">
        <v>1049</v>
      </c>
      <c r="X4844">
        <v>897</v>
      </c>
      <c r="Y4844">
        <v>43.1</v>
      </c>
      <c r="Z4844">
        <v>31.8</v>
      </c>
      <c r="AA4844">
        <v>54.4</v>
      </c>
    </row>
    <row r="4845" spans="1:27" x14ac:dyDescent="0.25">
      <c r="A4845" t="s">
        <v>273</v>
      </c>
      <c r="B4845" t="s">
        <v>192</v>
      </c>
      <c r="C4845" s="76">
        <v>44011</v>
      </c>
      <c r="D4845">
        <v>6014</v>
      </c>
      <c r="E4845">
        <v>3420</v>
      </c>
      <c r="F4845">
        <v>8608</v>
      </c>
      <c r="G4845">
        <v>6668</v>
      </c>
      <c r="H4845">
        <v>47.4</v>
      </c>
      <c r="I4845">
        <v>39.9</v>
      </c>
      <c r="J4845">
        <v>54.9</v>
      </c>
      <c r="K4845">
        <v>275</v>
      </c>
      <c r="L4845">
        <v>142</v>
      </c>
      <c r="M4845">
        <v>408</v>
      </c>
      <c r="N4845">
        <v>2.2000000000000002</v>
      </c>
      <c r="O4845">
        <v>1.5</v>
      </c>
      <c r="P4845">
        <v>2.9</v>
      </c>
      <c r="Q4845">
        <f t="shared" si="150"/>
        <v>5852490</v>
      </c>
      <c r="R4845">
        <f t="shared" si="149"/>
        <v>4.698854675531269</v>
      </c>
      <c r="U4845">
        <v>709</v>
      </c>
      <c r="V4845">
        <v>346</v>
      </c>
      <c r="W4845">
        <v>1073</v>
      </c>
      <c r="X4845">
        <v>891</v>
      </c>
      <c r="Y4845">
        <v>44.3</v>
      </c>
      <c r="Z4845">
        <v>35.200000000000003</v>
      </c>
      <c r="AA4845">
        <v>53.5</v>
      </c>
    </row>
    <row r="4846" spans="1:27" x14ac:dyDescent="0.25">
      <c r="A4846" t="s">
        <v>273</v>
      </c>
      <c r="B4846" t="s">
        <v>192</v>
      </c>
      <c r="C4846" s="76">
        <v>44012</v>
      </c>
      <c r="D4846">
        <v>6542</v>
      </c>
      <c r="E4846">
        <v>3773</v>
      </c>
      <c r="F4846">
        <v>9311</v>
      </c>
      <c r="G4846">
        <v>6191</v>
      </c>
      <c r="H4846">
        <v>51.4</v>
      </c>
      <c r="I4846">
        <v>44</v>
      </c>
      <c r="J4846">
        <v>58.7</v>
      </c>
      <c r="K4846">
        <v>249</v>
      </c>
      <c r="L4846">
        <v>125</v>
      </c>
      <c r="M4846">
        <v>373</v>
      </c>
      <c r="N4846">
        <v>2</v>
      </c>
      <c r="O4846">
        <v>1.3</v>
      </c>
      <c r="P4846">
        <v>2.6</v>
      </c>
      <c r="Q4846">
        <f t="shared" si="150"/>
        <v>5852490</v>
      </c>
      <c r="R4846">
        <f t="shared" si="149"/>
        <v>4.2545993243901314</v>
      </c>
      <c r="U4846">
        <v>748</v>
      </c>
      <c r="V4846">
        <v>364</v>
      </c>
      <c r="W4846">
        <v>1132</v>
      </c>
      <c r="X4846">
        <v>855</v>
      </c>
      <c r="Y4846">
        <v>46.6</v>
      </c>
      <c r="Z4846">
        <v>37.5</v>
      </c>
      <c r="AA4846">
        <v>55.7</v>
      </c>
    </row>
    <row r="4847" spans="1:27" x14ac:dyDescent="0.25">
      <c r="A4847" t="s">
        <v>273</v>
      </c>
      <c r="B4847" t="s">
        <v>192</v>
      </c>
      <c r="C4847" s="76">
        <v>44013</v>
      </c>
      <c r="D4847">
        <v>6696</v>
      </c>
      <c r="E4847">
        <v>3811</v>
      </c>
      <c r="F4847">
        <v>9581</v>
      </c>
      <c r="G4847">
        <v>6062</v>
      </c>
      <c r="H4847">
        <v>52.5</v>
      </c>
      <c r="I4847">
        <v>44.3</v>
      </c>
      <c r="J4847">
        <v>60.7</v>
      </c>
      <c r="K4847">
        <v>225</v>
      </c>
      <c r="L4847">
        <v>109</v>
      </c>
      <c r="M4847">
        <v>341</v>
      </c>
      <c r="N4847">
        <v>1.8</v>
      </c>
      <c r="O4847">
        <v>1.2</v>
      </c>
      <c r="P4847">
        <v>2.2999999999999998</v>
      </c>
      <c r="Q4847">
        <f t="shared" si="150"/>
        <v>5852490</v>
      </c>
      <c r="R4847">
        <f t="shared" si="149"/>
        <v>3.8445174617983113</v>
      </c>
      <c r="U4847">
        <v>794</v>
      </c>
      <c r="V4847">
        <v>378</v>
      </c>
      <c r="W4847">
        <v>1210</v>
      </c>
      <c r="X4847">
        <v>847</v>
      </c>
      <c r="Y4847">
        <v>48.4</v>
      </c>
      <c r="Z4847">
        <v>38.6</v>
      </c>
      <c r="AA4847">
        <v>58.2</v>
      </c>
    </row>
    <row r="4848" spans="1:27" x14ac:dyDescent="0.25">
      <c r="A4848" t="s">
        <v>273</v>
      </c>
      <c r="B4848" t="s">
        <v>192</v>
      </c>
      <c r="C4848" s="76">
        <v>44014</v>
      </c>
      <c r="D4848">
        <v>6450</v>
      </c>
      <c r="E4848">
        <v>3650</v>
      </c>
      <c r="F4848">
        <v>9249</v>
      </c>
      <c r="G4848">
        <v>5989</v>
      </c>
      <c r="H4848">
        <v>51.9</v>
      </c>
      <c r="I4848">
        <v>44.8</v>
      </c>
      <c r="J4848">
        <v>58.9</v>
      </c>
      <c r="K4848">
        <v>255</v>
      </c>
      <c r="L4848">
        <v>121</v>
      </c>
      <c r="M4848">
        <v>390</v>
      </c>
      <c r="N4848">
        <v>2.1</v>
      </c>
      <c r="O4848">
        <v>1.3</v>
      </c>
      <c r="P4848">
        <v>2.8</v>
      </c>
      <c r="Q4848">
        <f t="shared" si="150"/>
        <v>5852490</v>
      </c>
      <c r="R4848">
        <f t="shared" si="149"/>
        <v>4.3571197900380865</v>
      </c>
      <c r="U4848">
        <v>687</v>
      </c>
      <c r="V4848">
        <v>326</v>
      </c>
      <c r="W4848">
        <v>1048</v>
      </c>
      <c r="X4848">
        <v>833</v>
      </c>
      <c r="Y4848">
        <v>45.2</v>
      </c>
      <c r="Z4848">
        <v>35.9</v>
      </c>
      <c r="AA4848">
        <v>54.4</v>
      </c>
    </row>
    <row r="4849" spans="1:27" x14ac:dyDescent="0.25">
      <c r="A4849" t="s">
        <v>273</v>
      </c>
      <c r="B4849" t="s">
        <v>192</v>
      </c>
      <c r="C4849" s="76">
        <v>44015</v>
      </c>
      <c r="D4849">
        <v>6280</v>
      </c>
      <c r="E4849">
        <v>3587</v>
      </c>
      <c r="F4849">
        <v>8973</v>
      </c>
      <c r="G4849">
        <v>6595</v>
      </c>
      <c r="H4849">
        <v>48.8</v>
      </c>
      <c r="I4849">
        <v>41.5</v>
      </c>
      <c r="J4849">
        <v>56</v>
      </c>
      <c r="K4849">
        <v>249</v>
      </c>
      <c r="L4849">
        <v>126</v>
      </c>
      <c r="M4849">
        <v>372</v>
      </c>
      <c r="N4849">
        <v>1.9</v>
      </c>
      <c r="O4849">
        <v>1.4</v>
      </c>
      <c r="P4849">
        <v>2.5</v>
      </c>
      <c r="Q4849">
        <f t="shared" si="150"/>
        <v>5852490</v>
      </c>
      <c r="R4849">
        <f t="shared" si="149"/>
        <v>4.2545993243901314</v>
      </c>
      <c r="U4849">
        <v>702</v>
      </c>
      <c r="V4849">
        <v>334</v>
      </c>
      <c r="W4849">
        <v>1070</v>
      </c>
      <c r="X4849">
        <v>913</v>
      </c>
      <c r="Y4849">
        <v>43.5</v>
      </c>
      <c r="Z4849">
        <v>33</v>
      </c>
      <c r="AA4849">
        <v>53.9</v>
      </c>
    </row>
    <row r="4850" spans="1:27" x14ac:dyDescent="0.25">
      <c r="A4850" t="s">
        <v>273</v>
      </c>
      <c r="B4850" t="s">
        <v>192</v>
      </c>
      <c r="C4850" s="76">
        <v>44016</v>
      </c>
      <c r="D4850">
        <v>5641</v>
      </c>
      <c r="E4850">
        <v>3159</v>
      </c>
      <c r="F4850">
        <v>8122</v>
      </c>
      <c r="G4850">
        <v>7226</v>
      </c>
      <c r="H4850">
        <v>43.8</v>
      </c>
      <c r="I4850">
        <v>36.4</v>
      </c>
      <c r="J4850">
        <v>51.2</v>
      </c>
      <c r="K4850">
        <v>223</v>
      </c>
      <c r="L4850">
        <v>112</v>
      </c>
      <c r="M4850">
        <v>335</v>
      </c>
      <c r="N4850">
        <v>1.7</v>
      </c>
      <c r="O4850">
        <v>1.2</v>
      </c>
      <c r="P4850">
        <v>2.2999999999999998</v>
      </c>
      <c r="Q4850">
        <f t="shared" si="150"/>
        <v>5852490</v>
      </c>
      <c r="R4850">
        <f t="shared" si="149"/>
        <v>3.8103439732489934</v>
      </c>
      <c r="U4850">
        <v>679</v>
      </c>
      <c r="V4850">
        <v>319</v>
      </c>
      <c r="W4850">
        <v>1040</v>
      </c>
      <c r="X4850">
        <v>932</v>
      </c>
      <c r="Y4850">
        <v>42.2</v>
      </c>
      <c r="Z4850">
        <v>31.3</v>
      </c>
      <c r="AA4850">
        <v>53</v>
      </c>
    </row>
    <row r="4851" spans="1:27" x14ac:dyDescent="0.25">
      <c r="A4851" t="s">
        <v>273</v>
      </c>
      <c r="B4851" t="s">
        <v>192</v>
      </c>
      <c r="C4851" s="76">
        <v>44017</v>
      </c>
      <c r="D4851">
        <v>5725</v>
      </c>
      <c r="E4851">
        <v>3190</v>
      </c>
      <c r="F4851">
        <v>8260</v>
      </c>
      <c r="G4851">
        <v>7150</v>
      </c>
      <c r="H4851">
        <v>44.5</v>
      </c>
      <c r="I4851">
        <v>36.5</v>
      </c>
      <c r="J4851">
        <v>52.4</v>
      </c>
      <c r="K4851">
        <v>231</v>
      </c>
      <c r="L4851">
        <v>105</v>
      </c>
      <c r="M4851">
        <v>357</v>
      </c>
      <c r="N4851">
        <v>1.8</v>
      </c>
      <c r="O4851">
        <v>1.2</v>
      </c>
      <c r="P4851">
        <v>2.4</v>
      </c>
      <c r="Q4851">
        <f t="shared" si="150"/>
        <v>5852490</v>
      </c>
      <c r="R4851">
        <f t="shared" si="149"/>
        <v>3.9470379274462668</v>
      </c>
      <c r="U4851">
        <v>645</v>
      </c>
      <c r="V4851">
        <v>308</v>
      </c>
      <c r="W4851">
        <v>983</v>
      </c>
      <c r="X4851">
        <v>967</v>
      </c>
      <c r="Y4851">
        <v>40</v>
      </c>
      <c r="Z4851">
        <v>29.9</v>
      </c>
      <c r="AA4851">
        <v>50.1</v>
      </c>
    </row>
    <row r="4852" spans="1:27" x14ac:dyDescent="0.25">
      <c r="A4852" t="s">
        <v>273</v>
      </c>
      <c r="B4852" t="s">
        <v>192</v>
      </c>
      <c r="C4852" s="76">
        <v>44018</v>
      </c>
      <c r="D4852">
        <v>5872</v>
      </c>
      <c r="E4852">
        <v>3271</v>
      </c>
      <c r="F4852">
        <v>8473</v>
      </c>
      <c r="G4852">
        <v>6489</v>
      </c>
      <c r="H4852">
        <v>47.5</v>
      </c>
      <c r="I4852">
        <v>39.4</v>
      </c>
      <c r="J4852">
        <v>55.6</v>
      </c>
      <c r="K4852">
        <v>302</v>
      </c>
      <c r="L4852">
        <v>137</v>
      </c>
      <c r="M4852">
        <v>468</v>
      </c>
      <c r="N4852">
        <v>2.4</v>
      </c>
      <c r="O4852">
        <v>1.5</v>
      </c>
      <c r="P4852">
        <v>3.4</v>
      </c>
      <c r="Q4852">
        <f t="shared" si="150"/>
        <v>5852490</v>
      </c>
      <c r="R4852">
        <f t="shared" si="149"/>
        <v>5.1601967709470671</v>
      </c>
      <c r="U4852">
        <v>598</v>
      </c>
      <c r="V4852">
        <v>278</v>
      </c>
      <c r="W4852">
        <v>918</v>
      </c>
      <c r="X4852">
        <v>922</v>
      </c>
      <c r="Y4852">
        <v>39.299999999999997</v>
      </c>
      <c r="Z4852">
        <v>28.3</v>
      </c>
      <c r="AA4852">
        <v>50.4</v>
      </c>
    </row>
    <row r="4853" spans="1:27" x14ac:dyDescent="0.25">
      <c r="A4853" t="s">
        <v>273</v>
      </c>
      <c r="B4853" t="s">
        <v>192</v>
      </c>
      <c r="C4853" s="76">
        <v>44019</v>
      </c>
      <c r="D4853">
        <v>6748</v>
      </c>
      <c r="E4853">
        <v>3868</v>
      </c>
      <c r="F4853">
        <v>9628</v>
      </c>
      <c r="G4853">
        <v>6133</v>
      </c>
      <c r="H4853">
        <v>52.4</v>
      </c>
      <c r="I4853">
        <v>44.4</v>
      </c>
      <c r="J4853">
        <v>60.3</v>
      </c>
      <c r="K4853">
        <v>364</v>
      </c>
      <c r="L4853">
        <v>182</v>
      </c>
      <c r="M4853">
        <v>546</v>
      </c>
      <c r="N4853">
        <v>2.8</v>
      </c>
      <c r="O4853">
        <v>1.9</v>
      </c>
      <c r="P4853">
        <v>3.8</v>
      </c>
      <c r="Q4853">
        <f t="shared" si="150"/>
        <v>5852490</v>
      </c>
      <c r="R4853">
        <f t="shared" si="149"/>
        <v>6.2195749159759348</v>
      </c>
      <c r="U4853">
        <v>771</v>
      </c>
      <c r="V4853">
        <v>372</v>
      </c>
      <c r="W4853">
        <v>1170</v>
      </c>
      <c r="X4853">
        <v>844</v>
      </c>
      <c r="Y4853">
        <v>47.7</v>
      </c>
      <c r="Z4853">
        <v>36.6</v>
      </c>
      <c r="AA4853">
        <v>58.8</v>
      </c>
    </row>
    <row r="4854" spans="1:27" x14ac:dyDescent="0.25">
      <c r="A4854" t="s">
        <v>274</v>
      </c>
      <c r="B4854" t="s">
        <v>211</v>
      </c>
      <c r="C4854" s="76">
        <v>43936</v>
      </c>
      <c r="D4854">
        <v>3418</v>
      </c>
      <c r="E4854">
        <v>1979</v>
      </c>
      <c r="F4854">
        <v>4856</v>
      </c>
      <c r="G4854">
        <v>3123</v>
      </c>
      <c r="H4854">
        <v>52.2</v>
      </c>
      <c r="I4854">
        <v>47.3</v>
      </c>
      <c r="J4854">
        <v>57.2</v>
      </c>
      <c r="K4854">
        <v>220</v>
      </c>
      <c r="L4854">
        <v>112</v>
      </c>
      <c r="M4854">
        <v>327</v>
      </c>
      <c r="N4854">
        <v>3.4</v>
      </c>
      <c r="O4854">
        <v>2.5</v>
      </c>
      <c r="P4854">
        <v>4.2</v>
      </c>
      <c r="Q4854">
        <f t="shared" si="150"/>
        <v>1767859</v>
      </c>
      <c r="R4854">
        <f t="shared" si="149"/>
        <v>12.444431371506438</v>
      </c>
      <c r="U4854">
        <v>517</v>
      </c>
      <c r="V4854">
        <v>243</v>
      </c>
      <c r="W4854">
        <v>792</v>
      </c>
      <c r="X4854">
        <v>341</v>
      </c>
      <c r="Y4854">
        <v>60.2</v>
      </c>
      <c r="Z4854">
        <v>53.7</v>
      </c>
      <c r="AA4854">
        <v>66.8</v>
      </c>
    </row>
    <row r="4855" spans="1:27" x14ac:dyDescent="0.25">
      <c r="A4855" t="s">
        <v>274</v>
      </c>
      <c r="B4855" t="s">
        <v>211</v>
      </c>
      <c r="C4855" s="76">
        <v>43937</v>
      </c>
      <c r="D4855">
        <v>3359</v>
      </c>
      <c r="E4855">
        <v>1926</v>
      </c>
      <c r="F4855">
        <v>4793</v>
      </c>
      <c r="G4855">
        <v>3189</v>
      </c>
      <c r="H4855">
        <v>51.3</v>
      </c>
      <c r="I4855">
        <v>46.2</v>
      </c>
      <c r="J4855">
        <v>56.4</v>
      </c>
      <c r="K4855">
        <v>216</v>
      </c>
      <c r="L4855">
        <v>112</v>
      </c>
      <c r="M4855">
        <v>320</v>
      </c>
      <c r="N4855">
        <v>3.3</v>
      </c>
      <c r="O4855">
        <v>2.5</v>
      </c>
      <c r="P4855">
        <v>4.0999999999999996</v>
      </c>
      <c r="Q4855">
        <f t="shared" si="150"/>
        <v>1767859</v>
      </c>
      <c r="R4855">
        <f t="shared" si="149"/>
        <v>12.218168982933594</v>
      </c>
      <c r="U4855">
        <v>533</v>
      </c>
      <c r="V4855">
        <v>257</v>
      </c>
      <c r="W4855">
        <v>809</v>
      </c>
      <c r="X4855">
        <v>329</v>
      </c>
      <c r="Y4855">
        <v>61.9</v>
      </c>
      <c r="Z4855">
        <v>54.8</v>
      </c>
      <c r="AA4855">
        <v>68.900000000000006</v>
      </c>
    </row>
    <row r="4856" spans="1:27" x14ac:dyDescent="0.25">
      <c r="A4856" t="s">
        <v>274</v>
      </c>
      <c r="B4856" t="s">
        <v>211</v>
      </c>
      <c r="C4856" s="76">
        <v>43938</v>
      </c>
      <c r="D4856">
        <v>3457</v>
      </c>
      <c r="E4856">
        <v>1997</v>
      </c>
      <c r="F4856">
        <v>4916</v>
      </c>
      <c r="G4856">
        <v>3122</v>
      </c>
      <c r="H4856">
        <v>52.5</v>
      </c>
      <c r="I4856">
        <v>47.6</v>
      </c>
      <c r="J4856">
        <v>57.5</v>
      </c>
      <c r="K4856">
        <v>226</v>
      </c>
      <c r="L4856">
        <v>109</v>
      </c>
      <c r="M4856">
        <v>344</v>
      </c>
      <c r="N4856">
        <v>3.4</v>
      </c>
      <c r="O4856">
        <v>2.4</v>
      </c>
      <c r="P4856">
        <v>4.5</v>
      </c>
      <c r="Q4856">
        <f t="shared" si="150"/>
        <v>1767859</v>
      </c>
      <c r="R4856">
        <f t="shared" si="149"/>
        <v>12.783824954365706</v>
      </c>
      <c r="U4856">
        <v>544</v>
      </c>
      <c r="V4856">
        <v>260</v>
      </c>
      <c r="W4856">
        <v>828</v>
      </c>
      <c r="X4856">
        <v>339</v>
      </c>
      <c r="Y4856">
        <v>61.6</v>
      </c>
      <c r="Z4856">
        <v>53.5</v>
      </c>
      <c r="AA4856">
        <v>69.8</v>
      </c>
    </row>
    <row r="4857" spans="1:27" x14ac:dyDescent="0.25">
      <c r="A4857" t="s">
        <v>274</v>
      </c>
      <c r="B4857" t="s">
        <v>211</v>
      </c>
      <c r="C4857" s="76">
        <v>43939</v>
      </c>
      <c r="D4857">
        <v>3387</v>
      </c>
      <c r="E4857">
        <v>1838</v>
      </c>
      <c r="F4857">
        <v>4937</v>
      </c>
      <c r="G4857">
        <v>3133</v>
      </c>
      <c r="H4857">
        <v>51.9</v>
      </c>
      <c r="I4857">
        <v>43.7</v>
      </c>
      <c r="J4857">
        <v>60.2</v>
      </c>
      <c r="K4857">
        <v>284</v>
      </c>
      <c r="L4857">
        <v>133</v>
      </c>
      <c r="M4857">
        <v>436</v>
      </c>
      <c r="N4857">
        <v>4.4000000000000004</v>
      </c>
      <c r="O4857">
        <v>3.2</v>
      </c>
      <c r="P4857">
        <v>5.5</v>
      </c>
      <c r="Q4857">
        <f t="shared" si="150"/>
        <v>1767859</v>
      </c>
      <c r="R4857">
        <f t="shared" si="149"/>
        <v>16.064629588671949</v>
      </c>
      <c r="U4857">
        <v>537</v>
      </c>
      <c r="V4857">
        <v>244</v>
      </c>
      <c r="W4857">
        <v>829</v>
      </c>
      <c r="X4857">
        <v>345</v>
      </c>
      <c r="Y4857">
        <v>60.9</v>
      </c>
      <c r="Z4857">
        <v>52.2</v>
      </c>
      <c r="AA4857">
        <v>69.5</v>
      </c>
    </row>
    <row r="4858" spans="1:27" x14ac:dyDescent="0.25">
      <c r="A4858" t="s">
        <v>274</v>
      </c>
      <c r="B4858" t="s">
        <v>211</v>
      </c>
      <c r="C4858" s="76">
        <v>43940</v>
      </c>
      <c r="D4858">
        <v>3361</v>
      </c>
      <c r="E4858">
        <v>1916</v>
      </c>
      <c r="F4858">
        <v>4806</v>
      </c>
      <c r="G4858">
        <v>3151</v>
      </c>
      <c r="H4858">
        <v>51.6</v>
      </c>
      <c r="I4858">
        <v>46</v>
      </c>
      <c r="J4858">
        <v>57.2</v>
      </c>
      <c r="K4858">
        <v>254</v>
      </c>
      <c r="L4858">
        <v>126</v>
      </c>
      <c r="M4858">
        <v>382</v>
      </c>
      <c r="N4858">
        <v>3.9</v>
      </c>
      <c r="O4858">
        <v>2.8</v>
      </c>
      <c r="P4858">
        <v>5</v>
      </c>
      <c r="Q4858">
        <f t="shared" si="150"/>
        <v>1767859</v>
      </c>
      <c r="R4858">
        <f t="shared" si="149"/>
        <v>14.367661674375617</v>
      </c>
      <c r="U4858">
        <v>544</v>
      </c>
      <c r="V4858">
        <v>269</v>
      </c>
      <c r="W4858">
        <v>820</v>
      </c>
      <c r="X4858">
        <v>330</v>
      </c>
      <c r="Y4858">
        <v>62.2</v>
      </c>
      <c r="Z4858">
        <v>54.8</v>
      </c>
      <c r="AA4858">
        <v>69.7</v>
      </c>
    </row>
    <row r="4859" spans="1:27" x14ac:dyDescent="0.25">
      <c r="A4859" t="s">
        <v>274</v>
      </c>
      <c r="B4859" t="s">
        <v>211</v>
      </c>
      <c r="C4859" s="76">
        <v>43941</v>
      </c>
      <c r="D4859">
        <v>3548</v>
      </c>
      <c r="E4859">
        <v>2013</v>
      </c>
      <c r="F4859">
        <v>5083</v>
      </c>
      <c r="G4859">
        <v>2978</v>
      </c>
      <c r="H4859">
        <v>54.4</v>
      </c>
      <c r="I4859">
        <v>48.6</v>
      </c>
      <c r="J4859">
        <v>60.1</v>
      </c>
      <c r="K4859">
        <v>309</v>
      </c>
      <c r="L4859">
        <v>145</v>
      </c>
      <c r="M4859">
        <v>473</v>
      </c>
      <c r="N4859">
        <v>4.7</v>
      </c>
      <c r="O4859">
        <v>3.4</v>
      </c>
      <c r="P4859">
        <v>6.1</v>
      </c>
      <c r="Q4859">
        <f t="shared" si="150"/>
        <v>1767859</v>
      </c>
      <c r="R4859">
        <f t="shared" si="149"/>
        <v>17.478769517252225</v>
      </c>
      <c r="U4859">
        <v>538</v>
      </c>
      <c r="V4859">
        <v>271</v>
      </c>
      <c r="W4859">
        <v>804</v>
      </c>
      <c r="X4859">
        <v>341</v>
      </c>
      <c r="Y4859">
        <v>61.2</v>
      </c>
      <c r="Z4859">
        <v>51.6</v>
      </c>
      <c r="AA4859">
        <v>70.8</v>
      </c>
    </row>
    <row r="4860" spans="1:27" x14ac:dyDescent="0.25">
      <c r="A4860" t="s">
        <v>274</v>
      </c>
      <c r="B4860" t="s">
        <v>211</v>
      </c>
      <c r="C4860" s="76">
        <v>43942</v>
      </c>
      <c r="D4860">
        <v>3637</v>
      </c>
      <c r="E4860">
        <v>2064</v>
      </c>
      <c r="F4860">
        <v>5210</v>
      </c>
      <c r="G4860">
        <v>2872</v>
      </c>
      <c r="H4860">
        <v>55.9</v>
      </c>
      <c r="I4860">
        <v>50</v>
      </c>
      <c r="J4860">
        <v>61.7</v>
      </c>
      <c r="K4860">
        <v>290</v>
      </c>
      <c r="L4860">
        <v>140</v>
      </c>
      <c r="M4860">
        <v>441</v>
      </c>
      <c r="N4860">
        <v>4.5</v>
      </c>
      <c r="O4860">
        <v>3.1</v>
      </c>
      <c r="P4860">
        <v>5.8</v>
      </c>
      <c r="Q4860">
        <f t="shared" si="150"/>
        <v>1767859</v>
      </c>
      <c r="R4860">
        <f t="shared" si="149"/>
        <v>16.404023171531215</v>
      </c>
      <c r="U4860">
        <v>542</v>
      </c>
      <c r="V4860">
        <v>277</v>
      </c>
      <c r="W4860">
        <v>807</v>
      </c>
      <c r="X4860">
        <v>331</v>
      </c>
      <c r="Y4860">
        <v>62.1</v>
      </c>
      <c r="Z4860">
        <v>51.8</v>
      </c>
      <c r="AA4860">
        <v>72.5</v>
      </c>
    </row>
    <row r="4861" spans="1:27" x14ac:dyDescent="0.25">
      <c r="A4861" t="s">
        <v>274</v>
      </c>
      <c r="B4861" t="s">
        <v>211</v>
      </c>
      <c r="C4861" s="76">
        <v>43943</v>
      </c>
      <c r="D4861">
        <v>3674</v>
      </c>
      <c r="E4861">
        <v>2092</v>
      </c>
      <c r="F4861">
        <v>5257</v>
      </c>
      <c r="G4861">
        <v>2805</v>
      </c>
      <c r="H4861">
        <v>56.7</v>
      </c>
      <c r="I4861">
        <v>50.9</v>
      </c>
      <c r="J4861">
        <v>62.5</v>
      </c>
      <c r="K4861">
        <v>254</v>
      </c>
      <c r="L4861">
        <v>112</v>
      </c>
      <c r="M4861">
        <v>397</v>
      </c>
      <c r="N4861">
        <v>3.9</v>
      </c>
      <c r="O4861">
        <v>2.5</v>
      </c>
      <c r="P4861">
        <v>5.3</v>
      </c>
      <c r="Q4861">
        <f t="shared" si="150"/>
        <v>1767859</v>
      </c>
      <c r="R4861">
        <f t="shared" si="149"/>
        <v>14.367661674375617</v>
      </c>
      <c r="U4861">
        <v>548</v>
      </c>
      <c r="V4861">
        <v>267</v>
      </c>
      <c r="W4861">
        <v>829</v>
      </c>
      <c r="X4861">
        <v>316</v>
      </c>
      <c r="Y4861">
        <v>63.4</v>
      </c>
      <c r="Z4861">
        <v>52.6</v>
      </c>
      <c r="AA4861">
        <v>74.2</v>
      </c>
    </row>
    <row r="4862" spans="1:27" x14ac:dyDescent="0.25">
      <c r="A4862" t="s">
        <v>274</v>
      </c>
      <c r="B4862" t="s">
        <v>211</v>
      </c>
      <c r="C4862" s="76">
        <v>43944</v>
      </c>
      <c r="D4862">
        <v>3699</v>
      </c>
      <c r="E4862">
        <v>2075</v>
      </c>
      <c r="F4862">
        <v>5324</v>
      </c>
      <c r="G4862">
        <v>2790</v>
      </c>
      <c r="H4862">
        <v>57</v>
      </c>
      <c r="I4862">
        <v>51.1</v>
      </c>
      <c r="J4862">
        <v>62.9</v>
      </c>
      <c r="K4862">
        <v>229</v>
      </c>
      <c r="L4862">
        <v>104</v>
      </c>
      <c r="M4862">
        <v>355</v>
      </c>
      <c r="N4862">
        <v>3.5</v>
      </c>
      <c r="O4862">
        <v>2.2000000000000002</v>
      </c>
      <c r="P4862">
        <v>4.8</v>
      </c>
      <c r="Q4862">
        <f t="shared" si="150"/>
        <v>1767859</v>
      </c>
      <c r="R4862">
        <f t="shared" si="149"/>
        <v>12.953521745795337</v>
      </c>
      <c r="U4862">
        <v>598</v>
      </c>
      <c r="V4862">
        <v>265</v>
      </c>
      <c r="W4862">
        <v>931</v>
      </c>
      <c r="X4862">
        <v>266</v>
      </c>
      <c r="Y4862">
        <v>69.2</v>
      </c>
      <c r="Z4862">
        <v>60.7</v>
      </c>
      <c r="AA4862">
        <v>77.599999999999994</v>
      </c>
    </row>
    <row r="4863" spans="1:27" x14ac:dyDescent="0.25">
      <c r="A4863" t="s">
        <v>274</v>
      </c>
      <c r="B4863" t="s">
        <v>211</v>
      </c>
      <c r="C4863" s="76">
        <v>43945</v>
      </c>
      <c r="D4863">
        <v>3650</v>
      </c>
      <c r="E4863">
        <v>2045</v>
      </c>
      <c r="F4863">
        <v>5255</v>
      </c>
      <c r="G4863">
        <v>2860</v>
      </c>
      <c r="H4863">
        <v>56.1</v>
      </c>
      <c r="I4863">
        <v>50.5</v>
      </c>
      <c r="J4863">
        <v>61.7</v>
      </c>
      <c r="K4863">
        <v>239</v>
      </c>
      <c r="L4863">
        <v>116</v>
      </c>
      <c r="M4863">
        <v>363</v>
      </c>
      <c r="N4863">
        <v>3.7</v>
      </c>
      <c r="O4863">
        <v>2.4</v>
      </c>
      <c r="P4863">
        <v>4.9000000000000004</v>
      </c>
      <c r="Q4863">
        <f t="shared" si="150"/>
        <v>1767859</v>
      </c>
      <c r="R4863">
        <f t="shared" si="149"/>
        <v>13.519177717227448</v>
      </c>
      <c r="U4863">
        <v>620</v>
      </c>
      <c r="V4863">
        <v>271</v>
      </c>
      <c r="W4863">
        <v>968</v>
      </c>
      <c r="X4863">
        <v>238</v>
      </c>
      <c r="Y4863">
        <v>72.3</v>
      </c>
      <c r="Z4863">
        <v>62.7</v>
      </c>
      <c r="AA4863">
        <v>81.900000000000006</v>
      </c>
    </row>
    <row r="4864" spans="1:27" x14ac:dyDescent="0.25">
      <c r="A4864" t="s">
        <v>274</v>
      </c>
      <c r="B4864" t="s">
        <v>211</v>
      </c>
      <c r="C4864" s="76">
        <v>43946</v>
      </c>
      <c r="D4864">
        <v>3511</v>
      </c>
      <c r="E4864">
        <v>1945</v>
      </c>
      <c r="F4864">
        <v>5077</v>
      </c>
      <c r="G4864">
        <v>3031</v>
      </c>
      <c r="H4864">
        <v>53.7</v>
      </c>
      <c r="I4864">
        <v>47.6</v>
      </c>
      <c r="J4864">
        <v>59.8</v>
      </c>
      <c r="K4864">
        <v>192</v>
      </c>
      <c r="L4864">
        <v>94</v>
      </c>
      <c r="M4864">
        <v>290</v>
      </c>
      <c r="N4864">
        <v>2.9</v>
      </c>
      <c r="O4864">
        <v>2</v>
      </c>
      <c r="P4864">
        <v>3.9</v>
      </c>
      <c r="Q4864">
        <f t="shared" si="150"/>
        <v>1767859</v>
      </c>
      <c r="R4864">
        <f t="shared" si="149"/>
        <v>10.860594651496527</v>
      </c>
      <c r="U4864">
        <v>593</v>
      </c>
      <c r="V4864">
        <v>273</v>
      </c>
      <c r="W4864">
        <v>912</v>
      </c>
      <c r="X4864">
        <v>287</v>
      </c>
      <c r="Y4864">
        <v>67.3</v>
      </c>
      <c r="Z4864">
        <v>58.3</v>
      </c>
      <c r="AA4864">
        <v>76.400000000000006</v>
      </c>
    </row>
    <row r="4865" spans="1:27" x14ac:dyDescent="0.25">
      <c r="A4865" t="s">
        <v>274</v>
      </c>
      <c r="B4865" t="s">
        <v>211</v>
      </c>
      <c r="C4865" s="76">
        <v>43947</v>
      </c>
      <c r="D4865">
        <v>3565</v>
      </c>
      <c r="E4865">
        <v>1986</v>
      </c>
      <c r="F4865">
        <v>5144</v>
      </c>
      <c r="G4865">
        <v>2977</v>
      </c>
      <c r="H4865">
        <v>54.5</v>
      </c>
      <c r="I4865">
        <v>48.5</v>
      </c>
      <c r="J4865">
        <v>60.5</v>
      </c>
      <c r="K4865">
        <v>206</v>
      </c>
      <c r="L4865">
        <v>91</v>
      </c>
      <c r="M4865">
        <v>320</v>
      </c>
      <c r="N4865">
        <v>3.1</v>
      </c>
      <c r="O4865">
        <v>2.1</v>
      </c>
      <c r="P4865">
        <v>4.2</v>
      </c>
      <c r="Q4865">
        <f t="shared" si="150"/>
        <v>1767859</v>
      </c>
      <c r="R4865">
        <f t="shared" si="149"/>
        <v>11.652513011501483</v>
      </c>
      <c r="U4865">
        <v>581</v>
      </c>
      <c r="V4865">
        <v>268</v>
      </c>
      <c r="W4865">
        <v>893</v>
      </c>
      <c r="X4865">
        <v>297</v>
      </c>
      <c r="Y4865">
        <v>66.099999999999994</v>
      </c>
      <c r="Z4865">
        <v>59.8</v>
      </c>
      <c r="AA4865">
        <v>72.5</v>
      </c>
    </row>
    <row r="4866" spans="1:27" x14ac:dyDescent="0.25">
      <c r="A4866" t="s">
        <v>274</v>
      </c>
      <c r="B4866" t="s">
        <v>211</v>
      </c>
      <c r="C4866" s="76">
        <v>43948</v>
      </c>
      <c r="D4866">
        <v>3652</v>
      </c>
      <c r="E4866">
        <v>2043</v>
      </c>
      <c r="F4866">
        <v>5261</v>
      </c>
      <c r="G4866">
        <v>2821</v>
      </c>
      <c r="H4866">
        <v>56.4</v>
      </c>
      <c r="I4866">
        <v>50.4</v>
      </c>
      <c r="J4866">
        <v>62.4</v>
      </c>
      <c r="K4866">
        <v>207</v>
      </c>
      <c r="L4866">
        <v>91</v>
      </c>
      <c r="M4866">
        <v>323</v>
      </c>
      <c r="N4866">
        <v>3.2</v>
      </c>
      <c r="O4866">
        <v>2</v>
      </c>
      <c r="P4866">
        <v>4.4000000000000004</v>
      </c>
      <c r="Q4866">
        <f t="shared" si="150"/>
        <v>1767859</v>
      </c>
      <c r="R4866">
        <f t="shared" si="149"/>
        <v>11.709078608644694</v>
      </c>
      <c r="U4866">
        <v>564</v>
      </c>
      <c r="V4866">
        <v>250</v>
      </c>
      <c r="W4866">
        <v>878</v>
      </c>
      <c r="X4866">
        <v>299</v>
      </c>
      <c r="Y4866">
        <v>65.3</v>
      </c>
      <c r="Z4866">
        <v>57.7</v>
      </c>
      <c r="AA4866">
        <v>72.900000000000006</v>
      </c>
    </row>
    <row r="4867" spans="1:27" x14ac:dyDescent="0.25">
      <c r="A4867" t="s">
        <v>274</v>
      </c>
      <c r="B4867" t="s">
        <v>211</v>
      </c>
      <c r="C4867" s="76">
        <v>43949</v>
      </c>
      <c r="D4867">
        <v>3615</v>
      </c>
      <c r="E4867">
        <v>2064</v>
      </c>
      <c r="F4867">
        <v>5167</v>
      </c>
      <c r="G4867">
        <v>2788</v>
      </c>
      <c r="H4867">
        <v>56.5</v>
      </c>
      <c r="I4867">
        <v>48.3</v>
      </c>
      <c r="J4867">
        <v>64.599999999999994</v>
      </c>
      <c r="K4867">
        <v>281</v>
      </c>
      <c r="L4867">
        <v>137</v>
      </c>
      <c r="M4867">
        <v>425</v>
      </c>
      <c r="N4867">
        <v>4.4000000000000004</v>
      </c>
      <c r="O4867">
        <v>3</v>
      </c>
      <c r="P4867">
        <v>5.8</v>
      </c>
      <c r="Q4867">
        <f t="shared" si="150"/>
        <v>1767859</v>
      </c>
      <c r="R4867">
        <f t="shared" si="149"/>
        <v>15.894932797242314</v>
      </c>
      <c r="U4867">
        <v>560</v>
      </c>
      <c r="V4867">
        <v>250</v>
      </c>
      <c r="W4867">
        <v>870</v>
      </c>
      <c r="X4867">
        <v>308</v>
      </c>
      <c r="Y4867">
        <v>64.5</v>
      </c>
      <c r="Z4867">
        <v>56.2</v>
      </c>
      <c r="AA4867">
        <v>72.900000000000006</v>
      </c>
    </row>
    <row r="4868" spans="1:27" x14ac:dyDescent="0.25">
      <c r="A4868" t="s">
        <v>274</v>
      </c>
      <c r="B4868" t="s">
        <v>211</v>
      </c>
      <c r="C4868" s="76">
        <v>43950</v>
      </c>
      <c r="D4868">
        <v>3729</v>
      </c>
      <c r="E4868">
        <v>2134</v>
      </c>
      <c r="F4868">
        <v>5323</v>
      </c>
      <c r="G4868">
        <v>2658</v>
      </c>
      <c r="H4868">
        <v>58.4</v>
      </c>
      <c r="I4868">
        <v>52.8</v>
      </c>
      <c r="J4868">
        <v>63.9</v>
      </c>
      <c r="K4868">
        <v>190</v>
      </c>
      <c r="L4868">
        <v>83</v>
      </c>
      <c r="M4868">
        <v>297</v>
      </c>
      <c r="N4868">
        <v>3</v>
      </c>
      <c r="O4868">
        <v>1.7</v>
      </c>
      <c r="P4868">
        <v>4.2</v>
      </c>
      <c r="Q4868">
        <f t="shared" si="150"/>
        <v>1767859</v>
      </c>
      <c r="R4868">
        <f t="shared" si="149"/>
        <v>10.747463457210104</v>
      </c>
      <c r="U4868">
        <v>580</v>
      </c>
      <c r="V4868">
        <v>278</v>
      </c>
      <c r="W4868">
        <v>882</v>
      </c>
      <c r="X4868">
        <v>279</v>
      </c>
      <c r="Y4868">
        <v>67.5</v>
      </c>
      <c r="Z4868">
        <v>60.5</v>
      </c>
      <c r="AA4868">
        <v>74.5</v>
      </c>
    </row>
    <row r="4869" spans="1:27" x14ac:dyDescent="0.25">
      <c r="A4869" t="s">
        <v>274</v>
      </c>
      <c r="B4869" t="s">
        <v>211</v>
      </c>
      <c r="C4869" s="76">
        <v>43951</v>
      </c>
      <c r="D4869">
        <v>3728</v>
      </c>
      <c r="E4869">
        <v>2146</v>
      </c>
      <c r="F4869">
        <v>5309</v>
      </c>
      <c r="G4869">
        <v>2650</v>
      </c>
      <c r="H4869">
        <v>58.4</v>
      </c>
      <c r="I4869">
        <v>52.8</v>
      </c>
      <c r="J4869">
        <v>64.099999999999994</v>
      </c>
      <c r="K4869">
        <v>206</v>
      </c>
      <c r="L4869">
        <v>101</v>
      </c>
      <c r="M4869">
        <v>311</v>
      </c>
      <c r="N4869">
        <v>3.2</v>
      </c>
      <c r="O4869">
        <v>2.1</v>
      </c>
      <c r="P4869">
        <v>4.4000000000000004</v>
      </c>
      <c r="Q4869">
        <f t="shared" si="150"/>
        <v>1767859</v>
      </c>
      <c r="R4869">
        <f t="shared" ref="R4869:R4932" si="151">K4869/(Q4869)*100000</f>
        <v>11.652513011501483</v>
      </c>
      <c r="U4869">
        <v>570</v>
      </c>
      <c r="V4869">
        <v>265</v>
      </c>
      <c r="W4869">
        <v>874</v>
      </c>
      <c r="X4869">
        <v>287</v>
      </c>
      <c r="Y4869">
        <v>66.5</v>
      </c>
      <c r="Z4869">
        <v>59.1</v>
      </c>
      <c r="AA4869">
        <v>73.900000000000006</v>
      </c>
    </row>
    <row r="4870" spans="1:27" x14ac:dyDescent="0.25">
      <c r="A4870" t="s">
        <v>274</v>
      </c>
      <c r="B4870" t="s">
        <v>211</v>
      </c>
      <c r="C4870" s="76">
        <v>43952</v>
      </c>
      <c r="D4870">
        <v>3662</v>
      </c>
      <c r="E4870">
        <v>2090</v>
      </c>
      <c r="F4870">
        <v>5235</v>
      </c>
      <c r="G4870">
        <v>2678</v>
      </c>
      <c r="H4870">
        <v>57.8</v>
      </c>
      <c r="I4870">
        <v>52.2</v>
      </c>
      <c r="J4870">
        <v>63.3</v>
      </c>
      <c r="K4870">
        <v>194</v>
      </c>
      <c r="L4870">
        <v>92</v>
      </c>
      <c r="M4870">
        <v>296</v>
      </c>
      <c r="N4870">
        <v>3.1</v>
      </c>
      <c r="O4870">
        <v>2</v>
      </c>
      <c r="P4870">
        <v>4.2</v>
      </c>
      <c r="Q4870">
        <f t="shared" si="150"/>
        <v>1767859</v>
      </c>
      <c r="R4870">
        <f t="shared" si="151"/>
        <v>10.973725845782949</v>
      </c>
      <c r="U4870">
        <v>572</v>
      </c>
      <c r="V4870">
        <v>263</v>
      </c>
      <c r="W4870">
        <v>881</v>
      </c>
      <c r="X4870">
        <v>296</v>
      </c>
      <c r="Y4870">
        <v>65.900000000000006</v>
      </c>
      <c r="Z4870">
        <v>56.6</v>
      </c>
      <c r="AA4870">
        <v>75.3</v>
      </c>
    </row>
    <row r="4871" spans="1:27" x14ac:dyDescent="0.25">
      <c r="A4871" t="s">
        <v>274</v>
      </c>
      <c r="B4871" t="s">
        <v>211</v>
      </c>
      <c r="C4871" s="76">
        <v>43953</v>
      </c>
      <c r="D4871">
        <v>3534</v>
      </c>
      <c r="E4871">
        <v>2029</v>
      </c>
      <c r="F4871">
        <v>5039</v>
      </c>
      <c r="G4871">
        <v>2887</v>
      </c>
      <c r="H4871">
        <v>55</v>
      </c>
      <c r="I4871">
        <v>48.8</v>
      </c>
      <c r="J4871">
        <v>61.3</v>
      </c>
      <c r="K4871">
        <v>223</v>
      </c>
      <c r="L4871">
        <v>110</v>
      </c>
      <c r="M4871">
        <v>335</v>
      </c>
      <c r="N4871">
        <v>3.5</v>
      </c>
      <c r="O4871">
        <v>2.2999999999999998</v>
      </c>
      <c r="P4871">
        <v>4.5999999999999996</v>
      </c>
      <c r="Q4871">
        <f t="shared" si="150"/>
        <v>1767859</v>
      </c>
      <c r="R4871">
        <f t="shared" si="151"/>
        <v>12.614128162936073</v>
      </c>
      <c r="U4871">
        <v>576</v>
      </c>
      <c r="V4871">
        <v>270</v>
      </c>
      <c r="W4871">
        <v>882</v>
      </c>
      <c r="X4871">
        <v>300</v>
      </c>
      <c r="Y4871">
        <v>65.7</v>
      </c>
      <c r="Z4871">
        <v>58.3</v>
      </c>
      <c r="AA4871">
        <v>73.2</v>
      </c>
    </row>
    <row r="4872" spans="1:27" x14ac:dyDescent="0.25">
      <c r="A4872" t="s">
        <v>274</v>
      </c>
      <c r="B4872" t="s">
        <v>211</v>
      </c>
      <c r="C4872" s="76">
        <v>43954</v>
      </c>
      <c r="D4872">
        <v>3575</v>
      </c>
      <c r="E4872">
        <v>2049</v>
      </c>
      <c r="F4872">
        <v>5100</v>
      </c>
      <c r="G4872">
        <v>2859</v>
      </c>
      <c r="H4872">
        <v>55.6</v>
      </c>
      <c r="I4872">
        <v>49.3</v>
      </c>
      <c r="J4872">
        <v>61.8</v>
      </c>
      <c r="K4872">
        <v>196</v>
      </c>
      <c r="L4872">
        <v>98</v>
      </c>
      <c r="M4872">
        <v>294</v>
      </c>
      <c r="N4872">
        <v>3</v>
      </c>
      <c r="O4872">
        <v>2.1</v>
      </c>
      <c r="P4872">
        <v>4</v>
      </c>
      <c r="Q4872">
        <f t="shared" si="150"/>
        <v>1767859</v>
      </c>
      <c r="R4872">
        <f t="shared" si="151"/>
        <v>11.086857040069372</v>
      </c>
      <c r="U4872">
        <v>581</v>
      </c>
      <c r="V4872">
        <v>275</v>
      </c>
      <c r="W4872">
        <v>886</v>
      </c>
      <c r="X4872">
        <v>294</v>
      </c>
      <c r="Y4872">
        <v>66.400000000000006</v>
      </c>
      <c r="Z4872">
        <v>59.5</v>
      </c>
      <c r="AA4872">
        <v>73.3</v>
      </c>
    </row>
    <row r="4873" spans="1:27" x14ac:dyDescent="0.25">
      <c r="A4873" t="s">
        <v>274</v>
      </c>
      <c r="B4873" t="s">
        <v>211</v>
      </c>
      <c r="C4873" s="76">
        <v>43955</v>
      </c>
      <c r="D4873">
        <v>3789</v>
      </c>
      <c r="E4873">
        <v>2146</v>
      </c>
      <c r="F4873">
        <v>5431</v>
      </c>
      <c r="G4873">
        <v>2644</v>
      </c>
      <c r="H4873">
        <v>58.9</v>
      </c>
      <c r="I4873">
        <v>52.5</v>
      </c>
      <c r="J4873">
        <v>65.3</v>
      </c>
      <c r="K4873">
        <v>195</v>
      </c>
      <c r="L4873">
        <v>84</v>
      </c>
      <c r="M4873">
        <v>306</v>
      </c>
      <c r="N4873">
        <v>3</v>
      </c>
      <c r="O4873">
        <v>1.9</v>
      </c>
      <c r="P4873">
        <v>4.0999999999999996</v>
      </c>
      <c r="Q4873">
        <f t="shared" si="150"/>
        <v>1767859</v>
      </c>
      <c r="R4873">
        <f t="shared" si="151"/>
        <v>11.030291442926162</v>
      </c>
      <c r="U4873">
        <v>584</v>
      </c>
      <c r="V4873">
        <v>269</v>
      </c>
      <c r="W4873">
        <v>898</v>
      </c>
      <c r="X4873">
        <v>291</v>
      </c>
      <c r="Y4873">
        <v>66.7</v>
      </c>
      <c r="Z4873">
        <v>59.5</v>
      </c>
      <c r="AA4873">
        <v>74</v>
      </c>
    </row>
    <row r="4874" spans="1:27" x14ac:dyDescent="0.25">
      <c r="A4874" t="s">
        <v>274</v>
      </c>
      <c r="B4874" t="s">
        <v>211</v>
      </c>
      <c r="C4874" s="76">
        <v>43956</v>
      </c>
      <c r="D4874">
        <v>3857</v>
      </c>
      <c r="E4874">
        <v>2203</v>
      </c>
      <c r="F4874">
        <v>5511</v>
      </c>
      <c r="G4874">
        <v>2564</v>
      </c>
      <c r="H4874">
        <v>60.1</v>
      </c>
      <c r="I4874">
        <v>54.3</v>
      </c>
      <c r="J4874">
        <v>65.8</v>
      </c>
      <c r="K4874">
        <v>175</v>
      </c>
      <c r="L4874">
        <v>82</v>
      </c>
      <c r="M4874">
        <v>267</v>
      </c>
      <c r="N4874">
        <v>2.7</v>
      </c>
      <c r="O4874">
        <v>1.8</v>
      </c>
      <c r="P4874">
        <v>3.7</v>
      </c>
      <c r="Q4874">
        <f t="shared" si="150"/>
        <v>1767859</v>
      </c>
      <c r="R4874">
        <f t="shared" si="151"/>
        <v>9.8989795000619392</v>
      </c>
      <c r="U4874">
        <v>589</v>
      </c>
      <c r="V4874">
        <v>258</v>
      </c>
      <c r="W4874">
        <v>920</v>
      </c>
      <c r="X4874">
        <v>277</v>
      </c>
      <c r="Y4874">
        <v>68</v>
      </c>
      <c r="Z4874">
        <v>59.3</v>
      </c>
      <c r="AA4874">
        <v>76.8</v>
      </c>
    </row>
    <row r="4875" spans="1:27" x14ac:dyDescent="0.25">
      <c r="A4875" t="s">
        <v>274</v>
      </c>
      <c r="B4875" t="s">
        <v>211</v>
      </c>
      <c r="C4875" s="76">
        <v>43957</v>
      </c>
      <c r="D4875">
        <v>3844</v>
      </c>
      <c r="E4875">
        <v>2212</v>
      </c>
      <c r="F4875">
        <v>5475</v>
      </c>
      <c r="G4875">
        <v>2539</v>
      </c>
      <c r="H4875">
        <v>60.2</v>
      </c>
      <c r="I4875">
        <v>54.8</v>
      </c>
      <c r="J4875">
        <v>65.7</v>
      </c>
      <c r="K4875">
        <v>194</v>
      </c>
      <c r="L4875">
        <v>99</v>
      </c>
      <c r="M4875">
        <v>289</v>
      </c>
      <c r="N4875">
        <v>3</v>
      </c>
      <c r="O4875">
        <v>2.2000000000000002</v>
      </c>
      <c r="P4875">
        <v>3.9</v>
      </c>
      <c r="Q4875">
        <f t="shared" si="150"/>
        <v>1767859</v>
      </c>
      <c r="R4875">
        <f t="shared" si="151"/>
        <v>10.973725845782949</v>
      </c>
      <c r="U4875">
        <v>566</v>
      </c>
      <c r="V4875">
        <v>248</v>
      </c>
      <c r="W4875">
        <v>883</v>
      </c>
      <c r="X4875">
        <v>300</v>
      </c>
      <c r="Y4875">
        <v>65.400000000000006</v>
      </c>
      <c r="Z4875">
        <v>57.1</v>
      </c>
      <c r="AA4875">
        <v>73.599999999999994</v>
      </c>
    </row>
    <row r="4876" spans="1:27" x14ac:dyDescent="0.25">
      <c r="A4876" t="s">
        <v>274</v>
      </c>
      <c r="B4876" t="s">
        <v>211</v>
      </c>
      <c r="C4876" s="76">
        <v>43958</v>
      </c>
      <c r="D4876">
        <v>3915</v>
      </c>
      <c r="E4876">
        <v>2257</v>
      </c>
      <c r="F4876">
        <v>5572</v>
      </c>
      <c r="G4876">
        <v>2530</v>
      </c>
      <c r="H4876">
        <v>60.7</v>
      </c>
      <c r="I4876">
        <v>55.1</v>
      </c>
      <c r="J4876">
        <v>66.400000000000006</v>
      </c>
      <c r="K4876">
        <v>179</v>
      </c>
      <c r="L4876">
        <v>87</v>
      </c>
      <c r="M4876">
        <v>272</v>
      </c>
      <c r="N4876">
        <v>2.8</v>
      </c>
      <c r="O4876">
        <v>1.8</v>
      </c>
      <c r="P4876">
        <v>3.8</v>
      </c>
      <c r="Q4876">
        <f t="shared" si="150"/>
        <v>1767859</v>
      </c>
      <c r="R4876">
        <f t="shared" si="151"/>
        <v>10.125241888634784</v>
      </c>
      <c r="U4876">
        <v>616</v>
      </c>
      <c r="V4876">
        <v>268</v>
      </c>
      <c r="W4876">
        <v>964</v>
      </c>
      <c r="X4876">
        <v>252</v>
      </c>
      <c r="Y4876">
        <v>71</v>
      </c>
      <c r="Z4876">
        <v>62.3</v>
      </c>
      <c r="AA4876">
        <v>79.599999999999994</v>
      </c>
    </row>
    <row r="4877" spans="1:27" x14ac:dyDescent="0.25">
      <c r="A4877" t="s">
        <v>274</v>
      </c>
      <c r="B4877" t="s">
        <v>211</v>
      </c>
      <c r="C4877" s="76">
        <v>43959</v>
      </c>
      <c r="D4877">
        <v>3841</v>
      </c>
      <c r="E4877">
        <v>2209</v>
      </c>
      <c r="F4877">
        <v>5474</v>
      </c>
      <c r="G4877">
        <v>2593</v>
      </c>
      <c r="H4877">
        <v>59.7</v>
      </c>
      <c r="I4877">
        <v>54.2</v>
      </c>
      <c r="J4877">
        <v>65.2</v>
      </c>
      <c r="K4877">
        <v>185</v>
      </c>
      <c r="L4877">
        <v>93</v>
      </c>
      <c r="M4877">
        <v>277</v>
      </c>
      <c r="N4877">
        <v>2.9</v>
      </c>
      <c r="O4877">
        <v>1.9</v>
      </c>
      <c r="P4877">
        <v>3.8</v>
      </c>
      <c r="Q4877">
        <f t="shared" si="150"/>
        <v>1767859</v>
      </c>
      <c r="R4877">
        <f t="shared" si="151"/>
        <v>10.46463547149405</v>
      </c>
      <c r="U4877">
        <v>612</v>
      </c>
      <c r="V4877">
        <v>279</v>
      </c>
      <c r="W4877">
        <v>945</v>
      </c>
      <c r="X4877">
        <v>254</v>
      </c>
      <c r="Y4877">
        <v>70.7</v>
      </c>
      <c r="Z4877">
        <v>63</v>
      </c>
      <c r="AA4877">
        <v>78.3</v>
      </c>
    </row>
    <row r="4878" spans="1:27" x14ac:dyDescent="0.25">
      <c r="A4878" t="s">
        <v>274</v>
      </c>
      <c r="B4878" t="s">
        <v>211</v>
      </c>
      <c r="C4878" s="76">
        <v>43960</v>
      </c>
      <c r="D4878">
        <v>3621</v>
      </c>
      <c r="E4878">
        <v>2058</v>
      </c>
      <c r="F4878">
        <v>5184</v>
      </c>
      <c r="G4878">
        <v>2755</v>
      </c>
      <c r="H4878">
        <v>56.8</v>
      </c>
      <c r="I4878">
        <v>51</v>
      </c>
      <c r="J4878">
        <v>62.5</v>
      </c>
      <c r="K4878">
        <v>176</v>
      </c>
      <c r="L4878">
        <v>87</v>
      </c>
      <c r="M4878">
        <v>265</v>
      </c>
      <c r="N4878">
        <v>2.8</v>
      </c>
      <c r="O4878">
        <v>1.8</v>
      </c>
      <c r="P4878">
        <v>3.7</v>
      </c>
      <c r="Q4878">
        <f t="shared" si="150"/>
        <v>1767859</v>
      </c>
      <c r="R4878">
        <f t="shared" si="151"/>
        <v>9.9555450972051514</v>
      </c>
      <c r="U4878">
        <v>583</v>
      </c>
      <c r="V4878">
        <v>247</v>
      </c>
      <c r="W4878">
        <v>919</v>
      </c>
      <c r="X4878">
        <v>274</v>
      </c>
      <c r="Y4878">
        <v>68</v>
      </c>
      <c r="Z4878">
        <v>58.7</v>
      </c>
      <c r="AA4878">
        <v>77.2</v>
      </c>
    </row>
    <row r="4879" spans="1:27" x14ac:dyDescent="0.25">
      <c r="A4879" t="s">
        <v>274</v>
      </c>
      <c r="B4879" t="s">
        <v>211</v>
      </c>
      <c r="C4879" s="76">
        <v>43961</v>
      </c>
      <c r="D4879">
        <v>3577</v>
      </c>
      <c r="E4879">
        <v>2007</v>
      </c>
      <c r="F4879">
        <v>5147</v>
      </c>
      <c r="G4879">
        <v>2812</v>
      </c>
      <c r="H4879">
        <v>56</v>
      </c>
      <c r="I4879">
        <v>49.2</v>
      </c>
      <c r="J4879">
        <v>62.8</v>
      </c>
      <c r="K4879">
        <v>140</v>
      </c>
      <c r="L4879">
        <v>66</v>
      </c>
      <c r="M4879">
        <v>213</v>
      </c>
      <c r="N4879">
        <v>2.2000000000000002</v>
      </c>
      <c r="O4879">
        <v>1.4</v>
      </c>
      <c r="P4879">
        <v>2.9</v>
      </c>
      <c r="Q4879">
        <f t="shared" si="150"/>
        <v>1767859</v>
      </c>
      <c r="R4879">
        <f t="shared" si="151"/>
        <v>7.9191836000495508</v>
      </c>
      <c r="U4879">
        <v>569</v>
      </c>
      <c r="V4879">
        <v>248</v>
      </c>
      <c r="W4879">
        <v>890</v>
      </c>
      <c r="X4879">
        <v>288</v>
      </c>
      <c r="Y4879">
        <v>66.400000000000006</v>
      </c>
      <c r="Z4879">
        <v>58</v>
      </c>
      <c r="AA4879">
        <v>74.7</v>
      </c>
    </row>
    <row r="4880" spans="1:27" x14ac:dyDescent="0.25">
      <c r="A4880" t="s">
        <v>274</v>
      </c>
      <c r="B4880" t="s">
        <v>211</v>
      </c>
      <c r="C4880" s="76">
        <v>43962</v>
      </c>
      <c r="D4880">
        <v>3870</v>
      </c>
      <c r="E4880">
        <v>2124</v>
      </c>
      <c r="F4880">
        <v>5617</v>
      </c>
      <c r="G4880">
        <v>2521</v>
      </c>
      <c r="H4880">
        <v>60.6</v>
      </c>
      <c r="I4880">
        <v>54.1</v>
      </c>
      <c r="J4880">
        <v>67</v>
      </c>
      <c r="K4880">
        <v>177</v>
      </c>
      <c r="L4880">
        <v>87</v>
      </c>
      <c r="M4880">
        <v>267</v>
      </c>
      <c r="N4880">
        <v>2.8</v>
      </c>
      <c r="O4880">
        <v>2</v>
      </c>
      <c r="P4880">
        <v>3.5</v>
      </c>
      <c r="Q4880">
        <f t="shared" si="150"/>
        <v>1767859</v>
      </c>
      <c r="R4880">
        <f t="shared" si="151"/>
        <v>10.012110694348362</v>
      </c>
      <c r="U4880">
        <v>617</v>
      </c>
      <c r="V4880">
        <v>270</v>
      </c>
      <c r="W4880">
        <v>963</v>
      </c>
      <c r="X4880">
        <v>245</v>
      </c>
      <c r="Y4880">
        <v>71.599999999999994</v>
      </c>
      <c r="Z4880">
        <v>63.3</v>
      </c>
      <c r="AA4880">
        <v>79.8</v>
      </c>
    </row>
    <row r="4881" spans="1:27" x14ac:dyDescent="0.25">
      <c r="A4881" t="s">
        <v>274</v>
      </c>
      <c r="B4881" t="s">
        <v>211</v>
      </c>
      <c r="C4881" s="76">
        <v>43963</v>
      </c>
      <c r="D4881">
        <v>4064</v>
      </c>
      <c r="E4881">
        <v>2232</v>
      </c>
      <c r="F4881">
        <v>5895</v>
      </c>
      <c r="G4881">
        <v>2345</v>
      </c>
      <c r="H4881">
        <v>63.4</v>
      </c>
      <c r="I4881">
        <v>57</v>
      </c>
      <c r="J4881">
        <v>69.8</v>
      </c>
      <c r="K4881">
        <v>167</v>
      </c>
      <c r="L4881">
        <v>84</v>
      </c>
      <c r="M4881">
        <v>250</v>
      </c>
      <c r="N4881">
        <v>2.6</v>
      </c>
      <c r="O4881">
        <v>1.8</v>
      </c>
      <c r="P4881">
        <v>3.4</v>
      </c>
      <c r="Q4881">
        <f t="shared" si="150"/>
        <v>1767859</v>
      </c>
      <c r="R4881">
        <f t="shared" si="151"/>
        <v>9.4464547229162505</v>
      </c>
      <c r="U4881">
        <v>628</v>
      </c>
      <c r="V4881">
        <v>271</v>
      </c>
      <c r="W4881">
        <v>986</v>
      </c>
      <c r="X4881">
        <v>252</v>
      </c>
      <c r="Y4881">
        <v>71.400000000000006</v>
      </c>
      <c r="Z4881">
        <v>63.6</v>
      </c>
      <c r="AA4881">
        <v>79.2</v>
      </c>
    </row>
    <row r="4882" spans="1:27" x14ac:dyDescent="0.25">
      <c r="A4882" t="s">
        <v>274</v>
      </c>
      <c r="B4882" t="s">
        <v>211</v>
      </c>
      <c r="C4882" s="76">
        <v>43964</v>
      </c>
      <c r="D4882">
        <v>4348</v>
      </c>
      <c r="E4882">
        <v>2419</v>
      </c>
      <c r="F4882">
        <v>6277</v>
      </c>
      <c r="G4882">
        <v>2102</v>
      </c>
      <c r="H4882">
        <v>67.400000000000006</v>
      </c>
      <c r="I4882">
        <v>61</v>
      </c>
      <c r="J4882">
        <v>73.8</v>
      </c>
      <c r="K4882">
        <v>168</v>
      </c>
      <c r="L4882">
        <v>81</v>
      </c>
      <c r="M4882">
        <v>256</v>
      </c>
      <c r="N4882">
        <v>2.6</v>
      </c>
      <c r="O4882">
        <v>1.8</v>
      </c>
      <c r="P4882">
        <v>3.4</v>
      </c>
      <c r="Q4882">
        <f t="shared" si="150"/>
        <v>1767859</v>
      </c>
      <c r="R4882">
        <f t="shared" si="151"/>
        <v>9.5030203200594627</v>
      </c>
      <c r="U4882">
        <v>631</v>
      </c>
      <c r="V4882">
        <v>279</v>
      </c>
      <c r="W4882">
        <v>982</v>
      </c>
      <c r="X4882">
        <v>223</v>
      </c>
      <c r="Y4882">
        <v>73.900000000000006</v>
      </c>
      <c r="Z4882">
        <v>65.900000000000006</v>
      </c>
      <c r="AA4882">
        <v>81.900000000000006</v>
      </c>
    </row>
    <row r="4883" spans="1:27" x14ac:dyDescent="0.25">
      <c r="A4883" t="s">
        <v>274</v>
      </c>
      <c r="B4883" t="s">
        <v>211</v>
      </c>
      <c r="C4883" s="76">
        <v>43965</v>
      </c>
      <c r="D4883">
        <v>4191</v>
      </c>
      <c r="E4883">
        <v>2298</v>
      </c>
      <c r="F4883">
        <v>6084</v>
      </c>
      <c r="G4883">
        <v>2222</v>
      </c>
      <c r="H4883">
        <v>65.400000000000006</v>
      </c>
      <c r="I4883">
        <v>58.8</v>
      </c>
      <c r="J4883">
        <v>71.900000000000006</v>
      </c>
      <c r="K4883">
        <v>151</v>
      </c>
      <c r="L4883">
        <v>70</v>
      </c>
      <c r="M4883">
        <v>233</v>
      </c>
      <c r="N4883">
        <v>2.4</v>
      </c>
      <c r="O4883">
        <v>1.4</v>
      </c>
      <c r="P4883">
        <v>3.3</v>
      </c>
      <c r="Q4883">
        <f t="shared" si="150"/>
        <v>1767859</v>
      </c>
      <c r="R4883">
        <f t="shared" si="151"/>
        <v>8.5414051686248733</v>
      </c>
      <c r="U4883">
        <v>572</v>
      </c>
      <c r="V4883">
        <v>255</v>
      </c>
      <c r="W4883">
        <v>888</v>
      </c>
      <c r="X4883">
        <v>249</v>
      </c>
      <c r="Y4883">
        <v>69.599999999999994</v>
      </c>
      <c r="Z4883">
        <v>60.8</v>
      </c>
      <c r="AA4883">
        <v>78.400000000000006</v>
      </c>
    </row>
    <row r="4884" spans="1:27" x14ac:dyDescent="0.25">
      <c r="A4884" t="s">
        <v>274</v>
      </c>
      <c r="B4884" t="s">
        <v>211</v>
      </c>
      <c r="C4884" s="76">
        <v>43966</v>
      </c>
      <c r="D4884">
        <v>4072</v>
      </c>
      <c r="E4884">
        <v>2288</v>
      </c>
      <c r="F4884">
        <v>5857</v>
      </c>
      <c r="G4884">
        <v>2316</v>
      </c>
      <c r="H4884">
        <v>63.7</v>
      </c>
      <c r="I4884">
        <v>57.5</v>
      </c>
      <c r="J4884">
        <v>70</v>
      </c>
      <c r="K4884">
        <v>159</v>
      </c>
      <c r="L4884">
        <v>68</v>
      </c>
      <c r="M4884">
        <v>250</v>
      </c>
      <c r="N4884">
        <v>2.5</v>
      </c>
      <c r="O4884">
        <v>1.5</v>
      </c>
      <c r="P4884">
        <v>3.5</v>
      </c>
      <c r="Q4884">
        <f t="shared" si="150"/>
        <v>1767859</v>
      </c>
      <c r="R4884">
        <f t="shared" si="151"/>
        <v>8.9939299457705619</v>
      </c>
      <c r="U4884">
        <v>553</v>
      </c>
      <c r="V4884">
        <v>244</v>
      </c>
      <c r="W4884">
        <v>861</v>
      </c>
      <c r="X4884">
        <v>264</v>
      </c>
      <c r="Y4884">
        <v>67.7</v>
      </c>
      <c r="Z4884">
        <v>59.4</v>
      </c>
      <c r="AA4884">
        <v>76</v>
      </c>
    </row>
    <row r="4885" spans="1:27" x14ac:dyDescent="0.25">
      <c r="A4885" t="s">
        <v>274</v>
      </c>
      <c r="B4885" t="s">
        <v>211</v>
      </c>
      <c r="C4885" s="76">
        <v>43967</v>
      </c>
      <c r="D4885">
        <v>4079</v>
      </c>
      <c r="E4885">
        <v>2274</v>
      </c>
      <c r="F4885">
        <v>5885</v>
      </c>
      <c r="G4885">
        <v>2375</v>
      </c>
      <c r="H4885">
        <v>63.2</v>
      </c>
      <c r="I4885">
        <v>56.8</v>
      </c>
      <c r="J4885">
        <v>69.599999999999994</v>
      </c>
      <c r="K4885">
        <v>188</v>
      </c>
      <c r="L4885">
        <v>79</v>
      </c>
      <c r="M4885">
        <v>297</v>
      </c>
      <c r="N4885">
        <v>2.9</v>
      </c>
      <c r="O4885">
        <v>1.9</v>
      </c>
      <c r="P4885">
        <v>3.9</v>
      </c>
      <c r="Q4885">
        <f t="shared" si="150"/>
        <v>1767859</v>
      </c>
      <c r="R4885">
        <f t="shared" si="151"/>
        <v>10.634332262923683</v>
      </c>
      <c r="U4885">
        <v>593</v>
      </c>
      <c r="V4885">
        <v>268</v>
      </c>
      <c r="W4885">
        <v>918</v>
      </c>
      <c r="X4885">
        <v>260</v>
      </c>
      <c r="Y4885">
        <v>69.5</v>
      </c>
      <c r="Z4885">
        <v>61.1</v>
      </c>
      <c r="AA4885">
        <v>77.900000000000006</v>
      </c>
    </row>
    <row r="4886" spans="1:27" x14ac:dyDescent="0.25">
      <c r="A4886" t="s">
        <v>274</v>
      </c>
      <c r="B4886" t="s">
        <v>211</v>
      </c>
      <c r="C4886" s="76">
        <v>43968</v>
      </c>
      <c r="D4886">
        <v>3898</v>
      </c>
      <c r="E4886">
        <v>2124</v>
      </c>
      <c r="F4886">
        <v>5672</v>
      </c>
      <c r="G4886">
        <v>2584</v>
      </c>
      <c r="H4886">
        <v>60.1</v>
      </c>
      <c r="I4886">
        <v>52.8</v>
      </c>
      <c r="J4886">
        <v>67.5</v>
      </c>
      <c r="K4886">
        <v>190</v>
      </c>
      <c r="L4886">
        <v>80</v>
      </c>
      <c r="M4886">
        <v>300</v>
      </c>
      <c r="N4886">
        <v>2.9</v>
      </c>
      <c r="O4886">
        <v>1.9</v>
      </c>
      <c r="P4886">
        <v>4</v>
      </c>
      <c r="Q4886">
        <f t="shared" si="150"/>
        <v>1767859</v>
      </c>
      <c r="R4886">
        <f t="shared" si="151"/>
        <v>10.747463457210104</v>
      </c>
      <c r="U4886">
        <v>546</v>
      </c>
      <c r="V4886">
        <v>236</v>
      </c>
      <c r="W4886">
        <v>856</v>
      </c>
      <c r="X4886">
        <v>308</v>
      </c>
      <c r="Y4886">
        <v>63.9</v>
      </c>
      <c r="Z4886">
        <v>55.2</v>
      </c>
      <c r="AA4886">
        <v>72.7</v>
      </c>
    </row>
    <row r="4887" spans="1:27" x14ac:dyDescent="0.25">
      <c r="A4887" t="s">
        <v>274</v>
      </c>
      <c r="B4887" t="s">
        <v>211</v>
      </c>
      <c r="C4887" s="76">
        <v>43969</v>
      </c>
      <c r="D4887">
        <v>4133</v>
      </c>
      <c r="E4887">
        <v>2340</v>
      </c>
      <c r="F4887">
        <v>5926</v>
      </c>
      <c r="G4887">
        <v>2355</v>
      </c>
      <c r="H4887">
        <v>63.7</v>
      </c>
      <c r="I4887">
        <v>57.2</v>
      </c>
      <c r="J4887">
        <v>70.2</v>
      </c>
      <c r="K4887">
        <v>185</v>
      </c>
      <c r="L4887">
        <v>86</v>
      </c>
      <c r="M4887">
        <v>284</v>
      </c>
      <c r="N4887">
        <v>2.9</v>
      </c>
      <c r="O4887">
        <v>1.7</v>
      </c>
      <c r="P4887">
        <v>4</v>
      </c>
      <c r="Q4887">
        <f t="shared" si="150"/>
        <v>1767859</v>
      </c>
      <c r="R4887">
        <f t="shared" si="151"/>
        <v>10.46463547149405</v>
      </c>
      <c r="U4887">
        <v>568</v>
      </c>
      <c r="V4887">
        <v>266</v>
      </c>
      <c r="W4887">
        <v>870</v>
      </c>
      <c r="X4887">
        <v>285</v>
      </c>
      <c r="Y4887">
        <v>66.599999999999994</v>
      </c>
      <c r="Z4887">
        <v>59.3</v>
      </c>
      <c r="AA4887">
        <v>74</v>
      </c>
    </row>
    <row r="4888" spans="1:27" x14ac:dyDescent="0.25">
      <c r="A4888" t="s">
        <v>274</v>
      </c>
      <c r="B4888" t="s">
        <v>211</v>
      </c>
      <c r="C4888" s="76">
        <v>43970</v>
      </c>
      <c r="D4888">
        <v>4365</v>
      </c>
      <c r="E4888">
        <v>2490</v>
      </c>
      <c r="F4888">
        <v>6240</v>
      </c>
      <c r="G4888">
        <v>2164</v>
      </c>
      <c r="H4888">
        <v>66.900000000000006</v>
      </c>
      <c r="I4888">
        <v>60.9</v>
      </c>
      <c r="J4888">
        <v>72.8</v>
      </c>
      <c r="K4888">
        <v>198</v>
      </c>
      <c r="L4888">
        <v>92</v>
      </c>
      <c r="M4888">
        <v>305</v>
      </c>
      <c r="N4888">
        <v>3</v>
      </c>
      <c r="O4888">
        <v>1.9</v>
      </c>
      <c r="P4888">
        <v>4.2</v>
      </c>
      <c r="Q4888">
        <f t="shared" si="150"/>
        <v>1767859</v>
      </c>
      <c r="R4888">
        <f t="shared" si="151"/>
        <v>11.199988234355795</v>
      </c>
      <c r="U4888">
        <v>610</v>
      </c>
      <c r="V4888">
        <v>273</v>
      </c>
      <c r="W4888">
        <v>946</v>
      </c>
      <c r="X4888">
        <v>243</v>
      </c>
      <c r="Y4888">
        <v>71.5</v>
      </c>
      <c r="Z4888">
        <v>63.7</v>
      </c>
      <c r="AA4888">
        <v>79.3</v>
      </c>
    </row>
    <row r="4889" spans="1:27" x14ac:dyDescent="0.25">
      <c r="A4889" t="s">
        <v>274</v>
      </c>
      <c r="B4889" t="s">
        <v>211</v>
      </c>
      <c r="C4889" s="76">
        <v>43971</v>
      </c>
      <c r="D4889">
        <v>4406</v>
      </c>
      <c r="E4889">
        <v>2486</v>
      </c>
      <c r="F4889">
        <v>6326</v>
      </c>
      <c r="G4889">
        <v>2106</v>
      </c>
      <c r="H4889">
        <v>67.7</v>
      </c>
      <c r="I4889">
        <v>61.5</v>
      </c>
      <c r="J4889">
        <v>73.8</v>
      </c>
      <c r="K4889">
        <v>176</v>
      </c>
      <c r="L4889">
        <v>83</v>
      </c>
      <c r="M4889">
        <v>268</v>
      </c>
      <c r="N4889">
        <v>2.7</v>
      </c>
      <c r="O4889">
        <v>1.8</v>
      </c>
      <c r="P4889">
        <v>3.6</v>
      </c>
      <c r="Q4889">
        <f t="shared" si="150"/>
        <v>1767859</v>
      </c>
      <c r="R4889">
        <f t="shared" si="151"/>
        <v>9.9555450972051514</v>
      </c>
      <c r="U4889">
        <v>612</v>
      </c>
      <c r="V4889">
        <v>271</v>
      </c>
      <c r="W4889">
        <v>954</v>
      </c>
      <c r="X4889">
        <v>238</v>
      </c>
      <c r="Y4889">
        <v>72</v>
      </c>
      <c r="Z4889">
        <v>64.099999999999994</v>
      </c>
      <c r="AA4889">
        <v>79.8</v>
      </c>
    </row>
    <row r="4890" spans="1:27" x14ac:dyDescent="0.25">
      <c r="A4890" t="s">
        <v>274</v>
      </c>
      <c r="B4890" t="s">
        <v>211</v>
      </c>
      <c r="C4890" s="76">
        <v>43972</v>
      </c>
      <c r="D4890">
        <v>4337</v>
      </c>
      <c r="E4890">
        <v>2453</v>
      </c>
      <c r="F4890">
        <v>6222</v>
      </c>
      <c r="G4890">
        <v>2177</v>
      </c>
      <c r="H4890">
        <v>66.599999999999994</v>
      </c>
      <c r="I4890">
        <v>60.4</v>
      </c>
      <c r="J4890">
        <v>72.8</v>
      </c>
      <c r="K4890">
        <v>183</v>
      </c>
      <c r="L4890">
        <v>81</v>
      </c>
      <c r="M4890">
        <v>285</v>
      </c>
      <c r="N4890">
        <v>2.8</v>
      </c>
      <c r="O4890">
        <v>1.8</v>
      </c>
      <c r="P4890">
        <v>3.8</v>
      </c>
      <c r="Q4890">
        <f t="shared" si="150"/>
        <v>1767859</v>
      </c>
      <c r="R4890">
        <f t="shared" si="151"/>
        <v>10.351504277207628</v>
      </c>
      <c r="U4890">
        <v>606</v>
      </c>
      <c r="V4890">
        <v>261</v>
      </c>
      <c r="W4890">
        <v>951</v>
      </c>
      <c r="X4890">
        <v>243</v>
      </c>
      <c r="Y4890">
        <v>71.400000000000006</v>
      </c>
      <c r="Z4890">
        <v>63</v>
      </c>
      <c r="AA4890">
        <v>79.7</v>
      </c>
    </row>
    <row r="4891" spans="1:27" x14ac:dyDescent="0.25">
      <c r="A4891" t="s">
        <v>274</v>
      </c>
      <c r="B4891" t="s">
        <v>211</v>
      </c>
      <c r="C4891" s="76">
        <v>43973</v>
      </c>
      <c r="D4891">
        <v>4299</v>
      </c>
      <c r="E4891">
        <v>2413</v>
      </c>
      <c r="F4891">
        <v>6185</v>
      </c>
      <c r="G4891">
        <v>2216</v>
      </c>
      <c r="H4891">
        <v>66</v>
      </c>
      <c r="I4891">
        <v>59.7</v>
      </c>
      <c r="J4891">
        <v>72.3</v>
      </c>
      <c r="K4891">
        <v>134</v>
      </c>
      <c r="L4891">
        <v>58</v>
      </c>
      <c r="M4891">
        <v>210</v>
      </c>
      <c r="N4891">
        <v>2.1</v>
      </c>
      <c r="O4891">
        <v>1.3</v>
      </c>
      <c r="P4891">
        <v>2.8</v>
      </c>
      <c r="Q4891">
        <f t="shared" si="150"/>
        <v>1767859</v>
      </c>
      <c r="R4891">
        <f t="shared" si="151"/>
        <v>7.5797900171902848</v>
      </c>
      <c r="U4891">
        <v>607</v>
      </c>
      <c r="V4891">
        <v>262</v>
      </c>
      <c r="W4891">
        <v>953</v>
      </c>
      <c r="X4891">
        <v>242</v>
      </c>
      <c r="Y4891">
        <v>71.599999999999994</v>
      </c>
      <c r="Z4891">
        <v>62.9</v>
      </c>
      <c r="AA4891">
        <v>80.2</v>
      </c>
    </row>
    <row r="4892" spans="1:27" x14ac:dyDescent="0.25">
      <c r="A4892" t="s">
        <v>274</v>
      </c>
      <c r="B4892" t="s">
        <v>211</v>
      </c>
      <c r="C4892" s="76">
        <v>43974</v>
      </c>
      <c r="D4892">
        <v>3918</v>
      </c>
      <c r="E4892">
        <v>2177</v>
      </c>
      <c r="F4892">
        <v>5658</v>
      </c>
      <c r="G4892">
        <v>2600</v>
      </c>
      <c r="H4892">
        <v>60.1</v>
      </c>
      <c r="I4892">
        <v>53.6</v>
      </c>
      <c r="J4892">
        <v>66.599999999999994</v>
      </c>
      <c r="K4892">
        <v>140</v>
      </c>
      <c r="L4892">
        <v>59</v>
      </c>
      <c r="M4892">
        <v>221</v>
      </c>
      <c r="N4892">
        <v>2.1</v>
      </c>
      <c r="O4892">
        <v>1.3</v>
      </c>
      <c r="P4892">
        <v>3</v>
      </c>
      <c r="Q4892">
        <f t="shared" si="150"/>
        <v>1767859</v>
      </c>
      <c r="R4892">
        <f t="shared" si="151"/>
        <v>7.9191836000495508</v>
      </c>
      <c r="U4892">
        <v>583</v>
      </c>
      <c r="V4892">
        <v>257</v>
      </c>
      <c r="W4892">
        <v>908</v>
      </c>
      <c r="X4892">
        <v>267</v>
      </c>
      <c r="Y4892">
        <v>68.599999999999994</v>
      </c>
      <c r="Z4892">
        <v>61</v>
      </c>
      <c r="AA4892">
        <v>76.2</v>
      </c>
    </row>
    <row r="4893" spans="1:27" x14ac:dyDescent="0.25">
      <c r="A4893" t="s">
        <v>274</v>
      </c>
      <c r="B4893" t="s">
        <v>211</v>
      </c>
      <c r="C4893" s="76">
        <v>43975</v>
      </c>
      <c r="D4893">
        <v>3872</v>
      </c>
      <c r="E4893">
        <v>2165</v>
      </c>
      <c r="F4893">
        <v>5579</v>
      </c>
      <c r="G4893">
        <v>2641</v>
      </c>
      <c r="H4893">
        <v>59.4</v>
      </c>
      <c r="I4893">
        <v>53</v>
      </c>
      <c r="J4893">
        <v>65.900000000000006</v>
      </c>
      <c r="K4893">
        <v>142</v>
      </c>
      <c r="L4893">
        <v>61</v>
      </c>
      <c r="M4893">
        <v>224</v>
      </c>
      <c r="N4893">
        <v>2.2000000000000002</v>
      </c>
      <c r="O4893">
        <v>1.4</v>
      </c>
      <c r="P4893">
        <v>3</v>
      </c>
      <c r="Q4893">
        <f t="shared" si="150"/>
        <v>1767859</v>
      </c>
      <c r="R4893">
        <f t="shared" si="151"/>
        <v>8.0323147943359743</v>
      </c>
      <c r="U4893">
        <v>564</v>
      </c>
      <c r="V4893">
        <v>251</v>
      </c>
      <c r="W4893">
        <v>877</v>
      </c>
      <c r="X4893">
        <v>285</v>
      </c>
      <c r="Y4893">
        <v>66.400000000000006</v>
      </c>
      <c r="Z4893">
        <v>59</v>
      </c>
      <c r="AA4893">
        <v>73.900000000000006</v>
      </c>
    </row>
    <row r="4894" spans="1:27" x14ac:dyDescent="0.25">
      <c r="A4894" t="s">
        <v>274</v>
      </c>
      <c r="B4894" t="s">
        <v>211</v>
      </c>
      <c r="C4894" s="76">
        <v>43976</v>
      </c>
      <c r="D4894">
        <v>4035</v>
      </c>
      <c r="E4894">
        <v>2235</v>
      </c>
      <c r="F4894">
        <v>5834</v>
      </c>
      <c r="G4894">
        <v>2488</v>
      </c>
      <c r="H4894">
        <v>61.9</v>
      </c>
      <c r="I4894">
        <v>55.4</v>
      </c>
      <c r="J4894">
        <v>68.400000000000006</v>
      </c>
      <c r="K4894">
        <v>153</v>
      </c>
      <c r="L4894">
        <v>65</v>
      </c>
      <c r="M4894">
        <v>240</v>
      </c>
      <c r="N4894">
        <v>2.2999999999999998</v>
      </c>
      <c r="O4894">
        <v>1.4</v>
      </c>
      <c r="P4894">
        <v>3.3</v>
      </c>
      <c r="Q4894">
        <f t="shared" si="150"/>
        <v>1767859</v>
      </c>
      <c r="R4894">
        <f t="shared" si="151"/>
        <v>8.6545363629112959</v>
      </c>
      <c r="U4894">
        <v>576</v>
      </c>
      <c r="V4894">
        <v>251</v>
      </c>
      <c r="W4894">
        <v>901</v>
      </c>
      <c r="X4894">
        <v>252</v>
      </c>
      <c r="Y4894">
        <v>69.5</v>
      </c>
      <c r="Z4894">
        <v>62.9</v>
      </c>
      <c r="AA4894">
        <v>76.2</v>
      </c>
    </row>
    <row r="4895" spans="1:27" x14ac:dyDescent="0.25">
      <c r="A4895" t="s">
        <v>274</v>
      </c>
      <c r="B4895" t="s">
        <v>211</v>
      </c>
      <c r="C4895" s="76">
        <v>43977</v>
      </c>
      <c r="D4895">
        <v>4232</v>
      </c>
      <c r="E4895">
        <v>2364</v>
      </c>
      <c r="F4895">
        <v>6100</v>
      </c>
      <c r="G4895">
        <v>2289</v>
      </c>
      <c r="H4895">
        <v>64.900000000000006</v>
      </c>
      <c r="I4895">
        <v>56.2</v>
      </c>
      <c r="J4895">
        <v>73.599999999999994</v>
      </c>
      <c r="K4895">
        <v>142</v>
      </c>
      <c r="L4895">
        <v>66</v>
      </c>
      <c r="M4895">
        <v>218</v>
      </c>
      <c r="N4895">
        <v>2.2000000000000002</v>
      </c>
      <c r="O4895">
        <v>1.4</v>
      </c>
      <c r="P4895">
        <v>3</v>
      </c>
      <c r="Q4895">
        <f t="shared" si="150"/>
        <v>1767859</v>
      </c>
      <c r="R4895">
        <f t="shared" si="151"/>
        <v>8.0323147943359743</v>
      </c>
      <c r="U4895">
        <v>564</v>
      </c>
      <c r="V4895">
        <v>245</v>
      </c>
      <c r="W4895">
        <v>883</v>
      </c>
      <c r="X4895">
        <v>265</v>
      </c>
      <c r="Y4895">
        <v>68.099999999999994</v>
      </c>
      <c r="Z4895">
        <v>60</v>
      </c>
      <c r="AA4895">
        <v>76.2</v>
      </c>
    </row>
    <row r="4896" spans="1:27" x14ac:dyDescent="0.25">
      <c r="A4896" t="s">
        <v>274</v>
      </c>
      <c r="B4896" t="s">
        <v>211</v>
      </c>
      <c r="C4896" s="76">
        <v>43978</v>
      </c>
      <c r="D4896">
        <v>4473</v>
      </c>
      <c r="E4896">
        <v>2489</v>
      </c>
      <c r="F4896">
        <v>6457</v>
      </c>
      <c r="G4896">
        <v>2051</v>
      </c>
      <c r="H4896">
        <v>68.599999999999994</v>
      </c>
      <c r="I4896">
        <v>62.2</v>
      </c>
      <c r="J4896">
        <v>74.900000000000006</v>
      </c>
      <c r="K4896">
        <v>179</v>
      </c>
      <c r="L4896">
        <v>83</v>
      </c>
      <c r="M4896">
        <v>275</v>
      </c>
      <c r="N4896">
        <v>2.7</v>
      </c>
      <c r="O4896">
        <v>1.8</v>
      </c>
      <c r="P4896">
        <v>3.7</v>
      </c>
      <c r="Q4896">
        <f t="shared" si="150"/>
        <v>1767859</v>
      </c>
      <c r="R4896">
        <f t="shared" si="151"/>
        <v>10.125241888634784</v>
      </c>
      <c r="U4896">
        <v>616</v>
      </c>
      <c r="V4896">
        <v>258</v>
      </c>
      <c r="W4896">
        <v>975</v>
      </c>
      <c r="X4896">
        <v>212</v>
      </c>
      <c r="Y4896">
        <v>74.400000000000006</v>
      </c>
      <c r="Z4896">
        <v>66.099999999999994</v>
      </c>
      <c r="AA4896">
        <v>82.7</v>
      </c>
    </row>
    <row r="4897" spans="1:27" x14ac:dyDescent="0.25">
      <c r="A4897" t="s">
        <v>274</v>
      </c>
      <c r="B4897" t="s">
        <v>211</v>
      </c>
      <c r="C4897" s="76">
        <v>43979</v>
      </c>
      <c r="D4897">
        <v>4269</v>
      </c>
      <c r="E4897">
        <v>1914</v>
      </c>
      <c r="F4897">
        <v>6624</v>
      </c>
      <c r="G4897">
        <v>1938</v>
      </c>
      <c r="H4897">
        <v>68.8</v>
      </c>
      <c r="I4897">
        <v>60.7</v>
      </c>
      <c r="J4897">
        <v>76.900000000000006</v>
      </c>
      <c r="K4897">
        <v>144</v>
      </c>
      <c r="L4897">
        <v>56</v>
      </c>
      <c r="M4897">
        <v>231</v>
      </c>
      <c r="N4897">
        <v>2.2999999999999998</v>
      </c>
      <c r="O4897">
        <v>1.3</v>
      </c>
      <c r="P4897">
        <v>3.3</v>
      </c>
      <c r="Q4897">
        <f t="shared" si="150"/>
        <v>1767859</v>
      </c>
      <c r="R4897">
        <f t="shared" si="151"/>
        <v>8.1454459886223969</v>
      </c>
      <c r="U4897">
        <v>619</v>
      </c>
      <c r="V4897">
        <v>156</v>
      </c>
      <c r="W4897">
        <v>1082</v>
      </c>
      <c r="X4897">
        <v>204</v>
      </c>
      <c r="Y4897">
        <v>75.3</v>
      </c>
      <c r="Z4897">
        <v>64.2</v>
      </c>
      <c r="AA4897">
        <v>86.3</v>
      </c>
    </row>
    <row r="4898" spans="1:27" x14ac:dyDescent="0.25">
      <c r="A4898" t="s">
        <v>274</v>
      </c>
      <c r="B4898" t="s">
        <v>211</v>
      </c>
      <c r="C4898" s="76">
        <v>43980</v>
      </c>
      <c r="D4898">
        <v>4339</v>
      </c>
      <c r="E4898">
        <v>2438</v>
      </c>
      <c r="F4898">
        <v>6241</v>
      </c>
      <c r="G4898">
        <v>2172</v>
      </c>
      <c r="H4898">
        <v>66.599999999999994</v>
      </c>
      <c r="I4898">
        <v>60.1</v>
      </c>
      <c r="J4898">
        <v>73.2</v>
      </c>
      <c r="K4898">
        <v>156</v>
      </c>
      <c r="L4898">
        <v>64</v>
      </c>
      <c r="M4898">
        <v>247</v>
      </c>
      <c r="N4898">
        <v>2.4</v>
      </c>
      <c r="O4898">
        <v>1.3</v>
      </c>
      <c r="P4898">
        <v>3.4</v>
      </c>
      <c r="Q4898">
        <f t="shared" si="150"/>
        <v>1767859</v>
      </c>
      <c r="R4898">
        <f t="shared" si="151"/>
        <v>8.8242331543409289</v>
      </c>
      <c r="U4898">
        <v>620</v>
      </c>
      <c r="V4898">
        <v>261</v>
      </c>
      <c r="W4898">
        <v>979</v>
      </c>
      <c r="X4898">
        <v>229</v>
      </c>
      <c r="Y4898">
        <v>73</v>
      </c>
      <c r="Z4898">
        <v>63.7</v>
      </c>
      <c r="AA4898">
        <v>82.3</v>
      </c>
    </row>
    <row r="4899" spans="1:27" x14ac:dyDescent="0.25">
      <c r="A4899" t="s">
        <v>274</v>
      </c>
      <c r="B4899" t="s">
        <v>211</v>
      </c>
      <c r="C4899" s="76">
        <v>43981</v>
      </c>
      <c r="D4899">
        <v>4227</v>
      </c>
      <c r="E4899">
        <v>2356</v>
      </c>
      <c r="F4899">
        <v>6098</v>
      </c>
      <c r="G4899">
        <v>2285</v>
      </c>
      <c r="H4899">
        <v>64.900000000000006</v>
      </c>
      <c r="I4899">
        <v>58.2</v>
      </c>
      <c r="J4899">
        <v>71.7</v>
      </c>
      <c r="K4899">
        <v>148</v>
      </c>
      <c r="L4899">
        <v>59</v>
      </c>
      <c r="M4899">
        <v>237</v>
      </c>
      <c r="N4899">
        <v>2.2999999999999998</v>
      </c>
      <c r="O4899">
        <v>1.3</v>
      </c>
      <c r="P4899">
        <v>3.3</v>
      </c>
      <c r="Q4899">
        <f t="shared" si="150"/>
        <v>1767859</v>
      </c>
      <c r="R4899">
        <f t="shared" si="151"/>
        <v>8.3717083771952403</v>
      </c>
      <c r="U4899">
        <v>622</v>
      </c>
      <c r="V4899">
        <v>264</v>
      </c>
      <c r="W4899">
        <v>980</v>
      </c>
      <c r="X4899">
        <v>225</v>
      </c>
      <c r="Y4899">
        <v>73.400000000000006</v>
      </c>
      <c r="Z4899">
        <v>64.2</v>
      </c>
      <c r="AA4899">
        <v>82.6</v>
      </c>
    </row>
    <row r="4900" spans="1:27" x14ac:dyDescent="0.25">
      <c r="A4900" t="s">
        <v>274</v>
      </c>
      <c r="B4900" t="s">
        <v>211</v>
      </c>
      <c r="C4900" s="76">
        <v>43982</v>
      </c>
      <c r="D4900">
        <v>4073</v>
      </c>
      <c r="E4900">
        <v>2265</v>
      </c>
      <c r="F4900">
        <v>5882</v>
      </c>
      <c r="G4900">
        <v>2446</v>
      </c>
      <c r="H4900">
        <v>62.5</v>
      </c>
      <c r="I4900">
        <v>55.9</v>
      </c>
      <c r="J4900">
        <v>69</v>
      </c>
      <c r="K4900">
        <v>118</v>
      </c>
      <c r="L4900">
        <v>54</v>
      </c>
      <c r="M4900">
        <v>183</v>
      </c>
      <c r="N4900">
        <v>1.8</v>
      </c>
      <c r="O4900">
        <v>1.2</v>
      </c>
      <c r="P4900">
        <v>2.4</v>
      </c>
      <c r="Q4900">
        <f t="shared" si="150"/>
        <v>1767859</v>
      </c>
      <c r="R4900">
        <f t="shared" si="151"/>
        <v>6.6747404628989075</v>
      </c>
      <c r="U4900">
        <v>579</v>
      </c>
      <c r="V4900">
        <v>231</v>
      </c>
      <c r="W4900">
        <v>927</v>
      </c>
      <c r="X4900">
        <v>250</v>
      </c>
      <c r="Y4900">
        <v>69.900000000000006</v>
      </c>
      <c r="Z4900">
        <v>59.7</v>
      </c>
      <c r="AA4900">
        <v>80</v>
      </c>
    </row>
    <row r="4901" spans="1:27" x14ac:dyDescent="0.25">
      <c r="A4901" t="s">
        <v>274</v>
      </c>
      <c r="B4901" t="s">
        <v>211</v>
      </c>
      <c r="C4901" s="76">
        <v>43983</v>
      </c>
      <c r="D4901">
        <v>4066</v>
      </c>
      <c r="E4901">
        <v>2260</v>
      </c>
      <c r="F4901">
        <v>5872</v>
      </c>
      <c r="G4901">
        <v>2453</v>
      </c>
      <c r="H4901">
        <v>62.4</v>
      </c>
      <c r="I4901">
        <v>55.6</v>
      </c>
      <c r="J4901">
        <v>69.099999999999994</v>
      </c>
      <c r="K4901">
        <v>101</v>
      </c>
      <c r="L4901">
        <v>41</v>
      </c>
      <c r="M4901">
        <v>161</v>
      </c>
      <c r="N4901">
        <v>1.6</v>
      </c>
      <c r="O4901">
        <v>0.9</v>
      </c>
      <c r="P4901">
        <v>2.2000000000000002</v>
      </c>
      <c r="Q4901">
        <f t="shared" si="150"/>
        <v>1767859</v>
      </c>
      <c r="R4901">
        <f t="shared" si="151"/>
        <v>5.713125311464319</v>
      </c>
      <c r="U4901">
        <v>579</v>
      </c>
      <c r="V4901">
        <v>238</v>
      </c>
      <c r="W4901">
        <v>920</v>
      </c>
      <c r="X4901">
        <v>250</v>
      </c>
      <c r="Y4901">
        <v>69.900000000000006</v>
      </c>
      <c r="Z4901">
        <v>61.5</v>
      </c>
      <c r="AA4901">
        <v>78.2</v>
      </c>
    </row>
    <row r="4902" spans="1:27" x14ac:dyDescent="0.25">
      <c r="A4902" t="s">
        <v>274</v>
      </c>
      <c r="B4902" t="s">
        <v>211</v>
      </c>
      <c r="C4902" s="76">
        <v>43984</v>
      </c>
      <c r="D4902">
        <v>4290</v>
      </c>
      <c r="E4902">
        <v>2374</v>
      </c>
      <c r="F4902">
        <v>6206</v>
      </c>
      <c r="G4902">
        <v>2109</v>
      </c>
      <c r="H4902">
        <v>67</v>
      </c>
      <c r="I4902">
        <v>60.3</v>
      </c>
      <c r="J4902">
        <v>73.8</v>
      </c>
      <c r="K4902">
        <v>122</v>
      </c>
      <c r="L4902">
        <v>51</v>
      </c>
      <c r="M4902">
        <v>193</v>
      </c>
      <c r="N4902">
        <v>1.9</v>
      </c>
      <c r="O4902">
        <v>1.1000000000000001</v>
      </c>
      <c r="P4902">
        <v>2.7</v>
      </c>
      <c r="Q4902">
        <f t="shared" si="150"/>
        <v>1767859</v>
      </c>
      <c r="R4902">
        <f t="shared" si="151"/>
        <v>6.9010028514717519</v>
      </c>
      <c r="U4902">
        <v>596</v>
      </c>
      <c r="V4902">
        <v>251</v>
      </c>
      <c r="W4902">
        <v>941</v>
      </c>
      <c r="X4902">
        <v>241</v>
      </c>
      <c r="Y4902">
        <v>71.2</v>
      </c>
      <c r="Z4902">
        <v>62.9</v>
      </c>
      <c r="AA4902">
        <v>79.400000000000006</v>
      </c>
    </row>
    <row r="4903" spans="1:27" x14ac:dyDescent="0.25">
      <c r="A4903" t="s">
        <v>274</v>
      </c>
      <c r="B4903" t="s">
        <v>211</v>
      </c>
      <c r="C4903" s="76">
        <v>43985</v>
      </c>
      <c r="D4903">
        <v>4335</v>
      </c>
      <c r="E4903">
        <v>2015</v>
      </c>
      <c r="F4903">
        <v>6656</v>
      </c>
      <c r="G4903">
        <v>1895</v>
      </c>
      <c r="H4903">
        <v>69.599999999999994</v>
      </c>
      <c r="I4903">
        <v>61.8</v>
      </c>
      <c r="J4903">
        <v>77.3</v>
      </c>
      <c r="K4903">
        <v>135</v>
      </c>
      <c r="L4903">
        <v>52</v>
      </c>
      <c r="M4903">
        <v>219</v>
      </c>
      <c r="N4903">
        <v>2.2000000000000002</v>
      </c>
      <c r="O4903">
        <v>1.2</v>
      </c>
      <c r="P4903">
        <v>3.2</v>
      </c>
      <c r="Q4903">
        <f t="shared" ref="Q4903:Q4966" si="152">VLOOKUP(B4903,$AE$4:$AF$55,2,FALSE)</f>
        <v>1767859</v>
      </c>
      <c r="R4903">
        <f t="shared" si="151"/>
        <v>7.6363556143334961</v>
      </c>
      <c r="U4903">
        <v>584</v>
      </c>
      <c r="V4903">
        <v>142</v>
      </c>
      <c r="W4903">
        <v>1026</v>
      </c>
      <c r="X4903">
        <v>220</v>
      </c>
      <c r="Y4903">
        <v>72.7</v>
      </c>
      <c r="Z4903">
        <v>61.6</v>
      </c>
      <c r="AA4903">
        <v>83.8</v>
      </c>
    </row>
    <row r="4904" spans="1:27" x14ac:dyDescent="0.25">
      <c r="A4904" t="s">
        <v>274</v>
      </c>
      <c r="B4904" t="s">
        <v>211</v>
      </c>
      <c r="C4904" s="76">
        <v>43986</v>
      </c>
      <c r="D4904">
        <v>4468</v>
      </c>
      <c r="E4904">
        <v>2108</v>
      </c>
      <c r="F4904">
        <v>6828</v>
      </c>
      <c r="G4904">
        <v>1793</v>
      </c>
      <c r="H4904">
        <v>71.400000000000006</v>
      </c>
      <c r="I4904">
        <v>63.4</v>
      </c>
      <c r="J4904">
        <v>79.400000000000006</v>
      </c>
      <c r="K4904">
        <v>122</v>
      </c>
      <c r="L4904">
        <v>37</v>
      </c>
      <c r="M4904">
        <v>207</v>
      </c>
      <c r="N4904">
        <v>1.9</v>
      </c>
      <c r="O4904">
        <v>0.9</v>
      </c>
      <c r="P4904">
        <v>3</v>
      </c>
      <c r="Q4904">
        <f t="shared" si="152"/>
        <v>1767859</v>
      </c>
      <c r="R4904">
        <f t="shared" si="151"/>
        <v>6.9010028514717519</v>
      </c>
      <c r="U4904">
        <v>594</v>
      </c>
      <c r="V4904">
        <v>175</v>
      </c>
      <c r="W4904">
        <v>1013</v>
      </c>
      <c r="X4904">
        <v>167</v>
      </c>
      <c r="Y4904">
        <v>78</v>
      </c>
      <c r="Z4904">
        <v>70.8</v>
      </c>
      <c r="AA4904">
        <v>85.3</v>
      </c>
    </row>
    <row r="4905" spans="1:27" x14ac:dyDescent="0.25">
      <c r="A4905" t="s">
        <v>274</v>
      </c>
      <c r="B4905" t="s">
        <v>211</v>
      </c>
      <c r="C4905" s="76">
        <v>43987</v>
      </c>
      <c r="D4905">
        <v>4538</v>
      </c>
      <c r="E4905">
        <v>2489</v>
      </c>
      <c r="F4905">
        <v>6587</v>
      </c>
      <c r="G4905">
        <v>1947</v>
      </c>
      <c r="H4905">
        <v>70</v>
      </c>
      <c r="I4905">
        <v>63.4</v>
      </c>
      <c r="J4905">
        <v>76.5</v>
      </c>
      <c r="K4905">
        <v>96</v>
      </c>
      <c r="L4905">
        <v>44</v>
      </c>
      <c r="M4905">
        <v>149</v>
      </c>
      <c r="N4905">
        <v>1.5</v>
      </c>
      <c r="O4905">
        <v>0.9</v>
      </c>
      <c r="P4905">
        <v>2</v>
      </c>
      <c r="Q4905">
        <f t="shared" si="152"/>
        <v>1767859</v>
      </c>
      <c r="R4905">
        <f t="shared" si="151"/>
        <v>5.4302973257482634</v>
      </c>
      <c r="U4905">
        <v>665</v>
      </c>
      <c r="V4905">
        <v>296</v>
      </c>
      <c r="W4905">
        <v>1035</v>
      </c>
      <c r="X4905">
        <v>182</v>
      </c>
      <c r="Y4905">
        <v>78.5</v>
      </c>
      <c r="Z4905">
        <v>71.2</v>
      </c>
      <c r="AA4905">
        <v>85.9</v>
      </c>
    </row>
    <row r="4906" spans="1:27" x14ac:dyDescent="0.25">
      <c r="A4906" t="s">
        <v>274</v>
      </c>
      <c r="B4906" t="s">
        <v>211</v>
      </c>
      <c r="C4906" s="76">
        <v>43988</v>
      </c>
      <c r="D4906">
        <v>4352</v>
      </c>
      <c r="E4906">
        <v>2395</v>
      </c>
      <c r="F4906">
        <v>6308</v>
      </c>
      <c r="G4906">
        <v>2131</v>
      </c>
      <c r="H4906">
        <v>67.099999999999994</v>
      </c>
      <c r="I4906">
        <v>60.3</v>
      </c>
      <c r="J4906">
        <v>74</v>
      </c>
      <c r="K4906">
        <v>111</v>
      </c>
      <c r="L4906">
        <v>47</v>
      </c>
      <c r="M4906">
        <v>176</v>
      </c>
      <c r="N4906">
        <v>1.7</v>
      </c>
      <c r="O4906">
        <v>1.1000000000000001</v>
      </c>
      <c r="P4906">
        <v>2.2999999999999998</v>
      </c>
      <c r="Q4906">
        <f t="shared" si="152"/>
        <v>1767859</v>
      </c>
      <c r="R4906">
        <f t="shared" si="151"/>
        <v>6.2787812828964302</v>
      </c>
      <c r="U4906">
        <v>635</v>
      </c>
      <c r="V4906">
        <v>281</v>
      </c>
      <c r="W4906">
        <v>989</v>
      </c>
      <c r="X4906">
        <v>212</v>
      </c>
      <c r="Y4906">
        <v>75</v>
      </c>
      <c r="Z4906">
        <v>67.599999999999994</v>
      </c>
      <c r="AA4906">
        <v>82.3</v>
      </c>
    </row>
    <row r="4907" spans="1:27" x14ac:dyDescent="0.25">
      <c r="A4907" t="s">
        <v>274</v>
      </c>
      <c r="B4907" t="s">
        <v>211</v>
      </c>
      <c r="C4907" s="76">
        <v>43989</v>
      </c>
      <c r="D4907">
        <v>4113</v>
      </c>
      <c r="E4907">
        <v>2246</v>
      </c>
      <c r="F4907">
        <v>5979</v>
      </c>
      <c r="G4907">
        <v>2364</v>
      </c>
      <c r="H4907">
        <v>63.5</v>
      </c>
      <c r="I4907">
        <v>56.5</v>
      </c>
      <c r="J4907">
        <v>70.400000000000006</v>
      </c>
      <c r="K4907">
        <v>91</v>
      </c>
      <c r="L4907">
        <v>33</v>
      </c>
      <c r="M4907">
        <v>149</v>
      </c>
      <c r="N4907">
        <v>1.4</v>
      </c>
      <c r="O4907">
        <v>0.8</v>
      </c>
      <c r="P4907">
        <v>2</v>
      </c>
      <c r="Q4907">
        <f t="shared" si="152"/>
        <v>1767859</v>
      </c>
      <c r="R4907">
        <f t="shared" si="151"/>
        <v>5.1474693400322087</v>
      </c>
      <c r="U4907">
        <v>602</v>
      </c>
      <c r="V4907">
        <v>265</v>
      </c>
      <c r="W4907">
        <v>940</v>
      </c>
      <c r="X4907">
        <v>243</v>
      </c>
      <c r="Y4907">
        <v>71.3</v>
      </c>
      <c r="Z4907">
        <v>63.9</v>
      </c>
      <c r="AA4907">
        <v>78.7</v>
      </c>
    </row>
    <row r="4908" spans="1:27" x14ac:dyDescent="0.25">
      <c r="A4908" t="s">
        <v>274</v>
      </c>
      <c r="B4908" t="s">
        <v>211</v>
      </c>
      <c r="C4908" s="76">
        <v>43990</v>
      </c>
      <c r="D4908">
        <v>4195</v>
      </c>
      <c r="E4908">
        <v>2282</v>
      </c>
      <c r="F4908">
        <v>6108</v>
      </c>
      <c r="G4908">
        <v>2231</v>
      </c>
      <c r="H4908">
        <v>65.3</v>
      </c>
      <c r="I4908">
        <v>58.3</v>
      </c>
      <c r="J4908">
        <v>72.3</v>
      </c>
      <c r="K4908">
        <v>115</v>
      </c>
      <c r="L4908">
        <v>47</v>
      </c>
      <c r="M4908">
        <v>182</v>
      </c>
      <c r="N4908">
        <v>1.8</v>
      </c>
      <c r="O4908">
        <v>1</v>
      </c>
      <c r="P4908">
        <v>2.5</v>
      </c>
      <c r="Q4908">
        <f t="shared" si="152"/>
        <v>1767859</v>
      </c>
      <c r="R4908">
        <f t="shared" si="151"/>
        <v>6.5050436714692736</v>
      </c>
      <c r="U4908">
        <v>605</v>
      </c>
      <c r="V4908">
        <v>267</v>
      </c>
      <c r="W4908">
        <v>943</v>
      </c>
      <c r="X4908">
        <v>248</v>
      </c>
      <c r="Y4908">
        <v>70.900000000000006</v>
      </c>
      <c r="Z4908">
        <v>63</v>
      </c>
      <c r="AA4908">
        <v>78.900000000000006</v>
      </c>
    </row>
    <row r="4909" spans="1:27" x14ac:dyDescent="0.25">
      <c r="A4909" t="s">
        <v>274</v>
      </c>
      <c r="B4909" t="s">
        <v>211</v>
      </c>
      <c r="C4909" s="76">
        <v>43991</v>
      </c>
      <c r="D4909">
        <v>4480</v>
      </c>
      <c r="E4909">
        <v>2424</v>
      </c>
      <c r="F4909">
        <v>6536</v>
      </c>
      <c r="G4909">
        <v>1903</v>
      </c>
      <c r="H4909">
        <v>70.2</v>
      </c>
      <c r="I4909">
        <v>62.7</v>
      </c>
      <c r="J4909">
        <v>77.7</v>
      </c>
      <c r="K4909">
        <v>109</v>
      </c>
      <c r="L4909">
        <v>49</v>
      </c>
      <c r="M4909">
        <v>170</v>
      </c>
      <c r="N4909">
        <v>1.7</v>
      </c>
      <c r="O4909">
        <v>1.1000000000000001</v>
      </c>
      <c r="P4909">
        <v>2.2999999999999998</v>
      </c>
      <c r="Q4909">
        <f t="shared" si="152"/>
        <v>1767859</v>
      </c>
      <c r="R4909">
        <f t="shared" si="151"/>
        <v>6.1656500886100076</v>
      </c>
      <c r="U4909">
        <v>676</v>
      </c>
      <c r="V4909">
        <v>303</v>
      </c>
      <c r="W4909">
        <v>1050</v>
      </c>
      <c r="X4909">
        <v>177</v>
      </c>
      <c r="Y4909">
        <v>79.2</v>
      </c>
      <c r="Z4909">
        <v>71.3</v>
      </c>
      <c r="AA4909">
        <v>87.1</v>
      </c>
    </row>
    <row r="4910" spans="1:27" x14ac:dyDescent="0.25">
      <c r="A4910" t="s">
        <v>274</v>
      </c>
      <c r="B4910" t="s">
        <v>211</v>
      </c>
      <c r="C4910" s="76">
        <v>43992</v>
      </c>
      <c r="D4910">
        <v>4127</v>
      </c>
      <c r="E4910">
        <v>2343</v>
      </c>
      <c r="F4910">
        <v>5910</v>
      </c>
      <c r="G4910">
        <v>2252</v>
      </c>
      <c r="H4910">
        <v>64.7</v>
      </c>
      <c r="I4910">
        <v>53</v>
      </c>
      <c r="J4910">
        <v>76.400000000000006</v>
      </c>
      <c r="K4910">
        <v>82</v>
      </c>
      <c r="L4910">
        <v>28</v>
      </c>
      <c r="M4910">
        <v>135</v>
      </c>
      <c r="N4910">
        <v>1.3</v>
      </c>
      <c r="O4910">
        <v>0.7</v>
      </c>
      <c r="P4910">
        <v>1.9</v>
      </c>
      <c r="Q4910">
        <f t="shared" si="152"/>
        <v>1767859</v>
      </c>
      <c r="R4910">
        <f t="shared" si="151"/>
        <v>4.6383789657433088</v>
      </c>
      <c r="U4910">
        <v>675</v>
      </c>
      <c r="V4910">
        <v>289</v>
      </c>
      <c r="W4910">
        <v>1061</v>
      </c>
      <c r="X4910">
        <v>152</v>
      </c>
      <c r="Y4910">
        <v>81.599999999999994</v>
      </c>
      <c r="Z4910">
        <v>73</v>
      </c>
      <c r="AA4910">
        <v>90.2</v>
      </c>
    </row>
    <row r="4911" spans="1:27" x14ac:dyDescent="0.25">
      <c r="A4911" t="s">
        <v>274</v>
      </c>
      <c r="B4911" t="s">
        <v>211</v>
      </c>
      <c r="C4911" s="76">
        <v>43993</v>
      </c>
      <c r="D4911">
        <v>4563</v>
      </c>
      <c r="E4911">
        <v>2482</v>
      </c>
      <c r="F4911">
        <v>6643</v>
      </c>
      <c r="G4911">
        <v>1833</v>
      </c>
      <c r="H4911">
        <v>71.3</v>
      </c>
      <c r="I4911">
        <v>64.3</v>
      </c>
      <c r="J4911">
        <v>78.400000000000006</v>
      </c>
      <c r="K4911">
        <v>101</v>
      </c>
      <c r="L4911">
        <v>36</v>
      </c>
      <c r="M4911">
        <v>166</v>
      </c>
      <c r="N4911">
        <v>1.6</v>
      </c>
      <c r="O4911">
        <v>0.8</v>
      </c>
      <c r="P4911">
        <v>2.2999999999999998</v>
      </c>
      <c r="Q4911">
        <f t="shared" si="152"/>
        <v>1767859</v>
      </c>
      <c r="R4911">
        <f t="shared" si="151"/>
        <v>5.713125311464319</v>
      </c>
      <c r="U4911">
        <v>671</v>
      </c>
      <c r="V4911">
        <v>290</v>
      </c>
      <c r="W4911">
        <v>1051</v>
      </c>
      <c r="X4911">
        <v>183</v>
      </c>
      <c r="Y4911">
        <v>78.599999999999994</v>
      </c>
      <c r="Z4911">
        <v>69.599999999999994</v>
      </c>
      <c r="AA4911">
        <v>87.6</v>
      </c>
    </row>
    <row r="4912" spans="1:27" x14ac:dyDescent="0.25">
      <c r="A4912" t="s">
        <v>274</v>
      </c>
      <c r="B4912" t="s">
        <v>211</v>
      </c>
      <c r="C4912" s="76">
        <v>43994</v>
      </c>
      <c r="D4912">
        <v>4599</v>
      </c>
      <c r="E4912">
        <v>2599</v>
      </c>
      <c r="F4912">
        <v>6599</v>
      </c>
      <c r="G4912">
        <v>1972</v>
      </c>
      <c r="H4912">
        <v>70</v>
      </c>
      <c r="I4912">
        <v>63.6</v>
      </c>
      <c r="J4912">
        <v>76.400000000000006</v>
      </c>
      <c r="K4912">
        <v>101</v>
      </c>
      <c r="L4912">
        <v>45</v>
      </c>
      <c r="M4912">
        <v>157</v>
      </c>
      <c r="N4912">
        <v>1.5</v>
      </c>
      <c r="O4912">
        <v>1</v>
      </c>
      <c r="P4912">
        <v>2.1</v>
      </c>
      <c r="Q4912">
        <f t="shared" si="152"/>
        <v>1767859</v>
      </c>
      <c r="R4912">
        <f t="shared" si="151"/>
        <v>5.713125311464319</v>
      </c>
      <c r="U4912">
        <v>625</v>
      </c>
      <c r="V4912">
        <v>265</v>
      </c>
      <c r="W4912">
        <v>985</v>
      </c>
      <c r="X4912">
        <v>232</v>
      </c>
      <c r="Y4912">
        <v>73</v>
      </c>
      <c r="Z4912">
        <v>63.4</v>
      </c>
      <c r="AA4912">
        <v>82.5</v>
      </c>
    </row>
    <row r="4913" spans="1:27" x14ac:dyDescent="0.25">
      <c r="A4913" t="s">
        <v>274</v>
      </c>
      <c r="B4913" t="s">
        <v>211</v>
      </c>
      <c r="C4913" s="76">
        <v>43995</v>
      </c>
      <c r="D4913">
        <v>4312</v>
      </c>
      <c r="E4913">
        <v>2418</v>
      </c>
      <c r="F4913">
        <v>6206</v>
      </c>
      <c r="G4913">
        <v>2204</v>
      </c>
      <c r="H4913">
        <v>66.2</v>
      </c>
      <c r="I4913">
        <v>59.6</v>
      </c>
      <c r="J4913">
        <v>72.7</v>
      </c>
      <c r="K4913">
        <v>100</v>
      </c>
      <c r="L4913">
        <v>40</v>
      </c>
      <c r="M4913">
        <v>161</v>
      </c>
      <c r="N4913">
        <v>1.5</v>
      </c>
      <c r="O4913">
        <v>0.9</v>
      </c>
      <c r="P4913">
        <v>2.2000000000000002</v>
      </c>
      <c r="Q4913">
        <f t="shared" si="152"/>
        <v>1767859</v>
      </c>
      <c r="R4913">
        <f t="shared" si="151"/>
        <v>5.6565597143211086</v>
      </c>
      <c r="U4913">
        <v>612</v>
      </c>
      <c r="V4913">
        <v>256</v>
      </c>
      <c r="W4913">
        <v>967</v>
      </c>
      <c r="X4913">
        <v>237</v>
      </c>
      <c r="Y4913">
        <v>72.099999999999994</v>
      </c>
      <c r="Z4913">
        <v>62</v>
      </c>
      <c r="AA4913">
        <v>82.1</v>
      </c>
    </row>
    <row r="4914" spans="1:27" x14ac:dyDescent="0.25">
      <c r="A4914" t="s">
        <v>274</v>
      </c>
      <c r="B4914" t="s">
        <v>211</v>
      </c>
      <c r="C4914" s="76">
        <v>43996</v>
      </c>
      <c r="D4914">
        <v>4109</v>
      </c>
      <c r="E4914">
        <v>2306</v>
      </c>
      <c r="F4914">
        <v>5912</v>
      </c>
      <c r="G4914">
        <v>2391</v>
      </c>
      <c r="H4914">
        <v>63.2</v>
      </c>
      <c r="I4914">
        <v>56.7</v>
      </c>
      <c r="J4914">
        <v>69.7</v>
      </c>
      <c r="K4914">
        <v>82</v>
      </c>
      <c r="L4914">
        <v>30</v>
      </c>
      <c r="M4914">
        <v>135</v>
      </c>
      <c r="N4914">
        <v>1.3</v>
      </c>
      <c r="O4914">
        <v>0.7</v>
      </c>
      <c r="P4914">
        <v>1.9</v>
      </c>
      <c r="Q4914">
        <f t="shared" si="152"/>
        <v>1767859</v>
      </c>
      <c r="R4914">
        <f t="shared" si="151"/>
        <v>4.6383789657433088</v>
      </c>
      <c r="U4914">
        <v>592</v>
      </c>
      <c r="V4914">
        <v>256</v>
      </c>
      <c r="W4914">
        <v>929</v>
      </c>
      <c r="X4914">
        <v>242</v>
      </c>
      <c r="Y4914">
        <v>71</v>
      </c>
      <c r="Z4914">
        <v>62.1</v>
      </c>
      <c r="AA4914">
        <v>79.8</v>
      </c>
    </row>
    <row r="4915" spans="1:27" x14ac:dyDescent="0.25">
      <c r="A4915" t="s">
        <v>274</v>
      </c>
      <c r="B4915" t="s">
        <v>211</v>
      </c>
      <c r="C4915" s="76">
        <v>43997</v>
      </c>
      <c r="D4915">
        <v>4236</v>
      </c>
      <c r="E4915">
        <v>2388</v>
      </c>
      <c r="F4915">
        <v>6083</v>
      </c>
      <c r="G4915">
        <v>2284</v>
      </c>
      <c r="H4915">
        <v>65</v>
      </c>
      <c r="I4915">
        <v>58.4</v>
      </c>
      <c r="J4915">
        <v>71.5</v>
      </c>
      <c r="K4915">
        <v>65</v>
      </c>
      <c r="L4915">
        <v>27</v>
      </c>
      <c r="M4915">
        <v>104</v>
      </c>
      <c r="N4915">
        <v>1</v>
      </c>
      <c r="O4915">
        <v>0.6</v>
      </c>
      <c r="P4915">
        <v>1.4</v>
      </c>
      <c r="Q4915">
        <f t="shared" si="152"/>
        <v>1767859</v>
      </c>
      <c r="R4915">
        <f t="shared" si="151"/>
        <v>3.6767638143087202</v>
      </c>
      <c r="U4915">
        <v>578</v>
      </c>
      <c r="V4915">
        <v>254</v>
      </c>
      <c r="W4915">
        <v>902</v>
      </c>
      <c r="X4915">
        <v>282</v>
      </c>
      <c r="Y4915">
        <v>67.2</v>
      </c>
      <c r="Z4915">
        <v>59.1</v>
      </c>
      <c r="AA4915">
        <v>75.3</v>
      </c>
    </row>
    <row r="4916" spans="1:27" x14ac:dyDescent="0.25">
      <c r="A4916" t="s">
        <v>274</v>
      </c>
      <c r="B4916" t="s">
        <v>211</v>
      </c>
      <c r="C4916" s="76">
        <v>43998</v>
      </c>
      <c r="D4916">
        <v>4534</v>
      </c>
      <c r="E4916">
        <v>2530</v>
      </c>
      <c r="F4916">
        <v>6539</v>
      </c>
      <c r="G4916">
        <v>1983</v>
      </c>
      <c r="H4916">
        <v>69.599999999999994</v>
      </c>
      <c r="I4916">
        <v>62.6</v>
      </c>
      <c r="J4916">
        <v>76.599999999999994</v>
      </c>
      <c r="K4916">
        <v>57</v>
      </c>
      <c r="L4916">
        <v>21</v>
      </c>
      <c r="M4916">
        <v>94</v>
      </c>
      <c r="N4916">
        <v>0.9</v>
      </c>
      <c r="O4916">
        <v>0.5</v>
      </c>
      <c r="P4916">
        <v>1.3</v>
      </c>
      <c r="Q4916">
        <f t="shared" si="152"/>
        <v>1767859</v>
      </c>
      <c r="R4916">
        <f t="shared" si="151"/>
        <v>3.2242390371630321</v>
      </c>
      <c r="U4916">
        <v>635</v>
      </c>
      <c r="V4916">
        <v>264</v>
      </c>
      <c r="W4916">
        <v>1005</v>
      </c>
      <c r="X4916">
        <v>200</v>
      </c>
      <c r="Y4916">
        <v>76.099999999999994</v>
      </c>
      <c r="Z4916">
        <v>67.900000000000006</v>
      </c>
      <c r="AA4916">
        <v>84.2</v>
      </c>
    </row>
    <row r="4917" spans="1:27" x14ac:dyDescent="0.25">
      <c r="A4917" t="s">
        <v>274</v>
      </c>
      <c r="B4917" t="s">
        <v>211</v>
      </c>
      <c r="C4917" s="76">
        <v>43999</v>
      </c>
      <c r="D4917">
        <v>4502</v>
      </c>
      <c r="E4917">
        <v>2459</v>
      </c>
      <c r="F4917">
        <v>6545</v>
      </c>
      <c r="G4917">
        <v>1930</v>
      </c>
      <c r="H4917">
        <v>70</v>
      </c>
      <c r="I4917">
        <v>63.4</v>
      </c>
      <c r="J4917">
        <v>76.599999999999994</v>
      </c>
      <c r="K4917">
        <v>61</v>
      </c>
      <c r="L4917">
        <v>24</v>
      </c>
      <c r="M4917">
        <v>99</v>
      </c>
      <c r="N4917">
        <v>1</v>
      </c>
      <c r="O4917">
        <v>0.6</v>
      </c>
      <c r="P4917">
        <v>1.3</v>
      </c>
      <c r="Q4917">
        <f t="shared" si="152"/>
        <v>1767859</v>
      </c>
      <c r="R4917">
        <f t="shared" si="151"/>
        <v>3.4505014257358759</v>
      </c>
      <c r="U4917">
        <v>586</v>
      </c>
      <c r="V4917">
        <v>289</v>
      </c>
      <c r="W4917">
        <v>883</v>
      </c>
      <c r="X4917">
        <v>300</v>
      </c>
      <c r="Y4917">
        <v>66.2</v>
      </c>
      <c r="Z4917">
        <v>56.4</v>
      </c>
      <c r="AA4917">
        <v>76</v>
      </c>
    </row>
    <row r="4918" spans="1:27" x14ac:dyDescent="0.25">
      <c r="A4918" t="s">
        <v>274</v>
      </c>
      <c r="B4918" t="s">
        <v>211</v>
      </c>
      <c r="C4918" s="76">
        <v>44000</v>
      </c>
      <c r="D4918">
        <v>4716</v>
      </c>
      <c r="E4918">
        <v>1780</v>
      </c>
      <c r="F4918">
        <v>7651</v>
      </c>
      <c r="G4918">
        <v>1770</v>
      </c>
      <c r="H4918">
        <v>72.7</v>
      </c>
      <c r="I4918">
        <v>63.2</v>
      </c>
      <c r="J4918">
        <v>82.2</v>
      </c>
      <c r="K4918">
        <v>88</v>
      </c>
      <c r="L4918">
        <v>37</v>
      </c>
      <c r="M4918">
        <v>140</v>
      </c>
      <c r="N4918">
        <v>1.4</v>
      </c>
      <c r="O4918">
        <v>0.9</v>
      </c>
      <c r="P4918">
        <v>1.8</v>
      </c>
      <c r="Q4918">
        <f t="shared" si="152"/>
        <v>1767859</v>
      </c>
      <c r="R4918">
        <f t="shared" si="151"/>
        <v>4.9777725486025757</v>
      </c>
      <c r="U4918">
        <v>674</v>
      </c>
      <c r="V4918">
        <v>87</v>
      </c>
      <c r="W4918">
        <v>1260</v>
      </c>
      <c r="X4918">
        <v>257</v>
      </c>
      <c r="Y4918">
        <v>72.400000000000006</v>
      </c>
      <c r="Z4918">
        <v>60.9</v>
      </c>
      <c r="AA4918">
        <v>83.8</v>
      </c>
    </row>
    <row r="4919" spans="1:27" x14ac:dyDescent="0.25">
      <c r="A4919" t="s">
        <v>274</v>
      </c>
      <c r="B4919" t="s">
        <v>211</v>
      </c>
      <c r="C4919" s="76">
        <v>44001</v>
      </c>
      <c r="D4919">
        <v>4512</v>
      </c>
      <c r="E4919">
        <v>2185</v>
      </c>
      <c r="F4919">
        <v>6839</v>
      </c>
      <c r="G4919">
        <v>1714</v>
      </c>
      <c r="H4919">
        <v>72.5</v>
      </c>
      <c r="I4919">
        <v>64.2</v>
      </c>
      <c r="J4919">
        <v>80.8</v>
      </c>
      <c r="K4919">
        <v>85</v>
      </c>
      <c r="L4919">
        <v>36</v>
      </c>
      <c r="M4919">
        <v>134</v>
      </c>
      <c r="N4919">
        <v>1.4</v>
      </c>
      <c r="O4919">
        <v>0.9</v>
      </c>
      <c r="P4919">
        <v>1.8</v>
      </c>
      <c r="Q4919">
        <f t="shared" si="152"/>
        <v>1767859</v>
      </c>
      <c r="R4919">
        <f t="shared" si="151"/>
        <v>4.8080757571729427</v>
      </c>
      <c r="U4919">
        <v>609</v>
      </c>
      <c r="V4919">
        <v>173</v>
      </c>
      <c r="W4919">
        <v>1044</v>
      </c>
      <c r="X4919">
        <v>207</v>
      </c>
      <c r="Y4919">
        <v>74.599999999999994</v>
      </c>
      <c r="Z4919">
        <v>63</v>
      </c>
      <c r="AA4919">
        <v>86.3</v>
      </c>
    </row>
    <row r="4920" spans="1:27" x14ac:dyDescent="0.25">
      <c r="A4920" t="s">
        <v>274</v>
      </c>
      <c r="B4920" t="s">
        <v>211</v>
      </c>
      <c r="C4920" s="76">
        <v>44002</v>
      </c>
      <c r="D4920">
        <v>4330</v>
      </c>
      <c r="E4920">
        <v>2130</v>
      </c>
      <c r="F4920">
        <v>6530</v>
      </c>
      <c r="G4920">
        <v>1897</v>
      </c>
      <c r="H4920">
        <v>69.5</v>
      </c>
      <c r="I4920">
        <v>61.9</v>
      </c>
      <c r="J4920">
        <v>77.099999999999994</v>
      </c>
      <c r="K4920">
        <v>76</v>
      </c>
      <c r="L4920">
        <v>32</v>
      </c>
      <c r="M4920">
        <v>121</v>
      </c>
      <c r="N4920">
        <v>1.2</v>
      </c>
      <c r="O4920">
        <v>0.8</v>
      </c>
      <c r="P4920">
        <v>1.7</v>
      </c>
      <c r="Q4920">
        <f t="shared" si="152"/>
        <v>1767859</v>
      </c>
      <c r="R4920">
        <f t="shared" si="151"/>
        <v>4.2989853828840419</v>
      </c>
      <c r="U4920">
        <v>598</v>
      </c>
      <c r="V4920">
        <v>180</v>
      </c>
      <c r="W4920">
        <v>1016</v>
      </c>
      <c r="X4920">
        <v>216</v>
      </c>
      <c r="Y4920">
        <v>73.5</v>
      </c>
      <c r="Z4920">
        <v>64.400000000000006</v>
      </c>
      <c r="AA4920">
        <v>82.5</v>
      </c>
    </row>
    <row r="4921" spans="1:27" x14ac:dyDescent="0.25">
      <c r="A4921" t="s">
        <v>274</v>
      </c>
      <c r="B4921" t="s">
        <v>211</v>
      </c>
      <c r="C4921" s="76">
        <v>44003</v>
      </c>
      <c r="D4921">
        <v>4168</v>
      </c>
      <c r="E4921">
        <v>2020</v>
      </c>
      <c r="F4921">
        <v>6317</v>
      </c>
      <c r="G4921">
        <v>2059</v>
      </c>
      <c r="H4921">
        <v>66.900000000000006</v>
      </c>
      <c r="I4921">
        <v>59.1</v>
      </c>
      <c r="J4921">
        <v>74.8</v>
      </c>
      <c r="K4921">
        <v>78</v>
      </c>
      <c r="L4921">
        <v>22</v>
      </c>
      <c r="M4921">
        <v>135</v>
      </c>
      <c r="N4921">
        <v>1.3</v>
      </c>
      <c r="O4921">
        <v>0.7</v>
      </c>
      <c r="P4921">
        <v>1.9</v>
      </c>
      <c r="Q4921">
        <f t="shared" si="152"/>
        <v>1767859</v>
      </c>
      <c r="R4921">
        <f t="shared" si="151"/>
        <v>4.4121165771704645</v>
      </c>
      <c r="U4921">
        <v>593</v>
      </c>
      <c r="V4921">
        <v>173</v>
      </c>
      <c r="W4921">
        <v>1013</v>
      </c>
      <c r="X4921">
        <v>222</v>
      </c>
      <c r="Y4921">
        <v>72.7</v>
      </c>
      <c r="Z4921">
        <v>62.4</v>
      </c>
      <c r="AA4921">
        <v>83</v>
      </c>
    </row>
    <row r="4922" spans="1:27" x14ac:dyDescent="0.25">
      <c r="A4922" t="s">
        <v>274</v>
      </c>
      <c r="B4922" t="s">
        <v>211</v>
      </c>
      <c r="C4922" s="76">
        <v>44004</v>
      </c>
      <c r="D4922">
        <v>4109</v>
      </c>
      <c r="E4922">
        <v>2129</v>
      </c>
      <c r="F4922">
        <v>6089</v>
      </c>
      <c r="G4922">
        <v>2169</v>
      </c>
      <c r="H4922">
        <v>65.5</v>
      </c>
      <c r="I4922">
        <v>57.9</v>
      </c>
      <c r="J4922">
        <v>73</v>
      </c>
      <c r="K4922">
        <v>81</v>
      </c>
      <c r="L4922">
        <v>31</v>
      </c>
      <c r="M4922">
        <v>131</v>
      </c>
      <c r="N4922">
        <v>1.3</v>
      </c>
      <c r="O4922">
        <v>0.8</v>
      </c>
      <c r="P4922">
        <v>1.8</v>
      </c>
      <c r="Q4922">
        <f t="shared" si="152"/>
        <v>1767859</v>
      </c>
      <c r="R4922">
        <f t="shared" si="151"/>
        <v>4.5818133686000975</v>
      </c>
      <c r="U4922">
        <v>539</v>
      </c>
      <c r="V4922">
        <v>212</v>
      </c>
      <c r="W4922">
        <v>867</v>
      </c>
      <c r="X4922">
        <v>252</v>
      </c>
      <c r="Y4922">
        <v>68.2</v>
      </c>
      <c r="Z4922">
        <v>58.7</v>
      </c>
      <c r="AA4922">
        <v>77.7</v>
      </c>
    </row>
    <row r="4923" spans="1:27" x14ac:dyDescent="0.25">
      <c r="A4923" t="s">
        <v>274</v>
      </c>
      <c r="B4923" t="s">
        <v>211</v>
      </c>
      <c r="C4923" s="76">
        <v>44005</v>
      </c>
      <c r="D4923">
        <v>4378</v>
      </c>
      <c r="E4923">
        <v>2243</v>
      </c>
      <c r="F4923">
        <v>6513</v>
      </c>
      <c r="G4923">
        <v>1895</v>
      </c>
      <c r="H4923">
        <v>69.8</v>
      </c>
      <c r="I4923">
        <v>62.1</v>
      </c>
      <c r="J4923">
        <v>77.400000000000006</v>
      </c>
      <c r="K4923">
        <v>102</v>
      </c>
      <c r="L4923">
        <v>42</v>
      </c>
      <c r="M4923">
        <v>161</v>
      </c>
      <c r="N4923">
        <v>1.6</v>
      </c>
      <c r="O4923">
        <v>1</v>
      </c>
      <c r="P4923">
        <v>2.2999999999999998</v>
      </c>
      <c r="Q4923">
        <f t="shared" si="152"/>
        <v>1767859</v>
      </c>
      <c r="R4923">
        <f t="shared" si="151"/>
        <v>5.7696909086075303</v>
      </c>
      <c r="U4923">
        <v>508</v>
      </c>
      <c r="V4923">
        <v>229</v>
      </c>
      <c r="W4923">
        <v>788</v>
      </c>
      <c r="X4923">
        <v>281</v>
      </c>
      <c r="Y4923">
        <v>64.400000000000006</v>
      </c>
      <c r="Z4923">
        <v>54.4</v>
      </c>
      <c r="AA4923">
        <v>74.400000000000006</v>
      </c>
    </row>
    <row r="4924" spans="1:27" x14ac:dyDescent="0.25">
      <c r="A4924" t="s">
        <v>274</v>
      </c>
      <c r="B4924" t="s">
        <v>211</v>
      </c>
      <c r="C4924" s="76">
        <v>44006</v>
      </c>
      <c r="D4924">
        <v>4471</v>
      </c>
      <c r="E4924">
        <v>2272</v>
      </c>
      <c r="F4924">
        <v>6670</v>
      </c>
      <c r="G4924">
        <v>1720</v>
      </c>
      <c r="H4924">
        <v>72.2</v>
      </c>
      <c r="I4924">
        <v>63.7</v>
      </c>
      <c r="J4924">
        <v>80.7</v>
      </c>
      <c r="K4924">
        <v>125</v>
      </c>
      <c r="L4924">
        <v>45</v>
      </c>
      <c r="M4924">
        <v>205</v>
      </c>
      <c r="N4924">
        <v>2</v>
      </c>
      <c r="O4924">
        <v>1.2</v>
      </c>
      <c r="P4924">
        <v>2.8</v>
      </c>
      <c r="Q4924">
        <f t="shared" si="152"/>
        <v>1767859</v>
      </c>
      <c r="R4924">
        <f t="shared" si="151"/>
        <v>7.0706996429013858</v>
      </c>
      <c r="U4924">
        <v>538</v>
      </c>
      <c r="V4924">
        <v>193</v>
      </c>
      <c r="W4924">
        <v>882</v>
      </c>
      <c r="X4924">
        <v>217</v>
      </c>
      <c r="Y4924">
        <v>71.3</v>
      </c>
      <c r="Z4924">
        <v>62.5</v>
      </c>
      <c r="AA4924">
        <v>80.099999999999994</v>
      </c>
    </row>
    <row r="4925" spans="1:27" x14ac:dyDescent="0.25">
      <c r="A4925" t="s">
        <v>274</v>
      </c>
      <c r="B4925" t="s">
        <v>211</v>
      </c>
      <c r="C4925" s="76">
        <v>44007</v>
      </c>
      <c r="D4925">
        <v>4633</v>
      </c>
      <c r="E4925">
        <v>2503</v>
      </c>
      <c r="F4925">
        <v>6763</v>
      </c>
      <c r="G4925">
        <v>1780</v>
      </c>
      <c r="H4925">
        <v>72.2</v>
      </c>
      <c r="I4925">
        <v>65.3</v>
      </c>
      <c r="J4925">
        <v>79.2</v>
      </c>
      <c r="K4925">
        <v>113</v>
      </c>
      <c r="L4925">
        <v>49</v>
      </c>
      <c r="M4925">
        <v>176</v>
      </c>
      <c r="N4925">
        <v>1.8</v>
      </c>
      <c r="O4925">
        <v>1.1000000000000001</v>
      </c>
      <c r="P4925">
        <v>2.4</v>
      </c>
      <c r="Q4925">
        <f t="shared" si="152"/>
        <v>1767859</v>
      </c>
      <c r="R4925">
        <f t="shared" si="151"/>
        <v>6.3919124771828528</v>
      </c>
      <c r="U4925">
        <v>635</v>
      </c>
      <c r="V4925">
        <v>269</v>
      </c>
      <c r="W4925">
        <v>1001</v>
      </c>
      <c r="X4925">
        <v>226</v>
      </c>
      <c r="Y4925">
        <v>73.7</v>
      </c>
      <c r="Z4925">
        <v>65</v>
      </c>
      <c r="AA4925">
        <v>82.4</v>
      </c>
    </row>
    <row r="4926" spans="1:27" x14ac:dyDescent="0.25">
      <c r="A4926" t="s">
        <v>274</v>
      </c>
      <c r="B4926" t="s">
        <v>211</v>
      </c>
      <c r="C4926" s="76">
        <v>44008</v>
      </c>
      <c r="D4926">
        <v>4488</v>
      </c>
      <c r="E4926">
        <v>2405</v>
      </c>
      <c r="F4926">
        <v>6571</v>
      </c>
      <c r="G4926">
        <v>1906</v>
      </c>
      <c r="H4926">
        <v>70.2</v>
      </c>
      <c r="I4926">
        <v>63.1</v>
      </c>
      <c r="J4926">
        <v>77.2</v>
      </c>
      <c r="K4926">
        <v>130</v>
      </c>
      <c r="L4926">
        <v>61</v>
      </c>
      <c r="M4926">
        <v>199</v>
      </c>
      <c r="N4926">
        <v>2</v>
      </c>
      <c r="O4926">
        <v>1.4</v>
      </c>
      <c r="P4926">
        <v>2.6</v>
      </c>
      <c r="Q4926">
        <f t="shared" si="152"/>
        <v>1767859</v>
      </c>
      <c r="R4926">
        <f t="shared" si="151"/>
        <v>7.3535276286174405</v>
      </c>
      <c r="U4926">
        <v>596</v>
      </c>
      <c r="V4926">
        <v>245</v>
      </c>
      <c r="W4926">
        <v>947</v>
      </c>
      <c r="X4926">
        <v>251</v>
      </c>
      <c r="Y4926">
        <v>70.3</v>
      </c>
      <c r="Z4926">
        <v>61</v>
      </c>
      <c r="AA4926">
        <v>79.599999999999994</v>
      </c>
    </row>
    <row r="4927" spans="1:27" x14ac:dyDescent="0.25">
      <c r="A4927" t="s">
        <v>274</v>
      </c>
      <c r="B4927" t="s">
        <v>211</v>
      </c>
      <c r="C4927" s="76">
        <v>44009</v>
      </c>
      <c r="D4927">
        <v>4209</v>
      </c>
      <c r="E4927">
        <v>2272</v>
      </c>
      <c r="F4927">
        <v>6146</v>
      </c>
      <c r="G4927">
        <v>2192</v>
      </c>
      <c r="H4927">
        <v>65.8</v>
      </c>
      <c r="I4927">
        <v>58</v>
      </c>
      <c r="J4927">
        <v>73.5</v>
      </c>
      <c r="K4927">
        <v>96</v>
      </c>
      <c r="L4927">
        <v>40</v>
      </c>
      <c r="M4927">
        <v>152</v>
      </c>
      <c r="N4927">
        <v>1.5</v>
      </c>
      <c r="O4927">
        <v>1</v>
      </c>
      <c r="P4927">
        <v>2</v>
      </c>
      <c r="Q4927">
        <f t="shared" si="152"/>
        <v>1767859</v>
      </c>
      <c r="R4927">
        <f t="shared" si="151"/>
        <v>5.4302973257482634</v>
      </c>
      <c r="U4927">
        <v>564</v>
      </c>
      <c r="V4927">
        <v>228</v>
      </c>
      <c r="W4927">
        <v>899</v>
      </c>
      <c r="X4927">
        <v>300</v>
      </c>
      <c r="Y4927">
        <v>65.3</v>
      </c>
      <c r="Z4927">
        <v>55.3</v>
      </c>
      <c r="AA4927">
        <v>75.3</v>
      </c>
    </row>
    <row r="4928" spans="1:27" x14ac:dyDescent="0.25">
      <c r="A4928" t="s">
        <v>274</v>
      </c>
      <c r="B4928" t="s">
        <v>211</v>
      </c>
      <c r="C4928" s="76">
        <v>44010</v>
      </c>
      <c r="D4928">
        <v>4036</v>
      </c>
      <c r="E4928">
        <v>2189</v>
      </c>
      <c r="F4928">
        <v>5883</v>
      </c>
      <c r="G4928">
        <v>2364</v>
      </c>
      <c r="H4928">
        <v>63.1</v>
      </c>
      <c r="I4928">
        <v>55.7</v>
      </c>
      <c r="J4928">
        <v>70.5</v>
      </c>
      <c r="K4928">
        <v>77</v>
      </c>
      <c r="L4928">
        <v>36</v>
      </c>
      <c r="M4928">
        <v>119</v>
      </c>
      <c r="N4928">
        <v>1.2</v>
      </c>
      <c r="O4928">
        <v>0.8</v>
      </c>
      <c r="P4928">
        <v>1.6</v>
      </c>
      <c r="Q4928">
        <f t="shared" si="152"/>
        <v>1767859</v>
      </c>
      <c r="R4928">
        <f t="shared" si="151"/>
        <v>4.3555509800272532</v>
      </c>
      <c r="U4928">
        <v>550</v>
      </c>
      <c r="V4928">
        <v>235</v>
      </c>
      <c r="W4928">
        <v>864</v>
      </c>
      <c r="X4928">
        <v>314</v>
      </c>
      <c r="Y4928">
        <v>63.7</v>
      </c>
      <c r="Z4928">
        <v>52.4</v>
      </c>
      <c r="AA4928">
        <v>74.900000000000006</v>
      </c>
    </row>
    <row r="4929" spans="1:27" x14ac:dyDescent="0.25">
      <c r="A4929" t="s">
        <v>274</v>
      </c>
      <c r="B4929" t="s">
        <v>211</v>
      </c>
      <c r="C4929" s="76">
        <v>44011</v>
      </c>
      <c r="D4929">
        <v>4122</v>
      </c>
      <c r="E4929">
        <v>2266</v>
      </c>
      <c r="F4929">
        <v>5978</v>
      </c>
      <c r="G4929">
        <v>2256</v>
      </c>
      <c r="H4929">
        <v>64.599999999999994</v>
      </c>
      <c r="I4929">
        <v>57.7</v>
      </c>
      <c r="J4929">
        <v>71.5</v>
      </c>
      <c r="K4929">
        <v>93</v>
      </c>
      <c r="L4929">
        <v>45</v>
      </c>
      <c r="M4929">
        <v>142</v>
      </c>
      <c r="N4929">
        <v>1.5</v>
      </c>
      <c r="O4929">
        <v>1</v>
      </c>
      <c r="P4929">
        <v>1.9</v>
      </c>
      <c r="Q4929">
        <f t="shared" si="152"/>
        <v>1767859</v>
      </c>
      <c r="R4929">
        <f t="shared" si="151"/>
        <v>5.2606005343186304</v>
      </c>
      <c r="U4929">
        <v>572</v>
      </c>
      <c r="V4929">
        <v>252</v>
      </c>
      <c r="W4929">
        <v>892</v>
      </c>
      <c r="X4929">
        <v>311</v>
      </c>
      <c r="Y4929">
        <v>64.8</v>
      </c>
      <c r="Z4929">
        <v>57</v>
      </c>
      <c r="AA4929">
        <v>72.599999999999994</v>
      </c>
    </row>
    <row r="4930" spans="1:27" x14ac:dyDescent="0.25">
      <c r="A4930" t="s">
        <v>274</v>
      </c>
      <c r="B4930" t="s">
        <v>211</v>
      </c>
      <c r="C4930" s="76">
        <v>44012</v>
      </c>
      <c r="D4930">
        <v>4435</v>
      </c>
      <c r="E4930">
        <v>2447</v>
      </c>
      <c r="F4930">
        <v>6422</v>
      </c>
      <c r="G4930">
        <v>1945</v>
      </c>
      <c r="H4930">
        <v>69.5</v>
      </c>
      <c r="I4930">
        <v>62.5</v>
      </c>
      <c r="J4930">
        <v>76.599999999999994</v>
      </c>
      <c r="K4930">
        <v>95</v>
      </c>
      <c r="L4930">
        <v>41</v>
      </c>
      <c r="M4930">
        <v>149</v>
      </c>
      <c r="N4930">
        <v>1.5</v>
      </c>
      <c r="O4930">
        <v>0.9</v>
      </c>
      <c r="P4930">
        <v>2</v>
      </c>
      <c r="Q4930">
        <f t="shared" si="152"/>
        <v>1767859</v>
      </c>
      <c r="R4930">
        <f t="shared" si="151"/>
        <v>5.3737317286050521</v>
      </c>
      <c r="U4930">
        <v>606</v>
      </c>
      <c r="V4930">
        <v>260</v>
      </c>
      <c r="W4930">
        <v>953</v>
      </c>
      <c r="X4930">
        <v>248</v>
      </c>
      <c r="Y4930">
        <v>71</v>
      </c>
      <c r="Z4930">
        <v>62.9</v>
      </c>
      <c r="AA4930">
        <v>79.099999999999994</v>
      </c>
    </row>
    <row r="4931" spans="1:27" x14ac:dyDescent="0.25">
      <c r="A4931" t="s">
        <v>274</v>
      </c>
      <c r="B4931" t="s">
        <v>211</v>
      </c>
      <c r="C4931" s="76">
        <v>44013</v>
      </c>
      <c r="D4931">
        <v>4513</v>
      </c>
      <c r="E4931">
        <v>2401</v>
      </c>
      <c r="F4931">
        <v>6626</v>
      </c>
      <c r="G4931">
        <v>1895</v>
      </c>
      <c r="H4931">
        <v>70.400000000000006</v>
      </c>
      <c r="I4931">
        <v>62.5</v>
      </c>
      <c r="J4931">
        <v>78.3</v>
      </c>
      <c r="K4931">
        <v>95</v>
      </c>
      <c r="L4931">
        <v>38</v>
      </c>
      <c r="M4931">
        <v>152</v>
      </c>
      <c r="N4931">
        <v>1.5</v>
      </c>
      <c r="O4931">
        <v>0.9</v>
      </c>
      <c r="P4931">
        <v>2.1</v>
      </c>
      <c r="Q4931">
        <f t="shared" si="152"/>
        <v>1767859</v>
      </c>
      <c r="R4931">
        <f t="shared" si="151"/>
        <v>5.3737317286050521</v>
      </c>
      <c r="U4931">
        <v>626</v>
      </c>
      <c r="V4931">
        <v>265</v>
      </c>
      <c r="W4931">
        <v>987</v>
      </c>
      <c r="X4931">
        <v>236</v>
      </c>
      <c r="Y4931">
        <v>72.599999999999994</v>
      </c>
      <c r="Z4931">
        <v>64.599999999999994</v>
      </c>
      <c r="AA4931">
        <v>80.5</v>
      </c>
    </row>
    <row r="4932" spans="1:27" x14ac:dyDescent="0.25">
      <c r="A4932" t="s">
        <v>274</v>
      </c>
      <c r="B4932" t="s">
        <v>211</v>
      </c>
      <c r="C4932" s="76">
        <v>44014</v>
      </c>
      <c r="D4932">
        <v>4440</v>
      </c>
      <c r="E4932">
        <v>2421</v>
      </c>
      <c r="F4932">
        <v>6458</v>
      </c>
      <c r="G4932">
        <v>1940</v>
      </c>
      <c r="H4932">
        <v>69.599999999999994</v>
      </c>
      <c r="I4932">
        <v>63.2</v>
      </c>
      <c r="J4932">
        <v>76</v>
      </c>
      <c r="K4932">
        <v>85</v>
      </c>
      <c r="L4932">
        <v>35</v>
      </c>
      <c r="M4932">
        <v>135</v>
      </c>
      <c r="N4932">
        <v>1.3</v>
      </c>
      <c r="O4932">
        <v>0.8</v>
      </c>
      <c r="P4932">
        <v>1.9</v>
      </c>
      <c r="Q4932">
        <f t="shared" si="152"/>
        <v>1767859</v>
      </c>
      <c r="R4932">
        <f t="shared" si="151"/>
        <v>4.8080757571729427</v>
      </c>
      <c r="U4932">
        <v>553</v>
      </c>
      <c r="V4932">
        <v>276</v>
      </c>
      <c r="W4932">
        <v>830</v>
      </c>
      <c r="X4932">
        <v>243</v>
      </c>
      <c r="Y4932">
        <v>69.400000000000006</v>
      </c>
      <c r="Z4932">
        <v>60.4</v>
      </c>
      <c r="AA4932">
        <v>78.5</v>
      </c>
    </row>
    <row r="4933" spans="1:27" x14ac:dyDescent="0.25">
      <c r="A4933" t="s">
        <v>274</v>
      </c>
      <c r="B4933" t="s">
        <v>211</v>
      </c>
      <c r="C4933" s="76">
        <v>44015</v>
      </c>
      <c r="D4933">
        <v>4353</v>
      </c>
      <c r="E4933">
        <v>2341</v>
      </c>
      <c r="F4933">
        <v>6364</v>
      </c>
      <c r="G4933">
        <v>2051</v>
      </c>
      <c r="H4933">
        <v>68</v>
      </c>
      <c r="I4933">
        <v>61.4</v>
      </c>
      <c r="J4933">
        <v>74.599999999999994</v>
      </c>
      <c r="K4933">
        <v>81</v>
      </c>
      <c r="L4933">
        <v>36</v>
      </c>
      <c r="M4933">
        <v>126</v>
      </c>
      <c r="N4933">
        <v>1.3</v>
      </c>
      <c r="O4933">
        <v>0.8</v>
      </c>
      <c r="P4933">
        <v>1.7</v>
      </c>
      <c r="Q4933">
        <f t="shared" si="152"/>
        <v>1767859</v>
      </c>
      <c r="R4933">
        <f t="shared" ref="R4933:R4996" si="153">K4933/(Q4933)*100000</f>
        <v>4.5818133686000975</v>
      </c>
      <c r="U4933">
        <v>551</v>
      </c>
      <c r="V4933">
        <v>268</v>
      </c>
      <c r="W4933">
        <v>834</v>
      </c>
      <c r="X4933">
        <v>308</v>
      </c>
      <c r="Y4933">
        <v>64.099999999999994</v>
      </c>
      <c r="Z4933">
        <v>54.5</v>
      </c>
      <c r="AA4933">
        <v>73.8</v>
      </c>
    </row>
    <row r="4934" spans="1:27" x14ac:dyDescent="0.25">
      <c r="A4934" t="s">
        <v>274</v>
      </c>
      <c r="B4934" t="s">
        <v>211</v>
      </c>
      <c r="C4934" s="76">
        <v>44016</v>
      </c>
      <c r="D4934">
        <v>4062</v>
      </c>
      <c r="E4934">
        <v>2183</v>
      </c>
      <c r="F4934">
        <v>5941</v>
      </c>
      <c r="G4934">
        <v>2294</v>
      </c>
      <c r="H4934">
        <v>63.9</v>
      </c>
      <c r="I4934">
        <v>57.7</v>
      </c>
      <c r="J4934">
        <v>70.2</v>
      </c>
      <c r="K4934">
        <v>93</v>
      </c>
      <c r="L4934">
        <v>45</v>
      </c>
      <c r="M4934">
        <v>141</v>
      </c>
      <c r="N4934">
        <v>1.5</v>
      </c>
      <c r="O4934">
        <v>1</v>
      </c>
      <c r="P4934">
        <v>2</v>
      </c>
      <c r="Q4934">
        <f t="shared" si="152"/>
        <v>1767859</v>
      </c>
      <c r="R4934">
        <f t="shared" si="153"/>
        <v>5.2606005343186304</v>
      </c>
      <c r="U4934">
        <v>591</v>
      </c>
      <c r="V4934">
        <v>254</v>
      </c>
      <c r="W4934">
        <v>928</v>
      </c>
      <c r="X4934">
        <v>261</v>
      </c>
      <c r="Y4934">
        <v>69.400000000000006</v>
      </c>
      <c r="Z4934">
        <v>61.5</v>
      </c>
      <c r="AA4934">
        <v>77.2</v>
      </c>
    </row>
    <row r="4935" spans="1:27" x14ac:dyDescent="0.25">
      <c r="A4935" t="s">
        <v>274</v>
      </c>
      <c r="B4935" t="s">
        <v>211</v>
      </c>
      <c r="C4935" s="76">
        <v>44017</v>
      </c>
      <c r="D4935">
        <v>3961</v>
      </c>
      <c r="E4935">
        <v>2128</v>
      </c>
      <c r="F4935">
        <v>5793</v>
      </c>
      <c r="G4935">
        <v>2398</v>
      </c>
      <c r="H4935">
        <v>62.3</v>
      </c>
      <c r="I4935">
        <v>55.8</v>
      </c>
      <c r="J4935">
        <v>68.8</v>
      </c>
      <c r="K4935">
        <v>106</v>
      </c>
      <c r="L4935">
        <v>49</v>
      </c>
      <c r="M4935">
        <v>163</v>
      </c>
      <c r="N4935">
        <v>1.7</v>
      </c>
      <c r="O4935">
        <v>1.1000000000000001</v>
      </c>
      <c r="P4935">
        <v>2.2000000000000002</v>
      </c>
      <c r="Q4935">
        <f t="shared" si="152"/>
        <v>1767859</v>
      </c>
      <c r="R4935">
        <f t="shared" si="153"/>
        <v>5.9959532971803746</v>
      </c>
      <c r="U4935">
        <v>526</v>
      </c>
      <c r="V4935">
        <v>257</v>
      </c>
      <c r="W4935">
        <v>796</v>
      </c>
      <c r="X4935">
        <v>325</v>
      </c>
      <c r="Y4935">
        <v>61.8</v>
      </c>
      <c r="Z4935">
        <v>51.6</v>
      </c>
      <c r="AA4935">
        <v>72</v>
      </c>
    </row>
    <row r="4936" spans="1:27" x14ac:dyDescent="0.25">
      <c r="A4936" t="s">
        <v>274</v>
      </c>
      <c r="B4936" t="s">
        <v>211</v>
      </c>
      <c r="C4936" s="76">
        <v>44018</v>
      </c>
      <c r="D4936">
        <v>4109</v>
      </c>
      <c r="E4936">
        <v>2208</v>
      </c>
      <c r="F4936">
        <v>6011</v>
      </c>
      <c r="G4936">
        <v>2264</v>
      </c>
      <c r="H4936">
        <v>64.5</v>
      </c>
      <c r="I4936">
        <v>57.8</v>
      </c>
      <c r="J4936">
        <v>71.099999999999994</v>
      </c>
      <c r="K4936">
        <v>126</v>
      </c>
      <c r="L4936">
        <v>50</v>
      </c>
      <c r="M4936">
        <v>202</v>
      </c>
      <c r="N4936">
        <v>2</v>
      </c>
      <c r="O4936">
        <v>1.3</v>
      </c>
      <c r="P4936">
        <v>2.7</v>
      </c>
      <c r="Q4936">
        <f t="shared" si="152"/>
        <v>1767859</v>
      </c>
      <c r="R4936">
        <f t="shared" si="153"/>
        <v>7.127265240044597</v>
      </c>
      <c r="U4936">
        <v>601</v>
      </c>
      <c r="V4936">
        <v>275</v>
      </c>
      <c r="W4936">
        <v>928</v>
      </c>
      <c r="X4936">
        <v>255</v>
      </c>
      <c r="Y4936">
        <v>70.2</v>
      </c>
      <c r="Z4936">
        <v>62.5</v>
      </c>
      <c r="AA4936">
        <v>77.900000000000006</v>
      </c>
    </row>
    <row r="4937" spans="1:27" x14ac:dyDescent="0.25">
      <c r="A4937" t="s">
        <v>274</v>
      </c>
      <c r="B4937" t="s">
        <v>211</v>
      </c>
      <c r="C4937" s="76">
        <v>44019</v>
      </c>
      <c r="D4937">
        <v>4438</v>
      </c>
      <c r="E4937">
        <v>2399</v>
      </c>
      <c r="F4937">
        <v>6477</v>
      </c>
      <c r="G4937">
        <v>1951</v>
      </c>
      <c r="H4937">
        <v>69.5</v>
      </c>
      <c r="I4937">
        <v>62.5</v>
      </c>
      <c r="J4937">
        <v>76.400000000000006</v>
      </c>
      <c r="K4937">
        <v>134</v>
      </c>
      <c r="L4937">
        <v>61</v>
      </c>
      <c r="M4937">
        <v>207</v>
      </c>
      <c r="N4937">
        <v>2.1</v>
      </c>
      <c r="O4937">
        <v>1.4</v>
      </c>
      <c r="P4937">
        <v>2.8</v>
      </c>
      <c r="Q4937">
        <f t="shared" si="152"/>
        <v>1767859</v>
      </c>
      <c r="R4937">
        <f t="shared" si="153"/>
        <v>7.5797900171902848</v>
      </c>
      <c r="U4937">
        <v>610</v>
      </c>
      <c r="V4937">
        <v>273</v>
      </c>
      <c r="W4937">
        <v>947</v>
      </c>
      <c r="X4937">
        <v>246</v>
      </c>
      <c r="Y4937">
        <v>71.2</v>
      </c>
      <c r="Z4937">
        <v>62.7</v>
      </c>
      <c r="AA4937">
        <v>79.8</v>
      </c>
    </row>
    <row r="4938" spans="1:27" x14ac:dyDescent="0.25">
      <c r="A4938" t="s">
        <v>275</v>
      </c>
      <c r="B4938" t="s">
        <v>223</v>
      </c>
      <c r="C4938" s="76">
        <v>43922</v>
      </c>
      <c r="D4938">
        <v>446</v>
      </c>
      <c r="E4938">
        <v>90</v>
      </c>
      <c r="F4938">
        <v>801</v>
      </c>
      <c r="G4938">
        <v>896</v>
      </c>
      <c r="H4938">
        <v>33.200000000000003</v>
      </c>
      <c r="I4938">
        <v>21.1</v>
      </c>
      <c r="J4938">
        <v>45.4</v>
      </c>
      <c r="K4938">
        <v>31</v>
      </c>
      <c r="L4938">
        <v>5</v>
      </c>
      <c r="M4938">
        <v>58</v>
      </c>
      <c r="N4938">
        <v>2.2999999999999998</v>
      </c>
      <c r="O4938">
        <v>0.9</v>
      </c>
      <c r="P4938">
        <v>3.8</v>
      </c>
      <c r="Q4938">
        <f t="shared" si="152"/>
        <v>581075</v>
      </c>
      <c r="R4938">
        <f t="shared" si="153"/>
        <v>5.3349395516929832</v>
      </c>
      <c r="U4938">
        <v>27</v>
      </c>
      <c r="V4938">
        <v>0</v>
      </c>
      <c r="W4938">
        <v>55</v>
      </c>
      <c r="X4938">
        <v>80</v>
      </c>
      <c r="Y4938">
        <v>25.3</v>
      </c>
      <c r="Z4938">
        <v>12.8</v>
      </c>
      <c r="AA4938">
        <v>37.799999999999997</v>
      </c>
    </row>
    <row r="4939" spans="1:27" x14ac:dyDescent="0.25">
      <c r="A4939" t="s">
        <v>275</v>
      </c>
      <c r="B4939" t="s">
        <v>223</v>
      </c>
      <c r="C4939" s="76">
        <v>43923</v>
      </c>
      <c r="D4939">
        <v>442</v>
      </c>
      <c r="E4939">
        <v>100</v>
      </c>
      <c r="F4939">
        <v>783</v>
      </c>
      <c r="G4939">
        <v>900</v>
      </c>
      <c r="H4939">
        <v>32.9</v>
      </c>
      <c r="I4939">
        <v>21.9</v>
      </c>
      <c r="J4939">
        <v>44</v>
      </c>
      <c r="K4939">
        <v>31</v>
      </c>
      <c r="L4939">
        <v>7</v>
      </c>
      <c r="M4939">
        <v>55</v>
      </c>
      <c r="N4939">
        <v>2.2999999999999998</v>
      </c>
      <c r="O4939">
        <v>1.3</v>
      </c>
      <c r="P4939">
        <v>3.4</v>
      </c>
      <c r="Q4939">
        <f t="shared" si="152"/>
        <v>581075</v>
      </c>
      <c r="R4939">
        <f t="shared" si="153"/>
        <v>5.3349395516929832</v>
      </c>
      <c r="U4939">
        <v>24</v>
      </c>
      <c r="V4939">
        <v>0</v>
      </c>
      <c r="W4939">
        <v>48</v>
      </c>
      <c r="X4939">
        <v>83</v>
      </c>
      <c r="Y4939">
        <v>22.5</v>
      </c>
      <c r="Z4939">
        <v>12.5</v>
      </c>
      <c r="AA4939">
        <v>32.5</v>
      </c>
    </row>
    <row r="4940" spans="1:27" x14ac:dyDescent="0.25">
      <c r="A4940" t="s">
        <v>275</v>
      </c>
      <c r="B4940" t="s">
        <v>223</v>
      </c>
      <c r="C4940" s="76">
        <v>43924</v>
      </c>
      <c r="D4940">
        <v>434</v>
      </c>
      <c r="E4940">
        <v>97</v>
      </c>
      <c r="F4940">
        <v>771</v>
      </c>
      <c r="G4940">
        <v>907</v>
      </c>
      <c r="H4940">
        <v>32.4</v>
      </c>
      <c r="I4940">
        <v>21.8</v>
      </c>
      <c r="J4940">
        <v>42.9</v>
      </c>
      <c r="K4940">
        <v>25</v>
      </c>
      <c r="L4940">
        <v>4</v>
      </c>
      <c r="M4940">
        <v>46</v>
      </c>
      <c r="N4940">
        <v>1.8</v>
      </c>
      <c r="O4940">
        <v>0.9</v>
      </c>
      <c r="P4940">
        <v>2.8</v>
      </c>
      <c r="Q4940">
        <f t="shared" si="152"/>
        <v>581075</v>
      </c>
      <c r="R4940">
        <f t="shared" si="153"/>
        <v>4.3023706062040183</v>
      </c>
      <c r="U4940">
        <v>18</v>
      </c>
      <c r="V4940">
        <v>0</v>
      </c>
      <c r="W4940">
        <v>37</v>
      </c>
      <c r="X4940">
        <v>89</v>
      </c>
      <c r="Y4940">
        <v>16.899999999999999</v>
      </c>
      <c r="Z4940">
        <v>5.0999999999999996</v>
      </c>
      <c r="AA4940">
        <v>28.7</v>
      </c>
    </row>
    <row r="4941" spans="1:27" x14ac:dyDescent="0.25">
      <c r="A4941" t="s">
        <v>275</v>
      </c>
      <c r="B4941" t="s">
        <v>223</v>
      </c>
      <c r="C4941" s="76">
        <v>43925</v>
      </c>
      <c r="D4941">
        <v>425</v>
      </c>
      <c r="E4941">
        <v>92</v>
      </c>
      <c r="F4941">
        <v>758</v>
      </c>
      <c r="G4941">
        <v>916</v>
      </c>
      <c r="H4941">
        <v>31.7</v>
      </c>
      <c r="I4941">
        <v>20.8</v>
      </c>
      <c r="J4941">
        <v>42.6</v>
      </c>
      <c r="K4941">
        <v>20</v>
      </c>
      <c r="L4941">
        <v>0</v>
      </c>
      <c r="M4941">
        <v>48</v>
      </c>
      <c r="N4941">
        <v>1.5</v>
      </c>
      <c r="O4941">
        <v>0</v>
      </c>
      <c r="P4941">
        <v>3.2</v>
      </c>
      <c r="Q4941">
        <f t="shared" si="152"/>
        <v>581075</v>
      </c>
      <c r="R4941">
        <f t="shared" si="153"/>
        <v>3.4418964849632143</v>
      </c>
      <c r="U4941">
        <v>18</v>
      </c>
      <c r="V4941">
        <v>0</v>
      </c>
      <c r="W4941">
        <v>38</v>
      </c>
      <c r="X4941">
        <v>89</v>
      </c>
      <c r="Y4941">
        <v>16.600000000000001</v>
      </c>
      <c r="Z4941">
        <v>2.8</v>
      </c>
      <c r="AA4941">
        <v>30.3</v>
      </c>
    </row>
    <row r="4942" spans="1:27" x14ac:dyDescent="0.25">
      <c r="A4942" t="s">
        <v>275</v>
      </c>
      <c r="B4942" t="s">
        <v>223</v>
      </c>
      <c r="C4942" s="76">
        <v>43926</v>
      </c>
      <c r="D4942">
        <v>409</v>
      </c>
      <c r="E4942">
        <v>89</v>
      </c>
      <c r="F4942">
        <v>729</v>
      </c>
      <c r="G4942">
        <v>946</v>
      </c>
      <c r="H4942">
        <v>30.2</v>
      </c>
      <c r="I4942">
        <v>19.899999999999999</v>
      </c>
      <c r="J4942">
        <v>40.4</v>
      </c>
      <c r="K4942">
        <v>25</v>
      </c>
      <c r="L4942">
        <v>0</v>
      </c>
      <c r="M4942">
        <v>50</v>
      </c>
      <c r="N4942">
        <v>1.8</v>
      </c>
      <c r="O4942">
        <v>0.5</v>
      </c>
      <c r="P4942">
        <v>3.2</v>
      </c>
      <c r="Q4942">
        <f t="shared" si="152"/>
        <v>581075</v>
      </c>
      <c r="R4942">
        <f t="shared" si="153"/>
        <v>4.3023706062040183</v>
      </c>
      <c r="U4942">
        <v>21</v>
      </c>
      <c r="V4942">
        <v>0</v>
      </c>
      <c r="W4942">
        <v>44</v>
      </c>
      <c r="X4942">
        <v>86</v>
      </c>
      <c r="Y4942">
        <v>19.7</v>
      </c>
      <c r="Z4942">
        <v>4.5999999999999996</v>
      </c>
      <c r="AA4942">
        <v>34.799999999999997</v>
      </c>
    </row>
    <row r="4943" spans="1:27" x14ac:dyDescent="0.25">
      <c r="A4943" t="s">
        <v>275</v>
      </c>
      <c r="B4943" t="s">
        <v>223</v>
      </c>
      <c r="C4943" s="76">
        <v>43927</v>
      </c>
      <c r="D4943">
        <v>378</v>
      </c>
      <c r="E4943">
        <v>91</v>
      </c>
      <c r="F4943">
        <v>665</v>
      </c>
      <c r="G4943">
        <v>963</v>
      </c>
      <c r="H4943">
        <v>28.2</v>
      </c>
      <c r="I4943">
        <v>19.600000000000001</v>
      </c>
      <c r="J4943">
        <v>36.799999999999997</v>
      </c>
      <c r="K4943">
        <v>23</v>
      </c>
      <c r="L4943">
        <v>1</v>
      </c>
      <c r="M4943">
        <v>45</v>
      </c>
      <c r="N4943">
        <v>1.7</v>
      </c>
      <c r="O4943">
        <v>0.5</v>
      </c>
      <c r="P4943">
        <v>2.9</v>
      </c>
      <c r="Q4943">
        <f t="shared" si="152"/>
        <v>581075</v>
      </c>
      <c r="R4943">
        <f t="shared" si="153"/>
        <v>3.9581809577076967</v>
      </c>
      <c r="U4943">
        <v>22</v>
      </c>
      <c r="V4943">
        <v>0</v>
      </c>
      <c r="W4943">
        <v>45</v>
      </c>
      <c r="X4943">
        <v>85</v>
      </c>
      <c r="Y4943">
        <v>20.6</v>
      </c>
      <c r="Z4943">
        <v>5.9</v>
      </c>
      <c r="AA4943">
        <v>35.4</v>
      </c>
    </row>
    <row r="4944" spans="1:27" x14ac:dyDescent="0.25">
      <c r="A4944" t="s">
        <v>275</v>
      </c>
      <c r="B4944" t="s">
        <v>223</v>
      </c>
      <c r="C4944" s="76">
        <v>43928</v>
      </c>
      <c r="D4944">
        <v>437</v>
      </c>
      <c r="E4944">
        <v>111</v>
      </c>
      <c r="F4944">
        <v>762</v>
      </c>
      <c r="G4944">
        <v>905</v>
      </c>
      <c r="H4944">
        <v>32.6</v>
      </c>
      <c r="I4944">
        <v>23.6</v>
      </c>
      <c r="J4944">
        <v>41.5</v>
      </c>
      <c r="K4944">
        <v>35</v>
      </c>
      <c r="L4944">
        <v>2</v>
      </c>
      <c r="M4944">
        <v>68</v>
      </c>
      <c r="N4944">
        <v>2.6</v>
      </c>
      <c r="O4944">
        <v>1</v>
      </c>
      <c r="P4944">
        <v>4.2</v>
      </c>
      <c r="Q4944">
        <f t="shared" si="152"/>
        <v>581075</v>
      </c>
      <c r="R4944">
        <f t="shared" si="153"/>
        <v>6.0233188486856264</v>
      </c>
      <c r="U4944">
        <v>23</v>
      </c>
      <c r="V4944">
        <v>0</v>
      </c>
      <c r="W4944">
        <v>48</v>
      </c>
      <c r="X4944">
        <v>84</v>
      </c>
      <c r="Y4944">
        <v>21.6</v>
      </c>
      <c r="Z4944">
        <v>5.7</v>
      </c>
      <c r="AA4944">
        <v>37.5</v>
      </c>
    </row>
    <row r="4945" spans="1:27" x14ac:dyDescent="0.25">
      <c r="A4945" t="s">
        <v>275</v>
      </c>
      <c r="B4945" t="s">
        <v>223</v>
      </c>
      <c r="C4945" s="76">
        <v>43929</v>
      </c>
      <c r="D4945">
        <v>457</v>
      </c>
      <c r="E4945">
        <v>109</v>
      </c>
      <c r="F4945">
        <v>806</v>
      </c>
      <c r="G4945">
        <v>884</v>
      </c>
      <c r="H4945">
        <v>34.1</v>
      </c>
      <c r="I4945">
        <v>23.2</v>
      </c>
      <c r="J4945">
        <v>45</v>
      </c>
      <c r="K4945">
        <v>41</v>
      </c>
      <c r="L4945">
        <v>9</v>
      </c>
      <c r="M4945">
        <v>74</v>
      </c>
      <c r="N4945">
        <v>3.1</v>
      </c>
      <c r="O4945">
        <v>1.5</v>
      </c>
      <c r="P4945">
        <v>4.5999999999999996</v>
      </c>
      <c r="Q4945">
        <f t="shared" si="152"/>
        <v>581075</v>
      </c>
      <c r="R4945">
        <f t="shared" si="153"/>
        <v>7.0558877941745894</v>
      </c>
      <c r="U4945">
        <v>32</v>
      </c>
      <c r="V4945">
        <v>2</v>
      </c>
      <c r="W4945">
        <v>62</v>
      </c>
      <c r="X4945">
        <v>74</v>
      </c>
      <c r="Y4945">
        <v>30.3</v>
      </c>
      <c r="Z4945">
        <v>15</v>
      </c>
      <c r="AA4945">
        <v>45.7</v>
      </c>
    </row>
    <row r="4946" spans="1:27" x14ac:dyDescent="0.25">
      <c r="A4946" t="s">
        <v>275</v>
      </c>
      <c r="B4946" t="s">
        <v>223</v>
      </c>
      <c r="C4946" s="76">
        <v>43930</v>
      </c>
      <c r="D4946">
        <v>463</v>
      </c>
      <c r="E4946">
        <v>109</v>
      </c>
      <c r="F4946">
        <v>817</v>
      </c>
      <c r="G4946">
        <v>892</v>
      </c>
      <c r="H4946">
        <v>34.200000000000003</v>
      </c>
      <c r="I4946">
        <v>23.4</v>
      </c>
      <c r="J4946">
        <v>44.9</v>
      </c>
      <c r="K4946">
        <v>39</v>
      </c>
      <c r="L4946">
        <v>5</v>
      </c>
      <c r="M4946">
        <v>72</v>
      </c>
      <c r="N4946">
        <v>2.9</v>
      </c>
      <c r="O4946">
        <v>1.2</v>
      </c>
      <c r="P4946">
        <v>4.5</v>
      </c>
      <c r="Q4946">
        <f t="shared" si="152"/>
        <v>581075</v>
      </c>
      <c r="R4946">
        <f t="shared" si="153"/>
        <v>6.7116981456782696</v>
      </c>
      <c r="U4946">
        <v>35</v>
      </c>
      <c r="V4946">
        <v>2</v>
      </c>
      <c r="W4946">
        <v>68</v>
      </c>
      <c r="X4946">
        <v>78</v>
      </c>
      <c r="Y4946">
        <v>31.1</v>
      </c>
      <c r="Z4946">
        <v>16.399999999999999</v>
      </c>
      <c r="AA4946">
        <v>45.7</v>
      </c>
    </row>
    <row r="4947" spans="1:27" x14ac:dyDescent="0.25">
      <c r="A4947" t="s">
        <v>275</v>
      </c>
      <c r="B4947" t="s">
        <v>223</v>
      </c>
      <c r="C4947" s="76">
        <v>43931</v>
      </c>
      <c r="D4947">
        <v>464</v>
      </c>
      <c r="E4947">
        <v>96</v>
      </c>
      <c r="F4947">
        <v>833</v>
      </c>
      <c r="G4947">
        <v>877</v>
      </c>
      <c r="H4947">
        <v>34.6</v>
      </c>
      <c r="I4947">
        <v>21.9</v>
      </c>
      <c r="J4947">
        <v>47.3</v>
      </c>
      <c r="K4947">
        <v>25</v>
      </c>
      <c r="L4947">
        <v>0</v>
      </c>
      <c r="M4947">
        <v>51</v>
      </c>
      <c r="N4947">
        <v>1.9</v>
      </c>
      <c r="O4947">
        <v>0.5</v>
      </c>
      <c r="P4947">
        <v>3.2</v>
      </c>
      <c r="Q4947">
        <f t="shared" si="152"/>
        <v>581075</v>
      </c>
      <c r="R4947">
        <f t="shared" si="153"/>
        <v>4.3023706062040183</v>
      </c>
      <c r="U4947">
        <v>28</v>
      </c>
      <c r="V4947">
        <v>0</v>
      </c>
      <c r="W4947">
        <v>58</v>
      </c>
      <c r="X4947">
        <v>93</v>
      </c>
      <c r="Y4947">
        <v>23.3</v>
      </c>
      <c r="Z4947">
        <v>4.3</v>
      </c>
      <c r="AA4947">
        <v>42.3</v>
      </c>
    </row>
    <row r="4948" spans="1:27" x14ac:dyDescent="0.25">
      <c r="A4948" t="s">
        <v>275</v>
      </c>
      <c r="B4948" t="s">
        <v>223</v>
      </c>
      <c r="C4948" s="76">
        <v>43932</v>
      </c>
      <c r="D4948">
        <v>416</v>
      </c>
      <c r="E4948">
        <v>73</v>
      </c>
      <c r="F4948">
        <v>759</v>
      </c>
      <c r="G4948">
        <v>925</v>
      </c>
      <c r="H4948">
        <v>31</v>
      </c>
      <c r="I4948">
        <v>17.7</v>
      </c>
      <c r="J4948">
        <v>44.4</v>
      </c>
      <c r="K4948">
        <v>34</v>
      </c>
      <c r="L4948">
        <v>4</v>
      </c>
      <c r="M4948">
        <v>65</v>
      </c>
      <c r="N4948">
        <v>2.6</v>
      </c>
      <c r="O4948">
        <v>1</v>
      </c>
      <c r="P4948">
        <v>4.0999999999999996</v>
      </c>
      <c r="Q4948">
        <f t="shared" si="152"/>
        <v>581075</v>
      </c>
      <c r="R4948">
        <f t="shared" si="153"/>
        <v>5.8512240244374647</v>
      </c>
      <c r="U4948">
        <v>23</v>
      </c>
      <c r="V4948">
        <v>0</v>
      </c>
      <c r="W4948">
        <v>45</v>
      </c>
      <c r="X4948">
        <v>99</v>
      </c>
      <c r="Y4948">
        <v>18.600000000000001</v>
      </c>
      <c r="Z4948">
        <v>4.9000000000000004</v>
      </c>
      <c r="AA4948">
        <v>32.299999999999997</v>
      </c>
    </row>
    <row r="4949" spans="1:27" x14ac:dyDescent="0.25">
      <c r="A4949" t="s">
        <v>275</v>
      </c>
      <c r="B4949" t="s">
        <v>223</v>
      </c>
      <c r="C4949" s="76">
        <v>43933</v>
      </c>
      <c r="D4949">
        <v>449</v>
      </c>
      <c r="E4949">
        <v>74</v>
      </c>
      <c r="F4949">
        <v>824</v>
      </c>
      <c r="G4949">
        <v>892</v>
      </c>
      <c r="H4949">
        <v>33.5</v>
      </c>
      <c r="I4949">
        <v>18.7</v>
      </c>
      <c r="J4949">
        <v>48.3</v>
      </c>
      <c r="K4949">
        <v>27</v>
      </c>
      <c r="L4949">
        <v>0</v>
      </c>
      <c r="M4949">
        <v>54</v>
      </c>
      <c r="N4949">
        <v>2</v>
      </c>
      <c r="O4949">
        <v>0.5</v>
      </c>
      <c r="P4949">
        <v>3.6</v>
      </c>
      <c r="Q4949">
        <f t="shared" si="152"/>
        <v>581075</v>
      </c>
      <c r="R4949">
        <f t="shared" si="153"/>
        <v>4.64656025470034</v>
      </c>
      <c r="U4949">
        <v>27</v>
      </c>
      <c r="V4949">
        <v>0</v>
      </c>
      <c r="W4949">
        <v>55</v>
      </c>
      <c r="X4949">
        <v>94</v>
      </c>
      <c r="Y4949">
        <v>22.6</v>
      </c>
      <c r="Z4949">
        <v>8.3000000000000007</v>
      </c>
      <c r="AA4949">
        <v>36.799999999999997</v>
      </c>
    </row>
    <row r="4950" spans="1:27" x14ac:dyDescent="0.25">
      <c r="A4950" t="s">
        <v>275</v>
      </c>
      <c r="B4950" t="s">
        <v>223</v>
      </c>
      <c r="C4950" s="76">
        <v>43934</v>
      </c>
      <c r="D4950">
        <v>448</v>
      </c>
      <c r="E4950">
        <v>122</v>
      </c>
      <c r="F4950">
        <v>774</v>
      </c>
      <c r="G4950">
        <v>883</v>
      </c>
      <c r="H4950">
        <v>33.6</v>
      </c>
      <c r="I4950">
        <v>22.9</v>
      </c>
      <c r="J4950">
        <v>44.4</v>
      </c>
      <c r="K4950">
        <v>33</v>
      </c>
      <c r="L4950">
        <v>1</v>
      </c>
      <c r="M4950">
        <v>65</v>
      </c>
      <c r="N4950">
        <v>2.5</v>
      </c>
      <c r="O4950">
        <v>0.9</v>
      </c>
      <c r="P4950">
        <v>4.0999999999999996</v>
      </c>
      <c r="Q4950">
        <f t="shared" si="152"/>
        <v>581075</v>
      </c>
      <c r="R4950">
        <f t="shared" si="153"/>
        <v>5.6791292001893039</v>
      </c>
      <c r="U4950">
        <v>35</v>
      </c>
      <c r="V4950">
        <v>0</v>
      </c>
      <c r="W4950">
        <v>69</v>
      </c>
      <c r="X4950">
        <v>86</v>
      </c>
      <c r="Y4950">
        <v>28.7</v>
      </c>
      <c r="Z4950">
        <v>10.7</v>
      </c>
      <c r="AA4950">
        <v>46.6</v>
      </c>
    </row>
    <row r="4951" spans="1:27" x14ac:dyDescent="0.25">
      <c r="A4951" t="s">
        <v>275</v>
      </c>
      <c r="B4951" t="s">
        <v>223</v>
      </c>
      <c r="C4951" s="76">
        <v>43935</v>
      </c>
      <c r="D4951">
        <v>468</v>
      </c>
      <c r="E4951">
        <v>134</v>
      </c>
      <c r="F4951">
        <v>803</v>
      </c>
      <c r="G4951">
        <v>896</v>
      </c>
      <c r="H4951">
        <v>34.299999999999997</v>
      </c>
      <c r="I4951">
        <v>24.3</v>
      </c>
      <c r="J4951">
        <v>44.4</v>
      </c>
      <c r="K4951">
        <v>40</v>
      </c>
      <c r="L4951">
        <v>3</v>
      </c>
      <c r="M4951">
        <v>78</v>
      </c>
      <c r="N4951">
        <v>3</v>
      </c>
      <c r="O4951">
        <v>1.4</v>
      </c>
      <c r="P4951">
        <v>4.5</v>
      </c>
      <c r="Q4951">
        <f t="shared" si="152"/>
        <v>581075</v>
      </c>
      <c r="R4951">
        <f t="shared" si="153"/>
        <v>6.8837929699264286</v>
      </c>
      <c r="U4951">
        <v>59</v>
      </c>
      <c r="V4951">
        <v>0</v>
      </c>
      <c r="W4951">
        <v>151</v>
      </c>
      <c r="X4951">
        <v>73</v>
      </c>
      <c r="Y4951">
        <v>44.7</v>
      </c>
      <c r="Z4951">
        <v>0</v>
      </c>
      <c r="AA4951">
        <v>100</v>
      </c>
    </row>
    <row r="4952" spans="1:27" x14ac:dyDescent="0.25">
      <c r="A4952" t="s">
        <v>275</v>
      </c>
      <c r="B4952" t="s">
        <v>223</v>
      </c>
      <c r="C4952" s="76">
        <v>43936</v>
      </c>
      <c r="D4952">
        <v>513</v>
      </c>
      <c r="E4952">
        <v>137</v>
      </c>
      <c r="F4952">
        <v>888</v>
      </c>
      <c r="G4952">
        <v>855</v>
      </c>
      <c r="H4952">
        <v>37.5</v>
      </c>
      <c r="I4952">
        <v>26.1</v>
      </c>
      <c r="J4952">
        <v>48.8</v>
      </c>
      <c r="K4952">
        <v>44</v>
      </c>
      <c r="L4952">
        <v>2</v>
      </c>
      <c r="M4952">
        <v>86</v>
      </c>
      <c r="N4952">
        <v>3.2</v>
      </c>
      <c r="O4952">
        <v>1.3</v>
      </c>
      <c r="P4952">
        <v>5.2</v>
      </c>
      <c r="Q4952">
        <f t="shared" si="152"/>
        <v>581075</v>
      </c>
      <c r="R4952">
        <f t="shared" si="153"/>
        <v>7.5721722669190727</v>
      </c>
      <c r="U4952">
        <v>32</v>
      </c>
      <c r="V4952">
        <v>4</v>
      </c>
      <c r="W4952">
        <v>59</v>
      </c>
      <c r="X4952">
        <v>100</v>
      </c>
      <c r="Y4952">
        <v>24.1</v>
      </c>
      <c r="Z4952">
        <v>12.6</v>
      </c>
      <c r="AA4952">
        <v>35.700000000000003</v>
      </c>
    </row>
    <row r="4953" spans="1:27" x14ac:dyDescent="0.25">
      <c r="A4953" t="s">
        <v>275</v>
      </c>
      <c r="B4953" t="s">
        <v>223</v>
      </c>
      <c r="C4953" s="76">
        <v>43937</v>
      </c>
      <c r="D4953">
        <v>507</v>
      </c>
      <c r="E4953">
        <v>125</v>
      </c>
      <c r="F4953">
        <v>889</v>
      </c>
      <c r="G4953">
        <v>860</v>
      </c>
      <c r="H4953">
        <v>37.1</v>
      </c>
      <c r="I4953">
        <v>25.4</v>
      </c>
      <c r="J4953">
        <v>48.8</v>
      </c>
      <c r="K4953">
        <v>36</v>
      </c>
      <c r="L4953">
        <v>3</v>
      </c>
      <c r="M4953">
        <v>70</v>
      </c>
      <c r="N4953">
        <v>2.6</v>
      </c>
      <c r="O4953">
        <v>1.2</v>
      </c>
      <c r="P4953">
        <v>4.0999999999999996</v>
      </c>
      <c r="Q4953">
        <f t="shared" si="152"/>
        <v>581075</v>
      </c>
      <c r="R4953">
        <f t="shared" si="153"/>
        <v>6.1954136729337863</v>
      </c>
      <c r="U4953">
        <v>33</v>
      </c>
      <c r="V4953">
        <v>4</v>
      </c>
      <c r="W4953">
        <v>61</v>
      </c>
      <c r="X4953">
        <v>99</v>
      </c>
      <c r="Y4953">
        <v>24.9</v>
      </c>
      <c r="Z4953">
        <v>13.1</v>
      </c>
      <c r="AA4953">
        <v>36.700000000000003</v>
      </c>
    </row>
    <row r="4954" spans="1:27" x14ac:dyDescent="0.25">
      <c r="A4954" t="s">
        <v>275</v>
      </c>
      <c r="B4954" t="s">
        <v>223</v>
      </c>
      <c r="C4954" s="76">
        <v>43938</v>
      </c>
      <c r="D4954">
        <v>471</v>
      </c>
      <c r="E4954">
        <v>117</v>
      </c>
      <c r="F4954">
        <v>825</v>
      </c>
      <c r="G4954">
        <v>896</v>
      </c>
      <c r="H4954">
        <v>34.5</v>
      </c>
      <c r="I4954">
        <v>23.8</v>
      </c>
      <c r="J4954">
        <v>45.1</v>
      </c>
      <c r="K4954">
        <v>33</v>
      </c>
      <c r="L4954">
        <v>3</v>
      </c>
      <c r="M4954">
        <v>63</v>
      </c>
      <c r="N4954">
        <v>2.4</v>
      </c>
      <c r="O4954">
        <v>1.1000000000000001</v>
      </c>
      <c r="P4954">
        <v>3.7</v>
      </c>
      <c r="Q4954">
        <f t="shared" si="152"/>
        <v>581075</v>
      </c>
      <c r="R4954">
        <f t="shared" si="153"/>
        <v>5.6791292001893039</v>
      </c>
      <c r="U4954">
        <v>31</v>
      </c>
      <c r="V4954">
        <v>2</v>
      </c>
      <c r="W4954">
        <v>60</v>
      </c>
      <c r="X4954">
        <v>114</v>
      </c>
      <c r="Y4954">
        <v>21.2</v>
      </c>
      <c r="Z4954">
        <v>13</v>
      </c>
      <c r="AA4954">
        <v>29.3</v>
      </c>
    </row>
    <row r="4955" spans="1:27" x14ac:dyDescent="0.25">
      <c r="A4955" t="s">
        <v>275</v>
      </c>
      <c r="B4955" t="s">
        <v>223</v>
      </c>
      <c r="C4955" s="76">
        <v>43939</v>
      </c>
      <c r="D4955">
        <v>450</v>
      </c>
      <c r="E4955">
        <v>108</v>
      </c>
      <c r="F4955">
        <v>793</v>
      </c>
      <c r="G4955">
        <v>934</v>
      </c>
      <c r="H4955">
        <v>32.5</v>
      </c>
      <c r="I4955">
        <v>21.3</v>
      </c>
      <c r="J4955">
        <v>43.8</v>
      </c>
      <c r="K4955">
        <v>36</v>
      </c>
      <c r="L4955">
        <v>1</v>
      </c>
      <c r="M4955">
        <v>72</v>
      </c>
      <c r="N4955">
        <v>2.6</v>
      </c>
      <c r="O4955">
        <v>1</v>
      </c>
      <c r="P4955">
        <v>4.2</v>
      </c>
      <c r="Q4955">
        <f t="shared" si="152"/>
        <v>581075</v>
      </c>
      <c r="R4955">
        <f t="shared" si="153"/>
        <v>6.1954136729337863</v>
      </c>
      <c r="U4955">
        <v>32</v>
      </c>
      <c r="V4955">
        <v>1</v>
      </c>
      <c r="W4955">
        <v>63</v>
      </c>
      <c r="X4955">
        <v>113</v>
      </c>
      <c r="Y4955">
        <v>22</v>
      </c>
      <c r="Z4955">
        <v>11.9</v>
      </c>
      <c r="AA4955">
        <v>32.1</v>
      </c>
    </row>
    <row r="4956" spans="1:27" x14ac:dyDescent="0.25">
      <c r="A4956" t="s">
        <v>275</v>
      </c>
      <c r="B4956" t="s">
        <v>223</v>
      </c>
      <c r="C4956" s="76">
        <v>43940</v>
      </c>
      <c r="D4956">
        <v>433</v>
      </c>
      <c r="E4956">
        <v>100</v>
      </c>
      <c r="F4956">
        <v>765</v>
      </c>
      <c r="G4956">
        <v>952</v>
      </c>
      <c r="H4956">
        <v>31.3</v>
      </c>
      <c r="I4956">
        <v>20.5</v>
      </c>
      <c r="J4956">
        <v>42</v>
      </c>
      <c r="K4956">
        <v>39</v>
      </c>
      <c r="L4956">
        <v>0</v>
      </c>
      <c r="M4956">
        <v>81</v>
      </c>
      <c r="N4956">
        <v>2.8</v>
      </c>
      <c r="O4956">
        <v>0.9</v>
      </c>
      <c r="P4956">
        <v>4.8</v>
      </c>
      <c r="Q4956">
        <f t="shared" si="152"/>
        <v>581075</v>
      </c>
      <c r="R4956">
        <f t="shared" si="153"/>
        <v>6.7116981456782696</v>
      </c>
      <c r="U4956">
        <v>31</v>
      </c>
      <c r="V4956">
        <v>0</v>
      </c>
      <c r="W4956">
        <v>64</v>
      </c>
      <c r="X4956">
        <v>114</v>
      </c>
      <c r="Y4956">
        <v>21.4</v>
      </c>
      <c r="Z4956">
        <v>7.6</v>
      </c>
      <c r="AA4956">
        <v>35.200000000000003</v>
      </c>
    </row>
    <row r="4957" spans="1:27" x14ac:dyDescent="0.25">
      <c r="A4957" t="s">
        <v>275</v>
      </c>
      <c r="B4957" t="s">
        <v>223</v>
      </c>
      <c r="C4957" s="76">
        <v>43941</v>
      </c>
      <c r="D4957">
        <v>440</v>
      </c>
      <c r="E4957">
        <v>106</v>
      </c>
      <c r="F4957">
        <v>775</v>
      </c>
      <c r="G4957">
        <v>944</v>
      </c>
      <c r="H4957">
        <v>31.8</v>
      </c>
      <c r="I4957">
        <v>21.1</v>
      </c>
      <c r="J4957">
        <v>42.5</v>
      </c>
      <c r="K4957">
        <v>33</v>
      </c>
      <c r="L4957">
        <v>1</v>
      </c>
      <c r="M4957">
        <v>65</v>
      </c>
      <c r="N4957">
        <v>2.4</v>
      </c>
      <c r="O4957">
        <v>1</v>
      </c>
      <c r="P4957">
        <v>3.8</v>
      </c>
      <c r="Q4957">
        <f t="shared" si="152"/>
        <v>581075</v>
      </c>
      <c r="R4957">
        <f t="shared" si="153"/>
        <v>5.6791292001893039</v>
      </c>
      <c r="U4957">
        <v>31</v>
      </c>
      <c r="V4957">
        <v>2</v>
      </c>
      <c r="W4957">
        <v>60</v>
      </c>
      <c r="X4957">
        <v>114</v>
      </c>
      <c r="Y4957">
        <v>21.4</v>
      </c>
      <c r="Z4957">
        <v>11.4</v>
      </c>
      <c r="AA4957">
        <v>31.4</v>
      </c>
    </row>
    <row r="4958" spans="1:27" x14ac:dyDescent="0.25">
      <c r="A4958" t="s">
        <v>275</v>
      </c>
      <c r="B4958" t="s">
        <v>223</v>
      </c>
      <c r="C4958" s="76">
        <v>43942</v>
      </c>
      <c r="D4958">
        <v>491</v>
      </c>
      <c r="E4958">
        <v>120</v>
      </c>
      <c r="F4958">
        <v>863</v>
      </c>
      <c r="G4958">
        <v>901</v>
      </c>
      <c r="H4958">
        <v>35.299999999999997</v>
      </c>
      <c r="I4958">
        <v>24</v>
      </c>
      <c r="J4958">
        <v>46.6</v>
      </c>
      <c r="K4958">
        <v>36</v>
      </c>
      <c r="L4958">
        <v>7</v>
      </c>
      <c r="M4958">
        <v>64</v>
      </c>
      <c r="N4958">
        <v>2.6</v>
      </c>
      <c r="O4958">
        <v>1.5</v>
      </c>
      <c r="P4958">
        <v>3.7</v>
      </c>
      <c r="Q4958">
        <f t="shared" si="152"/>
        <v>581075</v>
      </c>
      <c r="R4958">
        <f t="shared" si="153"/>
        <v>6.1954136729337863</v>
      </c>
      <c r="U4958">
        <v>35</v>
      </c>
      <c r="V4958">
        <v>5</v>
      </c>
      <c r="W4958">
        <v>65</v>
      </c>
      <c r="X4958">
        <v>110</v>
      </c>
      <c r="Y4958">
        <v>24.2</v>
      </c>
      <c r="Z4958">
        <v>17</v>
      </c>
      <c r="AA4958">
        <v>31.3</v>
      </c>
    </row>
    <row r="4959" spans="1:27" x14ac:dyDescent="0.25">
      <c r="A4959" t="s">
        <v>275</v>
      </c>
      <c r="B4959" t="s">
        <v>223</v>
      </c>
      <c r="C4959" s="76">
        <v>43943</v>
      </c>
      <c r="D4959">
        <v>518</v>
      </c>
      <c r="E4959">
        <v>120</v>
      </c>
      <c r="F4959">
        <v>916</v>
      </c>
      <c r="G4959">
        <v>874</v>
      </c>
      <c r="H4959">
        <v>37.200000000000003</v>
      </c>
      <c r="I4959">
        <v>24.7</v>
      </c>
      <c r="J4959">
        <v>49.7</v>
      </c>
      <c r="K4959">
        <v>32</v>
      </c>
      <c r="L4959">
        <v>2</v>
      </c>
      <c r="M4959">
        <v>62</v>
      </c>
      <c r="N4959">
        <v>2.2999999999999998</v>
      </c>
      <c r="O4959">
        <v>1</v>
      </c>
      <c r="P4959">
        <v>3.7</v>
      </c>
      <c r="Q4959">
        <f t="shared" si="152"/>
        <v>581075</v>
      </c>
      <c r="R4959">
        <f t="shared" si="153"/>
        <v>5.507034375941144</v>
      </c>
      <c r="U4959">
        <v>29</v>
      </c>
      <c r="V4959">
        <v>5</v>
      </c>
      <c r="W4959">
        <v>53</v>
      </c>
      <c r="X4959">
        <v>92</v>
      </c>
      <c r="Y4959">
        <v>23.8</v>
      </c>
      <c r="Z4959">
        <v>14.8</v>
      </c>
      <c r="AA4959">
        <v>32.799999999999997</v>
      </c>
    </row>
    <row r="4960" spans="1:27" x14ac:dyDescent="0.25">
      <c r="A4960" t="s">
        <v>275</v>
      </c>
      <c r="B4960" t="s">
        <v>223</v>
      </c>
      <c r="C4960" s="76">
        <v>43944</v>
      </c>
      <c r="D4960">
        <v>523</v>
      </c>
      <c r="E4960">
        <v>140</v>
      </c>
      <c r="F4960">
        <v>905</v>
      </c>
      <c r="G4960">
        <v>868</v>
      </c>
      <c r="H4960">
        <v>37.6</v>
      </c>
      <c r="I4960">
        <v>25.5</v>
      </c>
      <c r="J4960">
        <v>49.7</v>
      </c>
      <c r="K4960">
        <v>33</v>
      </c>
      <c r="L4960">
        <v>8</v>
      </c>
      <c r="M4960">
        <v>58</v>
      </c>
      <c r="N4960">
        <v>2.4</v>
      </c>
      <c r="O4960">
        <v>1.4</v>
      </c>
      <c r="P4960">
        <v>3.3</v>
      </c>
      <c r="Q4960">
        <f t="shared" si="152"/>
        <v>581075</v>
      </c>
      <c r="R4960">
        <f t="shared" si="153"/>
        <v>5.6791292001893039</v>
      </c>
      <c r="U4960">
        <v>35</v>
      </c>
      <c r="V4960">
        <v>8</v>
      </c>
      <c r="W4960">
        <v>61</v>
      </c>
      <c r="X4960">
        <v>107</v>
      </c>
      <c r="Y4960">
        <v>24.5</v>
      </c>
      <c r="Z4960">
        <v>15.4</v>
      </c>
      <c r="AA4960">
        <v>33.700000000000003</v>
      </c>
    </row>
    <row r="4961" spans="1:27" x14ac:dyDescent="0.25">
      <c r="A4961" t="s">
        <v>275</v>
      </c>
      <c r="B4961" t="s">
        <v>223</v>
      </c>
      <c r="C4961" s="76">
        <v>43945</v>
      </c>
      <c r="D4961">
        <v>536</v>
      </c>
      <c r="E4961">
        <v>133</v>
      </c>
      <c r="F4961">
        <v>938</v>
      </c>
      <c r="G4961">
        <v>867</v>
      </c>
      <c r="H4961">
        <v>38.200000000000003</v>
      </c>
      <c r="I4961">
        <v>25.1</v>
      </c>
      <c r="J4961">
        <v>51.3</v>
      </c>
      <c r="K4961">
        <v>20</v>
      </c>
      <c r="L4961">
        <v>5</v>
      </c>
      <c r="M4961">
        <v>36</v>
      </c>
      <c r="N4961">
        <v>1.5</v>
      </c>
      <c r="O4961">
        <v>0.8</v>
      </c>
      <c r="P4961">
        <v>2.1</v>
      </c>
      <c r="Q4961">
        <f t="shared" si="152"/>
        <v>581075</v>
      </c>
      <c r="R4961">
        <f t="shared" si="153"/>
        <v>3.4418964849632143</v>
      </c>
      <c r="U4961">
        <v>27</v>
      </c>
      <c r="V4961">
        <v>4</v>
      </c>
      <c r="W4961">
        <v>49</v>
      </c>
      <c r="X4961">
        <v>115</v>
      </c>
      <c r="Y4961">
        <v>18.8</v>
      </c>
      <c r="Z4961">
        <v>11.3</v>
      </c>
      <c r="AA4961">
        <v>26.4</v>
      </c>
    </row>
    <row r="4962" spans="1:27" x14ac:dyDescent="0.25">
      <c r="A4962" t="s">
        <v>275</v>
      </c>
      <c r="B4962" t="s">
        <v>223</v>
      </c>
      <c r="C4962" s="76">
        <v>43946</v>
      </c>
      <c r="D4962">
        <v>521</v>
      </c>
      <c r="E4962">
        <v>130</v>
      </c>
      <c r="F4962">
        <v>911</v>
      </c>
      <c r="G4962">
        <v>874</v>
      </c>
      <c r="H4962">
        <v>37.299999999999997</v>
      </c>
      <c r="I4962">
        <v>23.7</v>
      </c>
      <c r="J4962">
        <v>51</v>
      </c>
      <c r="K4962">
        <v>18</v>
      </c>
      <c r="L4962">
        <v>0</v>
      </c>
      <c r="M4962">
        <v>44</v>
      </c>
      <c r="N4962">
        <v>1.3</v>
      </c>
      <c r="O4962">
        <v>0</v>
      </c>
      <c r="P4962">
        <v>2.8</v>
      </c>
      <c r="Q4962">
        <f t="shared" si="152"/>
        <v>581075</v>
      </c>
      <c r="R4962">
        <f t="shared" si="153"/>
        <v>3.0977068364668932</v>
      </c>
      <c r="U4962">
        <v>26</v>
      </c>
      <c r="V4962">
        <v>1</v>
      </c>
      <c r="W4962">
        <v>50</v>
      </c>
      <c r="X4962">
        <v>116</v>
      </c>
      <c r="Y4962">
        <v>18</v>
      </c>
      <c r="Z4962">
        <v>8.1</v>
      </c>
      <c r="AA4962">
        <v>27.9</v>
      </c>
    </row>
    <row r="4963" spans="1:27" x14ac:dyDescent="0.25">
      <c r="A4963" t="s">
        <v>275</v>
      </c>
      <c r="B4963" t="s">
        <v>223</v>
      </c>
      <c r="C4963" s="76">
        <v>43947</v>
      </c>
      <c r="D4963">
        <v>479</v>
      </c>
      <c r="E4963">
        <v>106</v>
      </c>
      <c r="F4963">
        <v>851</v>
      </c>
      <c r="G4963">
        <v>895</v>
      </c>
      <c r="H4963">
        <v>34.9</v>
      </c>
      <c r="I4963">
        <v>20.9</v>
      </c>
      <c r="J4963">
        <v>48.8</v>
      </c>
      <c r="K4963">
        <v>30</v>
      </c>
      <c r="L4963">
        <v>0</v>
      </c>
      <c r="M4963">
        <v>61</v>
      </c>
      <c r="N4963">
        <v>2.2000000000000002</v>
      </c>
      <c r="O4963">
        <v>0.5</v>
      </c>
      <c r="P4963">
        <v>3.8</v>
      </c>
      <c r="Q4963">
        <f t="shared" si="152"/>
        <v>581075</v>
      </c>
      <c r="R4963">
        <f t="shared" si="153"/>
        <v>5.1628447274448224</v>
      </c>
      <c r="U4963">
        <v>34</v>
      </c>
      <c r="V4963">
        <v>0</v>
      </c>
      <c r="W4963">
        <v>68</v>
      </c>
      <c r="X4963">
        <v>91</v>
      </c>
      <c r="Y4963">
        <v>27.3</v>
      </c>
      <c r="Z4963">
        <v>10.4</v>
      </c>
      <c r="AA4963">
        <v>44.1</v>
      </c>
    </row>
    <row r="4964" spans="1:27" x14ac:dyDescent="0.25">
      <c r="A4964" t="s">
        <v>275</v>
      </c>
      <c r="B4964" t="s">
        <v>223</v>
      </c>
      <c r="C4964" s="76">
        <v>43948</v>
      </c>
      <c r="D4964">
        <v>512</v>
      </c>
      <c r="E4964">
        <v>129</v>
      </c>
      <c r="F4964">
        <v>894</v>
      </c>
      <c r="G4964">
        <v>879</v>
      </c>
      <c r="H4964">
        <v>36.799999999999997</v>
      </c>
      <c r="I4964">
        <v>24</v>
      </c>
      <c r="J4964">
        <v>49.6</v>
      </c>
      <c r="K4964">
        <v>27</v>
      </c>
      <c r="L4964">
        <v>3</v>
      </c>
      <c r="M4964">
        <v>52</v>
      </c>
      <c r="N4964">
        <v>2</v>
      </c>
      <c r="O4964">
        <v>0.9</v>
      </c>
      <c r="P4964">
        <v>3.1</v>
      </c>
      <c r="Q4964">
        <f t="shared" si="152"/>
        <v>581075</v>
      </c>
      <c r="R4964">
        <f t="shared" si="153"/>
        <v>4.64656025470034</v>
      </c>
      <c r="U4964">
        <v>28</v>
      </c>
      <c r="V4964">
        <v>4</v>
      </c>
      <c r="W4964">
        <v>53</v>
      </c>
      <c r="X4964">
        <v>113</v>
      </c>
      <c r="Y4964">
        <v>20</v>
      </c>
      <c r="Z4964">
        <v>11.2</v>
      </c>
      <c r="AA4964">
        <v>28.9</v>
      </c>
    </row>
    <row r="4965" spans="1:27" x14ac:dyDescent="0.25">
      <c r="A4965" t="s">
        <v>275</v>
      </c>
      <c r="B4965" t="s">
        <v>223</v>
      </c>
      <c r="C4965" s="76">
        <v>43949</v>
      </c>
      <c r="D4965">
        <v>606</v>
      </c>
      <c r="E4965">
        <v>195</v>
      </c>
      <c r="F4965">
        <v>1017</v>
      </c>
      <c r="G4965">
        <v>842</v>
      </c>
      <c r="H4965">
        <v>41.8</v>
      </c>
      <c r="I4965">
        <v>29.2</v>
      </c>
      <c r="J4965">
        <v>54.5</v>
      </c>
      <c r="K4965">
        <v>28</v>
      </c>
      <c r="L4965">
        <v>2</v>
      </c>
      <c r="M4965">
        <v>53</v>
      </c>
      <c r="N4965">
        <v>1.9</v>
      </c>
      <c r="O4965">
        <v>0.7</v>
      </c>
      <c r="P4965">
        <v>3.1</v>
      </c>
      <c r="Q4965">
        <f t="shared" si="152"/>
        <v>581075</v>
      </c>
      <c r="R4965">
        <f t="shared" si="153"/>
        <v>4.8186550789485008</v>
      </c>
      <c r="U4965">
        <v>52</v>
      </c>
      <c r="V4965">
        <v>7</v>
      </c>
      <c r="W4965">
        <v>97</v>
      </c>
      <c r="X4965">
        <v>102</v>
      </c>
      <c r="Y4965">
        <v>33.799999999999997</v>
      </c>
      <c r="Z4965">
        <v>16.5</v>
      </c>
      <c r="AA4965">
        <v>51.1</v>
      </c>
    </row>
    <row r="4966" spans="1:27" x14ac:dyDescent="0.25">
      <c r="A4966" t="s">
        <v>275</v>
      </c>
      <c r="B4966" t="s">
        <v>223</v>
      </c>
      <c r="C4966" s="76">
        <v>43950</v>
      </c>
      <c r="D4966">
        <v>607</v>
      </c>
      <c r="E4966">
        <v>193</v>
      </c>
      <c r="F4966">
        <v>1020</v>
      </c>
      <c r="G4966">
        <v>842</v>
      </c>
      <c r="H4966">
        <v>41.9</v>
      </c>
      <c r="I4966">
        <v>29.2</v>
      </c>
      <c r="J4966">
        <v>54.6</v>
      </c>
      <c r="K4966">
        <v>18</v>
      </c>
      <c r="L4966">
        <v>1</v>
      </c>
      <c r="M4966">
        <v>35</v>
      </c>
      <c r="N4966">
        <v>1.2</v>
      </c>
      <c r="O4966">
        <v>0.5</v>
      </c>
      <c r="P4966">
        <v>2</v>
      </c>
      <c r="Q4966">
        <f t="shared" si="152"/>
        <v>581075</v>
      </c>
      <c r="R4966">
        <f t="shared" si="153"/>
        <v>3.0977068364668932</v>
      </c>
      <c r="U4966">
        <v>38</v>
      </c>
      <c r="V4966">
        <v>4</v>
      </c>
      <c r="W4966">
        <v>72</v>
      </c>
      <c r="X4966">
        <v>116</v>
      </c>
      <c r="Y4966">
        <v>24.7</v>
      </c>
      <c r="Z4966">
        <v>10.4</v>
      </c>
      <c r="AA4966">
        <v>39</v>
      </c>
    </row>
    <row r="4967" spans="1:27" x14ac:dyDescent="0.25">
      <c r="A4967" t="s">
        <v>275</v>
      </c>
      <c r="B4967" t="s">
        <v>223</v>
      </c>
      <c r="C4967" s="76">
        <v>43951</v>
      </c>
      <c r="D4967">
        <v>609</v>
      </c>
      <c r="E4967">
        <v>204</v>
      </c>
      <c r="F4967">
        <v>1014</v>
      </c>
      <c r="G4967">
        <v>822</v>
      </c>
      <c r="H4967">
        <v>42.6</v>
      </c>
      <c r="I4967">
        <v>30.9</v>
      </c>
      <c r="J4967">
        <v>54.2</v>
      </c>
      <c r="K4967">
        <v>25</v>
      </c>
      <c r="L4967">
        <v>4</v>
      </c>
      <c r="M4967">
        <v>46</v>
      </c>
      <c r="N4967">
        <v>1.7</v>
      </c>
      <c r="O4967">
        <v>1</v>
      </c>
      <c r="P4967">
        <v>2.5</v>
      </c>
      <c r="Q4967">
        <f t="shared" ref="Q4967:Q5030" si="154">VLOOKUP(B4967,$AE$4:$AF$55,2,FALSE)</f>
        <v>581075</v>
      </c>
      <c r="R4967">
        <f t="shared" si="153"/>
        <v>4.3023706062040183</v>
      </c>
      <c r="U4967">
        <v>37</v>
      </c>
      <c r="V4967">
        <v>0</v>
      </c>
      <c r="W4967">
        <v>74</v>
      </c>
      <c r="X4967">
        <v>100</v>
      </c>
      <c r="Y4967">
        <v>26.9</v>
      </c>
      <c r="Z4967">
        <v>5.2</v>
      </c>
      <c r="AA4967">
        <v>48.7</v>
      </c>
    </row>
    <row r="4968" spans="1:27" x14ac:dyDescent="0.25">
      <c r="A4968" t="s">
        <v>275</v>
      </c>
      <c r="B4968" t="s">
        <v>223</v>
      </c>
      <c r="C4968" s="76">
        <v>43952</v>
      </c>
      <c r="D4968">
        <v>526</v>
      </c>
      <c r="E4968">
        <v>151</v>
      </c>
      <c r="F4968">
        <v>902</v>
      </c>
      <c r="G4968">
        <v>909</v>
      </c>
      <c r="H4968">
        <v>36.700000000000003</v>
      </c>
      <c r="I4968">
        <v>24.5</v>
      </c>
      <c r="J4968">
        <v>48.8</v>
      </c>
      <c r="K4968">
        <v>22</v>
      </c>
      <c r="L4968">
        <v>2</v>
      </c>
      <c r="M4968">
        <v>43</v>
      </c>
      <c r="N4968">
        <v>1.5</v>
      </c>
      <c r="O4968">
        <v>0.5</v>
      </c>
      <c r="P4968">
        <v>2.5</v>
      </c>
      <c r="Q4968">
        <f t="shared" si="154"/>
        <v>581075</v>
      </c>
      <c r="R4968">
        <f t="shared" si="153"/>
        <v>3.7860861334595364</v>
      </c>
      <c r="U4968">
        <v>41</v>
      </c>
      <c r="V4968">
        <v>3</v>
      </c>
      <c r="W4968">
        <v>80</v>
      </c>
      <c r="X4968">
        <v>95</v>
      </c>
      <c r="Y4968">
        <v>30.2</v>
      </c>
      <c r="Z4968">
        <v>9.8000000000000007</v>
      </c>
      <c r="AA4968">
        <v>50.7</v>
      </c>
    </row>
    <row r="4969" spans="1:27" x14ac:dyDescent="0.25">
      <c r="A4969" t="s">
        <v>275</v>
      </c>
      <c r="B4969" t="s">
        <v>223</v>
      </c>
      <c r="C4969" s="76">
        <v>43953</v>
      </c>
      <c r="D4969">
        <v>564</v>
      </c>
      <c r="E4969">
        <v>168</v>
      </c>
      <c r="F4969">
        <v>959</v>
      </c>
      <c r="G4969">
        <v>872</v>
      </c>
      <c r="H4969">
        <v>39.299999999999997</v>
      </c>
      <c r="I4969">
        <v>25.9</v>
      </c>
      <c r="J4969">
        <v>52.6</v>
      </c>
      <c r="K4969">
        <v>24</v>
      </c>
      <c r="L4969">
        <v>4</v>
      </c>
      <c r="M4969">
        <v>43</v>
      </c>
      <c r="N4969">
        <v>1.6</v>
      </c>
      <c r="O4969">
        <v>0.8</v>
      </c>
      <c r="P4969">
        <v>2.5</v>
      </c>
      <c r="Q4969">
        <f t="shared" si="154"/>
        <v>581075</v>
      </c>
      <c r="R4969">
        <f t="shared" si="153"/>
        <v>4.1302757819558575</v>
      </c>
      <c r="U4969">
        <v>43</v>
      </c>
      <c r="V4969">
        <v>2</v>
      </c>
      <c r="W4969">
        <v>84</v>
      </c>
      <c r="X4969">
        <v>94</v>
      </c>
      <c r="Y4969">
        <v>31.5</v>
      </c>
      <c r="Z4969">
        <v>10.5</v>
      </c>
      <c r="AA4969">
        <v>52.5</v>
      </c>
    </row>
    <row r="4970" spans="1:27" x14ac:dyDescent="0.25">
      <c r="A4970" t="s">
        <v>275</v>
      </c>
      <c r="B4970" t="s">
        <v>223</v>
      </c>
      <c r="C4970" s="76">
        <v>43954</v>
      </c>
      <c r="D4970">
        <v>517</v>
      </c>
      <c r="E4970">
        <v>145</v>
      </c>
      <c r="F4970">
        <v>890</v>
      </c>
      <c r="G4970">
        <v>918</v>
      </c>
      <c r="H4970">
        <v>36</v>
      </c>
      <c r="I4970">
        <v>22.8</v>
      </c>
      <c r="J4970">
        <v>49.3</v>
      </c>
      <c r="K4970">
        <v>27</v>
      </c>
      <c r="L4970">
        <v>1</v>
      </c>
      <c r="M4970">
        <v>52</v>
      </c>
      <c r="N4970">
        <v>1.9</v>
      </c>
      <c r="O4970">
        <v>0.6</v>
      </c>
      <c r="P4970">
        <v>3.1</v>
      </c>
      <c r="Q4970">
        <f t="shared" si="154"/>
        <v>581075</v>
      </c>
      <c r="R4970">
        <f t="shared" si="153"/>
        <v>4.64656025470034</v>
      </c>
      <c r="U4970">
        <v>48</v>
      </c>
      <c r="V4970">
        <v>4</v>
      </c>
      <c r="W4970">
        <v>92</v>
      </c>
      <c r="X4970">
        <v>89</v>
      </c>
      <c r="Y4970">
        <v>35</v>
      </c>
      <c r="Z4970">
        <v>13</v>
      </c>
      <c r="AA4970">
        <v>57.1</v>
      </c>
    </row>
    <row r="4971" spans="1:27" x14ac:dyDescent="0.25">
      <c r="A4971" t="s">
        <v>275</v>
      </c>
      <c r="B4971" t="s">
        <v>223</v>
      </c>
      <c r="C4971" s="76">
        <v>43955</v>
      </c>
      <c r="D4971">
        <v>561</v>
      </c>
      <c r="E4971">
        <v>167</v>
      </c>
      <c r="F4971">
        <v>954</v>
      </c>
      <c r="G4971">
        <v>875</v>
      </c>
      <c r="H4971">
        <v>39.1</v>
      </c>
      <c r="I4971">
        <v>26</v>
      </c>
      <c r="J4971">
        <v>52.1</v>
      </c>
      <c r="K4971">
        <v>22</v>
      </c>
      <c r="L4971">
        <v>4</v>
      </c>
      <c r="M4971">
        <v>39</v>
      </c>
      <c r="N4971">
        <v>1.5</v>
      </c>
      <c r="O4971">
        <v>0.7</v>
      </c>
      <c r="P4971">
        <v>2.2999999999999998</v>
      </c>
      <c r="Q4971">
        <f t="shared" si="154"/>
        <v>581075</v>
      </c>
      <c r="R4971">
        <f t="shared" si="153"/>
        <v>3.7860861334595364</v>
      </c>
      <c r="U4971">
        <v>39</v>
      </c>
      <c r="V4971">
        <v>4</v>
      </c>
      <c r="W4971">
        <v>75</v>
      </c>
      <c r="X4971">
        <v>97</v>
      </c>
      <c r="Y4971">
        <v>28.8</v>
      </c>
      <c r="Z4971">
        <v>12.7</v>
      </c>
      <c r="AA4971">
        <v>44.9</v>
      </c>
    </row>
    <row r="4972" spans="1:27" x14ac:dyDescent="0.25">
      <c r="A4972" t="s">
        <v>275</v>
      </c>
      <c r="B4972" t="s">
        <v>223</v>
      </c>
      <c r="C4972" s="76">
        <v>43956</v>
      </c>
      <c r="D4972">
        <v>597</v>
      </c>
      <c r="E4972">
        <v>184</v>
      </c>
      <c r="F4972">
        <v>1011</v>
      </c>
      <c r="G4972">
        <v>836</v>
      </c>
      <c r="H4972">
        <v>41.7</v>
      </c>
      <c r="I4972">
        <v>27.6</v>
      </c>
      <c r="J4972">
        <v>55.8</v>
      </c>
      <c r="K4972">
        <v>21</v>
      </c>
      <c r="L4972">
        <v>1</v>
      </c>
      <c r="M4972">
        <v>42</v>
      </c>
      <c r="N4972">
        <v>1.5</v>
      </c>
      <c r="O4972">
        <v>0.6</v>
      </c>
      <c r="P4972">
        <v>2.4</v>
      </c>
      <c r="Q4972">
        <f t="shared" si="154"/>
        <v>581075</v>
      </c>
      <c r="R4972">
        <f t="shared" si="153"/>
        <v>3.6139913092113756</v>
      </c>
      <c r="U4972">
        <v>37</v>
      </c>
      <c r="V4972">
        <v>2</v>
      </c>
      <c r="W4972">
        <v>71</v>
      </c>
      <c r="X4972">
        <v>100</v>
      </c>
      <c r="Y4972">
        <v>26.7</v>
      </c>
      <c r="Z4972">
        <v>9.3000000000000007</v>
      </c>
      <c r="AA4972">
        <v>44</v>
      </c>
    </row>
    <row r="4973" spans="1:27" x14ac:dyDescent="0.25">
      <c r="A4973" t="s">
        <v>275</v>
      </c>
      <c r="B4973" t="s">
        <v>223</v>
      </c>
      <c r="C4973" s="76">
        <v>43957</v>
      </c>
      <c r="D4973">
        <v>615</v>
      </c>
      <c r="E4973">
        <v>211</v>
      </c>
      <c r="F4973">
        <v>1019</v>
      </c>
      <c r="G4973">
        <v>797</v>
      </c>
      <c r="H4973">
        <v>43.5</v>
      </c>
      <c r="I4973">
        <v>31.8</v>
      </c>
      <c r="J4973">
        <v>55.3</v>
      </c>
      <c r="K4973">
        <v>20</v>
      </c>
      <c r="L4973">
        <v>2</v>
      </c>
      <c r="M4973">
        <v>38</v>
      </c>
      <c r="N4973">
        <v>1.4</v>
      </c>
      <c r="O4973">
        <v>0.6</v>
      </c>
      <c r="P4973">
        <v>2.2000000000000002</v>
      </c>
      <c r="Q4973">
        <f t="shared" si="154"/>
        <v>581075</v>
      </c>
      <c r="R4973">
        <f t="shared" si="153"/>
        <v>3.4418964849632143</v>
      </c>
      <c r="U4973">
        <v>33</v>
      </c>
      <c r="V4973">
        <v>2</v>
      </c>
      <c r="W4973">
        <v>64</v>
      </c>
      <c r="X4973">
        <v>98</v>
      </c>
      <c r="Y4973">
        <v>25</v>
      </c>
      <c r="Z4973">
        <v>10.1</v>
      </c>
      <c r="AA4973">
        <v>40</v>
      </c>
    </row>
    <row r="4974" spans="1:27" x14ac:dyDescent="0.25">
      <c r="A4974" t="s">
        <v>275</v>
      </c>
      <c r="B4974" t="s">
        <v>223</v>
      </c>
      <c r="C4974" s="76">
        <v>43958</v>
      </c>
      <c r="D4974">
        <v>631</v>
      </c>
      <c r="E4974">
        <v>185</v>
      </c>
      <c r="F4974">
        <v>1078</v>
      </c>
      <c r="G4974">
        <v>783</v>
      </c>
      <c r="H4974">
        <v>44.6</v>
      </c>
      <c r="I4974">
        <v>29.4</v>
      </c>
      <c r="J4974">
        <v>59.8</v>
      </c>
      <c r="K4974">
        <v>9</v>
      </c>
      <c r="L4974">
        <v>0</v>
      </c>
      <c r="M4974">
        <v>21</v>
      </c>
      <c r="N4974">
        <v>0.7</v>
      </c>
      <c r="O4974">
        <v>0</v>
      </c>
      <c r="P4974">
        <v>1.3</v>
      </c>
      <c r="Q4974">
        <f t="shared" si="154"/>
        <v>581075</v>
      </c>
      <c r="R4974">
        <f t="shared" si="153"/>
        <v>1.5488534182334466</v>
      </c>
      <c r="U4974">
        <v>38</v>
      </c>
      <c r="V4974">
        <v>3</v>
      </c>
      <c r="W4974">
        <v>74</v>
      </c>
      <c r="X4974">
        <v>93</v>
      </c>
      <c r="Y4974">
        <v>29.2</v>
      </c>
      <c r="Z4974">
        <v>8</v>
      </c>
      <c r="AA4974">
        <v>50.4</v>
      </c>
    </row>
    <row r="4975" spans="1:27" x14ac:dyDescent="0.25">
      <c r="A4975" t="s">
        <v>275</v>
      </c>
      <c r="B4975" t="s">
        <v>223</v>
      </c>
      <c r="C4975" s="76">
        <v>43959</v>
      </c>
      <c r="D4975">
        <v>645</v>
      </c>
      <c r="E4975">
        <v>156</v>
      </c>
      <c r="F4975">
        <v>1134</v>
      </c>
      <c r="G4975">
        <v>769</v>
      </c>
      <c r="H4975">
        <v>45.6</v>
      </c>
      <c r="I4975">
        <v>27.1</v>
      </c>
      <c r="J4975">
        <v>64.099999999999994</v>
      </c>
      <c r="K4975">
        <v>14</v>
      </c>
      <c r="L4975">
        <v>0</v>
      </c>
      <c r="M4975">
        <v>29</v>
      </c>
      <c r="N4975">
        <v>1</v>
      </c>
      <c r="O4975">
        <v>0.3</v>
      </c>
      <c r="P4975">
        <v>1.7</v>
      </c>
      <c r="Q4975">
        <f t="shared" si="154"/>
        <v>581075</v>
      </c>
      <c r="R4975">
        <f t="shared" si="153"/>
        <v>2.4093275394742504</v>
      </c>
      <c r="U4975">
        <v>46</v>
      </c>
      <c r="V4975">
        <v>5</v>
      </c>
      <c r="W4975">
        <v>87</v>
      </c>
      <c r="X4975">
        <v>85</v>
      </c>
      <c r="Y4975">
        <v>35</v>
      </c>
      <c r="Z4975">
        <v>12.5</v>
      </c>
      <c r="AA4975">
        <v>57.4</v>
      </c>
    </row>
    <row r="4976" spans="1:27" x14ac:dyDescent="0.25">
      <c r="A4976" t="s">
        <v>275</v>
      </c>
      <c r="B4976" t="s">
        <v>223</v>
      </c>
      <c r="C4976" s="76">
        <v>43960</v>
      </c>
      <c r="D4976">
        <v>589</v>
      </c>
      <c r="E4976">
        <v>149</v>
      </c>
      <c r="F4976">
        <v>1028</v>
      </c>
      <c r="G4976">
        <v>839</v>
      </c>
      <c r="H4976">
        <v>41.2</v>
      </c>
      <c r="I4976">
        <v>26.5</v>
      </c>
      <c r="J4976">
        <v>55.9</v>
      </c>
      <c r="K4976">
        <v>15</v>
      </c>
      <c r="L4976">
        <v>0</v>
      </c>
      <c r="M4976">
        <v>36</v>
      </c>
      <c r="N4976">
        <v>1</v>
      </c>
      <c r="O4976">
        <v>0</v>
      </c>
      <c r="P4976">
        <v>2.2000000000000002</v>
      </c>
      <c r="Q4976">
        <f t="shared" si="154"/>
        <v>581075</v>
      </c>
      <c r="R4976">
        <f t="shared" si="153"/>
        <v>2.5814223637224112</v>
      </c>
      <c r="U4976">
        <v>42</v>
      </c>
      <c r="V4976">
        <v>4</v>
      </c>
      <c r="W4976">
        <v>80</v>
      </c>
      <c r="X4976">
        <v>89</v>
      </c>
      <c r="Y4976">
        <v>32</v>
      </c>
      <c r="Z4976">
        <v>13.3</v>
      </c>
      <c r="AA4976">
        <v>50.7</v>
      </c>
    </row>
    <row r="4977" spans="1:27" x14ac:dyDescent="0.25">
      <c r="A4977" t="s">
        <v>275</v>
      </c>
      <c r="B4977" t="s">
        <v>223</v>
      </c>
      <c r="C4977" s="76">
        <v>43961</v>
      </c>
      <c r="D4977">
        <v>555</v>
      </c>
      <c r="E4977">
        <v>145</v>
      </c>
      <c r="F4977">
        <v>966</v>
      </c>
      <c r="G4977">
        <v>876</v>
      </c>
      <c r="H4977">
        <v>38.799999999999997</v>
      </c>
      <c r="I4977">
        <v>24.7</v>
      </c>
      <c r="J4977">
        <v>52.9</v>
      </c>
      <c r="K4977">
        <v>25</v>
      </c>
      <c r="L4977">
        <v>0</v>
      </c>
      <c r="M4977">
        <v>56</v>
      </c>
      <c r="N4977">
        <v>1.7</v>
      </c>
      <c r="O4977">
        <v>0</v>
      </c>
      <c r="P4977">
        <v>3.4</v>
      </c>
      <c r="Q4977">
        <f t="shared" si="154"/>
        <v>581075</v>
      </c>
      <c r="R4977">
        <f t="shared" si="153"/>
        <v>4.3023706062040183</v>
      </c>
      <c r="U4977">
        <v>39</v>
      </c>
      <c r="V4977">
        <v>1</v>
      </c>
      <c r="W4977">
        <v>78</v>
      </c>
      <c r="X4977">
        <v>94</v>
      </c>
      <c r="Y4977">
        <v>29.6</v>
      </c>
      <c r="Z4977">
        <v>9.6</v>
      </c>
      <c r="AA4977">
        <v>49.7</v>
      </c>
    </row>
    <row r="4978" spans="1:27" x14ac:dyDescent="0.25">
      <c r="A4978" t="s">
        <v>275</v>
      </c>
      <c r="B4978" t="s">
        <v>223</v>
      </c>
      <c r="C4978" s="76">
        <v>43962</v>
      </c>
      <c r="D4978">
        <v>571</v>
      </c>
      <c r="E4978">
        <v>169</v>
      </c>
      <c r="F4978">
        <v>972</v>
      </c>
      <c r="G4978">
        <v>861</v>
      </c>
      <c r="H4978">
        <v>39.9</v>
      </c>
      <c r="I4978">
        <v>27.4</v>
      </c>
      <c r="J4978">
        <v>52.3</v>
      </c>
      <c r="K4978">
        <v>16</v>
      </c>
      <c r="L4978">
        <v>0</v>
      </c>
      <c r="M4978">
        <v>34</v>
      </c>
      <c r="N4978">
        <v>1.1000000000000001</v>
      </c>
      <c r="O4978">
        <v>0.2</v>
      </c>
      <c r="P4978">
        <v>2</v>
      </c>
      <c r="Q4978">
        <f t="shared" si="154"/>
        <v>581075</v>
      </c>
      <c r="R4978">
        <f t="shared" si="153"/>
        <v>2.753517187970572</v>
      </c>
      <c r="U4978">
        <v>45</v>
      </c>
      <c r="V4978">
        <v>3</v>
      </c>
      <c r="W4978">
        <v>86</v>
      </c>
      <c r="X4978">
        <v>89</v>
      </c>
      <c r="Y4978">
        <v>33.5</v>
      </c>
      <c r="Z4978">
        <v>12.6</v>
      </c>
      <c r="AA4978">
        <v>54.5</v>
      </c>
    </row>
    <row r="4979" spans="1:27" x14ac:dyDescent="0.25">
      <c r="A4979" t="s">
        <v>275</v>
      </c>
      <c r="B4979" t="s">
        <v>223</v>
      </c>
      <c r="C4979" s="76">
        <v>43963</v>
      </c>
      <c r="D4979">
        <v>607</v>
      </c>
      <c r="E4979">
        <v>182</v>
      </c>
      <c r="F4979">
        <v>1033</v>
      </c>
      <c r="G4979">
        <v>752</v>
      </c>
      <c r="H4979">
        <v>44.7</v>
      </c>
      <c r="I4979">
        <v>29.3</v>
      </c>
      <c r="J4979">
        <v>60.1</v>
      </c>
      <c r="K4979">
        <v>27</v>
      </c>
      <c r="L4979">
        <v>0</v>
      </c>
      <c r="M4979">
        <v>54</v>
      </c>
      <c r="N4979">
        <v>2</v>
      </c>
      <c r="O4979">
        <v>0.6</v>
      </c>
      <c r="P4979">
        <v>3.3</v>
      </c>
      <c r="Q4979">
        <f t="shared" si="154"/>
        <v>581075</v>
      </c>
      <c r="R4979">
        <f t="shared" si="153"/>
        <v>4.64656025470034</v>
      </c>
      <c r="U4979">
        <v>37</v>
      </c>
      <c r="V4979">
        <v>5</v>
      </c>
      <c r="W4979">
        <v>69</v>
      </c>
      <c r="X4979">
        <v>96</v>
      </c>
      <c r="Y4979">
        <v>27.8</v>
      </c>
      <c r="Z4979">
        <v>11.1</v>
      </c>
      <c r="AA4979">
        <v>44.5</v>
      </c>
    </row>
    <row r="4980" spans="1:27" x14ac:dyDescent="0.25">
      <c r="A4980" t="s">
        <v>275</v>
      </c>
      <c r="B4980" t="s">
        <v>223</v>
      </c>
      <c r="C4980" s="76">
        <v>43964</v>
      </c>
      <c r="D4980">
        <v>592</v>
      </c>
      <c r="E4980">
        <v>146</v>
      </c>
      <c r="F4980">
        <v>1037</v>
      </c>
      <c r="G4980">
        <v>754</v>
      </c>
      <c r="H4980">
        <v>44</v>
      </c>
      <c r="I4980">
        <v>26.5</v>
      </c>
      <c r="J4980">
        <v>61.4</v>
      </c>
      <c r="K4980">
        <v>14</v>
      </c>
      <c r="L4980">
        <v>2</v>
      </c>
      <c r="M4980">
        <v>26</v>
      </c>
      <c r="N4980">
        <v>1</v>
      </c>
      <c r="O4980">
        <v>0.5</v>
      </c>
      <c r="P4980">
        <v>1.6</v>
      </c>
      <c r="Q4980">
        <f t="shared" si="154"/>
        <v>581075</v>
      </c>
      <c r="R4980">
        <f t="shared" si="153"/>
        <v>2.4093275394742504</v>
      </c>
      <c r="U4980">
        <v>44</v>
      </c>
      <c r="V4980">
        <v>9</v>
      </c>
      <c r="W4980">
        <v>78</v>
      </c>
      <c r="X4980">
        <v>83</v>
      </c>
      <c r="Y4980">
        <v>34.4</v>
      </c>
      <c r="Z4980">
        <v>17</v>
      </c>
      <c r="AA4980">
        <v>51.8</v>
      </c>
    </row>
    <row r="4981" spans="1:27" x14ac:dyDescent="0.25">
      <c r="A4981" t="s">
        <v>275</v>
      </c>
      <c r="B4981" t="s">
        <v>223</v>
      </c>
      <c r="C4981" s="76">
        <v>43965</v>
      </c>
      <c r="D4981">
        <v>621</v>
      </c>
      <c r="E4981">
        <v>191</v>
      </c>
      <c r="F4981">
        <v>1050</v>
      </c>
      <c r="G4981">
        <v>723</v>
      </c>
      <c r="H4981">
        <v>46.2</v>
      </c>
      <c r="I4981">
        <v>32.9</v>
      </c>
      <c r="J4981">
        <v>59.6</v>
      </c>
      <c r="K4981">
        <v>14</v>
      </c>
      <c r="L4981">
        <v>2</v>
      </c>
      <c r="M4981">
        <v>27</v>
      </c>
      <c r="N4981">
        <v>1.1000000000000001</v>
      </c>
      <c r="O4981">
        <v>0.3</v>
      </c>
      <c r="P4981">
        <v>1.8</v>
      </c>
      <c r="Q4981">
        <f t="shared" si="154"/>
        <v>581075</v>
      </c>
      <c r="R4981">
        <f t="shared" si="153"/>
        <v>2.4093275394742504</v>
      </c>
      <c r="U4981">
        <v>41</v>
      </c>
      <c r="V4981">
        <v>6</v>
      </c>
      <c r="W4981">
        <v>77</v>
      </c>
      <c r="X4981">
        <v>86</v>
      </c>
      <c r="Y4981">
        <v>32.5</v>
      </c>
      <c r="Z4981">
        <v>15.5</v>
      </c>
      <c r="AA4981">
        <v>49.6</v>
      </c>
    </row>
    <row r="4982" spans="1:27" x14ac:dyDescent="0.25">
      <c r="A4982" t="s">
        <v>275</v>
      </c>
      <c r="B4982" t="s">
        <v>223</v>
      </c>
      <c r="C4982" s="76">
        <v>43966</v>
      </c>
      <c r="D4982">
        <v>589</v>
      </c>
      <c r="E4982">
        <v>181</v>
      </c>
      <c r="F4982">
        <v>996</v>
      </c>
      <c r="G4982">
        <v>740</v>
      </c>
      <c r="H4982">
        <v>44.3</v>
      </c>
      <c r="I4982">
        <v>32.200000000000003</v>
      </c>
      <c r="J4982">
        <v>56.4</v>
      </c>
      <c r="K4982">
        <v>19</v>
      </c>
      <c r="L4982">
        <v>3</v>
      </c>
      <c r="M4982">
        <v>34</v>
      </c>
      <c r="N4982">
        <v>1.4</v>
      </c>
      <c r="O4982">
        <v>0.5</v>
      </c>
      <c r="P4982">
        <v>2.2999999999999998</v>
      </c>
      <c r="Q4982">
        <f t="shared" si="154"/>
        <v>581075</v>
      </c>
      <c r="R4982">
        <f t="shared" si="153"/>
        <v>3.269801660715054</v>
      </c>
      <c r="U4982">
        <v>50</v>
      </c>
      <c r="V4982">
        <v>7</v>
      </c>
      <c r="W4982">
        <v>92</v>
      </c>
      <c r="X4982">
        <v>77</v>
      </c>
      <c r="Y4982">
        <v>39.1</v>
      </c>
      <c r="Z4982">
        <v>22.8</v>
      </c>
      <c r="AA4982">
        <v>55.4</v>
      </c>
    </row>
    <row r="4983" spans="1:27" x14ac:dyDescent="0.25">
      <c r="A4983" t="s">
        <v>275</v>
      </c>
      <c r="B4983" t="s">
        <v>223</v>
      </c>
      <c r="C4983" s="76">
        <v>43967</v>
      </c>
      <c r="D4983">
        <v>543</v>
      </c>
      <c r="E4983">
        <v>141</v>
      </c>
      <c r="F4983">
        <v>945</v>
      </c>
      <c r="G4983">
        <v>786</v>
      </c>
      <c r="H4983">
        <v>40.700000000000003</v>
      </c>
      <c r="I4983">
        <v>25</v>
      </c>
      <c r="J4983">
        <v>56.5</v>
      </c>
      <c r="K4983">
        <v>21</v>
      </c>
      <c r="L4983">
        <v>0</v>
      </c>
      <c r="M4983">
        <v>42</v>
      </c>
      <c r="N4983">
        <v>1.6</v>
      </c>
      <c r="O4983">
        <v>0.2</v>
      </c>
      <c r="P4983">
        <v>2.9</v>
      </c>
      <c r="Q4983">
        <f t="shared" si="154"/>
        <v>581075</v>
      </c>
      <c r="R4983">
        <f t="shared" si="153"/>
        <v>3.6139913092113756</v>
      </c>
      <c r="U4983">
        <v>36</v>
      </c>
      <c r="V4983">
        <v>6</v>
      </c>
      <c r="W4983">
        <v>66</v>
      </c>
      <c r="X4983">
        <v>96</v>
      </c>
      <c r="Y4983">
        <v>27.1</v>
      </c>
      <c r="Z4983">
        <v>13.3</v>
      </c>
      <c r="AA4983">
        <v>40.9</v>
      </c>
    </row>
    <row r="4984" spans="1:27" x14ac:dyDescent="0.25">
      <c r="A4984" t="s">
        <v>275</v>
      </c>
      <c r="B4984" t="s">
        <v>223</v>
      </c>
      <c r="C4984" s="76">
        <v>43968</v>
      </c>
      <c r="D4984">
        <v>565</v>
      </c>
      <c r="E4984">
        <v>173</v>
      </c>
      <c r="F4984">
        <v>956</v>
      </c>
      <c r="G4984">
        <v>764</v>
      </c>
      <c r="H4984">
        <v>42.5</v>
      </c>
      <c r="I4984">
        <v>30.4</v>
      </c>
      <c r="J4984">
        <v>54.6</v>
      </c>
      <c r="K4984">
        <v>25</v>
      </c>
      <c r="L4984">
        <v>0</v>
      </c>
      <c r="M4984">
        <v>49</v>
      </c>
      <c r="N4984">
        <v>1.9</v>
      </c>
      <c r="O4984">
        <v>0.3</v>
      </c>
      <c r="P4984">
        <v>3.5</v>
      </c>
      <c r="Q4984">
        <f t="shared" si="154"/>
        <v>581075</v>
      </c>
      <c r="R4984">
        <f t="shared" si="153"/>
        <v>4.3023706062040183</v>
      </c>
      <c r="U4984">
        <v>53</v>
      </c>
      <c r="V4984">
        <v>7</v>
      </c>
      <c r="W4984">
        <v>99</v>
      </c>
      <c r="X4984">
        <v>79</v>
      </c>
      <c r="Y4984">
        <v>40.200000000000003</v>
      </c>
      <c r="Z4984">
        <v>21.1</v>
      </c>
      <c r="AA4984">
        <v>59.2</v>
      </c>
    </row>
    <row r="4985" spans="1:27" x14ac:dyDescent="0.25">
      <c r="A4985" t="s">
        <v>275</v>
      </c>
      <c r="B4985" t="s">
        <v>223</v>
      </c>
      <c r="C4985" s="76">
        <v>43969</v>
      </c>
      <c r="D4985">
        <v>580</v>
      </c>
      <c r="E4985">
        <v>192</v>
      </c>
      <c r="F4985">
        <v>969</v>
      </c>
      <c r="G4985">
        <v>764</v>
      </c>
      <c r="H4985">
        <v>43</v>
      </c>
      <c r="I4985">
        <v>32.5</v>
      </c>
      <c r="J4985">
        <v>53.6</v>
      </c>
      <c r="K4985">
        <v>19</v>
      </c>
      <c r="L4985">
        <v>0</v>
      </c>
      <c r="M4985">
        <v>39</v>
      </c>
      <c r="N4985">
        <v>1.4</v>
      </c>
      <c r="O4985">
        <v>0.1</v>
      </c>
      <c r="P4985">
        <v>2.7</v>
      </c>
      <c r="Q4985">
        <f t="shared" si="154"/>
        <v>581075</v>
      </c>
      <c r="R4985">
        <f t="shared" si="153"/>
        <v>3.269801660715054</v>
      </c>
      <c r="U4985">
        <v>51</v>
      </c>
      <c r="V4985">
        <v>9</v>
      </c>
      <c r="W4985">
        <v>94</v>
      </c>
      <c r="X4985">
        <v>82</v>
      </c>
      <c r="Y4985">
        <v>38.6</v>
      </c>
      <c r="Z4985">
        <v>23.3</v>
      </c>
      <c r="AA4985">
        <v>53.9</v>
      </c>
    </row>
    <row r="4986" spans="1:27" x14ac:dyDescent="0.25">
      <c r="A4986" t="s">
        <v>275</v>
      </c>
      <c r="B4986" t="s">
        <v>223</v>
      </c>
      <c r="C4986" s="76">
        <v>43970</v>
      </c>
      <c r="D4986">
        <v>605</v>
      </c>
      <c r="E4986">
        <v>205</v>
      </c>
      <c r="F4986">
        <v>1006</v>
      </c>
      <c r="G4986">
        <v>739</v>
      </c>
      <c r="H4986">
        <v>45.1</v>
      </c>
      <c r="I4986">
        <v>34.6</v>
      </c>
      <c r="J4986">
        <v>55.7</v>
      </c>
      <c r="K4986">
        <v>19</v>
      </c>
      <c r="L4986">
        <v>4</v>
      </c>
      <c r="M4986">
        <v>33</v>
      </c>
      <c r="N4986">
        <v>1.4</v>
      </c>
      <c r="O4986">
        <v>0.7</v>
      </c>
      <c r="P4986">
        <v>2.1</v>
      </c>
      <c r="Q4986">
        <f t="shared" si="154"/>
        <v>581075</v>
      </c>
      <c r="R4986">
        <f t="shared" si="153"/>
        <v>3.269801660715054</v>
      </c>
      <c r="U4986">
        <v>61</v>
      </c>
      <c r="V4986">
        <v>14</v>
      </c>
      <c r="W4986">
        <v>109</v>
      </c>
      <c r="X4986">
        <v>69</v>
      </c>
      <c r="Y4986">
        <v>47.1</v>
      </c>
      <c r="Z4986">
        <v>30.8</v>
      </c>
      <c r="AA4986">
        <v>63.4</v>
      </c>
    </row>
    <row r="4987" spans="1:27" x14ac:dyDescent="0.25">
      <c r="A4987" t="s">
        <v>275</v>
      </c>
      <c r="B4987" t="s">
        <v>223</v>
      </c>
      <c r="C4987" s="76">
        <v>43971</v>
      </c>
      <c r="D4987">
        <v>586</v>
      </c>
      <c r="E4987">
        <v>177</v>
      </c>
      <c r="F4987">
        <v>994</v>
      </c>
      <c r="G4987">
        <v>699</v>
      </c>
      <c r="H4987">
        <v>45.6</v>
      </c>
      <c r="I4987">
        <v>33</v>
      </c>
      <c r="J4987">
        <v>58.3</v>
      </c>
      <c r="K4987">
        <v>20</v>
      </c>
      <c r="L4987">
        <v>6</v>
      </c>
      <c r="M4987">
        <v>34</v>
      </c>
      <c r="N4987">
        <v>1.6</v>
      </c>
      <c r="O4987">
        <v>0.8</v>
      </c>
      <c r="P4987">
        <v>2.2999999999999998</v>
      </c>
      <c r="Q4987">
        <f t="shared" si="154"/>
        <v>581075</v>
      </c>
      <c r="R4987">
        <f t="shared" si="153"/>
        <v>3.4418964849632143</v>
      </c>
      <c r="U4987">
        <v>46</v>
      </c>
      <c r="V4987">
        <v>3</v>
      </c>
      <c r="W4987">
        <v>89</v>
      </c>
      <c r="X4987">
        <v>89</v>
      </c>
      <c r="Y4987">
        <v>34.200000000000003</v>
      </c>
      <c r="Z4987">
        <v>9.8000000000000007</v>
      </c>
      <c r="AA4987">
        <v>58.6</v>
      </c>
    </row>
    <row r="4988" spans="1:27" x14ac:dyDescent="0.25">
      <c r="A4988" t="s">
        <v>275</v>
      </c>
      <c r="B4988" t="s">
        <v>223</v>
      </c>
      <c r="C4988" s="76">
        <v>43972</v>
      </c>
      <c r="D4988">
        <v>622</v>
      </c>
      <c r="E4988">
        <v>202</v>
      </c>
      <c r="F4988">
        <v>1042</v>
      </c>
      <c r="G4988">
        <v>640</v>
      </c>
      <c r="H4988">
        <v>49.3</v>
      </c>
      <c r="I4988">
        <v>38.1</v>
      </c>
      <c r="J4988">
        <v>60.4</v>
      </c>
      <c r="K4988">
        <v>22</v>
      </c>
      <c r="L4988">
        <v>5</v>
      </c>
      <c r="M4988">
        <v>39</v>
      </c>
      <c r="N4988">
        <v>1.8</v>
      </c>
      <c r="O4988">
        <v>1.1000000000000001</v>
      </c>
      <c r="P4988">
        <v>2.4</v>
      </c>
      <c r="Q4988">
        <f t="shared" si="154"/>
        <v>581075</v>
      </c>
      <c r="R4988">
        <f t="shared" si="153"/>
        <v>3.7860861334595364</v>
      </c>
      <c r="U4988">
        <v>41</v>
      </c>
      <c r="V4988">
        <v>2</v>
      </c>
      <c r="W4988">
        <v>80</v>
      </c>
      <c r="X4988">
        <v>88</v>
      </c>
      <c r="Y4988">
        <v>31.6</v>
      </c>
      <c r="Z4988">
        <v>8.1999999999999993</v>
      </c>
      <c r="AA4988">
        <v>55.1</v>
      </c>
    </row>
    <row r="4989" spans="1:27" x14ac:dyDescent="0.25">
      <c r="A4989" t="s">
        <v>275</v>
      </c>
      <c r="B4989" t="s">
        <v>223</v>
      </c>
      <c r="C4989" s="76">
        <v>43973</v>
      </c>
      <c r="D4989">
        <v>614</v>
      </c>
      <c r="E4989">
        <v>186</v>
      </c>
      <c r="F4989">
        <v>1041</v>
      </c>
      <c r="G4989">
        <v>715</v>
      </c>
      <c r="H4989">
        <v>46.2</v>
      </c>
      <c r="I4989">
        <v>33.799999999999997</v>
      </c>
      <c r="J4989">
        <v>58.5</v>
      </c>
      <c r="K4989">
        <v>19</v>
      </c>
      <c r="L4989">
        <v>3</v>
      </c>
      <c r="M4989">
        <v>35</v>
      </c>
      <c r="N4989">
        <v>1.4</v>
      </c>
      <c r="O4989">
        <v>0.6</v>
      </c>
      <c r="P4989">
        <v>2.2000000000000002</v>
      </c>
      <c r="Q4989">
        <f t="shared" si="154"/>
        <v>581075</v>
      </c>
      <c r="R4989">
        <f t="shared" si="153"/>
        <v>3.269801660715054</v>
      </c>
      <c r="U4989">
        <v>45</v>
      </c>
      <c r="V4989">
        <v>0</v>
      </c>
      <c r="W4989">
        <v>106</v>
      </c>
      <c r="X4989">
        <v>79</v>
      </c>
      <c r="Y4989">
        <v>36.4</v>
      </c>
      <c r="Z4989">
        <v>0</v>
      </c>
      <c r="AA4989">
        <v>80.099999999999994</v>
      </c>
    </row>
    <row r="4990" spans="1:27" x14ac:dyDescent="0.25">
      <c r="A4990" t="s">
        <v>275</v>
      </c>
      <c r="B4990" t="s">
        <v>223</v>
      </c>
      <c r="C4990" s="76">
        <v>43974</v>
      </c>
      <c r="D4990">
        <v>536</v>
      </c>
      <c r="E4990">
        <v>154</v>
      </c>
      <c r="F4990">
        <v>917</v>
      </c>
      <c r="G4990">
        <v>793</v>
      </c>
      <c r="H4990">
        <v>40.299999999999997</v>
      </c>
      <c r="I4990">
        <v>27.9</v>
      </c>
      <c r="J4990">
        <v>52.7</v>
      </c>
      <c r="K4990">
        <v>16</v>
      </c>
      <c r="L4990">
        <v>0</v>
      </c>
      <c r="M4990">
        <v>32</v>
      </c>
      <c r="N4990">
        <v>1.2</v>
      </c>
      <c r="O4990">
        <v>0.3</v>
      </c>
      <c r="P4990">
        <v>2</v>
      </c>
      <c r="Q4990">
        <f t="shared" si="154"/>
        <v>581075</v>
      </c>
      <c r="R4990">
        <f t="shared" si="153"/>
        <v>2.753517187970572</v>
      </c>
      <c r="U4990">
        <v>33</v>
      </c>
      <c r="V4990">
        <v>0</v>
      </c>
      <c r="W4990">
        <v>66</v>
      </c>
      <c r="X4990">
        <v>96</v>
      </c>
      <c r="Y4990">
        <v>25.6</v>
      </c>
      <c r="Z4990">
        <v>5</v>
      </c>
      <c r="AA4990">
        <v>46.3</v>
      </c>
    </row>
    <row r="4991" spans="1:27" x14ac:dyDescent="0.25">
      <c r="A4991" t="s">
        <v>275</v>
      </c>
      <c r="B4991" t="s">
        <v>223</v>
      </c>
      <c r="C4991" s="76">
        <v>43975</v>
      </c>
      <c r="D4991">
        <v>502</v>
      </c>
      <c r="E4991">
        <v>138</v>
      </c>
      <c r="F4991">
        <v>866</v>
      </c>
      <c r="G4991">
        <v>827</v>
      </c>
      <c r="H4991">
        <v>37.799999999999997</v>
      </c>
      <c r="I4991">
        <v>24.7</v>
      </c>
      <c r="J4991">
        <v>50.9</v>
      </c>
      <c r="K4991">
        <v>23</v>
      </c>
      <c r="L4991">
        <v>0</v>
      </c>
      <c r="M4991">
        <v>48</v>
      </c>
      <c r="N4991">
        <v>1.8</v>
      </c>
      <c r="O4991">
        <v>0.4</v>
      </c>
      <c r="P4991">
        <v>3.1</v>
      </c>
      <c r="Q4991">
        <f t="shared" si="154"/>
        <v>581075</v>
      </c>
      <c r="R4991">
        <f t="shared" si="153"/>
        <v>3.9581809577076967</v>
      </c>
      <c r="U4991">
        <v>34</v>
      </c>
      <c r="V4991">
        <v>0</v>
      </c>
      <c r="W4991">
        <v>70</v>
      </c>
      <c r="X4991">
        <v>98</v>
      </c>
      <c r="Y4991">
        <v>25.9</v>
      </c>
      <c r="Z4991">
        <v>4.2</v>
      </c>
      <c r="AA4991">
        <v>47.7</v>
      </c>
    </row>
    <row r="4992" spans="1:27" x14ac:dyDescent="0.25">
      <c r="A4992" t="s">
        <v>275</v>
      </c>
      <c r="B4992" t="s">
        <v>223</v>
      </c>
      <c r="C4992" s="76">
        <v>43976</v>
      </c>
      <c r="D4992">
        <v>458</v>
      </c>
      <c r="E4992">
        <v>105</v>
      </c>
      <c r="F4992">
        <v>811</v>
      </c>
      <c r="G4992">
        <v>865</v>
      </c>
      <c r="H4992">
        <v>34.6</v>
      </c>
      <c r="I4992">
        <v>22.9</v>
      </c>
      <c r="J4992">
        <v>46.3</v>
      </c>
      <c r="K4992">
        <v>21</v>
      </c>
      <c r="L4992">
        <v>1</v>
      </c>
      <c r="M4992">
        <v>41</v>
      </c>
      <c r="N4992">
        <v>1.6</v>
      </c>
      <c r="O4992">
        <v>0.6</v>
      </c>
      <c r="P4992">
        <v>2.6</v>
      </c>
      <c r="Q4992">
        <f t="shared" si="154"/>
        <v>581075</v>
      </c>
      <c r="R4992">
        <f t="shared" si="153"/>
        <v>3.6139913092113756</v>
      </c>
      <c r="U4992">
        <v>29</v>
      </c>
      <c r="V4992">
        <v>2</v>
      </c>
      <c r="W4992">
        <v>56</v>
      </c>
      <c r="X4992">
        <v>91</v>
      </c>
      <c r="Y4992">
        <v>24.2</v>
      </c>
      <c r="Z4992">
        <v>11.5</v>
      </c>
      <c r="AA4992">
        <v>36.9</v>
      </c>
    </row>
    <row r="4993" spans="1:27" x14ac:dyDescent="0.25">
      <c r="A4993" t="s">
        <v>275</v>
      </c>
      <c r="B4993" t="s">
        <v>223</v>
      </c>
      <c r="C4993" s="76">
        <v>43977</v>
      </c>
      <c r="D4993">
        <v>483</v>
      </c>
      <c r="E4993">
        <v>88</v>
      </c>
      <c r="F4993">
        <v>878</v>
      </c>
      <c r="G4993">
        <v>735</v>
      </c>
      <c r="H4993">
        <v>39.6</v>
      </c>
      <c r="I4993">
        <v>25.6</v>
      </c>
      <c r="J4993">
        <v>53.7</v>
      </c>
      <c r="K4993">
        <v>21</v>
      </c>
      <c r="L4993">
        <v>0</v>
      </c>
      <c r="M4993">
        <v>43</v>
      </c>
      <c r="N4993">
        <v>1.7</v>
      </c>
      <c r="O4993">
        <v>0.4</v>
      </c>
      <c r="P4993">
        <v>3</v>
      </c>
      <c r="Q4993">
        <f t="shared" si="154"/>
        <v>581075</v>
      </c>
      <c r="R4993">
        <f t="shared" si="153"/>
        <v>3.6139913092113756</v>
      </c>
      <c r="U4993">
        <v>20</v>
      </c>
      <c r="V4993">
        <v>0</v>
      </c>
      <c r="W4993">
        <v>41</v>
      </c>
      <c r="X4993">
        <v>65</v>
      </c>
      <c r="Y4993">
        <v>23.6</v>
      </c>
      <c r="Z4993">
        <v>10.4</v>
      </c>
      <c r="AA4993">
        <v>36.799999999999997</v>
      </c>
    </row>
    <row r="4994" spans="1:27" x14ac:dyDescent="0.25">
      <c r="A4994" t="s">
        <v>275</v>
      </c>
      <c r="B4994" t="s">
        <v>223</v>
      </c>
      <c r="C4994" s="76">
        <v>43978</v>
      </c>
      <c r="D4994">
        <v>411</v>
      </c>
      <c r="E4994">
        <v>74</v>
      </c>
      <c r="F4994">
        <v>749</v>
      </c>
      <c r="G4994">
        <v>464</v>
      </c>
      <c r="H4994">
        <v>47</v>
      </c>
      <c r="I4994">
        <v>34.299999999999997</v>
      </c>
      <c r="J4994">
        <v>59.7</v>
      </c>
      <c r="K4994">
        <v>13</v>
      </c>
      <c r="L4994">
        <v>0</v>
      </c>
      <c r="M4994">
        <v>25</v>
      </c>
      <c r="N4994">
        <v>1.4</v>
      </c>
      <c r="O4994">
        <v>0.4</v>
      </c>
      <c r="P4994">
        <v>2.5</v>
      </c>
      <c r="Q4994">
        <f t="shared" si="154"/>
        <v>581075</v>
      </c>
      <c r="R4994">
        <f t="shared" si="153"/>
        <v>2.2372327152260896</v>
      </c>
      <c r="U4994">
        <v>19</v>
      </c>
      <c r="V4994">
        <v>0</v>
      </c>
      <c r="W4994">
        <v>40</v>
      </c>
      <c r="X4994">
        <v>41</v>
      </c>
      <c r="Y4994">
        <v>31</v>
      </c>
      <c r="Z4994">
        <v>12.7</v>
      </c>
      <c r="AA4994">
        <v>49.3</v>
      </c>
    </row>
    <row r="4995" spans="1:27" x14ac:dyDescent="0.25">
      <c r="A4995" t="s">
        <v>275</v>
      </c>
      <c r="B4995" t="s">
        <v>223</v>
      </c>
      <c r="C4995" s="76">
        <v>43979</v>
      </c>
      <c r="D4995">
        <v>270</v>
      </c>
      <c r="E4995">
        <v>57</v>
      </c>
      <c r="F4995">
        <v>482</v>
      </c>
      <c r="G4995">
        <v>384</v>
      </c>
      <c r="H4995">
        <v>41.3</v>
      </c>
      <c r="I4995">
        <v>29.6</v>
      </c>
      <c r="J4995">
        <v>53</v>
      </c>
      <c r="K4995">
        <v>8</v>
      </c>
      <c r="L4995">
        <v>0</v>
      </c>
      <c r="M4995">
        <v>19</v>
      </c>
      <c r="N4995">
        <v>1.2</v>
      </c>
      <c r="O4995">
        <v>0</v>
      </c>
      <c r="P4995">
        <v>2.7</v>
      </c>
      <c r="Q4995">
        <f t="shared" si="154"/>
        <v>581075</v>
      </c>
      <c r="R4995">
        <f t="shared" si="153"/>
        <v>1.376758593985286</v>
      </c>
      <c r="U4995">
        <v>8</v>
      </c>
      <c r="V4995">
        <v>0</v>
      </c>
      <c r="W4995">
        <v>19</v>
      </c>
      <c r="X4995">
        <v>30</v>
      </c>
      <c r="Y4995">
        <v>21</v>
      </c>
      <c r="Z4995">
        <v>6.6</v>
      </c>
      <c r="AA4995">
        <v>35.299999999999997</v>
      </c>
    </row>
    <row r="4996" spans="1:27" x14ac:dyDescent="0.25">
      <c r="A4996" t="s">
        <v>275</v>
      </c>
      <c r="B4996" t="s">
        <v>223</v>
      </c>
      <c r="C4996" s="76">
        <v>43980</v>
      </c>
      <c r="D4996">
        <v>363</v>
      </c>
      <c r="E4996">
        <v>121</v>
      </c>
      <c r="F4996">
        <v>605</v>
      </c>
      <c r="G4996">
        <v>480</v>
      </c>
      <c r="H4996">
        <v>43.1</v>
      </c>
      <c r="I4996">
        <v>27.5</v>
      </c>
      <c r="J4996">
        <v>58.8</v>
      </c>
      <c r="K4996">
        <v>9</v>
      </c>
      <c r="L4996">
        <v>0</v>
      </c>
      <c r="M4996">
        <v>20</v>
      </c>
      <c r="N4996">
        <v>1.1000000000000001</v>
      </c>
      <c r="O4996">
        <v>0</v>
      </c>
      <c r="P4996">
        <v>2.2000000000000002</v>
      </c>
      <c r="Q4996">
        <f t="shared" si="154"/>
        <v>581075</v>
      </c>
      <c r="R4996">
        <f t="shared" si="153"/>
        <v>1.5488534182334466</v>
      </c>
      <c r="U4996">
        <v>20</v>
      </c>
      <c r="V4996">
        <v>0</v>
      </c>
      <c r="W4996">
        <v>44</v>
      </c>
      <c r="X4996">
        <v>75</v>
      </c>
      <c r="Y4996">
        <v>21</v>
      </c>
      <c r="Z4996">
        <v>0</v>
      </c>
      <c r="AA4996">
        <v>42.8</v>
      </c>
    </row>
    <row r="4997" spans="1:27" x14ac:dyDescent="0.25">
      <c r="A4997" t="s">
        <v>275</v>
      </c>
      <c r="B4997" t="s">
        <v>223</v>
      </c>
      <c r="C4997" s="76">
        <v>43981</v>
      </c>
      <c r="D4997">
        <v>342</v>
      </c>
      <c r="E4997">
        <v>132</v>
      </c>
      <c r="F4997">
        <v>552</v>
      </c>
      <c r="G4997">
        <v>489</v>
      </c>
      <c r="H4997">
        <v>41.1</v>
      </c>
      <c r="I4997">
        <v>29.8</v>
      </c>
      <c r="J4997">
        <v>52.5</v>
      </c>
      <c r="K4997">
        <v>8</v>
      </c>
      <c r="L4997">
        <v>0</v>
      </c>
      <c r="M4997">
        <v>20</v>
      </c>
      <c r="N4997">
        <v>0.9</v>
      </c>
      <c r="O4997">
        <v>0</v>
      </c>
      <c r="P4997">
        <v>2.2000000000000002</v>
      </c>
      <c r="Q4997">
        <f t="shared" si="154"/>
        <v>581075</v>
      </c>
      <c r="R4997">
        <f t="shared" ref="R4997:R5035" si="155">K4997/(Q4997)*100000</f>
        <v>1.376758593985286</v>
      </c>
      <c r="U4997">
        <v>27</v>
      </c>
      <c r="V4997">
        <v>0</v>
      </c>
      <c r="W4997">
        <v>55</v>
      </c>
      <c r="X4997">
        <v>69</v>
      </c>
      <c r="Y4997">
        <v>28</v>
      </c>
      <c r="Z4997">
        <v>8.1999999999999993</v>
      </c>
      <c r="AA4997">
        <v>47.8</v>
      </c>
    </row>
    <row r="4998" spans="1:27" x14ac:dyDescent="0.25">
      <c r="A4998" t="s">
        <v>275</v>
      </c>
      <c r="B4998" t="s">
        <v>223</v>
      </c>
      <c r="C4998" s="76">
        <v>43982</v>
      </c>
      <c r="D4998">
        <v>305</v>
      </c>
      <c r="E4998">
        <v>83</v>
      </c>
      <c r="F4998">
        <v>526</v>
      </c>
      <c r="G4998">
        <v>519</v>
      </c>
      <c r="H4998">
        <v>37</v>
      </c>
      <c r="I4998">
        <v>25.5</v>
      </c>
      <c r="J4998">
        <v>48.4</v>
      </c>
      <c r="K4998">
        <v>7</v>
      </c>
      <c r="L4998">
        <v>0</v>
      </c>
      <c r="M4998">
        <v>21</v>
      </c>
      <c r="N4998">
        <v>0.9</v>
      </c>
      <c r="O4998">
        <v>0</v>
      </c>
      <c r="P4998">
        <v>2.5</v>
      </c>
      <c r="Q4998">
        <f t="shared" si="154"/>
        <v>581075</v>
      </c>
      <c r="R4998">
        <f t="shared" si="155"/>
        <v>1.2046637697371252</v>
      </c>
      <c r="U4998">
        <v>24</v>
      </c>
      <c r="V4998">
        <v>0</v>
      </c>
      <c r="W4998">
        <v>53</v>
      </c>
      <c r="X4998">
        <v>59</v>
      </c>
      <c r="Y4998">
        <v>29.1</v>
      </c>
      <c r="Z4998">
        <v>8.9</v>
      </c>
      <c r="AA4998">
        <v>49.2</v>
      </c>
    </row>
    <row r="4999" spans="1:27" x14ac:dyDescent="0.25">
      <c r="A4999" t="s">
        <v>275</v>
      </c>
      <c r="B4999" t="s">
        <v>223</v>
      </c>
      <c r="C4999" s="76">
        <v>43983</v>
      </c>
      <c r="D4999">
        <v>379</v>
      </c>
      <c r="E4999">
        <v>64</v>
      </c>
      <c r="F4999">
        <v>694</v>
      </c>
      <c r="G4999">
        <v>583</v>
      </c>
      <c r="H4999">
        <v>39.4</v>
      </c>
      <c r="I4999">
        <v>26.7</v>
      </c>
      <c r="J4999">
        <v>52</v>
      </c>
      <c r="K4999">
        <v>6</v>
      </c>
      <c r="L4999">
        <v>0</v>
      </c>
      <c r="M4999">
        <v>14</v>
      </c>
      <c r="N4999">
        <v>0.6</v>
      </c>
      <c r="O4999">
        <v>0</v>
      </c>
      <c r="P4999">
        <v>1.2</v>
      </c>
      <c r="Q4999">
        <f t="shared" si="154"/>
        <v>581075</v>
      </c>
      <c r="R4999">
        <f t="shared" si="155"/>
        <v>1.0325689454889644</v>
      </c>
      <c r="U4999">
        <v>21</v>
      </c>
      <c r="V4999">
        <v>0</v>
      </c>
      <c r="W4999">
        <v>45</v>
      </c>
      <c r="X4999">
        <v>57</v>
      </c>
      <c r="Y4999">
        <v>27.1</v>
      </c>
      <c r="Z4999">
        <v>16.100000000000001</v>
      </c>
      <c r="AA4999">
        <v>38.1</v>
      </c>
    </row>
    <row r="5000" spans="1:27" x14ac:dyDescent="0.25">
      <c r="A5000" t="s">
        <v>275</v>
      </c>
      <c r="B5000" t="s">
        <v>223</v>
      </c>
      <c r="C5000" s="76">
        <v>43984</v>
      </c>
      <c r="D5000">
        <v>384</v>
      </c>
      <c r="E5000">
        <v>64</v>
      </c>
      <c r="F5000">
        <v>704</v>
      </c>
      <c r="G5000">
        <v>483</v>
      </c>
      <c r="H5000">
        <v>44.3</v>
      </c>
      <c r="I5000">
        <v>33</v>
      </c>
      <c r="J5000">
        <v>55.6</v>
      </c>
      <c r="K5000">
        <v>7</v>
      </c>
      <c r="L5000">
        <v>0</v>
      </c>
      <c r="M5000">
        <v>19</v>
      </c>
      <c r="N5000">
        <v>0.8</v>
      </c>
      <c r="O5000">
        <v>0</v>
      </c>
      <c r="P5000">
        <v>1.9</v>
      </c>
      <c r="Q5000">
        <f t="shared" si="154"/>
        <v>581075</v>
      </c>
      <c r="R5000">
        <f t="shared" si="155"/>
        <v>1.2046637697371252</v>
      </c>
      <c r="U5000">
        <v>12</v>
      </c>
      <c r="V5000">
        <v>0</v>
      </c>
      <c r="W5000">
        <v>30</v>
      </c>
      <c r="X5000">
        <v>41</v>
      </c>
      <c r="Y5000">
        <v>23.2</v>
      </c>
      <c r="Z5000">
        <v>4.4000000000000004</v>
      </c>
      <c r="AA5000">
        <v>42</v>
      </c>
    </row>
    <row r="5001" spans="1:27" x14ac:dyDescent="0.25">
      <c r="A5001" t="s">
        <v>275</v>
      </c>
      <c r="B5001" t="s">
        <v>223</v>
      </c>
      <c r="C5001" s="76">
        <v>43985</v>
      </c>
      <c r="D5001">
        <v>535</v>
      </c>
      <c r="E5001">
        <v>76</v>
      </c>
      <c r="F5001">
        <v>993</v>
      </c>
      <c r="G5001">
        <v>451</v>
      </c>
      <c r="H5001">
        <v>54.2</v>
      </c>
      <c r="I5001">
        <v>45.6</v>
      </c>
      <c r="J5001">
        <v>62.9</v>
      </c>
      <c r="K5001">
        <v>8</v>
      </c>
      <c r="L5001">
        <v>0</v>
      </c>
      <c r="M5001">
        <v>22</v>
      </c>
      <c r="N5001">
        <v>0.8</v>
      </c>
      <c r="O5001">
        <v>0</v>
      </c>
      <c r="P5001">
        <v>2.2000000000000002</v>
      </c>
      <c r="Q5001">
        <f t="shared" si="154"/>
        <v>581075</v>
      </c>
      <c r="R5001">
        <f t="shared" si="155"/>
        <v>1.376758593985286</v>
      </c>
      <c r="U5001">
        <v>20</v>
      </c>
      <c r="V5001">
        <v>0</v>
      </c>
      <c r="W5001">
        <v>47</v>
      </c>
      <c r="X5001">
        <v>29</v>
      </c>
      <c r="Y5001">
        <v>40.799999999999997</v>
      </c>
      <c r="Z5001">
        <v>24</v>
      </c>
      <c r="AA5001">
        <v>57.6</v>
      </c>
    </row>
    <row r="5002" spans="1:27" x14ac:dyDescent="0.25">
      <c r="A5002" t="s">
        <v>275</v>
      </c>
      <c r="B5002" t="s">
        <v>223</v>
      </c>
      <c r="C5002" s="76">
        <v>43986</v>
      </c>
      <c r="D5002">
        <v>499</v>
      </c>
      <c r="E5002">
        <v>81</v>
      </c>
      <c r="F5002">
        <v>917</v>
      </c>
      <c r="G5002">
        <v>585</v>
      </c>
      <c r="H5002">
        <v>46</v>
      </c>
      <c r="I5002">
        <v>35</v>
      </c>
      <c r="J5002">
        <v>57.1</v>
      </c>
      <c r="K5002">
        <v>5</v>
      </c>
      <c r="L5002">
        <v>0</v>
      </c>
      <c r="M5002">
        <v>12</v>
      </c>
      <c r="N5002">
        <v>0.5</v>
      </c>
      <c r="O5002">
        <v>0</v>
      </c>
      <c r="P5002">
        <v>1.1000000000000001</v>
      </c>
      <c r="Q5002">
        <f t="shared" si="154"/>
        <v>581075</v>
      </c>
      <c r="R5002">
        <f t="shared" si="155"/>
        <v>0.86047412124080358</v>
      </c>
      <c r="U5002">
        <v>23</v>
      </c>
      <c r="V5002">
        <v>0</v>
      </c>
      <c r="W5002">
        <v>49</v>
      </c>
      <c r="X5002">
        <v>36</v>
      </c>
      <c r="Y5002">
        <v>39</v>
      </c>
      <c r="Z5002">
        <v>24.2</v>
      </c>
      <c r="AA5002">
        <v>53.8</v>
      </c>
    </row>
    <row r="5003" spans="1:27" x14ac:dyDescent="0.25">
      <c r="A5003" t="s">
        <v>275</v>
      </c>
      <c r="B5003" t="s">
        <v>223</v>
      </c>
      <c r="C5003" s="76">
        <v>43987</v>
      </c>
      <c r="D5003">
        <v>471</v>
      </c>
      <c r="E5003">
        <v>139</v>
      </c>
      <c r="F5003">
        <v>804</v>
      </c>
      <c r="G5003">
        <v>584</v>
      </c>
      <c r="H5003">
        <v>44.7</v>
      </c>
      <c r="I5003">
        <v>34.1</v>
      </c>
      <c r="J5003">
        <v>55.2</v>
      </c>
      <c r="K5003">
        <v>5</v>
      </c>
      <c r="L5003">
        <v>0</v>
      </c>
      <c r="M5003">
        <v>11</v>
      </c>
      <c r="N5003">
        <v>0.4</v>
      </c>
      <c r="O5003">
        <v>0</v>
      </c>
      <c r="P5003">
        <v>1</v>
      </c>
      <c r="Q5003">
        <f t="shared" si="154"/>
        <v>581075</v>
      </c>
      <c r="R5003">
        <f t="shared" si="155"/>
        <v>0.86047412124080358</v>
      </c>
      <c r="U5003">
        <v>33</v>
      </c>
      <c r="V5003">
        <v>0</v>
      </c>
      <c r="W5003">
        <v>71</v>
      </c>
      <c r="X5003">
        <v>75</v>
      </c>
      <c r="Y5003">
        <v>30.5</v>
      </c>
      <c r="Z5003">
        <v>3.4</v>
      </c>
      <c r="AA5003">
        <v>57.5</v>
      </c>
    </row>
    <row r="5004" spans="1:27" x14ac:dyDescent="0.25">
      <c r="A5004" t="s">
        <v>275</v>
      </c>
      <c r="B5004" t="s">
        <v>223</v>
      </c>
      <c r="C5004" s="76">
        <v>43988</v>
      </c>
      <c r="D5004">
        <v>473</v>
      </c>
      <c r="E5004">
        <v>122</v>
      </c>
      <c r="F5004">
        <v>824</v>
      </c>
      <c r="G5004">
        <v>527</v>
      </c>
      <c r="H5004">
        <v>47.3</v>
      </c>
      <c r="I5004">
        <v>34</v>
      </c>
      <c r="J5004">
        <v>60.6</v>
      </c>
      <c r="K5004">
        <v>8</v>
      </c>
      <c r="L5004">
        <v>0</v>
      </c>
      <c r="M5004">
        <v>20</v>
      </c>
      <c r="N5004">
        <v>0.8</v>
      </c>
      <c r="O5004">
        <v>0</v>
      </c>
      <c r="P5004">
        <v>1.8</v>
      </c>
      <c r="Q5004">
        <f t="shared" si="154"/>
        <v>581075</v>
      </c>
      <c r="R5004">
        <f t="shared" si="155"/>
        <v>1.376758593985286</v>
      </c>
      <c r="U5004">
        <v>37</v>
      </c>
      <c r="V5004">
        <v>0</v>
      </c>
      <c r="W5004">
        <v>74</v>
      </c>
      <c r="X5004">
        <v>62</v>
      </c>
      <c r="Y5004">
        <v>37.200000000000003</v>
      </c>
      <c r="Z5004">
        <v>13.3</v>
      </c>
      <c r="AA5004">
        <v>61.2</v>
      </c>
    </row>
    <row r="5005" spans="1:27" x14ac:dyDescent="0.25">
      <c r="A5005" t="s">
        <v>275</v>
      </c>
      <c r="B5005" t="s">
        <v>223</v>
      </c>
      <c r="C5005" s="76">
        <v>43989</v>
      </c>
      <c r="D5005">
        <v>294</v>
      </c>
      <c r="E5005">
        <v>84</v>
      </c>
      <c r="F5005">
        <v>505</v>
      </c>
      <c r="G5005">
        <v>468</v>
      </c>
      <c r="H5005">
        <v>38.6</v>
      </c>
      <c r="I5005">
        <v>24.5</v>
      </c>
      <c r="J5005">
        <v>52.7</v>
      </c>
      <c r="K5005">
        <v>5</v>
      </c>
      <c r="L5005">
        <v>0</v>
      </c>
      <c r="M5005">
        <v>12</v>
      </c>
      <c r="N5005">
        <v>0.7</v>
      </c>
      <c r="O5005">
        <v>0</v>
      </c>
      <c r="P5005">
        <v>1.6</v>
      </c>
      <c r="Q5005">
        <f t="shared" si="154"/>
        <v>581075</v>
      </c>
      <c r="R5005">
        <f t="shared" si="155"/>
        <v>0.86047412124080358</v>
      </c>
      <c r="U5005">
        <v>38</v>
      </c>
      <c r="V5005">
        <v>0</v>
      </c>
      <c r="W5005">
        <v>80</v>
      </c>
      <c r="X5005">
        <v>38</v>
      </c>
      <c r="Y5005">
        <v>50.2</v>
      </c>
      <c r="Z5005">
        <v>22.6</v>
      </c>
      <c r="AA5005">
        <v>77.8</v>
      </c>
    </row>
    <row r="5006" spans="1:27" x14ac:dyDescent="0.25">
      <c r="A5006" t="s">
        <v>275</v>
      </c>
      <c r="B5006" t="s">
        <v>223</v>
      </c>
      <c r="C5006" s="76">
        <v>43990</v>
      </c>
      <c r="D5006">
        <v>398</v>
      </c>
      <c r="E5006">
        <v>116</v>
      </c>
      <c r="F5006">
        <v>680</v>
      </c>
      <c r="G5006">
        <v>570</v>
      </c>
      <c r="H5006">
        <v>41.1</v>
      </c>
      <c r="I5006">
        <v>29.1</v>
      </c>
      <c r="J5006">
        <v>53.1</v>
      </c>
      <c r="K5006">
        <v>7</v>
      </c>
      <c r="L5006">
        <v>0</v>
      </c>
      <c r="M5006">
        <v>16</v>
      </c>
      <c r="N5006">
        <v>0.7</v>
      </c>
      <c r="O5006">
        <v>0</v>
      </c>
      <c r="P5006">
        <v>1.6</v>
      </c>
      <c r="Q5006">
        <f t="shared" si="154"/>
        <v>581075</v>
      </c>
      <c r="R5006">
        <f t="shared" si="155"/>
        <v>1.2046637697371252</v>
      </c>
      <c r="U5006">
        <v>41</v>
      </c>
      <c r="V5006">
        <v>0</v>
      </c>
      <c r="W5006">
        <v>81</v>
      </c>
      <c r="X5006">
        <v>50</v>
      </c>
      <c r="Y5006">
        <v>44.9</v>
      </c>
      <c r="Z5006">
        <v>27.7</v>
      </c>
      <c r="AA5006">
        <v>62</v>
      </c>
    </row>
    <row r="5007" spans="1:27" x14ac:dyDescent="0.25">
      <c r="A5007" t="s">
        <v>275</v>
      </c>
      <c r="B5007" t="s">
        <v>223</v>
      </c>
      <c r="C5007" s="76">
        <v>43991</v>
      </c>
      <c r="D5007">
        <v>496</v>
      </c>
      <c r="E5007">
        <v>153</v>
      </c>
      <c r="F5007">
        <v>838</v>
      </c>
      <c r="G5007">
        <v>468</v>
      </c>
      <c r="H5007">
        <v>51.4</v>
      </c>
      <c r="I5007">
        <v>38.9</v>
      </c>
      <c r="J5007">
        <v>63.9</v>
      </c>
      <c r="K5007">
        <v>13</v>
      </c>
      <c r="L5007">
        <v>0</v>
      </c>
      <c r="M5007">
        <v>27</v>
      </c>
      <c r="N5007">
        <v>1.4</v>
      </c>
      <c r="O5007">
        <v>0</v>
      </c>
      <c r="P5007">
        <v>2.8</v>
      </c>
      <c r="Q5007">
        <f t="shared" si="154"/>
        <v>581075</v>
      </c>
      <c r="R5007">
        <f t="shared" si="155"/>
        <v>2.2372327152260896</v>
      </c>
      <c r="U5007">
        <v>44</v>
      </c>
      <c r="V5007">
        <v>0</v>
      </c>
      <c r="W5007">
        <v>89</v>
      </c>
      <c r="X5007">
        <v>47</v>
      </c>
      <c r="Y5007">
        <v>48.2</v>
      </c>
      <c r="Z5007">
        <v>20.399999999999999</v>
      </c>
      <c r="AA5007">
        <v>76</v>
      </c>
    </row>
    <row r="5008" spans="1:27" x14ac:dyDescent="0.25">
      <c r="A5008" t="s">
        <v>275</v>
      </c>
      <c r="B5008" t="s">
        <v>223</v>
      </c>
      <c r="C5008" s="76">
        <v>43992</v>
      </c>
      <c r="D5008">
        <v>454</v>
      </c>
      <c r="E5008">
        <v>96</v>
      </c>
      <c r="F5008">
        <v>813</v>
      </c>
      <c r="G5008">
        <v>412</v>
      </c>
      <c r="H5008">
        <v>52.4</v>
      </c>
      <c r="I5008">
        <v>42.3</v>
      </c>
      <c r="J5008">
        <v>62.5</v>
      </c>
      <c r="K5008">
        <v>4</v>
      </c>
      <c r="L5008">
        <v>0</v>
      </c>
      <c r="M5008">
        <v>11</v>
      </c>
      <c r="N5008">
        <v>0.4</v>
      </c>
      <c r="O5008">
        <v>0</v>
      </c>
      <c r="P5008">
        <v>1.3</v>
      </c>
      <c r="Q5008">
        <f t="shared" si="154"/>
        <v>581075</v>
      </c>
      <c r="R5008">
        <f t="shared" si="155"/>
        <v>0.688379296992643</v>
      </c>
      <c r="U5008">
        <v>18</v>
      </c>
      <c r="V5008">
        <v>0</v>
      </c>
      <c r="W5008">
        <v>40</v>
      </c>
      <c r="X5008">
        <v>35</v>
      </c>
      <c r="Y5008">
        <v>33.9</v>
      </c>
      <c r="Z5008">
        <v>12.5</v>
      </c>
      <c r="AA5008">
        <v>55.2</v>
      </c>
    </row>
    <row r="5009" spans="1:27" x14ac:dyDescent="0.25">
      <c r="A5009" t="s">
        <v>275</v>
      </c>
      <c r="B5009" t="s">
        <v>223</v>
      </c>
      <c r="C5009" s="76">
        <v>43993</v>
      </c>
      <c r="D5009">
        <v>363</v>
      </c>
      <c r="E5009">
        <v>110</v>
      </c>
      <c r="F5009">
        <v>616</v>
      </c>
      <c r="G5009">
        <v>368</v>
      </c>
      <c r="H5009">
        <v>49.6</v>
      </c>
      <c r="I5009">
        <v>36</v>
      </c>
      <c r="J5009">
        <v>63.3</v>
      </c>
      <c r="K5009">
        <v>6</v>
      </c>
      <c r="L5009">
        <v>0</v>
      </c>
      <c r="M5009">
        <v>13</v>
      </c>
      <c r="N5009">
        <v>0.9</v>
      </c>
      <c r="O5009">
        <v>0</v>
      </c>
      <c r="P5009">
        <v>1.7</v>
      </c>
      <c r="Q5009">
        <f t="shared" si="154"/>
        <v>581075</v>
      </c>
      <c r="R5009">
        <f t="shared" si="155"/>
        <v>1.0325689454889644</v>
      </c>
      <c r="U5009">
        <v>26</v>
      </c>
      <c r="V5009">
        <v>0</v>
      </c>
      <c r="W5009">
        <v>58</v>
      </c>
      <c r="X5009">
        <v>42</v>
      </c>
      <c r="Y5009">
        <v>38.200000000000003</v>
      </c>
      <c r="Z5009">
        <v>10.3</v>
      </c>
      <c r="AA5009">
        <v>66.099999999999994</v>
      </c>
    </row>
    <row r="5010" spans="1:27" x14ac:dyDescent="0.25">
      <c r="A5010" t="s">
        <v>275</v>
      </c>
      <c r="B5010" t="s">
        <v>223</v>
      </c>
      <c r="C5010" s="76">
        <v>43994</v>
      </c>
      <c r="D5010">
        <v>603</v>
      </c>
      <c r="E5010">
        <v>154</v>
      </c>
      <c r="F5010">
        <v>1051</v>
      </c>
      <c r="G5010">
        <v>523</v>
      </c>
      <c r="H5010">
        <v>53.5</v>
      </c>
      <c r="I5010">
        <v>41.7</v>
      </c>
      <c r="J5010">
        <v>65.3</v>
      </c>
      <c r="K5010">
        <v>17</v>
      </c>
      <c r="L5010">
        <v>0</v>
      </c>
      <c r="M5010">
        <v>36</v>
      </c>
      <c r="N5010">
        <v>1.5</v>
      </c>
      <c r="O5010">
        <v>0.4</v>
      </c>
      <c r="P5010">
        <v>2.6</v>
      </c>
      <c r="Q5010">
        <f t="shared" si="154"/>
        <v>581075</v>
      </c>
      <c r="R5010">
        <f t="shared" si="155"/>
        <v>2.9256120122187323</v>
      </c>
      <c r="U5010">
        <v>37</v>
      </c>
      <c r="V5010">
        <v>0</v>
      </c>
      <c r="W5010">
        <v>74</v>
      </c>
      <c r="X5010">
        <v>49</v>
      </c>
      <c r="Y5010">
        <v>42.8</v>
      </c>
      <c r="Z5010">
        <v>20.399999999999999</v>
      </c>
      <c r="AA5010">
        <v>65.2</v>
      </c>
    </row>
    <row r="5011" spans="1:27" x14ac:dyDescent="0.25">
      <c r="A5011" t="s">
        <v>275</v>
      </c>
      <c r="B5011" t="s">
        <v>223</v>
      </c>
      <c r="C5011" s="76">
        <v>43995</v>
      </c>
      <c r="D5011">
        <v>597</v>
      </c>
      <c r="E5011">
        <v>165</v>
      </c>
      <c r="F5011">
        <v>1028</v>
      </c>
      <c r="G5011">
        <v>556</v>
      </c>
      <c r="H5011">
        <v>51.7</v>
      </c>
      <c r="I5011">
        <v>38.799999999999997</v>
      </c>
      <c r="J5011">
        <v>64.7</v>
      </c>
      <c r="K5011">
        <v>19</v>
      </c>
      <c r="L5011">
        <v>0</v>
      </c>
      <c r="M5011">
        <v>37</v>
      </c>
      <c r="N5011">
        <v>1.6</v>
      </c>
      <c r="O5011">
        <v>0.3</v>
      </c>
      <c r="P5011">
        <v>2.9</v>
      </c>
      <c r="Q5011">
        <f t="shared" si="154"/>
        <v>581075</v>
      </c>
      <c r="R5011">
        <f t="shared" si="155"/>
        <v>3.269801660715054</v>
      </c>
      <c r="U5011">
        <v>48</v>
      </c>
      <c r="V5011">
        <v>8</v>
      </c>
      <c r="W5011">
        <v>88</v>
      </c>
      <c r="X5011">
        <v>44</v>
      </c>
      <c r="Y5011">
        <v>52.3</v>
      </c>
      <c r="Z5011">
        <v>36.6</v>
      </c>
      <c r="AA5011">
        <v>67.900000000000006</v>
      </c>
    </row>
    <row r="5012" spans="1:27" x14ac:dyDescent="0.25">
      <c r="A5012" t="s">
        <v>275</v>
      </c>
      <c r="B5012" t="s">
        <v>223</v>
      </c>
      <c r="C5012" s="76">
        <v>43996</v>
      </c>
      <c r="D5012">
        <v>462</v>
      </c>
      <c r="E5012">
        <v>136</v>
      </c>
      <c r="F5012">
        <v>789</v>
      </c>
      <c r="G5012">
        <v>516</v>
      </c>
      <c r="H5012">
        <v>47.3</v>
      </c>
      <c r="I5012">
        <v>33.6</v>
      </c>
      <c r="J5012">
        <v>61</v>
      </c>
      <c r="K5012">
        <v>8</v>
      </c>
      <c r="L5012">
        <v>0</v>
      </c>
      <c r="M5012">
        <v>19</v>
      </c>
      <c r="N5012">
        <v>0.8</v>
      </c>
      <c r="O5012">
        <v>0</v>
      </c>
      <c r="P5012">
        <v>1.9</v>
      </c>
      <c r="Q5012">
        <f t="shared" si="154"/>
        <v>581075</v>
      </c>
      <c r="R5012">
        <f t="shared" si="155"/>
        <v>1.376758593985286</v>
      </c>
      <c r="U5012">
        <v>35</v>
      </c>
      <c r="V5012">
        <v>3</v>
      </c>
      <c r="W5012">
        <v>68</v>
      </c>
      <c r="X5012">
        <v>52</v>
      </c>
      <c r="Y5012">
        <v>40.700000000000003</v>
      </c>
      <c r="Z5012">
        <v>23.7</v>
      </c>
      <c r="AA5012">
        <v>57.7</v>
      </c>
    </row>
    <row r="5013" spans="1:27" x14ac:dyDescent="0.25">
      <c r="A5013" t="s">
        <v>275</v>
      </c>
      <c r="B5013" t="s">
        <v>223</v>
      </c>
      <c r="C5013" s="76">
        <v>43997</v>
      </c>
      <c r="D5013">
        <v>462</v>
      </c>
      <c r="E5013">
        <v>142</v>
      </c>
      <c r="F5013">
        <v>782</v>
      </c>
      <c r="G5013">
        <v>516</v>
      </c>
      <c r="H5013">
        <v>47.3</v>
      </c>
      <c r="I5013">
        <v>34.9</v>
      </c>
      <c r="J5013">
        <v>59.7</v>
      </c>
      <c r="K5013">
        <v>14</v>
      </c>
      <c r="L5013">
        <v>0</v>
      </c>
      <c r="M5013">
        <v>30</v>
      </c>
      <c r="N5013">
        <v>1.4</v>
      </c>
      <c r="O5013">
        <v>0</v>
      </c>
      <c r="P5013">
        <v>2.9</v>
      </c>
      <c r="Q5013">
        <f t="shared" si="154"/>
        <v>581075</v>
      </c>
      <c r="R5013">
        <f t="shared" si="155"/>
        <v>2.4093275394742504</v>
      </c>
      <c r="U5013">
        <v>49</v>
      </c>
      <c r="V5013">
        <v>3</v>
      </c>
      <c r="W5013">
        <v>95</v>
      </c>
      <c r="X5013">
        <v>38</v>
      </c>
      <c r="Y5013">
        <v>56</v>
      </c>
      <c r="Z5013">
        <v>38.700000000000003</v>
      </c>
      <c r="AA5013">
        <v>73.400000000000006</v>
      </c>
    </row>
    <row r="5014" spans="1:27" x14ac:dyDescent="0.25">
      <c r="A5014" t="s">
        <v>275</v>
      </c>
      <c r="B5014" t="s">
        <v>223</v>
      </c>
      <c r="C5014" s="76">
        <v>43998</v>
      </c>
      <c r="D5014">
        <v>514</v>
      </c>
      <c r="E5014">
        <v>136</v>
      </c>
      <c r="F5014">
        <v>893</v>
      </c>
      <c r="G5014">
        <v>458</v>
      </c>
      <c r="H5014">
        <v>52.9</v>
      </c>
      <c r="I5014">
        <v>39.700000000000003</v>
      </c>
      <c r="J5014">
        <v>66.099999999999994</v>
      </c>
      <c r="K5014">
        <v>14</v>
      </c>
      <c r="L5014">
        <v>0</v>
      </c>
      <c r="M5014">
        <v>31</v>
      </c>
      <c r="N5014">
        <v>1.5</v>
      </c>
      <c r="O5014">
        <v>0.3</v>
      </c>
      <c r="P5014">
        <v>2.7</v>
      </c>
      <c r="Q5014">
        <f t="shared" si="154"/>
        <v>581075</v>
      </c>
      <c r="R5014">
        <f t="shared" si="155"/>
        <v>2.4093275394742504</v>
      </c>
      <c r="U5014">
        <v>44</v>
      </c>
      <c r="V5014">
        <v>2</v>
      </c>
      <c r="W5014">
        <v>85</v>
      </c>
      <c r="X5014">
        <v>31</v>
      </c>
      <c r="Y5014">
        <v>58.4</v>
      </c>
      <c r="Z5014">
        <v>43.5</v>
      </c>
      <c r="AA5014">
        <v>73.2</v>
      </c>
    </row>
    <row r="5015" spans="1:27" x14ac:dyDescent="0.25">
      <c r="A5015" t="s">
        <v>275</v>
      </c>
      <c r="B5015" t="s">
        <v>223</v>
      </c>
      <c r="C5015" s="76">
        <v>43999</v>
      </c>
      <c r="D5015">
        <v>497</v>
      </c>
      <c r="E5015">
        <v>129</v>
      </c>
      <c r="F5015">
        <v>864</v>
      </c>
      <c r="G5015">
        <v>412</v>
      </c>
      <c r="H5015">
        <v>54.7</v>
      </c>
      <c r="I5015">
        <v>42</v>
      </c>
      <c r="J5015">
        <v>67.400000000000006</v>
      </c>
      <c r="K5015">
        <v>14</v>
      </c>
      <c r="L5015">
        <v>0</v>
      </c>
      <c r="M5015">
        <v>29</v>
      </c>
      <c r="N5015">
        <v>1.6</v>
      </c>
      <c r="O5015">
        <v>0.5</v>
      </c>
      <c r="P5015">
        <v>2.6</v>
      </c>
      <c r="Q5015">
        <f t="shared" si="154"/>
        <v>581075</v>
      </c>
      <c r="R5015">
        <f t="shared" si="155"/>
        <v>2.4093275394742504</v>
      </c>
      <c r="U5015">
        <v>27</v>
      </c>
      <c r="V5015">
        <v>1</v>
      </c>
      <c r="W5015">
        <v>53</v>
      </c>
      <c r="X5015">
        <v>17</v>
      </c>
      <c r="Y5015">
        <v>60.7</v>
      </c>
      <c r="Z5015">
        <v>38.200000000000003</v>
      </c>
      <c r="AA5015">
        <v>83.2</v>
      </c>
    </row>
    <row r="5016" spans="1:27" x14ac:dyDescent="0.25">
      <c r="A5016" t="s">
        <v>275</v>
      </c>
      <c r="B5016" t="s">
        <v>223</v>
      </c>
      <c r="C5016" s="76">
        <v>44000</v>
      </c>
      <c r="D5016">
        <v>511</v>
      </c>
      <c r="E5016">
        <v>105</v>
      </c>
      <c r="F5016">
        <v>917</v>
      </c>
      <c r="G5016">
        <v>394</v>
      </c>
      <c r="H5016">
        <v>56.5</v>
      </c>
      <c r="I5016">
        <v>42.3</v>
      </c>
      <c r="J5016">
        <v>70.7</v>
      </c>
      <c r="K5016">
        <v>10</v>
      </c>
      <c r="L5016">
        <v>0</v>
      </c>
      <c r="M5016">
        <v>22</v>
      </c>
      <c r="N5016">
        <v>1.1000000000000001</v>
      </c>
      <c r="O5016">
        <v>0</v>
      </c>
      <c r="P5016">
        <v>2.4</v>
      </c>
      <c r="Q5016">
        <f t="shared" si="154"/>
        <v>581075</v>
      </c>
      <c r="R5016">
        <f t="shared" si="155"/>
        <v>1.7209482424816072</v>
      </c>
      <c r="U5016">
        <v>41</v>
      </c>
      <c r="V5016">
        <v>0</v>
      </c>
      <c r="W5016">
        <v>100</v>
      </c>
      <c r="X5016">
        <v>21</v>
      </c>
      <c r="Y5016">
        <v>65.900000000000006</v>
      </c>
      <c r="Z5016">
        <v>25.8</v>
      </c>
      <c r="AA5016">
        <v>100</v>
      </c>
    </row>
    <row r="5017" spans="1:27" x14ac:dyDescent="0.25">
      <c r="A5017" t="s">
        <v>275</v>
      </c>
      <c r="B5017" t="s">
        <v>223</v>
      </c>
      <c r="C5017" s="76">
        <v>44001</v>
      </c>
      <c r="D5017">
        <v>579</v>
      </c>
      <c r="E5017">
        <v>184</v>
      </c>
      <c r="F5017">
        <v>975</v>
      </c>
      <c r="G5017">
        <v>523</v>
      </c>
      <c r="H5017">
        <v>52.6</v>
      </c>
      <c r="I5017">
        <v>41.7</v>
      </c>
      <c r="J5017">
        <v>63.4</v>
      </c>
      <c r="K5017">
        <v>14</v>
      </c>
      <c r="L5017">
        <v>0</v>
      </c>
      <c r="M5017">
        <v>28</v>
      </c>
      <c r="N5017">
        <v>1.2</v>
      </c>
      <c r="O5017">
        <v>0.3</v>
      </c>
      <c r="P5017">
        <v>2.2000000000000002</v>
      </c>
      <c r="Q5017">
        <f t="shared" si="154"/>
        <v>581075</v>
      </c>
      <c r="R5017">
        <f t="shared" si="155"/>
        <v>2.4093275394742504</v>
      </c>
      <c r="U5017">
        <v>41</v>
      </c>
      <c r="V5017">
        <v>4</v>
      </c>
      <c r="W5017">
        <v>78</v>
      </c>
      <c r="X5017">
        <v>36</v>
      </c>
      <c r="Y5017">
        <v>53.4</v>
      </c>
      <c r="Z5017">
        <v>32.700000000000003</v>
      </c>
      <c r="AA5017">
        <v>74.099999999999994</v>
      </c>
    </row>
    <row r="5018" spans="1:27" x14ac:dyDescent="0.25">
      <c r="A5018" t="s">
        <v>275</v>
      </c>
      <c r="B5018" t="s">
        <v>223</v>
      </c>
      <c r="C5018" s="76">
        <v>44002</v>
      </c>
      <c r="D5018">
        <v>488</v>
      </c>
      <c r="E5018">
        <v>168</v>
      </c>
      <c r="F5018">
        <v>807</v>
      </c>
      <c r="G5018">
        <v>533</v>
      </c>
      <c r="H5018">
        <v>47.8</v>
      </c>
      <c r="I5018">
        <v>36.5</v>
      </c>
      <c r="J5018">
        <v>59</v>
      </c>
      <c r="K5018">
        <v>12</v>
      </c>
      <c r="L5018">
        <v>0</v>
      </c>
      <c r="M5018">
        <v>25</v>
      </c>
      <c r="N5018">
        <v>1.2</v>
      </c>
      <c r="O5018">
        <v>0</v>
      </c>
      <c r="P5018">
        <v>2.4</v>
      </c>
      <c r="Q5018">
        <f t="shared" si="154"/>
        <v>581075</v>
      </c>
      <c r="R5018">
        <f t="shared" si="155"/>
        <v>2.0651378909779288</v>
      </c>
      <c r="U5018">
        <v>30</v>
      </c>
      <c r="V5018">
        <v>0</v>
      </c>
      <c r="W5018">
        <v>61</v>
      </c>
      <c r="X5018">
        <v>62</v>
      </c>
      <c r="Y5018">
        <v>33</v>
      </c>
      <c r="Z5018">
        <v>12.7</v>
      </c>
      <c r="AA5018">
        <v>53.4</v>
      </c>
    </row>
    <row r="5019" spans="1:27" x14ac:dyDescent="0.25">
      <c r="A5019" t="s">
        <v>275</v>
      </c>
      <c r="B5019" t="s">
        <v>223</v>
      </c>
      <c r="C5019" s="76">
        <v>44003</v>
      </c>
      <c r="D5019">
        <v>453</v>
      </c>
      <c r="E5019">
        <v>157</v>
      </c>
      <c r="F5019">
        <v>749</v>
      </c>
      <c r="G5019">
        <v>586</v>
      </c>
      <c r="H5019">
        <v>43.6</v>
      </c>
      <c r="I5019">
        <v>31.3</v>
      </c>
      <c r="J5019">
        <v>55.9</v>
      </c>
      <c r="K5019">
        <v>21</v>
      </c>
      <c r="L5019">
        <v>0</v>
      </c>
      <c r="M5019">
        <v>42</v>
      </c>
      <c r="N5019">
        <v>2</v>
      </c>
      <c r="O5019">
        <v>0.3</v>
      </c>
      <c r="P5019">
        <v>3.8</v>
      </c>
      <c r="Q5019">
        <f t="shared" si="154"/>
        <v>581075</v>
      </c>
      <c r="R5019">
        <f t="shared" si="155"/>
        <v>3.6139913092113756</v>
      </c>
      <c r="U5019">
        <v>25</v>
      </c>
      <c r="V5019">
        <v>1</v>
      </c>
      <c r="W5019">
        <v>50</v>
      </c>
      <c r="X5019">
        <v>73</v>
      </c>
      <c r="Y5019">
        <v>25.7</v>
      </c>
      <c r="Z5019">
        <v>6.3</v>
      </c>
      <c r="AA5019">
        <v>45.1</v>
      </c>
    </row>
    <row r="5020" spans="1:27" x14ac:dyDescent="0.25">
      <c r="A5020" t="s">
        <v>275</v>
      </c>
      <c r="B5020" t="s">
        <v>223</v>
      </c>
      <c r="C5020" s="76">
        <v>44004</v>
      </c>
      <c r="D5020">
        <v>472</v>
      </c>
      <c r="E5020">
        <v>149</v>
      </c>
      <c r="F5020">
        <v>794</v>
      </c>
      <c r="G5020">
        <v>571</v>
      </c>
      <c r="H5020">
        <v>45.2</v>
      </c>
      <c r="I5020">
        <v>32.5</v>
      </c>
      <c r="J5020">
        <v>57.9</v>
      </c>
      <c r="K5020">
        <v>17</v>
      </c>
      <c r="L5020">
        <v>0</v>
      </c>
      <c r="M5020">
        <v>36</v>
      </c>
      <c r="N5020">
        <v>1.6</v>
      </c>
      <c r="O5020">
        <v>0</v>
      </c>
      <c r="P5020">
        <v>3.3</v>
      </c>
      <c r="Q5020">
        <f t="shared" si="154"/>
        <v>581075</v>
      </c>
      <c r="R5020">
        <f t="shared" si="155"/>
        <v>2.9256120122187323</v>
      </c>
      <c r="U5020">
        <v>30</v>
      </c>
      <c r="V5020">
        <v>2</v>
      </c>
      <c r="W5020">
        <v>58</v>
      </c>
      <c r="X5020">
        <v>76</v>
      </c>
      <c r="Y5020">
        <v>28.2</v>
      </c>
      <c r="Z5020">
        <v>12.2</v>
      </c>
      <c r="AA5020">
        <v>44.2</v>
      </c>
    </row>
    <row r="5021" spans="1:27" x14ac:dyDescent="0.25">
      <c r="A5021" t="s">
        <v>275</v>
      </c>
      <c r="B5021" t="s">
        <v>223</v>
      </c>
      <c r="C5021" s="76">
        <v>44005</v>
      </c>
      <c r="D5021">
        <v>493</v>
      </c>
      <c r="E5021">
        <v>133</v>
      </c>
      <c r="F5021">
        <v>854</v>
      </c>
      <c r="G5021">
        <v>479</v>
      </c>
      <c r="H5021">
        <v>50.8</v>
      </c>
      <c r="I5021">
        <v>37.299999999999997</v>
      </c>
      <c r="J5021">
        <v>64.2</v>
      </c>
      <c r="K5021">
        <v>18</v>
      </c>
      <c r="L5021">
        <v>0</v>
      </c>
      <c r="M5021">
        <v>37</v>
      </c>
      <c r="N5021">
        <v>1.8</v>
      </c>
      <c r="O5021">
        <v>0.1</v>
      </c>
      <c r="P5021">
        <v>3.5</v>
      </c>
      <c r="Q5021">
        <f t="shared" si="154"/>
        <v>581075</v>
      </c>
      <c r="R5021">
        <f t="shared" si="155"/>
        <v>3.0977068364668932</v>
      </c>
      <c r="U5021">
        <v>27</v>
      </c>
      <c r="V5021">
        <v>0</v>
      </c>
      <c r="W5021">
        <v>57</v>
      </c>
      <c r="X5021">
        <v>48</v>
      </c>
      <c r="Y5021">
        <v>36.299999999999997</v>
      </c>
      <c r="Z5021">
        <v>7.9</v>
      </c>
      <c r="AA5021">
        <v>64.7</v>
      </c>
    </row>
    <row r="5022" spans="1:27" x14ac:dyDescent="0.25">
      <c r="A5022" t="s">
        <v>275</v>
      </c>
      <c r="B5022" t="s">
        <v>223</v>
      </c>
      <c r="C5022" s="76">
        <v>44006</v>
      </c>
      <c r="D5022">
        <v>493</v>
      </c>
      <c r="E5022">
        <v>19</v>
      </c>
      <c r="F5022">
        <v>967</v>
      </c>
      <c r="G5022">
        <v>448</v>
      </c>
      <c r="H5022">
        <v>52.4</v>
      </c>
      <c r="I5022">
        <v>33.5</v>
      </c>
      <c r="J5022">
        <v>71.3</v>
      </c>
      <c r="K5022">
        <v>10</v>
      </c>
      <c r="L5022">
        <v>0</v>
      </c>
      <c r="M5022">
        <v>23</v>
      </c>
      <c r="N5022">
        <v>1.1000000000000001</v>
      </c>
      <c r="O5022">
        <v>0</v>
      </c>
      <c r="P5022">
        <v>2.2000000000000002</v>
      </c>
      <c r="Q5022">
        <f t="shared" si="154"/>
        <v>581075</v>
      </c>
      <c r="R5022">
        <f t="shared" si="155"/>
        <v>1.7209482424816072</v>
      </c>
      <c r="U5022">
        <v>19</v>
      </c>
      <c r="V5022">
        <v>0</v>
      </c>
      <c r="W5022">
        <v>46</v>
      </c>
      <c r="X5022">
        <v>26</v>
      </c>
      <c r="Y5022">
        <v>42</v>
      </c>
      <c r="Z5022">
        <v>22.3</v>
      </c>
      <c r="AA5022">
        <v>61.8</v>
      </c>
    </row>
    <row r="5023" spans="1:27" x14ac:dyDescent="0.25">
      <c r="A5023" t="s">
        <v>275</v>
      </c>
      <c r="B5023" t="s">
        <v>223</v>
      </c>
      <c r="C5023" s="76">
        <v>44007</v>
      </c>
      <c r="D5023">
        <v>490</v>
      </c>
      <c r="E5023">
        <v>72</v>
      </c>
      <c r="F5023">
        <v>908</v>
      </c>
      <c r="G5023">
        <v>464</v>
      </c>
      <c r="H5023">
        <v>51.3</v>
      </c>
      <c r="I5023">
        <v>38</v>
      </c>
      <c r="J5023">
        <v>64.7</v>
      </c>
      <c r="K5023">
        <v>17</v>
      </c>
      <c r="L5023">
        <v>0</v>
      </c>
      <c r="M5023">
        <v>35</v>
      </c>
      <c r="N5023">
        <v>1.8</v>
      </c>
      <c r="O5023">
        <v>0.5</v>
      </c>
      <c r="P5023">
        <v>3</v>
      </c>
      <c r="Q5023">
        <f t="shared" si="154"/>
        <v>581075</v>
      </c>
      <c r="R5023">
        <f t="shared" si="155"/>
        <v>2.9256120122187323</v>
      </c>
      <c r="U5023">
        <v>20</v>
      </c>
      <c r="V5023">
        <v>0</v>
      </c>
      <c r="W5023">
        <v>55</v>
      </c>
      <c r="X5023">
        <v>35</v>
      </c>
      <c r="Y5023">
        <v>36.4</v>
      </c>
      <c r="Z5023">
        <v>0</v>
      </c>
      <c r="AA5023">
        <v>88.3</v>
      </c>
    </row>
    <row r="5024" spans="1:27" x14ac:dyDescent="0.25">
      <c r="A5024" t="s">
        <v>275</v>
      </c>
      <c r="B5024" t="s">
        <v>223</v>
      </c>
      <c r="C5024" s="76">
        <v>44008</v>
      </c>
      <c r="D5024">
        <v>477</v>
      </c>
      <c r="E5024">
        <v>137</v>
      </c>
      <c r="F5024">
        <v>816</v>
      </c>
      <c r="G5024">
        <v>488</v>
      </c>
      <c r="H5024">
        <v>49.4</v>
      </c>
      <c r="I5024">
        <v>38.799999999999997</v>
      </c>
      <c r="J5024">
        <v>60</v>
      </c>
      <c r="K5024">
        <v>8</v>
      </c>
      <c r="L5024">
        <v>0</v>
      </c>
      <c r="M5024">
        <v>16</v>
      </c>
      <c r="N5024">
        <v>0.8</v>
      </c>
      <c r="O5024">
        <v>0.1</v>
      </c>
      <c r="P5024">
        <v>1.5</v>
      </c>
      <c r="Q5024">
        <f t="shared" si="154"/>
        <v>581075</v>
      </c>
      <c r="R5024">
        <f t="shared" si="155"/>
        <v>1.376758593985286</v>
      </c>
      <c r="U5024">
        <v>34</v>
      </c>
      <c r="V5024">
        <v>0</v>
      </c>
      <c r="W5024">
        <v>71</v>
      </c>
      <c r="X5024">
        <v>26</v>
      </c>
      <c r="Y5024">
        <v>57.3</v>
      </c>
      <c r="Z5024">
        <v>19</v>
      </c>
      <c r="AA5024">
        <v>95.6</v>
      </c>
    </row>
    <row r="5025" spans="1:27" x14ac:dyDescent="0.25">
      <c r="A5025" t="s">
        <v>275</v>
      </c>
      <c r="B5025" t="s">
        <v>223</v>
      </c>
      <c r="C5025" s="76">
        <v>44009</v>
      </c>
      <c r="D5025">
        <v>464</v>
      </c>
      <c r="E5025">
        <v>144</v>
      </c>
      <c r="F5025">
        <v>784</v>
      </c>
      <c r="G5025">
        <v>550</v>
      </c>
      <c r="H5025">
        <v>45.8</v>
      </c>
      <c r="I5025">
        <v>32</v>
      </c>
      <c r="J5025">
        <v>59.5</v>
      </c>
      <c r="K5025">
        <v>14</v>
      </c>
      <c r="L5025">
        <v>0</v>
      </c>
      <c r="M5025">
        <v>30</v>
      </c>
      <c r="N5025">
        <v>1.4</v>
      </c>
      <c r="O5025">
        <v>0.3</v>
      </c>
      <c r="P5025">
        <v>2.5</v>
      </c>
      <c r="Q5025">
        <f t="shared" si="154"/>
        <v>581075</v>
      </c>
      <c r="R5025">
        <f t="shared" si="155"/>
        <v>2.4093275394742504</v>
      </c>
      <c r="U5025">
        <v>39</v>
      </c>
      <c r="V5025">
        <v>0</v>
      </c>
      <c r="W5025">
        <v>79</v>
      </c>
      <c r="X5025">
        <v>48</v>
      </c>
      <c r="Y5025">
        <v>45.2</v>
      </c>
      <c r="Z5025">
        <v>7.8</v>
      </c>
      <c r="AA5025">
        <v>82.6</v>
      </c>
    </row>
    <row r="5026" spans="1:27" x14ac:dyDescent="0.25">
      <c r="A5026" t="s">
        <v>275</v>
      </c>
      <c r="B5026" t="s">
        <v>223</v>
      </c>
      <c r="C5026" s="76">
        <v>44010</v>
      </c>
      <c r="D5026">
        <v>440</v>
      </c>
      <c r="E5026">
        <v>141</v>
      </c>
      <c r="F5026">
        <v>739</v>
      </c>
      <c r="G5026">
        <v>565</v>
      </c>
      <c r="H5026">
        <v>43.8</v>
      </c>
      <c r="I5026">
        <v>31.6</v>
      </c>
      <c r="J5026">
        <v>55.9</v>
      </c>
      <c r="K5026">
        <v>13</v>
      </c>
      <c r="L5026">
        <v>1</v>
      </c>
      <c r="M5026">
        <v>26</v>
      </c>
      <c r="N5026">
        <v>1.3</v>
      </c>
      <c r="O5026">
        <v>0.5</v>
      </c>
      <c r="P5026">
        <v>2.2000000000000002</v>
      </c>
      <c r="Q5026">
        <f t="shared" si="154"/>
        <v>581075</v>
      </c>
      <c r="R5026">
        <f t="shared" si="155"/>
        <v>2.2372327152260896</v>
      </c>
      <c r="U5026">
        <v>35</v>
      </c>
      <c r="V5026">
        <v>1</v>
      </c>
      <c r="W5026">
        <v>69</v>
      </c>
      <c r="X5026">
        <v>55</v>
      </c>
      <c r="Y5026">
        <v>39.200000000000003</v>
      </c>
      <c r="Z5026">
        <v>13.4</v>
      </c>
      <c r="AA5026">
        <v>65.099999999999994</v>
      </c>
    </row>
    <row r="5027" spans="1:27" x14ac:dyDescent="0.25">
      <c r="A5027" t="s">
        <v>275</v>
      </c>
      <c r="B5027" t="s">
        <v>223</v>
      </c>
      <c r="C5027" s="76">
        <v>44011</v>
      </c>
      <c r="D5027">
        <v>509</v>
      </c>
      <c r="E5027">
        <v>139</v>
      </c>
      <c r="F5027">
        <v>880</v>
      </c>
      <c r="G5027">
        <v>547</v>
      </c>
      <c r="H5027">
        <v>48.2</v>
      </c>
      <c r="I5027">
        <v>32.6</v>
      </c>
      <c r="J5027">
        <v>63.9</v>
      </c>
      <c r="K5027">
        <v>15</v>
      </c>
      <c r="L5027">
        <v>0</v>
      </c>
      <c r="M5027">
        <v>29</v>
      </c>
      <c r="N5027">
        <v>1.4</v>
      </c>
      <c r="O5027">
        <v>0.4</v>
      </c>
      <c r="P5027">
        <v>2.4</v>
      </c>
      <c r="Q5027">
        <f t="shared" si="154"/>
        <v>581075</v>
      </c>
      <c r="R5027">
        <f t="shared" si="155"/>
        <v>2.5814223637224112</v>
      </c>
      <c r="U5027">
        <v>34</v>
      </c>
      <c r="V5027">
        <v>0</v>
      </c>
      <c r="W5027">
        <v>68</v>
      </c>
      <c r="X5027">
        <v>68</v>
      </c>
      <c r="Y5027">
        <v>33.200000000000003</v>
      </c>
      <c r="Z5027">
        <v>8.6</v>
      </c>
      <c r="AA5027">
        <v>57.8</v>
      </c>
    </row>
    <row r="5028" spans="1:27" x14ac:dyDescent="0.25">
      <c r="A5028" t="s">
        <v>275</v>
      </c>
      <c r="B5028" t="s">
        <v>223</v>
      </c>
      <c r="C5028" s="76">
        <v>44012</v>
      </c>
      <c r="D5028">
        <v>493</v>
      </c>
      <c r="E5028">
        <v>115</v>
      </c>
      <c r="F5028">
        <v>871</v>
      </c>
      <c r="G5028">
        <v>456</v>
      </c>
      <c r="H5028">
        <v>51.9</v>
      </c>
      <c r="I5028">
        <v>37.799999999999997</v>
      </c>
      <c r="J5028">
        <v>66</v>
      </c>
      <c r="K5028">
        <v>23</v>
      </c>
      <c r="L5028">
        <v>4</v>
      </c>
      <c r="M5028">
        <v>43</v>
      </c>
      <c r="N5028">
        <v>2.4</v>
      </c>
      <c r="O5028">
        <v>0.6</v>
      </c>
      <c r="P5028">
        <v>4.3</v>
      </c>
      <c r="Q5028">
        <f t="shared" si="154"/>
        <v>581075</v>
      </c>
      <c r="R5028">
        <f t="shared" si="155"/>
        <v>3.9581809577076967</v>
      </c>
      <c r="U5028">
        <v>42</v>
      </c>
      <c r="V5028">
        <v>0</v>
      </c>
      <c r="W5028">
        <v>90</v>
      </c>
      <c r="X5028">
        <v>32</v>
      </c>
      <c r="Y5028">
        <v>57.3</v>
      </c>
      <c r="Z5028">
        <v>18.5</v>
      </c>
      <c r="AA5028">
        <v>96.1</v>
      </c>
    </row>
    <row r="5029" spans="1:27" x14ac:dyDescent="0.25">
      <c r="A5029" t="s">
        <v>275</v>
      </c>
      <c r="B5029" t="s">
        <v>223</v>
      </c>
      <c r="C5029" s="76">
        <v>44013</v>
      </c>
      <c r="D5029">
        <v>506</v>
      </c>
      <c r="E5029">
        <v>157</v>
      </c>
      <c r="F5029">
        <v>856</v>
      </c>
      <c r="G5029">
        <v>467</v>
      </c>
      <c r="H5029">
        <v>52</v>
      </c>
      <c r="I5029">
        <v>38.700000000000003</v>
      </c>
      <c r="J5029">
        <v>65.400000000000006</v>
      </c>
      <c r="K5029">
        <v>32</v>
      </c>
      <c r="L5029">
        <v>1</v>
      </c>
      <c r="M5029">
        <v>62</v>
      </c>
      <c r="N5029">
        <v>3.2</v>
      </c>
      <c r="O5029">
        <v>0.5</v>
      </c>
      <c r="P5029">
        <v>6</v>
      </c>
      <c r="Q5029">
        <f t="shared" si="154"/>
        <v>581075</v>
      </c>
      <c r="R5029">
        <f t="shared" si="155"/>
        <v>5.507034375941144</v>
      </c>
      <c r="U5029">
        <v>40</v>
      </c>
      <c r="V5029">
        <v>0</v>
      </c>
      <c r="W5029">
        <v>82</v>
      </c>
      <c r="X5029">
        <v>36</v>
      </c>
      <c r="Y5029">
        <v>52.7</v>
      </c>
      <c r="Z5029">
        <v>21.3</v>
      </c>
      <c r="AA5029">
        <v>84.1</v>
      </c>
    </row>
    <row r="5030" spans="1:27" x14ac:dyDescent="0.25">
      <c r="A5030" t="s">
        <v>275</v>
      </c>
      <c r="B5030" t="s">
        <v>223</v>
      </c>
      <c r="C5030" s="76">
        <v>44014</v>
      </c>
      <c r="D5030">
        <v>459</v>
      </c>
      <c r="E5030">
        <v>76</v>
      </c>
      <c r="F5030">
        <v>842</v>
      </c>
      <c r="G5030">
        <v>475</v>
      </c>
      <c r="H5030">
        <v>49.1</v>
      </c>
      <c r="I5030">
        <v>37.6</v>
      </c>
      <c r="J5030">
        <v>60.7</v>
      </c>
      <c r="K5030">
        <v>11</v>
      </c>
      <c r="L5030">
        <v>0</v>
      </c>
      <c r="M5030">
        <v>26</v>
      </c>
      <c r="N5030">
        <v>1.2</v>
      </c>
      <c r="O5030">
        <v>0</v>
      </c>
      <c r="P5030">
        <v>2.7</v>
      </c>
      <c r="Q5030">
        <f t="shared" si="154"/>
        <v>581075</v>
      </c>
      <c r="R5030">
        <f t="shared" si="155"/>
        <v>1.8930430667297682</v>
      </c>
      <c r="U5030">
        <v>58</v>
      </c>
      <c r="V5030">
        <v>0</v>
      </c>
      <c r="W5030">
        <v>126</v>
      </c>
      <c r="X5030">
        <v>6</v>
      </c>
      <c r="Y5030">
        <v>89.6</v>
      </c>
      <c r="Z5030">
        <v>42.4</v>
      </c>
      <c r="AA5030">
        <v>100</v>
      </c>
    </row>
    <row r="5031" spans="1:27" x14ac:dyDescent="0.25">
      <c r="A5031" t="s">
        <v>275</v>
      </c>
      <c r="B5031" t="s">
        <v>223</v>
      </c>
      <c r="C5031" s="76">
        <v>44015</v>
      </c>
      <c r="D5031">
        <v>434</v>
      </c>
      <c r="E5031">
        <v>82</v>
      </c>
      <c r="F5031">
        <v>785</v>
      </c>
      <c r="G5031">
        <v>489</v>
      </c>
      <c r="H5031">
        <v>47</v>
      </c>
      <c r="I5031">
        <v>34.799999999999997</v>
      </c>
      <c r="J5031">
        <v>59.1</v>
      </c>
      <c r="K5031">
        <v>14</v>
      </c>
      <c r="L5031">
        <v>0</v>
      </c>
      <c r="M5031">
        <v>30</v>
      </c>
      <c r="N5031">
        <v>1.5</v>
      </c>
      <c r="O5031">
        <v>0.4</v>
      </c>
      <c r="P5031">
        <v>2.6</v>
      </c>
      <c r="Q5031">
        <f t="shared" ref="Q5031:Q5035" si="156">VLOOKUP(B5031,$AE$4:$AF$55,2,FALSE)</f>
        <v>581075</v>
      </c>
      <c r="R5031">
        <f t="shared" si="155"/>
        <v>2.4093275394742504</v>
      </c>
      <c r="U5031">
        <v>57</v>
      </c>
      <c r="V5031">
        <v>0</v>
      </c>
      <c r="W5031">
        <v>123</v>
      </c>
      <c r="X5031">
        <v>6</v>
      </c>
      <c r="Y5031">
        <v>90.3</v>
      </c>
      <c r="Z5031">
        <v>50.7</v>
      </c>
      <c r="AA5031">
        <v>100</v>
      </c>
    </row>
    <row r="5032" spans="1:27" x14ac:dyDescent="0.25">
      <c r="A5032" t="s">
        <v>275</v>
      </c>
      <c r="B5032" t="s">
        <v>223</v>
      </c>
      <c r="C5032" s="76">
        <v>44016</v>
      </c>
      <c r="D5032">
        <v>450</v>
      </c>
      <c r="E5032">
        <v>86</v>
      </c>
      <c r="F5032">
        <v>813</v>
      </c>
      <c r="G5032">
        <v>475</v>
      </c>
      <c r="H5032">
        <v>48.7</v>
      </c>
      <c r="I5032">
        <v>35.700000000000003</v>
      </c>
      <c r="J5032">
        <v>61.6</v>
      </c>
      <c r="K5032">
        <v>12</v>
      </c>
      <c r="L5032">
        <v>0</v>
      </c>
      <c r="M5032">
        <v>31</v>
      </c>
      <c r="N5032">
        <v>1.3</v>
      </c>
      <c r="O5032">
        <v>0</v>
      </c>
      <c r="P5032">
        <v>3.2</v>
      </c>
      <c r="Q5032">
        <f t="shared" si="156"/>
        <v>581075</v>
      </c>
      <c r="R5032">
        <f t="shared" si="155"/>
        <v>2.0651378909779288</v>
      </c>
      <c r="U5032">
        <v>54</v>
      </c>
      <c r="V5032">
        <v>0</v>
      </c>
      <c r="W5032">
        <v>112</v>
      </c>
      <c r="X5032">
        <v>9</v>
      </c>
      <c r="Y5032">
        <v>85.7</v>
      </c>
      <c r="Z5032">
        <v>47.9</v>
      </c>
      <c r="AA5032">
        <v>100</v>
      </c>
    </row>
    <row r="5033" spans="1:27" x14ac:dyDescent="0.25">
      <c r="A5033" t="s">
        <v>275</v>
      </c>
      <c r="B5033" t="s">
        <v>223</v>
      </c>
      <c r="C5033" s="76">
        <v>44017</v>
      </c>
      <c r="D5033">
        <v>438</v>
      </c>
      <c r="E5033">
        <v>69</v>
      </c>
      <c r="F5033">
        <v>808</v>
      </c>
      <c r="G5033">
        <v>494</v>
      </c>
      <c r="H5033">
        <v>47</v>
      </c>
      <c r="I5033">
        <v>33.5</v>
      </c>
      <c r="J5033">
        <v>60.5</v>
      </c>
      <c r="K5033">
        <v>14</v>
      </c>
      <c r="L5033">
        <v>0</v>
      </c>
      <c r="M5033">
        <v>33</v>
      </c>
      <c r="N5033">
        <v>1.5</v>
      </c>
      <c r="O5033">
        <v>0</v>
      </c>
      <c r="P5033">
        <v>3.1</v>
      </c>
      <c r="Q5033">
        <f t="shared" si="156"/>
        <v>581075</v>
      </c>
      <c r="R5033">
        <f t="shared" si="155"/>
        <v>2.4093275394742504</v>
      </c>
      <c r="U5033">
        <v>41</v>
      </c>
      <c r="V5033">
        <v>0</v>
      </c>
      <c r="W5033">
        <v>86</v>
      </c>
      <c r="X5033">
        <v>21</v>
      </c>
      <c r="Y5033">
        <v>65.7</v>
      </c>
      <c r="Z5033">
        <v>26.4</v>
      </c>
      <c r="AA5033">
        <v>100</v>
      </c>
    </row>
    <row r="5034" spans="1:27" x14ac:dyDescent="0.25">
      <c r="A5034" t="s">
        <v>275</v>
      </c>
      <c r="B5034" t="s">
        <v>223</v>
      </c>
      <c r="C5034" s="76">
        <v>44018</v>
      </c>
      <c r="D5034">
        <v>408</v>
      </c>
      <c r="E5034">
        <v>77</v>
      </c>
      <c r="F5034">
        <v>740</v>
      </c>
      <c r="G5034">
        <v>514</v>
      </c>
      <c r="H5034">
        <v>44.3</v>
      </c>
      <c r="I5034">
        <v>31.1</v>
      </c>
      <c r="J5034">
        <v>57.4</v>
      </c>
      <c r="K5034">
        <v>18</v>
      </c>
      <c r="L5034">
        <v>0</v>
      </c>
      <c r="M5034">
        <v>38</v>
      </c>
      <c r="N5034">
        <v>2</v>
      </c>
      <c r="O5034">
        <v>0.2</v>
      </c>
      <c r="P5034">
        <v>3.8</v>
      </c>
      <c r="Q5034">
        <f t="shared" si="156"/>
        <v>581075</v>
      </c>
      <c r="R5034">
        <f t="shared" si="155"/>
        <v>3.0977068364668932</v>
      </c>
      <c r="U5034">
        <v>42</v>
      </c>
      <c r="V5034">
        <v>0</v>
      </c>
      <c r="W5034">
        <v>91</v>
      </c>
      <c r="X5034">
        <v>21</v>
      </c>
      <c r="Y5034">
        <v>67.7</v>
      </c>
      <c r="Z5034">
        <v>29.1</v>
      </c>
      <c r="AA5034">
        <v>100</v>
      </c>
    </row>
    <row r="5035" spans="1:27" x14ac:dyDescent="0.25">
      <c r="A5035" t="s">
        <v>275</v>
      </c>
      <c r="B5035" t="s">
        <v>223</v>
      </c>
      <c r="C5035" s="76">
        <v>44019</v>
      </c>
      <c r="D5035">
        <v>408</v>
      </c>
      <c r="E5035">
        <v>65</v>
      </c>
      <c r="F5035">
        <v>751</v>
      </c>
      <c r="G5035">
        <v>515</v>
      </c>
      <c r="H5035">
        <v>44.2</v>
      </c>
      <c r="I5035">
        <v>30.8</v>
      </c>
      <c r="J5035">
        <v>57.7</v>
      </c>
      <c r="K5035">
        <v>16</v>
      </c>
      <c r="L5035">
        <v>0</v>
      </c>
      <c r="M5035">
        <v>38</v>
      </c>
      <c r="N5035">
        <v>1.7</v>
      </c>
      <c r="O5035">
        <v>0</v>
      </c>
      <c r="P5035">
        <v>4.0999999999999996</v>
      </c>
      <c r="Q5035">
        <f t="shared" si="156"/>
        <v>581075</v>
      </c>
      <c r="R5035">
        <f t="shared" si="155"/>
        <v>2.753517187970572</v>
      </c>
      <c r="U5035">
        <v>40</v>
      </c>
      <c r="V5035">
        <v>0</v>
      </c>
      <c r="W5035">
        <v>89</v>
      </c>
      <c r="X5035">
        <v>23</v>
      </c>
      <c r="Y5035">
        <v>64.2</v>
      </c>
      <c r="Z5035">
        <v>27.7</v>
      </c>
      <c r="AA5035">
        <v>100</v>
      </c>
    </row>
  </sheetData>
  <conditionalFormatting sqref="R4:R503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A1" r:id="rId1" xr:uid="{0F746C6D-C37B-429B-A92A-37F6571DF8F1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Correlations</vt:lpstr>
      <vt:lpstr>Performance</vt:lpstr>
      <vt:lpstr>Vaccination</vt:lpstr>
      <vt:lpstr>Hospitalization rate</vt:lpstr>
      <vt:lpstr>Risks by age</vt:lpstr>
      <vt:lpstr>Novel variant</vt:lpstr>
      <vt:lpstr>Contact rates</vt:lpstr>
      <vt:lpstr>Hosp occupancy</vt:lpstr>
      <vt:lpstr>occ_rates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2021-12-13T15:22:43Z</dcterms:modified>
</cp:coreProperties>
</file>