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87\PycharmProjects\PredictingCOVID19Surge\covid_model\"/>
    </mc:Choice>
  </mc:AlternateContent>
  <xr:revisionPtr revIDLastSave="0" documentId="13_ncr:1_{E6F86EF0-3BA0-4DA3-AB5C-80238A07B4F3}" xr6:coauthVersionLast="46" xr6:coauthVersionMax="46" xr10:uidLastSave="{00000000-0000-0000-0000-000000000000}"/>
  <bookViews>
    <workbookView xWindow="-23505" yWindow="975" windowWidth="21405" windowHeight="14355" activeTab="2" xr2:uid="{4B0E50F9-8FDA-4FAF-B2BA-C91A91AB3C5C}"/>
  </bookViews>
  <sheets>
    <sheet name="Vaccination" sheetId="2" r:id="rId1"/>
    <sheet name="Contact rates" sheetId="4" r:id="rId2"/>
    <sheet name="Risks by age" sheetId="3" r:id="rId3"/>
    <sheet name="Vaccination_old" sheetId="1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8" i="3" l="1"/>
  <c r="V9" i="3"/>
  <c r="V10" i="3"/>
  <c r="V11" i="3"/>
  <c r="V12" i="3"/>
  <c r="V13" i="3"/>
  <c r="V14" i="3"/>
  <c r="V7" i="3"/>
  <c r="N27" i="2"/>
  <c r="O27" i="2"/>
  <c r="N28" i="2"/>
  <c r="O28" i="2"/>
  <c r="N29" i="2"/>
  <c r="O29" i="2"/>
  <c r="N30" i="2"/>
  <c r="O30" i="2"/>
  <c r="N31" i="2"/>
  <c r="O31" i="2"/>
  <c r="N32" i="2"/>
  <c r="O32" i="2"/>
  <c r="O23" i="4"/>
  <c r="P23" i="4"/>
  <c r="Q23" i="4"/>
  <c r="R23" i="4"/>
  <c r="S23" i="4"/>
  <c r="T23" i="4"/>
  <c r="U23" i="4"/>
  <c r="N23" i="4"/>
  <c r="N34" i="4" s="1"/>
  <c r="O22" i="4"/>
  <c r="P22" i="4"/>
  <c r="Q22" i="4"/>
  <c r="Q33" i="4" s="1"/>
  <c r="R22" i="4"/>
  <c r="S22" i="4"/>
  <c r="S33" i="4" s="1"/>
  <c r="T22" i="4"/>
  <c r="T33" i="4" s="1"/>
  <c r="U22" i="4"/>
  <c r="N22" i="4"/>
  <c r="N33" i="4"/>
  <c r="O21" i="4"/>
  <c r="P21" i="4"/>
  <c r="Q21" i="4"/>
  <c r="R21" i="4"/>
  <c r="S21" i="4"/>
  <c r="T21" i="4"/>
  <c r="T32" i="4" s="1"/>
  <c r="U21" i="4"/>
  <c r="N21" i="4"/>
  <c r="W35" i="4"/>
  <c r="W36" i="4"/>
  <c r="W37" i="4"/>
  <c r="W38" i="4"/>
  <c r="W31" i="4"/>
  <c r="N32" i="4"/>
  <c r="O32" i="4"/>
  <c r="P32" i="4"/>
  <c r="Q32" i="4"/>
  <c r="R32" i="4"/>
  <c r="S32" i="4"/>
  <c r="U32" i="4"/>
  <c r="O33" i="4"/>
  <c r="P33" i="4"/>
  <c r="R33" i="4"/>
  <c r="U33" i="4"/>
  <c r="O34" i="4"/>
  <c r="P34" i="4"/>
  <c r="Q34" i="4"/>
  <c r="R34" i="4"/>
  <c r="S34" i="4"/>
  <c r="T34" i="4"/>
  <c r="U34" i="4"/>
  <c r="N35" i="4"/>
  <c r="O35" i="4"/>
  <c r="P35" i="4"/>
  <c r="Q35" i="4"/>
  <c r="R35" i="4"/>
  <c r="S35" i="4"/>
  <c r="T35" i="4"/>
  <c r="U35" i="4"/>
  <c r="N36" i="4"/>
  <c r="O36" i="4"/>
  <c r="P36" i="4"/>
  <c r="Q36" i="4"/>
  <c r="R36" i="4"/>
  <c r="S36" i="4"/>
  <c r="T36" i="4"/>
  <c r="U36" i="4"/>
  <c r="N37" i="4"/>
  <c r="O37" i="4"/>
  <c r="P37" i="4"/>
  <c r="Q37" i="4"/>
  <c r="R37" i="4"/>
  <c r="S37" i="4"/>
  <c r="T37" i="4"/>
  <c r="U37" i="4"/>
  <c r="N38" i="4"/>
  <c r="O38" i="4"/>
  <c r="P38" i="4"/>
  <c r="Q38" i="4"/>
  <c r="R38" i="4"/>
  <c r="S38" i="4"/>
  <c r="T38" i="4"/>
  <c r="U38" i="4"/>
  <c r="O31" i="4"/>
  <c r="P31" i="4"/>
  <c r="Q31" i="4"/>
  <c r="R31" i="4"/>
  <c r="S31" i="4"/>
  <c r="T31" i="4"/>
  <c r="U31" i="4"/>
  <c r="M31" i="4" a="1"/>
  <c r="M31" i="4" s="1"/>
  <c r="O30" i="4"/>
  <c r="P30" i="4"/>
  <c r="Q30" i="4"/>
  <c r="R30" i="4"/>
  <c r="S30" i="4"/>
  <c r="T30" i="4"/>
  <c r="U30" i="4"/>
  <c r="N30" i="4"/>
  <c r="O27" i="4"/>
  <c r="P27" i="4"/>
  <c r="Q27" i="4"/>
  <c r="R27" i="4"/>
  <c r="S27" i="4"/>
  <c r="T27" i="4"/>
  <c r="U27" i="4"/>
  <c r="N27" i="4"/>
  <c r="O26" i="4"/>
  <c r="P26" i="4"/>
  <c r="Q26" i="4"/>
  <c r="R26" i="4"/>
  <c r="S26" i="4"/>
  <c r="T26" i="4"/>
  <c r="U26" i="4"/>
  <c r="N26" i="4"/>
  <c r="O25" i="4"/>
  <c r="P25" i="4"/>
  <c r="Q25" i="4"/>
  <c r="R25" i="4"/>
  <c r="S25" i="4"/>
  <c r="T25" i="4"/>
  <c r="U25" i="4"/>
  <c r="N25" i="4"/>
  <c r="O24" i="4"/>
  <c r="P24" i="4"/>
  <c r="Q24" i="4"/>
  <c r="R24" i="4"/>
  <c r="S24" i="4"/>
  <c r="T24" i="4"/>
  <c r="U24" i="4"/>
  <c r="N24" i="4"/>
  <c r="O20" i="4"/>
  <c r="P20" i="4"/>
  <c r="Q20" i="4"/>
  <c r="R20" i="4"/>
  <c r="S20" i="4"/>
  <c r="T20" i="4"/>
  <c r="U20" i="4"/>
  <c r="M20" i="4" a="1"/>
  <c r="M21" i="4" s="1"/>
  <c r="O19" i="4"/>
  <c r="P19" i="4"/>
  <c r="Q19" i="4"/>
  <c r="R19" i="4"/>
  <c r="S19" i="4"/>
  <c r="T19" i="4"/>
  <c r="U19" i="4"/>
  <c r="N19" i="4"/>
  <c r="B21" i="4"/>
  <c r="C21" i="4"/>
  <c r="D21" i="4"/>
  <c r="E21" i="4"/>
  <c r="K21" i="4" s="1"/>
  <c r="F21" i="4"/>
  <c r="G21" i="4"/>
  <c r="H21" i="4"/>
  <c r="I21" i="4"/>
  <c r="B22" i="4"/>
  <c r="C22" i="4"/>
  <c r="D22" i="4"/>
  <c r="E22" i="4"/>
  <c r="F22" i="4"/>
  <c r="K22" i="4" s="1"/>
  <c r="G22" i="4"/>
  <c r="H22" i="4"/>
  <c r="I22" i="4"/>
  <c r="B23" i="4"/>
  <c r="C23" i="4"/>
  <c r="D23" i="4"/>
  <c r="E23" i="4"/>
  <c r="K23" i="4" s="1"/>
  <c r="F23" i="4"/>
  <c r="G23" i="4"/>
  <c r="H23" i="4"/>
  <c r="I23" i="4"/>
  <c r="B24" i="4"/>
  <c r="C24" i="4"/>
  <c r="D24" i="4"/>
  <c r="E24" i="4"/>
  <c r="F24" i="4"/>
  <c r="K24" i="4" s="1"/>
  <c r="G24" i="4"/>
  <c r="H24" i="4"/>
  <c r="I24" i="4"/>
  <c r="B25" i="4"/>
  <c r="C25" i="4"/>
  <c r="D25" i="4"/>
  <c r="E25" i="4"/>
  <c r="K25" i="4" s="1"/>
  <c r="F25" i="4"/>
  <c r="G25" i="4"/>
  <c r="H25" i="4"/>
  <c r="I25" i="4"/>
  <c r="B26" i="4"/>
  <c r="C26" i="4"/>
  <c r="D26" i="4"/>
  <c r="E26" i="4"/>
  <c r="F26" i="4"/>
  <c r="K26" i="4" s="1"/>
  <c r="G26" i="4"/>
  <c r="H26" i="4"/>
  <c r="I26" i="4"/>
  <c r="B27" i="4"/>
  <c r="C27" i="4"/>
  <c r="D27" i="4"/>
  <c r="E27" i="4"/>
  <c r="K27" i="4" s="1"/>
  <c r="F27" i="4"/>
  <c r="G27" i="4"/>
  <c r="H27" i="4"/>
  <c r="I27" i="4"/>
  <c r="B28" i="4"/>
  <c r="C28" i="4"/>
  <c r="D28" i="4"/>
  <c r="E28" i="4"/>
  <c r="F28" i="4"/>
  <c r="G28" i="4"/>
  <c r="H28" i="4"/>
  <c r="I28" i="4"/>
  <c r="B29" i="4"/>
  <c r="C29" i="4"/>
  <c r="K29" i="4" s="1"/>
  <c r="D29" i="4"/>
  <c r="E29" i="4"/>
  <c r="F29" i="4"/>
  <c r="G29" i="4"/>
  <c r="H29" i="4"/>
  <c r="I29" i="4"/>
  <c r="B30" i="4"/>
  <c r="K30" i="4" s="1"/>
  <c r="C30" i="4"/>
  <c r="D30" i="4"/>
  <c r="E30" i="4"/>
  <c r="F30" i="4"/>
  <c r="G30" i="4"/>
  <c r="H30" i="4"/>
  <c r="I30" i="4"/>
  <c r="B31" i="4"/>
  <c r="C31" i="4"/>
  <c r="D31" i="4"/>
  <c r="E31" i="4"/>
  <c r="K31" i="4" s="1"/>
  <c r="F31" i="4"/>
  <c r="G31" i="4"/>
  <c r="H31" i="4"/>
  <c r="I31" i="4"/>
  <c r="B32" i="4"/>
  <c r="C32" i="4"/>
  <c r="D32" i="4"/>
  <c r="E32" i="4"/>
  <c r="F32" i="4"/>
  <c r="G32" i="4"/>
  <c r="H32" i="4"/>
  <c r="I32" i="4"/>
  <c r="B33" i="4"/>
  <c r="C33" i="4"/>
  <c r="D33" i="4"/>
  <c r="E33" i="4"/>
  <c r="K33" i="4" s="1"/>
  <c r="F33" i="4"/>
  <c r="G33" i="4"/>
  <c r="H33" i="4"/>
  <c r="I33" i="4"/>
  <c r="B34" i="4"/>
  <c r="C34" i="4"/>
  <c r="K34" i="4" s="1"/>
  <c r="D34" i="4"/>
  <c r="E34" i="4"/>
  <c r="F34" i="4"/>
  <c r="G34" i="4"/>
  <c r="H34" i="4"/>
  <c r="I34" i="4"/>
  <c r="B35" i="4"/>
  <c r="C35" i="4"/>
  <c r="D35" i="4"/>
  <c r="E35" i="4"/>
  <c r="K35" i="4" s="1"/>
  <c r="F35" i="4"/>
  <c r="G35" i="4"/>
  <c r="H35" i="4"/>
  <c r="I35" i="4"/>
  <c r="K28" i="4"/>
  <c r="K32" i="4"/>
  <c r="K20" i="4"/>
  <c r="S3" i="4"/>
  <c r="S4" i="4"/>
  <c r="S5" i="4"/>
  <c r="S6" i="4"/>
  <c r="S7" i="4"/>
  <c r="S8" i="4"/>
  <c r="S9" i="4"/>
  <c r="S10" i="4"/>
  <c r="S11" i="4"/>
  <c r="S12" i="4"/>
  <c r="S13" i="4"/>
  <c r="S14" i="4"/>
  <c r="S15" i="4"/>
  <c r="S16" i="4"/>
  <c r="S17" i="4"/>
  <c r="S2" i="4"/>
  <c r="I20" i="4"/>
  <c r="H20" i="4"/>
  <c r="G20" i="4"/>
  <c r="F20" i="4"/>
  <c r="E20" i="4"/>
  <c r="D20" i="4"/>
  <c r="C20" i="4"/>
  <c r="B19" i="4" a="1"/>
  <c r="C19" i="4" s="1"/>
  <c r="P8" i="3"/>
  <c r="P9" i="3"/>
  <c r="P10" i="3"/>
  <c r="P11" i="3"/>
  <c r="P12" i="3"/>
  <c r="N13" i="3"/>
  <c r="N12" i="3"/>
  <c r="N11" i="3"/>
  <c r="N10" i="3"/>
  <c r="J7" i="3"/>
  <c r="J8" i="3"/>
  <c r="J9" i="3"/>
  <c r="J10" i="3"/>
  <c r="J11" i="3"/>
  <c r="J12" i="3"/>
  <c r="J13" i="3"/>
  <c r="J14" i="3"/>
  <c r="I11" i="3"/>
  <c r="I10" i="3"/>
  <c r="I9" i="3"/>
  <c r="I8" i="3"/>
  <c r="N31" i="4"/>
  <c r="N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20" i="4"/>
  <c r="B20" i="4"/>
  <c r="B1" i="4" a="1"/>
  <c r="C1" i="4" s="1"/>
  <c r="B1" i="4"/>
  <c r="E1" i="4"/>
  <c r="F1" i="4"/>
  <c r="G1" i="4"/>
  <c r="K1" i="4"/>
  <c r="M1" i="4"/>
  <c r="N1" i="4"/>
  <c r="O1" i="4"/>
  <c r="P1" i="4"/>
  <c r="J17" i="2"/>
  <c r="K18" i="2"/>
  <c r="K19" i="2" s="1"/>
  <c r="K20" i="2" s="1"/>
  <c r="K21" i="2" s="1"/>
  <c r="K22" i="2" s="1"/>
  <c r="K23" i="2" s="1"/>
  <c r="J4" i="2"/>
  <c r="L11" i="3" l="1"/>
  <c r="X11" i="3" s="1"/>
  <c r="L8" i="3"/>
  <c r="X8" i="3" s="1"/>
  <c r="L9" i="3"/>
  <c r="X9" i="3" s="1"/>
  <c r="L10" i="3"/>
  <c r="X10" i="3" s="1"/>
  <c r="J20" i="2"/>
  <c r="T29" i="2" s="1"/>
  <c r="J21" i="2"/>
  <c r="Q30" i="2" s="1"/>
  <c r="J22" i="2"/>
  <c r="Q31" i="2" s="1"/>
  <c r="J23" i="2"/>
  <c r="R32" i="2" s="1"/>
  <c r="P31" i="2"/>
  <c r="J18" i="2"/>
  <c r="T27" i="2" s="1"/>
  <c r="J19" i="2"/>
  <c r="M28" i="2" s="1"/>
  <c r="T30" i="2"/>
  <c r="S27" i="2"/>
  <c r="S30" i="2"/>
  <c r="P30" i="2"/>
  <c r="W34" i="4"/>
  <c r="W33" i="4"/>
  <c r="W32" i="4"/>
  <c r="M38" i="4"/>
  <c r="M37" i="4"/>
  <c r="M36" i="4"/>
  <c r="M35" i="4"/>
  <c r="M34" i="4"/>
  <c r="M33" i="4"/>
  <c r="M32" i="4"/>
  <c r="M20" i="4"/>
  <c r="M27" i="4"/>
  <c r="M26" i="4"/>
  <c r="M25" i="4"/>
  <c r="M24" i="4"/>
  <c r="M23" i="4"/>
  <c r="M22" i="4"/>
  <c r="I19" i="4"/>
  <c r="B19" i="4"/>
  <c r="H19" i="4"/>
  <c r="F19" i="4"/>
  <c r="D19" i="4"/>
  <c r="G19" i="4"/>
  <c r="E19" i="4"/>
  <c r="L1" i="4"/>
  <c r="J1" i="4"/>
  <c r="I1" i="4"/>
  <c r="H1" i="4"/>
  <c r="Q1" i="4"/>
  <c r="D1" i="4"/>
  <c r="K13" i="2"/>
  <c r="K5" i="2"/>
  <c r="S31" i="2" l="1"/>
  <c r="T32" i="2"/>
  <c r="T31" i="2"/>
  <c r="P32" i="2"/>
  <c r="P29" i="2"/>
  <c r="M32" i="2"/>
  <c r="Q29" i="2"/>
  <c r="R29" i="2"/>
  <c r="Q32" i="2"/>
  <c r="M29" i="2"/>
  <c r="R30" i="2"/>
  <c r="R31" i="2"/>
  <c r="S32" i="2"/>
  <c r="S29" i="2"/>
  <c r="M30" i="2"/>
  <c r="M31" i="2"/>
  <c r="Q28" i="2"/>
  <c r="R28" i="2"/>
  <c r="S28" i="2"/>
  <c r="T28" i="2"/>
  <c r="P28" i="2"/>
  <c r="P27" i="2"/>
  <c r="Q27" i="2"/>
  <c r="R27" i="2"/>
  <c r="J5" i="2"/>
  <c r="M5" i="2" s="1"/>
  <c r="M27" i="2"/>
  <c r="J13" i="2"/>
  <c r="P13" i="2" s="1"/>
  <c r="K6" i="2"/>
  <c r="J6" i="2" s="1"/>
  <c r="P13" i="3"/>
  <c r="P14" i="3"/>
  <c r="P7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I14" i="3"/>
  <c r="I13" i="3"/>
  <c r="I12" i="3"/>
  <c r="I7" i="3"/>
  <c r="C25" i="3"/>
  <c r="B25" i="3"/>
  <c r="F4" i="1"/>
  <c r="C29" i="2"/>
  <c r="D29" i="2" s="1"/>
  <c r="C3" i="2"/>
  <c r="D3" i="2" s="1"/>
  <c r="C4" i="2"/>
  <c r="D4" i="2" s="1"/>
  <c r="C5" i="2"/>
  <c r="D5" i="2" s="1"/>
  <c r="C6" i="2"/>
  <c r="D6" i="2" s="1"/>
  <c r="C7" i="2"/>
  <c r="D7" i="2" s="1"/>
  <c r="C8" i="2"/>
  <c r="D8" i="2" s="1"/>
  <c r="C9" i="2"/>
  <c r="D9" i="2" s="1"/>
  <c r="C10" i="2"/>
  <c r="D10" i="2" s="1"/>
  <c r="C11" i="2"/>
  <c r="D11" i="2" s="1"/>
  <c r="C12" i="2"/>
  <c r="D12" i="2" s="1"/>
  <c r="C13" i="2"/>
  <c r="D13" i="2" s="1"/>
  <c r="C14" i="2"/>
  <c r="D14" i="2" s="1"/>
  <c r="C15" i="2"/>
  <c r="D15" i="2" s="1"/>
  <c r="C16" i="2"/>
  <c r="D16" i="2" s="1"/>
  <c r="C17" i="2"/>
  <c r="D17" i="2" s="1"/>
  <c r="C18" i="2"/>
  <c r="D18" i="2" s="1"/>
  <c r="C19" i="2"/>
  <c r="D19" i="2" s="1"/>
  <c r="C20" i="2"/>
  <c r="D20" i="2" s="1"/>
  <c r="C21" i="2"/>
  <c r="D21" i="2" s="1"/>
  <c r="C22" i="2"/>
  <c r="D22" i="2" s="1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" i="2"/>
  <c r="D2" i="2" s="1"/>
  <c r="L13" i="3" l="1"/>
  <c r="X13" i="3" s="1"/>
  <c r="L12" i="3"/>
  <c r="X12" i="3" s="1"/>
  <c r="L14" i="3"/>
  <c r="X14" i="3" s="1"/>
  <c r="M14" i="3"/>
  <c r="N14" i="3" s="1"/>
  <c r="K7" i="2"/>
  <c r="J7" i="2" s="1"/>
  <c r="M6" i="2"/>
  <c r="L7" i="3"/>
  <c r="X7" i="3" s="1"/>
  <c r="N7" i="3"/>
  <c r="N9" i="3"/>
  <c r="D25" i="3"/>
  <c r="I16" i="3"/>
  <c r="J16" i="3"/>
  <c r="X15" i="3" l="1"/>
  <c r="Y14" i="3" s="1"/>
  <c r="Z14" i="3" s="1"/>
  <c r="Y12" i="3"/>
  <c r="Z12" i="3" s="1"/>
  <c r="Y13" i="3"/>
  <c r="Z13" i="3" s="1"/>
  <c r="K8" i="2"/>
  <c r="J8" i="2" s="1"/>
  <c r="M7" i="2"/>
  <c r="I17" i="3"/>
  <c r="X16" i="3" l="1"/>
  <c r="Y10" i="3"/>
  <c r="Z10" i="3" s="1"/>
  <c r="Y8" i="3"/>
  <c r="Z8" i="3" s="1"/>
  <c r="Y11" i="3"/>
  <c r="Z11" i="3" s="1"/>
  <c r="Y9" i="3"/>
  <c r="Z9" i="3" s="1"/>
  <c r="Y7" i="3"/>
  <c r="K11" i="3"/>
  <c r="T11" i="3" s="1"/>
  <c r="K9" i="3"/>
  <c r="T9" i="3" s="1"/>
  <c r="K10" i="3"/>
  <c r="T10" i="3" s="1"/>
  <c r="K8" i="3"/>
  <c r="T8" i="3" s="1"/>
  <c r="K12" i="3"/>
  <c r="T12" i="3" s="1"/>
  <c r="K14" i="3"/>
  <c r="T14" i="3" s="1"/>
  <c r="K13" i="3"/>
  <c r="T13" i="3" s="1"/>
  <c r="K9" i="2"/>
  <c r="J9" i="2" s="1"/>
  <c r="M8" i="2"/>
  <c r="K7" i="3"/>
  <c r="T7" i="3" s="1"/>
  <c r="Z7" i="3" l="1"/>
  <c r="Y15" i="3"/>
  <c r="K16" i="3"/>
  <c r="K10" i="2"/>
  <c r="J10" i="2" s="1"/>
  <c r="M9" i="2"/>
  <c r="M10" i="2" l="1"/>
</calcChain>
</file>

<file path=xl/sharedStrings.xml><?xml version="1.0" encoding="utf-8"?>
<sst xmlns="http://schemas.openxmlformats.org/spreadsheetml/2006/main" count="104" uniqueCount="67">
  <si>
    <t>Year</t>
  </si>
  <si>
    <t>Pop</t>
  </si>
  <si>
    <t>rate</t>
  </si>
  <si>
    <t>Weeks</t>
  </si>
  <si>
    <t>Population of the United States by sex and age 2019</t>
  </si>
  <si>
    <t>Resident population of the United States by sex and age as of July 1, 2019 (in millions)</t>
  </si>
  <si>
    <t>Male</t>
  </si>
  <si>
    <t>Female</t>
  </si>
  <si>
    <t>Under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</si>
  <si>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</si>
  <si>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</si>
  <si>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</si>
  <si>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</si>
  <si>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</si>
  <si>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</si>
  <si>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</si>
  <si>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</si>
  <si>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49</t>
  </si>
  <si>
    <t>50 to 54</t>
  </si>
  <si>
    <t>55 to 59</t>
  </si>
  <si>
    <t>60 to 64</t>
  </si>
  <si>
    <t>65 to 69</t>
  </si>
  <si>
    <t>70 to 74</t>
  </si>
  <si>
    <t>75 to 79</t>
  </si>
  <si>
    <t>80 to 84</t>
  </si>
  <si>
    <t>85 and over</t>
  </si>
  <si>
    <t>sum</t>
  </si>
  <si>
    <t>0-4</t>
  </si>
  <si>
    <t>50-64</t>
  </si>
  <si>
    <t>%</t>
  </si>
  <si>
    <t>65-74</t>
  </si>
  <si>
    <t>75+</t>
  </si>
  <si>
    <t>pop</t>
  </si>
  <si>
    <t>StDev</t>
  </si>
  <si>
    <t>Hospitalization Risk</t>
  </si>
  <si>
    <t>Mean</t>
  </si>
  <si>
    <t>N</t>
  </si>
  <si>
    <t>n</t>
  </si>
  <si>
    <t>Vaccination</t>
  </si>
  <si>
    <t>&lt;12</t>
  </si>
  <si>
    <t>16-17</t>
  </si>
  <si>
    <t>18-24</t>
  </si>
  <si>
    <t>25-39</t>
  </si>
  <si>
    <t>40-49</t>
  </si>
  <si>
    <t>12-15</t>
  </si>
  <si>
    <t>#</t>
  </si>
  <si>
    <t>Week</t>
  </si>
  <si>
    <t>Pycharm</t>
  </si>
  <si>
    <t xml:space="preserve">Vaccine coverage </t>
  </si>
  <si>
    <t>Today</t>
  </si>
  <si>
    <t>Min</t>
  </si>
  <si>
    <t>Max</t>
  </si>
  <si>
    <t>Date</t>
  </si>
  <si>
    <t>Overall</t>
  </si>
  <si>
    <t>65-75</t>
  </si>
  <si>
    <t>Value</t>
  </si>
  <si>
    <t>5-12</t>
  </si>
  <si>
    <t>13-17</t>
  </si>
  <si>
    <t>18-29</t>
  </si>
  <si>
    <t>30-49</t>
  </si>
  <si>
    <t>&lt;1</t>
  </si>
  <si>
    <t>Sum</t>
  </si>
  <si>
    <t>Mortality Risk (%) (Table)</t>
  </si>
  <si>
    <t>Hosp Rate</t>
  </si>
  <si>
    <t>Hosp</t>
  </si>
  <si>
    <t>Overal rate</t>
  </si>
  <si>
    <t>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</si>
</sst>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0.0"/>
    <numFmt numFmtId="166" formatCode="#,##0.##"/>
    <numFmt numFmtId="167" formatCode="0.000"/>
    <numFmt numFmtId="168" formatCode="0.0%"/>
    <numFmt numFmtId="169" formatCode="#,##0.0000"/>
    <numFmt numFmtId="170" formatCode="[$-409]d\-mmm\-yy;@"/>
  </numFmts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75">
    <xf numFmtId="0" fontId="0" fillId="0" borderId="0" xfId="0"/>
    <xf numFmtId="14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0" fontId="0" fillId="0" borderId="1" xfId="0" applyBorder="1"/>
    <xf numFmtId="164" fontId="0" fillId="0" borderId="0" xfId="0" applyNumberFormat="1" applyBorder="1"/>
    <xf numFmtId="0" fontId="0" fillId="0" borderId="0" xfId="0" applyBorder="1"/>
    <xf numFmtId="165" fontId="0" fillId="0" borderId="0" xfId="0" applyNumberFormat="1"/>
    <xf numFmtId="165" fontId="0" fillId="0" borderId="1" xfId="0" applyNumberFormat="1" applyBorder="1"/>
    <xf numFmtId="9" fontId="0" fillId="0" borderId="0" xfId="0" applyNumberFormat="1"/>
    <xf numFmtId="0" fontId="2" fillId="0" borderId="0" xfId="1"/>
    <xf numFmtId="0" fontId="3" fillId="0" borderId="0" xfId="1" applyNumberFormat="1" applyFont="1" applyFill="1" applyBorder="1" applyAlignment="1" applyProtection="1">
      <alignment horizontal="left" vertical="center"/>
    </xf>
    <xf numFmtId="0" fontId="2" fillId="0" borderId="0" xfId="1" applyNumberFormat="1" applyFont="1" applyFill="1" applyBorder="1" applyAlignment="1" applyProtection="1">
      <alignment horizontal="left" vertical="center"/>
    </xf>
    <xf numFmtId="166" fontId="0" fillId="0" borderId="0" xfId="0" applyNumberFormat="1"/>
    <xf numFmtId="0" fontId="2" fillId="0" borderId="1" xfId="1" applyNumberFormat="1" applyFont="1" applyFill="1" applyBorder="1" applyAlignment="1" applyProtection="1">
      <alignment horizontal="left" vertical="center"/>
    </xf>
    <xf numFmtId="16" fontId="0" fillId="0" borderId="0" xfId="0" quotePrefix="1" applyNumberFormat="1"/>
    <xf numFmtId="166" fontId="0" fillId="0" borderId="1" xfId="0" applyNumberFormat="1" applyBorder="1"/>
    <xf numFmtId="10" fontId="0" fillId="0" borderId="0" xfId="0" applyNumberFormat="1"/>
    <xf numFmtId="167" fontId="0" fillId="0" borderId="1" xfId="0" applyNumberFormat="1" applyBorder="1"/>
    <xf numFmtId="168" fontId="0" fillId="0" borderId="0" xfId="0" applyNumberFormat="1"/>
    <xf numFmtId="0" fontId="4" fillId="0" borderId="0" xfId="7"/>
    <xf numFmtId="167" fontId="0" fillId="2" borderId="0" xfId="0" applyNumberFormat="1" applyFill="1"/>
    <xf numFmtId="3" fontId="2" fillId="0" borderId="0" xfId="1" applyNumberFormat="1" applyFont="1" applyFill="1" applyBorder="1" applyAlignment="1" applyProtection="1">
      <alignment horizontal="center" vertical="center"/>
    </xf>
    <xf numFmtId="3" fontId="2" fillId="0" borderId="1" xfId="1" applyNumberFormat="1" applyFont="1" applyFill="1" applyBorder="1" applyAlignment="1" applyProtection="1">
      <alignment horizontal="center" vertical="center"/>
    </xf>
    <xf numFmtId="166" fontId="2" fillId="0" borderId="0" xfId="1" applyNumberFormat="1" applyFont="1" applyFill="1" applyBorder="1" applyAlignment="1" applyProtection="1">
      <alignment horizontal="center" vertical="center"/>
    </xf>
    <xf numFmtId="166" fontId="2" fillId="0" borderId="1" xfId="1" applyNumberFormat="1" applyFont="1" applyFill="1" applyBorder="1" applyAlignment="1" applyProtection="1">
      <alignment horizontal="center" vertic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2" borderId="0" xfId="0" applyNumberFormat="1" applyFill="1" applyAlignment="1">
      <alignment horizontal="center"/>
    </xf>
    <xf numFmtId="169" fontId="0" fillId="0" borderId="0" xfId="0" applyNumberFormat="1"/>
    <xf numFmtId="2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5" fillId="0" borderId="1" xfId="0" applyFont="1" applyBorder="1"/>
    <xf numFmtId="0" fontId="5" fillId="0" borderId="1" xfId="0" applyFont="1" applyBorder="1" applyAlignment="1">
      <alignment horizontal="center"/>
    </xf>
    <xf numFmtId="14" fontId="0" fillId="2" borderId="0" xfId="0" applyNumberFormat="1" applyFill="1"/>
    <xf numFmtId="0" fontId="0" fillId="2" borderId="0" xfId="0" applyFill="1"/>
    <xf numFmtId="0" fontId="0" fillId="0" borderId="0" xfId="0" applyAlignment="1">
      <alignment horizontal="center"/>
    </xf>
    <xf numFmtId="15" fontId="0" fillId="0" borderId="0" xfId="0" applyNumberFormat="1"/>
    <xf numFmtId="170" fontId="0" fillId="0" borderId="0" xfId="0" applyNumberFormat="1"/>
    <xf numFmtId="0" fontId="5" fillId="0" borderId="2" xfId="0" applyFont="1" applyBorder="1" applyAlignment="1">
      <alignment horizontal="center"/>
    </xf>
    <xf numFmtId="170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center"/>
    </xf>
    <xf numFmtId="10" fontId="0" fillId="0" borderId="1" xfId="0" applyNumberFormat="1" applyBorder="1" applyAlignment="1">
      <alignment horizontal="center"/>
    </xf>
    <xf numFmtId="16" fontId="5" fillId="0" borderId="2" xfId="0" quotePrefix="1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70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3" fillId="0" borderId="1" xfId="1" applyNumberFormat="1" applyFont="1" applyFill="1" applyBorder="1" applyAlignment="1" applyProtection="1">
      <alignment horizontal="center"/>
    </xf>
    <xf numFmtId="0" fontId="4" fillId="0" borderId="1" xfId="7" applyNumberFormat="1" applyFill="1" applyBorder="1" applyAlignment="1" applyProtection="1">
      <alignment horizontal="center"/>
    </xf>
    <xf numFmtId="0" fontId="4" fillId="0" borderId="1" xfId="7" applyNumberFormat="1" applyFill="1" applyBorder="1" applyAlignment="1" applyProtection="1">
      <alignment horizontal="center" wrapText="1"/>
    </xf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0" xfId="0" applyAlignment="1">
      <alignment horizontal="left"/>
    </xf>
    <xf numFmtId="167" fontId="0" fillId="0" borderId="0" xfId="0" applyNumberFormat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4" fillId="0" borderId="0" xfId="7" applyAlignment="1">
      <alignment horizontal="center"/>
    </xf>
    <xf numFmtId="0" fontId="0" fillId="0" borderId="0" xfId="0" quotePrefix="1"/>
    <xf numFmtId="166" fontId="5" fillId="0" borderId="0" xfId="0" applyNumberFormat="1" applyFont="1"/>
    <xf numFmtId="167" fontId="5" fillId="2" borderId="0" xfId="0" applyNumberFormat="1" applyFont="1" applyFill="1"/>
    <xf numFmtId="165" fontId="5" fillId="0" borderId="0" xfId="0" applyNumberFormat="1" applyFont="1" applyAlignment="1">
      <alignment horizontal="center"/>
    </xf>
    <xf numFmtId="165" fontId="5" fillId="2" borderId="0" xfId="0" applyNumberFormat="1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4" fillId="0" borderId="0" xfId="7" applyAlignment="1">
      <alignment horizontal="center" wrapText="1"/>
    </xf>
    <xf numFmtId="0" fontId="5" fillId="0" borderId="0" xfId="0" applyFont="1"/>
    <xf numFmtId="0" fontId="5" fillId="0" borderId="0" xfId="0" applyFont="1" applyAlignment="1">
      <alignment horizontal="center"/>
    </xf>
    <xf numFmtId="167" fontId="0" fillId="0" borderId="0" xfId="0" applyNumberFormat="1"/>
    <xf numFmtId="16" fontId="5" fillId="0" borderId="0" xfId="0" quotePrefix="1" applyNumberFormat="1" applyFont="1"/>
    <xf numFmtId="168" fontId="0" fillId="0" borderId="0" xfId="0" applyNumberFormat="1" applyAlignment="1">
      <alignment horizontal="center"/>
    </xf>
    <xf numFmtId="168" fontId="5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1" xfId="0" applyNumberFormat="1" applyBorder="1" applyAlignment="1">
      <alignment horizontal="center"/>
    </xf>
    <xf numFmtId="3" fontId="0" fillId="0" borderId="0" xfId="0" applyNumberFormat="1" applyFill="1" applyBorder="1" applyAlignment="1">
      <alignment horizontal="center"/>
    </xf>
    <xf numFmtId="168" fontId="0" fillId="0" borderId="1" xfId="0" applyNumberFormat="1" applyBorder="1" applyAlignment="1">
      <alignment horizontal="center"/>
    </xf>
  </cellXfs>
  <cellStyles count="8">
    <cellStyle name="Comma [0] 2" xfId="6" xr:uid="{6B5881C9-9ACE-4BDF-9BB2-8272691A0155}"/>
    <cellStyle name="Comma 2" xfId="5" xr:uid="{BF4829FB-E8E4-413E-9608-4FFD6FC96CB1}"/>
    <cellStyle name="Currency [0] 2" xfId="4" xr:uid="{588817CB-B311-4A00-94B3-5EC5C5BDF693}"/>
    <cellStyle name="Currency 2" xfId="3" xr:uid="{3F47A754-FB25-43AD-A6E6-F6429815720E}"/>
    <cellStyle name="Hyperlink" xfId="7" builtinId="8"/>
    <cellStyle name="Normal" xfId="0" builtinId="0"/>
    <cellStyle name="Normal 2" xfId="1" xr:uid="{276E414D-F8B8-4B43-888C-ED5AE2DC3225}"/>
    <cellStyle name="Percent 2" xfId="2" xr:uid="{F64CDE67-7CF9-4260-BDE1-BFFAB22A266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tatista.com/statistics/241488/population-of-the-us-by-sex-and-age/" TargetMode="External"/><Relationship Id="rId2" Type="http://schemas.openxmlformats.org/officeDocument/2006/relationships/hyperlink" Target="https://pubmed.ncbi.nlm.nih.gov/33830226/" TargetMode="External"/><Relationship Id="rId1" Type="http://schemas.openxmlformats.org/officeDocument/2006/relationships/hyperlink" Target="https://www.cdc.gov/coronavirus/2019-ncov/covid-data/investigations-discovery/hospitalization-death-by-age.html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www.cdc.gov/coronavirus/2019-ncov/covid-data/investigations-discovery/hospitalization-death-by-age.htm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6250-A646-4EDC-A1EB-7E5605B1B8BA}">
  <dimension ref="A1:T280"/>
  <sheetViews>
    <sheetView showGridLines="0" topLeftCell="B13" workbookViewId="0">
      <selection activeCell="T27" sqref="T27:T32"/>
    </sheetView>
  </sheetViews>
  <sheetFormatPr defaultRowHeight="15" x14ac:dyDescent="0.25"/>
  <cols>
    <col min="1" max="1" width="17.5703125" bestFit="1" customWidth="1"/>
    <col min="6" max="6" width="11" bestFit="1" customWidth="1"/>
    <col min="7" max="7" width="10.140625" bestFit="1" customWidth="1"/>
    <col min="10" max="10" width="12.140625" customWidth="1"/>
    <col min="11" max="11" width="8.28515625" customWidth="1"/>
    <col min="13" max="13" width="10.85546875" bestFit="1" customWidth="1"/>
  </cols>
  <sheetData>
    <row r="1" spans="1:20" x14ac:dyDescent="0.25">
      <c r="C1" t="s">
        <v>0</v>
      </c>
      <c r="D1" t="s">
        <v>3</v>
      </c>
      <c r="F1" t="s">
        <v>46</v>
      </c>
    </row>
    <row r="2" spans="1:20" x14ac:dyDescent="0.25">
      <c r="A2" s="2">
        <v>43891</v>
      </c>
      <c r="B2">
        <v>1</v>
      </c>
      <c r="C2">
        <f>(B2-1)/12</f>
        <v>0</v>
      </c>
      <c r="D2" s="7">
        <f>C2*52</f>
        <v>0</v>
      </c>
      <c r="F2">
        <v>1</v>
      </c>
      <c r="G2" s="39">
        <v>43891</v>
      </c>
      <c r="I2" s="56" t="s">
        <v>48</v>
      </c>
      <c r="J2" s="56"/>
      <c r="K2" s="56"/>
      <c r="L2" s="56"/>
      <c r="M2" s="56"/>
      <c r="N2" s="56"/>
      <c r="O2" s="56"/>
    </row>
    <row r="3" spans="1:20" x14ac:dyDescent="0.25">
      <c r="A3" s="2">
        <v>43922</v>
      </c>
      <c r="B3">
        <v>2</v>
      </c>
      <c r="C3">
        <f t="shared" ref="C3:C29" si="0">(B3-1)/12</f>
        <v>8.3333333333333329E-2</v>
      </c>
      <c r="D3" s="7">
        <f t="shared" ref="D3:D29" si="1">C3*52</f>
        <v>4.333333333333333</v>
      </c>
      <c r="F3">
        <v>2</v>
      </c>
      <c r="G3" s="39">
        <v>43898</v>
      </c>
      <c r="I3" s="40"/>
      <c r="J3" s="40" t="s">
        <v>52</v>
      </c>
      <c r="K3" s="40" t="s">
        <v>46</v>
      </c>
      <c r="L3" s="40" t="s">
        <v>55</v>
      </c>
      <c r="M3" s="40" t="s">
        <v>47</v>
      </c>
      <c r="N3" s="40"/>
      <c r="O3" s="40"/>
    </row>
    <row r="4" spans="1:20" x14ac:dyDescent="0.25">
      <c r="A4" s="2">
        <v>43952</v>
      </c>
      <c r="B4">
        <v>3</v>
      </c>
      <c r="C4">
        <f t="shared" si="0"/>
        <v>0.16666666666666666</v>
      </c>
      <c r="D4" s="7">
        <f t="shared" si="1"/>
        <v>8.6666666666666661</v>
      </c>
      <c r="F4">
        <v>3</v>
      </c>
      <c r="G4" s="39">
        <v>43905</v>
      </c>
      <c r="J4" s="45">
        <f>VLOOKUP(K4,$F$2:$G$128,2,FALSE)</f>
        <v>44199</v>
      </c>
      <c r="K4" s="46">
        <v>45</v>
      </c>
      <c r="L4" s="37">
        <v>3.6000000000000001E-5</v>
      </c>
    </row>
    <row r="5" spans="1:20" x14ac:dyDescent="0.25">
      <c r="A5" s="2">
        <v>43983</v>
      </c>
      <c r="B5">
        <v>4</v>
      </c>
      <c r="C5">
        <f t="shared" si="0"/>
        <v>0.25</v>
      </c>
      <c r="D5" s="7">
        <f t="shared" si="1"/>
        <v>13</v>
      </c>
      <c r="F5">
        <v>4</v>
      </c>
      <c r="G5" s="39">
        <v>43912</v>
      </c>
      <c r="J5" s="45">
        <f t="shared" ref="J5:J10" si="2">VLOOKUP(K5,$F$2:$G$128,2,FALSE)</f>
        <v>44227</v>
      </c>
      <c r="K5" s="37">
        <f>K4+4</f>
        <v>49</v>
      </c>
      <c r="L5" s="37">
        <v>1.0718E-2</v>
      </c>
      <c r="M5" t="str">
        <f>"["&amp;K5&amp;", "&amp;L5*100&amp;"]," &amp; "  # "&amp;TEXT(J5,"[$-en-US]d-mmm-yy;@")</f>
        <v>[49, 1.0718],  # 31-Jan-21</v>
      </c>
    </row>
    <row r="6" spans="1:20" x14ac:dyDescent="0.25">
      <c r="A6" s="2">
        <v>44013</v>
      </c>
      <c r="B6">
        <v>5</v>
      </c>
      <c r="C6">
        <f t="shared" si="0"/>
        <v>0.33333333333333331</v>
      </c>
      <c r="D6" s="7">
        <f t="shared" si="1"/>
        <v>17.333333333333332</v>
      </c>
      <c r="F6">
        <v>5</v>
      </c>
      <c r="G6" s="39">
        <v>43919</v>
      </c>
      <c r="J6" s="45">
        <f t="shared" si="2"/>
        <v>44255</v>
      </c>
      <c r="K6" s="37">
        <f t="shared" ref="K6:K10" si="3">K5+4</f>
        <v>53</v>
      </c>
      <c r="L6" s="37">
        <v>6.9001000000000007E-2</v>
      </c>
      <c r="M6" t="str">
        <f t="shared" ref="M6:M10" si="4">"["&amp;K6&amp;", "&amp;L6*100&amp;"]," &amp; "  # "&amp;TEXT(J6,"[$-en-US]d-mmm-yy;@")</f>
        <v>[53, 6.9001],  # 28-Feb-21</v>
      </c>
    </row>
    <row r="7" spans="1:20" x14ac:dyDescent="0.25">
      <c r="A7" s="2">
        <v>44044</v>
      </c>
      <c r="B7">
        <v>6</v>
      </c>
      <c r="C7">
        <f t="shared" si="0"/>
        <v>0.41666666666666669</v>
      </c>
      <c r="D7" s="7">
        <f t="shared" si="1"/>
        <v>21.666666666666668</v>
      </c>
      <c r="F7">
        <v>6</v>
      </c>
      <c r="G7" s="39">
        <v>43926</v>
      </c>
      <c r="J7" s="45">
        <f t="shared" si="2"/>
        <v>44283</v>
      </c>
      <c r="K7" s="37">
        <f t="shared" si="3"/>
        <v>57</v>
      </c>
      <c r="L7" s="37">
        <v>0.14792</v>
      </c>
      <c r="M7" t="str">
        <f t="shared" si="4"/>
        <v>[57, 14.792],  # 28-Mar-21</v>
      </c>
    </row>
    <row r="8" spans="1:20" x14ac:dyDescent="0.25">
      <c r="A8" s="2">
        <v>44075</v>
      </c>
      <c r="B8">
        <v>7</v>
      </c>
      <c r="C8">
        <f t="shared" si="0"/>
        <v>0.5</v>
      </c>
      <c r="D8" s="7">
        <f t="shared" si="1"/>
        <v>26</v>
      </c>
      <c r="F8">
        <v>7</v>
      </c>
      <c r="G8" s="39">
        <v>43933</v>
      </c>
      <c r="J8" s="45">
        <f t="shared" si="2"/>
        <v>44311</v>
      </c>
      <c r="K8" s="37">
        <f t="shared" si="3"/>
        <v>61</v>
      </c>
      <c r="L8" s="37">
        <v>0.27776099999999998</v>
      </c>
      <c r="M8" t="str">
        <f t="shared" si="4"/>
        <v>[61, 27.7761],  # 25-Apr-21</v>
      </c>
    </row>
    <row r="9" spans="1:20" x14ac:dyDescent="0.25">
      <c r="A9" s="2">
        <v>44105</v>
      </c>
      <c r="B9">
        <v>8</v>
      </c>
      <c r="C9">
        <f t="shared" si="0"/>
        <v>0.58333333333333337</v>
      </c>
      <c r="D9" s="7">
        <f t="shared" si="1"/>
        <v>30.333333333333336</v>
      </c>
      <c r="F9">
        <v>8</v>
      </c>
      <c r="G9" s="39">
        <v>43940</v>
      </c>
      <c r="J9" s="45">
        <f t="shared" si="2"/>
        <v>44339</v>
      </c>
      <c r="K9" s="37">
        <f t="shared" si="3"/>
        <v>65</v>
      </c>
      <c r="L9" s="37">
        <v>0.38950400000000002</v>
      </c>
      <c r="M9" t="str">
        <f t="shared" si="4"/>
        <v>[65, 38.9504],  # 23-May-21</v>
      </c>
    </row>
    <row r="10" spans="1:20" x14ac:dyDescent="0.25">
      <c r="A10" s="2">
        <v>44136</v>
      </c>
      <c r="B10">
        <v>9</v>
      </c>
      <c r="C10">
        <f t="shared" si="0"/>
        <v>0.66666666666666663</v>
      </c>
      <c r="D10" s="7">
        <f t="shared" si="1"/>
        <v>34.666666666666664</v>
      </c>
      <c r="F10">
        <v>9</v>
      </c>
      <c r="G10" s="39">
        <v>43947</v>
      </c>
      <c r="I10" s="4"/>
      <c r="J10" s="47">
        <f t="shared" si="2"/>
        <v>44367</v>
      </c>
      <c r="K10" s="42">
        <f t="shared" si="3"/>
        <v>69</v>
      </c>
      <c r="L10" s="42">
        <v>0.452347</v>
      </c>
      <c r="M10" s="4" t="str">
        <f t="shared" si="4"/>
        <v>[69, 45.2347],  # 20-Jun-21</v>
      </c>
      <c r="N10" s="4"/>
      <c r="O10" s="4"/>
    </row>
    <row r="11" spans="1:20" x14ac:dyDescent="0.25">
      <c r="A11" s="2">
        <v>44166</v>
      </c>
      <c r="B11">
        <v>10</v>
      </c>
      <c r="C11">
        <f t="shared" si="0"/>
        <v>0.75</v>
      </c>
      <c r="D11" s="7">
        <f t="shared" si="1"/>
        <v>39</v>
      </c>
      <c r="F11">
        <v>10</v>
      </c>
      <c r="G11" s="39">
        <v>43954</v>
      </c>
    </row>
    <row r="12" spans="1:20" x14ac:dyDescent="0.25">
      <c r="A12" s="2">
        <v>44197</v>
      </c>
      <c r="B12">
        <v>11</v>
      </c>
      <c r="C12">
        <f t="shared" si="0"/>
        <v>0.83333333333333337</v>
      </c>
      <c r="D12" s="7">
        <f t="shared" si="1"/>
        <v>43.333333333333336</v>
      </c>
      <c r="F12">
        <v>11</v>
      </c>
      <c r="G12" s="39">
        <v>43961</v>
      </c>
      <c r="J12" s="34" t="s">
        <v>52</v>
      </c>
      <c r="K12" s="34" t="s">
        <v>46</v>
      </c>
      <c r="L12" s="34" t="s">
        <v>35</v>
      </c>
      <c r="M12" s="34" t="s">
        <v>50</v>
      </c>
      <c r="N12" s="34" t="s">
        <v>51</v>
      </c>
    </row>
    <row r="13" spans="1:20" x14ac:dyDescent="0.25">
      <c r="A13" s="2">
        <v>44228</v>
      </c>
      <c r="B13">
        <v>12</v>
      </c>
      <c r="C13">
        <f t="shared" si="0"/>
        <v>0.91666666666666663</v>
      </c>
      <c r="D13" s="7">
        <f t="shared" si="1"/>
        <v>47.666666666666664</v>
      </c>
      <c r="F13">
        <v>12</v>
      </c>
      <c r="G13" s="39">
        <v>43968</v>
      </c>
      <c r="I13" s="4" t="s">
        <v>49</v>
      </c>
      <c r="J13" s="41">
        <f>VLOOKUP(K13,F10:G136,2,FALSE)</f>
        <v>44374</v>
      </c>
      <c r="K13" s="42">
        <f>F71</f>
        <v>70</v>
      </c>
      <c r="L13" s="43">
        <v>0.46429999999999999</v>
      </c>
      <c r="M13" s="43">
        <v>0.3231</v>
      </c>
      <c r="N13" s="43">
        <v>0.65569999999999995</v>
      </c>
      <c r="P13" s="4" t="str">
        <f>"["&amp;K13&amp;", "&amp;L13*100&amp;", "&amp;M13*100&amp;", "&amp;N13*100&amp;"]," &amp; "  # "&amp;TEXT(J13,"[$-en-US]d-mmm-yy;@")</f>
        <v>[70, 46.43, 32.31, 65.57],  # 27-Jun-21</v>
      </c>
      <c r="Q13" s="4"/>
    </row>
    <row r="14" spans="1:20" x14ac:dyDescent="0.25">
      <c r="A14" s="2">
        <v>44256</v>
      </c>
      <c r="B14">
        <v>13</v>
      </c>
      <c r="C14">
        <f t="shared" si="0"/>
        <v>1</v>
      </c>
      <c r="D14" s="7">
        <f t="shared" si="1"/>
        <v>52</v>
      </c>
      <c r="F14">
        <v>13</v>
      </c>
      <c r="G14" s="39">
        <v>43975</v>
      </c>
    </row>
    <row r="15" spans="1:20" x14ac:dyDescent="0.25">
      <c r="A15" s="2">
        <v>44287</v>
      </c>
      <c r="B15">
        <v>14</v>
      </c>
      <c r="C15">
        <f t="shared" si="0"/>
        <v>1.0833333333333333</v>
      </c>
      <c r="D15" s="7">
        <f t="shared" si="1"/>
        <v>56.333333333333329</v>
      </c>
      <c r="F15">
        <v>14</v>
      </c>
      <c r="G15" s="39">
        <v>43982</v>
      </c>
    </row>
    <row r="16" spans="1:20" x14ac:dyDescent="0.25">
      <c r="A16" s="2">
        <v>44317</v>
      </c>
      <c r="B16">
        <v>15</v>
      </c>
      <c r="C16">
        <f t="shared" si="0"/>
        <v>1.1666666666666667</v>
      </c>
      <c r="D16" s="7">
        <f t="shared" si="1"/>
        <v>60.666666666666671</v>
      </c>
      <c r="F16">
        <v>15</v>
      </c>
      <c r="G16" s="39">
        <v>43989</v>
      </c>
      <c r="J16" s="40" t="s">
        <v>52</v>
      </c>
      <c r="K16" s="40" t="s">
        <v>46</v>
      </c>
      <c r="L16" s="40" t="s">
        <v>53</v>
      </c>
      <c r="M16" s="40" t="s">
        <v>27</v>
      </c>
      <c r="N16" s="44" t="s">
        <v>56</v>
      </c>
      <c r="O16" s="40" t="s">
        <v>57</v>
      </c>
      <c r="P16" s="44" t="s">
        <v>58</v>
      </c>
      <c r="Q16" s="40" t="s">
        <v>59</v>
      </c>
      <c r="R16" s="40" t="s">
        <v>28</v>
      </c>
      <c r="S16" s="40" t="s">
        <v>54</v>
      </c>
      <c r="T16" s="40" t="s">
        <v>31</v>
      </c>
    </row>
    <row r="17" spans="1:20" x14ac:dyDescent="0.25">
      <c r="A17" s="2">
        <v>44348</v>
      </c>
      <c r="B17">
        <v>16</v>
      </c>
      <c r="C17">
        <f t="shared" si="0"/>
        <v>1.25</v>
      </c>
      <c r="D17" s="7">
        <f t="shared" si="1"/>
        <v>65</v>
      </c>
      <c r="F17">
        <v>16</v>
      </c>
      <c r="G17" s="39">
        <v>43996</v>
      </c>
      <c r="J17" s="45">
        <f>VLOOKUP(K17,$F$2:$G$128,2,FALSE)</f>
        <v>44199</v>
      </c>
      <c r="K17" s="46">
        <v>45</v>
      </c>
      <c r="L17" s="37">
        <v>3.6000000000000001E-5</v>
      </c>
      <c r="M17" s="37">
        <v>0</v>
      </c>
      <c r="N17" s="52">
        <v>0</v>
      </c>
      <c r="O17" s="52">
        <v>0</v>
      </c>
      <c r="P17" s="37">
        <v>0</v>
      </c>
      <c r="Q17" s="37">
        <v>4.5000000000000003E-5</v>
      </c>
      <c r="R17" s="37">
        <v>6.0999999999999999E-5</v>
      </c>
      <c r="S17" s="37">
        <v>3.3000000000000003E-5</v>
      </c>
      <c r="T17" s="37">
        <v>2.1999999999999999E-5</v>
      </c>
    </row>
    <row r="18" spans="1:20" x14ac:dyDescent="0.25">
      <c r="A18" s="2">
        <v>44378</v>
      </c>
      <c r="B18">
        <v>17</v>
      </c>
      <c r="C18">
        <f t="shared" si="0"/>
        <v>1.3333333333333333</v>
      </c>
      <c r="D18" s="7">
        <f t="shared" si="1"/>
        <v>69.333333333333329</v>
      </c>
      <c r="F18">
        <v>17</v>
      </c>
      <c r="G18" s="39">
        <v>44003</v>
      </c>
      <c r="J18" s="45">
        <f t="shared" ref="J18:J23" si="5">VLOOKUP(K18,$F$2:$G$128,2,FALSE)</f>
        <v>44227</v>
      </c>
      <c r="K18" s="37">
        <f>K17+4</f>
        <v>49</v>
      </c>
      <c r="L18" s="37">
        <v>1.0718E-2</v>
      </c>
      <c r="M18" s="37">
        <v>0</v>
      </c>
      <c r="N18" s="52">
        <v>7.2999999999999999E-5</v>
      </c>
      <c r="O18" s="52">
        <v>7.2999999999999999E-5</v>
      </c>
      <c r="P18" s="37">
        <v>7.2999999999999999E-5</v>
      </c>
      <c r="Q18" s="37">
        <v>1.4729000000000001E-2</v>
      </c>
      <c r="R18" s="37">
        <v>1.6514000000000001E-2</v>
      </c>
      <c r="S18" s="37">
        <v>8.2400000000000008E-3</v>
      </c>
      <c r="T18" s="37">
        <v>7.6010000000000001E-3</v>
      </c>
    </row>
    <row r="19" spans="1:20" x14ac:dyDescent="0.25">
      <c r="A19" s="3">
        <v>44409</v>
      </c>
      <c r="B19" s="4">
        <v>18</v>
      </c>
      <c r="C19" s="4">
        <f t="shared" si="0"/>
        <v>1.4166666666666667</v>
      </c>
      <c r="D19" s="8">
        <f t="shared" si="1"/>
        <v>73.666666666666671</v>
      </c>
      <c r="F19">
        <v>18</v>
      </c>
      <c r="G19" s="39">
        <v>44010</v>
      </c>
      <c r="J19" s="45">
        <f t="shared" si="5"/>
        <v>44255</v>
      </c>
      <c r="K19" s="37">
        <f t="shared" ref="K19:K23" si="6">K18+4</f>
        <v>53</v>
      </c>
      <c r="L19" s="37">
        <v>6.9001000000000007E-2</v>
      </c>
      <c r="M19" s="37">
        <v>0</v>
      </c>
      <c r="N19" s="52">
        <v>8.1999999999999998E-4</v>
      </c>
      <c r="O19" s="52">
        <v>8.1999999999999998E-4</v>
      </c>
      <c r="P19" s="37">
        <v>8.1999999999999998E-4</v>
      </c>
      <c r="Q19" s="37">
        <v>5.6848999999999997E-2</v>
      </c>
      <c r="R19" s="37">
        <v>7.4223999999999998E-2</v>
      </c>
      <c r="S19" s="37">
        <v>0.14502499999999999</v>
      </c>
      <c r="T19" s="37">
        <v>0.23400099999999999</v>
      </c>
    </row>
    <row r="20" spans="1:20" x14ac:dyDescent="0.25">
      <c r="A20" s="2">
        <v>44440</v>
      </c>
      <c r="B20">
        <v>19</v>
      </c>
      <c r="C20">
        <f t="shared" si="0"/>
        <v>1.5</v>
      </c>
      <c r="D20" s="7">
        <f t="shared" si="1"/>
        <v>78</v>
      </c>
      <c r="F20">
        <v>19</v>
      </c>
      <c r="G20" s="39">
        <v>44017</v>
      </c>
      <c r="J20" s="45">
        <f t="shared" si="5"/>
        <v>44283</v>
      </c>
      <c r="K20" s="37">
        <f t="shared" si="6"/>
        <v>57</v>
      </c>
      <c r="L20" s="37">
        <v>0.14792</v>
      </c>
      <c r="M20" s="37">
        <v>0</v>
      </c>
      <c r="N20" s="52">
        <v>2.3319999999999999E-3</v>
      </c>
      <c r="O20" s="52">
        <v>2.3319999999999999E-3</v>
      </c>
      <c r="P20" s="37">
        <v>2.3319999999999999E-3</v>
      </c>
      <c r="Q20" s="37">
        <v>9.9143999999999996E-2</v>
      </c>
      <c r="R20" s="37">
        <v>0.154783</v>
      </c>
      <c r="S20" s="37">
        <v>0.42801499999999998</v>
      </c>
      <c r="T20" s="37">
        <v>0.51082000000000005</v>
      </c>
    </row>
    <row r="21" spans="1:20" x14ac:dyDescent="0.25">
      <c r="A21" s="5">
        <v>44470</v>
      </c>
      <c r="B21" s="6">
        <v>20</v>
      </c>
      <c r="C21" s="6">
        <f t="shared" si="0"/>
        <v>1.5833333333333333</v>
      </c>
      <c r="D21" s="7">
        <f t="shared" si="1"/>
        <v>82.333333333333329</v>
      </c>
      <c r="F21">
        <v>20</v>
      </c>
      <c r="G21" s="39">
        <v>44024</v>
      </c>
      <c r="J21" s="45">
        <f t="shared" si="5"/>
        <v>44311</v>
      </c>
      <c r="K21" s="37">
        <f t="shared" si="6"/>
        <v>61</v>
      </c>
      <c r="L21" s="37">
        <v>0.27776099999999998</v>
      </c>
      <c r="M21" s="37">
        <v>0</v>
      </c>
      <c r="N21" s="52">
        <v>1.3419E-2</v>
      </c>
      <c r="O21" s="52">
        <v>1.3419E-2</v>
      </c>
      <c r="P21" s="37">
        <v>1.3419E-2</v>
      </c>
      <c r="Q21" s="37">
        <v>0.21463199999999999</v>
      </c>
      <c r="R21" s="37">
        <v>0.38446799999999998</v>
      </c>
      <c r="S21" s="37">
        <v>0.66668799999999995</v>
      </c>
      <c r="T21" s="37">
        <v>0.66616699999999995</v>
      </c>
    </row>
    <row r="22" spans="1:20" x14ac:dyDescent="0.25">
      <c r="A22" s="2">
        <v>44501</v>
      </c>
      <c r="B22">
        <v>21</v>
      </c>
      <c r="C22">
        <f t="shared" si="0"/>
        <v>1.6666666666666667</v>
      </c>
      <c r="D22" s="7">
        <f t="shared" si="1"/>
        <v>86.666666666666671</v>
      </c>
      <c r="F22">
        <v>21</v>
      </c>
      <c r="G22" s="39">
        <v>44031</v>
      </c>
      <c r="J22" s="45">
        <f t="shared" si="5"/>
        <v>44339</v>
      </c>
      <c r="K22" s="37">
        <f t="shared" si="6"/>
        <v>65</v>
      </c>
      <c r="L22" s="37">
        <v>0.38950400000000002</v>
      </c>
      <c r="M22" s="37">
        <v>0</v>
      </c>
      <c r="N22" s="52">
        <v>6.9528999999999994E-2</v>
      </c>
      <c r="O22" s="52">
        <v>6.9528999999999994E-2</v>
      </c>
      <c r="P22" s="37">
        <v>6.9528999999999994E-2</v>
      </c>
      <c r="Q22" s="37">
        <v>0.36473</v>
      </c>
      <c r="R22" s="37">
        <v>0.55466400000000005</v>
      </c>
      <c r="S22" s="37">
        <v>0.74635300000000004</v>
      </c>
      <c r="T22" s="37">
        <v>0.72139500000000001</v>
      </c>
    </row>
    <row r="23" spans="1:20" x14ac:dyDescent="0.25">
      <c r="A23" s="2">
        <v>44531</v>
      </c>
      <c r="B23">
        <v>22</v>
      </c>
      <c r="C23">
        <f t="shared" si="0"/>
        <v>1.75</v>
      </c>
      <c r="D23" s="7">
        <f t="shared" si="1"/>
        <v>91</v>
      </c>
      <c r="F23">
        <v>22</v>
      </c>
      <c r="G23" s="39">
        <v>44038</v>
      </c>
      <c r="J23" s="47">
        <f t="shared" si="5"/>
        <v>44367</v>
      </c>
      <c r="K23" s="42">
        <f t="shared" si="6"/>
        <v>69</v>
      </c>
      <c r="L23" s="42">
        <v>0.452347</v>
      </c>
      <c r="M23" s="42">
        <v>0</v>
      </c>
      <c r="N23" s="42">
        <v>0.21007000000000001</v>
      </c>
      <c r="O23" s="42">
        <v>0.21007000000000001</v>
      </c>
      <c r="P23" s="42">
        <v>0.21007000000000001</v>
      </c>
      <c r="Q23" s="42">
        <v>0.443438</v>
      </c>
      <c r="R23" s="42">
        <v>0.62314199999999997</v>
      </c>
      <c r="S23" s="42">
        <v>0.78477399999999997</v>
      </c>
      <c r="T23" s="42">
        <v>0.75026099999999996</v>
      </c>
    </row>
    <row r="24" spans="1:20" x14ac:dyDescent="0.25">
      <c r="A24" s="2">
        <v>44562</v>
      </c>
      <c r="B24">
        <v>23</v>
      </c>
      <c r="C24">
        <f t="shared" si="0"/>
        <v>1.8333333333333333</v>
      </c>
      <c r="D24" s="7">
        <f t="shared" si="1"/>
        <v>95.333333333333329</v>
      </c>
      <c r="F24">
        <v>23</v>
      </c>
      <c r="G24" s="39">
        <v>44045</v>
      </c>
    </row>
    <row r="25" spans="1:20" x14ac:dyDescent="0.25">
      <c r="A25" s="2">
        <v>44593</v>
      </c>
      <c r="B25">
        <v>24</v>
      </c>
      <c r="C25">
        <f t="shared" si="0"/>
        <v>1.9166666666666667</v>
      </c>
      <c r="D25" s="7">
        <f t="shared" si="1"/>
        <v>99.666666666666671</v>
      </c>
      <c r="F25">
        <v>24</v>
      </c>
      <c r="G25" s="39">
        <v>44052</v>
      </c>
      <c r="M25" s="40" t="s">
        <v>47</v>
      </c>
      <c r="N25" s="53"/>
      <c r="O25" s="53"/>
    </row>
    <row r="26" spans="1:20" x14ac:dyDescent="0.25">
      <c r="A26" s="2">
        <v>44621</v>
      </c>
      <c r="B26">
        <v>25</v>
      </c>
      <c r="C26">
        <f t="shared" si="0"/>
        <v>2</v>
      </c>
      <c r="D26" s="7">
        <f t="shared" si="1"/>
        <v>104</v>
      </c>
      <c r="F26">
        <v>25</v>
      </c>
      <c r="G26" s="39">
        <v>44059</v>
      </c>
    </row>
    <row r="27" spans="1:20" x14ac:dyDescent="0.25">
      <c r="A27" s="2">
        <v>44652</v>
      </c>
      <c r="B27">
        <v>26</v>
      </c>
      <c r="C27">
        <f t="shared" si="0"/>
        <v>2.0833333333333335</v>
      </c>
      <c r="D27" s="7">
        <f t="shared" si="1"/>
        <v>108.33333333333334</v>
      </c>
      <c r="F27">
        <v>26</v>
      </c>
      <c r="G27" s="39">
        <v>44066</v>
      </c>
      <c r="M27" t="str">
        <f>"["&amp;$K18&amp;", "&amp;M18*100&amp;"]," &amp; "  # "&amp;TEXT($J18,"[$-en-US]d-mmm-yy;@")</f>
        <v>[49, 0],  # 31-Jan-21</v>
      </c>
      <c r="N27" t="str">
        <f t="shared" ref="N27:O27" si="7">"["&amp;$K18&amp;", "&amp;N18*100&amp;"]," &amp; "  # "&amp;TEXT($J18,"[$-en-US]d-mmm-yy;@")</f>
        <v>[49, 0.0073],  # 31-Jan-21</v>
      </c>
      <c r="O27" t="str">
        <f t="shared" si="7"/>
        <v>[49, 0.0073],  # 31-Jan-21</v>
      </c>
      <c r="P27" t="str">
        <f t="shared" ref="P27:T27" si="8">"["&amp;$K18&amp;", "&amp;P18*100&amp;"]," &amp; "  # "&amp;TEXT($J18,"[$-en-US]d-mmm-yy;@")</f>
        <v>[49, 0.0073],  # 31-Jan-21</v>
      </c>
      <c r="Q27" t="str">
        <f t="shared" si="8"/>
        <v>[49, 1.4729],  # 31-Jan-21</v>
      </c>
      <c r="R27" t="str">
        <f t="shared" si="8"/>
        <v>[49, 1.6514],  # 31-Jan-21</v>
      </c>
      <c r="S27" t="str">
        <f t="shared" si="8"/>
        <v>[49, 0.824],  # 31-Jan-21</v>
      </c>
      <c r="T27" t="str">
        <f t="shared" si="8"/>
        <v>[49, 0.7601],  # 31-Jan-21</v>
      </c>
    </row>
    <row r="28" spans="1:20" x14ac:dyDescent="0.25">
      <c r="A28" s="2">
        <v>44682</v>
      </c>
      <c r="B28">
        <v>27</v>
      </c>
      <c r="C28">
        <f t="shared" si="0"/>
        <v>2.1666666666666665</v>
      </c>
      <c r="D28" s="7">
        <f t="shared" si="1"/>
        <v>112.66666666666666</v>
      </c>
      <c r="F28">
        <v>27</v>
      </c>
      <c r="G28" s="39">
        <v>44073</v>
      </c>
      <c r="M28" t="str">
        <f t="shared" ref="M28:T32" si="9">"["&amp;$K19&amp;", "&amp;M19*100&amp;"]," &amp; "  # "&amp;TEXT($J19,"[$-en-US]d-mmm-yy;@")</f>
        <v>[53, 0],  # 28-Feb-21</v>
      </c>
      <c r="N28" t="str">
        <f t="shared" ref="N28:O28" si="10">"["&amp;$K19&amp;", "&amp;N19*100&amp;"]," &amp; "  # "&amp;TEXT($J19,"[$-en-US]d-mmm-yy;@")</f>
        <v>[53, 0.082],  # 28-Feb-21</v>
      </c>
      <c r="O28" t="str">
        <f t="shared" si="10"/>
        <v>[53, 0.082],  # 28-Feb-21</v>
      </c>
      <c r="P28" t="str">
        <f t="shared" si="9"/>
        <v>[53, 0.082],  # 28-Feb-21</v>
      </c>
      <c r="Q28" t="str">
        <f t="shared" si="9"/>
        <v>[53, 5.6849],  # 28-Feb-21</v>
      </c>
      <c r="R28" t="str">
        <f t="shared" si="9"/>
        <v>[53, 7.4224],  # 28-Feb-21</v>
      </c>
      <c r="S28" t="str">
        <f t="shared" si="9"/>
        <v>[53, 14.5025],  # 28-Feb-21</v>
      </c>
      <c r="T28" t="str">
        <f t="shared" si="9"/>
        <v>[53, 23.4001],  # 28-Feb-21</v>
      </c>
    </row>
    <row r="29" spans="1:20" x14ac:dyDescent="0.25">
      <c r="A29" s="2">
        <v>44713</v>
      </c>
      <c r="B29">
        <v>28</v>
      </c>
      <c r="C29">
        <f t="shared" si="0"/>
        <v>2.25</v>
      </c>
      <c r="D29" s="7">
        <f t="shared" si="1"/>
        <v>117</v>
      </c>
      <c r="F29">
        <v>28</v>
      </c>
      <c r="G29" s="39">
        <v>44080</v>
      </c>
      <c r="M29" t="str">
        <f t="shared" si="9"/>
        <v>[57, 0],  # 28-Mar-21</v>
      </c>
      <c r="N29" t="str">
        <f t="shared" ref="N29:O29" si="11">"["&amp;$K20&amp;", "&amp;N20*100&amp;"]," &amp; "  # "&amp;TEXT($J20,"[$-en-US]d-mmm-yy;@")</f>
        <v>[57, 0.2332],  # 28-Mar-21</v>
      </c>
      <c r="O29" t="str">
        <f t="shared" si="11"/>
        <v>[57, 0.2332],  # 28-Mar-21</v>
      </c>
      <c r="P29" t="str">
        <f t="shared" si="9"/>
        <v>[57, 0.2332],  # 28-Mar-21</v>
      </c>
      <c r="Q29" t="str">
        <f t="shared" si="9"/>
        <v>[57, 9.9144],  # 28-Mar-21</v>
      </c>
      <c r="R29" t="str">
        <f t="shared" si="9"/>
        <v>[57, 15.4783],  # 28-Mar-21</v>
      </c>
      <c r="S29" t="str">
        <f t="shared" si="9"/>
        <v>[57, 42.8015],  # 28-Mar-21</v>
      </c>
      <c r="T29" t="str">
        <f t="shared" si="9"/>
        <v>[57, 51.082],  # 28-Mar-21</v>
      </c>
    </row>
    <row r="30" spans="1:20" x14ac:dyDescent="0.25">
      <c r="F30">
        <v>29</v>
      </c>
      <c r="G30" s="39">
        <v>44087</v>
      </c>
      <c r="M30" t="str">
        <f t="shared" si="9"/>
        <v>[61, 0],  # 25-Apr-21</v>
      </c>
      <c r="N30" t="str">
        <f t="shared" ref="N30:O30" si="12">"["&amp;$K21&amp;", "&amp;N21*100&amp;"]," &amp; "  # "&amp;TEXT($J21,"[$-en-US]d-mmm-yy;@")</f>
        <v>[61, 1.3419],  # 25-Apr-21</v>
      </c>
      <c r="O30" t="str">
        <f t="shared" si="12"/>
        <v>[61, 1.3419],  # 25-Apr-21</v>
      </c>
      <c r="P30" t="str">
        <f t="shared" si="9"/>
        <v>[61, 1.3419],  # 25-Apr-21</v>
      </c>
      <c r="Q30" t="str">
        <f t="shared" si="9"/>
        <v>[61, 21.4632],  # 25-Apr-21</v>
      </c>
      <c r="R30" t="str">
        <f t="shared" si="9"/>
        <v>[61, 38.4468],  # 25-Apr-21</v>
      </c>
      <c r="S30" t="str">
        <f t="shared" si="9"/>
        <v>[61, 66.6688],  # 25-Apr-21</v>
      </c>
      <c r="T30" t="str">
        <f t="shared" si="9"/>
        <v>[61, 66.6167],  # 25-Apr-21</v>
      </c>
    </row>
    <row r="31" spans="1:20" x14ac:dyDescent="0.25">
      <c r="F31">
        <v>30</v>
      </c>
      <c r="G31" s="39">
        <v>44094</v>
      </c>
      <c r="M31" t="str">
        <f t="shared" si="9"/>
        <v>[65, 0],  # 23-May-21</v>
      </c>
      <c r="N31" t="str">
        <f t="shared" ref="N31:O31" si="13">"["&amp;$K22&amp;", "&amp;N22*100&amp;"]," &amp; "  # "&amp;TEXT($J22,"[$-en-US]d-mmm-yy;@")</f>
        <v>[65, 6.9529],  # 23-May-21</v>
      </c>
      <c r="O31" t="str">
        <f t="shared" si="13"/>
        <v>[65, 6.9529],  # 23-May-21</v>
      </c>
      <c r="P31" t="str">
        <f t="shared" si="9"/>
        <v>[65, 6.9529],  # 23-May-21</v>
      </c>
      <c r="Q31" t="str">
        <f t="shared" si="9"/>
        <v>[65, 36.473],  # 23-May-21</v>
      </c>
      <c r="R31" t="str">
        <f t="shared" si="9"/>
        <v>[65, 55.4664],  # 23-May-21</v>
      </c>
      <c r="S31" t="str">
        <f t="shared" si="9"/>
        <v>[65, 74.6353],  # 23-May-21</v>
      </c>
      <c r="T31" t="str">
        <f t="shared" si="9"/>
        <v>[65, 72.1395],  # 23-May-21</v>
      </c>
    </row>
    <row r="32" spans="1:20" x14ac:dyDescent="0.25">
      <c r="F32">
        <v>31</v>
      </c>
      <c r="G32" s="39">
        <v>44101</v>
      </c>
      <c r="M32" t="str">
        <f t="shared" si="9"/>
        <v>[69, 0],  # 20-Jun-21</v>
      </c>
      <c r="N32" t="str">
        <f t="shared" ref="N32:O32" si="14">"["&amp;$K23&amp;", "&amp;N23*100&amp;"]," &amp; "  # "&amp;TEXT($J23,"[$-en-US]d-mmm-yy;@")</f>
        <v>[69, 21.007],  # 20-Jun-21</v>
      </c>
      <c r="O32" t="str">
        <f t="shared" si="14"/>
        <v>[69, 21.007],  # 20-Jun-21</v>
      </c>
      <c r="P32" t="str">
        <f t="shared" si="9"/>
        <v>[69, 21.007],  # 20-Jun-21</v>
      </c>
      <c r="Q32" t="str">
        <f t="shared" si="9"/>
        <v>[69, 44.3438],  # 20-Jun-21</v>
      </c>
      <c r="R32" t="str">
        <f t="shared" si="9"/>
        <v>[69, 62.3142],  # 20-Jun-21</v>
      </c>
      <c r="S32" t="str">
        <f t="shared" si="9"/>
        <v>[69, 78.4774],  # 20-Jun-21</v>
      </c>
      <c r="T32" t="str">
        <f t="shared" si="9"/>
        <v>[69, 75.0261],  # 20-Jun-21</v>
      </c>
    </row>
    <row r="33" spans="6:7" x14ac:dyDescent="0.25">
      <c r="F33">
        <v>32</v>
      </c>
      <c r="G33" s="39">
        <v>44108</v>
      </c>
    </row>
    <row r="34" spans="6:7" x14ac:dyDescent="0.25">
      <c r="F34">
        <v>33</v>
      </c>
      <c r="G34" s="39">
        <v>44115</v>
      </c>
    </row>
    <row r="35" spans="6:7" x14ac:dyDescent="0.25">
      <c r="F35">
        <v>34</v>
      </c>
      <c r="G35" s="39">
        <v>44122</v>
      </c>
    </row>
    <row r="36" spans="6:7" x14ac:dyDescent="0.25">
      <c r="F36">
        <v>35</v>
      </c>
      <c r="G36" s="39">
        <v>44129</v>
      </c>
    </row>
    <row r="37" spans="6:7" x14ac:dyDescent="0.25">
      <c r="F37">
        <v>36</v>
      </c>
      <c r="G37" s="39">
        <v>44136</v>
      </c>
    </row>
    <row r="38" spans="6:7" x14ac:dyDescent="0.25">
      <c r="F38">
        <v>37</v>
      </c>
      <c r="G38" s="39">
        <v>44143</v>
      </c>
    </row>
    <row r="39" spans="6:7" x14ac:dyDescent="0.25">
      <c r="F39">
        <v>38</v>
      </c>
      <c r="G39" s="39">
        <v>44150</v>
      </c>
    </row>
    <row r="40" spans="6:7" x14ac:dyDescent="0.25">
      <c r="F40">
        <v>39</v>
      </c>
      <c r="G40" s="39">
        <v>44157</v>
      </c>
    </row>
    <row r="41" spans="6:7" x14ac:dyDescent="0.25">
      <c r="F41">
        <v>40</v>
      </c>
      <c r="G41" s="39">
        <v>44164</v>
      </c>
    </row>
    <row r="42" spans="6:7" x14ac:dyDescent="0.25">
      <c r="F42">
        <v>41</v>
      </c>
      <c r="G42" s="39">
        <v>44171</v>
      </c>
    </row>
    <row r="43" spans="6:7" x14ac:dyDescent="0.25">
      <c r="F43">
        <v>42</v>
      </c>
      <c r="G43" s="39">
        <v>44178</v>
      </c>
    </row>
    <row r="44" spans="6:7" x14ac:dyDescent="0.25">
      <c r="F44">
        <v>43</v>
      </c>
      <c r="G44" s="39">
        <v>44185</v>
      </c>
    </row>
    <row r="45" spans="6:7" x14ac:dyDescent="0.25">
      <c r="F45">
        <v>44</v>
      </c>
      <c r="G45" s="39">
        <v>44192</v>
      </c>
    </row>
    <row r="46" spans="6:7" x14ac:dyDescent="0.25">
      <c r="F46">
        <v>45</v>
      </c>
      <c r="G46" s="39">
        <v>44199</v>
      </c>
    </row>
    <row r="47" spans="6:7" x14ac:dyDescent="0.25">
      <c r="F47">
        <v>46</v>
      </c>
      <c r="G47" s="39">
        <v>44206</v>
      </c>
    </row>
    <row r="48" spans="6:7" x14ac:dyDescent="0.25">
      <c r="F48">
        <v>47</v>
      </c>
      <c r="G48" s="39">
        <v>44213</v>
      </c>
    </row>
    <row r="49" spans="6:7" x14ac:dyDescent="0.25">
      <c r="F49">
        <v>48</v>
      </c>
      <c r="G49" s="39">
        <v>44220</v>
      </c>
    </row>
    <row r="50" spans="6:7" x14ac:dyDescent="0.25">
      <c r="F50">
        <v>49</v>
      </c>
      <c r="G50" s="39">
        <v>44227</v>
      </c>
    </row>
    <row r="51" spans="6:7" x14ac:dyDescent="0.25">
      <c r="F51">
        <v>50</v>
      </c>
      <c r="G51" s="39">
        <v>44234</v>
      </c>
    </row>
    <row r="52" spans="6:7" x14ac:dyDescent="0.25">
      <c r="F52">
        <v>51</v>
      </c>
      <c r="G52" s="39">
        <v>44241</v>
      </c>
    </row>
    <row r="53" spans="6:7" x14ac:dyDescent="0.25">
      <c r="F53">
        <v>52</v>
      </c>
      <c r="G53" s="39">
        <v>44248</v>
      </c>
    </row>
    <row r="54" spans="6:7" x14ac:dyDescent="0.25">
      <c r="F54">
        <v>53</v>
      </c>
      <c r="G54" s="39">
        <v>44255</v>
      </c>
    </row>
    <row r="55" spans="6:7" x14ac:dyDescent="0.25">
      <c r="F55">
        <v>54</v>
      </c>
      <c r="G55" s="39">
        <v>44262</v>
      </c>
    </row>
    <row r="56" spans="6:7" x14ac:dyDescent="0.25">
      <c r="F56">
        <v>55</v>
      </c>
      <c r="G56" s="39">
        <v>44269</v>
      </c>
    </row>
    <row r="57" spans="6:7" x14ac:dyDescent="0.25">
      <c r="F57">
        <v>56</v>
      </c>
      <c r="G57" s="39">
        <v>44276</v>
      </c>
    </row>
    <row r="58" spans="6:7" x14ac:dyDescent="0.25">
      <c r="F58">
        <v>57</v>
      </c>
      <c r="G58" s="39">
        <v>44283</v>
      </c>
    </row>
    <row r="59" spans="6:7" x14ac:dyDescent="0.25">
      <c r="F59">
        <v>58</v>
      </c>
      <c r="G59" s="39">
        <v>44290</v>
      </c>
    </row>
    <row r="60" spans="6:7" x14ac:dyDescent="0.25">
      <c r="F60">
        <v>59</v>
      </c>
      <c r="G60" s="39">
        <v>44297</v>
      </c>
    </row>
    <row r="61" spans="6:7" x14ac:dyDescent="0.25">
      <c r="F61">
        <v>60</v>
      </c>
      <c r="G61" s="39">
        <v>44304</v>
      </c>
    </row>
    <row r="62" spans="6:7" x14ac:dyDescent="0.25">
      <c r="F62">
        <v>61</v>
      </c>
      <c r="G62" s="39">
        <v>44311</v>
      </c>
    </row>
    <row r="63" spans="6:7" x14ac:dyDescent="0.25">
      <c r="F63">
        <v>62</v>
      </c>
      <c r="G63" s="39">
        <v>44318</v>
      </c>
    </row>
    <row r="64" spans="6:7" x14ac:dyDescent="0.25">
      <c r="F64">
        <v>63</v>
      </c>
      <c r="G64" s="39">
        <v>44325</v>
      </c>
    </row>
    <row r="65" spans="6:7" x14ac:dyDescent="0.25">
      <c r="F65">
        <v>64</v>
      </c>
      <c r="G65" s="39">
        <v>44332</v>
      </c>
    </row>
    <row r="66" spans="6:7" x14ac:dyDescent="0.25">
      <c r="F66">
        <v>65</v>
      </c>
      <c r="G66" s="39">
        <v>44339</v>
      </c>
    </row>
    <row r="67" spans="6:7" x14ac:dyDescent="0.25">
      <c r="F67">
        <v>66</v>
      </c>
      <c r="G67" s="39">
        <v>44346</v>
      </c>
    </row>
    <row r="68" spans="6:7" x14ac:dyDescent="0.25">
      <c r="F68">
        <v>67</v>
      </c>
      <c r="G68" s="39">
        <v>44353</v>
      </c>
    </row>
    <row r="69" spans="6:7" x14ac:dyDescent="0.25">
      <c r="F69">
        <v>68</v>
      </c>
      <c r="G69" s="39">
        <v>44360</v>
      </c>
    </row>
    <row r="70" spans="6:7" x14ac:dyDescent="0.25">
      <c r="F70">
        <v>69</v>
      </c>
      <c r="G70" s="39">
        <v>44367</v>
      </c>
    </row>
    <row r="71" spans="6:7" x14ac:dyDescent="0.25">
      <c r="F71">
        <v>70</v>
      </c>
      <c r="G71" s="39">
        <v>44374</v>
      </c>
    </row>
    <row r="72" spans="6:7" x14ac:dyDescent="0.25">
      <c r="F72">
        <v>71</v>
      </c>
      <c r="G72" s="39">
        <v>44381</v>
      </c>
    </row>
    <row r="73" spans="6:7" x14ac:dyDescent="0.25">
      <c r="F73">
        <v>72</v>
      </c>
      <c r="G73" s="39">
        <v>44388</v>
      </c>
    </row>
    <row r="74" spans="6:7" x14ac:dyDescent="0.25">
      <c r="F74">
        <v>73</v>
      </c>
      <c r="G74" s="39">
        <v>44395</v>
      </c>
    </row>
    <row r="75" spans="6:7" x14ac:dyDescent="0.25">
      <c r="F75">
        <v>74</v>
      </c>
      <c r="G75" s="39">
        <v>44402</v>
      </c>
    </row>
    <row r="76" spans="6:7" x14ac:dyDescent="0.25">
      <c r="F76">
        <v>75</v>
      </c>
      <c r="G76" s="39">
        <v>44409</v>
      </c>
    </row>
    <row r="77" spans="6:7" x14ac:dyDescent="0.25">
      <c r="F77">
        <v>76</v>
      </c>
      <c r="G77" s="39">
        <v>44416</v>
      </c>
    </row>
    <row r="78" spans="6:7" x14ac:dyDescent="0.25">
      <c r="F78">
        <v>77</v>
      </c>
      <c r="G78" s="39">
        <v>44423</v>
      </c>
    </row>
    <row r="79" spans="6:7" x14ac:dyDescent="0.25">
      <c r="F79">
        <v>78</v>
      </c>
      <c r="G79" s="39">
        <v>44430</v>
      </c>
    </row>
    <row r="80" spans="6:7" x14ac:dyDescent="0.25">
      <c r="F80">
        <v>79</v>
      </c>
      <c r="G80" s="39">
        <v>44437</v>
      </c>
    </row>
    <row r="81" spans="6:7" x14ac:dyDescent="0.25">
      <c r="F81">
        <v>80</v>
      </c>
      <c r="G81" s="39">
        <v>44444</v>
      </c>
    </row>
    <row r="82" spans="6:7" x14ac:dyDescent="0.25">
      <c r="F82">
        <v>81</v>
      </c>
      <c r="G82" s="39">
        <v>44451</v>
      </c>
    </row>
    <row r="83" spans="6:7" x14ac:dyDescent="0.25">
      <c r="F83">
        <v>82</v>
      </c>
      <c r="G83" s="39">
        <v>44458</v>
      </c>
    </row>
    <row r="84" spans="6:7" x14ac:dyDescent="0.25">
      <c r="F84">
        <v>83</v>
      </c>
      <c r="G84" s="39">
        <v>44465</v>
      </c>
    </row>
    <row r="85" spans="6:7" x14ac:dyDescent="0.25">
      <c r="F85">
        <v>84</v>
      </c>
      <c r="G85" s="39">
        <v>44472</v>
      </c>
    </row>
    <row r="86" spans="6:7" x14ac:dyDescent="0.25">
      <c r="F86">
        <v>85</v>
      </c>
      <c r="G86" s="39">
        <v>44479</v>
      </c>
    </row>
    <row r="87" spans="6:7" x14ac:dyDescent="0.25">
      <c r="F87">
        <v>86</v>
      </c>
      <c r="G87" s="39">
        <v>44486</v>
      </c>
    </row>
    <row r="88" spans="6:7" x14ac:dyDescent="0.25">
      <c r="F88">
        <v>87</v>
      </c>
      <c r="G88" s="39">
        <v>44493</v>
      </c>
    </row>
    <row r="89" spans="6:7" x14ac:dyDescent="0.25">
      <c r="F89">
        <v>88</v>
      </c>
      <c r="G89" s="39">
        <v>44500</v>
      </c>
    </row>
    <row r="90" spans="6:7" x14ac:dyDescent="0.25">
      <c r="F90">
        <v>89</v>
      </c>
      <c r="G90" s="39">
        <v>44507</v>
      </c>
    </row>
    <row r="91" spans="6:7" x14ac:dyDescent="0.25">
      <c r="F91">
        <v>90</v>
      </c>
      <c r="G91" s="39">
        <v>44514</v>
      </c>
    </row>
    <row r="92" spans="6:7" x14ac:dyDescent="0.25">
      <c r="F92">
        <v>91</v>
      </c>
      <c r="G92" s="39">
        <v>44521</v>
      </c>
    </row>
    <row r="93" spans="6:7" x14ac:dyDescent="0.25">
      <c r="F93">
        <v>92</v>
      </c>
      <c r="G93" s="39">
        <v>44528</v>
      </c>
    </row>
    <row r="94" spans="6:7" x14ac:dyDescent="0.25">
      <c r="F94">
        <v>93</v>
      </c>
      <c r="G94" s="39">
        <v>44535</v>
      </c>
    </row>
    <row r="95" spans="6:7" x14ac:dyDescent="0.25">
      <c r="F95">
        <v>94</v>
      </c>
      <c r="G95" s="39">
        <v>44542</v>
      </c>
    </row>
    <row r="96" spans="6:7" x14ac:dyDescent="0.25">
      <c r="F96">
        <v>95</v>
      </c>
      <c r="G96" s="39">
        <v>44549</v>
      </c>
    </row>
    <row r="97" spans="6:7" x14ac:dyDescent="0.25">
      <c r="F97">
        <v>96</v>
      </c>
      <c r="G97" s="39">
        <v>44556</v>
      </c>
    </row>
    <row r="98" spans="6:7" x14ac:dyDescent="0.25">
      <c r="F98">
        <v>97</v>
      </c>
      <c r="G98" s="39">
        <v>44563</v>
      </c>
    </row>
    <row r="99" spans="6:7" x14ac:dyDescent="0.25">
      <c r="F99">
        <v>98</v>
      </c>
      <c r="G99" s="39">
        <v>44570</v>
      </c>
    </row>
    <row r="100" spans="6:7" x14ac:dyDescent="0.25">
      <c r="F100">
        <v>99</v>
      </c>
      <c r="G100" s="39">
        <v>44577</v>
      </c>
    </row>
    <row r="101" spans="6:7" x14ac:dyDescent="0.25">
      <c r="F101">
        <v>100</v>
      </c>
      <c r="G101" s="39">
        <v>44584</v>
      </c>
    </row>
    <row r="102" spans="6:7" x14ac:dyDescent="0.25">
      <c r="F102">
        <v>101</v>
      </c>
      <c r="G102" s="39">
        <v>44591</v>
      </c>
    </row>
    <row r="103" spans="6:7" x14ac:dyDescent="0.25">
      <c r="F103">
        <v>102</v>
      </c>
      <c r="G103" s="39">
        <v>44598</v>
      </c>
    </row>
    <row r="104" spans="6:7" x14ac:dyDescent="0.25">
      <c r="F104">
        <v>103</v>
      </c>
      <c r="G104" s="39">
        <v>44605</v>
      </c>
    </row>
    <row r="105" spans="6:7" x14ac:dyDescent="0.25">
      <c r="F105">
        <v>104</v>
      </c>
      <c r="G105" s="39">
        <v>44612</v>
      </c>
    </row>
    <row r="106" spans="6:7" x14ac:dyDescent="0.25">
      <c r="F106">
        <v>105</v>
      </c>
      <c r="G106" s="39">
        <v>44619</v>
      </c>
    </row>
    <row r="107" spans="6:7" x14ac:dyDescent="0.25">
      <c r="F107">
        <v>106</v>
      </c>
      <c r="G107" s="39">
        <v>44626</v>
      </c>
    </row>
    <row r="108" spans="6:7" x14ac:dyDescent="0.25">
      <c r="F108">
        <v>107</v>
      </c>
      <c r="G108" s="39">
        <v>44633</v>
      </c>
    </row>
    <row r="109" spans="6:7" x14ac:dyDescent="0.25">
      <c r="F109">
        <v>108</v>
      </c>
      <c r="G109" s="39">
        <v>44640</v>
      </c>
    </row>
    <row r="110" spans="6:7" x14ac:dyDescent="0.25">
      <c r="F110">
        <v>109</v>
      </c>
      <c r="G110" s="39">
        <v>44647</v>
      </c>
    </row>
    <row r="111" spans="6:7" x14ac:dyDescent="0.25">
      <c r="F111">
        <v>110</v>
      </c>
      <c r="G111" s="39">
        <v>44654</v>
      </c>
    </row>
    <row r="112" spans="6:7" x14ac:dyDescent="0.25">
      <c r="F112">
        <v>111</v>
      </c>
      <c r="G112" s="39">
        <v>44661</v>
      </c>
    </row>
    <row r="113" spans="6:7" x14ac:dyDescent="0.25">
      <c r="F113">
        <v>112</v>
      </c>
      <c r="G113" s="39">
        <v>44668</v>
      </c>
    </row>
    <row r="114" spans="6:7" x14ac:dyDescent="0.25">
      <c r="F114">
        <v>113</v>
      </c>
      <c r="G114" s="39">
        <v>44675</v>
      </c>
    </row>
    <row r="115" spans="6:7" x14ac:dyDescent="0.25">
      <c r="F115">
        <v>114</v>
      </c>
      <c r="G115" s="39">
        <v>44682</v>
      </c>
    </row>
    <row r="116" spans="6:7" x14ac:dyDescent="0.25">
      <c r="F116">
        <v>115</v>
      </c>
      <c r="G116" s="39">
        <v>44689</v>
      </c>
    </row>
    <row r="117" spans="6:7" x14ac:dyDescent="0.25">
      <c r="F117">
        <v>116</v>
      </c>
      <c r="G117" s="39">
        <v>44696</v>
      </c>
    </row>
    <row r="118" spans="6:7" x14ac:dyDescent="0.25">
      <c r="F118">
        <v>117</v>
      </c>
      <c r="G118" s="39">
        <v>44703</v>
      </c>
    </row>
    <row r="119" spans="6:7" x14ac:dyDescent="0.25">
      <c r="F119">
        <v>118</v>
      </c>
      <c r="G119" s="39">
        <v>44710</v>
      </c>
    </row>
    <row r="120" spans="6:7" x14ac:dyDescent="0.25">
      <c r="F120">
        <v>119</v>
      </c>
      <c r="G120" s="39">
        <v>44717</v>
      </c>
    </row>
    <row r="121" spans="6:7" x14ac:dyDescent="0.25">
      <c r="F121">
        <v>120</v>
      </c>
      <c r="G121" s="39">
        <v>44724</v>
      </c>
    </row>
    <row r="122" spans="6:7" x14ac:dyDescent="0.25">
      <c r="F122">
        <v>121</v>
      </c>
      <c r="G122" s="39">
        <v>44731</v>
      </c>
    </row>
    <row r="123" spans="6:7" x14ac:dyDescent="0.25">
      <c r="F123">
        <v>122</v>
      </c>
      <c r="G123" s="39">
        <v>44738</v>
      </c>
    </row>
    <row r="124" spans="6:7" x14ac:dyDescent="0.25">
      <c r="F124">
        <v>123</v>
      </c>
      <c r="G124" s="39">
        <v>44745</v>
      </c>
    </row>
    <row r="125" spans="6:7" x14ac:dyDescent="0.25">
      <c r="F125">
        <v>124</v>
      </c>
      <c r="G125" s="39">
        <v>44752</v>
      </c>
    </row>
    <row r="126" spans="6:7" x14ac:dyDescent="0.25">
      <c r="F126">
        <v>125</v>
      </c>
      <c r="G126" s="39">
        <v>44759</v>
      </c>
    </row>
    <row r="127" spans="6:7" x14ac:dyDescent="0.25">
      <c r="F127">
        <v>126</v>
      </c>
      <c r="G127" s="39">
        <v>44766</v>
      </c>
    </row>
    <row r="128" spans="6:7" x14ac:dyDescent="0.25">
      <c r="F128">
        <v>127</v>
      </c>
      <c r="G128" s="39">
        <v>44773</v>
      </c>
    </row>
    <row r="129" spans="7:7" x14ac:dyDescent="0.25">
      <c r="G129" s="1"/>
    </row>
    <row r="130" spans="7:7" x14ac:dyDescent="0.25">
      <c r="G130" s="1"/>
    </row>
    <row r="131" spans="7:7" x14ac:dyDescent="0.25">
      <c r="G131" s="1"/>
    </row>
    <row r="132" spans="7:7" x14ac:dyDescent="0.25">
      <c r="G132" s="1"/>
    </row>
    <row r="133" spans="7:7" x14ac:dyDescent="0.25">
      <c r="G133" s="1"/>
    </row>
    <row r="134" spans="7:7" x14ac:dyDescent="0.25">
      <c r="G134" s="1"/>
    </row>
    <row r="135" spans="7:7" x14ac:dyDescent="0.25">
      <c r="G135" s="1"/>
    </row>
    <row r="136" spans="7:7" x14ac:dyDescent="0.25">
      <c r="G136" s="1"/>
    </row>
    <row r="137" spans="7:7" x14ac:dyDescent="0.25">
      <c r="G137" s="1"/>
    </row>
    <row r="138" spans="7:7" x14ac:dyDescent="0.25">
      <c r="G138" s="1"/>
    </row>
    <row r="139" spans="7:7" x14ac:dyDescent="0.25">
      <c r="G139" s="1"/>
    </row>
    <row r="140" spans="7:7" x14ac:dyDescent="0.25">
      <c r="G140" s="1"/>
    </row>
    <row r="141" spans="7:7" x14ac:dyDescent="0.25">
      <c r="G141" s="1"/>
    </row>
    <row r="142" spans="7:7" x14ac:dyDescent="0.25">
      <c r="G142" s="1"/>
    </row>
    <row r="143" spans="7:7" x14ac:dyDescent="0.25">
      <c r="G143" s="1"/>
    </row>
    <row r="144" spans="7:7" x14ac:dyDescent="0.25">
      <c r="G144" s="1"/>
    </row>
    <row r="145" spans="7:7" x14ac:dyDescent="0.25">
      <c r="G145" s="1"/>
    </row>
    <row r="146" spans="7:7" x14ac:dyDescent="0.25">
      <c r="G146" s="1"/>
    </row>
    <row r="147" spans="7:7" x14ac:dyDescent="0.25">
      <c r="G147" s="1"/>
    </row>
    <row r="148" spans="7:7" x14ac:dyDescent="0.25">
      <c r="G148" s="1"/>
    </row>
    <row r="149" spans="7:7" x14ac:dyDescent="0.25">
      <c r="G149" s="1"/>
    </row>
    <row r="150" spans="7:7" x14ac:dyDescent="0.25">
      <c r="G150" s="1"/>
    </row>
    <row r="151" spans="7:7" x14ac:dyDescent="0.25">
      <c r="G151" s="1"/>
    </row>
    <row r="152" spans="7:7" x14ac:dyDescent="0.25">
      <c r="G152" s="1"/>
    </row>
    <row r="153" spans="7:7" x14ac:dyDescent="0.25">
      <c r="G153" s="1"/>
    </row>
    <row r="154" spans="7:7" x14ac:dyDescent="0.25">
      <c r="G154" s="1"/>
    </row>
    <row r="155" spans="7:7" x14ac:dyDescent="0.25">
      <c r="G155" s="1"/>
    </row>
    <row r="156" spans="7:7" x14ac:dyDescent="0.25">
      <c r="G156" s="1"/>
    </row>
    <row r="157" spans="7:7" x14ac:dyDescent="0.25">
      <c r="G157" s="1"/>
    </row>
    <row r="158" spans="7:7" x14ac:dyDescent="0.25">
      <c r="G158" s="1"/>
    </row>
    <row r="159" spans="7:7" x14ac:dyDescent="0.25">
      <c r="G159" s="1"/>
    </row>
    <row r="160" spans="7:7" x14ac:dyDescent="0.25">
      <c r="G160" s="1"/>
    </row>
    <row r="161" spans="7:7" x14ac:dyDescent="0.25">
      <c r="G161" s="1"/>
    </row>
    <row r="162" spans="7:7" x14ac:dyDescent="0.25">
      <c r="G162" s="1"/>
    </row>
    <row r="163" spans="7:7" x14ac:dyDescent="0.25">
      <c r="G163" s="1"/>
    </row>
    <row r="164" spans="7:7" x14ac:dyDescent="0.25">
      <c r="G164" s="1"/>
    </row>
    <row r="165" spans="7:7" x14ac:dyDescent="0.25">
      <c r="G165" s="1"/>
    </row>
    <row r="166" spans="7:7" x14ac:dyDescent="0.25">
      <c r="G166" s="1"/>
    </row>
    <row r="167" spans="7:7" x14ac:dyDescent="0.25">
      <c r="G167" s="1"/>
    </row>
    <row r="168" spans="7:7" x14ac:dyDescent="0.25">
      <c r="G168" s="1"/>
    </row>
    <row r="169" spans="7:7" x14ac:dyDescent="0.25">
      <c r="G169" s="1"/>
    </row>
    <row r="170" spans="7:7" x14ac:dyDescent="0.25">
      <c r="G170" s="1"/>
    </row>
    <row r="171" spans="7:7" x14ac:dyDescent="0.25">
      <c r="G171" s="1"/>
    </row>
    <row r="172" spans="7:7" x14ac:dyDescent="0.25">
      <c r="G172" s="1"/>
    </row>
    <row r="173" spans="7:7" x14ac:dyDescent="0.25">
      <c r="G173" s="1"/>
    </row>
    <row r="174" spans="7:7" x14ac:dyDescent="0.25">
      <c r="G174" s="1"/>
    </row>
    <row r="175" spans="7:7" x14ac:dyDescent="0.25">
      <c r="G175" s="1"/>
    </row>
    <row r="176" spans="7:7" x14ac:dyDescent="0.25">
      <c r="G176" s="1"/>
    </row>
    <row r="177" spans="7:7" x14ac:dyDescent="0.25">
      <c r="G177" s="1"/>
    </row>
    <row r="178" spans="7:7" x14ac:dyDescent="0.25">
      <c r="G178" s="1"/>
    </row>
    <row r="179" spans="7:7" x14ac:dyDescent="0.25">
      <c r="G179" s="1"/>
    </row>
    <row r="180" spans="7:7" x14ac:dyDescent="0.25">
      <c r="G180" s="1"/>
    </row>
    <row r="181" spans="7:7" x14ac:dyDescent="0.25">
      <c r="G181" s="1"/>
    </row>
    <row r="182" spans="7:7" x14ac:dyDescent="0.25">
      <c r="G182" s="1"/>
    </row>
    <row r="183" spans="7:7" x14ac:dyDescent="0.25">
      <c r="G183" s="1"/>
    </row>
    <row r="184" spans="7:7" x14ac:dyDescent="0.25">
      <c r="G184" s="1"/>
    </row>
    <row r="185" spans="7:7" x14ac:dyDescent="0.25">
      <c r="G185" s="1"/>
    </row>
    <row r="186" spans="7:7" x14ac:dyDescent="0.25">
      <c r="G186" s="1"/>
    </row>
    <row r="187" spans="7:7" x14ac:dyDescent="0.25">
      <c r="G187" s="1"/>
    </row>
    <row r="188" spans="7:7" x14ac:dyDescent="0.25">
      <c r="G188" s="1"/>
    </row>
    <row r="189" spans="7:7" x14ac:dyDescent="0.25">
      <c r="G189" s="1"/>
    </row>
    <row r="190" spans="7:7" x14ac:dyDescent="0.25">
      <c r="G190" s="1"/>
    </row>
    <row r="191" spans="7:7" x14ac:dyDescent="0.25">
      <c r="G191" s="1"/>
    </row>
    <row r="192" spans="7:7" x14ac:dyDescent="0.25">
      <c r="G192" s="1"/>
    </row>
    <row r="193" spans="7:7" x14ac:dyDescent="0.25">
      <c r="G193" s="1"/>
    </row>
    <row r="194" spans="7:7" x14ac:dyDescent="0.25">
      <c r="G194" s="1"/>
    </row>
    <row r="195" spans="7:7" x14ac:dyDescent="0.25">
      <c r="G195" s="1"/>
    </row>
    <row r="196" spans="7:7" x14ac:dyDescent="0.25">
      <c r="G196" s="1"/>
    </row>
    <row r="197" spans="7:7" x14ac:dyDescent="0.25">
      <c r="G197" s="1"/>
    </row>
    <row r="198" spans="7:7" x14ac:dyDescent="0.25">
      <c r="G198" s="1"/>
    </row>
    <row r="199" spans="7:7" x14ac:dyDescent="0.25">
      <c r="G199" s="1"/>
    </row>
    <row r="200" spans="7:7" x14ac:dyDescent="0.25">
      <c r="G200" s="1"/>
    </row>
    <row r="201" spans="7:7" x14ac:dyDescent="0.25">
      <c r="G201" s="1"/>
    </row>
    <row r="202" spans="7:7" x14ac:dyDescent="0.25">
      <c r="G202" s="1"/>
    </row>
    <row r="203" spans="7:7" x14ac:dyDescent="0.25">
      <c r="G203" s="1"/>
    </row>
    <row r="204" spans="7:7" x14ac:dyDescent="0.25">
      <c r="G204" s="1"/>
    </row>
    <row r="205" spans="7:7" x14ac:dyDescent="0.25">
      <c r="G205" s="1"/>
    </row>
    <row r="206" spans="7:7" x14ac:dyDescent="0.25">
      <c r="G206" s="1"/>
    </row>
    <row r="207" spans="7:7" x14ac:dyDescent="0.25">
      <c r="G207" s="1"/>
    </row>
    <row r="208" spans="7:7" x14ac:dyDescent="0.25">
      <c r="G208" s="1"/>
    </row>
    <row r="209" spans="7:7" x14ac:dyDescent="0.25">
      <c r="G209" s="1"/>
    </row>
    <row r="210" spans="7:7" x14ac:dyDescent="0.25">
      <c r="G210" s="1"/>
    </row>
    <row r="211" spans="7:7" x14ac:dyDescent="0.25">
      <c r="G211" s="1"/>
    </row>
    <row r="212" spans="7:7" x14ac:dyDescent="0.25">
      <c r="G212" s="1"/>
    </row>
    <row r="213" spans="7:7" x14ac:dyDescent="0.25">
      <c r="G213" s="1"/>
    </row>
    <row r="214" spans="7:7" x14ac:dyDescent="0.25">
      <c r="G214" s="1"/>
    </row>
    <row r="215" spans="7:7" x14ac:dyDescent="0.25">
      <c r="G215" s="1"/>
    </row>
    <row r="216" spans="7:7" x14ac:dyDescent="0.25">
      <c r="G216" s="1"/>
    </row>
    <row r="217" spans="7:7" x14ac:dyDescent="0.25">
      <c r="G217" s="1"/>
    </row>
    <row r="218" spans="7:7" x14ac:dyDescent="0.25">
      <c r="G218" s="1"/>
    </row>
    <row r="219" spans="7:7" x14ac:dyDescent="0.25">
      <c r="G219" s="1"/>
    </row>
    <row r="220" spans="7:7" x14ac:dyDescent="0.25">
      <c r="G220" s="1"/>
    </row>
    <row r="221" spans="7:7" x14ac:dyDescent="0.25">
      <c r="G221" s="1"/>
    </row>
    <row r="222" spans="7:7" x14ac:dyDescent="0.25">
      <c r="G222" s="1"/>
    </row>
    <row r="223" spans="7:7" x14ac:dyDescent="0.25">
      <c r="G223" s="1"/>
    </row>
    <row r="224" spans="7:7" x14ac:dyDescent="0.25">
      <c r="G224" s="1"/>
    </row>
    <row r="225" spans="7:7" x14ac:dyDescent="0.25">
      <c r="G225" s="1"/>
    </row>
    <row r="226" spans="7:7" x14ac:dyDescent="0.25">
      <c r="G226" s="1"/>
    </row>
    <row r="227" spans="7:7" x14ac:dyDescent="0.25">
      <c r="G227" s="1"/>
    </row>
    <row r="228" spans="7:7" x14ac:dyDescent="0.25">
      <c r="G228" s="1"/>
    </row>
    <row r="229" spans="7:7" x14ac:dyDescent="0.25">
      <c r="G229" s="1"/>
    </row>
    <row r="230" spans="7:7" x14ac:dyDescent="0.25">
      <c r="G230" s="1"/>
    </row>
    <row r="231" spans="7:7" x14ac:dyDescent="0.25">
      <c r="G231" s="1"/>
    </row>
    <row r="232" spans="7:7" x14ac:dyDescent="0.25">
      <c r="G232" s="1"/>
    </row>
    <row r="233" spans="7:7" x14ac:dyDescent="0.25">
      <c r="G233" s="1"/>
    </row>
    <row r="234" spans="7:7" x14ac:dyDescent="0.25">
      <c r="G234" s="1"/>
    </row>
    <row r="235" spans="7:7" x14ac:dyDescent="0.25">
      <c r="G235" s="1"/>
    </row>
    <row r="236" spans="7:7" x14ac:dyDescent="0.25">
      <c r="G236" s="1"/>
    </row>
    <row r="237" spans="7:7" x14ac:dyDescent="0.25">
      <c r="G237" s="1"/>
    </row>
    <row r="238" spans="7:7" x14ac:dyDescent="0.25">
      <c r="G238" s="1"/>
    </row>
    <row r="239" spans="7:7" x14ac:dyDescent="0.25">
      <c r="G239" s="1"/>
    </row>
    <row r="240" spans="7:7" x14ac:dyDescent="0.25">
      <c r="G240" s="1"/>
    </row>
    <row r="241" spans="7:7" x14ac:dyDescent="0.25">
      <c r="G241" s="1"/>
    </row>
    <row r="242" spans="7:7" x14ac:dyDescent="0.25">
      <c r="G242" s="1"/>
    </row>
    <row r="243" spans="7:7" x14ac:dyDescent="0.25">
      <c r="G243" s="1"/>
    </row>
    <row r="244" spans="7:7" x14ac:dyDescent="0.25">
      <c r="G244" s="1"/>
    </row>
    <row r="245" spans="7:7" x14ac:dyDescent="0.25">
      <c r="G245" s="1"/>
    </row>
    <row r="246" spans="7:7" x14ac:dyDescent="0.25">
      <c r="G246" s="1"/>
    </row>
    <row r="247" spans="7:7" x14ac:dyDescent="0.25">
      <c r="G247" s="1"/>
    </row>
    <row r="248" spans="7:7" x14ac:dyDescent="0.25">
      <c r="G248" s="1"/>
    </row>
    <row r="249" spans="7:7" x14ac:dyDescent="0.25">
      <c r="G249" s="1"/>
    </row>
    <row r="250" spans="7:7" x14ac:dyDescent="0.25">
      <c r="G250" s="1"/>
    </row>
    <row r="251" spans="7:7" x14ac:dyDescent="0.25">
      <c r="G251" s="1"/>
    </row>
    <row r="252" spans="7:7" x14ac:dyDescent="0.25">
      <c r="G252" s="1"/>
    </row>
    <row r="253" spans="7:7" x14ac:dyDescent="0.25">
      <c r="G253" s="1"/>
    </row>
    <row r="254" spans="7:7" x14ac:dyDescent="0.25">
      <c r="G254" s="1"/>
    </row>
    <row r="255" spans="7:7" x14ac:dyDescent="0.25">
      <c r="G255" s="1"/>
    </row>
    <row r="256" spans="7:7" x14ac:dyDescent="0.25">
      <c r="G256" s="1"/>
    </row>
    <row r="257" spans="7:7" x14ac:dyDescent="0.25">
      <c r="G257" s="1"/>
    </row>
    <row r="258" spans="7:7" x14ac:dyDescent="0.25">
      <c r="G258" s="1"/>
    </row>
    <row r="259" spans="7:7" x14ac:dyDescent="0.25">
      <c r="G259" s="1"/>
    </row>
    <row r="260" spans="7:7" x14ac:dyDescent="0.25">
      <c r="G260" s="1"/>
    </row>
    <row r="261" spans="7:7" x14ac:dyDescent="0.25">
      <c r="G261" s="1"/>
    </row>
    <row r="262" spans="7:7" x14ac:dyDescent="0.25">
      <c r="G262" s="1"/>
    </row>
    <row r="263" spans="7:7" x14ac:dyDescent="0.25">
      <c r="G263" s="1"/>
    </row>
    <row r="264" spans="7:7" x14ac:dyDescent="0.25">
      <c r="G264" s="1"/>
    </row>
    <row r="265" spans="7:7" x14ac:dyDescent="0.25">
      <c r="G265" s="1"/>
    </row>
    <row r="266" spans="7:7" x14ac:dyDescent="0.25">
      <c r="G266" s="1"/>
    </row>
    <row r="267" spans="7:7" x14ac:dyDescent="0.25">
      <c r="G267" s="1"/>
    </row>
    <row r="268" spans="7:7" x14ac:dyDescent="0.25">
      <c r="G268" s="1"/>
    </row>
    <row r="269" spans="7:7" x14ac:dyDescent="0.25">
      <c r="G269" s="1"/>
    </row>
    <row r="270" spans="7:7" x14ac:dyDescent="0.25">
      <c r="G270" s="1"/>
    </row>
    <row r="271" spans="7:7" x14ac:dyDescent="0.25">
      <c r="G271" s="1"/>
    </row>
    <row r="272" spans="7:7" x14ac:dyDescent="0.25">
      <c r="G272" s="1"/>
    </row>
    <row r="273" spans="7:7" x14ac:dyDescent="0.25">
      <c r="G273" s="1"/>
    </row>
    <row r="274" spans="7:7" x14ac:dyDescent="0.25">
      <c r="G274" s="1"/>
    </row>
    <row r="275" spans="7:7" x14ac:dyDescent="0.25">
      <c r="G275" s="1"/>
    </row>
    <row r="276" spans="7:7" x14ac:dyDescent="0.25">
      <c r="G276" s="1"/>
    </row>
    <row r="277" spans="7:7" x14ac:dyDescent="0.25">
      <c r="G277" s="1"/>
    </row>
    <row r="278" spans="7:7" x14ac:dyDescent="0.25">
      <c r="G278" s="1"/>
    </row>
    <row r="279" spans="7:7" x14ac:dyDescent="0.25">
      <c r="G279" s="1"/>
    </row>
    <row r="280" spans="7:7" x14ac:dyDescent="0.25">
      <c r="G280" s="1"/>
    </row>
  </sheetData>
  <mergeCells count="1">
    <mergeCell ref="I2:O2"/>
  </mergeCells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6E742-2617-4059-8698-147249F6A70B}">
  <dimension ref="A1:W38"/>
  <sheetViews>
    <sheetView topLeftCell="D1" workbookViewId="0">
      <selection activeCell="W31" sqref="W31:W38"/>
    </sheetView>
  </sheetViews>
  <sheetFormatPr defaultRowHeight="15" x14ac:dyDescent="0.25"/>
  <sheetData>
    <row r="1" spans="1:22" x14ac:dyDescent="0.25">
      <c r="B1" s="48">
        <f t="array" ref="B1:Q1">TRANSPOSE(A2:A17)</f>
        <v>0</v>
      </c>
      <c r="C1" s="48">
        <v>5</v>
      </c>
      <c r="D1" s="48">
        <v>10</v>
      </c>
      <c r="E1" s="48">
        <v>15</v>
      </c>
      <c r="F1" s="48">
        <v>20</v>
      </c>
      <c r="G1" s="48">
        <v>25</v>
      </c>
      <c r="H1" s="48">
        <v>30</v>
      </c>
      <c r="I1" s="48">
        <v>35</v>
      </c>
      <c r="J1" s="48">
        <v>40</v>
      </c>
      <c r="K1" s="48">
        <v>45</v>
      </c>
      <c r="L1" s="48">
        <v>50</v>
      </c>
      <c r="M1" s="48">
        <v>55</v>
      </c>
      <c r="N1" s="48">
        <v>60</v>
      </c>
      <c r="O1" s="48">
        <v>65</v>
      </c>
      <c r="P1" s="48">
        <v>70</v>
      </c>
      <c r="Q1" s="48">
        <v>75</v>
      </c>
      <c r="S1" t="s">
        <v>61</v>
      </c>
    </row>
    <row r="2" spans="1:22" x14ac:dyDescent="0.25">
      <c r="A2" s="48">
        <v>0</v>
      </c>
      <c r="B2">
        <v>2.5982374741684553</v>
      </c>
      <c r="C2">
        <v>1.101285645467494</v>
      </c>
      <c r="D2">
        <v>0.49939612299931058</v>
      </c>
      <c r="E2">
        <v>0.31599772370239854</v>
      </c>
      <c r="F2">
        <v>0.41196059412125974</v>
      </c>
      <c r="G2">
        <v>0.71545713408318201</v>
      </c>
      <c r="H2">
        <v>1.0573647276053499</v>
      </c>
      <c r="I2">
        <v>0.98881444683381248</v>
      </c>
      <c r="J2">
        <v>0.49748836496232701</v>
      </c>
      <c r="K2">
        <v>0.32239062293932269</v>
      </c>
      <c r="L2">
        <v>0.33697768641556303</v>
      </c>
      <c r="M2">
        <v>0.26598011913372704</v>
      </c>
      <c r="N2">
        <v>0.17359888521258601</v>
      </c>
      <c r="O2">
        <v>0.13595719697754646</v>
      </c>
      <c r="P2">
        <v>7.3886411711680602E-2</v>
      </c>
      <c r="Q2">
        <v>3.8852605705164758E-2</v>
      </c>
      <c r="S2">
        <f>SUM(B2:Q2)</f>
        <v>9.5336457620391784</v>
      </c>
      <c r="V2" t="s">
        <v>27</v>
      </c>
    </row>
    <row r="3" spans="1:22" x14ac:dyDescent="0.25">
      <c r="A3" s="48">
        <v>5</v>
      </c>
      <c r="B3">
        <v>0.98968591713678045</v>
      </c>
      <c r="C3">
        <v>5.3863717715846908</v>
      </c>
      <c r="D3">
        <v>1.224100873008408</v>
      </c>
      <c r="E3">
        <v>0.34704385481604405</v>
      </c>
      <c r="F3">
        <v>0.193902008335224</v>
      </c>
      <c r="G3">
        <v>0.50927480739450115</v>
      </c>
      <c r="H3">
        <v>0.89274374731692641</v>
      </c>
      <c r="I3">
        <v>1.0689421984336933</v>
      </c>
      <c r="J3">
        <v>0.84619731786005503</v>
      </c>
      <c r="K3">
        <v>0.3477790084065524</v>
      </c>
      <c r="L3">
        <v>0.24165247808763327</v>
      </c>
      <c r="M3">
        <v>0.19751081659124042</v>
      </c>
      <c r="N3">
        <v>0.1705058952567535</v>
      </c>
      <c r="O3">
        <v>0.12127970412684899</v>
      </c>
      <c r="P3">
        <v>5.1215016648265416E-2</v>
      </c>
      <c r="Q3">
        <v>3.9004324877162114E-2</v>
      </c>
      <c r="S3">
        <f>SUM(B3:Q3)</f>
        <v>12.627209739880778</v>
      </c>
      <c r="V3" s="58" t="s">
        <v>56</v>
      </c>
    </row>
    <row r="4" spans="1:22" x14ac:dyDescent="0.25">
      <c r="A4" s="48">
        <v>10</v>
      </c>
      <c r="B4">
        <v>0.30484184027079697</v>
      </c>
      <c r="C4">
        <v>1.8889343028701668</v>
      </c>
      <c r="D4">
        <v>8.2845235554310328</v>
      </c>
      <c r="E4">
        <v>0.97348079926534992</v>
      </c>
      <c r="F4">
        <v>0.34735590702864277</v>
      </c>
      <c r="G4">
        <v>0.30111088278273257</v>
      </c>
      <c r="H4">
        <v>0.53783126647792212</v>
      </c>
      <c r="I4">
        <v>0.86983579288730406</v>
      </c>
      <c r="J4">
        <v>1.0479140787686365</v>
      </c>
      <c r="K4">
        <v>0.56486553729450173</v>
      </c>
      <c r="L4">
        <v>0.31945779582206857</v>
      </c>
      <c r="M4">
        <v>0.16629003724286986</v>
      </c>
      <c r="N4">
        <v>0.10455231864874745</v>
      </c>
      <c r="O4">
        <v>9.8895413915812386E-2</v>
      </c>
      <c r="P4">
        <v>6.3185971103642186E-2</v>
      </c>
      <c r="Q4">
        <v>5.2481414246589399E-2</v>
      </c>
      <c r="S4">
        <f>SUM(B4:Q4)</f>
        <v>15.925556914056818</v>
      </c>
      <c r="V4" s="15" t="s">
        <v>57</v>
      </c>
    </row>
    <row r="5" spans="1:22" x14ac:dyDescent="0.25">
      <c r="A5" s="48">
        <v>15</v>
      </c>
      <c r="B5">
        <v>0.17368370800722893</v>
      </c>
      <c r="C5">
        <v>0.43236876851592021</v>
      </c>
      <c r="D5">
        <v>3.0675595942716147</v>
      </c>
      <c r="E5">
        <v>11.106139022431361</v>
      </c>
      <c r="F5">
        <v>1.5998367432149103</v>
      </c>
      <c r="G5">
        <v>0.78397085372970032</v>
      </c>
      <c r="H5">
        <v>0.63682106729933252</v>
      </c>
      <c r="I5">
        <v>0.8921857799389914</v>
      </c>
      <c r="J5">
        <v>1.1253403033476335</v>
      </c>
      <c r="K5">
        <v>1.0091368809868577</v>
      </c>
      <c r="L5">
        <v>0.53379366607377365</v>
      </c>
      <c r="M5">
        <v>0.23686994518240226</v>
      </c>
      <c r="N5">
        <v>9.5069789717901018E-2</v>
      </c>
      <c r="O5">
        <v>6.7863564586996397E-2</v>
      </c>
      <c r="P5">
        <v>3.3226412934265225E-2</v>
      </c>
      <c r="Q5">
        <v>2.1370742997294131E-2</v>
      </c>
      <c r="S5">
        <f>SUM(B5:Q5)</f>
        <v>21.815236843236189</v>
      </c>
      <c r="V5" s="15" t="s">
        <v>58</v>
      </c>
    </row>
    <row r="6" spans="1:22" x14ac:dyDescent="0.25">
      <c r="A6" s="48">
        <v>20</v>
      </c>
      <c r="B6">
        <v>0.26261874886807546</v>
      </c>
      <c r="C6">
        <v>0.21438955484016919</v>
      </c>
      <c r="D6">
        <v>0.32992929201661503</v>
      </c>
      <c r="E6">
        <v>2.6459959556065624</v>
      </c>
      <c r="F6">
        <v>4.25732083352207</v>
      </c>
      <c r="G6">
        <v>1.7426124163604593</v>
      </c>
      <c r="H6">
        <v>1.1460068192625932</v>
      </c>
      <c r="I6">
        <v>1.0406542247580171</v>
      </c>
      <c r="J6">
        <v>0.91509425203877681</v>
      </c>
      <c r="K6">
        <v>1.0791877568231667</v>
      </c>
      <c r="L6">
        <v>0.73802249730034153</v>
      </c>
      <c r="M6">
        <v>0.41289339391945401</v>
      </c>
      <c r="N6">
        <v>0.12123907531237882</v>
      </c>
      <c r="O6">
        <v>5.2890611952903011E-2</v>
      </c>
      <c r="P6">
        <v>4.9829869351455697E-2</v>
      </c>
      <c r="Q6">
        <v>4.0058660895276335E-2</v>
      </c>
      <c r="S6">
        <f>SUM(B6:Q6)</f>
        <v>15.048743962828315</v>
      </c>
      <c r="V6" t="s">
        <v>59</v>
      </c>
    </row>
    <row r="7" spans="1:22" x14ac:dyDescent="0.25">
      <c r="A7" s="48">
        <v>25</v>
      </c>
      <c r="B7">
        <v>0.5796761613669188</v>
      </c>
      <c r="C7">
        <v>0.34355959581350998</v>
      </c>
      <c r="D7">
        <v>0.20994596004107249</v>
      </c>
      <c r="E7">
        <v>0.88234913532713799</v>
      </c>
      <c r="F7">
        <v>2.0243306051254151</v>
      </c>
      <c r="G7">
        <v>3.4146563950177367</v>
      </c>
      <c r="H7">
        <v>1.7292057466095705</v>
      </c>
      <c r="I7">
        <v>1.3332410354915039</v>
      </c>
      <c r="J7">
        <v>1.1286033883291697</v>
      </c>
      <c r="K7">
        <v>0.95261305233275984</v>
      </c>
      <c r="L7">
        <v>0.90571345080693533</v>
      </c>
      <c r="M7">
        <v>0.49814585508100628</v>
      </c>
      <c r="N7">
        <v>0.16227352386924557</v>
      </c>
      <c r="O7">
        <v>5.5466341210742259E-2</v>
      </c>
      <c r="P7">
        <v>2.6940026141539845E-2</v>
      </c>
      <c r="Q7">
        <v>1.8638502364238002E-2</v>
      </c>
      <c r="S7">
        <f>SUM(B7:Q7)</f>
        <v>14.265358774928503</v>
      </c>
      <c r="V7" t="s">
        <v>28</v>
      </c>
    </row>
    <row r="8" spans="1:22" x14ac:dyDescent="0.25">
      <c r="A8" s="48">
        <v>30</v>
      </c>
      <c r="B8">
        <v>0.68599351056015734</v>
      </c>
      <c r="C8">
        <v>0.92571539803981084</v>
      </c>
      <c r="D8">
        <v>0.70581001490221329</v>
      </c>
      <c r="E8">
        <v>0.51123155226334294</v>
      </c>
      <c r="F8">
        <v>0.99334905454446654</v>
      </c>
      <c r="G8">
        <v>1.6514641132012491</v>
      </c>
      <c r="H8">
        <v>2.7244371507897065</v>
      </c>
      <c r="I8">
        <v>1.6970227009771084</v>
      </c>
      <c r="J8">
        <v>1.3163096951103375</v>
      </c>
      <c r="K8">
        <v>1.0261762557210381</v>
      </c>
      <c r="L8">
        <v>0.79895285748248857</v>
      </c>
      <c r="M8">
        <v>0.54288296432001426</v>
      </c>
      <c r="N8">
        <v>0.21514564709522271</v>
      </c>
      <c r="O8">
        <v>8.8142884430336674E-2</v>
      </c>
      <c r="P8">
        <v>4.0122106120504576E-2</v>
      </c>
      <c r="Q8">
        <v>3.7412749501787933E-2</v>
      </c>
      <c r="S8">
        <f>SUM(B8:Q8)</f>
        <v>13.960168655059787</v>
      </c>
      <c r="V8" t="s">
        <v>30</v>
      </c>
    </row>
    <row r="9" spans="1:22" x14ac:dyDescent="0.25">
      <c r="A9" s="48">
        <v>35</v>
      </c>
      <c r="B9">
        <v>0.67323443351386014</v>
      </c>
      <c r="C9">
        <v>1.0872630071093401</v>
      </c>
      <c r="D9">
        <v>0.90790096194492587</v>
      </c>
      <c r="E9">
        <v>0.76210666230507496</v>
      </c>
      <c r="F9">
        <v>0.71204793152944346</v>
      </c>
      <c r="G9">
        <v>1.2807535082843318</v>
      </c>
      <c r="H9">
        <v>1.5726701438192805</v>
      </c>
      <c r="I9">
        <v>2.7807988620554123</v>
      </c>
      <c r="J9">
        <v>1.8311200945335855</v>
      </c>
      <c r="K9">
        <v>1.1870052804855455</v>
      </c>
      <c r="L9">
        <v>0.86264897198855328</v>
      </c>
      <c r="M9">
        <v>0.46881581500588271</v>
      </c>
      <c r="N9">
        <v>0.25378738063078921</v>
      </c>
      <c r="O9">
        <v>0.14722062671643307</v>
      </c>
      <c r="P9">
        <v>7.4795614847647934E-2</v>
      </c>
      <c r="Q9">
        <v>2.9848571851523984E-2</v>
      </c>
      <c r="S9">
        <f>SUM(B9:Q9)</f>
        <v>14.632017866621629</v>
      </c>
      <c r="V9" t="s">
        <v>31</v>
      </c>
    </row>
    <row r="10" spans="1:22" x14ac:dyDescent="0.25">
      <c r="A10" s="48">
        <v>40</v>
      </c>
      <c r="B10">
        <v>0.34423137757176059</v>
      </c>
      <c r="C10">
        <v>0.74311478566867872</v>
      </c>
      <c r="D10">
        <v>1.012537878334802</v>
      </c>
      <c r="E10">
        <v>1.1725051476796395</v>
      </c>
      <c r="F10">
        <v>0.86790141858917291</v>
      </c>
      <c r="G10">
        <v>1.128281537555873</v>
      </c>
      <c r="H10">
        <v>1.4459969323896429</v>
      </c>
      <c r="I10">
        <v>1.6622981097896445</v>
      </c>
      <c r="J10">
        <v>2.5230691371584291</v>
      </c>
      <c r="K10">
        <v>1.4656056665417023</v>
      </c>
      <c r="L10">
        <v>1.0419253996830022</v>
      </c>
      <c r="M10">
        <v>0.39318350626021425</v>
      </c>
      <c r="N10">
        <v>0.21372728053722026</v>
      </c>
      <c r="O10">
        <v>0.11747991349856385</v>
      </c>
      <c r="P10">
        <v>7.4063089353822928E-2</v>
      </c>
      <c r="Q10">
        <v>3.2295541397963437E-2</v>
      </c>
      <c r="S10">
        <f>SUM(B10:Q10)</f>
        <v>14.238216722010131</v>
      </c>
    </row>
    <row r="11" spans="1:22" x14ac:dyDescent="0.25">
      <c r="A11" s="48">
        <v>45</v>
      </c>
      <c r="B11">
        <v>0.36963614143423118</v>
      </c>
      <c r="C11">
        <v>0.56161899285768091</v>
      </c>
      <c r="D11">
        <v>0.75213593055189154</v>
      </c>
      <c r="E11">
        <v>1.6565163208071874</v>
      </c>
      <c r="F11">
        <v>0.89487194235337342</v>
      </c>
      <c r="G11">
        <v>0.95448986099554345</v>
      </c>
      <c r="H11">
        <v>1.1485889324487228</v>
      </c>
      <c r="I11">
        <v>1.3251737065330997</v>
      </c>
      <c r="J11">
        <v>1.4214369669498708</v>
      </c>
      <c r="K11">
        <v>2.0319863690521411</v>
      </c>
      <c r="L11">
        <v>1.0792846012664778</v>
      </c>
      <c r="M11">
        <v>0.49794201022616685</v>
      </c>
      <c r="N11">
        <v>0.18369551014635666</v>
      </c>
      <c r="O11">
        <v>9.2166880591997957E-2</v>
      </c>
      <c r="P11">
        <v>7.4005241713576406E-2</v>
      </c>
      <c r="Q11">
        <v>6.6026545248062604E-2</v>
      </c>
      <c r="S11">
        <f>SUM(B11:Q11)</f>
        <v>13.109575953176384</v>
      </c>
    </row>
    <row r="12" spans="1:22" x14ac:dyDescent="0.25">
      <c r="A12" s="48">
        <v>50</v>
      </c>
      <c r="B12">
        <v>0.30729947527186541</v>
      </c>
      <c r="C12">
        <v>0.67682104887843075</v>
      </c>
      <c r="D12">
        <v>1.0439912029518128</v>
      </c>
      <c r="E12">
        <v>1.4295756457494224</v>
      </c>
      <c r="F12">
        <v>1.0214101188739362</v>
      </c>
      <c r="G12">
        <v>1.2965461749807066</v>
      </c>
      <c r="H12">
        <v>1.1615372074757366</v>
      </c>
      <c r="I12">
        <v>1.1540614703937297</v>
      </c>
      <c r="J12">
        <v>1.5224214321820742</v>
      </c>
      <c r="K12">
        <v>1.6974693312356346</v>
      </c>
      <c r="L12">
        <v>1.930456569338729</v>
      </c>
      <c r="M12">
        <v>0.89129656478576647</v>
      </c>
      <c r="N12">
        <v>0.31082730052749702</v>
      </c>
      <c r="O12">
        <v>0.1276517818180824</v>
      </c>
      <c r="P12">
        <v>7.9973457962190436E-2</v>
      </c>
      <c r="Q12">
        <v>6.7437216968763661E-2</v>
      </c>
      <c r="S12">
        <f>SUM(B12:Q12)</f>
        <v>14.718775999394378</v>
      </c>
    </row>
    <row r="13" spans="1:22" x14ac:dyDescent="0.25">
      <c r="A13" s="48">
        <v>55</v>
      </c>
      <c r="B13">
        <v>0.53657207617265235</v>
      </c>
      <c r="C13">
        <v>0.73650249441073112</v>
      </c>
      <c r="D13">
        <v>0.75174402925759187</v>
      </c>
      <c r="E13">
        <v>0.99697797588168158</v>
      </c>
      <c r="F13">
        <v>0.77548631375374533</v>
      </c>
      <c r="G13">
        <v>1.2240961768258789</v>
      </c>
      <c r="H13">
        <v>1.2252576459852877</v>
      </c>
      <c r="I13">
        <v>0.97718383924278951</v>
      </c>
      <c r="J13">
        <v>1.0880832902741648</v>
      </c>
      <c r="K13">
        <v>0.95610371751402889</v>
      </c>
      <c r="L13">
        <v>1.2159031055064464</v>
      </c>
      <c r="M13">
        <v>1.598582116159504</v>
      </c>
      <c r="N13">
        <v>0.54692554015937334</v>
      </c>
      <c r="O13">
        <v>0.21565869525517417</v>
      </c>
      <c r="P13">
        <v>9.5427446389232382E-2</v>
      </c>
      <c r="Q13">
        <v>6.4090515680486682E-2</v>
      </c>
      <c r="S13">
        <f>SUM(B13:Q13)</f>
        <v>13.004594978468768</v>
      </c>
    </row>
    <row r="14" spans="1:22" x14ac:dyDescent="0.25">
      <c r="A14" s="48">
        <v>60</v>
      </c>
      <c r="B14">
        <v>0.44758729799839281</v>
      </c>
      <c r="C14">
        <v>0.43503653737719938</v>
      </c>
      <c r="D14">
        <v>0.33982587954167226</v>
      </c>
      <c r="E14">
        <v>0.50958482361519186</v>
      </c>
      <c r="F14">
        <v>0.42467062806054712</v>
      </c>
      <c r="G14">
        <v>0.62360215394037899</v>
      </c>
      <c r="H14">
        <v>0.71732652295539467</v>
      </c>
      <c r="I14">
        <v>0.77759798470271513</v>
      </c>
      <c r="J14">
        <v>0.6344817860505656</v>
      </c>
      <c r="K14">
        <v>0.54938380750908822</v>
      </c>
      <c r="L14">
        <v>0.5517559980136334</v>
      </c>
      <c r="M14">
        <v>0.71684400244340396</v>
      </c>
      <c r="N14">
        <v>1.0690145481396567</v>
      </c>
      <c r="O14">
        <v>0.37754013276201459</v>
      </c>
      <c r="P14">
        <v>0.18820090898865771</v>
      </c>
      <c r="Q14">
        <v>7.5497801033386602E-2</v>
      </c>
      <c r="S14">
        <f>SUM(B14:Q14)</f>
        <v>8.4379508131318968</v>
      </c>
    </row>
    <row r="15" spans="1:22" x14ac:dyDescent="0.25">
      <c r="A15" s="48">
        <v>65</v>
      </c>
      <c r="B15">
        <v>0.2743320813416375</v>
      </c>
      <c r="C15">
        <v>0.43211173521089213</v>
      </c>
      <c r="D15">
        <v>0.36024528808748452</v>
      </c>
      <c r="E15">
        <v>0.23797888447597487</v>
      </c>
      <c r="F15">
        <v>0.2772038259111021</v>
      </c>
      <c r="G15">
        <v>0.35327331390592875</v>
      </c>
      <c r="H15">
        <v>0.49805061291937913</v>
      </c>
      <c r="I15">
        <v>0.52694419426684513</v>
      </c>
      <c r="J15">
        <v>0.54168578417551227</v>
      </c>
      <c r="K15">
        <v>0.32436596417533581</v>
      </c>
      <c r="L15">
        <v>0.35440742353264065</v>
      </c>
      <c r="M15">
        <v>0.4393893177367667</v>
      </c>
      <c r="N15">
        <v>0.48198881515179909</v>
      </c>
      <c r="O15">
        <v>0.90006620620046451</v>
      </c>
      <c r="P15">
        <v>0.23184841533995815</v>
      </c>
      <c r="Q15">
        <v>9.1894147292005984E-2</v>
      </c>
      <c r="S15">
        <f>SUM(B15:Q15)</f>
        <v>6.3257860097237275</v>
      </c>
    </row>
    <row r="16" spans="1:22" x14ac:dyDescent="0.25">
      <c r="A16" s="48">
        <v>70</v>
      </c>
      <c r="B16">
        <v>0.10738770601888072</v>
      </c>
      <c r="C16">
        <v>0.32459364982676564</v>
      </c>
      <c r="D16">
        <v>0.32026577927074618</v>
      </c>
      <c r="E16">
        <v>0.34506743355705138</v>
      </c>
      <c r="F16">
        <v>0.15106958037333673</v>
      </c>
      <c r="G16">
        <v>0.2333906682419308</v>
      </c>
      <c r="H16">
        <v>0.23008800648016881</v>
      </c>
      <c r="I16">
        <v>0.39368278625701869</v>
      </c>
      <c r="J16">
        <v>0.54884176473740687</v>
      </c>
      <c r="K16">
        <v>0.40759785675989452</v>
      </c>
      <c r="L16">
        <v>0.32574398258164372</v>
      </c>
      <c r="M16">
        <v>0.27552945420736918</v>
      </c>
      <c r="N16">
        <v>0.48061938694269768</v>
      </c>
      <c r="O16">
        <v>0.471457943863278</v>
      </c>
      <c r="P16">
        <v>0.68392390414674975</v>
      </c>
      <c r="Q16">
        <v>0.21666875485008319</v>
      </c>
      <c r="S16">
        <f>SUM(B16:Q16)</f>
        <v>5.5159286581150218</v>
      </c>
    </row>
    <row r="17" spans="1:23" x14ac:dyDescent="0.25">
      <c r="A17" s="48">
        <v>75</v>
      </c>
      <c r="B17">
        <v>0.21014644256939213</v>
      </c>
      <c r="C17">
        <v>0.28207435776475254</v>
      </c>
      <c r="D17">
        <v>0.41978293225289576</v>
      </c>
      <c r="E17">
        <v>0.33616104340770769</v>
      </c>
      <c r="F17">
        <v>0.13828164992397171</v>
      </c>
      <c r="G17">
        <v>0.15386022341524425</v>
      </c>
      <c r="H17">
        <v>0.23403017339610255</v>
      </c>
      <c r="I17">
        <v>0.29442898617024893</v>
      </c>
      <c r="J17">
        <v>0.34452794834551898</v>
      </c>
      <c r="K17">
        <v>0.43088888431870853</v>
      </c>
      <c r="L17">
        <v>0.38385271478602939</v>
      </c>
      <c r="M17">
        <v>0.2215158427943455</v>
      </c>
      <c r="N17">
        <v>0.16616949898967259</v>
      </c>
      <c r="O17">
        <v>0.23868152468552972</v>
      </c>
      <c r="P17">
        <v>0.25044490670410791</v>
      </c>
      <c r="Q17">
        <v>0.39625768830755831</v>
      </c>
      <c r="S17">
        <f>SUM(B17:Q17)</f>
        <v>4.5011048178317861</v>
      </c>
    </row>
    <row r="19" spans="1:23" x14ac:dyDescent="0.25">
      <c r="B19" s="40" t="str">
        <f t="array" ref="B19:I19">TRANSPOSE(V2:V9)</f>
        <v>0-4</v>
      </c>
      <c r="C19" s="44" t="str">
        <v>5-12</v>
      </c>
      <c r="D19" s="40" t="str">
        <v>13-17</v>
      </c>
      <c r="E19" s="40" t="str">
        <v>18-29</v>
      </c>
      <c r="F19" s="40" t="str">
        <v>30-49</v>
      </c>
      <c r="G19" s="40" t="str">
        <v>50-64</v>
      </c>
      <c r="H19" s="40" t="str">
        <v>65-74</v>
      </c>
      <c r="I19" s="40" t="str">
        <v>75+</v>
      </c>
      <c r="K19" t="s">
        <v>61</v>
      </c>
      <c r="N19" s="40" t="str">
        <f>B19</f>
        <v>0-4</v>
      </c>
      <c r="O19" s="40" t="str">
        <f t="shared" ref="O19:U20" si="0">C19</f>
        <v>5-12</v>
      </c>
      <c r="P19" s="40" t="str">
        <f t="shared" si="0"/>
        <v>13-17</v>
      </c>
      <c r="Q19" s="40" t="str">
        <f t="shared" si="0"/>
        <v>18-29</v>
      </c>
      <c r="R19" s="40" t="str">
        <f t="shared" si="0"/>
        <v>30-49</v>
      </c>
      <c r="S19" s="40" t="str">
        <f t="shared" si="0"/>
        <v>50-64</v>
      </c>
      <c r="T19" s="40" t="str">
        <f t="shared" si="0"/>
        <v>65-74</v>
      </c>
      <c r="U19" s="40" t="str">
        <f t="shared" si="0"/>
        <v>75+</v>
      </c>
    </row>
    <row r="20" spans="1:23" x14ac:dyDescent="0.25">
      <c r="A20" s="53">
        <f>A2</f>
        <v>0</v>
      </c>
      <c r="B20" s="48">
        <f>B2</f>
        <v>2.5982374741684553</v>
      </c>
      <c r="C20" s="48">
        <f>SUM(C2)+3/5*D2</f>
        <v>1.4009233192670802</v>
      </c>
      <c r="D20" s="48">
        <f>2/5*D2+3/5*E2</f>
        <v>0.38935708342116337</v>
      </c>
      <c r="E20" s="48">
        <f>2/5*E2+SUM(F2:G2)</f>
        <v>1.2538168176854012</v>
      </c>
      <c r="F20" s="48">
        <f>SUM(H2:K2)</f>
        <v>2.8660581623408121</v>
      </c>
      <c r="G20" s="48">
        <f>SUM(L2:N2)</f>
        <v>0.77655669076187617</v>
      </c>
      <c r="H20">
        <f>SUM(O2:P2)</f>
        <v>0.20984360868922708</v>
      </c>
      <c r="I20">
        <f>Q2</f>
        <v>3.8852605705164758E-2</v>
      </c>
      <c r="K20">
        <f>SUM(B20:I20)</f>
        <v>9.5336457620391784</v>
      </c>
      <c r="M20" s="53" t="str">
        <f t="array" ref="M20:M27">TRANSPOSE(N19:U19)</f>
        <v>0-4</v>
      </c>
      <c r="N20" s="55">
        <f>B20</f>
        <v>2.5982374741684553</v>
      </c>
      <c r="O20" s="55">
        <f t="shared" si="0"/>
        <v>1.4009233192670802</v>
      </c>
      <c r="P20" s="55">
        <f t="shared" si="0"/>
        <v>0.38935708342116337</v>
      </c>
      <c r="Q20" s="55">
        <f t="shared" si="0"/>
        <v>1.2538168176854012</v>
      </c>
      <c r="R20" s="55">
        <f t="shared" si="0"/>
        <v>2.8660581623408121</v>
      </c>
      <c r="S20" s="55">
        <f t="shared" si="0"/>
        <v>0.77655669076187617</v>
      </c>
      <c r="T20" s="55">
        <f t="shared" si="0"/>
        <v>0.20984360868922708</v>
      </c>
      <c r="U20" s="55">
        <f t="shared" si="0"/>
        <v>3.8852605705164758E-2</v>
      </c>
    </row>
    <row r="21" spans="1:23" x14ac:dyDescent="0.25">
      <c r="A21" s="53">
        <f t="shared" ref="A21:B35" si="1">A3</f>
        <v>5</v>
      </c>
      <c r="B21" s="52">
        <f t="shared" si="1"/>
        <v>0.98968591713678045</v>
      </c>
      <c r="C21" s="52">
        <f t="shared" ref="C21:C35" si="2">SUM(C3)+3/5*D3</f>
        <v>6.1208322953897358</v>
      </c>
      <c r="D21" s="52">
        <f t="shared" ref="D21:D35" si="3">2/5*D3+3/5*E3</f>
        <v>0.69786666209298964</v>
      </c>
      <c r="E21" s="52">
        <f t="shared" ref="E21:E35" si="4">2/5*E3+SUM(F3:G3)</f>
        <v>0.84199435765614272</v>
      </c>
      <c r="F21" s="52">
        <f t="shared" ref="F21:F35" si="5">SUM(H3:K3)</f>
        <v>3.1556622720172274</v>
      </c>
      <c r="G21" s="52">
        <f t="shared" ref="G21:G35" si="6">SUM(L3:N3)</f>
        <v>0.60966918993562724</v>
      </c>
      <c r="H21">
        <f t="shared" ref="H21:H35" si="7">SUM(O3:P3)</f>
        <v>0.17249472077511441</v>
      </c>
      <c r="I21">
        <f t="shared" ref="I21:I35" si="8">Q3</f>
        <v>3.9004324877162114E-2</v>
      </c>
      <c r="K21">
        <f t="shared" ref="K21:K35" si="9">SUM(B21:I21)</f>
        <v>12.627209739880779</v>
      </c>
      <c r="M21" s="53" t="str">
        <v>5-12</v>
      </c>
      <c r="N21" s="55">
        <f>5/8*B21+3/8*B22</f>
        <v>0.73286938831203663</v>
      </c>
      <c r="O21" s="55">
        <f t="shared" ref="O21:U21" si="10">5/8*C21+3/8*C22</f>
        <v>6.3978883481668802</v>
      </c>
      <c r="P21" s="55">
        <f t="shared" si="10"/>
        <v>1.8978783769574774</v>
      </c>
      <c r="Q21" s="55">
        <f t="shared" si="10"/>
        <v>0.91544363960415753</v>
      </c>
      <c r="R21" s="55">
        <f t="shared" si="10"/>
        <v>3.1049564232964038</v>
      </c>
      <c r="S21" s="55">
        <f t="shared" si="10"/>
        <v>0.60240580060239923</v>
      </c>
      <c r="T21" s="55">
        <f t="shared" si="10"/>
        <v>0.16858971986674198</v>
      </c>
      <c r="U21" s="55">
        <f t="shared" si="10"/>
        <v>4.4058233390697345E-2</v>
      </c>
    </row>
    <row r="22" spans="1:23" x14ac:dyDescent="0.25">
      <c r="A22" s="53">
        <f t="shared" si="1"/>
        <v>10</v>
      </c>
      <c r="B22" s="52">
        <f t="shared" si="1"/>
        <v>0.30484184027079697</v>
      </c>
      <c r="C22" s="52">
        <f t="shared" si="2"/>
        <v>6.8596484361287864</v>
      </c>
      <c r="D22" s="52">
        <f t="shared" si="3"/>
        <v>3.8978979017316235</v>
      </c>
      <c r="E22" s="52">
        <f t="shared" si="4"/>
        <v>1.0378591095175154</v>
      </c>
      <c r="F22" s="52">
        <f t="shared" si="5"/>
        <v>3.0204466754283645</v>
      </c>
      <c r="G22" s="52">
        <f t="shared" si="6"/>
        <v>0.59030015171368588</v>
      </c>
      <c r="H22">
        <f t="shared" si="7"/>
        <v>0.16208138501945457</v>
      </c>
      <c r="I22">
        <f t="shared" si="8"/>
        <v>5.2481414246589399E-2</v>
      </c>
      <c r="K22">
        <f t="shared" si="9"/>
        <v>15.925556914056818</v>
      </c>
      <c r="M22" s="53" t="str">
        <v>13-17</v>
      </c>
      <c r="N22" s="55">
        <f>2/5*B22+3/5*B23</f>
        <v>0.22614696091265613</v>
      </c>
      <c r="O22" s="55">
        <f t="shared" ref="O22:U22" si="11">2/5*C22+3/5*C23</f>
        <v>4.1076020894988483</v>
      </c>
      <c r="P22" s="55">
        <f t="shared" si="11"/>
        <v>6.2935835113931269</v>
      </c>
      <c r="Q22" s="55">
        <f t="shared" si="11"/>
        <v>4.5109015673572985</v>
      </c>
      <c r="R22" s="55">
        <f t="shared" si="11"/>
        <v>3.4062690891150345</v>
      </c>
      <c r="S22" s="55">
        <f t="shared" si="11"/>
        <v>0.75556010126992046</v>
      </c>
      <c r="T22" s="55">
        <f t="shared" si="11"/>
        <v>0.12548654052053881</v>
      </c>
      <c r="U22" s="55">
        <f t="shared" si="11"/>
        <v>3.3815011497012243E-2</v>
      </c>
    </row>
    <row r="23" spans="1:23" x14ac:dyDescent="0.25">
      <c r="A23" s="53">
        <f t="shared" si="1"/>
        <v>15</v>
      </c>
      <c r="B23" s="52">
        <f t="shared" si="1"/>
        <v>0.17368370800722893</v>
      </c>
      <c r="C23" s="52">
        <f t="shared" si="2"/>
        <v>2.2729045250788888</v>
      </c>
      <c r="D23" s="52">
        <f t="shared" si="3"/>
        <v>7.8907072511674627</v>
      </c>
      <c r="E23" s="52">
        <f t="shared" si="4"/>
        <v>6.8262632059171544</v>
      </c>
      <c r="F23" s="52">
        <f t="shared" si="5"/>
        <v>3.663484031572815</v>
      </c>
      <c r="G23" s="52">
        <f t="shared" si="6"/>
        <v>0.86573340097407692</v>
      </c>
      <c r="H23">
        <f t="shared" si="7"/>
        <v>0.10108997752126161</v>
      </c>
      <c r="I23">
        <f t="shared" si="8"/>
        <v>2.1370742997294131E-2</v>
      </c>
      <c r="K23">
        <f t="shared" si="9"/>
        <v>21.815236843236182</v>
      </c>
      <c r="M23" s="53" t="str">
        <v>18-29</v>
      </c>
      <c r="N23" s="55">
        <f>2/12*B23+5/12*B24+5/12*B25</f>
        <v>0.37990349726578576</v>
      </c>
      <c r="O23" s="55">
        <f t="shared" ref="O23:U23" si="12">2/12*C23+5/12*C24+5/12*C25</f>
        <v>0.74626504663326965</v>
      </c>
      <c r="P23" s="55">
        <f t="shared" si="12"/>
        <v>2.2871833566042836</v>
      </c>
      <c r="Q23" s="55">
        <f t="shared" si="12"/>
        <v>6.4919848203191766</v>
      </c>
      <c r="R23" s="55">
        <f t="shared" si="12"/>
        <v>4.4958332867811182</v>
      </c>
      <c r="S23" s="55">
        <f t="shared" si="12"/>
        <v>1.3269088152829136</v>
      </c>
      <c r="T23" s="55">
        <f t="shared" si="12"/>
        <v>9.398451652714393E-2</v>
      </c>
      <c r="U23" s="55">
        <f t="shared" si="12"/>
        <v>2.8018941857679995E-2</v>
      </c>
    </row>
    <row r="24" spans="1:23" x14ac:dyDescent="0.25">
      <c r="A24" s="53">
        <f t="shared" si="1"/>
        <v>20</v>
      </c>
      <c r="B24" s="52">
        <f t="shared" si="1"/>
        <v>0.26261874886807546</v>
      </c>
      <c r="C24" s="52">
        <f t="shared" si="2"/>
        <v>0.41234713005013823</v>
      </c>
      <c r="D24" s="52">
        <f t="shared" si="3"/>
        <v>1.7195692901705835</v>
      </c>
      <c r="E24" s="52">
        <f t="shared" si="4"/>
        <v>7.0583316321251548</v>
      </c>
      <c r="F24" s="52">
        <f t="shared" si="5"/>
        <v>4.1809430528825535</v>
      </c>
      <c r="G24" s="52">
        <f t="shared" si="6"/>
        <v>1.2721549665321745</v>
      </c>
      <c r="H24">
        <f t="shared" si="7"/>
        <v>0.10272048130435871</v>
      </c>
      <c r="I24">
        <f t="shared" si="8"/>
        <v>4.0058660895276335E-2</v>
      </c>
      <c r="K24">
        <f t="shared" si="9"/>
        <v>15.048743962828313</v>
      </c>
      <c r="M24" s="53" t="str">
        <v>30-49</v>
      </c>
      <c r="N24" s="55">
        <f>AVERAGE(B26:B29)</f>
        <v>0.51827386577000234</v>
      </c>
      <c r="O24" s="55">
        <f t="shared" ref="O24:U24" si="13">AVERAGE(C26:C29)</f>
        <v>1.3361857637789525</v>
      </c>
      <c r="P24" s="55">
        <f t="shared" si="13"/>
        <v>0.95319243103166995</v>
      </c>
      <c r="Q24" s="55">
        <f t="shared" si="13"/>
        <v>2.531025810068888</v>
      </c>
      <c r="R24" s="55">
        <f t="shared" si="13"/>
        <v>6.7899240010888171</v>
      </c>
      <c r="S24" s="55">
        <f t="shared" si="13"/>
        <v>1.6379979861605971</v>
      </c>
      <c r="T24" s="55">
        <f t="shared" si="13"/>
        <v>0.17699908931822084</v>
      </c>
      <c r="U24" s="55">
        <f t="shared" si="13"/>
        <v>4.139585199983449E-2</v>
      </c>
    </row>
    <row r="25" spans="1:23" x14ac:dyDescent="0.25">
      <c r="A25" s="53">
        <f t="shared" si="1"/>
        <v>25</v>
      </c>
      <c r="B25" s="52">
        <f t="shared" si="1"/>
        <v>0.5796761613669188</v>
      </c>
      <c r="C25" s="52">
        <f t="shared" si="2"/>
        <v>0.46952717183815346</v>
      </c>
      <c r="D25" s="52">
        <f t="shared" si="3"/>
        <v>0.61338786521271171</v>
      </c>
      <c r="E25" s="52">
        <f t="shared" si="4"/>
        <v>5.7919266542740075</v>
      </c>
      <c r="F25" s="52">
        <f t="shared" si="5"/>
        <v>5.1436632227630037</v>
      </c>
      <c r="G25" s="52">
        <f t="shared" si="6"/>
        <v>1.5661328297571873</v>
      </c>
      <c r="H25">
        <f t="shared" si="7"/>
        <v>8.2406367352282101E-2</v>
      </c>
      <c r="I25">
        <f t="shared" si="8"/>
        <v>1.8638502364238002E-2</v>
      </c>
      <c r="K25">
        <f t="shared" si="9"/>
        <v>14.265358774928504</v>
      </c>
      <c r="M25" s="53" t="str">
        <v>50-64</v>
      </c>
      <c r="N25" s="55">
        <f>AVERAGE(B30:B32)</f>
        <v>0.43048628314763687</v>
      </c>
      <c r="O25" s="55">
        <f t="shared" ref="O25:U25" si="14">AVERAGE(C30:C32)</f>
        <v>1.0432322492390025</v>
      </c>
      <c r="P25" s="55">
        <f t="shared" si="14"/>
        <v>0.8719691706160696</v>
      </c>
      <c r="Q25" s="55">
        <f t="shared" si="14"/>
        <v>2.1800889815112372</v>
      </c>
      <c r="R25" s="55">
        <f t="shared" si="14"/>
        <v>4.1536360118404039</v>
      </c>
      <c r="S25" s="55">
        <f t="shared" si="14"/>
        <v>2.943868581691337</v>
      </c>
      <c r="T25" s="55">
        <f t="shared" si="14"/>
        <v>0.36148414105845061</v>
      </c>
      <c r="U25" s="55">
        <f t="shared" si="14"/>
        <v>6.9008511227545644E-2</v>
      </c>
    </row>
    <row r="26" spans="1:23" x14ac:dyDescent="0.25">
      <c r="A26" s="53">
        <f t="shared" si="1"/>
        <v>30</v>
      </c>
      <c r="B26" s="52">
        <f t="shared" si="1"/>
        <v>0.68599351056015734</v>
      </c>
      <c r="C26" s="52">
        <f t="shared" si="2"/>
        <v>1.3492014069811389</v>
      </c>
      <c r="D26" s="52">
        <f t="shared" si="3"/>
        <v>0.58906293731889103</v>
      </c>
      <c r="E26" s="52">
        <f t="shared" si="4"/>
        <v>2.8493057886510527</v>
      </c>
      <c r="F26" s="52">
        <f t="shared" si="5"/>
        <v>6.7639458025981902</v>
      </c>
      <c r="G26" s="52">
        <f t="shared" si="6"/>
        <v>1.5569814688977255</v>
      </c>
      <c r="H26">
        <f t="shared" si="7"/>
        <v>0.12826499055084126</v>
      </c>
      <c r="I26">
        <f t="shared" si="8"/>
        <v>3.7412749501787933E-2</v>
      </c>
      <c r="K26">
        <f t="shared" si="9"/>
        <v>13.960168655059785</v>
      </c>
      <c r="M26" s="66" t="str">
        <v>65-74</v>
      </c>
      <c r="N26" s="55">
        <f>AVERAGE(B33:B34)</f>
        <v>0.1908598936802591</v>
      </c>
      <c r="O26" s="55">
        <f t="shared" ref="O26:U26" si="15">AVERAGE(C33:C34)</f>
        <v>0.58250601272629809</v>
      </c>
      <c r="P26" s="55">
        <f t="shared" si="15"/>
        <v>0.31101610888155401</v>
      </c>
      <c r="Q26" s="55">
        <f t="shared" si="15"/>
        <v>0.62407795782275444</v>
      </c>
      <c r="R26" s="55">
        <f t="shared" si="15"/>
        <v>1.7356284848857806</v>
      </c>
      <c r="S26" s="55">
        <f t="shared" si="15"/>
        <v>1.1788391900764585</v>
      </c>
      <c r="T26" s="55">
        <f t="shared" si="15"/>
        <v>1.1436482347752253</v>
      </c>
      <c r="U26" s="55">
        <f t="shared" si="15"/>
        <v>0.15428145107104457</v>
      </c>
    </row>
    <row r="27" spans="1:23" x14ac:dyDescent="0.25">
      <c r="A27" s="53">
        <f t="shared" si="1"/>
        <v>35</v>
      </c>
      <c r="B27" s="52">
        <f t="shared" si="1"/>
        <v>0.67323443351386014</v>
      </c>
      <c r="C27" s="52">
        <f t="shared" si="2"/>
        <v>1.6320035842762954</v>
      </c>
      <c r="D27" s="52">
        <f t="shared" si="3"/>
        <v>0.82042438216101532</v>
      </c>
      <c r="E27" s="52">
        <f t="shared" si="4"/>
        <v>2.2976441047358054</v>
      </c>
      <c r="F27" s="52">
        <f t="shared" si="5"/>
        <v>7.3715943808938249</v>
      </c>
      <c r="G27" s="52">
        <f t="shared" si="6"/>
        <v>1.5852521676252254</v>
      </c>
      <c r="H27">
        <f t="shared" si="7"/>
        <v>0.22201624156408101</v>
      </c>
      <c r="I27">
        <f t="shared" si="8"/>
        <v>2.9848571851523984E-2</v>
      </c>
      <c r="K27">
        <f t="shared" si="9"/>
        <v>14.632017866621631</v>
      </c>
      <c r="M27" s="66" t="str">
        <v>75+</v>
      </c>
      <c r="N27" s="55">
        <f>B35</f>
        <v>0.21014644256939213</v>
      </c>
      <c r="O27" s="55">
        <f t="shared" ref="O27:U27" si="16">C35</f>
        <v>0.53394411711649004</v>
      </c>
      <c r="P27" s="55">
        <f t="shared" si="16"/>
        <v>0.36960979894578294</v>
      </c>
      <c r="Q27" s="55">
        <f t="shared" si="16"/>
        <v>0.42660629070229905</v>
      </c>
      <c r="R27" s="55">
        <f t="shared" si="16"/>
        <v>1.3038759922305792</v>
      </c>
      <c r="S27" s="55">
        <f t="shared" si="16"/>
        <v>0.77153805657004748</v>
      </c>
      <c r="T27" s="55">
        <f t="shared" si="16"/>
        <v>0.48912643138963763</v>
      </c>
      <c r="U27" s="55">
        <f t="shared" si="16"/>
        <v>0.39625768830755831</v>
      </c>
    </row>
    <row r="28" spans="1:23" x14ac:dyDescent="0.25">
      <c r="A28" s="53">
        <f t="shared" si="1"/>
        <v>40</v>
      </c>
      <c r="B28" s="52">
        <f t="shared" si="1"/>
        <v>0.34423137757176059</v>
      </c>
      <c r="C28" s="52">
        <f t="shared" si="2"/>
        <v>1.35063751266956</v>
      </c>
      <c r="D28" s="52">
        <f t="shared" si="3"/>
        <v>1.1085182399417044</v>
      </c>
      <c r="E28" s="52">
        <f t="shared" si="4"/>
        <v>2.4651850152169019</v>
      </c>
      <c r="F28" s="52">
        <f t="shared" si="5"/>
        <v>7.0969698458794195</v>
      </c>
      <c r="G28" s="52">
        <f t="shared" si="6"/>
        <v>1.6488361864804368</v>
      </c>
      <c r="H28">
        <f t="shared" si="7"/>
        <v>0.19154300285238679</v>
      </c>
      <c r="I28">
        <f t="shared" si="8"/>
        <v>3.2295541397963437E-2</v>
      </c>
      <c r="K28">
        <f t="shared" si="9"/>
        <v>14.238216722010135</v>
      </c>
    </row>
    <row r="29" spans="1:23" x14ac:dyDescent="0.25">
      <c r="A29" s="53">
        <f t="shared" si="1"/>
        <v>45</v>
      </c>
      <c r="B29" s="52">
        <f t="shared" si="1"/>
        <v>0.36963614143423118</v>
      </c>
      <c r="C29" s="52">
        <f t="shared" si="2"/>
        <v>1.0129005511888158</v>
      </c>
      <c r="D29" s="52">
        <f t="shared" si="3"/>
        <v>1.2947641647050689</v>
      </c>
      <c r="E29" s="52">
        <f t="shared" si="4"/>
        <v>2.5119683316717918</v>
      </c>
      <c r="F29" s="52">
        <f t="shared" si="5"/>
        <v>5.9271859749838347</v>
      </c>
      <c r="G29" s="52">
        <f t="shared" si="6"/>
        <v>1.7609221216390014</v>
      </c>
      <c r="H29">
        <f t="shared" si="7"/>
        <v>0.16617212230557438</v>
      </c>
      <c r="I29">
        <f t="shared" si="8"/>
        <v>6.6026545248062604E-2</v>
      </c>
      <c r="K29">
        <f t="shared" si="9"/>
        <v>13.109575953176382</v>
      </c>
    </row>
    <row r="30" spans="1:23" x14ac:dyDescent="0.25">
      <c r="A30" s="53">
        <f t="shared" si="1"/>
        <v>50</v>
      </c>
      <c r="B30" s="52">
        <f t="shared" si="1"/>
        <v>0.30729947527186541</v>
      </c>
      <c r="C30" s="52">
        <f t="shared" si="2"/>
        <v>1.3032157706495184</v>
      </c>
      <c r="D30" s="52">
        <f t="shared" si="3"/>
        <v>1.2753418686303786</v>
      </c>
      <c r="E30" s="52">
        <f t="shared" si="4"/>
        <v>2.8897865521544115</v>
      </c>
      <c r="F30" s="52">
        <f t="shared" si="5"/>
        <v>5.5354894412871749</v>
      </c>
      <c r="G30" s="52">
        <f t="shared" si="6"/>
        <v>3.1325804346519925</v>
      </c>
      <c r="H30">
        <f t="shared" si="7"/>
        <v>0.20762523978027284</v>
      </c>
      <c r="I30">
        <f t="shared" si="8"/>
        <v>6.7437216968763661E-2</v>
      </c>
      <c r="K30">
        <f t="shared" si="9"/>
        <v>14.718775999394376</v>
      </c>
      <c r="N30" s="40" t="str">
        <f>N19</f>
        <v>0-4</v>
      </c>
      <c r="O30" s="40" t="str">
        <f t="shared" ref="O30:U30" si="17">O19</f>
        <v>5-12</v>
      </c>
      <c r="P30" s="40" t="str">
        <f t="shared" si="17"/>
        <v>13-17</v>
      </c>
      <c r="Q30" s="40" t="str">
        <f t="shared" si="17"/>
        <v>18-29</v>
      </c>
      <c r="R30" s="40" t="str">
        <f t="shared" si="17"/>
        <v>30-49</v>
      </c>
      <c r="S30" s="40" t="str">
        <f t="shared" si="17"/>
        <v>50-64</v>
      </c>
      <c r="T30" s="40" t="str">
        <f t="shared" si="17"/>
        <v>65-74</v>
      </c>
      <c r="U30" s="40" t="str">
        <f t="shared" si="17"/>
        <v>75+</v>
      </c>
    </row>
    <row r="31" spans="1:23" x14ac:dyDescent="0.25">
      <c r="A31" s="53">
        <f t="shared" si="1"/>
        <v>55</v>
      </c>
      <c r="B31" s="52">
        <f t="shared" si="1"/>
        <v>0.53657207617265235</v>
      </c>
      <c r="C31" s="52">
        <f t="shared" si="2"/>
        <v>1.1875489119652862</v>
      </c>
      <c r="D31" s="52">
        <f t="shared" si="3"/>
        <v>0.89888439723204572</v>
      </c>
      <c r="E31" s="52">
        <f t="shared" si="4"/>
        <v>2.3983736809322966</v>
      </c>
      <c r="F31" s="52">
        <f t="shared" si="5"/>
        <v>4.2466284930162708</v>
      </c>
      <c r="G31" s="52">
        <f t="shared" si="6"/>
        <v>3.3614107618253239</v>
      </c>
      <c r="H31">
        <f t="shared" si="7"/>
        <v>0.31108614164440657</v>
      </c>
      <c r="I31">
        <f t="shared" si="8"/>
        <v>6.4090515680486682E-2</v>
      </c>
      <c r="K31">
        <f t="shared" si="9"/>
        <v>13.004594978468768</v>
      </c>
      <c r="M31" s="53" t="str">
        <f t="array" ref="M31:M38">TRANSPOSE(N30:U30)</f>
        <v>0-4</v>
      </c>
      <c r="N31" s="55">
        <f>ROUND(N20,3)</f>
        <v>2.5979999999999999</v>
      </c>
      <c r="O31" s="55">
        <f t="shared" ref="O31:U31" si="18">ROUND(O20,3)</f>
        <v>1.401</v>
      </c>
      <c r="P31" s="55">
        <f t="shared" si="18"/>
        <v>0.38900000000000001</v>
      </c>
      <c r="Q31" s="55">
        <f t="shared" si="18"/>
        <v>1.254</v>
      </c>
      <c r="R31" s="55">
        <f t="shared" si="18"/>
        <v>2.8660000000000001</v>
      </c>
      <c r="S31" s="55">
        <f t="shared" si="18"/>
        <v>0.77700000000000002</v>
      </c>
      <c r="T31" s="55">
        <f t="shared" si="18"/>
        <v>0.21</v>
      </c>
      <c r="U31" s="55">
        <f t="shared" si="18"/>
        <v>3.9E-2</v>
      </c>
      <c r="W31" s="54" t="str">
        <f>"["&amp;N31&amp;", "&amp;O31&amp;", "&amp;P31&amp;", "&amp;R31&amp;", "&amp;S31&amp;", "&amp;Q31&amp;", "&amp;T31&amp;", "&amp;U31&amp;"],"</f>
        <v>[2.598, 1.401, 0.389, 2.866, 0.777, 1.254, 0.21, 0.039],</v>
      </c>
    </row>
    <row r="32" spans="1:23" x14ac:dyDescent="0.25">
      <c r="A32" s="53">
        <f t="shared" si="1"/>
        <v>60</v>
      </c>
      <c r="B32" s="52">
        <f t="shared" si="1"/>
        <v>0.44758729799839281</v>
      </c>
      <c r="C32" s="52">
        <f t="shared" si="2"/>
        <v>0.6389320651022028</v>
      </c>
      <c r="D32" s="52">
        <f t="shared" si="3"/>
        <v>0.44168124598578401</v>
      </c>
      <c r="E32" s="52">
        <f t="shared" si="4"/>
        <v>1.2521067114470028</v>
      </c>
      <c r="F32" s="52">
        <f t="shared" si="5"/>
        <v>2.6787901012177637</v>
      </c>
      <c r="G32" s="52">
        <f t="shared" si="6"/>
        <v>2.3376145485966937</v>
      </c>
      <c r="H32">
        <f t="shared" si="7"/>
        <v>0.5657410417506723</v>
      </c>
      <c r="I32">
        <f t="shared" si="8"/>
        <v>7.5497801033386602E-2</v>
      </c>
      <c r="K32">
        <f t="shared" si="9"/>
        <v>8.4379508131318985</v>
      </c>
      <c r="M32" s="53" t="str">
        <v>5-12</v>
      </c>
      <c r="N32" s="55">
        <f t="shared" ref="N32:U32" si="19">ROUND(N21,3)</f>
        <v>0.73299999999999998</v>
      </c>
      <c r="O32" s="55">
        <f t="shared" si="19"/>
        <v>6.3979999999999997</v>
      </c>
      <c r="P32" s="55">
        <f t="shared" si="19"/>
        <v>1.8979999999999999</v>
      </c>
      <c r="Q32" s="55">
        <f t="shared" si="19"/>
        <v>0.91500000000000004</v>
      </c>
      <c r="R32" s="55">
        <f t="shared" si="19"/>
        <v>3.105</v>
      </c>
      <c r="S32" s="55">
        <f t="shared" si="19"/>
        <v>0.60199999999999998</v>
      </c>
      <c r="T32" s="55">
        <f t="shared" si="19"/>
        <v>0.16900000000000001</v>
      </c>
      <c r="U32" s="55">
        <f t="shared" si="19"/>
        <v>4.3999999999999997E-2</v>
      </c>
      <c r="W32" s="54" t="str">
        <f t="shared" ref="W32:W38" si="20">"["&amp;N32&amp;", "&amp;O32&amp;", "&amp;P32&amp;", "&amp;R32&amp;", "&amp;S32&amp;", "&amp;Q32&amp;", "&amp;T32&amp;", "&amp;U32&amp;"],"</f>
        <v>[0.733, 6.398, 1.898, 3.105, 0.602, 0.915, 0.169, 0.044],</v>
      </c>
    </row>
    <row r="33" spans="1:23" x14ac:dyDescent="0.25">
      <c r="A33" s="53">
        <f t="shared" si="1"/>
        <v>65</v>
      </c>
      <c r="B33" s="52">
        <f t="shared" si="1"/>
        <v>0.2743320813416375</v>
      </c>
      <c r="C33" s="52">
        <f t="shared" si="2"/>
        <v>0.64825890806338282</v>
      </c>
      <c r="D33" s="52">
        <f t="shared" si="3"/>
        <v>0.28688544592057874</v>
      </c>
      <c r="E33" s="52">
        <f t="shared" si="4"/>
        <v>0.72566869360742081</v>
      </c>
      <c r="F33" s="52">
        <f t="shared" si="5"/>
        <v>1.8910465555370723</v>
      </c>
      <c r="G33" s="52">
        <f t="shared" si="6"/>
        <v>1.2757855564212064</v>
      </c>
      <c r="H33">
        <f t="shared" si="7"/>
        <v>1.1319146215404228</v>
      </c>
      <c r="I33">
        <f t="shared" si="8"/>
        <v>9.1894147292005984E-2</v>
      </c>
      <c r="K33">
        <f t="shared" si="9"/>
        <v>6.3257860097237275</v>
      </c>
      <c r="M33" s="53" t="str">
        <v>13-17</v>
      </c>
      <c r="N33" s="55">
        <f t="shared" ref="N33:U33" si="21">ROUND(N22,3)</f>
        <v>0.22600000000000001</v>
      </c>
      <c r="O33" s="55">
        <f t="shared" si="21"/>
        <v>4.1079999999999997</v>
      </c>
      <c r="P33" s="55">
        <f t="shared" si="21"/>
        <v>6.2939999999999996</v>
      </c>
      <c r="Q33" s="55">
        <f t="shared" si="21"/>
        <v>4.5110000000000001</v>
      </c>
      <c r="R33" s="55">
        <f t="shared" si="21"/>
        <v>3.4060000000000001</v>
      </c>
      <c r="S33" s="55">
        <f t="shared" si="21"/>
        <v>0.75600000000000001</v>
      </c>
      <c r="T33" s="55">
        <f t="shared" si="21"/>
        <v>0.125</v>
      </c>
      <c r="U33" s="55">
        <f t="shared" si="21"/>
        <v>3.4000000000000002E-2</v>
      </c>
      <c r="W33" s="54" t="str">
        <f t="shared" si="20"/>
        <v>[0.226, 4.108, 6.294, 3.406, 0.756, 4.511, 0.125, 0.034],</v>
      </c>
    </row>
    <row r="34" spans="1:23" x14ac:dyDescent="0.25">
      <c r="A34" s="53">
        <f t="shared" si="1"/>
        <v>70</v>
      </c>
      <c r="B34" s="52">
        <f t="shared" si="1"/>
        <v>0.10738770601888072</v>
      </c>
      <c r="C34" s="52">
        <f t="shared" si="2"/>
        <v>0.51675311738921337</v>
      </c>
      <c r="D34" s="52">
        <f t="shared" si="3"/>
        <v>0.33514677184252928</v>
      </c>
      <c r="E34" s="52">
        <f t="shared" si="4"/>
        <v>0.52248722203808806</v>
      </c>
      <c r="F34" s="52">
        <f t="shared" si="5"/>
        <v>1.580210414234489</v>
      </c>
      <c r="G34" s="52">
        <f t="shared" si="6"/>
        <v>1.0818928237317107</v>
      </c>
      <c r="H34">
        <f t="shared" si="7"/>
        <v>1.1553818480100277</v>
      </c>
      <c r="I34">
        <f t="shared" si="8"/>
        <v>0.21666875485008319</v>
      </c>
      <c r="K34">
        <f t="shared" si="9"/>
        <v>5.5159286581150218</v>
      </c>
      <c r="M34" s="53" t="str">
        <v>18-29</v>
      </c>
      <c r="N34" s="55">
        <f t="shared" ref="N34:U34" si="22">ROUND(N23,3)</f>
        <v>0.38</v>
      </c>
      <c r="O34" s="55">
        <f t="shared" si="22"/>
        <v>0.746</v>
      </c>
      <c r="P34" s="55">
        <f t="shared" si="22"/>
        <v>2.2869999999999999</v>
      </c>
      <c r="Q34" s="55">
        <f t="shared" si="22"/>
        <v>6.492</v>
      </c>
      <c r="R34" s="55">
        <f t="shared" si="22"/>
        <v>4.4960000000000004</v>
      </c>
      <c r="S34" s="55">
        <f t="shared" si="22"/>
        <v>1.327</v>
      </c>
      <c r="T34" s="55">
        <f t="shared" si="22"/>
        <v>9.4E-2</v>
      </c>
      <c r="U34" s="55">
        <f t="shared" si="22"/>
        <v>2.8000000000000001E-2</v>
      </c>
      <c r="W34" s="54" t="str">
        <f t="shared" si="20"/>
        <v>[0.38, 0.746, 2.287, 4.496, 1.327, 6.492, 0.094, 0.028],</v>
      </c>
    </row>
    <row r="35" spans="1:23" x14ac:dyDescent="0.25">
      <c r="A35" s="53">
        <f t="shared" si="1"/>
        <v>75</v>
      </c>
      <c r="B35" s="52">
        <f t="shared" si="1"/>
        <v>0.21014644256939213</v>
      </c>
      <c r="C35" s="52">
        <f t="shared" si="2"/>
        <v>0.53394411711649004</v>
      </c>
      <c r="D35" s="52">
        <f t="shared" si="3"/>
        <v>0.36960979894578294</v>
      </c>
      <c r="E35" s="52">
        <f t="shared" si="4"/>
        <v>0.42660629070229905</v>
      </c>
      <c r="F35" s="52">
        <f t="shared" si="5"/>
        <v>1.3038759922305792</v>
      </c>
      <c r="G35" s="52">
        <f t="shared" si="6"/>
        <v>0.77153805657004748</v>
      </c>
      <c r="H35">
        <f t="shared" si="7"/>
        <v>0.48912643138963763</v>
      </c>
      <c r="I35">
        <f t="shared" si="8"/>
        <v>0.39625768830755831</v>
      </c>
      <c r="K35">
        <f t="shared" si="9"/>
        <v>4.5011048178317861</v>
      </c>
      <c r="M35" s="53" t="str">
        <v>30-49</v>
      </c>
      <c r="N35" s="55">
        <f t="shared" ref="N35:U35" si="23">ROUND(N24,3)</f>
        <v>0.51800000000000002</v>
      </c>
      <c r="O35" s="55">
        <f t="shared" si="23"/>
        <v>1.3360000000000001</v>
      </c>
      <c r="P35" s="55">
        <f t="shared" si="23"/>
        <v>0.95299999999999996</v>
      </c>
      <c r="Q35" s="55">
        <f t="shared" si="23"/>
        <v>2.5310000000000001</v>
      </c>
      <c r="R35" s="55">
        <f t="shared" si="23"/>
        <v>6.79</v>
      </c>
      <c r="S35" s="55">
        <f t="shared" si="23"/>
        <v>1.6379999999999999</v>
      </c>
      <c r="T35" s="55">
        <f t="shared" si="23"/>
        <v>0.17699999999999999</v>
      </c>
      <c r="U35" s="55">
        <f t="shared" si="23"/>
        <v>4.1000000000000002E-2</v>
      </c>
      <c r="W35" s="54" t="str">
        <f t="shared" si="20"/>
        <v>[0.518, 1.336, 0.953, 6.79, 1.638, 2.531, 0.177, 0.041],</v>
      </c>
    </row>
    <row r="36" spans="1:23" x14ac:dyDescent="0.25">
      <c r="A36" s="53"/>
      <c r="M36" s="53" t="str">
        <v>50-64</v>
      </c>
      <c r="N36" s="55">
        <f t="shared" ref="N36:U36" si="24">ROUND(N25,3)</f>
        <v>0.43</v>
      </c>
      <c r="O36" s="55">
        <f t="shared" si="24"/>
        <v>1.0429999999999999</v>
      </c>
      <c r="P36" s="55">
        <f t="shared" si="24"/>
        <v>0.872</v>
      </c>
      <c r="Q36" s="55">
        <f t="shared" si="24"/>
        <v>2.1800000000000002</v>
      </c>
      <c r="R36" s="55">
        <f t="shared" si="24"/>
        <v>4.1539999999999999</v>
      </c>
      <c r="S36" s="55">
        <f t="shared" si="24"/>
        <v>2.944</v>
      </c>
      <c r="T36" s="55">
        <f t="shared" si="24"/>
        <v>0.36099999999999999</v>
      </c>
      <c r="U36" s="55">
        <f t="shared" si="24"/>
        <v>6.9000000000000006E-2</v>
      </c>
      <c r="W36" s="54" t="str">
        <f t="shared" si="20"/>
        <v>[0.43, 1.043, 0.872, 4.154, 2.944, 2.18, 0.361, 0.069],</v>
      </c>
    </row>
    <row r="37" spans="1:23" x14ac:dyDescent="0.25">
      <c r="A37" s="53"/>
      <c r="M37" s="66" t="str">
        <v>65-74</v>
      </c>
      <c r="N37" s="55">
        <f t="shared" ref="N37:U37" si="25">ROUND(N26,3)</f>
        <v>0.191</v>
      </c>
      <c r="O37" s="55">
        <f t="shared" si="25"/>
        <v>0.58299999999999996</v>
      </c>
      <c r="P37" s="55">
        <f t="shared" si="25"/>
        <v>0.311</v>
      </c>
      <c r="Q37" s="55">
        <f t="shared" si="25"/>
        <v>0.624</v>
      </c>
      <c r="R37" s="55">
        <f t="shared" si="25"/>
        <v>1.736</v>
      </c>
      <c r="S37" s="55">
        <f t="shared" si="25"/>
        <v>1.179</v>
      </c>
      <c r="T37" s="55">
        <f t="shared" si="25"/>
        <v>1.1439999999999999</v>
      </c>
      <c r="U37" s="55">
        <f t="shared" si="25"/>
        <v>0.154</v>
      </c>
      <c r="W37" s="54" t="str">
        <f t="shared" si="20"/>
        <v>[0.191, 0.583, 0.311, 1.736, 1.179, 0.624, 1.144, 0.154],</v>
      </c>
    </row>
    <row r="38" spans="1:23" x14ac:dyDescent="0.25">
      <c r="A38" s="53"/>
      <c r="M38" s="66" t="str">
        <v>75+</v>
      </c>
      <c r="N38" s="55">
        <f t="shared" ref="N38:U38" si="26">ROUND(N27,3)</f>
        <v>0.21</v>
      </c>
      <c r="O38" s="55">
        <f t="shared" si="26"/>
        <v>0.53400000000000003</v>
      </c>
      <c r="P38" s="55">
        <f t="shared" si="26"/>
        <v>0.37</v>
      </c>
      <c r="Q38" s="55">
        <f t="shared" si="26"/>
        <v>0.42699999999999999</v>
      </c>
      <c r="R38" s="55">
        <f t="shared" si="26"/>
        <v>1.304</v>
      </c>
      <c r="S38" s="55">
        <f t="shared" si="26"/>
        <v>0.77200000000000002</v>
      </c>
      <c r="T38" s="55">
        <f t="shared" si="26"/>
        <v>0.48899999999999999</v>
      </c>
      <c r="U38" s="55">
        <f t="shared" si="26"/>
        <v>0.39600000000000002</v>
      </c>
      <c r="W38" s="54" t="str">
        <f t="shared" si="20"/>
        <v>[0.21, 0.534, 0.37, 1.304, 0.772, 0.427, 0.489, 0.396],</v>
      </c>
    </row>
  </sheetData>
  <phoneticPr fontId="1" type="noConversion"/>
  <conditionalFormatting sqref="B2:Q1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0:G3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1:W38 N20:U2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1:U3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0:I3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0:U2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1339F-C828-49B2-BE16-FB5C751192D4}">
  <dimension ref="A1:Z29"/>
  <sheetViews>
    <sheetView showGridLines="0" tabSelected="1" topLeftCell="F1" workbookViewId="0">
      <selection activeCell="M5" sqref="M5:N5"/>
    </sheetView>
  </sheetViews>
  <sheetFormatPr defaultRowHeight="15" x14ac:dyDescent="0.25"/>
  <cols>
    <col min="1" max="1" width="28.28515625" customWidth="1"/>
    <col min="5" max="5" width="15.28515625" customWidth="1"/>
    <col min="19" max="19" width="3.42578125" customWidth="1"/>
    <col min="21" max="21" width="3.140625" customWidth="1"/>
    <col min="22" max="22" width="8" customWidth="1"/>
    <col min="23" max="23" width="10.85546875" bestFit="1" customWidth="1"/>
    <col min="24" max="24" width="10.140625" bestFit="1" customWidth="1"/>
  </cols>
  <sheetData>
    <row r="1" spans="1:26" x14ac:dyDescent="0.25">
      <c r="A1" s="20"/>
    </row>
    <row r="2" spans="1:26" x14ac:dyDescent="0.25">
      <c r="A2" s="11" t="s">
        <v>4</v>
      </c>
      <c r="B2" s="10"/>
      <c r="C2" s="10"/>
      <c r="D2" s="10"/>
      <c r="E2" s="10"/>
    </row>
    <row r="3" spans="1:26" x14ac:dyDescent="0.25">
      <c r="A3" s="12" t="s">
        <v>5</v>
      </c>
      <c r="B3" s="10"/>
      <c r="C3" s="10"/>
      <c r="D3" s="10"/>
      <c r="E3" s="10"/>
    </row>
    <row r="4" spans="1:26" x14ac:dyDescent="0.25">
      <c r="A4" s="12"/>
      <c r="B4" s="10"/>
      <c r="C4" s="10"/>
      <c r="D4" s="10"/>
      <c r="E4" s="10"/>
    </row>
    <row r="5" spans="1:26" ht="30" customHeight="1" x14ac:dyDescent="0.25">
      <c r="A5" s="12"/>
      <c r="B5" s="10"/>
      <c r="C5" s="10"/>
      <c r="D5" s="10"/>
      <c r="E5" s="10"/>
      <c r="M5" s="57" t="s">
        <v>34</v>
      </c>
      <c r="N5" s="57"/>
      <c r="O5" s="64" t="s">
        <v>62</v>
      </c>
      <c r="P5" s="64"/>
    </row>
    <row r="6" spans="1:26" ht="30" x14ac:dyDescent="0.25">
      <c r="A6" s="10"/>
      <c r="B6" s="49" t="s">
        <v>6</v>
      </c>
      <c r="C6" s="49" t="s">
        <v>7</v>
      </c>
      <c r="D6" s="50" t="s">
        <v>1</v>
      </c>
      <c r="E6" s="51" t="s">
        <v>34</v>
      </c>
      <c r="I6" s="49" t="s">
        <v>6</v>
      </c>
      <c r="J6" s="49" t="s">
        <v>7</v>
      </c>
      <c r="K6" s="49" t="s">
        <v>29</v>
      </c>
      <c r="L6" s="49" t="s">
        <v>32</v>
      </c>
      <c r="M6" s="49" t="s">
        <v>35</v>
      </c>
      <c r="N6" s="49" t="s">
        <v>33</v>
      </c>
      <c r="O6" s="49" t="s">
        <v>35</v>
      </c>
      <c r="P6" s="49" t="s">
        <v>33</v>
      </c>
      <c r="Q6" s="49" t="s">
        <v>36</v>
      </c>
      <c r="R6" s="49" t="s">
        <v>37</v>
      </c>
      <c r="S6" s="49"/>
      <c r="T6" s="49" t="s">
        <v>29</v>
      </c>
      <c r="V6" s="49" t="s">
        <v>66</v>
      </c>
      <c r="W6" s="49" t="s">
        <v>63</v>
      </c>
      <c r="X6" s="49" t="s">
        <v>64</v>
      </c>
      <c r="Y6" s="49" t="s">
        <v>29</v>
      </c>
    </row>
    <row r="7" spans="1:26" x14ac:dyDescent="0.25">
      <c r="A7" s="12" t="s">
        <v>8</v>
      </c>
      <c r="B7" s="24">
        <v>10.01</v>
      </c>
      <c r="C7" s="24">
        <v>9.57</v>
      </c>
      <c r="D7" s="24">
        <f>SUM(B7:C7)</f>
        <v>19.579999999999998</v>
      </c>
      <c r="E7" s="22">
        <v>1</v>
      </c>
      <c r="G7" t="s">
        <v>27</v>
      </c>
      <c r="I7" s="13">
        <f>B7</f>
        <v>10.01</v>
      </c>
      <c r="J7" s="13">
        <f>C7</f>
        <v>9.57</v>
      </c>
      <c r="K7" s="21">
        <f>SUM(I7:J7)/$I$17</f>
        <v>5.9653291898973282E-2</v>
      </c>
      <c r="L7" s="27">
        <f>I7+J7</f>
        <v>19.579999999999998</v>
      </c>
      <c r="M7" s="28" t="s">
        <v>60</v>
      </c>
      <c r="N7" s="27" t="e">
        <f>M7*0.25</f>
        <v>#VALUE!</v>
      </c>
      <c r="O7" s="27">
        <v>0.2</v>
      </c>
      <c r="P7" s="30">
        <f>0.25*O7</f>
        <v>0.05</v>
      </c>
      <c r="Q7" s="27"/>
      <c r="R7" s="27"/>
      <c r="S7" s="27"/>
      <c r="T7" s="69">
        <f>K7</f>
        <v>5.9653291898973282E-2</v>
      </c>
      <c r="V7" s="6" t="str">
        <f>G7</f>
        <v>0-4</v>
      </c>
      <c r="W7" s="52">
        <v>62.4</v>
      </c>
      <c r="X7" s="71">
        <f>W7*L7*10</f>
        <v>12217.919999999998</v>
      </c>
      <c r="Y7" s="69">
        <f>X7/$X$15</f>
        <v>6.0844964726935041E-3</v>
      </c>
      <c r="Z7" s="67">
        <f>Y7</f>
        <v>6.0844964726935041E-3</v>
      </c>
    </row>
    <row r="8" spans="1:26" x14ac:dyDescent="0.25">
      <c r="A8" s="12" t="s">
        <v>9</v>
      </c>
      <c r="B8" s="24">
        <v>10.32</v>
      </c>
      <c r="C8" s="24">
        <v>9.8699999999999992</v>
      </c>
      <c r="D8" s="24">
        <f t="shared" ref="D8:D24" si="0">SUM(B8:C8)</f>
        <v>20.189999999999998</v>
      </c>
      <c r="E8" s="22">
        <v>1</v>
      </c>
      <c r="G8" s="58" t="s">
        <v>56</v>
      </c>
      <c r="I8" s="13">
        <f>B8+3/5*B9</f>
        <v>16.692</v>
      </c>
      <c r="J8" s="13">
        <f>C8+3/5*C9</f>
        <v>15.977999999999998</v>
      </c>
      <c r="K8" s="21">
        <f t="shared" ref="K8:K14" si="1">SUM(I8:J8)/$I$17</f>
        <v>9.9533863449410495E-2</v>
      </c>
      <c r="L8" s="27">
        <f t="shared" ref="L8:L14" si="2">I8+J8</f>
        <v>32.67</v>
      </c>
      <c r="M8" s="28" t="s">
        <v>60</v>
      </c>
      <c r="N8" s="27"/>
      <c r="O8" s="27">
        <v>0.2</v>
      </c>
      <c r="P8" s="30">
        <f t="shared" ref="P8:P12" si="3">0.25*O8</f>
        <v>0.05</v>
      </c>
      <c r="Q8" s="27"/>
      <c r="R8" s="27"/>
      <c r="S8" s="27"/>
      <c r="T8" s="69">
        <f>K8</f>
        <v>9.9533863449410495E-2</v>
      </c>
      <c r="V8" s="6" t="str">
        <f t="shared" ref="V8:V14" si="4">G8</f>
        <v>5-12</v>
      </c>
      <c r="W8" s="52">
        <v>21</v>
      </c>
      <c r="X8" s="71">
        <f t="shared" ref="X8:X14" si="5">W8*L8*10</f>
        <v>6860.7000000000007</v>
      </c>
      <c r="Y8" s="69">
        <f t="shared" ref="Y8:Y14" si="6">X8/$X$15</f>
        <v>3.4166130528116355E-3</v>
      </c>
      <c r="Z8" s="67">
        <f t="shared" ref="Z8:Z14" si="7">Y8</f>
        <v>3.4166130528116355E-3</v>
      </c>
    </row>
    <row r="9" spans="1:26" x14ac:dyDescent="0.25">
      <c r="A9" s="12" t="s">
        <v>10</v>
      </c>
      <c r="B9" s="24">
        <v>10.62</v>
      </c>
      <c r="C9" s="24">
        <v>10.18</v>
      </c>
      <c r="D9" s="24">
        <f t="shared" si="0"/>
        <v>20.799999999999997</v>
      </c>
      <c r="E9" s="22">
        <v>1</v>
      </c>
      <c r="G9" s="15" t="s">
        <v>57</v>
      </c>
      <c r="I9" s="13">
        <f>2/5*B9+3/5*B10</f>
        <v>10.698</v>
      </c>
      <c r="J9" s="13">
        <f>2/5*C9+3/5*C10</f>
        <v>10.257999999999999</v>
      </c>
      <c r="K9" s="21">
        <f t="shared" si="1"/>
        <v>6.3845474210157516E-2</v>
      </c>
      <c r="L9" s="27">
        <f t="shared" si="2"/>
        <v>20.956</v>
      </c>
      <c r="M9" s="28">
        <v>1</v>
      </c>
      <c r="N9" s="27">
        <f t="shared" ref="N9:N14" si="8">M9*0.25</f>
        <v>0.25</v>
      </c>
      <c r="O9" s="27">
        <v>0.2</v>
      </c>
      <c r="P9" s="30">
        <f t="shared" si="3"/>
        <v>0.05</v>
      </c>
      <c r="Q9" s="27"/>
      <c r="R9" s="27"/>
      <c r="S9" s="27"/>
      <c r="T9" s="69">
        <f>K9</f>
        <v>6.3845474210157516E-2</v>
      </c>
      <c r="V9" s="6" t="str">
        <f t="shared" si="4"/>
        <v>13-17</v>
      </c>
      <c r="W9" s="52">
        <v>58.7</v>
      </c>
      <c r="X9" s="71">
        <f t="shared" si="5"/>
        <v>12301.172000000002</v>
      </c>
      <c r="Y9" s="69">
        <f t="shared" si="6"/>
        <v>6.1259557800342548E-3</v>
      </c>
      <c r="Z9" s="67">
        <f t="shared" si="7"/>
        <v>6.1259557800342548E-3</v>
      </c>
    </row>
    <row r="10" spans="1:26" x14ac:dyDescent="0.25">
      <c r="A10" s="12" t="s">
        <v>11</v>
      </c>
      <c r="B10" s="24">
        <v>10.75</v>
      </c>
      <c r="C10" s="24">
        <v>10.31</v>
      </c>
      <c r="D10" s="24">
        <f t="shared" si="0"/>
        <v>21.060000000000002</v>
      </c>
      <c r="E10" s="22">
        <v>1</v>
      </c>
      <c r="G10" s="68" t="s">
        <v>58</v>
      </c>
      <c r="H10" s="65"/>
      <c r="I10" s="59">
        <f>2/5*B10+SUM(B11:B12)</f>
        <v>27.360000000000003</v>
      </c>
      <c r="J10" s="59">
        <f>2/5*C10+SUM(C11:C12)</f>
        <v>26.194000000000003</v>
      </c>
      <c r="K10" s="60">
        <f t="shared" si="1"/>
        <v>0.16315997928282</v>
      </c>
      <c r="L10" s="61">
        <f t="shared" si="2"/>
        <v>53.554000000000002</v>
      </c>
      <c r="M10" s="62">
        <v>1</v>
      </c>
      <c r="N10" s="61">
        <f t="shared" si="8"/>
        <v>0.25</v>
      </c>
      <c r="O10" s="61">
        <v>2.6</v>
      </c>
      <c r="P10" s="63">
        <f t="shared" si="3"/>
        <v>0.65</v>
      </c>
      <c r="Q10" s="61"/>
      <c r="R10" s="61"/>
      <c r="S10" s="61"/>
      <c r="T10" s="70">
        <f>K10</f>
        <v>0.16315997928282</v>
      </c>
      <c r="V10" s="6" t="str">
        <f t="shared" si="4"/>
        <v>18-29</v>
      </c>
      <c r="W10" s="52">
        <v>228.1</v>
      </c>
      <c r="X10" s="71">
        <f t="shared" si="5"/>
        <v>122156.674</v>
      </c>
      <c r="Y10" s="69">
        <f t="shared" si="6"/>
        <v>6.0833746829981737E-2</v>
      </c>
      <c r="Z10" s="67">
        <f t="shared" si="7"/>
        <v>6.0833746829981737E-2</v>
      </c>
    </row>
    <row r="11" spans="1:26" x14ac:dyDescent="0.25">
      <c r="A11" s="12" t="s">
        <v>12</v>
      </c>
      <c r="B11" s="24">
        <v>11.06</v>
      </c>
      <c r="C11" s="24">
        <v>10.57</v>
      </c>
      <c r="D11" s="24">
        <f t="shared" si="0"/>
        <v>21.630000000000003</v>
      </c>
      <c r="E11" s="22">
        <v>1</v>
      </c>
      <c r="G11" t="s">
        <v>59</v>
      </c>
      <c r="I11" s="13">
        <f>SUM(B13:B16)</f>
        <v>42.230000000000004</v>
      </c>
      <c r="J11" s="13">
        <f>SUM(C13:C16)</f>
        <v>42.25</v>
      </c>
      <c r="K11" s="21">
        <f t="shared" si="1"/>
        <v>0.25738049538433422</v>
      </c>
      <c r="L11" s="27">
        <f t="shared" si="2"/>
        <v>84.48</v>
      </c>
      <c r="M11" s="28">
        <v>2</v>
      </c>
      <c r="N11" s="27">
        <f t="shared" si="8"/>
        <v>0.5</v>
      </c>
      <c r="O11" s="27">
        <v>2.6</v>
      </c>
      <c r="P11" s="30">
        <f t="shared" si="3"/>
        <v>0.65</v>
      </c>
      <c r="Q11" s="27"/>
      <c r="R11" s="27"/>
      <c r="S11" s="27"/>
      <c r="T11" s="69">
        <f>K11</f>
        <v>0.25738049538433422</v>
      </c>
      <c r="V11" s="6" t="str">
        <f t="shared" si="4"/>
        <v>30-49</v>
      </c>
      <c r="W11" s="52">
        <v>425</v>
      </c>
      <c r="X11" s="71">
        <f t="shared" si="5"/>
        <v>359040</v>
      </c>
      <c r="Y11" s="69">
        <f t="shared" si="6"/>
        <v>0.1788011063712871</v>
      </c>
      <c r="Z11" s="67">
        <f t="shared" si="7"/>
        <v>0.1788011063712871</v>
      </c>
    </row>
    <row r="12" spans="1:26" x14ac:dyDescent="0.25">
      <c r="A12" s="12" t="s">
        <v>13</v>
      </c>
      <c r="B12" s="22">
        <v>12</v>
      </c>
      <c r="C12" s="24">
        <v>11.5</v>
      </c>
      <c r="D12" s="24">
        <f t="shared" si="0"/>
        <v>23.5</v>
      </c>
      <c r="E12" s="22">
        <v>1</v>
      </c>
      <c r="G12" t="s">
        <v>28</v>
      </c>
      <c r="I12" s="13">
        <f>SUM(B17:B19)</f>
        <v>30.59</v>
      </c>
      <c r="J12" s="13">
        <f>SUM(C17:C19)</f>
        <v>32.33</v>
      </c>
      <c r="K12" s="21">
        <f t="shared" si="1"/>
        <v>0.19169484812479057</v>
      </c>
      <c r="L12" s="27">
        <f t="shared" si="2"/>
        <v>62.92</v>
      </c>
      <c r="M12" s="28">
        <v>4</v>
      </c>
      <c r="N12" s="27">
        <f t="shared" si="8"/>
        <v>1</v>
      </c>
      <c r="O12" s="27">
        <v>7.9</v>
      </c>
      <c r="P12" s="30">
        <f t="shared" si="3"/>
        <v>1.9750000000000001</v>
      </c>
      <c r="Q12" s="27"/>
      <c r="R12" s="27"/>
      <c r="S12" s="27"/>
      <c r="T12" s="69">
        <f>K12</f>
        <v>0.19169484812479057</v>
      </c>
      <c r="V12" s="6" t="str">
        <f t="shared" si="4"/>
        <v>50-64</v>
      </c>
      <c r="W12" s="52">
        <v>849</v>
      </c>
      <c r="X12" s="71">
        <f t="shared" si="5"/>
        <v>534190.80000000005</v>
      </c>
      <c r="Y12" s="69">
        <f t="shared" si="6"/>
        <v>0.26602580785807423</v>
      </c>
      <c r="Z12" s="67">
        <f t="shared" si="7"/>
        <v>0.26602580785807423</v>
      </c>
    </row>
    <row r="13" spans="1:26" x14ac:dyDescent="0.25">
      <c r="A13" s="12" t="s">
        <v>14</v>
      </c>
      <c r="B13" s="24">
        <v>11.35</v>
      </c>
      <c r="C13" s="24">
        <v>11.08</v>
      </c>
      <c r="D13" s="24">
        <f t="shared" si="0"/>
        <v>22.43</v>
      </c>
      <c r="E13" s="22">
        <v>2</v>
      </c>
      <c r="G13" t="s">
        <v>30</v>
      </c>
      <c r="I13" s="13">
        <f>SUM(B20:B21)</f>
        <v>14.7</v>
      </c>
      <c r="J13" s="13">
        <f>SUM(C20:C21)</f>
        <v>16.79</v>
      </c>
      <c r="K13" s="21">
        <f t="shared" si="1"/>
        <v>9.5938823386040289E-2</v>
      </c>
      <c r="L13" s="27">
        <f t="shared" si="2"/>
        <v>31.49</v>
      </c>
      <c r="M13" s="28">
        <v>6</v>
      </c>
      <c r="N13" s="27">
        <f t="shared" si="8"/>
        <v>1.5</v>
      </c>
      <c r="O13" s="27">
        <v>14.1</v>
      </c>
      <c r="P13" s="30">
        <f t="shared" ref="P13:P14" si="9">0.25*O13</f>
        <v>3.5249999999999999</v>
      </c>
      <c r="Q13" s="27"/>
      <c r="R13" s="27"/>
      <c r="S13" s="27"/>
      <c r="T13" s="69">
        <f>K13</f>
        <v>9.5938823386040289E-2</v>
      </c>
      <c r="V13" s="6" t="str">
        <f t="shared" si="4"/>
        <v>65-74</v>
      </c>
      <c r="W13" s="52">
        <v>1260</v>
      </c>
      <c r="X13" s="71">
        <f t="shared" si="5"/>
        <v>396774</v>
      </c>
      <c r="Y13" s="69">
        <f t="shared" si="6"/>
        <v>0.19759255286141117</v>
      </c>
      <c r="Z13" s="67">
        <f t="shared" si="7"/>
        <v>0.19759255286141117</v>
      </c>
    </row>
    <row r="14" spans="1:26" x14ac:dyDescent="0.25">
      <c r="A14" s="12" t="s">
        <v>15</v>
      </c>
      <c r="B14" s="24">
        <v>10.88</v>
      </c>
      <c r="C14" s="24">
        <v>10.85</v>
      </c>
      <c r="D14" s="24">
        <f t="shared" si="0"/>
        <v>21.73</v>
      </c>
      <c r="E14" s="22">
        <v>2</v>
      </c>
      <c r="G14" t="s">
        <v>31</v>
      </c>
      <c r="I14" s="13">
        <f>SUM(B22:B24)</f>
        <v>9.379999999999999</v>
      </c>
      <c r="J14" s="13">
        <f>SUM(C22:C24)</f>
        <v>13.200000000000001</v>
      </c>
      <c r="K14" s="21">
        <f t="shared" si="1"/>
        <v>6.8793224263473784E-2</v>
      </c>
      <c r="L14" s="27">
        <f t="shared" si="2"/>
        <v>22.58</v>
      </c>
      <c r="M14" s="28">
        <f>SUMPRODUCT(D22:D24,E22:E24)/L14</f>
        <v>10.75642161204606</v>
      </c>
      <c r="N14" s="27">
        <f t="shared" si="8"/>
        <v>2.6891054030115149</v>
      </c>
      <c r="O14" s="27">
        <v>20.9</v>
      </c>
      <c r="P14" s="30">
        <f t="shared" si="9"/>
        <v>5.2249999999999996</v>
      </c>
      <c r="Q14" s="27"/>
      <c r="R14" s="27"/>
      <c r="S14" s="27"/>
      <c r="T14" s="69">
        <f>K14</f>
        <v>6.8793224263473784E-2</v>
      </c>
      <c r="V14" s="4" t="str">
        <f t="shared" si="4"/>
        <v>75+</v>
      </c>
      <c r="W14" s="42">
        <v>2500</v>
      </c>
      <c r="X14" s="72">
        <f t="shared" si="5"/>
        <v>564499.99999999988</v>
      </c>
      <c r="Y14" s="74">
        <f t="shared" si="6"/>
        <v>0.28111972077370639</v>
      </c>
      <c r="Z14" s="67">
        <f t="shared" si="7"/>
        <v>0.28111972077370639</v>
      </c>
    </row>
    <row r="15" spans="1:26" x14ac:dyDescent="0.25">
      <c r="A15" s="12" t="s">
        <v>16</v>
      </c>
      <c r="B15" s="24">
        <v>9.91</v>
      </c>
      <c r="C15" s="24">
        <v>10.01</v>
      </c>
      <c r="D15" s="24">
        <f t="shared" si="0"/>
        <v>19.920000000000002</v>
      </c>
      <c r="E15" s="22">
        <v>2</v>
      </c>
      <c r="G15" s="4"/>
      <c r="H15" s="4"/>
      <c r="I15" s="16"/>
      <c r="J15" s="16"/>
      <c r="K15" s="18"/>
      <c r="L15" s="17"/>
      <c r="M15" s="17"/>
      <c r="N15" s="17"/>
      <c r="O15" s="17"/>
      <c r="P15" s="17"/>
      <c r="Q15" s="17"/>
      <c r="R15" s="17"/>
      <c r="S15" s="17"/>
      <c r="T15" s="19"/>
      <c r="X15" s="71">
        <f>SUM(X7:X14)</f>
        <v>2008041.2659999998</v>
      </c>
      <c r="Y15" s="69">
        <f>SUM(Y7:Y14)</f>
        <v>1</v>
      </c>
    </row>
    <row r="16" spans="1:26" x14ac:dyDescent="0.25">
      <c r="A16" s="12" t="s">
        <v>17</v>
      </c>
      <c r="B16" s="24">
        <v>10.09</v>
      </c>
      <c r="C16" s="24">
        <v>10.31</v>
      </c>
      <c r="D16" s="24">
        <f t="shared" si="0"/>
        <v>20.399999999999999</v>
      </c>
      <c r="E16" s="22">
        <v>2</v>
      </c>
      <c r="I16" s="13">
        <f>SUM(I7:I15)</f>
        <v>161.66</v>
      </c>
      <c r="J16" s="13">
        <f>SUM(J7:J15)</f>
        <v>166.56999999999996</v>
      </c>
      <c r="K16" s="29">
        <f>SUM(K7:K15)</f>
        <v>1.0000000000000002</v>
      </c>
      <c r="L16" s="13"/>
      <c r="M16" s="13"/>
      <c r="N16" s="13"/>
      <c r="O16" s="13"/>
      <c r="P16" s="13"/>
      <c r="Q16" s="13"/>
      <c r="R16" s="13"/>
      <c r="S16" s="13"/>
      <c r="W16" t="s">
        <v>65</v>
      </c>
      <c r="X16" s="73">
        <f>X15/(I17*10)</f>
        <v>611.77871187886547</v>
      </c>
    </row>
    <row r="17" spans="1:11" x14ac:dyDescent="0.25">
      <c r="A17" s="12" t="s">
        <v>18</v>
      </c>
      <c r="B17" s="24">
        <v>10.09</v>
      </c>
      <c r="C17" s="24">
        <v>10.39</v>
      </c>
      <c r="D17" s="24">
        <f t="shared" si="0"/>
        <v>20.48</v>
      </c>
      <c r="E17" s="22">
        <v>4</v>
      </c>
      <c r="I17" s="13">
        <f>SUM(I16:J16)</f>
        <v>328.22999999999996</v>
      </c>
    </row>
    <row r="18" spans="1:11" x14ac:dyDescent="0.25">
      <c r="A18" s="12" t="s">
        <v>19</v>
      </c>
      <c r="B18" s="24">
        <v>10.64</v>
      </c>
      <c r="C18" s="24">
        <v>11.23</v>
      </c>
      <c r="D18" s="24">
        <f t="shared" si="0"/>
        <v>21.87</v>
      </c>
      <c r="E18" s="22">
        <v>4</v>
      </c>
    </row>
    <row r="19" spans="1:11" x14ac:dyDescent="0.25">
      <c r="A19" s="12" t="s">
        <v>20</v>
      </c>
      <c r="B19" s="24">
        <v>9.86</v>
      </c>
      <c r="C19" s="24">
        <v>10.71</v>
      </c>
      <c r="D19" s="24">
        <f t="shared" si="0"/>
        <v>20.57</v>
      </c>
      <c r="E19" s="22">
        <v>4</v>
      </c>
    </row>
    <row r="20" spans="1:11" x14ac:dyDescent="0.25">
      <c r="A20" s="12" t="s">
        <v>21</v>
      </c>
      <c r="B20" s="24">
        <v>8.1999999999999993</v>
      </c>
      <c r="C20" s="24">
        <v>9.26</v>
      </c>
      <c r="D20" s="24">
        <f t="shared" si="0"/>
        <v>17.46</v>
      </c>
      <c r="E20" s="22">
        <v>6</v>
      </c>
      <c r="G20" s="33" t="s">
        <v>38</v>
      </c>
      <c r="H20" s="33"/>
      <c r="I20" s="34" t="s">
        <v>29</v>
      </c>
      <c r="J20" s="33" t="s">
        <v>45</v>
      </c>
      <c r="K20" s="33"/>
    </row>
    <row r="21" spans="1:11" x14ac:dyDescent="0.25">
      <c r="A21" s="12" t="s">
        <v>22</v>
      </c>
      <c r="B21" s="24">
        <v>6.5</v>
      </c>
      <c r="C21" s="24">
        <v>7.53</v>
      </c>
      <c r="D21" s="24">
        <f t="shared" si="0"/>
        <v>14.030000000000001</v>
      </c>
      <c r="E21" s="22">
        <v>6</v>
      </c>
      <c r="G21" t="s">
        <v>39</v>
      </c>
      <c r="I21" s="31">
        <v>0</v>
      </c>
      <c r="J21">
        <v>0</v>
      </c>
    </row>
    <row r="22" spans="1:11" x14ac:dyDescent="0.25">
      <c r="A22" s="12" t="s">
        <v>23</v>
      </c>
      <c r="B22" s="24">
        <v>4.32</v>
      </c>
      <c r="C22" s="24">
        <v>5.33</v>
      </c>
      <c r="D22" s="24">
        <f t="shared" si="0"/>
        <v>9.65</v>
      </c>
      <c r="E22" s="22">
        <v>9</v>
      </c>
      <c r="G22" s="15" t="s">
        <v>44</v>
      </c>
      <c r="I22" s="32">
        <v>0.1668</v>
      </c>
    </row>
    <row r="23" spans="1:11" x14ac:dyDescent="0.25">
      <c r="A23" s="12" t="s">
        <v>24</v>
      </c>
      <c r="B23" s="24">
        <v>2.68</v>
      </c>
      <c r="C23" s="24">
        <v>3.64</v>
      </c>
      <c r="D23" s="24">
        <f t="shared" si="0"/>
        <v>6.32</v>
      </c>
      <c r="E23" s="22">
        <v>9</v>
      </c>
      <c r="G23" t="s">
        <v>40</v>
      </c>
      <c r="I23" s="32">
        <v>0.29149999999999998</v>
      </c>
    </row>
    <row r="24" spans="1:11" x14ac:dyDescent="0.25">
      <c r="A24" s="14" t="s">
        <v>25</v>
      </c>
      <c r="B24" s="25">
        <v>2.38</v>
      </c>
      <c r="C24" s="25">
        <v>4.2300000000000004</v>
      </c>
      <c r="D24" s="25">
        <f t="shared" si="0"/>
        <v>6.61</v>
      </c>
      <c r="E24" s="23">
        <v>15</v>
      </c>
      <c r="G24" t="s">
        <v>41</v>
      </c>
      <c r="I24" s="32">
        <v>0.34250000000000003</v>
      </c>
    </row>
    <row r="25" spans="1:11" x14ac:dyDescent="0.25">
      <c r="A25" s="12" t="s">
        <v>26</v>
      </c>
      <c r="B25" s="26">
        <f>SUM(B7:B24)</f>
        <v>161.65999999999997</v>
      </c>
      <c r="C25" s="26">
        <f>SUM(C7:C24)</f>
        <v>166.57</v>
      </c>
      <c r="D25" s="26">
        <f>SUM(D7:D24)</f>
        <v>328.22999999999996</v>
      </c>
      <c r="E25" s="13"/>
      <c r="G25" t="s">
        <v>42</v>
      </c>
      <c r="I25" s="32">
        <v>0.39789999999999998</v>
      </c>
    </row>
    <row r="26" spans="1:11" x14ac:dyDescent="0.25">
      <c r="B26" s="13"/>
      <c r="G26" t="s">
        <v>43</v>
      </c>
      <c r="I26" s="32">
        <v>0.4834</v>
      </c>
    </row>
    <row r="27" spans="1:11" x14ac:dyDescent="0.25">
      <c r="G27" t="s">
        <v>28</v>
      </c>
      <c r="I27" s="32">
        <v>0.58740000000000003</v>
      </c>
    </row>
    <row r="28" spans="1:11" x14ac:dyDescent="0.25">
      <c r="G28" t="s">
        <v>30</v>
      </c>
      <c r="I28" s="32">
        <v>0.74080000000000001</v>
      </c>
    </row>
    <row r="29" spans="1:11" x14ac:dyDescent="0.25">
      <c r="G29" t="s">
        <v>31</v>
      </c>
      <c r="I29" s="32">
        <v>0.71760000000000002</v>
      </c>
    </row>
  </sheetData>
  <mergeCells count="2">
    <mergeCell ref="M5:N5"/>
    <mergeCell ref="O5:P5"/>
  </mergeCells>
  <hyperlinks>
    <hyperlink ref="M5:N5" r:id="rId1" display="Hospitalization Risk" xr:uid="{D6599DB8-36A3-46CF-9978-AC2DDE80B08E}"/>
    <hyperlink ref="O5:P5" r:id="rId2" display="Mortality Risk" xr:uid="{7B929978-46DB-4145-9144-AA25905C14B2}"/>
    <hyperlink ref="D6" r:id="rId3" xr:uid="{A947FCD8-3188-4C63-BCD4-E8B05D4B9048}"/>
    <hyperlink ref="E6" r:id="rId4" xr:uid="{EE95F8C7-FB01-42F7-B309-0CEC8DAF8838}"/>
  </hyperlinks>
  <pageMargins left="0.7" right="0.7" top="0.75" bottom="0.75" header="0.3" footer="0.3"/>
  <pageSetup orientation="portrait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EBB13-7124-4A24-9A1F-BE76A3437B2E}">
  <dimension ref="A1:H30"/>
  <sheetViews>
    <sheetView workbookViewId="0">
      <selection activeCell="B5" sqref="B5"/>
    </sheetView>
  </sheetViews>
  <sheetFormatPr defaultRowHeight="15" x14ac:dyDescent="0.25"/>
  <cols>
    <col min="1" max="1" width="9.7109375" bestFit="1" customWidth="1"/>
    <col min="8" max="8" width="20" bestFit="1" customWidth="1"/>
  </cols>
  <sheetData>
    <row r="1" spans="1:8" x14ac:dyDescent="0.25">
      <c r="A1" s="1">
        <v>44197</v>
      </c>
    </row>
    <row r="2" spans="1:8" x14ac:dyDescent="0.25">
      <c r="A2" s="1">
        <v>44204</v>
      </c>
      <c r="B2">
        <v>1</v>
      </c>
      <c r="E2" t="s">
        <v>1</v>
      </c>
      <c r="F2" s="9">
        <v>0.52</v>
      </c>
      <c r="H2" s="38"/>
    </row>
    <row r="3" spans="1:8" x14ac:dyDescent="0.25">
      <c r="A3" s="1">
        <v>44211</v>
      </c>
      <c r="B3">
        <v>2</v>
      </c>
      <c r="E3" t="s">
        <v>0</v>
      </c>
      <c r="F3">
        <v>0.5</v>
      </c>
    </row>
    <row r="4" spans="1:8" x14ac:dyDescent="0.25">
      <c r="A4" s="1">
        <v>44218</v>
      </c>
      <c r="B4">
        <v>3</v>
      </c>
      <c r="E4" t="s">
        <v>2</v>
      </c>
      <c r="F4">
        <f>-LN(1-F2)/F3</f>
        <v>1.4679383501604009</v>
      </c>
    </row>
    <row r="5" spans="1:8" x14ac:dyDescent="0.25">
      <c r="A5" s="35">
        <v>44225</v>
      </c>
      <c r="B5" s="36">
        <v>4</v>
      </c>
    </row>
    <row r="6" spans="1:8" x14ac:dyDescent="0.25">
      <c r="A6" s="1">
        <v>44232</v>
      </c>
      <c r="B6">
        <v>5</v>
      </c>
    </row>
    <row r="7" spans="1:8" x14ac:dyDescent="0.25">
      <c r="A7" s="1">
        <v>44239</v>
      </c>
      <c r="B7">
        <v>6</v>
      </c>
    </row>
    <row r="8" spans="1:8" x14ac:dyDescent="0.25">
      <c r="A8" s="1">
        <v>44246</v>
      </c>
      <c r="B8">
        <v>7</v>
      </c>
    </row>
    <row r="9" spans="1:8" x14ac:dyDescent="0.25">
      <c r="A9" s="35">
        <v>44253</v>
      </c>
      <c r="B9" s="36">
        <v>8</v>
      </c>
    </row>
    <row r="10" spans="1:8" x14ac:dyDescent="0.25">
      <c r="A10" s="1">
        <v>44260</v>
      </c>
      <c r="B10">
        <v>9</v>
      </c>
    </row>
    <row r="11" spans="1:8" x14ac:dyDescent="0.25">
      <c r="A11" s="1">
        <v>44267</v>
      </c>
      <c r="B11">
        <v>10</v>
      </c>
    </row>
    <row r="12" spans="1:8" x14ac:dyDescent="0.25">
      <c r="A12" s="1">
        <v>44274</v>
      </c>
      <c r="B12">
        <v>11</v>
      </c>
    </row>
    <row r="13" spans="1:8" x14ac:dyDescent="0.25">
      <c r="A13" s="35">
        <v>44281</v>
      </c>
      <c r="B13" s="36">
        <v>12</v>
      </c>
    </row>
    <row r="14" spans="1:8" x14ac:dyDescent="0.25">
      <c r="A14" s="1">
        <v>44288</v>
      </c>
      <c r="B14">
        <v>13</v>
      </c>
    </row>
    <row r="15" spans="1:8" x14ac:dyDescent="0.25">
      <c r="A15" s="1">
        <v>44295</v>
      </c>
      <c r="B15">
        <v>14</v>
      </c>
    </row>
    <row r="16" spans="1:8" x14ac:dyDescent="0.25">
      <c r="A16" s="1">
        <v>44302</v>
      </c>
      <c r="B16">
        <v>15</v>
      </c>
    </row>
    <row r="17" spans="1:2" x14ac:dyDescent="0.25">
      <c r="A17" s="35">
        <v>44309</v>
      </c>
      <c r="B17" s="36">
        <v>16</v>
      </c>
    </row>
    <row r="18" spans="1:2" x14ac:dyDescent="0.25">
      <c r="A18" s="1">
        <v>44316</v>
      </c>
      <c r="B18">
        <v>17</v>
      </c>
    </row>
    <row r="19" spans="1:2" x14ac:dyDescent="0.25">
      <c r="A19" s="1">
        <v>44323</v>
      </c>
      <c r="B19">
        <v>18</v>
      </c>
    </row>
    <row r="20" spans="1:2" x14ac:dyDescent="0.25">
      <c r="A20" s="1">
        <v>44330</v>
      </c>
      <c r="B20">
        <v>19</v>
      </c>
    </row>
    <row r="21" spans="1:2" x14ac:dyDescent="0.25">
      <c r="A21" s="35">
        <v>44337</v>
      </c>
      <c r="B21" s="36">
        <v>20</v>
      </c>
    </row>
    <row r="22" spans="1:2" x14ac:dyDescent="0.25">
      <c r="A22" s="1">
        <v>44344</v>
      </c>
      <c r="B22">
        <v>21</v>
      </c>
    </row>
    <row r="23" spans="1:2" x14ac:dyDescent="0.25">
      <c r="A23" s="1">
        <v>44351</v>
      </c>
      <c r="B23">
        <v>22</v>
      </c>
    </row>
    <row r="24" spans="1:2" x14ac:dyDescent="0.25">
      <c r="A24" s="1">
        <v>44358</v>
      </c>
      <c r="B24">
        <v>23</v>
      </c>
    </row>
    <row r="25" spans="1:2" x14ac:dyDescent="0.25">
      <c r="A25" s="35">
        <v>44365</v>
      </c>
      <c r="B25" s="36">
        <v>24</v>
      </c>
    </row>
    <row r="26" spans="1:2" x14ac:dyDescent="0.25">
      <c r="A26" s="1">
        <v>44372</v>
      </c>
      <c r="B26">
        <v>25</v>
      </c>
    </row>
    <row r="27" spans="1:2" x14ac:dyDescent="0.25">
      <c r="A27" s="1">
        <v>44379</v>
      </c>
      <c r="B27">
        <v>26</v>
      </c>
    </row>
    <row r="28" spans="1:2" x14ac:dyDescent="0.25">
      <c r="A28" s="1">
        <v>44386</v>
      </c>
      <c r="B28">
        <v>27</v>
      </c>
    </row>
    <row r="29" spans="1:2" x14ac:dyDescent="0.25">
      <c r="A29" s="1">
        <v>44393</v>
      </c>
      <c r="B29">
        <v>28</v>
      </c>
    </row>
    <row r="30" spans="1:2" x14ac:dyDescent="0.25">
      <c r="A30" s="1">
        <v>44400</v>
      </c>
      <c r="B30">
        <v>29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Vaccination</vt:lpstr>
      <vt:lpstr>Contact rates</vt:lpstr>
      <vt:lpstr>Risks by age</vt:lpstr>
      <vt:lpstr>Vaccination_old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Yaesoubi, Reza</dc:creator>
  <cp:lastModifiedBy>Yaesoubi, Reza</cp:lastModifiedBy>
  <dcterms:created xsi:type="dcterms:W3CDTF">2021-05-20T19:07:46Z</dcterms:created>
  <dcterms:modified xsi:type="dcterms:W3CDTF">2021-07-19T21:06:40Z</dcterms:modified>
</cp:coreProperties>
</file>