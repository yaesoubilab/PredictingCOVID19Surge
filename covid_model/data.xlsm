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PredictingCOVID19Surge\covid_model\"/>
    </mc:Choice>
  </mc:AlternateContent>
  <xr:revisionPtr revIDLastSave="0" documentId="13_ncr:1_{EC013E52-0582-45B5-AA23-9FB72977ACAF}" xr6:coauthVersionLast="47" xr6:coauthVersionMax="47" xr10:uidLastSave="{00000000-0000-0000-0000-000000000000}"/>
  <bookViews>
    <workbookView xWindow="-15615" yWindow="1440" windowWidth="14925" windowHeight="12750" activeTab="3" xr2:uid="{4B0E50F9-8FDA-4FAF-B2BA-C91A91AB3C5C}"/>
  </bookViews>
  <sheets>
    <sheet name="Vaccination" sheetId="2" r:id="rId1"/>
    <sheet name="Contact rates" sheetId="4" r:id="rId2"/>
    <sheet name="Risks by age" sheetId="3" r:id="rId3"/>
    <sheet name="Novel variant" sheetId="5" r:id="rId4"/>
    <sheet name="Vaccination_old" sheetId="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4" i="5" l="1"/>
  <c r="S5" i="5"/>
  <c r="S6" i="5"/>
  <c r="S7" i="5"/>
  <c r="S8" i="5"/>
  <c r="S9" i="5"/>
  <c r="S3" i="5"/>
  <c r="P4" i="5"/>
  <c r="P5" i="5"/>
  <c r="P6" i="5"/>
  <c r="P7" i="5"/>
  <c r="P8" i="5"/>
  <c r="P9" i="5"/>
  <c r="P3" i="5"/>
  <c r="O4" i="5"/>
  <c r="O5" i="5"/>
  <c r="O6" i="5"/>
  <c r="O8" i="5"/>
  <c r="O9" i="5"/>
  <c r="O3" i="5"/>
  <c r="A4" i="5"/>
  <c r="A5" i="5" s="1"/>
  <c r="A6" i="5" s="1"/>
  <c r="A7" i="5" s="1"/>
  <c r="A8" i="5" s="1"/>
  <c r="A9" i="5" s="1"/>
  <c r="R4" i="5"/>
  <c r="R5" i="5"/>
  <c r="R6" i="5"/>
  <c r="R7" i="5"/>
  <c r="R8" i="5"/>
  <c r="R9" i="5"/>
  <c r="R3" i="5"/>
  <c r="Q4" i="5"/>
  <c r="Q5" i="5"/>
  <c r="Q6" i="5"/>
  <c r="Q7" i="5"/>
  <c r="Q8" i="5"/>
  <c r="Q9" i="5"/>
  <c r="Q3" i="5"/>
  <c r="Y50" i="4"/>
  <c r="Y49" i="4"/>
  <c r="Y48" i="4"/>
  <c r="Y47" i="4"/>
  <c r="Y46" i="4"/>
  <c r="Y45" i="4"/>
  <c r="Y44" i="4"/>
  <c r="Y43" i="4"/>
  <c r="P44" i="4"/>
  <c r="Q44" i="4"/>
  <c r="R44" i="4"/>
  <c r="S44" i="4"/>
  <c r="T44" i="4"/>
  <c r="U44" i="4"/>
  <c r="V44" i="4"/>
  <c r="W44" i="4"/>
  <c r="P45" i="4"/>
  <c r="Q45" i="4"/>
  <c r="R45" i="4"/>
  <c r="S45" i="4"/>
  <c r="T45" i="4"/>
  <c r="U45" i="4"/>
  <c r="V45" i="4"/>
  <c r="W45" i="4"/>
  <c r="P46" i="4"/>
  <c r="Q46" i="4"/>
  <c r="R46" i="4"/>
  <c r="S46" i="4"/>
  <c r="T46" i="4"/>
  <c r="U46" i="4"/>
  <c r="V46" i="4"/>
  <c r="W46" i="4"/>
  <c r="P47" i="4"/>
  <c r="Q47" i="4"/>
  <c r="R47" i="4"/>
  <c r="S47" i="4"/>
  <c r="T47" i="4"/>
  <c r="U47" i="4"/>
  <c r="V47" i="4"/>
  <c r="W47" i="4"/>
  <c r="P48" i="4"/>
  <c r="Q48" i="4"/>
  <c r="R48" i="4"/>
  <c r="S48" i="4"/>
  <c r="T48" i="4"/>
  <c r="U48" i="4"/>
  <c r="V48" i="4"/>
  <c r="W48" i="4"/>
  <c r="P49" i="4"/>
  <c r="Q49" i="4"/>
  <c r="R49" i="4"/>
  <c r="S49" i="4"/>
  <c r="T49" i="4"/>
  <c r="U49" i="4"/>
  <c r="V49" i="4"/>
  <c r="W49" i="4"/>
  <c r="P50" i="4"/>
  <c r="Q50" i="4"/>
  <c r="R50" i="4"/>
  <c r="S50" i="4"/>
  <c r="T50" i="4"/>
  <c r="U50" i="4"/>
  <c r="V50" i="4"/>
  <c r="W50" i="4"/>
  <c r="Q43" i="4"/>
  <c r="R43" i="4"/>
  <c r="S43" i="4"/>
  <c r="T43" i="4"/>
  <c r="U43" i="4"/>
  <c r="V43" i="4"/>
  <c r="W43" i="4"/>
  <c r="P43" i="4"/>
  <c r="P33" i="4"/>
  <c r="Q33" i="4"/>
  <c r="R33" i="4"/>
  <c r="S33" i="4"/>
  <c r="T33" i="4"/>
  <c r="U33" i="4"/>
  <c r="V33" i="4"/>
  <c r="W33" i="4"/>
  <c r="P34" i="4"/>
  <c r="Q34" i="4"/>
  <c r="R34" i="4"/>
  <c r="S34" i="4"/>
  <c r="T34" i="4"/>
  <c r="U34" i="4"/>
  <c r="V34" i="4"/>
  <c r="W34" i="4"/>
  <c r="P35" i="4"/>
  <c r="Q35" i="4"/>
  <c r="R35" i="4"/>
  <c r="S35" i="4"/>
  <c r="T35" i="4"/>
  <c r="U35" i="4"/>
  <c r="V35" i="4"/>
  <c r="W35" i="4"/>
  <c r="P36" i="4"/>
  <c r="Q36" i="4"/>
  <c r="R36" i="4"/>
  <c r="S36" i="4"/>
  <c r="T36" i="4"/>
  <c r="U36" i="4"/>
  <c r="V36" i="4"/>
  <c r="W36" i="4"/>
  <c r="P37" i="4"/>
  <c r="Q37" i="4"/>
  <c r="R37" i="4"/>
  <c r="S37" i="4"/>
  <c r="T37" i="4"/>
  <c r="U37" i="4"/>
  <c r="V37" i="4"/>
  <c r="W37" i="4"/>
  <c r="P38" i="4"/>
  <c r="Q38" i="4"/>
  <c r="R38" i="4"/>
  <c r="S38" i="4"/>
  <c r="T38" i="4"/>
  <c r="U38" i="4"/>
  <c r="V38" i="4"/>
  <c r="W38" i="4"/>
  <c r="P39" i="4"/>
  <c r="Q39" i="4"/>
  <c r="R39" i="4"/>
  <c r="S39" i="4"/>
  <c r="T39" i="4"/>
  <c r="U39" i="4"/>
  <c r="V39" i="4"/>
  <c r="W39" i="4"/>
  <c r="Q32" i="4"/>
  <c r="R32" i="4"/>
  <c r="S32" i="4"/>
  <c r="T32" i="4"/>
  <c r="U32" i="4"/>
  <c r="V32" i="4"/>
  <c r="W32" i="4"/>
  <c r="P32" i="4"/>
  <c r="O43" i="4" a="1"/>
  <c r="O44" i="4" s="1"/>
  <c r="W42" i="4"/>
  <c r="V42" i="4"/>
  <c r="U42" i="4"/>
  <c r="T42" i="4"/>
  <c r="S42" i="4"/>
  <c r="R42" i="4"/>
  <c r="Q42" i="4"/>
  <c r="P42" i="4"/>
  <c r="Y22" i="4"/>
  <c r="Y23" i="4"/>
  <c r="Y24" i="4"/>
  <c r="Y25" i="4"/>
  <c r="Y26" i="4"/>
  <c r="Y27" i="4"/>
  <c r="Y28" i="4"/>
  <c r="Y21" i="4"/>
  <c r="U3" i="4"/>
  <c r="N22" i="4"/>
  <c r="Z29" i="4" s="1" a="1"/>
  <c r="N23" i="4"/>
  <c r="N24" i="4"/>
  <c r="N25" i="4"/>
  <c r="N26" i="4"/>
  <c r="N27" i="4"/>
  <c r="N28" i="4"/>
  <c r="N21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3" i="4"/>
  <c r="V8" i="3"/>
  <c r="V9" i="3"/>
  <c r="V10" i="3"/>
  <c r="V11" i="3"/>
  <c r="V12" i="3"/>
  <c r="V13" i="3"/>
  <c r="V14" i="3"/>
  <c r="V7" i="3"/>
  <c r="N27" i="2"/>
  <c r="O27" i="2"/>
  <c r="N28" i="2"/>
  <c r="O28" i="2"/>
  <c r="N29" i="2"/>
  <c r="O29" i="2"/>
  <c r="N30" i="2"/>
  <c r="O30" i="2"/>
  <c r="N31" i="2"/>
  <c r="O31" i="2"/>
  <c r="N32" i="2"/>
  <c r="O32" i="2"/>
  <c r="T28" i="4"/>
  <c r="U27" i="4"/>
  <c r="D22" i="4"/>
  <c r="E22" i="4"/>
  <c r="F22" i="4"/>
  <c r="G22" i="4"/>
  <c r="H22" i="4"/>
  <c r="I22" i="4"/>
  <c r="J22" i="4"/>
  <c r="K22" i="4"/>
  <c r="D23" i="4"/>
  <c r="P23" i="4" s="1"/>
  <c r="E23" i="4"/>
  <c r="F23" i="4"/>
  <c r="R23" i="4" s="1"/>
  <c r="G23" i="4"/>
  <c r="H23" i="4"/>
  <c r="T23" i="4" s="1"/>
  <c r="I23" i="4"/>
  <c r="J23" i="4"/>
  <c r="K23" i="4"/>
  <c r="D24" i="4"/>
  <c r="E24" i="4"/>
  <c r="Q24" i="4" s="1"/>
  <c r="F24" i="4"/>
  <c r="G24" i="4"/>
  <c r="H24" i="4"/>
  <c r="I24" i="4"/>
  <c r="J24" i="4"/>
  <c r="K24" i="4"/>
  <c r="D25" i="4"/>
  <c r="E25" i="4"/>
  <c r="F25" i="4"/>
  <c r="R24" i="4" s="1"/>
  <c r="G25" i="4"/>
  <c r="H25" i="4"/>
  <c r="T24" i="4" s="1"/>
  <c r="I25" i="4"/>
  <c r="J25" i="4"/>
  <c r="K25" i="4"/>
  <c r="D26" i="4"/>
  <c r="E26" i="4"/>
  <c r="F26" i="4"/>
  <c r="G26" i="4"/>
  <c r="H26" i="4"/>
  <c r="I26" i="4"/>
  <c r="J26" i="4"/>
  <c r="K26" i="4"/>
  <c r="D27" i="4"/>
  <c r="E27" i="4"/>
  <c r="F27" i="4"/>
  <c r="R25" i="4" s="1"/>
  <c r="G27" i="4"/>
  <c r="H27" i="4"/>
  <c r="I27" i="4"/>
  <c r="J27" i="4"/>
  <c r="K27" i="4"/>
  <c r="D28" i="4"/>
  <c r="E28" i="4"/>
  <c r="F28" i="4"/>
  <c r="G28" i="4"/>
  <c r="H28" i="4"/>
  <c r="I28" i="4"/>
  <c r="J28" i="4"/>
  <c r="K28" i="4"/>
  <c r="D29" i="4"/>
  <c r="E29" i="4"/>
  <c r="F29" i="4"/>
  <c r="G29" i="4"/>
  <c r="H29" i="4"/>
  <c r="I29" i="4"/>
  <c r="J29" i="4"/>
  <c r="K29" i="4"/>
  <c r="D30" i="4"/>
  <c r="E30" i="4"/>
  <c r="F30" i="4"/>
  <c r="G30" i="4"/>
  <c r="H30" i="4"/>
  <c r="I30" i="4"/>
  <c r="J30" i="4"/>
  <c r="K30" i="4"/>
  <c r="D31" i="4"/>
  <c r="E31" i="4"/>
  <c r="Q26" i="4" s="1"/>
  <c r="F31" i="4"/>
  <c r="G31" i="4"/>
  <c r="H31" i="4"/>
  <c r="I31" i="4"/>
  <c r="J31" i="4"/>
  <c r="K31" i="4"/>
  <c r="D32" i="4"/>
  <c r="E32" i="4"/>
  <c r="F32" i="4"/>
  <c r="G32" i="4"/>
  <c r="H32" i="4"/>
  <c r="I32" i="4"/>
  <c r="J32" i="4"/>
  <c r="K32" i="4"/>
  <c r="D33" i="4"/>
  <c r="E33" i="4"/>
  <c r="F33" i="4"/>
  <c r="G33" i="4"/>
  <c r="H33" i="4"/>
  <c r="I33" i="4"/>
  <c r="J33" i="4"/>
  <c r="K33" i="4"/>
  <c r="D34" i="4"/>
  <c r="E34" i="4"/>
  <c r="F34" i="4"/>
  <c r="G34" i="4"/>
  <c r="H34" i="4"/>
  <c r="I34" i="4"/>
  <c r="J34" i="4"/>
  <c r="K34" i="4"/>
  <c r="D35" i="4"/>
  <c r="E35" i="4"/>
  <c r="F35" i="4"/>
  <c r="R27" i="4" s="1"/>
  <c r="G35" i="4"/>
  <c r="H35" i="4"/>
  <c r="I35" i="4"/>
  <c r="J35" i="4"/>
  <c r="K35" i="4"/>
  <c r="D36" i="4"/>
  <c r="P28" i="4" s="1"/>
  <c r="E36" i="4"/>
  <c r="Q28" i="4" s="1"/>
  <c r="F36" i="4"/>
  <c r="R28" i="4" s="1"/>
  <c r="G36" i="4"/>
  <c r="H36" i="4"/>
  <c r="I36" i="4"/>
  <c r="U28" i="4" s="1"/>
  <c r="J36" i="4"/>
  <c r="V28" i="4" s="1"/>
  <c r="K36" i="4"/>
  <c r="W28" i="4" s="1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K21" i="4"/>
  <c r="W21" i="4" s="1"/>
  <c r="J21" i="4"/>
  <c r="V21" i="4" s="1"/>
  <c r="I21" i="4"/>
  <c r="U21" i="4" s="1"/>
  <c r="H21" i="4"/>
  <c r="T21" i="4" s="1"/>
  <c r="G21" i="4"/>
  <c r="S21" i="4" s="1"/>
  <c r="F21" i="4"/>
  <c r="R21" i="4" s="1"/>
  <c r="E21" i="4"/>
  <c r="Q21" i="4" s="1"/>
  <c r="D20" i="4" a="1"/>
  <c r="E20" i="4" s="1"/>
  <c r="Q20" i="4" s="1"/>
  <c r="Q31" i="4" s="1"/>
  <c r="P8" i="3"/>
  <c r="P9" i="3"/>
  <c r="P10" i="3"/>
  <c r="P11" i="3"/>
  <c r="P12" i="3"/>
  <c r="N13" i="3"/>
  <c r="N12" i="3"/>
  <c r="N11" i="3"/>
  <c r="N10" i="3"/>
  <c r="J7" i="3"/>
  <c r="J8" i="3"/>
  <c r="J9" i="3"/>
  <c r="J10" i="3"/>
  <c r="J11" i="3"/>
  <c r="J12" i="3"/>
  <c r="J13" i="3"/>
  <c r="J14" i="3"/>
  <c r="I11" i="3"/>
  <c r="I10" i="3"/>
  <c r="I9" i="3"/>
  <c r="I8" i="3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1" i="4"/>
  <c r="D21" i="4"/>
  <c r="P21" i="4" s="1"/>
  <c r="D2" i="4" a="1"/>
  <c r="E2" i="4" s="1"/>
  <c r="J17" i="2"/>
  <c r="K18" i="2"/>
  <c r="K19" i="2" s="1"/>
  <c r="K20" i="2" s="1"/>
  <c r="K21" i="2" s="1"/>
  <c r="K22" i="2" s="1"/>
  <c r="K23" i="2" s="1"/>
  <c r="J4" i="2"/>
  <c r="O7" i="5" l="1"/>
  <c r="O46" i="4"/>
  <c r="O47" i="4"/>
  <c r="O48" i="4"/>
  <c r="O49" i="4"/>
  <c r="O50" i="4"/>
  <c r="O45" i="4"/>
  <c r="O43" i="4"/>
  <c r="AA29" i="4"/>
  <c r="Z29" i="4"/>
  <c r="U25" i="4"/>
  <c r="N29" i="4"/>
  <c r="S27" i="4"/>
  <c r="S25" i="4"/>
  <c r="S23" i="4"/>
  <c r="V22" i="4"/>
  <c r="A19" i="4"/>
  <c r="B14" i="4" s="1"/>
  <c r="R26" i="4"/>
  <c r="Q23" i="4"/>
  <c r="W24" i="4"/>
  <c r="W22" i="4"/>
  <c r="V24" i="4"/>
  <c r="U24" i="4"/>
  <c r="U22" i="4"/>
  <c r="AA20" i="4"/>
  <c r="AG29" i="4"/>
  <c r="AE29" i="4"/>
  <c r="AF29" i="4"/>
  <c r="AD29" i="4"/>
  <c r="AC29" i="4"/>
  <c r="AB29" i="4"/>
  <c r="Q25" i="4"/>
  <c r="M33" i="4"/>
  <c r="M29" i="4"/>
  <c r="R22" i="4"/>
  <c r="P24" i="4"/>
  <c r="T27" i="4"/>
  <c r="W27" i="4"/>
  <c r="W26" i="4"/>
  <c r="W25" i="4"/>
  <c r="W23" i="4"/>
  <c r="T22" i="4"/>
  <c r="Q27" i="4"/>
  <c r="Q22" i="4"/>
  <c r="P27" i="4"/>
  <c r="P25" i="4"/>
  <c r="P22" i="4"/>
  <c r="V27" i="4"/>
  <c r="V26" i="4"/>
  <c r="V25" i="4"/>
  <c r="V23" i="4"/>
  <c r="U26" i="4"/>
  <c r="U23" i="4"/>
  <c r="T26" i="4"/>
  <c r="T25" i="4"/>
  <c r="M21" i="4"/>
  <c r="M35" i="4"/>
  <c r="M31" i="4"/>
  <c r="P26" i="4"/>
  <c r="R2" i="4"/>
  <c r="D2" i="4"/>
  <c r="M27" i="4"/>
  <c r="Q2" i="4"/>
  <c r="M36" i="4"/>
  <c r="M34" i="4"/>
  <c r="M32" i="4"/>
  <c r="M28" i="4"/>
  <c r="M26" i="4"/>
  <c r="M24" i="4"/>
  <c r="M22" i="4"/>
  <c r="S22" i="4"/>
  <c r="S26" i="4"/>
  <c r="S28" i="4"/>
  <c r="S24" i="4"/>
  <c r="P2" i="4"/>
  <c r="O2" i="4"/>
  <c r="M30" i="4"/>
  <c r="M2" i="4"/>
  <c r="I2" i="4"/>
  <c r="H2" i="4"/>
  <c r="G2" i="4"/>
  <c r="M25" i="4"/>
  <c r="M23" i="4"/>
  <c r="L11" i="3"/>
  <c r="X11" i="3" s="1"/>
  <c r="L8" i="3"/>
  <c r="X8" i="3" s="1"/>
  <c r="L9" i="3"/>
  <c r="X9" i="3" s="1"/>
  <c r="L10" i="3"/>
  <c r="X10" i="3" s="1"/>
  <c r="J20" i="2"/>
  <c r="T29" i="2" s="1"/>
  <c r="J21" i="2"/>
  <c r="Q30" i="2" s="1"/>
  <c r="J22" i="2"/>
  <c r="Q31" i="2" s="1"/>
  <c r="J23" i="2"/>
  <c r="R32" i="2" s="1"/>
  <c r="P31" i="2"/>
  <c r="J18" i="2"/>
  <c r="T27" i="2" s="1"/>
  <c r="J19" i="2"/>
  <c r="M28" i="2" s="1"/>
  <c r="T30" i="2"/>
  <c r="S27" i="2"/>
  <c r="S30" i="2"/>
  <c r="P30" i="2"/>
  <c r="K20" i="4"/>
  <c r="W20" i="4" s="1"/>
  <c r="D20" i="4"/>
  <c r="P20" i="4" s="1"/>
  <c r="Z20" i="4" s="1"/>
  <c r="J20" i="4"/>
  <c r="V20" i="4" s="1"/>
  <c r="H20" i="4"/>
  <c r="T20" i="4" s="1"/>
  <c r="F20" i="4"/>
  <c r="R20" i="4" s="1"/>
  <c r="I20" i="4"/>
  <c r="U20" i="4" s="1"/>
  <c r="G20" i="4"/>
  <c r="S20" i="4" s="1"/>
  <c r="N2" i="4"/>
  <c r="L2" i="4"/>
  <c r="K2" i="4"/>
  <c r="J2" i="4"/>
  <c r="S2" i="4"/>
  <c r="F2" i="4"/>
  <c r="K13" i="2"/>
  <c r="K5" i="2"/>
  <c r="T31" i="4" l="1"/>
  <c r="AD20" i="4"/>
  <c r="B10" i="4"/>
  <c r="B5" i="4"/>
  <c r="B6" i="4"/>
  <c r="B7" i="4"/>
  <c r="S31" i="4"/>
  <c r="AC20" i="4"/>
  <c r="B11" i="4"/>
  <c r="U31" i="4"/>
  <c r="AE20" i="4"/>
  <c r="B12" i="4"/>
  <c r="R31" i="4"/>
  <c r="AB20" i="4"/>
  <c r="Z21" i="4" a="1"/>
  <c r="B17" i="4"/>
  <c r="B8" i="4"/>
  <c r="B9" i="4"/>
  <c r="B13" i="4"/>
  <c r="B15" i="4"/>
  <c r="B3" i="4"/>
  <c r="B16" i="4"/>
  <c r="V31" i="4"/>
  <c r="AF20" i="4"/>
  <c r="B18" i="4"/>
  <c r="W31" i="4"/>
  <c r="AG20" i="4"/>
  <c r="B4" i="4"/>
  <c r="P31" i="4"/>
  <c r="S31" i="2"/>
  <c r="T32" i="2"/>
  <c r="T31" i="2"/>
  <c r="P32" i="2"/>
  <c r="P29" i="2"/>
  <c r="M32" i="2"/>
  <c r="Q29" i="2"/>
  <c r="R29" i="2"/>
  <c r="Q32" i="2"/>
  <c r="M29" i="2"/>
  <c r="R30" i="2"/>
  <c r="R31" i="2"/>
  <c r="S32" i="2"/>
  <c r="S29" i="2"/>
  <c r="M30" i="2"/>
  <c r="M31" i="2"/>
  <c r="Q28" i="2"/>
  <c r="R28" i="2"/>
  <c r="S28" i="2"/>
  <c r="T28" i="2"/>
  <c r="P28" i="2"/>
  <c r="P27" i="2"/>
  <c r="Q27" i="2"/>
  <c r="R27" i="2"/>
  <c r="J5" i="2"/>
  <c r="M5" i="2" s="1"/>
  <c r="M27" i="2"/>
  <c r="J13" i="2"/>
  <c r="P13" i="2" s="1"/>
  <c r="K6" i="2"/>
  <c r="J6" i="2" s="1"/>
  <c r="P13" i="3"/>
  <c r="P14" i="3"/>
  <c r="P7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I14" i="3"/>
  <c r="I13" i="3"/>
  <c r="I12" i="3"/>
  <c r="I7" i="3"/>
  <c r="C25" i="3"/>
  <c r="B25" i="3"/>
  <c r="F4" i="1"/>
  <c r="C29" i="2"/>
  <c r="D29" i="2" s="1"/>
  <c r="C3" i="2"/>
  <c r="D3" i="2" s="1"/>
  <c r="C4" i="2"/>
  <c r="D4" i="2" s="1"/>
  <c r="C5" i="2"/>
  <c r="D5" i="2" s="1"/>
  <c r="C6" i="2"/>
  <c r="D6" i="2" s="1"/>
  <c r="C7" i="2"/>
  <c r="D7" i="2" s="1"/>
  <c r="C8" i="2"/>
  <c r="D8" i="2" s="1"/>
  <c r="C9" i="2"/>
  <c r="D9" i="2" s="1"/>
  <c r="C10" i="2"/>
  <c r="D10" i="2" s="1"/>
  <c r="C11" i="2"/>
  <c r="D11" i="2" s="1"/>
  <c r="C12" i="2"/>
  <c r="D12" i="2" s="1"/>
  <c r="C13" i="2"/>
  <c r="D13" i="2" s="1"/>
  <c r="C14" i="2"/>
  <c r="D14" i="2" s="1"/>
  <c r="C15" i="2"/>
  <c r="D15" i="2" s="1"/>
  <c r="C16" i="2"/>
  <c r="D16" i="2" s="1"/>
  <c r="C17" i="2"/>
  <c r="D17" i="2" s="1"/>
  <c r="C18" i="2"/>
  <c r="D18" i="2" s="1"/>
  <c r="C19" i="2"/>
  <c r="D19" i="2" s="1"/>
  <c r="C20" i="2"/>
  <c r="D20" i="2" s="1"/>
  <c r="C21" i="2"/>
  <c r="D21" i="2" s="1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" i="2"/>
  <c r="D2" i="2" s="1"/>
  <c r="Z21" i="4" l="1"/>
  <c r="AE26" i="4"/>
  <c r="AF26" i="4"/>
  <c r="AG26" i="4"/>
  <c r="AB22" i="4"/>
  <c r="AB28" i="4"/>
  <c r="AD22" i="4"/>
  <c r="AD28" i="4"/>
  <c r="AE22" i="4"/>
  <c r="AE28" i="4"/>
  <c r="AF28" i="4"/>
  <c r="AC22" i="4"/>
  <c r="AC28" i="4"/>
  <c r="AF22" i="4"/>
  <c r="AG22" i="4"/>
  <c r="AG28" i="4"/>
  <c r="AC24" i="4"/>
  <c r="AD24" i="4"/>
  <c r="AE24" i="4"/>
  <c r="AG24" i="4"/>
  <c r="AF24" i="4"/>
  <c r="AC26" i="4"/>
  <c r="AD26" i="4"/>
  <c r="Z26" i="4"/>
  <c r="AF23" i="4"/>
  <c r="AC23" i="4"/>
  <c r="AA23" i="4"/>
  <c r="AF25" i="4"/>
  <c r="AE25" i="4"/>
  <c r="AC27" i="4"/>
  <c r="AA27" i="4"/>
  <c r="AA28" i="4"/>
  <c r="Z22" i="4"/>
  <c r="AC25" i="4"/>
  <c r="AA25" i="4"/>
  <c r="AB26" i="4"/>
  <c r="AC21" i="4"/>
  <c r="AA21" i="4"/>
  <c r="Z24" i="4"/>
  <c r="AA26" i="4"/>
  <c r="AB24" i="4"/>
  <c r="AF27" i="4"/>
  <c r="AG21" i="4"/>
  <c r="AG25" i="4"/>
  <c r="AE21" i="4"/>
  <c r="AF21" i="4"/>
  <c r="AE27" i="4"/>
  <c r="AD21" i="4"/>
  <c r="AA22" i="4"/>
  <c r="AE23" i="4"/>
  <c r="Z27" i="4"/>
  <c r="AG23" i="4"/>
  <c r="AB27" i="4"/>
  <c r="Z25" i="4"/>
  <c r="Y36" i="4" s="1"/>
  <c r="AD27" i="4"/>
  <c r="AB25" i="4"/>
  <c r="Z23" i="4"/>
  <c r="Y34" i="4" s="1"/>
  <c r="Z28" i="4"/>
  <c r="AG27" i="4"/>
  <c r="AD25" i="4"/>
  <c r="AB23" i="4"/>
  <c r="AD23" i="4"/>
  <c r="AB21" i="4"/>
  <c r="AA24" i="4"/>
  <c r="O32" i="4" a="1"/>
  <c r="O38" i="4" s="1"/>
  <c r="B19" i="4"/>
  <c r="L13" i="3"/>
  <c r="X13" i="3" s="1"/>
  <c r="L12" i="3"/>
  <c r="X12" i="3" s="1"/>
  <c r="L14" i="3"/>
  <c r="X14" i="3" s="1"/>
  <c r="M14" i="3"/>
  <c r="N14" i="3" s="1"/>
  <c r="K7" i="2"/>
  <c r="J7" i="2" s="1"/>
  <c r="M6" i="2"/>
  <c r="L7" i="3"/>
  <c r="X7" i="3" s="1"/>
  <c r="N7" i="3"/>
  <c r="N9" i="3"/>
  <c r="D25" i="3"/>
  <c r="I16" i="3"/>
  <c r="J16" i="3"/>
  <c r="Y39" i="4" l="1"/>
  <c r="O35" i="4"/>
  <c r="Y37" i="4"/>
  <c r="O36" i="4"/>
  <c r="Y35" i="4"/>
  <c r="O33" i="4"/>
  <c r="O39" i="4"/>
  <c r="O32" i="4"/>
  <c r="Y38" i="4"/>
  <c r="O34" i="4"/>
  <c r="O37" i="4"/>
  <c r="Y33" i="4"/>
  <c r="Y32" i="4"/>
  <c r="X15" i="3"/>
  <c r="Y14" i="3" s="1"/>
  <c r="Z14" i="3" s="1"/>
  <c r="Y12" i="3"/>
  <c r="Z12" i="3" s="1"/>
  <c r="Y13" i="3"/>
  <c r="Z13" i="3" s="1"/>
  <c r="K8" i="2"/>
  <c r="J8" i="2" s="1"/>
  <c r="M7" i="2"/>
  <c r="I17" i="3"/>
  <c r="X16" i="3" l="1"/>
  <c r="Y10" i="3"/>
  <c r="Z10" i="3" s="1"/>
  <c r="Y8" i="3"/>
  <c r="Z8" i="3" s="1"/>
  <c r="Y11" i="3"/>
  <c r="Z11" i="3" s="1"/>
  <c r="Y9" i="3"/>
  <c r="Z9" i="3" s="1"/>
  <c r="Y7" i="3"/>
  <c r="K11" i="3"/>
  <c r="T11" i="3" s="1"/>
  <c r="K9" i="3"/>
  <c r="T9" i="3" s="1"/>
  <c r="K10" i="3"/>
  <c r="T10" i="3" s="1"/>
  <c r="K8" i="3"/>
  <c r="T8" i="3" s="1"/>
  <c r="K12" i="3"/>
  <c r="T12" i="3" s="1"/>
  <c r="K14" i="3"/>
  <c r="T14" i="3" s="1"/>
  <c r="K13" i="3"/>
  <c r="T13" i="3" s="1"/>
  <c r="K9" i="2"/>
  <c r="J9" i="2" s="1"/>
  <c r="M8" i="2"/>
  <c r="K7" i="3"/>
  <c r="T7" i="3" s="1"/>
  <c r="Z7" i="3" l="1"/>
  <c r="Y15" i="3"/>
  <c r="K16" i="3"/>
  <c r="K10" i="2"/>
  <c r="J10" i="2" s="1"/>
  <c r="M9" i="2"/>
  <c r="M10" i="2" l="1"/>
</calcChain>
</file>

<file path=xl/sharedStrings.xml><?xml version="1.0" encoding="utf-8"?>
<sst xmlns="http://schemas.openxmlformats.org/spreadsheetml/2006/main" count="138" uniqueCount="94">
  <si>
    <t>Year</t>
  </si>
  <si>
    <t>Pop</t>
  </si>
  <si>
    <t>rate</t>
  </si>
  <si>
    <t>Weeks</t>
  </si>
  <si>
    <t>Population of the United States by sex and age 2019</t>
  </si>
  <si>
    <t>Resident population of the United States by sex and age as of July 1, 2019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</si>
  <si>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</si>
  <si>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</si>
  <si>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</si>
  <si>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</si>
  <si>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</si>
  <si>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</si>
  <si>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</si>
  <si>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</si>
  <si>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</si>
  <si>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</si>
  <si>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</si>
  <si>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</si>
  <si>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</si>
  <si>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</si>
  <si>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</si>
  <si>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</si>
  <si>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</si>
  <si>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</si>
  <si>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</si>
  <si>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</si>
  <si>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sum</t>
  </si>
  <si>
    <t>0-4</t>
  </si>
  <si>
    <t>50-64</t>
  </si>
  <si>
    <t>%</t>
  </si>
  <si>
    <t>65-74</t>
  </si>
  <si>
    <t>75+</t>
  </si>
  <si>
    <t>pop</t>
  </si>
  <si>
    <t>StDev</t>
  </si>
  <si>
    <t>Hospitalization Risk</t>
  </si>
  <si>
    <t>Mean</t>
  </si>
  <si>
    <t>N</t>
  </si>
  <si>
    <t>n</t>
  </si>
  <si>
    <t>Vaccination</t>
  </si>
  <si>
    <t>&lt;12</t>
  </si>
  <si>
    <t>16-17</t>
  </si>
  <si>
    <t>18-24</t>
  </si>
  <si>
    <t>25-39</t>
  </si>
  <si>
    <t>40-49</t>
  </si>
  <si>
    <t>12-15</t>
  </si>
  <si>
    <t>#</t>
  </si>
  <si>
    <t>Week</t>
  </si>
  <si>
    <t>Pycharm</t>
  </si>
  <si>
    <t xml:space="preserve">Vaccine coverage </t>
  </si>
  <si>
    <t>Today</t>
  </si>
  <si>
    <t>Min</t>
  </si>
  <si>
    <t>Max</t>
  </si>
  <si>
    <t>Date</t>
  </si>
  <si>
    <t>Overall</t>
  </si>
  <si>
    <t>65-75</t>
  </si>
  <si>
    <t>Value</t>
  </si>
  <si>
    <t>5-12</t>
  </si>
  <si>
    <t>13-17</t>
  </si>
  <si>
    <t>18-29</t>
  </si>
  <si>
    <t>30-49</t>
  </si>
  <si>
    <t>&lt;1</t>
  </si>
  <si>
    <t>Sum</t>
  </si>
  <si>
    <t>Mortality Risk (%) (Table)</t>
  </si>
  <si>
    <t>Hosp Rate</t>
  </si>
  <si>
    <t>Hosp</t>
  </si>
  <si>
    <t>Overal rate</t>
  </si>
  <si>
    <t>Age</t>
  </si>
  <si>
    <t>Pop Dist</t>
  </si>
  <si>
    <t>lambda_ij</t>
  </si>
  <si>
    <t>lambda_ji</t>
  </si>
  <si>
    <t>w_j</t>
  </si>
  <si>
    <t>w_i</t>
  </si>
  <si>
    <t># of contacts per day</t>
  </si>
  <si>
    <t>Balanced # of contacts</t>
  </si>
  <si>
    <t>Last Day of 2-week Sequencing</t>
  </si>
  <si>
    <t>USA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</si>
  <si>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</si>
  <si>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</si>
  <si>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</si>
  <si>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</si>
  <si>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</si>
  <si>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</si>
  <si>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</si>
  <si>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</si>
  <si>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</si>
  <si>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</si>
  <si>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4_10_2021</t>
  </si>
  <si>
    <t>4_24_2021</t>
  </si>
  <si>
    <t>5_8_2021</t>
  </si>
  <si>
    <t>5_22_2021</t>
  </si>
  <si>
    <t>6_5_2021</t>
  </si>
  <si>
    <t>6_19_2021</t>
  </si>
  <si>
    <t>7_3_2021</t>
  </si>
  <si>
    <t>PyCharm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</si>
</sst>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0.0"/>
    <numFmt numFmtId="166" formatCode="#,##0.##"/>
    <numFmt numFmtId="167" formatCode="0.000"/>
    <numFmt numFmtId="168" formatCode="0.0%"/>
    <numFmt numFmtId="169" formatCode="#,##0.0000"/>
    <numFmt numFmtId="170" formatCode="[$-409]d\-mmm\-yy;@"/>
  </numFmts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2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76">
    <xf numFmtId="0" fontId="0" fillId="0" borderId="0" xfId="0"/>
    <xf numFmtId="14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0" fontId="0" fillId="0" borderId="1" xfId="0" applyBorder="1"/>
    <xf numFmtId="164" fontId="0" fillId="0" borderId="0" xfId="0" applyNumberFormat="1" applyBorder="1"/>
    <xf numFmtId="0" fontId="0" fillId="0" borderId="0" xfId="0" applyBorder="1"/>
    <xf numFmtId="165" fontId="0" fillId="0" borderId="0" xfId="0" applyNumberFormat="1"/>
    <xf numFmtId="165" fontId="0" fillId="0" borderId="1" xfId="0" applyNumberFormat="1" applyBorder="1"/>
    <xf numFmtId="9" fontId="0" fillId="0" borderId="0" xfId="0" applyNumberFormat="1"/>
    <xf numFmtId="0" fontId="2" fillId="0" borderId="0" xfId="1"/>
    <xf numFmtId="0" fontId="3" fillId="0" borderId="0" xfId="1" applyNumberFormat="1" applyFont="1" applyFill="1" applyBorder="1" applyAlignment="1" applyProtection="1">
      <alignment horizontal="left" vertical="center"/>
    </xf>
    <xf numFmtId="0" fontId="2" fillId="0" borderId="0" xfId="1" applyNumberFormat="1" applyFont="1" applyFill="1" applyBorder="1" applyAlignment="1" applyProtection="1">
      <alignment horizontal="left" vertical="center"/>
    </xf>
    <xf numFmtId="166" fontId="0" fillId="0" borderId="0" xfId="0" applyNumberFormat="1"/>
    <xf numFmtId="0" fontId="2" fillId="0" borderId="1" xfId="1" applyNumberFormat="1" applyFont="1" applyFill="1" applyBorder="1" applyAlignment="1" applyProtection="1">
      <alignment horizontal="left" vertical="center"/>
    </xf>
    <xf numFmtId="16" fontId="0" fillId="0" borderId="0" xfId="0" quotePrefix="1" applyNumberFormat="1"/>
    <xf numFmtId="166" fontId="0" fillId="0" borderId="1" xfId="0" applyNumberFormat="1" applyBorder="1"/>
    <xf numFmtId="10" fontId="0" fillId="0" borderId="0" xfId="0" applyNumberFormat="1"/>
    <xf numFmtId="167" fontId="0" fillId="0" borderId="1" xfId="0" applyNumberFormat="1" applyBorder="1"/>
    <xf numFmtId="168" fontId="0" fillId="0" borderId="0" xfId="0" applyNumberFormat="1"/>
    <xf numFmtId="0" fontId="4" fillId="0" borderId="0" xfId="7"/>
    <xf numFmtId="167" fontId="0" fillId="2" borderId="0" xfId="0" applyNumberFormat="1" applyFill="1"/>
    <xf numFmtId="3" fontId="2" fillId="0" borderId="0" xfId="1" applyNumberFormat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center" vertical="center"/>
    </xf>
    <xf numFmtId="166" fontId="2" fillId="0" borderId="0" xfId="1" applyNumberFormat="1" applyFont="1" applyFill="1" applyBorder="1" applyAlignment="1" applyProtection="1">
      <alignment horizontal="center" vertical="center"/>
    </xf>
    <xf numFmtId="166" fontId="2" fillId="0" borderId="1" xfId="1" applyNumberFormat="1" applyFont="1" applyFill="1" applyBorder="1" applyAlignment="1" applyProtection="1">
      <alignment horizontal="center" vertical="center"/>
    </xf>
    <xf numFmtId="166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2" borderId="0" xfId="0" applyNumberFormat="1" applyFill="1" applyAlignment="1">
      <alignment horizontal="center"/>
    </xf>
    <xf numFmtId="169" fontId="0" fillId="0" borderId="0" xfId="0" applyNumberFormat="1"/>
    <xf numFmtId="2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5" fillId="0" borderId="1" xfId="0" applyFont="1" applyBorder="1"/>
    <xf numFmtId="0" fontId="5" fillId="0" borderId="1" xfId="0" applyFont="1" applyBorder="1" applyAlignment="1">
      <alignment horizontal="center"/>
    </xf>
    <xf numFmtId="14" fontId="0" fillId="2" borderId="0" xfId="0" applyNumberFormat="1" applyFill="1"/>
    <xf numFmtId="0" fontId="0" fillId="2" borderId="0" xfId="0" applyFill="1"/>
    <xf numFmtId="0" fontId="0" fillId="0" borderId="0" xfId="0" applyAlignment="1">
      <alignment horizontal="center"/>
    </xf>
    <xf numFmtId="15" fontId="0" fillId="0" borderId="0" xfId="0" applyNumberFormat="1"/>
    <xf numFmtId="170" fontId="0" fillId="0" borderId="0" xfId="0" applyNumberFormat="1"/>
    <xf numFmtId="0" fontId="5" fillId="0" borderId="2" xfId="0" applyFont="1" applyBorder="1" applyAlignment="1">
      <alignment horizontal="center"/>
    </xf>
    <xf numFmtId="170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" fontId="5" fillId="0" borderId="2" xfId="0" quotePrefix="1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170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3" fillId="0" borderId="1" xfId="1" applyNumberFormat="1" applyFon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/>
    </xf>
    <xf numFmtId="0" fontId="4" fillId="0" borderId="1" xfId="7" applyNumberFormat="1" applyFill="1" applyBorder="1" applyAlignment="1" applyProtection="1">
      <alignment horizontal="center" wrapText="1"/>
    </xf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0" xfId="0" quotePrefix="1"/>
    <xf numFmtId="166" fontId="5" fillId="0" borderId="0" xfId="0" applyNumberFormat="1" applyFont="1"/>
    <xf numFmtId="167" fontId="5" fillId="2" borderId="0" xfId="0" applyNumberFormat="1" applyFont="1" applyFill="1"/>
    <xf numFmtId="165" fontId="5" fillId="0" borderId="0" xfId="0" applyNumberFormat="1" applyFont="1" applyAlignment="1">
      <alignment horizontal="center"/>
    </xf>
    <xf numFmtId="165" fontId="5" fillId="2" borderId="0" xfId="0" applyNumberFormat="1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167" fontId="0" fillId="0" borderId="0" xfId="0" applyNumberFormat="1"/>
    <xf numFmtId="16" fontId="5" fillId="0" borderId="0" xfId="0" quotePrefix="1" applyNumberFormat="1" applyFont="1"/>
    <xf numFmtId="168" fontId="0" fillId="0" borderId="0" xfId="0" applyNumberFormat="1" applyAlignment="1">
      <alignment horizontal="center"/>
    </xf>
    <xf numFmtId="168" fontId="5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1" xfId="0" applyNumberFormat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4" fillId="0" borderId="0" xfId="7" applyAlignment="1">
      <alignment horizontal="center"/>
    </xf>
    <xf numFmtId="0" fontId="4" fillId="0" borderId="0" xfId="7" applyAlignment="1">
      <alignment horizontal="center" wrapText="1"/>
    </xf>
  </cellXfs>
  <cellStyles count="8">
    <cellStyle name="Comma [0] 2" xfId="6" xr:uid="{6B5881C9-9ACE-4BDF-9BB2-8272691A0155}"/>
    <cellStyle name="Comma 2" xfId="5" xr:uid="{BF4829FB-E8E4-413E-9608-4FFD6FC96CB1}"/>
    <cellStyle name="Currency [0] 2" xfId="4" xr:uid="{588817CB-B311-4A00-94B3-5EC5C5BDF693}"/>
    <cellStyle name="Currency 2" xfId="3" xr:uid="{3F47A754-FB25-43AD-A6E6-F6429815720E}"/>
    <cellStyle name="Hyperlink" xfId="7" builtinId="8"/>
    <cellStyle name="Normal" xfId="0" builtinId="0"/>
    <cellStyle name="Normal 2" xfId="1" xr:uid="{276E414D-F8B8-4B43-888C-ED5AE2DC3225}"/>
    <cellStyle name="Percent 2" xfId="2" xr:uid="{F64CDE67-7CF9-4260-BDE1-BFFAB22A266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statista.com/statistics/241488/population-of-the-us-by-sex-and-age/" TargetMode="External"/><Relationship Id="rId2" Type="http://schemas.openxmlformats.org/officeDocument/2006/relationships/hyperlink" Target="https://pubmed.ncbi.nlm.nih.gov/33830226/" TargetMode="External"/><Relationship Id="rId1" Type="http://schemas.openxmlformats.org/officeDocument/2006/relationships/hyperlink" Target="https://www.cdc.gov/coronavirus/2019-ncov/covid-data/investigations-discovery/hospitalization-death-by-age.html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www.cdc.gov/coronavirus/2019-ncov/covid-data/investigations-discovery/hospitalization-death-by-age.html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6250-A646-4EDC-A1EB-7E5605B1B8BA}">
  <dimension ref="A1:T280"/>
  <sheetViews>
    <sheetView showGridLines="0" topLeftCell="C13" workbookViewId="0">
      <selection activeCell="T27" sqref="T27:T32"/>
    </sheetView>
  </sheetViews>
  <sheetFormatPr defaultRowHeight="15" x14ac:dyDescent="0.25"/>
  <cols>
    <col min="1" max="1" width="17.5703125" bestFit="1" customWidth="1"/>
    <col min="6" max="6" width="11" bestFit="1" customWidth="1"/>
    <col min="7" max="7" width="10.140625" bestFit="1" customWidth="1"/>
    <col min="10" max="10" width="12.140625" customWidth="1"/>
    <col min="11" max="11" width="8.28515625" customWidth="1"/>
    <col min="13" max="13" width="10.85546875" bestFit="1" customWidth="1"/>
  </cols>
  <sheetData>
    <row r="1" spans="1:20" x14ac:dyDescent="0.25">
      <c r="C1" t="s">
        <v>0</v>
      </c>
      <c r="D1" t="s">
        <v>3</v>
      </c>
      <c r="F1" t="s">
        <v>46</v>
      </c>
    </row>
    <row r="2" spans="1:20" x14ac:dyDescent="0.25">
      <c r="A2" s="2">
        <v>43891</v>
      </c>
      <c r="B2">
        <v>1</v>
      </c>
      <c r="C2">
        <f>(B2-1)/12</f>
        <v>0</v>
      </c>
      <c r="D2" s="7">
        <f>C2*52</f>
        <v>0</v>
      </c>
      <c r="F2">
        <v>1</v>
      </c>
      <c r="G2" s="39">
        <v>43891</v>
      </c>
      <c r="I2" s="73" t="s">
        <v>48</v>
      </c>
      <c r="J2" s="73"/>
      <c r="K2" s="73"/>
      <c r="L2" s="73"/>
      <c r="M2" s="73"/>
      <c r="N2" s="73"/>
      <c r="O2" s="73"/>
    </row>
    <row r="3" spans="1:20" x14ac:dyDescent="0.25">
      <c r="A3" s="2">
        <v>43922</v>
      </c>
      <c r="B3">
        <v>2</v>
      </c>
      <c r="C3">
        <f t="shared" ref="C3:C29" si="0">(B3-1)/12</f>
        <v>8.3333333333333329E-2</v>
      </c>
      <c r="D3" s="7">
        <f t="shared" ref="D3:D29" si="1">C3*52</f>
        <v>4.333333333333333</v>
      </c>
      <c r="F3">
        <v>2</v>
      </c>
      <c r="G3" s="39">
        <v>43898</v>
      </c>
      <c r="I3" s="40"/>
      <c r="J3" s="40" t="s">
        <v>52</v>
      </c>
      <c r="K3" s="40" t="s">
        <v>46</v>
      </c>
      <c r="L3" s="40" t="s">
        <v>55</v>
      </c>
      <c r="M3" s="40" t="s">
        <v>47</v>
      </c>
      <c r="N3" s="40"/>
      <c r="O3" s="40"/>
    </row>
    <row r="4" spans="1:20" x14ac:dyDescent="0.25">
      <c r="A4" s="2">
        <v>43952</v>
      </c>
      <c r="B4">
        <v>3</v>
      </c>
      <c r="C4">
        <f t="shared" si="0"/>
        <v>0.16666666666666666</v>
      </c>
      <c r="D4" s="7">
        <f t="shared" si="1"/>
        <v>8.6666666666666661</v>
      </c>
      <c r="F4">
        <v>3</v>
      </c>
      <c r="G4" s="39">
        <v>43905</v>
      </c>
      <c r="J4" s="45">
        <f>VLOOKUP(K4,$F$2:$G$128,2,FALSE)</f>
        <v>44199</v>
      </c>
      <c r="K4" s="46">
        <v>45</v>
      </c>
      <c r="L4" s="37">
        <v>3.6000000000000001E-5</v>
      </c>
    </row>
    <row r="5" spans="1:20" x14ac:dyDescent="0.25">
      <c r="A5" s="2">
        <v>43983</v>
      </c>
      <c r="B5">
        <v>4</v>
      </c>
      <c r="C5">
        <f t="shared" si="0"/>
        <v>0.25</v>
      </c>
      <c r="D5" s="7">
        <f t="shared" si="1"/>
        <v>13</v>
      </c>
      <c r="F5">
        <v>4</v>
      </c>
      <c r="G5" s="39">
        <v>43912</v>
      </c>
      <c r="J5" s="45">
        <f t="shared" ref="J5:J10" si="2">VLOOKUP(K5,$F$2:$G$128,2,FALSE)</f>
        <v>44227</v>
      </c>
      <c r="K5" s="37">
        <f>K4+4</f>
        <v>49</v>
      </c>
      <c r="L5" s="37">
        <v>1.0718E-2</v>
      </c>
      <c r="M5" t="str">
        <f>"["&amp;K5&amp;", "&amp;L5*100&amp;"]," &amp; "  # "&amp;TEXT(J5,"[$-en-US]d-mmm-yy;@")</f>
        <v>[49, 1.0718],  # 31-Jan-21</v>
      </c>
    </row>
    <row r="6" spans="1:20" x14ac:dyDescent="0.25">
      <c r="A6" s="2">
        <v>44013</v>
      </c>
      <c r="B6">
        <v>5</v>
      </c>
      <c r="C6">
        <f t="shared" si="0"/>
        <v>0.33333333333333331</v>
      </c>
      <c r="D6" s="7">
        <f t="shared" si="1"/>
        <v>17.333333333333332</v>
      </c>
      <c r="F6">
        <v>5</v>
      </c>
      <c r="G6" s="39">
        <v>43919</v>
      </c>
      <c r="J6" s="45">
        <f t="shared" si="2"/>
        <v>44255</v>
      </c>
      <c r="K6" s="37">
        <f t="shared" ref="K6:K10" si="3">K5+4</f>
        <v>53</v>
      </c>
      <c r="L6" s="37">
        <v>6.9001000000000007E-2</v>
      </c>
      <c r="M6" t="str">
        <f t="shared" ref="M6:M10" si="4">"["&amp;K6&amp;", "&amp;L6*100&amp;"]," &amp; "  # "&amp;TEXT(J6,"[$-en-US]d-mmm-yy;@")</f>
        <v>[53, 6.9001],  # 28-Feb-21</v>
      </c>
    </row>
    <row r="7" spans="1:20" x14ac:dyDescent="0.25">
      <c r="A7" s="2">
        <v>44044</v>
      </c>
      <c r="B7">
        <v>6</v>
      </c>
      <c r="C7">
        <f t="shared" si="0"/>
        <v>0.41666666666666669</v>
      </c>
      <c r="D7" s="7">
        <f t="shared" si="1"/>
        <v>21.666666666666668</v>
      </c>
      <c r="F7">
        <v>6</v>
      </c>
      <c r="G7" s="39">
        <v>43926</v>
      </c>
      <c r="J7" s="45">
        <f t="shared" si="2"/>
        <v>44283</v>
      </c>
      <c r="K7" s="37">
        <f t="shared" si="3"/>
        <v>57</v>
      </c>
      <c r="L7" s="37">
        <v>0.14792</v>
      </c>
      <c r="M7" t="str">
        <f t="shared" si="4"/>
        <v>[57, 14.792],  # 28-Mar-21</v>
      </c>
    </row>
    <row r="8" spans="1:20" x14ac:dyDescent="0.25">
      <c r="A8" s="2">
        <v>44075</v>
      </c>
      <c r="B8">
        <v>7</v>
      </c>
      <c r="C8">
        <f t="shared" si="0"/>
        <v>0.5</v>
      </c>
      <c r="D8" s="7">
        <f t="shared" si="1"/>
        <v>26</v>
      </c>
      <c r="F8">
        <v>7</v>
      </c>
      <c r="G8" s="39">
        <v>43933</v>
      </c>
      <c r="J8" s="45">
        <f t="shared" si="2"/>
        <v>44311</v>
      </c>
      <c r="K8" s="37">
        <f t="shared" si="3"/>
        <v>61</v>
      </c>
      <c r="L8" s="37">
        <v>0.27776099999999998</v>
      </c>
      <c r="M8" t="str">
        <f t="shared" si="4"/>
        <v>[61, 27.7761],  # 25-Apr-21</v>
      </c>
    </row>
    <row r="9" spans="1:20" x14ac:dyDescent="0.25">
      <c r="A9" s="2">
        <v>44105</v>
      </c>
      <c r="B9">
        <v>8</v>
      </c>
      <c r="C9">
        <f t="shared" si="0"/>
        <v>0.58333333333333337</v>
      </c>
      <c r="D9" s="7">
        <f t="shared" si="1"/>
        <v>30.333333333333336</v>
      </c>
      <c r="F9">
        <v>8</v>
      </c>
      <c r="G9" s="39">
        <v>43940</v>
      </c>
      <c r="J9" s="45">
        <f t="shared" si="2"/>
        <v>44339</v>
      </c>
      <c r="K9" s="37">
        <f t="shared" si="3"/>
        <v>65</v>
      </c>
      <c r="L9" s="37">
        <v>0.38950400000000002</v>
      </c>
      <c r="M9" t="str">
        <f t="shared" si="4"/>
        <v>[65, 38.9504],  # 23-May-21</v>
      </c>
    </row>
    <row r="10" spans="1:20" x14ac:dyDescent="0.25">
      <c r="A10" s="2">
        <v>44136</v>
      </c>
      <c r="B10">
        <v>9</v>
      </c>
      <c r="C10">
        <f t="shared" si="0"/>
        <v>0.66666666666666663</v>
      </c>
      <c r="D10" s="7">
        <f t="shared" si="1"/>
        <v>34.666666666666664</v>
      </c>
      <c r="F10">
        <v>9</v>
      </c>
      <c r="G10" s="39">
        <v>43947</v>
      </c>
      <c r="I10" s="4"/>
      <c r="J10" s="47">
        <f t="shared" si="2"/>
        <v>44367</v>
      </c>
      <c r="K10" s="42">
        <f t="shared" si="3"/>
        <v>69</v>
      </c>
      <c r="L10" s="42">
        <v>0.452347</v>
      </c>
      <c r="M10" s="4" t="str">
        <f t="shared" si="4"/>
        <v>[69, 45.2347],  # 20-Jun-21</v>
      </c>
      <c r="N10" s="4"/>
      <c r="O10" s="4"/>
    </row>
    <row r="11" spans="1:20" x14ac:dyDescent="0.25">
      <c r="A11" s="2">
        <v>44166</v>
      </c>
      <c r="B11">
        <v>10</v>
      </c>
      <c r="C11">
        <f t="shared" si="0"/>
        <v>0.75</v>
      </c>
      <c r="D11" s="7">
        <f t="shared" si="1"/>
        <v>39</v>
      </c>
      <c r="F11">
        <v>10</v>
      </c>
      <c r="G11" s="39">
        <v>43954</v>
      </c>
    </row>
    <row r="12" spans="1:20" x14ac:dyDescent="0.25">
      <c r="A12" s="2">
        <v>44197</v>
      </c>
      <c r="B12">
        <v>11</v>
      </c>
      <c r="C12">
        <f t="shared" si="0"/>
        <v>0.83333333333333337</v>
      </c>
      <c r="D12" s="7">
        <f t="shared" si="1"/>
        <v>43.333333333333336</v>
      </c>
      <c r="F12">
        <v>11</v>
      </c>
      <c r="G12" s="39">
        <v>43961</v>
      </c>
      <c r="J12" s="34" t="s">
        <v>52</v>
      </c>
      <c r="K12" s="34" t="s">
        <v>46</v>
      </c>
      <c r="L12" s="34" t="s">
        <v>35</v>
      </c>
      <c r="M12" s="34" t="s">
        <v>50</v>
      </c>
      <c r="N12" s="34" t="s">
        <v>51</v>
      </c>
    </row>
    <row r="13" spans="1:20" x14ac:dyDescent="0.25">
      <c r="A13" s="2">
        <v>44228</v>
      </c>
      <c r="B13">
        <v>12</v>
      </c>
      <c r="C13">
        <f t="shared" si="0"/>
        <v>0.91666666666666663</v>
      </c>
      <c r="D13" s="7">
        <f t="shared" si="1"/>
        <v>47.666666666666664</v>
      </c>
      <c r="F13">
        <v>12</v>
      </c>
      <c r="G13" s="39">
        <v>43968</v>
      </c>
      <c r="I13" s="4" t="s">
        <v>49</v>
      </c>
      <c r="J13" s="41">
        <f>VLOOKUP(K13,F10:G136,2,FALSE)</f>
        <v>44374</v>
      </c>
      <c r="K13" s="42">
        <f>F71</f>
        <v>70</v>
      </c>
      <c r="L13" s="43">
        <v>0.46429999999999999</v>
      </c>
      <c r="M13" s="43">
        <v>0.3231</v>
      </c>
      <c r="N13" s="43">
        <v>0.65569999999999995</v>
      </c>
      <c r="P13" s="4" t="str">
        <f>"["&amp;K13&amp;", "&amp;L13*100&amp;", "&amp;M13*100&amp;", "&amp;N13*100&amp;"]," &amp; "  # "&amp;TEXT(J13,"[$-en-US]d-mmm-yy;@")</f>
        <v>[70, 46.43, 32.31, 65.57],  # 27-Jun-21</v>
      </c>
      <c r="Q13" s="4"/>
    </row>
    <row r="14" spans="1:20" x14ac:dyDescent="0.25">
      <c r="A14" s="2">
        <v>44256</v>
      </c>
      <c r="B14">
        <v>13</v>
      </c>
      <c r="C14">
        <f t="shared" si="0"/>
        <v>1</v>
      </c>
      <c r="D14" s="7">
        <f t="shared" si="1"/>
        <v>52</v>
      </c>
      <c r="F14">
        <v>13</v>
      </c>
      <c r="G14" s="39">
        <v>43975</v>
      </c>
    </row>
    <row r="15" spans="1:20" x14ac:dyDescent="0.25">
      <c r="A15" s="2">
        <v>44287</v>
      </c>
      <c r="B15">
        <v>14</v>
      </c>
      <c r="C15">
        <f t="shared" si="0"/>
        <v>1.0833333333333333</v>
      </c>
      <c r="D15" s="7">
        <f t="shared" si="1"/>
        <v>56.333333333333329</v>
      </c>
      <c r="F15">
        <v>14</v>
      </c>
      <c r="G15" s="39">
        <v>43982</v>
      </c>
    </row>
    <row r="16" spans="1:20" x14ac:dyDescent="0.25">
      <c r="A16" s="2">
        <v>44317</v>
      </c>
      <c r="B16">
        <v>15</v>
      </c>
      <c r="C16">
        <f t="shared" si="0"/>
        <v>1.1666666666666667</v>
      </c>
      <c r="D16" s="7">
        <f t="shared" si="1"/>
        <v>60.666666666666671</v>
      </c>
      <c r="F16">
        <v>15</v>
      </c>
      <c r="G16" s="39">
        <v>43989</v>
      </c>
      <c r="J16" s="40" t="s">
        <v>52</v>
      </c>
      <c r="K16" s="40" t="s">
        <v>46</v>
      </c>
      <c r="L16" s="40" t="s">
        <v>53</v>
      </c>
      <c r="M16" s="40" t="s">
        <v>27</v>
      </c>
      <c r="N16" s="44" t="s">
        <v>56</v>
      </c>
      <c r="O16" s="40" t="s">
        <v>57</v>
      </c>
      <c r="P16" s="44" t="s">
        <v>58</v>
      </c>
      <c r="Q16" s="40" t="s">
        <v>59</v>
      </c>
      <c r="R16" s="40" t="s">
        <v>28</v>
      </c>
      <c r="S16" s="40" t="s">
        <v>54</v>
      </c>
      <c r="T16" s="40" t="s">
        <v>31</v>
      </c>
    </row>
    <row r="17" spans="1:20" x14ac:dyDescent="0.25">
      <c r="A17" s="2">
        <v>44348</v>
      </c>
      <c r="B17">
        <v>16</v>
      </c>
      <c r="C17">
        <f t="shared" si="0"/>
        <v>1.25</v>
      </c>
      <c r="D17" s="7">
        <f t="shared" si="1"/>
        <v>65</v>
      </c>
      <c r="F17">
        <v>16</v>
      </c>
      <c r="G17" s="39">
        <v>43996</v>
      </c>
      <c r="J17" s="45">
        <f>VLOOKUP(K17,$F$2:$G$128,2,FALSE)</f>
        <v>44199</v>
      </c>
      <c r="K17" s="46">
        <v>45</v>
      </c>
      <c r="L17" s="32">
        <v>0</v>
      </c>
      <c r="M17" s="32">
        <v>0</v>
      </c>
      <c r="N17" s="32">
        <v>0</v>
      </c>
      <c r="O17" s="32">
        <v>0</v>
      </c>
      <c r="P17" s="32">
        <v>0</v>
      </c>
      <c r="Q17" s="32">
        <v>1E-4</v>
      </c>
      <c r="R17" s="32">
        <v>1E-4</v>
      </c>
      <c r="S17" s="32">
        <v>0</v>
      </c>
      <c r="T17" s="32">
        <v>0</v>
      </c>
    </row>
    <row r="18" spans="1:20" x14ac:dyDescent="0.25">
      <c r="A18" s="2">
        <v>44378</v>
      </c>
      <c r="B18">
        <v>17</v>
      </c>
      <c r="C18">
        <f t="shared" si="0"/>
        <v>1.3333333333333333</v>
      </c>
      <c r="D18" s="7">
        <f t="shared" si="1"/>
        <v>69.333333333333329</v>
      </c>
      <c r="F18">
        <v>17</v>
      </c>
      <c r="G18" s="39">
        <v>44003</v>
      </c>
      <c r="J18" s="45">
        <f t="shared" ref="J18:J23" si="5">VLOOKUP(K18,$F$2:$G$128,2,FALSE)</f>
        <v>44227</v>
      </c>
      <c r="K18" s="37">
        <f>K17+4</f>
        <v>49</v>
      </c>
      <c r="L18" s="32">
        <v>1.0699999999999999E-2</v>
      </c>
      <c r="M18" s="32">
        <v>0</v>
      </c>
      <c r="N18" s="32">
        <v>0</v>
      </c>
      <c r="O18" s="32">
        <v>1E-4</v>
      </c>
      <c r="P18" s="32">
        <v>0.01</v>
      </c>
      <c r="Q18" s="32">
        <v>1.7600000000000001E-2</v>
      </c>
      <c r="R18" s="32">
        <v>1.6500000000000001E-2</v>
      </c>
      <c r="S18" s="32">
        <v>8.2000000000000007E-3</v>
      </c>
      <c r="T18" s="32">
        <v>7.6E-3</v>
      </c>
    </row>
    <row r="19" spans="1:20" x14ac:dyDescent="0.25">
      <c r="A19" s="3">
        <v>44409</v>
      </c>
      <c r="B19" s="4">
        <v>18</v>
      </c>
      <c r="C19" s="4">
        <f t="shared" si="0"/>
        <v>1.4166666666666667</v>
      </c>
      <c r="D19" s="8">
        <f t="shared" si="1"/>
        <v>73.666666666666671</v>
      </c>
      <c r="F19">
        <v>18</v>
      </c>
      <c r="G19" s="39">
        <v>44010</v>
      </c>
      <c r="J19" s="45">
        <f t="shared" si="5"/>
        <v>44255</v>
      </c>
      <c r="K19" s="37">
        <f t="shared" ref="K19:K23" si="6">K18+4</f>
        <v>53</v>
      </c>
      <c r="L19" s="32">
        <v>6.9000000000000006E-2</v>
      </c>
      <c r="M19" s="32">
        <v>0</v>
      </c>
      <c r="N19" s="32">
        <v>0</v>
      </c>
      <c r="O19" s="32">
        <v>8.0000000000000004E-4</v>
      </c>
      <c r="P19" s="32">
        <v>4.1700000000000001E-2</v>
      </c>
      <c r="Q19" s="32">
        <v>6.6199999999999995E-2</v>
      </c>
      <c r="R19" s="32">
        <v>7.4200000000000002E-2</v>
      </c>
      <c r="S19" s="32">
        <v>0.14499999999999999</v>
      </c>
      <c r="T19" s="32">
        <v>0.23400000000000001</v>
      </c>
    </row>
    <row r="20" spans="1:20" x14ac:dyDescent="0.25">
      <c r="A20" s="2">
        <v>44440</v>
      </c>
      <c r="B20">
        <v>19</v>
      </c>
      <c r="C20">
        <f t="shared" si="0"/>
        <v>1.5</v>
      </c>
      <c r="D20" s="7">
        <f t="shared" si="1"/>
        <v>78</v>
      </c>
      <c r="F20">
        <v>19</v>
      </c>
      <c r="G20" s="39">
        <v>44017</v>
      </c>
      <c r="J20" s="45">
        <f t="shared" si="5"/>
        <v>44283</v>
      </c>
      <c r="K20" s="37">
        <f t="shared" si="6"/>
        <v>57</v>
      </c>
      <c r="L20" s="32">
        <v>0.1497</v>
      </c>
      <c r="M20" s="32">
        <v>0</v>
      </c>
      <c r="N20" s="32">
        <v>1E-4</v>
      </c>
      <c r="O20" s="32">
        <v>2.3E-3</v>
      </c>
      <c r="P20" s="32">
        <v>7.3599999999999999E-2</v>
      </c>
      <c r="Q20" s="32">
        <v>0.1149</v>
      </c>
      <c r="R20" s="32">
        <v>0.15479999999999999</v>
      </c>
      <c r="S20" s="32">
        <v>0.42799999999999999</v>
      </c>
      <c r="T20" s="32">
        <v>0.51080000000000003</v>
      </c>
    </row>
    <row r="21" spans="1:20" x14ac:dyDescent="0.25">
      <c r="A21" s="5">
        <v>44470</v>
      </c>
      <c r="B21" s="6">
        <v>20</v>
      </c>
      <c r="C21" s="6">
        <f t="shared" si="0"/>
        <v>1.5833333333333333</v>
      </c>
      <c r="D21" s="7">
        <f t="shared" si="1"/>
        <v>82.333333333333329</v>
      </c>
      <c r="F21">
        <v>20</v>
      </c>
      <c r="G21" s="39">
        <v>44024</v>
      </c>
      <c r="J21" s="45">
        <f t="shared" si="5"/>
        <v>44311</v>
      </c>
      <c r="K21" s="37">
        <f t="shared" si="6"/>
        <v>61</v>
      </c>
      <c r="L21" s="32">
        <v>0.27779999999999999</v>
      </c>
      <c r="M21" s="32">
        <v>0</v>
      </c>
      <c r="N21" s="32">
        <v>1E-4</v>
      </c>
      <c r="O21" s="32">
        <v>1.34E-2</v>
      </c>
      <c r="P21" s="32">
        <v>0.16850000000000001</v>
      </c>
      <c r="Q21" s="32">
        <v>0.24310000000000001</v>
      </c>
      <c r="R21" s="32">
        <v>0.38450000000000001</v>
      </c>
      <c r="S21" s="32">
        <v>0.66669999999999996</v>
      </c>
      <c r="T21" s="32">
        <v>0.66620000000000001</v>
      </c>
    </row>
    <row r="22" spans="1:20" x14ac:dyDescent="0.25">
      <c r="A22" s="2">
        <v>44501</v>
      </c>
      <c r="B22">
        <v>21</v>
      </c>
      <c r="C22">
        <f t="shared" si="0"/>
        <v>1.6666666666666667</v>
      </c>
      <c r="D22" s="7">
        <f t="shared" si="1"/>
        <v>86.666666666666671</v>
      </c>
      <c r="F22">
        <v>21</v>
      </c>
      <c r="G22" s="39">
        <v>44031</v>
      </c>
      <c r="J22" s="45">
        <f t="shared" si="5"/>
        <v>44339</v>
      </c>
      <c r="K22" s="37">
        <f t="shared" si="6"/>
        <v>65</v>
      </c>
      <c r="L22" s="32">
        <v>0.38950000000000001</v>
      </c>
      <c r="M22" s="32">
        <v>0</v>
      </c>
      <c r="N22" s="32">
        <v>1E-4</v>
      </c>
      <c r="O22" s="32">
        <v>6.9500000000000006E-2</v>
      </c>
      <c r="P22" s="32">
        <v>0.31319999999999998</v>
      </c>
      <c r="Q22" s="32">
        <v>0.39650000000000002</v>
      </c>
      <c r="R22" s="32">
        <v>0.55469999999999997</v>
      </c>
      <c r="S22" s="32">
        <v>0.74639999999999995</v>
      </c>
      <c r="T22" s="32">
        <v>0.72140000000000004</v>
      </c>
    </row>
    <row r="23" spans="1:20" x14ac:dyDescent="0.25">
      <c r="A23" s="2">
        <v>44531</v>
      </c>
      <c r="B23">
        <v>22</v>
      </c>
      <c r="C23">
        <f t="shared" si="0"/>
        <v>1.75</v>
      </c>
      <c r="D23" s="7">
        <f t="shared" si="1"/>
        <v>91</v>
      </c>
      <c r="F23">
        <v>22</v>
      </c>
      <c r="G23" s="39">
        <v>44038</v>
      </c>
      <c r="J23" s="47">
        <f t="shared" si="5"/>
        <v>44367</v>
      </c>
      <c r="K23" s="42">
        <f t="shared" si="6"/>
        <v>69</v>
      </c>
      <c r="L23" s="43">
        <v>0.45229999999999998</v>
      </c>
      <c r="M23" s="43">
        <v>0</v>
      </c>
      <c r="N23" s="43">
        <v>2.7000000000000001E-3</v>
      </c>
      <c r="O23" s="43">
        <v>0.21010000000000001</v>
      </c>
      <c r="P23" s="43">
        <v>0.39489999999999997</v>
      </c>
      <c r="Q23" s="43">
        <v>0.47339999999999999</v>
      </c>
      <c r="R23" s="43">
        <v>0.62309999999999999</v>
      </c>
      <c r="S23" s="43">
        <v>0.78480000000000005</v>
      </c>
      <c r="T23" s="43">
        <v>0.75029999999999997</v>
      </c>
    </row>
    <row r="24" spans="1:20" x14ac:dyDescent="0.25">
      <c r="A24" s="2">
        <v>44562</v>
      </c>
      <c r="B24">
        <v>23</v>
      </c>
      <c r="C24">
        <f t="shared" si="0"/>
        <v>1.8333333333333333</v>
      </c>
      <c r="D24" s="7">
        <f t="shared" si="1"/>
        <v>95.333333333333329</v>
      </c>
      <c r="F24">
        <v>23</v>
      </c>
      <c r="G24" s="39">
        <v>44045</v>
      </c>
    </row>
    <row r="25" spans="1:20" x14ac:dyDescent="0.25">
      <c r="A25" s="2">
        <v>44593</v>
      </c>
      <c r="B25">
        <v>24</v>
      </c>
      <c r="C25">
        <f t="shared" si="0"/>
        <v>1.9166666666666667</v>
      </c>
      <c r="D25" s="7">
        <f t="shared" si="1"/>
        <v>99.666666666666671</v>
      </c>
      <c r="F25">
        <v>24</v>
      </c>
      <c r="G25" s="39">
        <v>44052</v>
      </c>
      <c r="M25" s="40" t="s">
        <v>47</v>
      </c>
      <c r="N25" s="53"/>
      <c r="O25" s="53"/>
    </row>
    <row r="26" spans="1:20" x14ac:dyDescent="0.25">
      <c r="A26" s="2">
        <v>44621</v>
      </c>
      <c r="B26">
        <v>25</v>
      </c>
      <c r="C26">
        <f t="shared" si="0"/>
        <v>2</v>
      </c>
      <c r="D26" s="7">
        <f t="shared" si="1"/>
        <v>104</v>
      </c>
      <c r="F26">
        <v>25</v>
      </c>
      <c r="G26" s="39">
        <v>44059</v>
      </c>
    </row>
    <row r="27" spans="1:20" x14ac:dyDescent="0.25">
      <c r="A27" s="2">
        <v>44652</v>
      </c>
      <c r="B27">
        <v>26</v>
      </c>
      <c r="C27">
        <f t="shared" si="0"/>
        <v>2.0833333333333335</v>
      </c>
      <c r="D27" s="7">
        <f t="shared" si="1"/>
        <v>108.33333333333334</v>
      </c>
      <c r="F27">
        <v>26</v>
      </c>
      <c r="G27" s="39">
        <v>44066</v>
      </c>
      <c r="M27" t="str">
        <f>"["&amp;$K18&amp;", "&amp;M18*100&amp;"]," &amp; "  # "&amp;TEXT($J18,"[$-en-US]d-mmm-yy;@")</f>
        <v>[49, 0],  # 31-Jan-21</v>
      </c>
      <c r="N27" t="str">
        <f t="shared" ref="N27:O27" si="7">"["&amp;$K18&amp;", "&amp;N18*100&amp;"]," &amp; "  # "&amp;TEXT($J18,"[$-en-US]d-mmm-yy;@")</f>
        <v>[49, 0],  # 31-Jan-21</v>
      </c>
      <c r="O27" t="str">
        <f t="shared" si="7"/>
        <v>[49, 0.01],  # 31-Jan-21</v>
      </c>
      <c r="P27" t="str">
        <f t="shared" ref="P27:T27" si="8">"["&amp;$K18&amp;", "&amp;P18*100&amp;"]," &amp; "  # "&amp;TEXT($J18,"[$-en-US]d-mmm-yy;@")</f>
        <v>[49, 1],  # 31-Jan-21</v>
      </c>
      <c r="Q27" t="str">
        <f t="shared" si="8"/>
        <v>[49, 1.76],  # 31-Jan-21</v>
      </c>
      <c r="R27" t="str">
        <f t="shared" si="8"/>
        <v>[49, 1.65],  # 31-Jan-21</v>
      </c>
      <c r="S27" t="str">
        <f t="shared" si="8"/>
        <v>[49, 0.82],  # 31-Jan-21</v>
      </c>
      <c r="T27" t="str">
        <f t="shared" si="8"/>
        <v>[49, 0.76],  # 31-Jan-21</v>
      </c>
    </row>
    <row r="28" spans="1:20" x14ac:dyDescent="0.25">
      <c r="A28" s="2">
        <v>44682</v>
      </c>
      <c r="B28">
        <v>27</v>
      </c>
      <c r="C28">
        <f t="shared" si="0"/>
        <v>2.1666666666666665</v>
      </c>
      <c r="D28" s="7">
        <f t="shared" si="1"/>
        <v>112.66666666666666</v>
      </c>
      <c r="F28">
        <v>27</v>
      </c>
      <c r="G28" s="39">
        <v>44073</v>
      </c>
      <c r="M28" t="str">
        <f t="shared" ref="M28:T32" si="9">"["&amp;$K19&amp;", "&amp;M19*100&amp;"]," &amp; "  # "&amp;TEXT($J19,"[$-en-US]d-mmm-yy;@")</f>
        <v>[53, 0],  # 28-Feb-21</v>
      </c>
      <c r="N28" t="str">
        <f t="shared" ref="N28:O28" si="10">"["&amp;$K19&amp;", "&amp;N19*100&amp;"]," &amp; "  # "&amp;TEXT($J19,"[$-en-US]d-mmm-yy;@")</f>
        <v>[53, 0],  # 28-Feb-21</v>
      </c>
      <c r="O28" t="str">
        <f t="shared" si="10"/>
        <v>[53, 0.08],  # 28-Feb-21</v>
      </c>
      <c r="P28" t="str">
        <f t="shared" si="9"/>
        <v>[53, 4.17],  # 28-Feb-21</v>
      </c>
      <c r="Q28" t="str">
        <f t="shared" si="9"/>
        <v>[53, 6.62],  # 28-Feb-21</v>
      </c>
      <c r="R28" t="str">
        <f t="shared" si="9"/>
        <v>[53, 7.42],  # 28-Feb-21</v>
      </c>
      <c r="S28" t="str">
        <f t="shared" si="9"/>
        <v>[53, 14.5],  # 28-Feb-21</v>
      </c>
      <c r="T28" t="str">
        <f t="shared" si="9"/>
        <v>[53, 23.4],  # 28-Feb-21</v>
      </c>
    </row>
    <row r="29" spans="1:20" x14ac:dyDescent="0.25">
      <c r="A29" s="2">
        <v>44713</v>
      </c>
      <c r="B29">
        <v>28</v>
      </c>
      <c r="C29">
        <f t="shared" si="0"/>
        <v>2.25</v>
      </c>
      <c r="D29" s="7">
        <f t="shared" si="1"/>
        <v>117</v>
      </c>
      <c r="F29">
        <v>28</v>
      </c>
      <c r="G29" s="39">
        <v>44080</v>
      </c>
      <c r="M29" t="str">
        <f t="shared" si="9"/>
        <v>[57, 0],  # 28-Mar-21</v>
      </c>
      <c r="N29" t="str">
        <f t="shared" ref="N29:O29" si="11">"["&amp;$K20&amp;", "&amp;N20*100&amp;"]," &amp; "  # "&amp;TEXT($J20,"[$-en-US]d-mmm-yy;@")</f>
        <v>[57, 0.01],  # 28-Mar-21</v>
      </c>
      <c r="O29" t="str">
        <f t="shared" si="11"/>
        <v>[57, 0.23],  # 28-Mar-21</v>
      </c>
      <c r="P29" t="str">
        <f t="shared" si="9"/>
        <v>[57, 7.36],  # 28-Mar-21</v>
      </c>
      <c r="Q29" t="str">
        <f t="shared" si="9"/>
        <v>[57, 11.49],  # 28-Mar-21</v>
      </c>
      <c r="R29" t="str">
        <f t="shared" si="9"/>
        <v>[57, 15.48],  # 28-Mar-21</v>
      </c>
      <c r="S29" t="str">
        <f t="shared" si="9"/>
        <v>[57, 42.8],  # 28-Mar-21</v>
      </c>
      <c r="T29" t="str">
        <f t="shared" si="9"/>
        <v>[57, 51.08],  # 28-Mar-21</v>
      </c>
    </row>
    <row r="30" spans="1:20" x14ac:dyDescent="0.25">
      <c r="F30">
        <v>29</v>
      </c>
      <c r="G30" s="39">
        <v>44087</v>
      </c>
      <c r="M30" t="str">
        <f t="shared" si="9"/>
        <v>[61, 0],  # 25-Apr-21</v>
      </c>
      <c r="N30" t="str">
        <f t="shared" ref="N30:O30" si="12">"["&amp;$K21&amp;", "&amp;N21*100&amp;"]," &amp; "  # "&amp;TEXT($J21,"[$-en-US]d-mmm-yy;@")</f>
        <v>[61, 0.01],  # 25-Apr-21</v>
      </c>
      <c r="O30" t="str">
        <f t="shared" si="12"/>
        <v>[61, 1.34],  # 25-Apr-21</v>
      </c>
      <c r="P30" t="str">
        <f t="shared" si="9"/>
        <v>[61, 16.85],  # 25-Apr-21</v>
      </c>
      <c r="Q30" t="str">
        <f t="shared" si="9"/>
        <v>[61, 24.31],  # 25-Apr-21</v>
      </c>
      <c r="R30" t="str">
        <f t="shared" si="9"/>
        <v>[61, 38.45],  # 25-Apr-21</v>
      </c>
      <c r="S30" t="str">
        <f t="shared" si="9"/>
        <v>[61, 66.67],  # 25-Apr-21</v>
      </c>
      <c r="T30" t="str">
        <f t="shared" si="9"/>
        <v>[61, 66.62],  # 25-Apr-21</v>
      </c>
    </row>
    <row r="31" spans="1:20" x14ac:dyDescent="0.25">
      <c r="F31">
        <v>30</v>
      </c>
      <c r="G31" s="39">
        <v>44094</v>
      </c>
      <c r="M31" t="str">
        <f t="shared" si="9"/>
        <v>[65, 0],  # 23-May-21</v>
      </c>
      <c r="N31" t="str">
        <f t="shared" ref="N31:O31" si="13">"["&amp;$K22&amp;", "&amp;N22*100&amp;"]," &amp; "  # "&amp;TEXT($J22,"[$-en-US]d-mmm-yy;@")</f>
        <v>[65, 0.01],  # 23-May-21</v>
      </c>
      <c r="O31" t="str">
        <f t="shared" si="13"/>
        <v>[65, 6.95],  # 23-May-21</v>
      </c>
      <c r="P31" t="str">
        <f t="shared" si="9"/>
        <v>[65, 31.32],  # 23-May-21</v>
      </c>
      <c r="Q31" t="str">
        <f t="shared" si="9"/>
        <v>[65, 39.65],  # 23-May-21</v>
      </c>
      <c r="R31" t="str">
        <f t="shared" si="9"/>
        <v>[65, 55.47],  # 23-May-21</v>
      </c>
      <c r="S31" t="str">
        <f t="shared" si="9"/>
        <v>[65, 74.64],  # 23-May-21</v>
      </c>
      <c r="T31" t="str">
        <f t="shared" si="9"/>
        <v>[65, 72.14],  # 23-May-21</v>
      </c>
    </row>
    <row r="32" spans="1:20" x14ac:dyDescent="0.25">
      <c r="F32">
        <v>31</v>
      </c>
      <c r="G32" s="39">
        <v>44101</v>
      </c>
      <c r="M32" t="str">
        <f t="shared" si="9"/>
        <v>[69, 0],  # 20-Jun-21</v>
      </c>
      <c r="N32" t="str">
        <f t="shared" ref="N32:O32" si="14">"["&amp;$K23&amp;", "&amp;N23*100&amp;"]," &amp; "  # "&amp;TEXT($J23,"[$-en-US]d-mmm-yy;@")</f>
        <v>[69, 0.27],  # 20-Jun-21</v>
      </c>
      <c r="O32" t="str">
        <f t="shared" si="14"/>
        <v>[69, 21.01],  # 20-Jun-21</v>
      </c>
      <c r="P32" t="str">
        <f t="shared" si="9"/>
        <v>[69, 39.49],  # 20-Jun-21</v>
      </c>
      <c r="Q32" t="str">
        <f t="shared" si="9"/>
        <v>[69, 47.34],  # 20-Jun-21</v>
      </c>
      <c r="R32" t="str">
        <f t="shared" si="9"/>
        <v>[69, 62.31],  # 20-Jun-21</v>
      </c>
      <c r="S32" t="str">
        <f t="shared" si="9"/>
        <v>[69, 78.48],  # 20-Jun-21</v>
      </c>
      <c r="T32" t="str">
        <f t="shared" si="9"/>
        <v>[69, 75.03],  # 20-Jun-21</v>
      </c>
    </row>
    <row r="33" spans="6:7" x14ac:dyDescent="0.25">
      <c r="F33">
        <v>32</v>
      </c>
      <c r="G33" s="39">
        <v>44108</v>
      </c>
    </row>
    <row r="34" spans="6:7" x14ac:dyDescent="0.25">
      <c r="F34">
        <v>33</v>
      </c>
      <c r="G34" s="39">
        <v>44115</v>
      </c>
    </row>
    <row r="35" spans="6:7" x14ac:dyDescent="0.25">
      <c r="F35">
        <v>34</v>
      </c>
      <c r="G35" s="39">
        <v>44122</v>
      </c>
    </row>
    <row r="36" spans="6:7" x14ac:dyDescent="0.25">
      <c r="F36">
        <v>35</v>
      </c>
      <c r="G36" s="39">
        <v>44129</v>
      </c>
    </row>
    <row r="37" spans="6:7" x14ac:dyDescent="0.25">
      <c r="F37">
        <v>36</v>
      </c>
      <c r="G37" s="39">
        <v>44136</v>
      </c>
    </row>
    <row r="38" spans="6:7" x14ac:dyDescent="0.25">
      <c r="F38">
        <v>37</v>
      </c>
      <c r="G38" s="39">
        <v>44143</v>
      </c>
    </row>
    <row r="39" spans="6:7" x14ac:dyDescent="0.25">
      <c r="F39">
        <v>38</v>
      </c>
      <c r="G39" s="39">
        <v>44150</v>
      </c>
    </row>
    <row r="40" spans="6:7" x14ac:dyDescent="0.25">
      <c r="F40">
        <v>39</v>
      </c>
      <c r="G40" s="39">
        <v>44157</v>
      </c>
    </row>
    <row r="41" spans="6:7" x14ac:dyDescent="0.25">
      <c r="F41">
        <v>40</v>
      </c>
      <c r="G41" s="39">
        <v>44164</v>
      </c>
    </row>
    <row r="42" spans="6:7" x14ac:dyDescent="0.25">
      <c r="F42">
        <v>41</v>
      </c>
      <c r="G42" s="39">
        <v>44171</v>
      </c>
    </row>
    <row r="43" spans="6:7" x14ac:dyDescent="0.25">
      <c r="F43">
        <v>42</v>
      </c>
      <c r="G43" s="39">
        <v>44178</v>
      </c>
    </row>
    <row r="44" spans="6:7" x14ac:dyDescent="0.25">
      <c r="F44">
        <v>43</v>
      </c>
      <c r="G44" s="39">
        <v>44185</v>
      </c>
    </row>
    <row r="45" spans="6:7" x14ac:dyDescent="0.25">
      <c r="F45">
        <v>44</v>
      </c>
      <c r="G45" s="39">
        <v>44192</v>
      </c>
    </row>
    <row r="46" spans="6:7" x14ac:dyDescent="0.25">
      <c r="F46">
        <v>45</v>
      </c>
      <c r="G46" s="39">
        <v>44199</v>
      </c>
    </row>
    <row r="47" spans="6:7" x14ac:dyDescent="0.25">
      <c r="F47">
        <v>46</v>
      </c>
      <c r="G47" s="39">
        <v>44206</v>
      </c>
    </row>
    <row r="48" spans="6:7" x14ac:dyDescent="0.25">
      <c r="F48">
        <v>47</v>
      </c>
      <c r="G48" s="39">
        <v>44213</v>
      </c>
    </row>
    <row r="49" spans="6:7" x14ac:dyDescent="0.25">
      <c r="F49">
        <v>48</v>
      </c>
      <c r="G49" s="39">
        <v>44220</v>
      </c>
    </row>
    <row r="50" spans="6:7" x14ac:dyDescent="0.25">
      <c r="F50">
        <v>49</v>
      </c>
      <c r="G50" s="39">
        <v>44227</v>
      </c>
    </row>
    <row r="51" spans="6:7" x14ac:dyDescent="0.25">
      <c r="F51">
        <v>50</v>
      </c>
      <c r="G51" s="39">
        <v>44234</v>
      </c>
    </row>
    <row r="52" spans="6:7" x14ac:dyDescent="0.25">
      <c r="F52">
        <v>51</v>
      </c>
      <c r="G52" s="39">
        <v>44241</v>
      </c>
    </row>
    <row r="53" spans="6:7" x14ac:dyDescent="0.25">
      <c r="F53">
        <v>52</v>
      </c>
      <c r="G53" s="39">
        <v>44248</v>
      </c>
    </row>
    <row r="54" spans="6:7" x14ac:dyDescent="0.25">
      <c r="F54">
        <v>53</v>
      </c>
      <c r="G54" s="39">
        <v>44255</v>
      </c>
    </row>
    <row r="55" spans="6:7" x14ac:dyDescent="0.25">
      <c r="F55">
        <v>54</v>
      </c>
      <c r="G55" s="39">
        <v>44262</v>
      </c>
    </row>
    <row r="56" spans="6:7" x14ac:dyDescent="0.25">
      <c r="F56">
        <v>55</v>
      </c>
      <c r="G56" s="39">
        <v>44269</v>
      </c>
    </row>
    <row r="57" spans="6:7" x14ac:dyDescent="0.25">
      <c r="F57">
        <v>56</v>
      </c>
      <c r="G57" s="39">
        <v>44276</v>
      </c>
    </row>
    <row r="58" spans="6:7" x14ac:dyDescent="0.25">
      <c r="F58">
        <v>57</v>
      </c>
      <c r="G58" s="39">
        <v>44283</v>
      </c>
    </row>
    <row r="59" spans="6:7" x14ac:dyDescent="0.25">
      <c r="F59">
        <v>58</v>
      </c>
      <c r="G59" s="39">
        <v>44290</v>
      </c>
    </row>
    <row r="60" spans="6:7" x14ac:dyDescent="0.25">
      <c r="F60">
        <v>59</v>
      </c>
      <c r="G60" s="39">
        <v>44297</v>
      </c>
    </row>
    <row r="61" spans="6:7" x14ac:dyDescent="0.25">
      <c r="F61">
        <v>60</v>
      </c>
      <c r="G61" s="39">
        <v>44304</v>
      </c>
    </row>
    <row r="62" spans="6:7" x14ac:dyDescent="0.25">
      <c r="F62">
        <v>61</v>
      </c>
      <c r="G62" s="39">
        <v>44311</v>
      </c>
    </row>
    <row r="63" spans="6:7" x14ac:dyDescent="0.25">
      <c r="F63">
        <v>62</v>
      </c>
      <c r="G63" s="39">
        <v>44318</v>
      </c>
    </row>
    <row r="64" spans="6:7" x14ac:dyDescent="0.25">
      <c r="F64">
        <v>63</v>
      </c>
      <c r="G64" s="39">
        <v>44325</v>
      </c>
    </row>
    <row r="65" spans="6:7" x14ac:dyDescent="0.25">
      <c r="F65">
        <v>64</v>
      </c>
      <c r="G65" s="39">
        <v>44332</v>
      </c>
    </row>
    <row r="66" spans="6:7" x14ac:dyDescent="0.25">
      <c r="F66">
        <v>65</v>
      </c>
      <c r="G66" s="39">
        <v>44339</v>
      </c>
    </row>
    <row r="67" spans="6:7" x14ac:dyDescent="0.25">
      <c r="F67">
        <v>66</v>
      </c>
      <c r="G67" s="39">
        <v>44346</v>
      </c>
    </row>
    <row r="68" spans="6:7" x14ac:dyDescent="0.25">
      <c r="F68">
        <v>67</v>
      </c>
      <c r="G68" s="39">
        <v>44353</v>
      </c>
    </row>
    <row r="69" spans="6:7" x14ac:dyDescent="0.25">
      <c r="F69">
        <v>68</v>
      </c>
      <c r="G69" s="39">
        <v>44360</v>
      </c>
    </row>
    <row r="70" spans="6:7" x14ac:dyDescent="0.25">
      <c r="F70">
        <v>69</v>
      </c>
      <c r="G70" s="39">
        <v>44367</v>
      </c>
    </row>
    <row r="71" spans="6:7" x14ac:dyDescent="0.25">
      <c r="F71">
        <v>70</v>
      </c>
      <c r="G71" s="39">
        <v>44374</v>
      </c>
    </row>
    <row r="72" spans="6:7" x14ac:dyDescent="0.25">
      <c r="F72">
        <v>71</v>
      </c>
      <c r="G72" s="39">
        <v>44381</v>
      </c>
    </row>
    <row r="73" spans="6:7" x14ac:dyDescent="0.25">
      <c r="F73">
        <v>72</v>
      </c>
      <c r="G73" s="39">
        <v>44388</v>
      </c>
    </row>
    <row r="74" spans="6:7" x14ac:dyDescent="0.25">
      <c r="F74">
        <v>73</v>
      </c>
      <c r="G74" s="39">
        <v>44395</v>
      </c>
    </row>
    <row r="75" spans="6:7" x14ac:dyDescent="0.25">
      <c r="F75">
        <v>74</v>
      </c>
      <c r="G75" s="39">
        <v>44402</v>
      </c>
    </row>
    <row r="76" spans="6:7" x14ac:dyDescent="0.25">
      <c r="F76">
        <v>75</v>
      </c>
      <c r="G76" s="39">
        <v>44409</v>
      </c>
    </row>
    <row r="77" spans="6:7" x14ac:dyDescent="0.25">
      <c r="F77">
        <v>76</v>
      </c>
      <c r="G77" s="39">
        <v>44416</v>
      </c>
    </row>
    <row r="78" spans="6:7" x14ac:dyDescent="0.25">
      <c r="F78">
        <v>77</v>
      </c>
      <c r="G78" s="39">
        <v>44423</v>
      </c>
    </row>
    <row r="79" spans="6:7" x14ac:dyDescent="0.25">
      <c r="F79">
        <v>78</v>
      </c>
      <c r="G79" s="39">
        <v>44430</v>
      </c>
    </row>
    <row r="80" spans="6:7" x14ac:dyDescent="0.25">
      <c r="F80">
        <v>79</v>
      </c>
      <c r="G80" s="39">
        <v>44437</v>
      </c>
    </row>
    <row r="81" spans="6:7" x14ac:dyDescent="0.25">
      <c r="F81">
        <v>80</v>
      </c>
      <c r="G81" s="39">
        <v>44444</v>
      </c>
    </row>
    <row r="82" spans="6:7" x14ac:dyDescent="0.25">
      <c r="F82">
        <v>81</v>
      </c>
      <c r="G82" s="39">
        <v>44451</v>
      </c>
    </row>
    <row r="83" spans="6:7" x14ac:dyDescent="0.25">
      <c r="F83">
        <v>82</v>
      </c>
      <c r="G83" s="39">
        <v>44458</v>
      </c>
    </row>
    <row r="84" spans="6:7" x14ac:dyDescent="0.25">
      <c r="F84">
        <v>83</v>
      </c>
      <c r="G84" s="39">
        <v>44465</v>
      </c>
    </row>
    <row r="85" spans="6:7" x14ac:dyDescent="0.25">
      <c r="F85">
        <v>84</v>
      </c>
      <c r="G85" s="39">
        <v>44472</v>
      </c>
    </row>
    <row r="86" spans="6:7" x14ac:dyDescent="0.25">
      <c r="F86">
        <v>85</v>
      </c>
      <c r="G86" s="39">
        <v>44479</v>
      </c>
    </row>
    <row r="87" spans="6:7" x14ac:dyDescent="0.25">
      <c r="F87">
        <v>86</v>
      </c>
      <c r="G87" s="39">
        <v>44486</v>
      </c>
    </row>
    <row r="88" spans="6:7" x14ac:dyDescent="0.25">
      <c r="F88">
        <v>87</v>
      </c>
      <c r="G88" s="39">
        <v>44493</v>
      </c>
    </row>
    <row r="89" spans="6:7" x14ac:dyDescent="0.25">
      <c r="F89">
        <v>88</v>
      </c>
      <c r="G89" s="39">
        <v>44500</v>
      </c>
    </row>
    <row r="90" spans="6:7" x14ac:dyDescent="0.25">
      <c r="F90">
        <v>89</v>
      </c>
      <c r="G90" s="39">
        <v>44507</v>
      </c>
    </row>
    <row r="91" spans="6:7" x14ac:dyDescent="0.25">
      <c r="F91">
        <v>90</v>
      </c>
      <c r="G91" s="39">
        <v>44514</v>
      </c>
    </row>
    <row r="92" spans="6:7" x14ac:dyDescent="0.25">
      <c r="F92">
        <v>91</v>
      </c>
      <c r="G92" s="39">
        <v>44521</v>
      </c>
    </row>
    <row r="93" spans="6:7" x14ac:dyDescent="0.25">
      <c r="F93">
        <v>92</v>
      </c>
      <c r="G93" s="39">
        <v>44528</v>
      </c>
    </row>
    <row r="94" spans="6:7" x14ac:dyDescent="0.25">
      <c r="F94">
        <v>93</v>
      </c>
      <c r="G94" s="39">
        <v>44535</v>
      </c>
    </row>
    <row r="95" spans="6:7" x14ac:dyDescent="0.25">
      <c r="F95">
        <v>94</v>
      </c>
      <c r="G95" s="39">
        <v>44542</v>
      </c>
    </row>
    <row r="96" spans="6:7" x14ac:dyDescent="0.25">
      <c r="F96">
        <v>95</v>
      </c>
      <c r="G96" s="39">
        <v>44549</v>
      </c>
    </row>
    <row r="97" spans="6:7" x14ac:dyDescent="0.25">
      <c r="F97">
        <v>96</v>
      </c>
      <c r="G97" s="39">
        <v>44556</v>
      </c>
    </row>
    <row r="98" spans="6:7" x14ac:dyDescent="0.25">
      <c r="F98">
        <v>97</v>
      </c>
      <c r="G98" s="39">
        <v>44563</v>
      </c>
    </row>
    <row r="99" spans="6:7" x14ac:dyDescent="0.25">
      <c r="F99">
        <v>98</v>
      </c>
      <c r="G99" s="39">
        <v>44570</v>
      </c>
    </row>
    <row r="100" spans="6:7" x14ac:dyDescent="0.25">
      <c r="F100">
        <v>99</v>
      </c>
      <c r="G100" s="39">
        <v>44577</v>
      </c>
    </row>
    <row r="101" spans="6:7" x14ac:dyDescent="0.25">
      <c r="F101">
        <v>100</v>
      </c>
      <c r="G101" s="39">
        <v>44584</v>
      </c>
    </row>
    <row r="102" spans="6:7" x14ac:dyDescent="0.25">
      <c r="F102">
        <v>101</v>
      </c>
      <c r="G102" s="39">
        <v>44591</v>
      </c>
    </row>
    <row r="103" spans="6:7" x14ac:dyDescent="0.25">
      <c r="F103">
        <v>102</v>
      </c>
      <c r="G103" s="39">
        <v>44598</v>
      </c>
    </row>
    <row r="104" spans="6:7" x14ac:dyDescent="0.25">
      <c r="F104">
        <v>103</v>
      </c>
      <c r="G104" s="39">
        <v>44605</v>
      </c>
    </row>
    <row r="105" spans="6:7" x14ac:dyDescent="0.25">
      <c r="F105">
        <v>104</v>
      </c>
      <c r="G105" s="39">
        <v>44612</v>
      </c>
    </row>
    <row r="106" spans="6:7" x14ac:dyDescent="0.25">
      <c r="F106">
        <v>105</v>
      </c>
      <c r="G106" s="39">
        <v>44619</v>
      </c>
    </row>
    <row r="107" spans="6:7" x14ac:dyDescent="0.25">
      <c r="F107">
        <v>106</v>
      </c>
      <c r="G107" s="39">
        <v>44626</v>
      </c>
    </row>
    <row r="108" spans="6:7" x14ac:dyDescent="0.25">
      <c r="F108">
        <v>107</v>
      </c>
      <c r="G108" s="39">
        <v>44633</v>
      </c>
    </row>
    <row r="109" spans="6:7" x14ac:dyDescent="0.25">
      <c r="F109">
        <v>108</v>
      </c>
      <c r="G109" s="39">
        <v>44640</v>
      </c>
    </row>
    <row r="110" spans="6:7" x14ac:dyDescent="0.25">
      <c r="F110">
        <v>109</v>
      </c>
      <c r="G110" s="39">
        <v>44647</v>
      </c>
    </row>
    <row r="111" spans="6:7" x14ac:dyDescent="0.25">
      <c r="F111">
        <v>110</v>
      </c>
      <c r="G111" s="39">
        <v>44654</v>
      </c>
    </row>
    <row r="112" spans="6:7" x14ac:dyDescent="0.25">
      <c r="F112">
        <v>111</v>
      </c>
      <c r="G112" s="39">
        <v>44661</v>
      </c>
    </row>
    <row r="113" spans="6:7" x14ac:dyDescent="0.25">
      <c r="F113">
        <v>112</v>
      </c>
      <c r="G113" s="39">
        <v>44668</v>
      </c>
    </row>
    <row r="114" spans="6:7" x14ac:dyDescent="0.25">
      <c r="F114">
        <v>113</v>
      </c>
      <c r="G114" s="39">
        <v>44675</v>
      </c>
    </row>
    <row r="115" spans="6:7" x14ac:dyDescent="0.25">
      <c r="F115">
        <v>114</v>
      </c>
      <c r="G115" s="39">
        <v>44682</v>
      </c>
    </row>
    <row r="116" spans="6:7" x14ac:dyDescent="0.25">
      <c r="F116">
        <v>115</v>
      </c>
      <c r="G116" s="39">
        <v>44689</v>
      </c>
    </row>
    <row r="117" spans="6:7" x14ac:dyDescent="0.25">
      <c r="F117">
        <v>116</v>
      </c>
      <c r="G117" s="39">
        <v>44696</v>
      </c>
    </row>
    <row r="118" spans="6:7" x14ac:dyDescent="0.25">
      <c r="F118">
        <v>117</v>
      </c>
      <c r="G118" s="39">
        <v>44703</v>
      </c>
    </row>
    <row r="119" spans="6:7" x14ac:dyDescent="0.25">
      <c r="F119">
        <v>118</v>
      </c>
      <c r="G119" s="39">
        <v>44710</v>
      </c>
    </row>
    <row r="120" spans="6:7" x14ac:dyDescent="0.25">
      <c r="F120">
        <v>119</v>
      </c>
      <c r="G120" s="39">
        <v>44717</v>
      </c>
    </row>
    <row r="121" spans="6:7" x14ac:dyDescent="0.25">
      <c r="F121">
        <v>120</v>
      </c>
      <c r="G121" s="39">
        <v>44724</v>
      </c>
    </row>
    <row r="122" spans="6:7" x14ac:dyDescent="0.25">
      <c r="F122">
        <v>121</v>
      </c>
      <c r="G122" s="39">
        <v>44731</v>
      </c>
    </row>
    <row r="123" spans="6:7" x14ac:dyDescent="0.25">
      <c r="F123">
        <v>122</v>
      </c>
      <c r="G123" s="39">
        <v>44738</v>
      </c>
    </row>
    <row r="124" spans="6:7" x14ac:dyDescent="0.25">
      <c r="F124">
        <v>123</v>
      </c>
      <c r="G124" s="39">
        <v>44745</v>
      </c>
    </row>
    <row r="125" spans="6:7" x14ac:dyDescent="0.25">
      <c r="F125">
        <v>124</v>
      </c>
      <c r="G125" s="39">
        <v>44752</v>
      </c>
    </row>
    <row r="126" spans="6:7" x14ac:dyDescent="0.25">
      <c r="F126">
        <v>125</v>
      </c>
      <c r="G126" s="39">
        <v>44759</v>
      </c>
    </row>
    <row r="127" spans="6:7" x14ac:dyDescent="0.25">
      <c r="F127">
        <v>126</v>
      </c>
      <c r="G127" s="39">
        <v>44766</v>
      </c>
    </row>
    <row r="128" spans="6:7" x14ac:dyDescent="0.25">
      <c r="F128">
        <v>127</v>
      </c>
      <c r="G128" s="39">
        <v>44773</v>
      </c>
    </row>
    <row r="129" spans="7:7" x14ac:dyDescent="0.25">
      <c r="G129" s="1"/>
    </row>
    <row r="130" spans="7:7" x14ac:dyDescent="0.25">
      <c r="G130" s="1"/>
    </row>
    <row r="131" spans="7:7" x14ac:dyDescent="0.25">
      <c r="G131" s="1"/>
    </row>
    <row r="132" spans="7:7" x14ac:dyDescent="0.25">
      <c r="G132" s="1"/>
    </row>
    <row r="133" spans="7:7" x14ac:dyDescent="0.25">
      <c r="G133" s="1"/>
    </row>
    <row r="134" spans="7:7" x14ac:dyDescent="0.25">
      <c r="G134" s="1"/>
    </row>
    <row r="135" spans="7:7" x14ac:dyDescent="0.25">
      <c r="G135" s="1"/>
    </row>
    <row r="136" spans="7:7" x14ac:dyDescent="0.25">
      <c r="G136" s="1"/>
    </row>
    <row r="137" spans="7:7" x14ac:dyDescent="0.25">
      <c r="G137" s="1"/>
    </row>
    <row r="138" spans="7:7" x14ac:dyDescent="0.25">
      <c r="G138" s="1"/>
    </row>
    <row r="139" spans="7:7" x14ac:dyDescent="0.25">
      <c r="G139" s="1"/>
    </row>
    <row r="140" spans="7:7" x14ac:dyDescent="0.25">
      <c r="G140" s="1"/>
    </row>
    <row r="141" spans="7:7" x14ac:dyDescent="0.25">
      <c r="G141" s="1"/>
    </row>
    <row r="142" spans="7:7" x14ac:dyDescent="0.25">
      <c r="G142" s="1"/>
    </row>
    <row r="143" spans="7:7" x14ac:dyDescent="0.25">
      <c r="G143" s="1"/>
    </row>
    <row r="144" spans="7:7" x14ac:dyDescent="0.25">
      <c r="G144" s="1"/>
    </row>
    <row r="145" spans="7:7" x14ac:dyDescent="0.25">
      <c r="G145" s="1"/>
    </row>
    <row r="146" spans="7:7" x14ac:dyDescent="0.25">
      <c r="G146" s="1"/>
    </row>
    <row r="147" spans="7:7" x14ac:dyDescent="0.25">
      <c r="G147" s="1"/>
    </row>
    <row r="148" spans="7:7" x14ac:dyDescent="0.25">
      <c r="G148" s="1"/>
    </row>
    <row r="149" spans="7:7" x14ac:dyDescent="0.25">
      <c r="G149" s="1"/>
    </row>
    <row r="150" spans="7:7" x14ac:dyDescent="0.25">
      <c r="G150" s="1"/>
    </row>
    <row r="151" spans="7:7" x14ac:dyDescent="0.25">
      <c r="G151" s="1"/>
    </row>
    <row r="152" spans="7:7" x14ac:dyDescent="0.25">
      <c r="G152" s="1"/>
    </row>
    <row r="153" spans="7:7" x14ac:dyDescent="0.25">
      <c r="G153" s="1"/>
    </row>
    <row r="154" spans="7:7" x14ac:dyDescent="0.25">
      <c r="G154" s="1"/>
    </row>
    <row r="155" spans="7:7" x14ac:dyDescent="0.25">
      <c r="G155" s="1"/>
    </row>
    <row r="156" spans="7:7" x14ac:dyDescent="0.25">
      <c r="G156" s="1"/>
    </row>
    <row r="157" spans="7:7" x14ac:dyDescent="0.25">
      <c r="G157" s="1"/>
    </row>
    <row r="158" spans="7:7" x14ac:dyDescent="0.25">
      <c r="G158" s="1"/>
    </row>
    <row r="159" spans="7:7" x14ac:dyDescent="0.25">
      <c r="G159" s="1"/>
    </row>
    <row r="160" spans="7:7" x14ac:dyDescent="0.25">
      <c r="G160" s="1"/>
    </row>
    <row r="161" spans="7:7" x14ac:dyDescent="0.25">
      <c r="G161" s="1"/>
    </row>
    <row r="162" spans="7:7" x14ac:dyDescent="0.25">
      <c r="G162" s="1"/>
    </row>
    <row r="163" spans="7:7" x14ac:dyDescent="0.25">
      <c r="G163" s="1"/>
    </row>
    <row r="164" spans="7:7" x14ac:dyDescent="0.25">
      <c r="G164" s="1"/>
    </row>
    <row r="165" spans="7:7" x14ac:dyDescent="0.25">
      <c r="G165" s="1"/>
    </row>
    <row r="166" spans="7:7" x14ac:dyDescent="0.25">
      <c r="G166" s="1"/>
    </row>
    <row r="167" spans="7:7" x14ac:dyDescent="0.25">
      <c r="G167" s="1"/>
    </row>
    <row r="168" spans="7:7" x14ac:dyDescent="0.25">
      <c r="G168" s="1"/>
    </row>
    <row r="169" spans="7:7" x14ac:dyDescent="0.25">
      <c r="G169" s="1"/>
    </row>
    <row r="170" spans="7:7" x14ac:dyDescent="0.25">
      <c r="G170" s="1"/>
    </row>
    <row r="171" spans="7:7" x14ac:dyDescent="0.25">
      <c r="G171" s="1"/>
    </row>
    <row r="172" spans="7:7" x14ac:dyDescent="0.25">
      <c r="G172" s="1"/>
    </row>
    <row r="173" spans="7:7" x14ac:dyDescent="0.25">
      <c r="G173" s="1"/>
    </row>
    <row r="174" spans="7:7" x14ac:dyDescent="0.25">
      <c r="G174" s="1"/>
    </row>
    <row r="175" spans="7:7" x14ac:dyDescent="0.25">
      <c r="G175" s="1"/>
    </row>
    <row r="176" spans="7:7" x14ac:dyDescent="0.25">
      <c r="G176" s="1"/>
    </row>
    <row r="177" spans="7:7" x14ac:dyDescent="0.25">
      <c r="G177" s="1"/>
    </row>
    <row r="178" spans="7:7" x14ac:dyDescent="0.25">
      <c r="G178" s="1"/>
    </row>
    <row r="179" spans="7:7" x14ac:dyDescent="0.25">
      <c r="G179" s="1"/>
    </row>
    <row r="180" spans="7:7" x14ac:dyDescent="0.25">
      <c r="G180" s="1"/>
    </row>
    <row r="181" spans="7:7" x14ac:dyDescent="0.25">
      <c r="G181" s="1"/>
    </row>
    <row r="182" spans="7:7" x14ac:dyDescent="0.25">
      <c r="G182" s="1"/>
    </row>
    <row r="183" spans="7:7" x14ac:dyDescent="0.25">
      <c r="G183" s="1"/>
    </row>
    <row r="184" spans="7:7" x14ac:dyDescent="0.25">
      <c r="G184" s="1"/>
    </row>
    <row r="185" spans="7:7" x14ac:dyDescent="0.25">
      <c r="G185" s="1"/>
    </row>
    <row r="186" spans="7:7" x14ac:dyDescent="0.25">
      <c r="G186" s="1"/>
    </row>
    <row r="187" spans="7:7" x14ac:dyDescent="0.25">
      <c r="G187" s="1"/>
    </row>
    <row r="188" spans="7:7" x14ac:dyDescent="0.25">
      <c r="G188" s="1"/>
    </row>
    <row r="189" spans="7:7" x14ac:dyDescent="0.25">
      <c r="G189" s="1"/>
    </row>
    <row r="190" spans="7:7" x14ac:dyDescent="0.25">
      <c r="G190" s="1"/>
    </row>
    <row r="191" spans="7:7" x14ac:dyDescent="0.25">
      <c r="G191" s="1"/>
    </row>
    <row r="192" spans="7:7" x14ac:dyDescent="0.25">
      <c r="G192" s="1"/>
    </row>
    <row r="193" spans="7:7" x14ac:dyDescent="0.25">
      <c r="G193" s="1"/>
    </row>
    <row r="194" spans="7:7" x14ac:dyDescent="0.25">
      <c r="G194" s="1"/>
    </row>
    <row r="195" spans="7:7" x14ac:dyDescent="0.25">
      <c r="G195" s="1"/>
    </row>
    <row r="196" spans="7:7" x14ac:dyDescent="0.25">
      <c r="G196" s="1"/>
    </row>
    <row r="197" spans="7:7" x14ac:dyDescent="0.25">
      <c r="G197" s="1"/>
    </row>
    <row r="198" spans="7:7" x14ac:dyDescent="0.25">
      <c r="G198" s="1"/>
    </row>
    <row r="199" spans="7:7" x14ac:dyDescent="0.25">
      <c r="G199" s="1"/>
    </row>
    <row r="200" spans="7:7" x14ac:dyDescent="0.25">
      <c r="G200" s="1"/>
    </row>
    <row r="201" spans="7:7" x14ac:dyDescent="0.25">
      <c r="G201" s="1"/>
    </row>
    <row r="202" spans="7:7" x14ac:dyDescent="0.25">
      <c r="G202" s="1"/>
    </row>
    <row r="203" spans="7:7" x14ac:dyDescent="0.25">
      <c r="G203" s="1"/>
    </row>
    <row r="204" spans="7:7" x14ac:dyDescent="0.25">
      <c r="G204" s="1"/>
    </row>
    <row r="205" spans="7:7" x14ac:dyDescent="0.25">
      <c r="G205" s="1"/>
    </row>
    <row r="206" spans="7:7" x14ac:dyDescent="0.25">
      <c r="G206" s="1"/>
    </row>
    <row r="207" spans="7:7" x14ac:dyDescent="0.25">
      <c r="G207" s="1"/>
    </row>
    <row r="208" spans="7:7" x14ac:dyDescent="0.25">
      <c r="G208" s="1"/>
    </row>
    <row r="209" spans="7:7" x14ac:dyDescent="0.25">
      <c r="G209" s="1"/>
    </row>
    <row r="210" spans="7:7" x14ac:dyDescent="0.25">
      <c r="G210" s="1"/>
    </row>
    <row r="211" spans="7:7" x14ac:dyDescent="0.25">
      <c r="G211" s="1"/>
    </row>
    <row r="212" spans="7:7" x14ac:dyDescent="0.25">
      <c r="G212" s="1"/>
    </row>
    <row r="213" spans="7:7" x14ac:dyDescent="0.25">
      <c r="G213" s="1"/>
    </row>
    <row r="214" spans="7:7" x14ac:dyDescent="0.25">
      <c r="G214" s="1"/>
    </row>
    <row r="215" spans="7:7" x14ac:dyDescent="0.25">
      <c r="G215" s="1"/>
    </row>
    <row r="216" spans="7:7" x14ac:dyDescent="0.25">
      <c r="G216" s="1"/>
    </row>
    <row r="217" spans="7:7" x14ac:dyDescent="0.25">
      <c r="G217" s="1"/>
    </row>
    <row r="218" spans="7:7" x14ac:dyDescent="0.25">
      <c r="G218" s="1"/>
    </row>
    <row r="219" spans="7:7" x14ac:dyDescent="0.25">
      <c r="G219" s="1"/>
    </row>
    <row r="220" spans="7:7" x14ac:dyDescent="0.25">
      <c r="G220" s="1"/>
    </row>
    <row r="221" spans="7:7" x14ac:dyDescent="0.25">
      <c r="G221" s="1"/>
    </row>
    <row r="222" spans="7:7" x14ac:dyDescent="0.25">
      <c r="G222" s="1"/>
    </row>
    <row r="223" spans="7:7" x14ac:dyDescent="0.25">
      <c r="G223" s="1"/>
    </row>
    <row r="224" spans="7:7" x14ac:dyDescent="0.25">
      <c r="G224" s="1"/>
    </row>
    <row r="225" spans="7:7" x14ac:dyDescent="0.25">
      <c r="G225" s="1"/>
    </row>
    <row r="226" spans="7:7" x14ac:dyDescent="0.25">
      <c r="G226" s="1"/>
    </row>
    <row r="227" spans="7:7" x14ac:dyDescent="0.25">
      <c r="G227" s="1"/>
    </row>
    <row r="228" spans="7:7" x14ac:dyDescent="0.25">
      <c r="G228" s="1"/>
    </row>
    <row r="229" spans="7:7" x14ac:dyDescent="0.25">
      <c r="G229" s="1"/>
    </row>
    <row r="230" spans="7:7" x14ac:dyDescent="0.25">
      <c r="G230" s="1"/>
    </row>
    <row r="231" spans="7:7" x14ac:dyDescent="0.25">
      <c r="G231" s="1"/>
    </row>
    <row r="232" spans="7:7" x14ac:dyDescent="0.25">
      <c r="G232" s="1"/>
    </row>
    <row r="233" spans="7:7" x14ac:dyDescent="0.25">
      <c r="G233" s="1"/>
    </row>
    <row r="234" spans="7:7" x14ac:dyDescent="0.25">
      <c r="G234" s="1"/>
    </row>
    <row r="235" spans="7:7" x14ac:dyDescent="0.25">
      <c r="G235" s="1"/>
    </row>
    <row r="236" spans="7:7" x14ac:dyDescent="0.25">
      <c r="G236" s="1"/>
    </row>
    <row r="237" spans="7:7" x14ac:dyDescent="0.25">
      <c r="G237" s="1"/>
    </row>
    <row r="238" spans="7:7" x14ac:dyDescent="0.25">
      <c r="G238" s="1"/>
    </row>
    <row r="239" spans="7:7" x14ac:dyDescent="0.25">
      <c r="G239" s="1"/>
    </row>
    <row r="240" spans="7:7" x14ac:dyDescent="0.25">
      <c r="G240" s="1"/>
    </row>
    <row r="241" spans="7:7" x14ac:dyDescent="0.25">
      <c r="G241" s="1"/>
    </row>
    <row r="242" spans="7:7" x14ac:dyDescent="0.25">
      <c r="G242" s="1"/>
    </row>
    <row r="243" spans="7:7" x14ac:dyDescent="0.25">
      <c r="G243" s="1"/>
    </row>
    <row r="244" spans="7:7" x14ac:dyDescent="0.25">
      <c r="G244" s="1"/>
    </row>
    <row r="245" spans="7:7" x14ac:dyDescent="0.25">
      <c r="G245" s="1"/>
    </row>
    <row r="246" spans="7:7" x14ac:dyDescent="0.25">
      <c r="G246" s="1"/>
    </row>
    <row r="247" spans="7:7" x14ac:dyDescent="0.25">
      <c r="G247" s="1"/>
    </row>
    <row r="248" spans="7:7" x14ac:dyDescent="0.25">
      <c r="G248" s="1"/>
    </row>
    <row r="249" spans="7:7" x14ac:dyDescent="0.25">
      <c r="G249" s="1"/>
    </row>
    <row r="250" spans="7:7" x14ac:dyDescent="0.25">
      <c r="G250" s="1"/>
    </row>
    <row r="251" spans="7:7" x14ac:dyDescent="0.25">
      <c r="G251" s="1"/>
    </row>
    <row r="252" spans="7:7" x14ac:dyDescent="0.25">
      <c r="G252" s="1"/>
    </row>
    <row r="253" spans="7:7" x14ac:dyDescent="0.25">
      <c r="G253" s="1"/>
    </row>
    <row r="254" spans="7:7" x14ac:dyDescent="0.25">
      <c r="G254" s="1"/>
    </row>
    <row r="255" spans="7:7" x14ac:dyDescent="0.25">
      <c r="G255" s="1"/>
    </row>
    <row r="256" spans="7:7" x14ac:dyDescent="0.25">
      <c r="G256" s="1"/>
    </row>
    <row r="257" spans="7:7" x14ac:dyDescent="0.25">
      <c r="G257" s="1"/>
    </row>
    <row r="258" spans="7:7" x14ac:dyDescent="0.25">
      <c r="G258" s="1"/>
    </row>
    <row r="259" spans="7:7" x14ac:dyDescent="0.25">
      <c r="G259" s="1"/>
    </row>
    <row r="260" spans="7:7" x14ac:dyDescent="0.25">
      <c r="G260" s="1"/>
    </row>
    <row r="261" spans="7:7" x14ac:dyDescent="0.25">
      <c r="G261" s="1"/>
    </row>
    <row r="262" spans="7:7" x14ac:dyDescent="0.25">
      <c r="G262" s="1"/>
    </row>
    <row r="263" spans="7:7" x14ac:dyDescent="0.25">
      <c r="G263" s="1"/>
    </row>
    <row r="264" spans="7:7" x14ac:dyDescent="0.25">
      <c r="G264" s="1"/>
    </row>
    <row r="265" spans="7:7" x14ac:dyDescent="0.25">
      <c r="G265" s="1"/>
    </row>
    <row r="266" spans="7:7" x14ac:dyDescent="0.25">
      <c r="G266" s="1"/>
    </row>
    <row r="267" spans="7:7" x14ac:dyDescent="0.25">
      <c r="G267" s="1"/>
    </row>
    <row r="268" spans="7:7" x14ac:dyDescent="0.25">
      <c r="G268" s="1"/>
    </row>
    <row r="269" spans="7:7" x14ac:dyDescent="0.25">
      <c r="G269" s="1"/>
    </row>
    <row r="270" spans="7:7" x14ac:dyDescent="0.25">
      <c r="G270" s="1"/>
    </row>
    <row r="271" spans="7:7" x14ac:dyDescent="0.25">
      <c r="G271" s="1"/>
    </row>
    <row r="272" spans="7:7" x14ac:dyDescent="0.25">
      <c r="G272" s="1"/>
    </row>
    <row r="273" spans="7:7" x14ac:dyDescent="0.25">
      <c r="G273" s="1"/>
    </row>
    <row r="274" spans="7:7" x14ac:dyDescent="0.25">
      <c r="G274" s="1"/>
    </row>
    <row r="275" spans="7:7" x14ac:dyDescent="0.25">
      <c r="G275" s="1"/>
    </row>
    <row r="276" spans="7:7" x14ac:dyDescent="0.25">
      <c r="G276" s="1"/>
    </row>
    <row r="277" spans="7:7" x14ac:dyDescent="0.25">
      <c r="G277" s="1"/>
    </row>
    <row r="278" spans="7:7" x14ac:dyDescent="0.25">
      <c r="G278" s="1"/>
    </row>
    <row r="279" spans="7:7" x14ac:dyDescent="0.25">
      <c r="G279" s="1"/>
    </row>
    <row r="280" spans="7:7" x14ac:dyDescent="0.25">
      <c r="G280" s="1"/>
    </row>
  </sheetData>
  <mergeCells count="1">
    <mergeCell ref="I2:O2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6E742-2617-4059-8698-147249F6A70B}">
  <dimension ref="A1:AG50"/>
  <sheetViews>
    <sheetView topLeftCell="A19" workbookViewId="0">
      <selection activeCell="P43" sqref="P43:W50"/>
    </sheetView>
  </sheetViews>
  <sheetFormatPr defaultRowHeight="15" x14ac:dyDescent="0.25"/>
  <sheetData>
    <row r="1" spans="1:21" x14ac:dyDescent="0.25">
      <c r="D1" t="s">
        <v>72</v>
      </c>
    </row>
    <row r="2" spans="1:21" x14ac:dyDescent="0.25">
      <c r="A2" s="52" t="s">
        <v>1</v>
      </c>
      <c r="B2" s="52" t="s">
        <v>67</v>
      </c>
      <c r="D2" s="48">
        <f t="array" ref="D2:S2">TRANSPOSE(C3:C18)</f>
        <v>0</v>
      </c>
      <c r="E2" s="48">
        <v>5</v>
      </c>
      <c r="F2" s="48">
        <v>10</v>
      </c>
      <c r="G2" s="48">
        <v>15</v>
      </c>
      <c r="H2" s="48">
        <v>20</v>
      </c>
      <c r="I2" s="48">
        <v>25</v>
      </c>
      <c r="J2" s="48">
        <v>30</v>
      </c>
      <c r="K2" s="48">
        <v>35</v>
      </c>
      <c r="L2" s="48">
        <v>40</v>
      </c>
      <c r="M2" s="48">
        <v>45</v>
      </c>
      <c r="N2" s="48">
        <v>50</v>
      </c>
      <c r="O2" s="48">
        <v>55</v>
      </c>
      <c r="P2" s="48">
        <v>60</v>
      </c>
      <c r="Q2" s="48">
        <v>65</v>
      </c>
      <c r="R2" s="48">
        <v>70</v>
      </c>
      <c r="S2" s="48">
        <v>75</v>
      </c>
      <c r="U2" t="s">
        <v>61</v>
      </c>
    </row>
    <row r="3" spans="1:21" x14ac:dyDescent="0.25">
      <c r="A3" s="52">
        <f>'Risks by age'!D7</f>
        <v>19.579999999999998</v>
      </c>
      <c r="B3" s="66">
        <f>A3/$A$19</f>
        <v>6.2099587694259439E-2</v>
      </c>
      <c r="C3" s="48">
        <v>0</v>
      </c>
      <c r="D3">
        <v>2.5982374741684553</v>
      </c>
      <c r="E3">
        <v>1.101285645467494</v>
      </c>
      <c r="F3">
        <v>0.49939612299931058</v>
      </c>
      <c r="G3">
        <v>0.31599772370239854</v>
      </c>
      <c r="H3">
        <v>0.41196059412125974</v>
      </c>
      <c r="I3">
        <v>0.71545713408318201</v>
      </c>
      <c r="J3">
        <v>1.0573647276053499</v>
      </c>
      <c r="K3">
        <v>0.98881444683381248</v>
      </c>
      <c r="L3">
        <v>0.49748836496232701</v>
      </c>
      <c r="M3">
        <v>0.32239062293932269</v>
      </c>
      <c r="N3">
        <v>0.33697768641556303</v>
      </c>
      <c r="O3">
        <v>0.26598011913372704</v>
      </c>
      <c r="P3">
        <v>0.17359888521258601</v>
      </c>
      <c r="Q3">
        <v>0.13595719697754646</v>
      </c>
      <c r="R3">
        <v>7.3886411711680602E-2</v>
      </c>
      <c r="S3">
        <v>3.8852605705164758E-2</v>
      </c>
      <c r="U3">
        <f>SUM(D3:S3)</f>
        <v>9.5336457620391784</v>
      </c>
    </row>
    <row r="4" spans="1:21" x14ac:dyDescent="0.25">
      <c r="A4" s="52">
        <f>'Risks by age'!D8</f>
        <v>20.189999999999998</v>
      </c>
      <c r="B4" s="66">
        <f t="shared" ref="B4:B18" si="0">A4/$A$19</f>
        <v>6.4034253092293061E-2</v>
      </c>
      <c r="C4" s="48">
        <v>5</v>
      </c>
      <c r="D4">
        <v>0.98968591713678045</v>
      </c>
      <c r="E4">
        <v>5.3863717715846908</v>
      </c>
      <c r="F4">
        <v>1.224100873008408</v>
      </c>
      <c r="G4">
        <v>0.34704385481604405</v>
      </c>
      <c r="H4">
        <v>0.193902008335224</v>
      </c>
      <c r="I4">
        <v>0.50927480739450115</v>
      </c>
      <c r="J4">
        <v>0.89274374731692641</v>
      </c>
      <c r="K4">
        <v>1.0689421984336933</v>
      </c>
      <c r="L4">
        <v>0.84619731786005503</v>
      </c>
      <c r="M4">
        <v>0.3477790084065524</v>
      </c>
      <c r="N4">
        <v>0.24165247808763327</v>
      </c>
      <c r="O4">
        <v>0.19751081659124042</v>
      </c>
      <c r="P4">
        <v>0.1705058952567535</v>
      </c>
      <c r="Q4">
        <v>0.12127970412684899</v>
      </c>
      <c r="R4">
        <v>5.1215016648265416E-2</v>
      </c>
      <c r="S4">
        <v>3.9004324877162114E-2</v>
      </c>
      <c r="U4">
        <f t="shared" ref="U4:U18" si="1">SUM(D4:S4)</f>
        <v>12.627209739880778</v>
      </c>
    </row>
    <row r="5" spans="1:21" x14ac:dyDescent="0.25">
      <c r="A5" s="52">
        <f>'Risks by age'!D9</f>
        <v>20.799999999999997</v>
      </c>
      <c r="B5" s="66">
        <f t="shared" si="0"/>
        <v>6.596891849032667E-2</v>
      </c>
      <c r="C5" s="48">
        <v>10</v>
      </c>
      <c r="D5">
        <v>0.30484184027079697</v>
      </c>
      <c r="E5">
        <v>1.8889343028701668</v>
      </c>
      <c r="F5">
        <v>8.2845235554310328</v>
      </c>
      <c r="G5">
        <v>0.97348079926534992</v>
      </c>
      <c r="H5">
        <v>0.34735590702864277</v>
      </c>
      <c r="I5">
        <v>0.30111088278273257</v>
      </c>
      <c r="J5">
        <v>0.53783126647792212</v>
      </c>
      <c r="K5">
        <v>0.86983579288730406</v>
      </c>
      <c r="L5">
        <v>1.0479140787686365</v>
      </c>
      <c r="M5">
        <v>0.56486553729450173</v>
      </c>
      <c r="N5">
        <v>0.31945779582206857</v>
      </c>
      <c r="O5">
        <v>0.16629003724286986</v>
      </c>
      <c r="P5">
        <v>0.10455231864874745</v>
      </c>
      <c r="Q5">
        <v>9.8895413915812386E-2</v>
      </c>
      <c r="R5">
        <v>6.3185971103642186E-2</v>
      </c>
      <c r="S5">
        <v>5.2481414246589399E-2</v>
      </c>
      <c r="U5">
        <f t="shared" si="1"/>
        <v>15.925556914056818</v>
      </c>
    </row>
    <row r="6" spans="1:21" x14ac:dyDescent="0.25">
      <c r="A6" s="52">
        <f>'Risks by age'!D10</f>
        <v>21.060000000000002</v>
      </c>
      <c r="B6" s="66">
        <f t="shared" si="0"/>
        <v>6.6793529971455767E-2</v>
      </c>
      <c r="C6" s="48">
        <v>15</v>
      </c>
      <c r="D6">
        <v>0.17368370800722893</v>
      </c>
      <c r="E6">
        <v>0.43236876851592021</v>
      </c>
      <c r="F6">
        <v>3.0675595942716147</v>
      </c>
      <c r="G6">
        <v>11.106139022431361</v>
      </c>
      <c r="H6">
        <v>1.5998367432149103</v>
      </c>
      <c r="I6">
        <v>0.78397085372970032</v>
      </c>
      <c r="J6">
        <v>0.63682106729933252</v>
      </c>
      <c r="K6">
        <v>0.8921857799389914</v>
      </c>
      <c r="L6">
        <v>1.1253403033476335</v>
      </c>
      <c r="M6">
        <v>1.0091368809868577</v>
      </c>
      <c r="N6">
        <v>0.53379366607377365</v>
      </c>
      <c r="O6">
        <v>0.23686994518240226</v>
      </c>
      <c r="P6">
        <v>9.5069789717901018E-2</v>
      </c>
      <c r="Q6">
        <v>6.7863564586996397E-2</v>
      </c>
      <c r="R6">
        <v>3.3226412934265225E-2</v>
      </c>
      <c r="S6">
        <v>2.1370742997294131E-2</v>
      </c>
      <c r="U6">
        <f t="shared" si="1"/>
        <v>21.815236843236189</v>
      </c>
    </row>
    <row r="7" spans="1:21" x14ac:dyDescent="0.25">
      <c r="A7" s="52">
        <f>'Risks by age'!D11</f>
        <v>21.630000000000003</v>
      </c>
      <c r="B7" s="66">
        <f t="shared" si="0"/>
        <v>6.8601332064700302E-2</v>
      </c>
      <c r="C7" s="48">
        <v>20</v>
      </c>
      <c r="D7">
        <v>0.26261874886807546</v>
      </c>
      <c r="E7">
        <v>0.21438955484016919</v>
      </c>
      <c r="F7">
        <v>0.32992929201661503</v>
      </c>
      <c r="G7">
        <v>2.6459959556065624</v>
      </c>
      <c r="H7">
        <v>4.25732083352207</v>
      </c>
      <c r="I7">
        <v>1.7426124163604593</v>
      </c>
      <c r="J7">
        <v>1.1460068192625932</v>
      </c>
      <c r="K7">
        <v>1.0406542247580171</v>
      </c>
      <c r="L7">
        <v>0.91509425203877681</v>
      </c>
      <c r="M7">
        <v>1.0791877568231667</v>
      </c>
      <c r="N7">
        <v>0.73802249730034153</v>
      </c>
      <c r="O7">
        <v>0.41289339391945401</v>
      </c>
      <c r="P7">
        <v>0.12123907531237882</v>
      </c>
      <c r="Q7">
        <v>5.2890611952903011E-2</v>
      </c>
      <c r="R7">
        <v>4.9829869351455697E-2</v>
      </c>
      <c r="S7">
        <v>4.0058660895276335E-2</v>
      </c>
      <c r="U7">
        <f t="shared" si="1"/>
        <v>15.048743962828315</v>
      </c>
    </row>
    <row r="8" spans="1:21" x14ac:dyDescent="0.25">
      <c r="A8" s="52">
        <f>'Risks by age'!D12</f>
        <v>23.5</v>
      </c>
      <c r="B8" s="66">
        <f t="shared" si="0"/>
        <v>7.4532191563590242E-2</v>
      </c>
      <c r="C8" s="48">
        <v>25</v>
      </c>
      <c r="D8">
        <v>0.5796761613669188</v>
      </c>
      <c r="E8">
        <v>0.34355959581350998</v>
      </c>
      <c r="F8">
        <v>0.20994596004107249</v>
      </c>
      <c r="G8">
        <v>0.88234913532713799</v>
      </c>
      <c r="H8">
        <v>2.0243306051254151</v>
      </c>
      <c r="I8">
        <v>3.4146563950177367</v>
      </c>
      <c r="J8">
        <v>1.7292057466095705</v>
      </c>
      <c r="K8">
        <v>1.3332410354915039</v>
      </c>
      <c r="L8">
        <v>1.1286033883291697</v>
      </c>
      <c r="M8">
        <v>0.95261305233275984</v>
      </c>
      <c r="N8">
        <v>0.90571345080693533</v>
      </c>
      <c r="O8">
        <v>0.49814585508100628</v>
      </c>
      <c r="P8">
        <v>0.16227352386924557</v>
      </c>
      <c r="Q8">
        <v>5.5466341210742259E-2</v>
      </c>
      <c r="R8">
        <v>2.6940026141539845E-2</v>
      </c>
      <c r="S8">
        <v>1.8638502364238002E-2</v>
      </c>
      <c r="U8">
        <f t="shared" si="1"/>
        <v>14.265358774928503</v>
      </c>
    </row>
    <row r="9" spans="1:21" x14ac:dyDescent="0.25">
      <c r="A9" s="52">
        <f>'Risks by age'!D13</f>
        <v>22.43</v>
      </c>
      <c r="B9" s="66">
        <f t="shared" si="0"/>
        <v>7.1138598160482083E-2</v>
      </c>
      <c r="C9" s="48">
        <v>30</v>
      </c>
      <c r="D9">
        <v>0.68599351056015734</v>
      </c>
      <c r="E9">
        <v>0.92571539803981084</v>
      </c>
      <c r="F9">
        <v>0.70581001490221329</v>
      </c>
      <c r="G9">
        <v>0.51123155226334294</v>
      </c>
      <c r="H9">
        <v>0.99334905454446654</v>
      </c>
      <c r="I9">
        <v>1.6514641132012491</v>
      </c>
      <c r="J9">
        <v>2.7244371507897065</v>
      </c>
      <c r="K9">
        <v>1.6970227009771084</v>
      </c>
      <c r="L9">
        <v>1.3163096951103375</v>
      </c>
      <c r="M9">
        <v>1.0261762557210381</v>
      </c>
      <c r="N9">
        <v>0.79895285748248857</v>
      </c>
      <c r="O9">
        <v>0.54288296432001426</v>
      </c>
      <c r="P9">
        <v>0.21514564709522271</v>
      </c>
      <c r="Q9">
        <v>8.8142884430336674E-2</v>
      </c>
      <c r="R9">
        <v>4.0122106120504576E-2</v>
      </c>
      <c r="S9">
        <v>3.7412749501787933E-2</v>
      </c>
      <c r="U9">
        <f t="shared" si="1"/>
        <v>13.960168655059787</v>
      </c>
    </row>
    <row r="10" spans="1:21" x14ac:dyDescent="0.25">
      <c r="A10" s="52">
        <f>'Risks by age'!D14</f>
        <v>21.73</v>
      </c>
      <c r="B10" s="66">
        <f t="shared" si="0"/>
        <v>6.8918490326673021E-2</v>
      </c>
      <c r="C10" s="48">
        <v>35</v>
      </c>
      <c r="D10">
        <v>0.67323443351386014</v>
      </c>
      <c r="E10">
        <v>1.0872630071093401</v>
      </c>
      <c r="F10">
        <v>0.90790096194492587</v>
      </c>
      <c r="G10">
        <v>0.76210666230507496</v>
      </c>
      <c r="H10">
        <v>0.71204793152944346</v>
      </c>
      <c r="I10">
        <v>1.2807535082843318</v>
      </c>
      <c r="J10">
        <v>1.5726701438192805</v>
      </c>
      <c r="K10">
        <v>2.7807988620554123</v>
      </c>
      <c r="L10">
        <v>1.8311200945335855</v>
      </c>
      <c r="M10">
        <v>1.1870052804855455</v>
      </c>
      <c r="N10">
        <v>0.86264897198855328</v>
      </c>
      <c r="O10">
        <v>0.46881581500588271</v>
      </c>
      <c r="P10">
        <v>0.25378738063078921</v>
      </c>
      <c r="Q10">
        <v>0.14722062671643307</v>
      </c>
      <c r="R10">
        <v>7.4795614847647934E-2</v>
      </c>
      <c r="S10">
        <v>2.9848571851523984E-2</v>
      </c>
      <c r="U10">
        <f t="shared" si="1"/>
        <v>14.632017866621629</v>
      </c>
    </row>
    <row r="11" spans="1:21" x14ac:dyDescent="0.25">
      <c r="A11" s="52">
        <f>'Risks by age'!D15</f>
        <v>19.920000000000002</v>
      </c>
      <c r="B11" s="66">
        <f t="shared" si="0"/>
        <v>6.3177925784966713E-2</v>
      </c>
      <c r="C11" s="48">
        <v>40</v>
      </c>
      <c r="D11">
        <v>0.34423137757176059</v>
      </c>
      <c r="E11">
        <v>0.74311478566867872</v>
      </c>
      <c r="F11">
        <v>1.012537878334802</v>
      </c>
      <c r="G11">
        <v>1.1725051476796395</v>
      </c>
      <c r="H11">
        <v>0.86790141858917291</v>
      </c>
      <c r="I11">
        <v>1.128281537555873</v>
      </c>
      <c r="J11">
        <v>1.4459969323896429</v>
      </c>
      <c r="K11">
        <v>1.6622981097896445</v>
      </c>
      <c r="L11">
        <v>2.5230691371584291</v>
      </c>
      <c r="M11">
        <v>1.4656056665417023</v>
      </c>
      <c r="N11">
        <v>1.0419253996830022</v>
      </c>
      <c r="O11">
        <v>0.39318350626021425</v>
      </c>
      <c r="P11">
        <v>0.21372728053722026</v>
      </c>
      <c r="Q11">
        <v>0.11747991349856385</v>
      </c>
      <c r="R11">
        <v>7.4063089353822928E-2</v>
      </c>
      <c r="S11">
        <v>3.2295541397963437E-2</v>
      </c>
      <c r="U11">
        <f t="shared" si="1"/>
        <v>14.238216722010131</v>
      </c>
    </row>
    <row r="12" spans="1:21" x14ac:dyDescent="0.25">
      <c r="A12" s="52">
        <f>'Risks by age'!D16</f>
        <v>20.399999999999999</v>
      </c>
      <c r="B12" s="66">
        <f t="shared" si="0"/>
        <v>6.4700285442435779E-2</v>
      </c>
      <c r="C12" s="48">
        <v>45</v>
      </c>
      <c r="D12">
        <v>0.36963614143423118</v>
      </c>
      <c r="E12">
        <v>0.56161899285768091</v>
      </c>
      <c r="F12">
        <v>0.75213593055189154</v>
      </c>
      <c r="G12">
        <v>1.6565163208071874</v>
      </c>
      <c r="H12">
        <v>0.89487194235337342</v>
      </c>
      <c r="I12">
        <v>0.95448986099554345</v>
      </c>
      <c r="J12">
        <v>1.1485889324487228</v>
      </c>
      <c r="K12">
        <v>1.3251737065330997</v>
      </c>
      <c r="L12">
        <v>1.4214369669498708</v>
      </c>
      <c r="M12">
        <v>2.0319863690521411</v>
      </c>
      <c r="N12">
        <v>1.0792846012664778</v>
      </c>
      <c r="O12">
        <v>0.49794201022616685</v>
      </c>
      <c r="P12">
        <v>0.18369551014635666</v>
      </c>
      <c r="Q12">
        <v>9.2166880591997957E-2</v>
      </c>
      <c r="R12">
        <v>7.4005241713576406E-2</v>
      </c>
      <c r="S12">
        <v>6.6026545248062604E-2</v>
      </c>
      <c r="U12">
        <f t="shared" si="1"/>
        <v>13.109575953176384</v>
      </c>
    </row>
    <row r="13" spans="1:21" x14ac:dyDescent="0.25">
      <c r="A13" s="52">
        <f>'Risks by age'!D17</f>
        <v>20.48</v>
      </c>
      <c r="B13" s="66">
        <f t="shared" si="0"/>
        <v>6.4954012052013968E-2</v>
      </c>
      <c r="C13" s="48">
        <v>50</v>
      </c>
      <c r="D13">
        <v>0.30729947527186541</v>
      </c>
      <c r="E13">
        <v>0.67682104887843075</v>
      </c>
      <c r="F13">
        <v>1.0439912029518128</v>
      </c>
      <c r="G13">
        <v>1.4295756457494224</v>
      </c>
      <c r="H13">
        <v>1.0214101188739362</v>
      </c>
      <c r="I13">
        <v>1.2965461749807066</v>
      </c>
      <c r="J13">
        <v>1.1615372074757366</v>
      </c>
      <c r="K13">
        <v>1.1540614703937297</v>
      </c>
      <c r="L13">
        <v>1.5224214321820742</v>
      </c>
      <c r="M13">
        <v>1.6974693312356346</v>
      </c>
      <c r="N13">
        <v>1.930456569338729</v>
      </c>
      <c r="O13">
        <v>0.89129656478576647</v>
      </c>
      <c r="P13">
        <v>0.31082730052749702</v>
      </c>
      <c r="Q13">
        <v>0.1276517818180824</v>
      </c>
      <c r="R13">
        <v>7.9973457962190436E-2</v>
      </c>
      <c r="S13">
        <v>6.7437216968763661E-2</v>
      </c>
      <c r="U13">
        <f t="shared" si="1"/>
        <v>14.718775999394378</v>
      </c>
    </row>
    <row r="14" spans="1:21" x14ac:dyDescent="0.25">
      <c r="A14" s="52">
        <f>'Risks by age'!D18</f>
        <v>21.87</v>
      </c>
      <c r="B14" s="66">
        <f t="shared" si="0"/>
        <v>6.9362511893434842E-2</v>
      </c>
      <c r="C14" s="48">
        <v>55</v>
      </c>
      <c r="D14">
        <v>0.53657207617265235</v>
      </c>
      <c r="E14">
        <v>0.73650249441073112</v>
      </c>
      <c r="F14">
        <v>0.75174402925759187</v>
      </c>
      <c r="G14">
        <v>0.99697797588168158</v>
      </c>
      <c r="H14">
        <v>0.77548631375374533</v>
      </c>
      <c r="I14">
        <v>1.2240961768258789</v>
      </c>
      <c r="J14">
        <v>1.2252576459852877</v>
      </c>
      <c r="K14">
        <v>0.97718383924278951</v>
      </c>
      <c r="L14">
        <v>1.0880832902741648</v>
      </c>
      <c r="M14">
        <v>0.95610371751402889</v>
      </c>
      <c r="N14">
        <v>1.2159031055064464</v>
      </c>
      <c r="O14">
        <v>1.598582116159504</v>
      </c>
      <c r="P14">
        <v>0.54692554015937334</v>
      </c>
      <c r="Q14">
        <v>0.21565869525517417</v>
      </c>
      <c r="R14">
        <v>9.5427446389232382E-2</v>
      </c>
      <c r="S14">
        <v>6.4090515680486682E-2</v>
      </c>
      <c r="U14">
        <f t="shared" si="1"/>
        <v>13.004594978468768</v>
      </c>
    </row>
    <row r="15" spans="1:21" x14ac:dyDescent="0.25">
      <c r="A15" s="52">
        <f>'Risks by age'!D19</f>
        <v>20.57</v>
      </c>
      <c r="B15" s="66">
        <f t="shared" si="0"/>
        <v>6.5239454487789422E-2</v>
      </c>
      <c r="C15" s="48">
        <v>60</v>
      </c>
      <c r="D15">
        <v>0.44758729799839281</v>
      </c>
      <c r="E15">
        <v>0.43503653737719938</v>
      </c>
      <c r="F15">
        <v>0.33982587954167226</v>
      </c>
      <c r="G15">
        <v>0.50958482361519186</v>
      </c>
      <c r="H15">
        <v>0.42467062806054712</v>
      </c>
      <c r="I15">
        <v>0.62360215394037899</v>
      </c>
      <c r="J15">
        <v>0.71732652295539467</v>
      </c>
      <c r="K15">
        <v>0.77759798470271513</v>
      </c>
      <c r="L15">
        <v>0.6344817860505656</v>
      </c>
      <c r="M15">
        <v>0.54938380750908822</v>
      </c>
      <c r="N15">
        <v>0.5517559980136334</v>
      </c>
      <c r="O15">
        <v>0.71684400244340396</v>
      </c>
      <c r="P15">
        <v>1.0690145481396567</v>
      </c>
      <c r="Q15">
        <v>0.37754013276201459</v>
      </c>
      <c r="R15">
        <v>0.18820090898865771</v>
      </c>
      <c r="S15">
        <v>7.5497801033386602E-2</v>
      </c>
      <c r="U15">
        <f t="shared" si="1"/>
        <v>8.4379508131318968</v>
      </c>
    </row>
    <row r="16" spans="1:21" x14ac:dyDescent="0.25">
      <c r="A16" s="52">
        <f>'Risks by age'!D20</f>
        <v>17.46</v>
      </c>
      <c r="B16" s="66">
        <f t="shared" si="0"/>
        <v>5.5375832540437687E-2</v>
      </c>
      <c r="C16" s="48">
        <v>65</v>
      </c>
      <c r="D16">
        <v>0.2743320813416375</v>
      </c>
      <c r="E16">
        <v>0.43211173521089213</v>
      </c>
      <c r="F16">
        <v>0.36024528808748452</v>
      </c>
      <c r="G16">
        <v>0.23797888447597487</v>
      </c>
      <c r="H16">
        <v>0.2772038259111021</v>
      </c>
      <c r="I16">
        <v>0.35327331390592875</v>
      </c>
      <c r="J16">
        <v>0.49805061291937913</v>
      </c>
      <c r="K16">
        <v>0.52694419426684513</v>
      </c>
      <c r="L16">
        <v>0.54168578417551227</v>
      </c>
      <c r="M16">
        <v>0.32436596417533581</v>
      </c>
      <c r="N16">
        <v>0.35440742353264065</v>
      </c>
      <c r="O16">
        <v>0.4393893177367667</v>
      </c>
      <c r="P16">
        <v>0.48198881515179909</v>
      </c>
      <c r="Q16">
        <v>0.90006620620046451</v>
      </c>
      <c r="R16">
        <v>0.23184841533995815</v>
      </c>
      <c r="S16">
        <v>9.1894147292005984E-2</v>
      </c>
      <c r="U16">
        <f t="shared" si="1"/>
        <v>6.3257860097237275</v>
      </c>
    </row>
    <row r="17" spans="1:33" x14ac:dyDescent="0.25">
      <c r="A17" s="52">
        <f>'Risks by age'!D21</f>
        <v>14.030000000000001</v>
      </c>
      <c r="B17" s="66">
        <f t="shared" si="0"/>
        <v>4.4497304154773244E-2</v>
      </c>
      <c r="C17" s="48">
        <v>70</v>
      </c>
      <c r="D17">
        <v>0.10738770601888072</v>
      </c>
      <c r="E17">
        <v>0.32459364982676564</v>
      </c>
      <c r="F17">
        <v>0.32026577927074618</v>
      </c>
      <c r="G17">
        <v>0.34506743355705138</v>
      </c>
      <c r="H17">
        <v>0.15106958037333673</v>
      </c>
      <c r="I17">
        <v>0.2333906682419308</v>
      </c>
      <c r="J17">
        <v>0.23008800648016881</v>
      </c>
      <c r="K17">
        <v>0.39368278625701869</v>
      </c>
      <c r="L17">
        <v>0.54884176473740687</v>
      </c>
      <c r="M17">
        <v>0.40759785675989452</v>
      </c>
      <c r="N17">
        <v>0.32574398258164372</v>
      </c>
      <c r="O17">
        <v>0.27552945420736918</v>
      </c>
      <c r="P17">
        <v>0.48061938694269768</v>
      </c>
      <c r="Q17">
        <v>0.471457943863278</v>
      </c>
      <c r="R17">
        <v>0.68392390414674975</v>
      </c>
      <c r="S17">
        <v>0.21666875485008319</v>
      </c>
      <c r="U17">
        <f t="shared" si="1"/>
        <v>5.5159286581150218</v>
      </c>
    </row>
    <row r="18" spans="1:33" x14ac:dyDescent="0.25">
      <c r="A18" s="42">
        <f>'Risks by age'!D22</f>
        <v>9.65</v>
      </c>
      <c r="B18" s="71">
        <f t="shared" si="0"/>
        <v>3.0605772280367909E-2</v>
      </c>
      <c r="C18" s="48">
        <v>75</v>
      </c>
      <c r="D18">
        <v>0.21014644256939213</v>
      </c>
      <c r="E18">
        <v>0.28207435776475254</v>
      </c>
      <c r="F18">
        <v>0.41978293225289576</v>
      </c>
      <c r="G18">
        <v>0.33616104340770769</v>
      </c>
      <c r="H18">
        <v>0.13828164992397171</v>
      </c>
      <c r="I18">
        <v>0.15386022341524425</v>
      </c>
      <c r="J18">
        <v>0.23403017339610255</v>
      </c>
      <c r="K18">
        <v>0.29442898617024893</v>
      </c>
      <c r="L18">
        <v>0.34452794834551898</v>
      </c>
      <c r="M18">
        <v>0.43088888431870853</v>
      </c>
      <c r="N18">
        <v>0.38385271478602939</v>
      </c>
      <c r="O18">
        <v>0.2215158427943455</v>
      </c>
      <c r="P18">
        <v>0.16616949898967259</v>
      </c>
      <c r="Q18">
        <v>0.23868152468552972</v>
      </c>
      <c r="R18">
        <v>0.25044490670410791</v>
      </c>
      <c r="S18">
        <v>0.39625768830755831</v>
      </c>
      <c r="U18">
        <f t="shared" si="1"/>
        <v>4.5011048178317861</v>
      </c>
    </row>
    <row r="19" spans="1:33" x14ac:dyDescent="0.25">
      <c r="A19" s="52">
        <f>SUM(A3:A18)</f>
        <v>315.29999999999995</v>
      </c>
      <c r="B19" s="72">
        <f>SUM(B3:B18)</f>
        <v>1.0000000000000002</v>
      </c>
      <c r="P19" t="s">
        <v>68</v>
      </c>
      <c r="Z19" t="s">
        <v>69</v>
      </c>
    </row>
    <row r="20" spans="1:33" x14ac:dyDescent="0.25">
      <c r="D20" s="40" t="str">
        <f t="array" ref="D20:K20">TRANSPOSE(O21:O28)</f>
        <v>0-4</v>
      </c>
      <c r="E20" s="44" t="str">
        <v>5-12</v>
      </c>
      <c r="F20" s="40" t="str">
        <v>13-17</v>
      </c>
      <c r="G20" s="40" t="str">
        <v>18-29</v>
      </c>
      <c r="H20" s="40" t="str">
        <v>30-49</v>
      </c>
      <c r="I20" s="40" t="str">
        <v>50-64</v>
      </c>
      <c r="J20" s="40" t="str">
        <v>65-74</v>
      </c>
      <c r="K20" s="40" t="str">
        <v>75+</v>
      </c>
      <c r="M20" t="s">
        <v>61</v>
      </c>
      <c r="N20" s="42" t="s">
        <v>1</v>
      </c>
      <c r="O20" s="52" t="s">
        <v>71</v>
      </c>
      <c r="P20" s="40" t="str">
        <f>D20</f>
        <v>0-4</v>
      </c>
      <c r="Q20" s="40" t="str">
        <f t="shared" ref="Q20:W21" si="2">E20</f>
        <v>5-12</v>
      </c>
      <c r="R20" s="40" t="str">
        <f t="shared" si="2"/>
        <v>13-17</v>
      </c>
      <c r="S20" s="40" t="str">
        <f t="shared" si="2"/>
        <v>18-29</v>
      </c>
      <c r="T20" s="40" t="str">
        <f t="shared" si="2"/>
        <v>30-49</v>
      </c>
      <c r="U20" s="40" t="str">
        <f t="shared" si="2"/>
        <v>50-64</v>
      </c>
      <c r="V20" s="40" t="str">
        <f t="shared" si="2"/>
        <v>65-74</v>
      </c>
      <c r="W20" s="40" t="str">
        <f t="shared" si="2"/>
        <v>75+</v>
      </c>
      <c r="Z20" s="40" t="str">
        <f t="shared" ref="Z20:AG20" si="3">P20</f>
        <v>0-4</v>
      </c>
      <c r="AA20" s="40" t="str">
        <f t="shared" si="3"/>
        <v>5-12</v>
      </c>
      <c r="AB20" s="40" t="str">
        <f t="shared" si="3"/>
        <v>13-17</v>
      </c>
      <c r="AC20" s="40" t="str">
        <f t="shared" si="3"/>
        <v>18-29</v>
      </c>
      <c r="AD20" s="40" t="str">
        <f t="shared" si="3"/>
        <v>30-49</v>
      </c>
      <c r="AE20" s="40" t="str">
        <f t="shared" si="3"/>
        <v>50-64</v>
      </c>
      <c r="AF20" s="40" t="str">
        <f t="shared" si="3"/>
        <v>65-74</v>
      </c>
      <c r="AG20" s="40" t="str">
        <f t="shared" si="3"/>
        <v>75+</v>
      </c>
    </row>
    <row r="21" spans="1:33" x14ac:dyDescent="0.25">
      <c r="C21" s="53">
        <f>C3</f>
        <v>0</v>
      </c>
      <c r="D21" s="48">
        <f>D3</f>
        <v>2.5982374741684553</v>
      </c>
      <c r="E21" s="48">
        <f>SUM(E3)+3/5*F3</f>
        <v>1.4009233192670802</v>
      </c>
      <c r="F21" s="48">
        <f>2/5*F3+3/5*G3</f>
        <v>0.38935708342116337</v>
      </c>
      <c r="G21" s="48">
        <f>2/5*G3+SUM(H3:I3)</f>
        <v>1.2538168176854012</v>
      </c>
      <c r="H21" s="48">
        <f>SUM(J3:M3)</f>
        <v>2.8660581623408121</v>
      </c>
      <c r="I21" s="48">
        <f>SUM(N3:P3)</f>
        <v>0.77655669076187617</v>
      </c>
      <c r="J21">
        <f>SUM(Q3:R3)</f>
        <v>0.20984360868922708</v>
      </c>
      <c r="K21">
        <f>S3</f>
        <v>3.8852605705164758E-2</v>
      </c>
      <c r="M21">
        <f>SUM(D21:K21)</f>
        <v>9.5336457620391784</v>
      </c>
      <c r="N21" s="66">
        <f>'Risks by age'!K7</f>
        <v>5.9653291898973282E-2</v>
      </c>
      <c r="O21" s="53" t="s">
        <v>27</v>
      </c>
      <c r="P21" s="55">
        <f>D21</f>
        <v>2.5982374741684553</v>
      </c>
      <c r="Q21" s="55">
        <f t="shared" si="2"/>
        <v>1.4009233192670802</v>
      </c>
      <c r="R21" s="55">
        <f t="shared" si="2"/>
        <v>0.38935708342116337</v>
      </c>
      <c r="S21" s="55">
        <f t="shared" si="2"/>
        <v>1.2538168176854012</v>
      </c>
      <c r="T21" s="55">
        <f t="shared" si="2"/>
        <v>2.8660581623408121</v>
      </c>
      <c r="U21" s="55">
        <f t="shared" si="2"/>
        <v>0.77655669076187617</v>
      </c>
      <c r="V21" s="55">
        <f t="shared" si="2"/>
        <v>0.20984360868922708</v>
      </c>
      <c r="W21" s="55">
        <f t="shared" si="2"/>
        <v>3.8852605705164758E-2</v>
      </c>
      <c r="Y21" s="53" t="str">
        <f>O21</f>
        <v>0-4</v>
      </c>
      <c r="Z21" s="55">
        <f t="array" ref="Z21:AG28">TRANSPOSE(P21:W28)</f>
        <v>2.5982374741684553</v>
      </c>
      <c r="AA21" s="55">
        <v>0.73286938831203663</v>
      </c>
      <c r="AB21" s="55">
        <v>0.22614696091265613</v>
      </c>
      <c r="AC21" s="55">
        <v>0.37990349726578576</v>
      </c>
      <c r="AD21" s="55">
        <v>0.51827386577000234</v>
      </c>
      <c r="AE21" s="55">
        <v>0.43048628314763687</v>
      </c>
      <c r="AF21" s="55">
        <v>0.1908598936802591</v>
      </c>
      <c r="AG21" s="55">
        <v>0.21014644256939213</v>
      </c>
    </row>
    <row r="22" spans="1:33" x14ac:dyDescent="0.25">
      <c r="C22" s="53">
        <f t="shared" ref="C22:D36" si="4">C4</f>
        <v>5</v>
      </c>
      <c r="D22" s="52">
        <f t="shared" si="4"/>
        <v>0.98968591713678045</v>
      </c>
      <c r="E22" s="52">
        <f t="shared" ref="E22:E36" si="5">SUM(E4)+3/5*F4</f>
        <v>6.1208322953897358</v>
      </c>
      <c r="F22" s="52">
        <f t="shared" ref="F22:F36" si="6">2/5*F4+3/5*G4</f>
        <v>0.69786666209298964</v>
      </c>
      <c r="G22" s="52">
        <f t="shared" ref="G22:G36" si="7">2/5*G4+SUM(H4:I4)</f>
        <v>0.84199435765614272</v>
      </c>
      <c r="H22" s="52">
        <f t="shared" ref="H22:H36" si="8">SUM(J4:M4)</f>
        <v>3.1556622720172274</v>
      </c>
      <c r="I22" s="52">
        <f t="shared" ref="I22:I36" si="9">SUM(N4:P4)</f>
        <v>0.60966918993562724</v>
      </c>
      <c r="J22">
        <f t="shared" ref="J22:J36" si="10">SUM(Q4:R4)</f>
        <v>0.17249472077511441</v>
      </c>
      <c r="K22">
        <f t="shared" ref="K22:K36" si="11">S4</f>
        <v>3.9004324877162114E-2</v>
      </c>
      <c r="M22">
        <f t="shared" ref="M22:M36" si="12">SUM(D22:K22)</f>
        <v>12.627209739880779</v>
      </c>
      <c r="N22" s="66">
        <f>'Risks by age'!K8</f>
        <v>9.9533863449410495E-2</v>
      </c>
      <c r="O22" s="53" t="s">
        <v>56</v>
      </c>
      <c r="P22" s="55">
        <f>5/8*D22+3/8*D23</f>
        <v>0.73286938831203663</v>
      </c>
      <c r="Q22" s="55">
        <f t="shared" ref="Q22:W22" si="13">5/8*E22+3/8*E23</f>
        <v>6.3978883481668802</v>
      </c>
      <c r="R22" s="55">
        <f t="shared" si="13"/>
        <v>1.8978783769574774</v>
      </c>
      <c r="S22" s="55">
        <f t="shared" si="13"/>
        <v>0.91544363960415753</v>
      </c>
      <c r="T22" s="55">
        <f t="shared" si="13"/>
        <v>3.1049564232964038</v>
      </c>
      <c r="U22" s="55">
        <f t="shared" si="13"/>
        <v>0.60240580060239923</v>
      </c>
      <c r="V22" s="55">
        <f t="shared" si="13"/>
        <v>0.16858971986674198</v>
      </c>
      <c r="W22" s="55">
        <f t="shared" si="13"/>
        <v>4.4058233390697345E-2</v>
      </c>
      <c r="Y22" s="53" t="str">
        <f t="shared" ref="Y22:Y28" si="14">O22</f>
        <v>5-12</v>
      </c>
      <c r="Z22" s="55">
        <v>1.4009233192670802</v>
      </c>
      <c r="AA22" s="55">
        <v>6.3978883481668802</v>
      </c>
      <c r="AB22" s="55">
        <v>4.1076020894988483</v>
      </c>
      <c r="AC22" s="55">
        <v>0.74626504663326965</v>
      </c>
      <c r="AD22" s="55">
        <v>1.3361857637789525</v>
      </c>
      <c r="AE22" s="55">
        <v>1.0432322492390025</v>
      </c>
      <c r="AF22" s="55">
        <v>0.58250601272629809</v>
      </c>
      <c r="AG22" s="55">
        <v>0.53394411711649004</v>
      </c>
    </row>
    <row r="23" spans="1:33" x14ac:dyDescent="0.25">
      <c r="C23" s="53">
        <f t="shared" si="4"/>
        <v>10</v>
      </c>
      <c r="D23" s="52">
        <f t="shared" si="4"/>
        <v>0.30484184027079697</v>
      </c>
      <c r="E23" s="52">
        <f t="shared" si="5"/>
        <v>6.8596484361287864</v>
      </c>
      <c r="F23" s="52">
        <f t="shared" si="6"/>
        <v>3.8978979017316235</v>
      </c>
      <c r="G23" s="52">
        <f t="shared" si="7"/>
        <v>1.0378591095175154</v>
      </c>
      <c r="H23" s="52">
        <f t="shared" si="8"/>
        <v>3.0204466754283645</v>
      </c>
      <c r="I23" s="52">
        <f t="shared" si="9"/>
        <v>0.59030015171368588</v>
      </c>
      <c r="J23">
        <f t="shared" si="10"/>
        <v>0.16208138501945457</v>
      </c>
      <c r="K23">
        <f t="shared" si="11"/>
        <v>5.2481414246589399E-2</v>
      </c>
      <c r="M23">
        <f t="shared" si="12"/>
        <v>15.925556914056818</v>
      </c>
      <c r="N23" s="66">
        <f>'Risks by age'!K9</f>
        <v>6.3845474210157516E-2</v>
      </c>
      <c r="O23" s="53" t="s">
        <v>57</v>
      </c>
      <c r="P23" s="55">
        <f>2/5*D23+3/5*D24</f>
        <v>0.22614696091265613</v>
      </c>
      <c r="Q23" s="55">
        <f t="shared" ref="Q23:W23" si="15">2/5*E23+3/5*E24</f>
        <v>4.1076020894988483</v>
      </c>
      <c r="R23" s="55">
        <f t="shared" si="15"/>
        <v>6.2935835113931269</v>
      </c>
      <c r="S23" s="55">
        <f t="shared" si="15"/>
        <v>4.5109015673572985</v>
      </c>
      <c r="T23" s="55">
        <f t="shared" si="15"/>
        <v>3.4062690891150345</v>
      </c>
      <c r="U23" s="55">
        <f t="shared" si="15"/>
        <v>0.75556010126992046</v>
      </c>
      <c r="V23" s="55">
        <f t="shared" si="15"/>
        <v>0.12548654052053881</v>
      </c>
      <c r="W23" s="55">
        <f t="shared" si="15"/>
        <v>3.3815011497012243E-2</v>
      </c>
      <c r="Y23" s="53" t="str">
        <f t="shared" si="14"/>
        <v>13-17</v>
      </c>
      <c r="Z23" s="55">
        <v>0.38935708342116337</v>
      </c>
      <c r="AA23" s="55">
        <v>1.8978783769574774</v>
      </c>
      <c r="AB23" s="55">
        <v>6.2935835113931269</v>
      </c>
      <c r="AC23" s="55">
        <v>2.2871833566042836</v>
      </c>
      <c r="AD23" s="55">
        <v>0.95319243103166995</v>
      </c>
      <c r="AE23" s="55">
        <v>0.8719691706160696</v>
      </c>
      <c r="AF23" s="55">
        <v>0.31101610888155401</v>
      </c>
      <c r="AG23" s="55">
        <v>0.36960979894578294</v>
      </c>
    </row>
    <row r="24" spans="1:33" x14ac:dyDescent="0.25">
      <c r="C24" s="53">
        <f t="shared" si="4"/>
        <v>15</v>
      </c>
      <c r="D24" s="52">
        <f t="shared" si="4"/>
        <v>0.17368370800722893</v>
      </c>
      <c r="E24" s="52">
        <f t="shared" si="5"/>
        <v>2.2729045250788888</v>
      </c>
      <c r="F24" s="52">
        <f t="shared" si="6"/>
        <v>7.8907072511674627</v>
      </c>
      <c r="G24" s="52">
        <f t="shared" si="7"/>
        <v>6.8262632059171544</v>
      </c>
      <c r="H24" s="52">
        <f t="shared" si="8"/>
        <v>3.663484031572815</v>
      </c>
      <c r="I24" s="52">
        <f t="shared" si="9"/>
        <v>0.86573340097407692</v>
      </c>
      <c r="J24">
        <f t="shared" si="10"/>
        <v>0.10108997752126161</v>
      </c>
      <c r="K24">
        <f t="shared" si="11"/>
        <v>2.1370742997294131E-2</v>
      </c>
      <c r="M24">
        <f t="shared" si="12"/>
        <v>21.815236843236182</v>
      </c>
      <c r="N24" s="66">
        <f>'Risks by age'!K10</f>
        <v>0.16315997928282</v>
      </c>
      <c r="O24" s="53" t="s">
        <v>58</v>
      </c>
      <c r="P24" s="55">
        <f>2/12*D24+5/12*D25+5/12*D26</f>
        <v>0.37990349726578576</v>
      </c>
      <c r="Q24" s="55">
        <f t="shared" ref="Q24:W24" si="16">2/12*E24+5/12*E25+5/12*E26</f>
        <v>0.74626504663326965</v>
      </c>
      <c r="R24" s="55">
        <f t="shared" si="16"/>
        <v>2.2871833566042836</v>
      </c>
      <c r="S24" s="55">
        <f t="shared" si="16"/>
        <v>6.4919848203191766</v>
      </c>
      <c r="T24" s="55">
        <f t="shared" si="16"/>
        <v>4.4958332867811182</v>
      </c>
      <c r="U24" s="55">
        <f t="shared" si="16"/>
        <v>1.3269088152829136</v>
      </c>
      <c r="V24" s="55">
        <f t="shared" si="16"/>
        <v>9.398451652714393E-2</v>
      </c>
      <c r="W24" s="55">
        <f t="shared" si="16"/>
        <v>2.8018941857679995E-2</v>
      </c>
      <c r="Y24" s="53" t="str">
        <f t="shared" si="14"/>
        <v>18-29</v>
      </c>
      <c r="Z24" s="55">
        <v>1.2538168176854012</v>
      </c>
      <c r="AA24" s="55">
        <v>0.91544363960415753</v>
      </c>
      <c r="AB24" s="55">
        <v>4.5109015673572985</v>
      </c>
      <c r="AC24" s="55">
        <v>6.4919848203191766</v>
      </c>
      <c r="AD24" s="55">
        <v>2.531025810068888</v>
      </c>
      <c r="AE24" s="55">
        <v>2.1800889815112372</v>
      </c>
      <c r="AF24" s="55">
        <v>0.62407795782275444</v>
      </c>
      <c r="AG24" s="55">
        <v>0.42660629070229905</v>
      </c>
    </row>
    <row r="25" spans="1:33" x14ac:dyDescent="0.25">
      <c r="C25" s="53">
        <f t="shared" si="4"/>
        <v>20</v>
      </c>
      <c r="D25" s="52">
        <f t="shared" si="4"/>
        <v>0.26261874886807546</v>
      </c>
      <c r="E25" s="52">
        <f t="shared" si="5"/>
        <v>0.41234713005013823</v>
      </c>
      <c r="F25" s="52">
        <f t="shared" si="6"/>
        <v>1.7195692901705835</v>
      </c>
      <c r="G25" s="52">
        <f t="shared" si="7"/>
        <v>7.0583316321251548</v>
      </c>
      <c r="H25" s="52">
        <f t="shared" si="8"/>
        <v>4.1809430528825535</v>
      </c>
      <c r="I25" s="52">
        <f t="shared" si="9"/>
        <v>1.2721549665321745</v>
      </c>
      <c r="J25">
        <f t="shared" si="10"/>
        <v>0.10272048130435871</v>
      </c>
      <c r="K25">
        <f t="shared" si="11"/>
        <v>4.0058660895276335E-2</v>
      </c>
      <c r="M25">
        <f t="shared" si="12"/>
        <v>15.048743962828313</v>
      </c>
      <c r="N25" s="66">
        <f>'Risks by age'!K11</f>
        <v>0.25738049538433422</v>
      </c>
      <c r="O25" s="53" t="s">
        <v>59</v>
      </c>
      <c r="P25" s="55">
        <f>AVERAGE(D27:D30)</f>
        <v>0.51827386577000234</v>
      </c>
      <c r="Q25" s="55">
        <f t="shared" ref="Q25:W25" si="17">AVERAGE(E27:E30)</f>
        <v>1.3361857637789525</v>
      </c>
      <c r="R25" s="55">
        <f t="shared" si="17"/>
        <v>0.95319243103166995</v>
      </c>
      <c r="S25" s="55">
        <f t="shared" si="17"/>
        <v>2.531025810068888</v>
      </c>
      <c r="T25" s="55">
        <f t="shared" si="17"/>
        <v>6.7899240010888171</v>
      </c>
      <c r="U25" s="55">
        <f t="shared" si="17"/>
        <v>1.6379979861605971</v>
      </c>
      <c r="V25" s="55">
        <f t="shared" si="17"/>
        <v>0.17699908931822084</v>
      </c>
      <c r="W25" s="55">
        <f t="shared" si="17"/>
        <v>4.139585199983449E-2</v>
      </c>
      <c r="Y25" s="53" t="str">
        <f t="shared" si="14"/>
        <v>30-49</v>
      </c>
      <c r="Z25" s="55">
        <v>2.8660581623408121</v>
      </c>
      <c r="AA25" s="55">
        <v>3.1049564232964038</v>
      </c>
      <c r="AB25" s="55">
        <v>3.4062690891150345</v>
      </c>
      <c r="AC25" s="55">
        <v>4.4958332867811182</v>
      </c>
      <c r="AD25" s="55">
        <v>6.7899240010888171</v>
      </c>
      <c r="AE25" s="55">
        <v>4.1536360118404039</v>
      </c>
      <c r="AF25" s="55">
        <v>1.7356284848857806</v>
      </c>
      <c r="AG25" s="55">
        <v>1.3038759922305792</v>
      </c>
    </row>
    <row r="26" spans="1:33" x14ac:dyDescent="0.25">
      <c r="C26" s="53">
        <f t="shared" si="4"/>
        <v>25</v>
      </c>
      <c r="D26" s="52">
        <f t="shared" si="4"/>
        <v>0.5796761613669188</v>
      </c>
      <c r="E26" s="52">
        <f t="shared" si="5"/>
        <v>0.46952717183815346</v>
      </c>
      <c r="F26" s="52">
        <f t="shared" si="6"/>
        <v>0.61338786521271171</v>
      </c>
      <c r="G26" s="52">
        <f t="shared" si="7"/>
        <v>5.7919266542740075</v>
      </c>
      <c r="H26" s="52">
        <f t="shared" si="8"/>
        <v>5.1436632227630037</v>
      </c>
      <c r="I26" s="52">
        <f t="shared" si="9"/>
        <v>1.5661328297571873</v>
      </c>
      <c r="J26">
        <f t="shared" si="10"/>
        <v>8.2406367352282101E-2</v>
      </c>
      <c r="K26">
        <f t="shared" si="11"/>
        <v>1.8638502364238002E-2</v>
      </c>
      <c r="M26">
        <f t="shared" si="12"/>
        <v>14.265358774928504</v>
      </c>
      <c r="N26" s="66">
        <f>'Risks by age'!K12</f>
        <v>0.19169484812479057</v>
      </c>
      <c r="O26" s="53" t="s">
        <v>28</v>
      </c>
      <c r="P26" s="55">
        <f>AVERAGE(D31:D33)</f>
        <v>0.43048628314763687</v>
      </c>
      <c r="Q26" s="55">
        <f t="shared" ref="Q26:W26" si="18">AVERAGE(E31:E33)</f>
        <v>1.0432322492390025</v>
      </c>
      <c r="R26" s="55">
        <f t="shared" si="18"/>
        <v>0.8719691706160696</v>
      </c>
      <c r="S26" s="55">
        <f t="shared" si="18"/>
        <v>2.1800889815112372</v>
      </c>
      <c r="T26" s="55">
        <f t="shared" si="18"/>
        <v>4.1536360118404039</v>
      </c>
      <c r="U26" s="55">
        <f t="shared" si="18"/>
        <v>2.943868581691337</v>
      </c>
      <c r="V26" s="55">
        <f t="shared" si="18"/>
        <v>0.36148414105845061</v>
      </c>
      <c r="W26" s="55">
        <f t="shared" si="18"/>
        <v>6.9008511227545644E-2</v>
      </c>
      <c r="Y26" s="53" t="str">
        <f t="shared" si="14"/>
        <v>50-64</v>
      </c>
      <c r="Z26" s="55">
        <v>0.77655669076187617</v>
      </c>
      <c r="AA26" s="55">
        <v>0.60240580060239923</v>
      </c>
      <c r="AB26" s="55">
        <v>0.75556010126992046</v>
      </c>
      <c r="AC26" s="55">
        <v>1.3269088152829136</v>
      </c>
      <c r="AD26" s="55">
        <v>1.6379979861605971</v>
      </c>
      <c r="AE26" s="55">
        <v>2.943868581691337</v>
      </c>
      <c r="AF26" s="55">
        <v>1.1788391900764585</v>
      </c>
      <c r="AG26" s="55">
        <v>0.77153805657004748</v>
      </c>
    </row>
    <row r="27" spans="1:33" x14ac:dyDescent="0.25">
      <c r="C27" s="53">
        <f t="shared" si="4"/>
        <v>30</v>
      </c>
      <c r="D27" s="52">
        <f t="shared" si="4"/>
        <v>0.68599351056015734</v>
      </c>
      <c r="E27" s="52">
        <f t="shared" si="5"/>
        <v>1.3492014069811389</v>
      </c>
      <c r="F27" s="52">
        <f t="shared" si="6"/>
        <v>0.58906293731889103</v>
      </c>
      <c r="G27" s="52">
        <f t="shared" si="7"/>
        <v>2.8493057886510527</v>
      </c>
      <c r="H27" s="52">
        <f t="shared" si="8"/>
        <v>6.7639458025981902</v>
      </c>
      <c r="I27" s="52">
        <f t="shared" si="9"/>
        <v>1.5569814688977255</v>
      </c>
      <c r="J27">
        <f t="shared" si="10"/>
        <v>0.12826499055084126</v>
      </c>
      <c r="K27">
        <f t="shared" si="11"/>
        <v>3.7412749501787933E-2</v>
      </c>
      <c r="M27">
        <f t="shared" si="12"/>
        <v>13.960168655059785</v>
      </c>
      <c r="N27" s="66">
        <f>'Risks by age'!K13</f>
        <v>9.5938823386040289E-2</v>
      </c>
      <c r="O27" s="63" t="s">
        <v>30</v>
      </c>
      <c r="P27" s="55">
        <f>AVERAGE(D34:D35)</f>
        <v>0.1908598936802591</v>
      </c>
      <c r="Q27" s="55">
        <f t="shared" ref="Q27:W27" si="19">AVERAGE(E34:E35)</f>
        <v>0.58250601272629809</v>
      </c>
      <c r="R27" s="55">
        <f t="shared" si="19"/>
        <v>0.31101610888155401</v>
      </c>
      <c r="S27" s="55">
        <f t="shared" si="19"/>
        <v>0.62407795782275444</v>
      </c>
      <c r="T27" s="55">
        <f t="shared" si="19"/>
        <v>1.7356284848857806</v>
      </c>
      <c r="U27" s="55">
        <f t="shared" si="19"/>
        <v>1.1788391900764585</v>
      </c>
      <c r="V27" s="55">
        <f t="shared" si="19"/>
        <v>1.1436482347752253</v>
      </c>
      <c r="W27" s="55">
        <f t="shared" si="19"/>
        <v>0.15428145107104457</v>
      </c>
      <c r="Y27" s="63" t="str">
        <f t="shared" si="14"/>
        <v>65-74</v>
      </c>
      <c r="Z27" s="55">
        <v>0.20984360868922708</v>
      </c>
      <c r="AA27" s="55">
        <v>0.16858971986674198</v>
      </c>
      <c r="AB27" s="55">
        <v>0.12548654052053881</v>
      </c>
      <c r="AC27" s="55">
        <v>9.398451652714393E-2</v>
      </c>
      <c r="AD27" s="55">
        <v>0.17699908931822084</v>
      </c>
      <c r="AE27" s="55">
        <v>0.36148414105845061</v>
      </c>
      <c r="AF27" s="55">
        <v>1.1436482347752253</v>
      </c>
      <c r="AG27" s="55">
        <v>0.48912643138963763</v>
      </c>
    </row>
    <row r="28" spans="1:33" x14ac:dyDescent="0.25">
      <c r="C28" s="53">
        <f t="shared" si="4"/>
        <v>35</v>
      </c>
      <c r="D28" s="52">
        <f t="shared" si="4"/>
        <v>0.67323443351386014</v>
      </c>
      <c r="E28" s="52">
        <f t="shared" si="5"/>
        <v>1.6320035842762954</v>
      </c>
      <c r="F28" s="52">
        <f t="shared" si="6"/>
        <v>0.82042438216101532</v>
      </c>
      <c r="G28" s="52">
        <f t="shared" si="7"/>
        <v>2.2976441047358054</v>
      </c>
      <c r="H28" s="52">
        <f t="shared" si="8"/>
        <v>7.3715943808938249</v>
      </c>
      <c r="I28" s="52">
        <f t="shared" si="9"/>
        <v>1.5852521676252254</v>
      </c>
      <c r="J28">
        <f t="shared" si="10"/>
        <v>0.22201624156408101</v>
      </c>
      <c r="K28">
        <f t="shared" si="11"/>
        <v>2.9848571851523984E-2</v>
      </c>
      <c r="M28">
        <f t="shared" si="12"/>
        <v>14.632017866621631</v>
      </c>
      <c r="N28" s="71">
        <f>'Risks by age'!K14</f>
        <v>6.8793224263473784E-2</v>
      </c>
      <c r="O28" s="63" t="s">
        <v>31</v>
      </c>
      <c r="P28" s="55">
        <f>D36</f>
        <v>0.21014644256939213</v>
      </c>
      <c r="Q28" s="55">
        <f t="shared" ref="Q28:W28" si="20">E36</f>
        <v>0.53394411711649004</v>
      </c>
      <c r="R28" s="55">
        <f t="shared" si="20"/>
        <v>0.36960979894578294</v>
      </c>
      <c r="S28" s="55">
        <f t="shared" si="20"/>
        <v>0.42660629070229905</v>
      </c>
      <c r="T28" s="55">
        <f t="shared" si="20"/>
        <v>1.3038759922305792</v>
      </c>
      <c r="U28" s="55">
        <f t="shared" si="20"/>
        <v>0.77153805657004748</v>
      </c>
      <c r="V28" s="55">
        <f t="shared" si="20"/>
        <v>0.48912643138963763</v>
      </c>
      <c r="W28" s="55">
        <f t="shared" si="20"/>
        <v>0.39625768830755831</v>
      </c>
      <c r="Y28" s="63" t="str">
        <f t="shared" si="14"/>
        <v>75+</v>
      </c>
      <c r="Z28" s="55">
        <v>3.8852605705164758E-2</v>
      </c>
      <c r="AA28" s="55">
        <v>4.4058233390697345E-2</v>
      </c>
      <c r="AB28" s="55">
        <v>3.3815011497012243E-2</v>
      </c>
      <c r="AC28" s="55">
        <v>2.8018941857679995E-2</v>
      </c>
      <c r="AD28" s="55">
        <v>4.139585199983449E-2</v>
      </c>
      <c r="AE28" s="55">
        <v>6.9008511227545644E-2</v>
      </c>
      <c r="AF28" s="55">
        <v>0.15428145107104457</v>
      </c>
      <c r="AG28" s="55">
        <v>0.39625768830755831</v>
      </c>
    </row>
    <row r="29" spans="1:33" x14ac:dyDescent="0.25">
      <c r="C29" s="53">
        <f t="shared" si="4"/>
        <v>40</v>
      </c>
      <c r="D29" s="52">
        <f t="shared" si="4"/>
        <v>0.34423137757176059</v>
      </c>
      <c r="E29" s="52">
        <f t="shared" si="5"/>
        <v>1.35063751266956</v>
      </c>
      <c r="F29" s="52">
        <f t="shared" si="6"/>
        <v>1.1085182399417044</v>
      </c>
      <c r="G29" s="52">
        <f t="shared" si="7"/>
        <v>2.4651850152169019</v>
      </c>
      <c r="H29" s="52">
        <f t="shared" si="8"/>
        <v>7.0969698458794195</v>
      </c>
      <c r="I29" s="52">
        <f t="shared" si="9"/>
        <v>1.6488361864804368</v>
      </c>
      <c r="J29">
        <f t="shared" si="10"/>
        <v>0.19154300285238679</v>
      </c>
      <c r="K29">
        <f t="shared" si="11"/>
        <v>3.2295541397963437E-2</v>
      </c>
      <c r="M29">
        <f t="shared" si="12"/>
        <v>14.238216722010135</v>
      </c>
      <c r="N29" s="66">
        <f>SUM(N21:N28)</f>
        <v>1.0000000000000002</v>
      </c>
      <c r="Y29" s="52" t="s">
        <v>70</v>
      </c>
      <c r="Z29" s="66">
        <f t="array" ref="Z29:AG29">TRANSPOSE(N21:N28)</f>
        <v>5.9653291898973282E-2</v>
      </c>
      <c r="AA29" s="66">
        <v>9.9533863449410495E-2</v>
      </c>
      <c r="AB29" s="66">
        <v>6.3845474210157516E-2</v>
      </c>
      <c r="AC29" s="66">
        <v>0.16315997928282</v>
      </c>
      <c r="AD29" s="66">
        <v>0.25738049538433422</v>
      </c>
      <c r="AE29" s="66">
        <v>0.19169484812479057</v>
      </c>
      <c r="AF29" s="66">
        <v>9.5938823386040289E-2</v>
      </c>
      <c r="AG29" s="66">
        <v>6.8793224263473784E-2</v>
      </c>
    </row>
    <row r="30" spans="1:33" x14ac:dyDescent="0.25">
      <c r="C30" s="53">
        <f t="shared" si="4"/>
        <v>45</v>
      </c>
      <c r="D30" s="52">
        <f t="shared" si="4"/>
        <v>0.36963614143423118</v>
      </c>
      <c r="E30" s="52">
        <f t="shared" si="5"/>
        <v>1.0129005511888158</v>
      </c>
      <c r="F30" s="52">
        <f t="shared" si="6"/>
        <v>1.2947641647050689</v>
      </c>
      <c r="G30" s="52">
        <f t="shared" si="7"/>
        <v>2.5119683316717918</v>
      </c>
      <c r="H30" s="52">
        <f t="shared" si="8"/>
        <v>5.9271859749838347</v>
      </c>
      <c r="I30" s="52">
        <f t="shared" si="9"/>
        <v>1.7609221216390014</v>
      </c>
      <c r="J30">
        <f t="shared" si="10"/>
        <v>0.16617212230557438</v>
      </c>
      <c r="K30">
        <f t="shared" si="11"/>
        <v>6.6026545248062604E-2</v>
      </c>
      <c r="M30">
        <f t="shared" si="12"/>
        <v>13.109575953176382</v>
      </c>
    </row>
    <row r="31" spans="1:33" x14ac:dyDescent="0.25">
      <c r="C31" s="53">
        <f t="shared" si="4"/>
        <v>50</v>
      </c>
      <c r="D31" s="52">
        <f t="shared" si="4"/>
        <v>0.30729947527186541</v>
      </c>
      <c r="E31" s="52">
        <f t="shared" si="5"/>
        <v>1.3032157706495184</v>
      </c>
      <c r="F31" s="52">
        <f t="shared" si="6"/>
        <v>1.2753418686303786</v>
      </c>
      <c r="G31" s="52">
        <f t="shared" si="7"/>
        <v>2.8897865521544115</v>
      </c>
      <c r="H31" s="52">
        <f t="shared" si="8"/>
        <v>5.5354894412871749</v>
      </c>
      <c r="I31" s="52">
        <f t="shared" si="9"/>
        <v>3.1325804346519925</v>
      </c>
      <c r="J31">
        <f t="shared" si="10"/>
        <v>0.20762523978027284</v>
      </c>
      <c r="K31">
        <f t="shared" si="11"/>
        <v>6.7437216968763661E-2</v>
      </c>
      <c r="M31">
        <f t="shared" si="12"/>
        <v>14.718775999394376</v>
      </c>
      <c r="P31" s="40" t="str">
        <f>P20</f>
        <v>0-4</v>
      </c>
      <c r="Q31" s="40" t="str">
        <f t="shared" ref="Q31:W31" si="21">Q20</f>
        <v>5-12</v>
      </c>
      <c r="R31" s="40" t="str">
        <f t="shared" si="21"/>
        <v>13-17</v>
      </c>
      <c r="S31" s="40" t="str">
        <f t="shared" si="21"/>
        <v>18-29</v>
      </c>
      <c r="T31" s="40" t="str">
        <f t="shared" si="21"/>
        <v>30-49</v>
      </c>
      <c r="U31" s="40" t="str">
        <f t="shared" si="21"/>
        <v>50-64</v>
      </c>
      <c r="V31" s="40" t="str">
        <f t="shared" si="21"/>
        <v>65-74</v>
      </c>
      <c r="W31" s="40" t="str">
        <f t="shared" si="21"/>
        <v>75+</v>
      </c>
    </row>
    <row r="32" spans="1:33" x14ac:dyDescent="0.25">
      <c r="C32" s="53">
        <f t="shared" si="4"/>
        <v>55</v>
      </c>
      <c r="D32" s="52">
        <f t="shared" si="4"/>
        <v>0.53657207617265235</v>
      </c>
      <c r="E32" s="52">
        <f t="shared" si="5"/>
        <v>1.1875489119652862</v>
      </c>
      <c r="F32" s="52">
        <f t="shared" si="6"/>
        <v>0.89888439723204572</v>
      </c>
      <c r="G32" s="52">
        <f t="shared" si="7"/>
        <v>2.3983736809322966</v>
      </c>
      <c r="H32" s="52">
        <f t="shared" si="8"/>
        <v>4.2466284930162708</v>
      </c>
      <c r="I32" s="52">
        <f t="shared" si="9"/>
        <v>3.3614107618253239</v>
      </c>
      <c r="J32">
        <f t="shared" si="10"/>
        <v>0.31108614164440657</v>
      </c>
      <c r="K32">
        <f t="shared" si="11"/>
        <v>6.4090515680486682E-2</v>
      </c>
      <c r="M32">
        <f t="shared" si="12"/>
        <v>13.004594978468768</v>
      </c>
      <c r="O32" s="53" t="str">
        <f t="array" ref="O32:O39">TRANSPOSE(P31:W31)</f>
        <v>0-4</v>
      </c>
      <c r="P32" s="55">
        <f>ROUND(P21,3)</f>
        <v>2.5979999999999999</v>
      </c>
      <c r="Q32" s="55">
        <f t="shared" ref="Q32:W32" si="22">ROUND(Q21,3)</f>
        <v>1.401</v>
      </c>
      <c r="R32" s="55">
        <f t="shared" si="22"/>
        <v>0.38900000000000001</v>
      </c>
      <c r="S32" s="55">
        <f t="shared" si="22"/>
        <v>1.254</v>
      </c>
      <c r="T32" s="55">
        <f t="shared" si="22"/>
        <v>2.8660000000000001</v>
      </c>
      <c r="U32" s="55">
        <f t="shared" si="22"/>
        <v>0.77700000000000002</v>
      </c>
      <c r="V32" s="55">
        <f t="shared" si="22"/>
        <v>0.21</v>
      </c>
      <c r="W32" s="55">
        <f t="shared" si="22"/>
        <v>3.9E-2</v>
      </c>
      <c r="Y32" s="54" t="str">
        <f>"["&amp;P32&amp;", "&amp;Q32&amp;", "&amp;R32&amp;", "&amp;T32&amp;", "&amp;U32&amp;", "&amp;S32&amp;", "&amp;V32&amp;", "&amp;W32&amp;"],"</f>
        <v>[2.598, 1.401, 0.389, 2.866, 0.777, 1.254, 0.21, 0.039],</v>
      </c>
    </row>
    <row r="33" spans="3:25" x14ac:dyDescent="0.25">
      <c r="C33" s="53">
        <f t="shared" si="4"/>
        <v>60</v>
      </c>
      <c r="D33" s="52">
        <f t="shared" si="4"/>
        <v>0.44758729799839281</v>
      </c>
      <c r="E33" s="52">
        <f t="shared" si="5"/>
        <v>0.6389320651022028</v>
      </c>
      <c r="F33" s="52">
        <f t="shared" si="6"/>
        <v>0.44168124598578401</v>
      </c>
      <c r="G33" s="52">
        <f t="shared" si="7"/>
        <v>1.2521067114470028</v>
      </c>
      <c r="H33" s="52">
        <f t="shared" si="8"/>
        <v>2.6787901012177637</v>
      </c>
      <c r="I33" s="52">
        <f t="shared" si="9"/>
        <v>2.3376145485966937</v>
      </c>
      <c r="J33">
        <f t="shared" si="10"/>
        <v>0.5657410417506723</v>
      </c>
      <c r="K33">
        <f t="shared" si="11"/>
        <v>7.5497801033386602E-2</v>
      </c>
      <c r="M33">
        <f t="shared" si="12"/>
        <v>8.4379508131318985</v>
      </c>
      <c r="O33" s="53" t="str">
        <v>5-12</v>
      </c>
      <c r="P33" s="55">
        <f t="shared" ref="P33:W33" si="23">ROUND(P22,3)</f>
        <v>0.73299999999999998</v>
      </c>
      <c r="Q33" s="55">
        <f t="shared" si="23"/>
        <v>6.3979999999999997</v>
      </c>
      <c r="R33" s="55">
        <f t="shared" si="23"/>
        <v>1.8979999999999999</v>
      </c>
      <c r="S33" s="55">
        <f t="shared" si="23"/>
        <v>0.91500000000000004</v>
      </c>
      <c r="T33" s="55">
        <f t="shared" si="23"/>
        <v>3.105</v>
      </c>
      <c r="U33" s="55">
        <f t="shared" si="23"/>
        <v>0.60199999999999998</v>
      </c>
      <c r="V33" s="55">
        <f t="shared" si="23"/>
        <v>0.16900000000000001</v>
      </c>
      <c r="W33" s="55">
        <f t="shared" si="23"/>
        <v>4.3999999999999997E-2</v>
      </c>
      <c r="Y33" s="54" t="str">
        <f t="shared" ref="Y33:Y39" si="24">"["&amp;P33&amp;", "&amp;Q33&amp;", "&amp;R33&amp;", "&amp;T33&amp;", "&amp;U33&amp;", "&amp;S33&amp;", "&amp;V33&amp;", "&amp;W33&amp;"],"</f>
        <v>[0.733, 6.398, 1.898, 3.105, 0.602, 0.915, 0.169, 0.044],</v>
      </c>
    </row>
    <row r="34" spans="3:25" x14ac:dyDescent="0.25">
      <c r="C34" s="53">
        <f t="shared" si="4"/>
        <v>65</v>
      </c>
      <c r="D34" s="52">
        <f t="shared" si="4"/>
        <v>0.2743320813416375</v>
      </c>
      <c r="E34" s="52">
        <f t="shared" si="5"/>
        <v>0.64825890806338282</v>
      </c>
      <c r="F34" s="52">
        <f t="shared" si="6"/>
        <v>0.28688544592057874</v>
      </c>
      <c r="G34" s="52">
        <f t="shared" si="7"/>
        <v>0.72566869360742081</v>
      </c>
      <c r="H34" s="52">
        <f t="shared" si="8"/>
        <v>1.8910465555370723</v>
      </c>
      <c r="I34" s="52">
        <f t="shared" si="9"/>
        <v>1.2757855564212064</v>
      </c>
      <c r="J34">
        <f t="shared" si="10"/>
        <v>1.1319146215404228</v>
      </c>
      <c r="K34">
        <f t="shared" si="11"/>
        <v>9.1894147292005984E-2</v>
      </c>
      <c r="M34">
        <f t="shared" si="12"/>
        <v>6.3257860097237275</v>
      </c>
      <c r="O34" s="53" t="str">
        <v>13-17</v>
      </c>
      <c r="P34" s="55">
        <f t="shared" ref="P34:W34" si="25">ROUND(P23,3)</f>
        <v>0.22600000000000001</v>
      </c>
      <c r="Q34" s="55">
        <f t="shared" si="25"/>
        <v>4.1079999999999997</v>
      </c>
      <c r="R34" s="55">
        <f t="shared" si="25"/>
        <v>6.2939999999999996</v>
      </c>
      <c r="S34" s="55">
        <f t="shared" si="25"/>
        <v>4.5110000000000001</v>
      </c>
      <c r="T34" s="55">
        <f t="shared" si="25"/>
        <v>3.4060000000000001</v>
      </c>
      <c r="U34" s="55">
        <f t="shared" si="25"/>
        <v>0.75600000000000001</v>
      </c>
      <c r="V34" s="55">
        <f t="shared" si="25"/>
        <v>0.125</v>
      </c>
      <c r="W34" s="55">
        <f t="shared" si="25"/>
        <v>3.4000000000000002E-2</v>
      </c>
      <c r="Y34" s="54" t="str">
        <f t="shared" si="24"/>
        <v>[0.226, 4.108, 6.294, 3.406, 0.756, 4.511, 0.125, 0.034],</v>
      </c>
    </row>
    <row r="35" spans="3:25" x14ac:dyDescent="0.25">
      <c r="C35" s="53">
        <f t="shared" si="4"/>
        <v>70</v>
      </c>
      <c r="D35" s="52">
        <f t="shared" si="4"/>
        <v>0.10738770601888072</v>
      </c>
      <c r="E35" s="52">
        <f t="shared" si="5"/>
        <v>0.51675311738921337</v>
      </c>
      <c r="F35" s="52">
        <f t="shared" si="6"/>
        <v>0.33514677184252928</v>
      </c>
      <c r="G35" s="52">
        <f t="shared" si="7"/>
        <v>0.52248722203808806</v>
      </c>
      <c r="H35" s="52">
        <f t="shared" si="8"/>
        <v>1.580210414234489</v>
      </c>
      <c r="I35" s="52">
        <f t="shared" si="9"/>
        <v>1.0818928237317107</v>
      </c>
      <c r="J35">
        <f t="shared" si="10"/>
        <v>1.1553818480100277</v>
      </c>
      <c r="K35">
        <f t="shared" si="11"/>
        <v>0.21666875485008319</v>
      </c>
      <c r="M35">
        <f t="shared" si="12"/>
        <v>5.5159286581150218</v>
      </c>
      <c r="O35" s="53" t="str">
        <v>18-29</v>
      </c>
      <c r="P35" s="55">
        <f t="shared" ref="P35:W35" si="26">ROUND(P24,3)</f>
        <v>0.38</v>
      </c>
      <c r="Q35" s="55">
        <f t="shared" si="26"/>
        <v>0.746</v>
      </c>
      <c r="R35" s="55">
        <f t="shared" si="26"/>
        <v>2.2869999999999999</v>
      </c>
      <c r="S35" s="55">
        <f t="shared" si="26"/>
        <v>6.492</v>
      </c>
      <c r="T35" s="55">
        <f t="shared" si="26"/>
        <v>4.4960000000000004</v>
      </c>
      <c r="U35" s="55">
        <f t="shared" si="26"/>
        <v>1.327</v>
      </c>
      <c r="V35" s="55">
        <f t="shared" si="26"/>
        <v>9.4E-2</v>
      </c>
      <c r="W35" s="55">
        <f t="shared" si="26"/>
        <v>2.8000000000000001E-2</v>
      </c>
      <c r="Y35" s="54" t="str">
        <f t="shared" si="24"/>
        <v>[0.38, 0.746, 2.287, 4.496, 1.327, 6.492, 0.094, 0.028],</v>
      </c>
    </row>
    <row r="36" spans="3:25" x14ac:dyDescent="0.25">
      <c r="C36" s="53">
        <f t="shared" si="4"/>
        <v>75</v>
      </c>
      <c r="D36" s="52">
        <f t="shared" si="4"/>
        <v>0.21014644256939213</v>
      </c>
      <c r="E36" s="52">
        <f t="shared" si="5"/>
        <v>0.53394411711649004</v>
      </c>
      <c r="F36" s="52">
        <f t="shared" si="6"/>
        <v>0.36960979894578294</v>
      </c>
      <c r="G36" s="52">
        <f t="shared" si="7"/>
        <v>0.42660629070229905</v>
      </c>
      <c r="H36" s="52">
        <f t="shared" si="8"/>
        <v>1.3038759922305792</v>
      </c>
      <c r="I36" s="52">
        <f t="shared" si="9"/>
        <v>0.77153805657004748</v>
      </c>
      <c r="J36">
        <f t="shared" si="10"/>
        <v>0.48912643138963763</v>
      </c>
      <c r="K36">
        <f t="shared" si="11"/>
        <v>0.39625768830755831</v>
      </c>
      <c r="M36">
        <f t="shared" si="12"/>
        <v>4.5011048178317861</v>
      </c>
      <c r="O36" s="53" t="str">
        <v>30-49</v>
      </c>
      <c r="P36" s="55">
        <f t="shared" ref="P36:W36" si="27">ROUND(P25,3)</f>
        <v>0.51800000000000002</v>
      </c>
      <c r="Q36" s="55">
        <f t="shared" si="27"/>
        <v>1.3360000000000001</v>
      </c>
      <c r="R36" s="55">
        <f t="shared" si="27"/>
        <v>0.95299999999999996</v>
      </c>
      <c r="S36" s="55">
        <f t="shared" si="27"/>
        <v>2.5310000000000001</v>
      </c>
      <c r="T36" s="55">
        <f t="shared" si="27"/>
        <v>6.79</v>
      </c>
      <c r="U36" s="55">
        <f t="shared" si="27"/>
        <v>1.6379999999999999</v>
      </c>
      <c r="V36" s="55">
        <f t="shared" si="27"/>
        <v>0.17699999999999999</v>
      </c>
      <c r="W36" s="55">
        <f t="shared" si="27"/>
        <v>4.1000000000000002E-2</v>
      </c>
      <c r="Y36" s="54" t="str">
        <f t="shared" si="24"/>
        <v>[0.518, 1.336, 0.953, 6.79, 1.638, 2.531, 0.177, 0.041],</v>
      </c>
    </row>
    <row r="37" spans="3:25" x14ac:dyDescent="0.25">
      <c r="C37" s="53"/>
      <c r="O37" s="53" t="str">
        <v>50-64</v>
      </c>
      <c r="P37" s="55">
        <f t="shared" ref="P37:W37" si="28">ROUND(P26,3)</f>
        <v>0.43</v>
      </c>
      <c r="Q37" s="55">
        <f t="shared" si="28"/>
        <v>1.0429999999999999</v>
      </c>
      <c r="R37" s="55">
        <f t="shared" si="28"/>
        <v>0.872</v>
      </c>
      <c r="S37" s="55">
        <f t="shared" si="28"/>
        <v>2.1800000000000002</v>
      </c>
      <c r="T37" s="55">
        <f t="shared" si="28"/>
        <v>4.1539999999999999</v>
      </c>
      <c r="U37" s="55">
        <f t="shared" si="28"/>
        <v>2.944</v>
      </c>
      <c r="V37" s="55">
        <f t="shared" si="28"/>
        <v>0.36099999999999999</v>
      </c>
      <c r="W37" s="55">
        <f t="shared" si="28"/>
        <v>6.9000000000000006E-2</v>
      </c>
      <c r="Y37" s="54" t="str">
        <f t="shared" si="24"/>
        <v>[0.43, 1.043, 0.872, 4.154, 2.944, 2.18, 0.361, 0.069],</v>
      </c>
    </row>
    <row r="38" spans="3:25" x14ac:dyDescent="0.25">
      <c r="C38" s="53"/>
      <c r="O38" s="63" t="str">
        <v>65-74</v>
      </c>
      <c r="P38" s="55">
        <f t="shared" ref="P38:W38" si="29">ROUND(P27,3)</f>
        <v>0.191</v>
      </c>
      <c r="Q38" s="55">
        <f t="shared" si="29"/>
        <v>0.58299999999999996</v>
      </c>
      <c r="R38" s="55">
        <f t="shared" si="29"/>
        <v>0.311</v>
      </c>
      <c r="S38" s="55">
        <f t="shared" si="29"/>
        <v>0.624</v>
      </c>
      <c r="T38" s="55">
        <f t="shared" si="29"/>
        <v>1.736</v>
      </c>
      <c r="U38" s="55">
        <f t="shared" si="29"/>
        <v>1.179</v>
      </c>
      <c r="V38" s="55">
        <f t="shared" si="29"/>
        <v>1.1439999999999999</v>
      </c>
      <c r="W38" s="55">
        <f t="shared" si="29"/>
        <v>0.154</v>
      </c>
      <c r="Y38" s="54" t="str">
        <f t="shared" si="24"/>
        <v>[0.191, 0.583, 0.311, 1.736, 1.179, 0.624, 1.144, 0.154],</v>
      </c>
    </row>
    <row r="39" spans="3:25" x14ac:dyDescent="0.25">
      <c r="C39" s="53"/>
      <c r="O39" s="63" t="str">
        <v>75+</v>
      </c>
      <c r="P39" s="55">
        <f t="shared" ref="P39:W39" si="30">ROUND(P28,3)</f>
        <v>0.21</v>
      </c>
      <c r="Q39" s="55">
        <f t="shared" si="30"/>
        <v>0.53400000000000003</v>
      </c>
      <c r="R39" s="55">
        <f t="shared" si="30"/>
        <v>0.37</v>
      </c>
      <c r="S39" s="55">
        <f t="shared" si="30"/>
        <v>0.42699999999999999</v>
      </c>
      <c r="T39" s="55">
        <f t="shared" si="30"/>
        <v>1.304</v>
      </c>
      <c r="U39" s="55">
        <f t="shared" si="30"/>
        <v>0.77200000000000002</v>
      </c>
      <c r="V39" s="55">
        <f t="shared" si="30"/>
        <v>0.48899999999999999</v>
      </c>
      <c r="W39" s="55">
        <f t="shared" si="30"/>
        <v>0.39600000000000002</v>
      </c>
      <c r="Y39" s="54" t="str">
        <f t="shared" si="24"/>
        <v>[0.21, 0.534, 0.37, 1.304, 0.772, 0.427, 0.489, 0.396],</v>
      </c>
    </row>
    <row r="41" spans="3:25" x14ac:dyDescent="0.25">
      <c r="P41" t="s">
        <v>73</v>
      </c>
    </row>
    <row r="42" spans="3:25" x14ac:dyDescent="0.25">
      <c r="P42" s="40" t="str">
        <f>P31</f>
        <v>0-4</v>
      </c>
      <c r="Q42" s="40" t="str">
        <f t="shared" ref="Q42:W42" si="31">Q31</f>
        <v>5-12</v>
      </c>
      <c r="R42" s="40" t="str">
        <f t="shared" si="31"/>
        <v>13-17</v>
      </c>
      <c r="S42" s="40" t="str">
        <f t="shared" si="31"/>
        <v>18-29</v>
      </c>
      <c r="T42" s="40" t="str">
        <f t="shared" si="31"/>
        <v>30-49</v>
      </c>
      <c r="U42" s="40" t="str">
        <f t="shared" si="31"/>
        <v>50-64</v>
      </c>
      <c r="V42" s="40" t="str">
        <f t="shared" si="31"/>
        <v>65-74</v>
      </c>
      <c r="W42" s="40" t="str">
        <f t="shared" si="31"/>
        <v>75+</v>
      </c>
    </row>
    <row r="43" spans="3:25" x14ac:dyDescent="0.25">
      <c r="O43" s="53" t="str">
        <f t="array" ref="O43:O50">TRANSPOSE(P42:W42)</f>
        <v>0-4</v>
      </c>
      <c r="P43" s="55">
        <f>ROUND(($N21*P21+Z$29*Z21)/(2*$N21),3)</f>
        <v>2.5979999999999999</v>
      </c>
      <c r="Q43" s="55">
        <f t="shared" ref="Q43:W43" si="32">ROUND(($N21*Q21+AA$29*AA21)/(2*$N21),3)</f>
        <v>1.3120000000000001</v>
      </c>
      <c r="R43" s="55">
        <f t="shared" si="32"/>
        <v>0.316</v>
      </c>
      <c r="S43" s="55">
        <f t="shared" si="32"/>
        <v>1.1459999999999999</v>
      </c>
      <c r="T43" s="55">
        <f t="shared" si="32"/>
        <v>2.5510000000000002</v>
      </c>
      <c r="U43" s="55">
        <f t="shared" si="32"/>
        <v>1.08</v>
      </c>
      <c r="V43" s="55">
        <f t="shared" si="32"/>
        <v>0.25800000000000001</v>
      </c>
      <c r="W43" s="55">
        <f t="shared" si="32"/>
        <v>0.14099999999999999</v>
      </c>
      <c r="Y43" s="54" t="str">
        <f>"["&amp;P43&amp;", "&amp;Q43&amp;", "&amp;R43&amp;", "&amp;T43&amp;", "&amp;U43&amp;", "&amp;S43&amp;", "&amp;V43&amp;", "&amp;W43&amp;"],"</f>
        <v>[2.598, 1.312, 0.316, 2.551, 1.08, 1.146, 0.258, 0.141],</v>
      </c>
    </row>
    <row r="44" spans="3:25" x14ac:dyDescent="0.25">
      <c r="O44" s="53" t="str">
        <v>5-12</v>
      </c>
      <c r="P44" s="55">
        <f t="shared" ref="P44:P50" si="33">ROUND(($N22*P22+Z$29*Z22)/(2*$N22),3)</f>
        <v>0.78600000000000003</v>
      </c>
      <c r="Q44" s="55">
        <f t="shared" ref="Q44:Q50" si="34">ROUND(($N22*Q22+AA$29*AA22)/(2*$N22),3)</f>
        <v>6.3979999999999997</v>
      </c>
      <c r="R44" s="55">
        <f t="shared" ref="R44:R50" si="35">ROUND(($N22*R22+AB$29*AB22)/(2*$N22),3)</f>
        <v>2.266</v>
      </c>
      <c r="S44" s="55">
        <f t="shared" ref="S44:S50" si="36">ROUND(($N22*S22+AC$29*AC22)/(2*$N22),3)</f>
        <v>1.069</v>
      </c>
      <c r="T44" s="55">
        <f t="shared" ref="T44:T50" si="37">ROUND(($N22*T22+AD$29*AD22)/(2*$N22),3)</f>
        <v>3.28</v>
      </c>
      <c r="U44" s="55">
        <f t="shared" ref="U44:U50" si="38">ROUND(($N22*U22+AE$29*AE22)/(2*$N22),3)</f>
        <v>1.306</v>
      </c>
      <c r="V44" s="55">
        <f t="shared" ref="V44:V50" si="39">ROUND(($N22*V22+AF$29*AF22)/(2*$N22),3)</f>
        <v>0.36499999999999999</v>
      </c>
      <c r="W44" s="55">
        <f t="shared" ref="W44:W50" si="40">ROUND(($N22*W22+AG$29*AG22)/(2*$N22),3)</f>
        <v>0.20699999999999999</v>
      </c>
      <c r="Y44" s="54" t="str">
        <f t="shared" ref="Y44:Y50" si="41">"["&amp;P44&amp;", "&amp;Q44&amp;", "&amp;R44&amp;", "&amp;T44&amp;", "&amp;U44&amp;", "&amp;S44&amp;", "&amp;V44&amp;", "&amp;W44&amp;"],"</f>
        <v>[0.786, 6.398, 2.266, 3.28, 1.306, 1.069, 0.365, 0.207],</v>
      </c>
    </row>
    <row r="45" spans="3:25" x14ac:dyDescent="0.25">
      <c r="O45" s="53" t="str">
        <v>13-17</v>
      </c>
      <c r="P45" s="55">
        <f t="shared" si="33"/>
        <v>0.29499999999999998</v>
      </c>
      <c r="Q45" s="55">
        <f t="shared" si="34"/>
        <v>3.5329999999999999</v>
      </c>
      <c r="R45" s="55">
        <f t="shared" si="35"/>
        <v>6.2939999999999996</v>
      </c>
      <c r="S45" s="55">
        <f t="shared" si="36"/>
        <v>5.1779999999999999</v>
      </c>
      <c r="T45" s="55">
        <f t="shared" si="37"/>
        <v>3.6240000000000001</v>
      </c>
      <c r="U45" s="55">
        <f t="shared" si="38"/>
        <v>1.6870000000000001</v>
      </c>
      <c r="V45" s="55">
        <f t="shared" si="39"/>
        <v>0.29599999999999999</v>
      </c>
      <c r="W45" s="55">
        <f t="shared" si="40"/>
        <v>0.216</v>
      </c>
      <c r="Y45" s="54" t="str">
        <f t="shared" si="41"/>
        <v>[0.295, 3.533, 6.294, 3.624, 1.687, 5.178, 0.296, 0.216],</v>
      </c>
    </row>
    <row r="46" spans="3:25" x14ac:dyDescent="0.25">
      <c r="O46" s="53" t="str">
        <v>18-29</v>
      </c>
      <c r="P46" s="55">
        <f t="shared" si="33"/>
        <v>0.41899999999999998</v>
      </c>
      <c r="Q46" s="55">
        <f t="shared" si="34"/>
        <v>0.65200000000000002</v>
      </c>
      <c r="R46" s="55">
        <f t="shared" si="35"/>
        <v>2.0259999999999998</v>
      </c>
      <c r="S46" s="55">
        <f t="shared" si="36"/>
        <v>6.492</v>
      </c>
      <c r="T46" s="55">
        <f t="shared" si="37"/>
        <v>4.2439999999999998</v>
      </c>
      <c r="U46" s="55">
        <f t="shared" si="38"/>
        <v>1.944</v>
      </c>
      <c r="V46" s="55">
        <f t="shared" si="39"/>
        <v>0.23</v>
      </c>
      <c r="W46" s="55">
        <f t="shared" si="40"/>
        <v>0.104</v>
      </c>
      <c r="Y46" s="54" t="str">
        <f t="shared" si="41"/>
        <v>[0.419, 0.652, 2.026, 4.244, 1.944, 6.492, 0.23, 0.104],</v>
      </c>
    </row>
    <row r="47" spans="3:25" x14ac:dyDescent="0.25">
      <c r="O47" s="53" t="str">
        <v>30-49</v>
      </c>
      <c r="P47" s="55">
        <f t="shared" si="33"/>
        <v>0.59099999999999997</v>
      </c>
      <c r="Q47" s="55">
        <f t="shared" si="34"/>
        <v>1.268</v>
      </c>
      <c r="R47" s="55">
        <f t="shared" si="35"/>
        <v>0.89900000000000002</v>
      </c>
      <c r="S47" s="55">
        <f t="shared" si="36"/>
        <v>2.6909999999999998</v>
      </c>
      <c r="T47" s="55">
        <f t="shared" si="37"/>
        <v>6.79</v>
      </c>
      <c r="U47" s="55">
        <f t="shared" si="38"/>
        <v>2.3660000000000001</v>
      </c>
      <c r="V47" s="55">
        <f t="shared" si="39"/>
        <v>0.41199999999999998</v>
      </c>
      <c r="W47" s="55">
        <f t="shared" si="40"/>
        <v>0.19500000000000001</v>
      </c>
      <c r="Y47" s="54" t="str">
        <f t="shared" si="41"/>
        <v>[0.591, 1.268, 0.899, 6.79, 2.366, 2.691, 0.412, 0.195],</v>
      </c>
    </row>
    <row r="48" spans="3:25" x14ac:dyDescent="0.25">
      <c r="O48" s="53" t="str">
        <v>50-64</v>
      </c>
      <c r="P48" s="55">
        <f t="shared" si="33"/>
        <v>0.33600000000000002</v>
      </c>
      <c r="Q48" s="55">
        <f t="shared" si="34"/>
        <v>0.67800000000000005</v>
      </c>
      <c r="R48" s="55">
        <f t="shared" si="35"/>
        <v>0.56200000000000006</v>
      </c>
      <c r="S48" s="55">
        <f t="shared" si="36"/>
        <v>1.655</v>
      </c>
      <c r="T48" s="55">
        <f t="shared" si="37"/>
        <v>3.1760000000000002</v>
      </c>
      <c r="U48" s="55">
        <f t="shared" si="38"/>
        <v>2.944</v>
      </c>
      <c r="V48" s="55">
        <f t="shared" si="39"/>
        <v>0.47599999999999998</v>
      </c>
      <c r="W48" s="55">
        <f t="shared" si="40"/>
        <v>0.17299999999999999</v>
      </c>
      <c r="Y48" s="54" t="str">
        <f t="shared" si="41"/>
        <v>[0.336, 0.678, 0.562, 3.176, 2.944, 1.655, 0.476, 0.173],</v>
      </c>
    </row>
    <row r="49" spans="15:25" x14ac:dyDescent="0.25">
      <c r="O49" s="63" t="str">
        <v>65-74</v>
      </c>
      <c r="P49" s="55">
        <f t="shared" si="33"/>
        <v>0.161</v>
      </c>
      <c r="Q49" s="55">
        <f t="shared" si="34"/>
        <v>0.379</v>
      </c>
      <c r="R49" s="55">
        <f t="shared" si="35"/>
        <v>0.19700000000000001</v>
      </c>
      <c r="S49" s="55">
        <f t="shared" si="36"/>
        <v>0.39200000000000002</v>
      </c>
      <c r="T49" s="55">
        <f t="shared" si="37"/>
        <v>1.105</v>
      </c>
      <c r="U49" s="55">
        <f t="shared" si="38"/>
        <v>0.95099999999999996</v>
      </c>
      <c r="V49" s="55">
        <f t="shared" si="39"/>
        <v>1.1439999999999999</v>
      </c>
      <c r="W49" s="55">
        <f t="shared" si="40"/>
        <v>0.253</v>
      </c>
      <c r="Y49" s="54" t="str">
        <f t="shared" si="41"/>
        <v>[0.161, 0.379, 0.197, 1.105, 0.951, 0.392, 1.144, 0.253],</v>
      </c>
    </row>
    <row r="50" spans="15:25" x14ac:dyDescent="0.25">
      <c r="O50" s="63" t="str">
        <v>75+</v>
      </c>
      <c r="P50" s="55">
        <f t="shared" si="33"/>
        <v>0.122</v>
      </c>
      <c r="Q50" s="55">
        <f t="shared" si="34"/>
        <v>0.29899999999999999</v>
      </c>
      <c r="R50" s="55">
        <f t="shared" si="35"/>
        <v>0.2</v>
      </c>
      <c r="S50" s="55">
        <f t="shared" si="36"/>
        <v>0.247</v>
      </c>
      <c r="T50" s="55">
        <f t="shared" si="37"/>
        <v>0.72899999999999998</v>
      </c>
      <c r="U50" s="55">
        <f t="shared" si="38"/>
        <v>0.48199999999999998</v>
      </c>
      <c r="V50" s="55">
        <f t="shared" si="39"/>
        <v>0.35199999999999998</v>
      </c>
      <c r="W50" s="55">
        <f t="shared" si="40"/>
        <v>0.39600000000000002</v>
      </c>
      <c r="Y50" s="54" t="str">
        <f t="shared" si="41"/>
        <v>[0.122, 0.299, 0.2, 0.729, 0.482, 0.247, 0.352, 0.396],</v>
      </c>
    </row>
  </sheetData>
  <phoneticPr fontId="1" type="noConversion"/>
  <conditionalFormatting sqref="D3:S1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I3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Y39 P21:W2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32:W39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1:K3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W2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1:AG2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43:W50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Y5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1339F-C828-49B2-BE16-FB5C751192D4}">
  <dimension ref="A1:Z29"/>
  <sheetViews>
    <sheetView showGridLines="0" workbookViewId="0">
      <selection activeCell="L14" sqref="L14"/>
    </sheetView>
  </sheetViews>
  <sheetFormatPr defaultRowHeight="15" x14ac:dyDescent="0.25"/>
  <cols>
    <col min="1" max="1" width="28.28515625" customWidth="1"/>
    <col min="5" max="5" width="15.28515625" customWidth="1"/>
    <col min="19" max="19" width="3.42578125" customWidth="1"/>
    <col min="21" max="21" width="3.140625" customWidth="1"/>
    <col min="22" max="22" width="8" customWidth="1"/>
    <col min="23" max="23" width="10.85546875" bestFit="1" customWidth="1"/>
    <col min="24" max="24" width="10.140625" bestFit="1" customWidth="1"/>
  </cols>
  <sheetData>
    <row r="1" spans="1:26" x14ac:dyDescent="0.25">
      <c r="A1" s="20"/>
    </row>
    <row r="2" spans="1:26" x14ac:dyDescent="0.25">
      <c r="A2" s="11" t="s">
        <v>4</v>
      </c>
      <c r="B2" s="10"/>
      <c r="C2" s="10"/>
      <c r="D2" s="10"/>
      <c r="E2" s="10"/>
    </row>
    <row r="3" spans="1:26" x14ac:dyDescent="0.25">
      <c r="A3" s="12" t="s">
        <v>5</v>
      </c>
      <c r="B3" s="10"/>
      <c r="C3" s="10"/>
      <c r="D3" s="10"/>
      <c r="E3" s="10"/>
    </row>
    <row r="4" spans="1:26" x14ac:dyDescent="0.25">
      <c r="A4" s="12"/>
      <c r="B4" s="10"/>
      <c r="C4" s="10"/>
      <c r="D4" s="10"/>
      <c r="E4" s="10"/>
    </row>
    <row r="5" spans="1:26" ht="30" customHeight="1" x14ac:dyDescent="0.25">
      <c r="A5" s="12"/>
      <c r="B5" s="10"/>
      <c r="C5" s="10"/>
      <c r="D5" s="10"/>
      <c r="E5" s="10"/>
      <c r="M5" s="74" t="s">
        <v>34</v>
      </c>
      <c r="N5" s="74"/>
      <c r="O5" s="75" t="s">
        <v>62</v>
      </c>
      <c r="P5" s="75"/>
    </row>
    <row r="6" spans="1:26" ht="30" x14ac:dyDescent="0.25">
      <c r="A6" s="10"/>
      <c r="B6" s="49" t="s">
        <v>6</v>
      </c>
      <c r="C6" s="49" t="s">
        <v>7</v>
      </c>
      <c r="D6" s="50" t="s">
        <v>1</v>
      </c>
      <c r="E6" s="51" t="s">
        <v>34</v>
      </c>
      <c r="I6" s="49" t="s">
        <v>6</v>
      </c>
      <c r="J6" s="49" t="s">
        <v>7</v>
      </c>
      <c r="K6" s="49" t="s">
        <v>29</v>
      </c>
      <c r="L6" s="49" t="s">
        <v>32</v>
      </c>
      <c r="M6" s="49" t="s">
        <v>35</v>
      </c>
      <c r="N6" s="49" t="s">
        <v>33</v>
      </c>
      <c r="O6" s="49" t="s">
        <v>35</v>
      </c>
      <c r="P6" s="49" t="s">
        <v>33</v>
      </c>
      <c r="Q6" s="49" t="s">
        <v>36</v>
      </c>
      <c r="R6" s="49" t="s">
        <v>37</v>
      </c>
      <c r="S6" s="49"/>
      <c r="T6" s="49" t="s">
        <v>29</v>
      </c>
      <c r="V6" s="49" t="s">
        <v>66</v>
      </c>
      <c r="W6" s="49" t="s">
        <v>63</v>
      </c>
      <c r="X6" s="49" t="s">
        <v>64</v>
      </c>
      <c r="Y6" s="49" t="s">
        <v>29</v>
      </c>
    </row>
    <row r="7" spans="1:26" x14ac:dyDescent="0.25">
      <c r="A7" s="12" t="s">
        <v>8</v>
      </c>
      <c r="B7" s="24">
        <v>10.01</v>
      </c>
      <c r="C7" s="24">
        <v>9.57</v>
      </c>
      <c r="D7" s="24">
        <f>SUM(B7:C7)</f>
        <v>19.579999999999998</v>
      </c>
      <c r="E7" s="22">
        <v>1</v>
      </c>
      <c r="G7" t="s">
        <v>27</v>
      </c>
      <c r="I7" s="13">
        <f>B7</f>
        <v>10.01</v>
      </c>
      <c r="J7" s="13">
        <f>C7</f>
        <v>9.57</v>
      </c>
      <c r="K7" s="21">
        <f>SUM(I7:J7)/$I$17</f>
        <v>5.9653291898973282E-2</v>
      </c>
      <c r="L7" s="27">
        <f>I7+J7</f>
        <v>19.579999999999998</v>
      </c>
      <c r="M7" s="28" t="s">
        <v>60</v>
      </c>
      <c r="N7" s="27" t="e">
        <f>M7*0.25</f>
        <v>#VALUE!</v>
      </c>
      <c r="O7" s="27">
        <v>0.2</v>
      </c>
      <c r="P7" s="30">
        <f>0.25*O7</f>
        <v>0.05</v>
      </c>
      <c r="Q7" s="27"/>
      <c r="R7" s="27"/>
      <c r="S7" s="27"/>
      <c r="T7" s="66">
        <f t="shared" ref="T7:T14" si="0">K7</f>
        <v>5.9653291898973282E-2</v>
      </c>
      <c r="V7" s="6" t="str">
        <f>G7</f>
        <v>0-4</v>
      </c>
      <c r="W7" s="52">
        <v>59.8</v>
      </c>
      <c r="X7" s="68">
        <f>W7*L7*10</f>
        <v>11708.839999999998</v>
      </c>
      <c r="Y7" s="66">
        <f>X7/$X$15</f>
        <v>6.0062738590934851E-3</v>
      </c>
      <c r="Z7" s="64">
        <f>Y7</f>
        <v>6.0062738590934851E-3</v>
      </c>
    </row>
    <row r="8" spans="1:26" x14ac:dyDescent="0.25">
      <c r="A8" s="12" t="s">
        <v>9</v>
      </c>
      <c r="B8" s="24">
        <v>10.32</v>
      </c>
      <c r="C8" s="24">
        <v>9.8699999999999992</v>
      </c>
      <c r="D8" s="24">
        <f t="shared" ref="D8:D24" si="1">SUM(B8:C8)</f>
        <v>20.189999999999998</v>
      </c>
      <c r="E8" s="22">
        <v>1</v>
      </c>
      <c r="G8" s="56" t="s">
        <v>56</v>
      </c>
      <c r="I8" s="13">
        <f>B8+3/5*B9</f>
        <v>16.692</v>
      </c>
      <c r="J8" s="13">
        <f>C8+3/5*C9</f>
        <v>15.977999999999998</v>
      </c>
      <c r="K8" s="21">
        <f t="shared" ref="K8:K14" si="2">SUM(I8:J8)/$I$17</f>
        <v>9.9533863449410495E-2</v>
      </c>
      <c r="L8" s="27">
        <f t="shared" ref="L8:L14" si="3">I8+J8</f>
        <v>32.67</v>
      </c>
      <c r="M8" s="28" t="s">
        <v>60</v>
      </c>
      <c r="N8" s="27"/>
      <c r="O8" s="27">
        <v>0.2</v>
      </c>
      <c r="P8" s="30">
        <f t="shared" ref="P8:P12" si="4">0.25*O8</f>
        <v>0.05</v>
      </c>
      <c r="Q8" s="27"/>
      <c r="R8" s="27"/>
      <c r="S8" s="27"/>
      <c r="T8" s="66">
        <f t="shared" si="0"/>
        <v>9.9533863449410495E-2</v>
      </c>
      <c r="V8" s="6" t="str">
        <f t="shared" ref="V8:V14" si="5">G8</f>
        <v>5-12</v>
      </c>
      <c r="W8" s="52">
        <v>17.8</v>
      </c>
      <c r="X8" s="68">
        <f t="shared" ref="X8:X14" si="6">W8*L8*10</f>
        <v>5815.26</v>
      </c>
      <c r="Y8" s="66">
        <f t="shared" ref="Y8:Y14" si="7">X8/$X$15</f>
        <v>2.9830490571083031E-3</v>
      </c>
      <c r="Z8" s="64">
        <f t="shared" ref="Z8:Z14" si="8">Y8</f>
        <v>2.9830490571083031E-3</v>
      </c>
    </row>
    <row r="9" spans="1:26" x14ac:dyDescent="0.25">
      <c r="A9" s="12" t="s">
        <v>10</v>
      </c>
      <c r="B9" s="24">
        <v>10.62</v>
      </c>
      <c r="C9" s="24">
        <v>10.18</v>
      </c>
      <c r="D9" s="24">
        <f t="shared" si="1"/>
        <v>20.799999999999997</v>
      </c>
      <c r="E9" s="22">
        <v>1</v>
      </c>
      <c r="G9" s="15" t="s">
        <v>57</v>
      </c>
      <c r="I9" s="13">
        <f>2/5*B9+3/5*B10</f>
        <v>10.698</v>
      </c>
      <c r="J9" s="13">
        <f>2/5*C9+3/5*C10</f>
        <v>10.257999999999999</v>
      </c>
      <c r="K9" s="21">
        <f t="shared" si="2"/>
        <v>6.3845474210157516E-2</v>
      </c>
      <c r="L9" s="27">
        <f t="shared" si="3"/>
        <v>20.956</v>
      </c>
      <c r="M9" s="28">
        <v>1</v>
      </c>
      <c r="N9" s="27">
        <f t="shared" ref="N9:N14" si="9">M9*0.25</f>
        <v>0.25</v>
      </c>
      <c r="O9" s="27">
        <v>0.2</v>
      </c>
      <c r="P9" s="30">
        <f t="shared" si="4"/>
        <v>0.05</v>
      </c>
      <c r="Q9" s="27"/>
      <c r="R9" s="27"/>
      <c r="S9" s="27"/>
      <c r="T9" s="66">
        <f t="shared" si="0"/>
        <v>6.3845474210157516E-2</v>
      </c>
      <c r="V9" s="6" t="str">
        <f t="shared" si="5"/>
        <v>13-17</v>
      </c>
      <c r="W9" s="52">
        <v>54.2</v>
      </c>
      <c r="X9" s="68">
        <f t="shared" si="6"/>
        <v>11358.152</v>
      </c>
      <c r="Y9" s="66">
        <f t="shared" si="7"/>
        <v>5.826381729121791E-3</v>
      </c>
      <c r="Z9" s="64">
        <f t="shared" si="8"/>
        <v>5.826381729121791E-3</v>
      </c>
    </row>
    <row r="10" spans="1:26" x14ac:dyDescent="0.25">
      <c r="A10" s="12" t="s">
        <v>11</v>
      </c>
      <c r="B10" s="24">
        <v>10.75</v>
      </c>
      <c r="C10" s="24">
        <v>10.31</v>
      </c>
      <c r="D10" s="24">
        <f t="shared" si="1"/>
        <v>21.060000000000002</v>
      </c>
      <c r="E10" s="22">
        <v>1</v>
      </c>
      <c r="G10" s="65" t="s">
        <v>58</v>
      </c>
      <c r="H10" s="62"/>
      <c r="I10" s="57">
        <f>2/5*B10+SUM(B11:B12)</f>
        <v>27.360000000000003</v>
      </c>
      <c r="J10" s="57">
        <f>2/5*C10+SUM(C11:C12)</f>
        <v>26.194000000000003</v>
      </c>
      <c r="K10" s="58">
        <f t="shared" si="2"/>
        <v>0.16315997928282</v>
      </c>
      <c r="L10" s="59">
        <f t="shared" si="3"/>
        <v>53.554000000000002</v>
      </c>
      <c r="M10" s="60">
        <v>1</v>
      </c>
      <c r="N10" s="59">
        <f t="shared" si="9"/>
        <v>0.25</v>
      </c>
      <c r="O10" s="59">
        <v>2.6</v>
      </c>
      <c r="P10" s="61">
        <f t="shared" si="4"/>
        <v>0.65</v>
      </c>
      <c r="Q10" s="59"/>
      <c r="R10" s="59"/>
      <c r="S10" s="59"/>
      <c r="T10" s="67">
        <f t="shared" si="0"/>
        <v>0.16315997928282</v>
      </c>
      <c r="V10" s="6" t="str">
        <f t="shared" si="5"/>
        <v>18-29</v>
      </c>
      <c r="W10" s="52">
        <v>211.2</v>
      </c>
      <c r="X10" s="68">
        <f t="shared" si="6"/>
        <v>113106.048</v>
      </c>
      <c r="Y10" s="66">
        <f t="shared" si="7"/>
        <v>5.8019914817161476E-2</v>
      </c>
      <c r="Z10" s="64">
        <f t="shared" si="8"/>
        <v>5.8019914817161476E-2</v>
      </c>
    </row>
    <row r="11" spans="1:26" x14ac:dyDescent="0.25">
      <c r="A11" s="12" t="s">
        <v>12</v>
      </c>
      <c r="B11" s="24">
        <v>11.06</v>
      </c>
      <c r="C11" s="24">
        <v>10.57</v>
      </c>
      <c r="D11" s="24">
        <f t="shared" si="1"/>
        <v>21.630000000000003</v>
      </c>
      <c r="E11" s="22">
        <v>1</v>
      </c>
      <c r="G11" t="s">
        <v>59</v>
      </c>
      <c r="I11" s="13">
        <f>SUM(B13:B16)</f>
        <v>42.230000000000004</v>
      </c>
      <c r="J11" s="13">
        <f>SUM(C13:C16)</f>
        <v>42.25</v>
      </c>
      <c r="K11" s="21">
        <f t="shared" si="2"/>
        <v>0.25738049538433422</v>
      </c>
      <c r="L11" s="27">
        <f t="shared" si="3"/>
        <v>84.48</v>
      </c>
      <c r="M11" s="28">
        <v>2</v>
      </c>
      <c r="N11" s="27">
        <f t="shared" si="9"/>
        <v>0.5</v>
      </c>
      <c r="O11" s="27">
        <v>2.6</v>
      </c>
      <c r="P11" s="30">
        <f t="shared" si="4"/>
        <v>0.65</v>
      </c>
      <c r="Q11" s="27"/>
      <c r="R11" s="27"/>
      <c r="S11" s="27"/>
      <c r="T11" s="66">
        <f t="shared" si="0"/>
        <v>0.25738049538433422</v>
      </c>
      <c r="V11" s="6" t="str">
        <f t="shared" si="5"/>
        <v>30-49</v>
      </c>
      <c r="W11" s="52">
        <v>418.6</v>
      </c>
      <c r="X11" s="68">
        <f t="shared" si="6"/>
        <v>353633.28000000003</v>
      </c>
      <c r="Y11" s="66">
        <f t="shared" si="7"/>
        <v>0.18140296778925047</v>
      </c>
      <c r="Z11" s="64">
        <f t="shared" si="8"/>
        <v>0.18140296778925047</v>
      </c>
    </row>
    <row r="12" spans="1:26" x14ac:dyDescent="0.25">
      <c r="A12" s="12" t="s">
        <v>13</v>
      </c>
      <c r="B12" s="22">
        <v>12</v>
      </c>
      <c r="C12" s="24">
        <v>11.5</v>
      </c>
      <c r="D12" s="24">
        <f t="shared" si="1"/>
        <v>23.5</v>
      </c>
      <c r="E12" s="22">
        <v>1</v>
      </c>
      <c r="G12" t="s">
        <v>28</v>
      </c>
      <c r="I12" s="13">
        <f>SUM(B17:B19)</f>
        <v>30.59</v>
      </c>
      <c r="J12" s="13">
        <f>SUM(C17:C19)</f>
        <v>32.33</v>
      </c>
      <c r="K12" s="21">
        <f t="shared" si="2"/>
        <v>0.19169484812479057</v>
      </c>
      <c r="L12" s="27">
        <f t="shared" si="3"/>
        <v>62.92</v>
      </c>
      <c r="M12" s="28">
        <v>4</v>
      </c>
      <c r="N12" s="27">
        <f t="shared" si="9"/>
        <v>1</v>
      </c>
      <c r="O12" s="27">
        <v>7.9</v>
      </c>
      <c r="P12" s="30">
        <f t="shared" si="4"/>
        <v>1.9750000000000001</v>
      </c>
      <c r="Q12" s="27"/>
      <c r="R12" s="27"/>
      <c r="S12" s="27"/>
      <c r="T12" s="66">
        <f t="shared" si="0"/>
        <v>0.19169484812479057</v>
      </c>
      <c r="V12" s="6" t="str">
        <f t="shared" si="5"/>
        <v>50-64</v>
      </c>
      <c r="W12" s="52">
        <v>830.9</v>
      </c>
      <c r="X12" s="68">
        <f t="shared" si="6"/>
        <v>522802.28</v>
      </c>
      <c r="Y12" s="66">
        <f t="shared" si="7"/>
        <v>0.2681814481911507</v>
      </c>
      <c r="Z12" s="64">
        <f t="shared" si="8"/>
        <v>0.2681814481911507</v>
      </c>
    </row>
    <row r="13" spans="1:26" x14ac:dyDescent="0.25">
      <c r="A13" s="12" t="s">
        <v>14</v>
      </c>
      <c r="B13" s="24">
        <v>11.35</v>
      </c>
      <c r="C13" s="24">
        <v>11.08</v>
      </c>
      <c r="D13" s="24">
        <f t="shared" si="1"/>
        <v>22.43</v>
      </c>
      <c r="E13" s="22">
        <v>2</v>
      </c>
      <c r="G13" t="s">
        <v>30</v>
      </c>
      <c r="I13" s="13">
        <f>SUM(B20:B21)</f>
        <v>14.7</v>
      </c>
      <c r="J13" s="13">
        <f>SUM(C20:C21)</f>
        <v>16.79</v>
      </c>
      <c r="K13" s="21">
        <f t="shared" si="2"/>
        <v>9.5938823386040289E-2</v>
      </c>
      <c r="L13" s="27">
        <f t="shared" si="3"/>
        <v>31.49</v>
      </c>
      <c r="M13" s="28">
        <v>6</v>
      </c>
      <c r="N13" s="27">
        <f t="shared" si="9"/>
        <v>1.5</v>
      </c>
      <c r="O13" s="27">
        <v>14.1</v>
      </c>
      <c r="P13" s="30">
        <f t="shared" ref="P13:P14" si="10">0.25*O13</f>
        <v>3.5249999999999999</v>
      </c>
      <c r="Q13" s="27"/>
      <c r="R13" s="27"/>
      <c r="S13" s="27"/>
      <c r="T13" s="66">
        <f t="shared" si="0"/>
        <v>9.5938823386040289E-2</v>
      </c>
      <c r="V13" s="6" t="str">
        <f t="shared" si="5"/>
        <v>65-74</v>
      </c>
      <c r="W13" s="52">
        <v>1253.5999999999999</v>
      </c>
      <c r="X13" s="68">
        <f t="shared" si="6"/>
        <v>394758.63999999996</v>
      </c>
      <c r="Y13" s="66">
        <f t="shared" si="7"/>
        <v>0.20249900930265471</v>
      </c>
      <c r="Z13" s="64">
        <f t="shared" si="8"/>
        <v>0.20249900930265471</v>
      </c>
    </row>
    <row r="14" spans="1:26" x14ac:dyDescent="0.25">
      <c r="A14" s="12" t="s">
        <v>15</v>
      </c>
      <c r="B14" s="24">
        <v>10.88</v>
      </c>
      <c r="C14" s="24">
        <v>10.85</v>
      </c>
      <c r="D14" s="24">
        <f t="shared" si="1"/>
        <v>21.73</v>
      </c>
      <c r="E14" s="22">
        <v>2</v>
      </c>
      <c r="G14" t="s">
        <v>31</v>
      </c>
      <c r="I14" s="13">
        <f>SUM(B22:B24)</f>
        <v>9.379999999999999</v>
      </c>
      <c r="J14" s="13">
        <f>SUM(C22:C24)</f>
        <v>13.200000000000001</v>
      </c>
      <c r="K14" s="21">
        <f t="shared" si="2"/>
        <v>6.8793224263473784E-2</v>
      </c>
      <c r="L14" s="27">
        <f t="shared" si="3"/>
        <v>22.58</v>
      </c>
      <c r="M14" s="28">
        <f>SUMPRODUCT(D22:D24,E22:E24)/L14</f>
        <v>10.75642161204606</v>
      </c>
      <c r="N14" s="27">
        <f t="shared" si="9"/>
        <v>2.6891054030115149</v>
      </c>
      <c r="O14" s="27">
        <v>20.9</v>
      </c>
      <c r="P14" s="30">
        <f t="shared" si="10"/>
        <v>5.2249999999999996</v>
      </c>
      <c r="Q14" s="27"/>
      <c r="R14" s="27"/>
      <c r="S14" s="27"/>
      <c r="T14" s="66">
        <f t="shared" si="0"/>
        <v>6.8793224263473784E-2</v>
      </c>
      <c r="V14" s="4" t="str">
        <f t="shared" si="5"/>
        <v>75+</v>
      </c>
      <c r="W14" s="42">
        <v>2374.9</v>
      </c>
      <c r="X14" s="69">
        <f t="shared" si="6"/>
        <v>536252.41999999993</v>
      </c>
      <c r="Y14" s="71">
        <f t="shared" si="7"/>
        <v>0.27508095525445903</v>
      </c>
      <c r="Z14" s="64">
        <f t="shared" si="8"/>
        <v>0.27508095525445903</v>
      </c>
    </row>
    <row r="15" spans="1:26" x14ac:dyDescent="0.25">
      <c r="A15" s="12" t="s">
        <v>16</v>
      </c>
      <c r="B15" s="24">
        <v>9.91</v>
      </c>
      <c r="C15" s="24">
        <v>10.01</v>
      </c>
      <c r="D15" s="24">
        <f t="shared" si="1"/>
        <v>19.920000000000002</v>
      </c>
      <c r="E15" s="22">
        <v>2</v>
      </c>
      <c r="G15" s="4"/>
      <c r="H15" s="4"/>
      <c r="I15" s="16"/>
      <c r="J15" s="16"/>
      <c r="K15" s="18"/>
      <c r="L15" s="17"/>
      <c r="M15" s="17"/>
      <c r="N15" s="17"/>
      <c r="O15" s="17"/>
      <c r="P15" s="17"/>
      <c r="Q15" s="17"/>
      <c r="R15" s="17"/>
      <c r="S15" s="17"/>
      <c r="T15" s="19"/>
      <c r="X15" s="68">
        <f>SUM(X7:X14)</f>
        <v>1949434.92</v>
      </c>
      <c r="Y15" s="66">
        <f>SUM(Y7:Y14)</f>
        <v>1</v>
      </c>
    </row>
    <row r="16" spans="1:26" x14ac:dyDescent="0.25">
      <c r="A16" s="12" t="s">
        <v>17</v>
      </c>
      <c r="B16" s="24">
        <v>10.09</v>
      </c>
      <c r="C16" s="24">
        <v>10.31</v>
      </c>
      <c r="D16" s="24">
        <f t="shared" si="1"/>
        <v>20.399999999999999</v>
      </c>
      <c r="E16" s="22">
        <v>2</v>
      </c>
      <c r="I16" s="13">
        <f>SUM(I7:I15)</f>
        <v>161.66</v>
      </c>
      <c r="J16" s="13">
        <f>SUM(J7:J15)</f>
        <v>166.56999999999996</v>
      </c>
      <c r="K16" s="29">
        <f>SUM(K7:K15)</f>
        <v>1.0000000000000002</v>
      </c>
      <c r="L16" s="13"/>
      <c r="M16" s="13"/>
      <c r="N16" s="13"/>
      <c r="O16" s="13"/>
      <c r="P16" s="13"/>
      <c r="Q16" s="13"/>
      <c r="R16" s="13"/>
      <c r="S16" s="13"/>
      <c r="W16" t="s">
        <v>65</v>
      </c>
      <c r="X16" s="70">
        <f>X15/(I17*10)</f>
        <v>593.92344392651501</v>
      </c>
    </row>
    <row r="17" spans="1:11" x14ac:dyDescent="0.25">
      <c r="A17" s="12" t="s">
        <v>18</v>
      </c>
      <c r="B17" s="24">
        <v>10.09</v>
      </c>
      <c r="C17" s="24">
        <v>10.39</v>
      </c>
      <c r="D17" s="24">
        <f t="shared" si="1"/>
        <v>20.48</v>
      </c>
      <c r="E17" s="22">
        <v>4</v>
      </c>
      <c r="I17" s="13">
        <f>SUM(I16:J16)</f>
        <v>328.22999999999996</v>
      </c>
    </row>
    <row r="18" spans="1:11" x14ac:dyDescent="0.25">
      <c r="A18" s="12" t="s">
        <v>19</v>
      </c>
      <c r="B18" s="24">
        <v>10.64</v>
      </c>
      <c r="C18" s="24">
        <v>11.23</v>
      </c>
      <c r="D18" s="24">
        <f t="shared" si="1"/>
        <v>21.87</v>
      </c>
      <c r="E18" s="22">
        <v>4</v>
      </c>
    </row>
    <row r="19" spans="1:11" x14ac:dyDescent="0.25">
      <c r="A19" s="12" t="s">
        <v>20</v>
      </c>
      <c r="B19" s="24">
        <v>9.86</v>
      </c>
      <c r="C19" s="24">
        <v>10.71</v>
      </c>
      <c r="D19" s="24">
        <f t="shared" si="1"/>
        <v>20.57</v>
      </c>
      <c r="E19" s="22">
        <v>4</v>
      </c>
    </row>
    <row r="20" spans="1:11" x14ac:dyDescent="0.25">
      <c r="A20" s="12" t="s">
        <v>21</v>
      </c>
      <c r="B20" s="24">
        <v>8.1999999999999993</v>
      </c>
      <c r="C20" s="24">
        <v>9.26</v>
      </c>
      <c r="D20" s="24">
        <f t="shared" si="1"/>
        <v>17.46</v>
      </c>
      <c r="E20" s="22">
        <v>6</v>
      </c>
      <c r="G20" s="33" t="s">
        <v>38</v>
      </c>
      <c r="H20" s="33"/>
      <c r="I20" s="34" t="s">
        <v>29</v>
      </c>
      <c r="J20" s="33" t="s">
        <v>45</v>
      </c>
      <c r="K20" s="33"/>
    </row>
    <row r="21" spans="1:11" x14ac:dyDescent="0.25">
      <c r="A21" s="12" t="s">
        <v>22</v>
      </c>
      <c r="B21" s="24">
        <v>6.5</v>
      </c>
      <c r="C21" s="24">
        <v>7.53</v>
      </c>
      <c r="D21" s="24">
        <f t="shared" si="1"/>
        <v>14.030000000000001</v>
      </c>
      <c r="E21" s="22">
        <v>6</v>
      </c>
      <c r="G21" t="s">
        <v>39</v>
      </c>
      <c r="I21" s="31">
        <v>0</v>
      </c>
      <c r="J21">
        <v>0</v>
      </c>
    </row>
    <row r="22" spans="1:11" x14ac:dyDescent="0.25">
      <c r="A22" s="12" t="s">
        <v>23</v>
      </c>
      <c r="B22" s="24">
        <v>4.32</v>
      </c>
      <c r="C22" s="24">
        <v>5.33</v>
      </c>
      <c r="D22" s="24">
        <f t="shared" si="1"/>
        <v>9.65</v>
      </c>
      <c r="E22" s="22">
        <v>9</v>
      </c>
      <c r="G22" s="15" t="s">
        <v>44</v>
      </c>
      <c r="I22" s="32">
        <v>0.1668</v>
      </c>
    </row>
    <row r="23" spans="1:11" x14ac:dyDescent="0.25">
      <c r="A23" s="12" t="s">
        <v>24</v>
      </c>
      <c r="B23" s="24">
        <v>2.68</v>
      </c>
      <c r="C23" s="24">
        <v>3.64</v>
      </c>
      <c r="D23" s="24">
        <f t="shared" si="1"/>
        <v>6.32</v>
      </c>
      <c r="E23" s="22">
        <v>9</v>
      </c>
      <c r="G23" t="s">
        <v>40</v>
      </c>
      <c r="I23" s="32">
        <v>0.29149999999999998</v>
      </c>
    </row>
    <row r="24" spans="1:11" x14ac:dyDescent="0.25">
      <c r="A24" s="14" t="s">
        <v>25</v>
      </c>
      <c r="B24" s="25">
        <v>2.38</v>
      </c>
      <c r="C24" s="25">
        <v>4.2300000000000004</v>
      </c>
      <c r="D24" s="25">
        <f t="shared" si="1"/>
        <v>6.61</v>
      </c>
      <c r="E24" s="23">
        <v>15</v>
      </c>
      <c r="G24" t="s">
        <v>41</v>
      </c>
      <c r="I24" s="32">
        <v>0.34250000000000003</v>
      </c>
    </row>
    <row r="25" spans="1:11" x14ac:dyDescent="0.25">
      <c r="A25" s="12" t="s">
        <v>26</v>
      </c>
      <c r="B25" s="26">
        <f>SUM(B7:B24)</f>
        <v>161.65999999999997</v>
      </c>
      <c r="C25" s="26">
        <f>SUM(C7:C24)</f>
        <v>166.57</v>
      </c>
      <c r="D25" s="26">
        <f>SUM(D7:D24)</f>
        <v>328.22999999999996</v>
      </c>
      <c r="E25" s="13"/>
      <c r="G25" t="s">
        <v>42</v>
      </c>
      <c r="I25" s="32">
        <v>0.39789999999999998</v>
      </c>
    </row>
    <row r="26" spans="1:11" x14ac:dyDescent="0.25">
      <c r="B26" s="13"/>
      <c r="G26" t="s">
        <v>43</v>
      </c>
      <c r="I26" s="32">
        <v>0.4834</v>
      </c>
    </row>
    <row r="27" spans="1:11" x14ac:dyDescent="0.25">
      <c r="G27" t="s">
        <v>28</v>
      </c>
      <c r="I27" s="32">
        <v>0.58740000000000003</v>
      </c>
    </row>
    <row r="28" spans="1:11" x14ac:dyDescent="0.25">
      <c r="G28" t="s">
        <v>30</v>
      </c>
      <c r="I28" s="32">
        <v>0.74080000000000001</v>
      </c>
    </row>
    <row r="29" spans="1:11" x14ac:dyDescent="0.25">
      <c r="G29" t="s">
        <v>31</v>
      </c>
      <c r="I29" s="32">
        <v>0.71760000000000002</v>
      </c>
    </row>
  </sheetData>
  <mergeCells count="2">
    <mergeCell ref="M5:N5"/>
    <mergeCell ref="O5:P5"/>
  </mergeCells>
  <hyperlinks>
    <hyperlink ref="M5:N5" r:id="rId1" display="Hospitalization Risk" xr:uid="{D6599DB8-36A3-46CF-9978-AC2DDE80B08E}"/>
    <hyperlink ref="O5:P5" r:id="rId2" display="Mortality Risk" xr:uid="{7B929978-46DB-4145-9144-AA25905C14B2}"/>
    <hyperlink ref="D6" r:id="rId3" xr:uid="{A947FCD8-3188-4C63-BCD4-E8B05D4B9048}"/>
    <hyperlink ref="E6" r:id="rId4" xr:uid="{EE95F8C7-FB01-42F7-B309-0CEC8DAF8838}"/>
  </hyperlinks>
  <pageMargins left="0.7" right="0.7" top="0.75" bottom="0.75" header="0.3" footer="0.3"/>
  <pageSetup orientation="portrait"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35E6D-CEE5-4AB0-934D-43024B16BD14}">
  <dimension ref="A2:S9"/>
  <sheetViews>
    <sheetView tabSelected="1" topLeftCell="F1" workbookViewId="0">
      <selection activeCell="L11" sqref="L11"/>
    </sheetView>
  </sheetViews>
  <sheetFormatPr defaultRowHeight="15" x14ac:dyDescent="0.25"/>
  <sheetData>
    <row r="2" spans="1:19" x14ac:dyDescent="0.25">
      <c r="A2" t="s">
        <v>46</v>
      </c>
      <c r="B2" t="s">
        <v>74</v>
      </c>
      <c r="C2" t="s">
        <v>75</v>
      </c>
      <c r="D2" t="s">
        <v>76</v>
      </c>
      <c r="E2" t="s">
        <v>77</v>
      </c>
      <c r="F2" t="s">
        <v>78</v>
      </c>
      <c r="G2" t="s">
        <v>79</v>
      </c>
      <c r="H2" t="s">
        <v>80</v>
      </c>
      <c r="I2" t="s">
        <v>81</v>
      </c>
      <c r="J2" t="s">
        <v>82</v>
      </c>
      <c r="K2" t="s">
        <v>83</v>
      </c>
      <c r="L2" t="s">
        <v>84</v>
      </c>
      <c r="M2" t="s">
        <v>85</v>
      </c>
      <c r="O2" t="s">
        <v>46</v>
      </c>
      <c r="P2" t="s">
        <v>35</v>
      </c>
      <c r="Q2" t="s">
        <v>50</v>
      </c>
      <c r="R2" t="s">
        <v>51</v>
      </c>
      <c r="S2" t="s">
        <v>93</v>
      </c>
    </row>
    <row r="3" spans="1:19" x14ac:dyDescent="0.25">
      <c r="A3" s="52">
        <v>2</v>
      </c>
      <c r="B3" t="s">
        <v>86</v>
      </c>
      <c r="C3" s="17">
        <v>1E-3</v>
      </c>
      <c r="D3" s="17">
        <v>1E-3</v>
      </c>
      <c r="E3" s="17">
        <v>0</v>
      </c>
      <c r="F3" s="17">
        <v>1E-3</v>
      </c>
      <c r="G3" s="17">
        <v>1E-3</v>
      </c>
      <c r="H3" s="17">
        <v>1E-3</v>
      </c>
      <c r="I3" s="17">
        <v>3.0000000000000001E-3</v>
      </c>
      <c r="J3" s="17">
        <v>0</v>
      </c>
      <c r="K3" s="17">
        <v>1E-3</v>
      </c>
      <c r="L3" s="17">
        <v>2E-3</v>
      </c>
      <c r="M3" s="17">
        <v>0</v>
      </c>
      <c r="O3">
        <f>A3+78-2</f>
        <v>78</v>
      </c>
      <c r="P3" s="17">
        <f>C3</f>
        <v>1E-3</v>
      </c>
      <c r="Q3" s="17">
        <f>MIN(C3:M3)</f>
        <v>0</v>
      </c>
      <c r="R3" s="17">
        <f>MAX(C3:M3)</f>
        <v>3.0000000000000001E-3</v>
      </c>
      <c r="S3" t="str">
        <f>"["&amp;O3&amp;", "&amp;P3*100&amp;", "&amp;Q3*100&amp;", "&amp;R3*100&amp;"],"</f>
        <v>[78, 0.1, 0, 0.3],</v>
      </c>
    </row>
    <row r="4" spans="1:19" x14ac:dyDescent="0.25">
      <c r="A4" s="52">
        <f>A3+2</f>
        <v>4</v>
      </c>
      <c r="B4" t="s">
        <v>87</v>
      </c>
      <c r="C4" s="17">
        <v>6.0000000000000001E-3</v>
      </c>
      <c r="D4" s="17">
        <v>3.0000000000000001E-3</v>
      </c>
      <c r="E4" s="17">
        <v>5.0000000000000001E-3</v>
      </c>
      <c r="F4" s="17">
        <v>7.0000000000000001E-3</v>
      </c>
      <c r="G4" s="17">
        <v>5.0000000000000001E-3</v>
      </c>
      <c r="H4" s="17">
        <v>4.0000000000000001E-3</v>
      </c>
      <c r="I4" s="17">
        <v>8.0000000000000002E-3</v>
      </c>
      <c r="J4" s="17">
        <v>3.0000000000000001E-3</v>
      </c>
      <c r="K4" s="17">
        <v>0.01</v>
      </c>
      <c r="L4" s="17">
        <v>1.2E-2</v>
      </c>
      <c r="M4" s="17">
        <v>5.0000000000000001E-3</v>
      </c>
      <c r="O4">
        <f t="shared" ref="O4:O9" si="0">A4+78-2</f>
        <v>80</v>
      </c>
      <c r="P4" s="17">
        <f t="shared" ref="P4:P9" si="1">C4</f>
        <v>6.0000000000000001E-3</v>
      </c>
      <c r="Q4" s="17">
        <f t="shared" ref="Q4:Q9" si="2">MIN(C4:M4)</f>
        <v>3.0000000000000001E-3</v>
      </c>
      <c r="R4" s="17">
        <f t="shared" ref="R4:R9" si="3">MAX(C4:M4)</f>
        <v>1.2E-2</v>
      </c>
      <c r="S4" t="str">
        <f t="shared" ref="S4:S9" si="4">"["&amp;O4&amp;", "&amp;P4*100&amp;", "&amp;Q4*100&amp;", "&amp;R4*100&amp;"],"</f>
        <v>[80, 0.6, 0.3, 1.2],</v>
      </c>
    </row>
    <row r="5" spans="1:19" x14ac:dyDescent="0.25">
      <c r="A5" s="52">
        <f t="shared" ref="A5:A9" si="5">A4+2</f>
        <v>6</v>
      </c>
      <c r="B5" t="s">
        <v>88</v>
      </c>
      <c r="C5" s="17">
        <v>1.4E-2</v>
      </c>
      <c r="D5" s="17">
        <v>1.2999999999999999E-2</v>
      </c>
      <c r="E5" s="17">
        <v>1.6E-2</v>
      </c>
      <c r="F5" s="17">
        <v>8.0000000000000002E-3</v>
      </c>
      <c r="G5" s="17">
        <v>1.0999999999999999E-2</v>
      </c>
      <c r="H5" s="17">
        <v>1.0999999999999999E-2</v>
      </c>
      <c r="I5" s="17">
        <v>0.02</v>
      </c>
      <c r="J5" s="17">
        <v>1.4999999999999999E-2</v>
      </c>
      <c r="K5" s="17">
        <v>2.1000000000000001E-2</v>
      </c>
      <c r="L5" s="17">
        <v>2.4E-2</v>
      </c>
      <c r="M5" s="17">
        <v>1.0999999999999999E-2</v>
      </c>
      <c r="O5">
        <f t="shared" si="0"/>
        <v>82</v>
      </c>
      <c r="P5" s="17">
        <f t="shared" si="1"/>
        <v>1.4E-2</v>
      </c>
      <c r="Q5" s="17">
        <f t="shared" si="2"/>
        <v>8.0000000000000002E-3</v>
      </c>
      <c r="R5" s="17">
        <f t="shared" si="3"/>
        <v>2.4E-2</v>
      </c>
      <c r="S5" t="str">
        <f t="shared" si="4"/>
        <v>[82, 1.4, 0.8, 2.4],</v>
      </c>
    </row>
    <row r="6" spans="1:19" x14ac:dyDescent="0.25">
      <c r="A6" s="52">
        <f t="shared" si="5"/>
        <v>8</v>
      </c>
      <c r="B6" t="s">
        <v>89</v>
      </c>
      <c r="C6" s="17">
        <v>3.1E-2</v>
      </c>
      <c r="D6" s="17">
        <v>3.3000000000000002E-2</v>
      </c>
      <c r="E6" s="17">
        <v>3.1E-2</v>
      </c>
      <c r="F6" s="17">
        <v>1.4999999999999999E-2</v>
      </c>
      <c r="G6" s="17">
        <v>1.9E-2</v>
      </c>
      <c r="H6" s="17">
        <v>2.1999999999999999E-2</v>
      </c>
      <c r="I6" s="17">
        <v>4.5999999999999999E-2</v>
      </c>
      <c r="J6" s="17">
        <v>8.7999999999999995E-2</v>
      </c>
      <c r="K6" s="17">
        <v>7.2999999999999995E-2</v>
      </c>
      <c r="L6" s="17">
        <v>3.5999999999999997E-2</v>
      </c>
      <c r="M6" s="17">
        <v>2.1000000000000001E-2</v>
      </c>
      <c r="O6">
        <f t="shared" si="0"/>
        <v>84</v>
      </c>
      <c r="P6" s="17">
        <f t="shared" si="1"/>
        <v>3.1E-2</v>
      </c>
      <c r="Q6" s="17">
        <f t="shared" si="2"/>
        <v>1.4999999999999999E-2</v>
      </c>
      <c r="R6" s="17">
        <f t="shared" si="3"/>
        <v>8.7999999999999995E-2</v>
      </c>
      <c r="S6" t="str">
        <f t="shared" si="4"/>
        <v>[84, 3.1, 1.5, 8.8],</v>
      </c>
    </row>
    <row r="7" spans="1:19" x14ac:dyDescent="0.25">
      <c r="A7" s="52">
        <f t="shared" si="5"/>
        <v>10</v>
      </c>
      <c r="B7" t="s">
        <v>90</v>
      </c>
      <c r="C7" s="17">
        <v>0.10100000000000001</v>
      </c>
      <c r="D7" s="17">
        <v>6.6000000000000003E-2</v>
      </c>
      <c r="E7" s="17">
        <v>9.2999999999999999E-2</v>
      </c>
      <c r="F7" s="17">
        <v>3.7999999999999999E-2</v>
      </c>
      <c r="G7" s="17">
        <v>4.2999999999999997E-2</v>
      </c>
      <c r="H7" s="17">
        <v>6.6000000000000003E-2</v>
      </c>
      <c r="I7" s="17">
        <v>0.128</v>
      </c>
      <c r="J7" s="17">
        <v>0.34300000000000003</v>
      </c>
      <c r="K7" s="17">
        <v>0.26500000000000001</v>
      </c>
      <c r="L7" s="17">
        <v>0.156</v>
      </c>
      <c r="M7" s="17">
        <v>6.4000000000000001E-2</v>
      </c>
      <c r="O7">
        <f t="shared" si="0"/>
        <v>86</v>
      </c>
      <c r="P7" s="17">
        <f t="shared" si="1"/>
        <v>0.10100000000000001</v>
      </c>
      <c r="Q7" s="17">
        <f t="shared" si="2"/>
        <v>3.7999999999999999E-2</v>
      </c>
      <c r="R7" s="17">
        <f t="shared" si="3"/>
        <v>0.34300000000000003</v>
      </c>
      <c r="S7" t="str">
        <f t="shared" si="4"/>
        <v>[86, 10.1, 3.8, 34.3],</v>
      </c>
    </row>
    <row r="8" spans="1:19" x14ac:dyDescent="0.25">
      <c r="A8" s="52">
        <f t="shared" si="5"/>
        <v>12</v>
      </c>
      <c r="B8" t="s">
        <v>91</v>
      </c>
      <c r="C8" s="17">
        <v>0.30399999999999999</v>
      </c>
      <c r="D8" s="17">
        <v>0.122</v>
      </c>
      <c r="E8" s="17">
        <v>0.309</v>
      </c>
      <c r="F8" s="17">
        <v>0.107</v>
      </c>
      <c r="G8" s="17">
        <v>0.20799999999999999</v>
      </c>
      <c r="H8" s="17">
        <v>0.21</v>
      </c>
      <c r="I8" s="17">
        <v>0.34200000000000003</v>
      </c>
      <c r="J8" s="17">
        <v>0.72</v>
      </c>
      <c r="K8" s="17">
        <v>0.56699999999999995</v>
      </c>
      <c r="L8" s="17">
        <v>0.34599999999999997</v>
      </c>
      <c r="M8" s="17">
        <v>0.13600000000000001</v>
      </c>
      <c r="O8">
        <f t="shared" si="0"/>
        <v>88</v>
      </c>
      <c r="P8" s="17">
        <f t="shared" si="1"/>
        <v>0.30399999999999999</v>
      </c>
      <c r="Q8" s="17">
        <f t="shared" si="2"/>
        <v>0.107</v>
      </c>
      <c r="R8" s="17">
        <f t="shared" si="3"/>
        <v>0.72</v>
      </c>
      <c r="S8" t="str">
        <f t="shared" si="4"/>
        <v>[88, 30.4, 10.7, 72],</v>
      </c>
    </row>
    <row r="9" spans="1:19" x14ac:dyDescent="0.25">
      <c r="A9" s="52">
        <f t="shared" si="5"/>
        <v>14</v>
      </c>
      <c r="B9" t="s">
        <v>92</v>
      </c>
      <c r="C9" s="17">
        <v>0.51700000000000002</v>
      </c>
      <c r="D9" s="17">
        <v>0.33900000000000002</v>
      </c>
      <c r="E9" s="17">
        <v>0.56599999999999995</v>
      </c>
      <c r="F9" s="17">
        <v>0.314</v>
      </c>
      <c r="G9" s="17">
        <v>0.35099999999999998</v>
      </c>
      <c r="H9" s="17">
        <v>0.38</v>
      </c>
      <c r="I9" s="17">
        <v>0.58899999999999997</v>
      </c>
      <c r="J9" s="17">
        <v>0.80700000000000005</v>
      </c>
      <c r="K9" s="17">
        <v>0.74299999999999999</v>
      </c>
      <c r="L9" s="17">
        <v>0.57099999999999995</v>
      </c>
      <c r="M9" s="17">
        <v>0.32400000000000001</v>
      </c>
      <c r="O9">
        <f t="shared" si="0"/>
        <v>90</v>
      </c>
      <c r="P9" s="17">
        <f t="shared" si="1"/>
        <v>0.51700000000000002</v>
      </c>
      <c r="Q9" s="17">
        <f t="shared" si="2"/>
        <v>0.314</v>
      </c>
      <c r="R9" s="17">
        <f t="shared" si="3"/>
        <v>0.80700000000000005</v>
      </c>
      <c r="S9" t="str">
        <f t="shared" si="4"/>
        <v>[90, 51.7, 31.4, 80.7],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EBB13-7124-4A24-9A1F-BE76A3437B2E}">
  <dimension ref="A1:H30"/>
  <sheetViews>
    <sheetView workbookViewId="0">
      <selection activeCell="B5" sqref="B5"/>
    </sheetView>
  </sheetViews>
  <sheetFormatPr defaultRowHeight="15" x14ac:dyDescent="0.25"/>
  <cols>
    <col min="1" max="1" width="9.7109375" bestFit="1" customWidth="1"/>
    <col min="8" max="8" width="20" bestFit="1" customWidth="1"/>
  </cols>
  <sheetData>
    <row r="1" spans="1:8" x14ac:dyDescent="0.25">
      <c r="A1" s="1">
        <v>44197</v>
      </c>
    </row>
    <row r="2" spans="1:8" x14ac:dyDescent="0.25">
      <c r="A2" s="1">
        <v>44204</v>
      </c>
      <c r="B2">
        <v>1</v>
      </c>
      <c r="E2" t="s">
        <v>1</v>
      </c>
      <c r="F2" s="9">
        <v>0.52</v>
      </c>
      <c r="H2" s="38"/>
    </row>
    <row r="3" spans="1:8" x14ac:dyDescent="0.25">
      <c r="A3" s="1">
        <v>44211</v>
      </c>
      <c r="B3">
        <v>2</v>
      </c>
      <c r="E3" t="s">
        <v>0</v>
      </c>
      <c r="F3">
        <v>0.5</v>
      </c>
    </row>
    <row r="4" spans="1:8" x14ac:dyDescent="0.25">
      <c r="A4" s="1">
        <v>44218</v>
      </c>
      <c r="B4">
        <v>3</v>
      </c>
      <c r="E4" t="s">
        <v>2</v>
      </c>
      <c r="F4">
        <f>-LN(1-F2)/F3</f>
        <v>1.4679383501604009</v>
      </c>
    </row>
    <row r="5" spans="1:8" x14ac:dyDescent="0.25">
      <c r="A5" s="35">
        <v>44225</v>
      </c>
      <c r="B5" s="36">
        <v>4</v>
      </c>
    </row>
    <row r="6" spans="1:8" x14ac:dyDescent="0.25">
      <c r="A6" s="1">
        <v>44232</v>
      </c>
      <c r="B6">
        <v>5</v>
      </c>
    </row>
    <row r="7" spans="1:8" x14ac:dyDescent="0.25">
      <c r="A7" s="1">
        <v>44239</v>
      </c>
      <c r="B7">
        <v>6</v>
      </c>
    </row>
    <row r="8" spans="1:8" x14ac:dyDescent="0.25">
      <c r="A8" s="1">
        <v>44246</v>
      </c>
      <c r="B8">
        <v>7</v>
      </c>
    </row>
    <row r="9" spans="1:8" x14ac:dyDescent="0.25">
      <c r="A9" s="35">
        <v>44253</v>
      </c>
      <c r="B9" s="36">
        <v>8</v>
      </c>
    </row>
    <row r="10" spans="1:8" x14ac:dyDescent="0.25">
      <c r="A10" s="1">
        <v>44260</v>
      </c>
      <c r="B10">
        <v>9</v>
      </c>
    </row>
    <row r="11" spans="1:8" x14ac:dyDescent="0.25">
      <c r="A11" s="1">
        <v>44267</v>
      </c>
      <c r="B11">
        <v>10</v>
      </c>
    </row>
    <row r="12" spans="1:8" x14ac:dyDescent="0.25">
      <c r="A12" s="1">
        <v>44274</v>
      </c>
      <c r="B12">
        <v>11</v>
      </c>
    </row>
    <row r="13" spans="1:8" x14ac:dyDescent="0.25">
      <c r="A13" s="35">
        <v>44281</v>
      </c>
      <c r="B13" s="36">
        <v>12</v>
      </c>
    </row>
    <row r="14" spans="1:8" x14ac:dyDescent="0.25">
      <c r="A14" s="1">
        <v>44288</v>
      </c>
      <c r="B14">
        <v>13</v>
      </c>
    </row>
    <row r="15" spans="1:8" x14ac:dyDescent="0.25">
      <c r="A15" s="1">
        <v>44295</v>
      </c>
      <c r="B15">
        <v>14</v>
      </c>
    </row>
    <row r="16" spans="1:8" x14ac:dyDescent="0.25">
      <c r="A16" s="1">
        <v>44302</v>
      </c>
      <c r="B16">
        <v>15</v>
      </c>
    </row>
    <row r="17" spans="1:2" x14ac:dyDescent="0.25">
      <c r="A17" s="35">
        <v>44309</v>
      </c>
      <c r="B17" s="36">
        <v>16</v>
      </c>
    </row>
    <row r="18" spans="1:2" x14ac:dyDescent="0.25">
      <c r="A18" s="1">
        <v>44316</v>
      </c>
      <c r="B18">
        <v>17</v>
      </c>
    </row>
    <row r="19" spans="1:2" x14ac:dyDescent="0.25">
      <c r="A19" s="1">
        <v>44323</v>
      </c>
      <c r="B19">
        <v>18</v>
      </c>
    </row>
    <row r="20" spans="1:2" x14ac:dyDescent="0.25">
      <c r="A20" s="1">
        <v>44330</v>
      </c>
      <c r="B20">
        <v>19</v>
      </c>
    </row>
    <row r="21" spans="1:2" x14ac:dyDescent="0.25">
      <c r="A21" s="35">
        <v>44337</v>
      </c>
      <c r="B21" s="36">
        <v>20</v>
      </c>
    </row>
    <row r="22" spans="1:2" x14ac:dyDescent="0.25">
      <c r="A22" s="1">
        <v>44344</v>
      </c>
      <c r="B22">
        <v>21</v>
      </c>
    </row>
    <row r="23" spans="1:2" x14ac:dyDescent="0.25">
      <c r="A23" s="1">
        <v>44351</v>
      </c>
      <c r="B23">
        <v>22</v>
      </c>
    </row>
    <row r="24" spans="1:2" x14ac:dyDescent="0.25">
      <c r="A24" s="1">
        <v>44358</v>
      </c>
      <c r="B24">
        <v>23</v>
      </c>
    </row>
    <row r="25" spans="1:2" x14ac:dyDescent="0.25">
      <c r="A25" s="35">
        <v>44365</v>
      </c>
      <c r="B25" s="36">
        <v>24</v>
      </c>
    </row>
    <row r="26" spans="1:2" x14ac:dyDescent="0.25">
      <c r="A26" s="1">
        <v>44372</v>
      </c>
      <c r="B26">
        <v>25</v>
      </c>
    </row>
    <row r="27" spans="1:2" x14ac:dyDescent="0.25">
      <c r="A27" s="1">
        <v>44379</v>
      </c>
      <c r="B27">
        <v>26</v>
      </c>
    </row>
    <row r="28" spans="1:2" x14ac:dyDescent="0.25">
      <c r="A28" s="1">
        <v>44386</v>
      </c>
      <c r="B28">
        <v>27</v>
      </c>
    </row>
    <row r="29" spans="1:2" x14ac:dyDescent="0.25">
      <c r="A29" s="1">
        <v>44393</v>
      </c>
      <c r="B29">
        <v>28</v>
      </c>
    </row>
    <row r="30" spans="1:2" x14ac:dyDescent="0.25">
      <c r="A30" s="1">
        <v>44400</v>
      </c>
      <c r="B30">
        <v>29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Vaccination</vt:lpstr>
      <vt:lpstr>Contact rates</vt:lpstr>
      <vt:lpstr>Risks by age</vt:lpstr>
      <vt:lpstr>Novel variant</vt:lpstr>
      <vt:lpstr>Vaccination_old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2021-05-20T19:07:46Z</dcterms:created>
  <dcterms:modified xsi:type="dcterms:W3CDTF">2021-08-02T19:11:33Z</dcterms:modified>
</cp:coreProperties>
</file>