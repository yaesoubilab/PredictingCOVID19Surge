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PycharmProjects\PredictingCOVID19Surge\covid_model\"/>
    </mc:Choice>
  </mc:AlternateContent>
  <xr:revisionPtr revIDLastSave="0" documentId="13_ncr:1_{E9B41D9B-399A-42C9-B095-880765BB2A2A}" xr6:coauthVersionLast="46" xr6:coauthVersionMax="46" xr10:uidLastSave="{00000000-0000-0000-0000-000000000000}"/>
  <bookViews>
    <workbookView xWindow="-19530" yWindow="765" windowWidth="18360" windowHeight="14130" activeTab="2" xr2:uid="{4B0E50F9-8FDA-4FAF-B2BA-C91A91AB3C5C}"/>
  </bookViews>
  <sheets>
    <sheet name="Vaccination" sheetId="1" r:id="rId1"/>
    <sheet name="Timing" sheetId="2" r:id="rId2"/>
    <sheet name="Age-distribution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8" i="3" l="1"/>
  <c r="M9" i="3"/>
  <c r="M10" i="3"/>
  <c r="M11" i="3"/>
  <c r="M12" i="3"/>
  <c r="M7" i="3"/>
  <c r="I13" i="3"/>
  <c r="H7" i="3"/>
  <c r="H8" i="3"/>
  <c r="H9" i="3"/>
  <c r="H10" i="3"/>
  <c r="H11" i="3"/>
  <c r="H12" i="3"/>
  <c r="G12" i="3"/>
  <c r="G11" i="3"/>
  <c r="G10" i="3"/>
  <c r="G9" i="3"/>
  <c r="G8" i="3"/>
  <c r="G7" i="3"/>
  <c r="C25" i="3"/>
  <c r="B25" i="3"/>
  <c r="E4" i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2" i="2"/>
  <c r="C29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" i="2"/>
  <c r="I9" i="3" l="1"/>
  <c r="B26" i="3"/>
  <c r="G13" i="3"/>
  <c r="H13" i="3"/>
  <c r="G14" i="3" s="1"/>
  <c r="I8" i="3" s="1"/>
  <c r="I7" i="3" l="1"/>
  <c r="I12" i="3"/>
  <c r="I10" i="3"/>
  <c r="I11" i="3"/>
  <c r="L11" i="3"/>
  <c r="K7" i="3"/>
  <c r="K8" i="3"/>
  <c r="K9" i="3"/>
  <c r="K10" i="3"/>
  <c r="K11" i="3"/>
  <c r="L12" i="3"/>
  <c r="L10" i="3"/>
  <c r="L9" i="3"/>
  <c r="L8" i="3"/>
  <c r="K12" i="3"/>
  <c r="L7" i="3"/>
</calcChain>
</file>

<file path=xl/sharedStrings.xml><?xml version="1.0" encoding="utf-8"?>
<sst xmlns="http://schemas.openxmlformats.org/spreadsheetml/2006/main" count="41" uniqueCount="36">
  <si>
    <t>Year</t>
  </si>
  <si>
    <t>Pop</t>
  </si>
  <si>
    <t>rate</t>
  </si>
  <si>
    <t>Weeks</t>
  </si>
  <si>
    <t>Population of the United States by sex and age 2019</t>
  </si>
  <si>
    <t>Resident population of the United States by sex and age as of July 1, 2019 (in millions)</t>
  </si>
  <si>
    <t>Male</t>
  </si>
  <si>
    <t>Female</t>
  </si>
  <si>
    <t>Under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</si>
  <si>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</si>
  <si>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</si>
  <si>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</si>
  <si>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</si>
  <si>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</si>
  <si>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</si>
  <si>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</si>
  <si>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</si>
  <si>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49</t>
  </si>
  <si>
    <t>50 to 54</t>
  </si>
  <si>
    <t>55 to 59</t>
  </si>
  <si>
    <t>60 to 64</t>
  </si>
  <si>
    <t>65 to 69</t>
  </si>
  <si>
    <t>70 to 74</t>
  </si>
  <si>
    <t>75 to 79</t>
  </si>
  <si>
    <t>80 to 84</t>
  </si>
  <si>
    <t>85 and over</t>
  </si>
  <si>
    <t>https://www.statista.com/statistics/241488/population-of-the-us-by-sex-and-age/</t>
  </si>
  <si>
    <t>Percentage</t>
  </si>
  <si>
    <t>sum</t>
  </si>
  <si>
    <t>0-4</t>
  </si>
  <si>
    <t>20-49</t>
  </si>
  <si>
    <t>50-64</t>
  </si>
  <si>
    <t>5-19</t>
  </si>
  <si>
    <t>65-79</t>
  </si>
  <si>
    <t>80+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</si>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</sst>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0.0"/>
    <numFmt numFmtId="166" formatCode="#,##0.##"/>
    <numFmt numFmtId="167" formatCode="0.000"/>
    <numFmt numFmtId="168" formatCode="0.0%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14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0" fontId="0" fillId="0" borderId="1" xfId="0" applyBorder="1"/>
    <xf numFmtId="164" fontId="0" fillId="0" borderId="0" xfId="0" applyNumberFormat="1" applyBorder="1"/>
    <xf numFmtId="0" fontId="0" fillId="0" borderId="0" xfId="0" applyBorder="1"/>
    <xf numFmtId="165" fontId="0" fillId="0" borderId="0" xfId="0" applyNumberFormat="1"/>
    <xf numFmtId="165" fontId="0" fillId="0" borderId="1" xfId="0" applyNumberFormat="1" applyBorder="1"/>
    <xf numFmtId="9" fontId="0" fillId="0" borderId="0" xfId="0" applyNumberFormat="1"/>
    <xf numFmtId="0" fontId="2" fillId="0" borderId="0" xfId="1"/>
    <xf numFmtId="0" fontId="3" fillId="0" borderId="0" xfId="1" applyNumberFormat="1" applyFont="1" applyFill="1" applyBorder="1" applyAlignment="1" applyProtection="1">
      <alignment horizontal="left" vertical="center"/>
    </xf>
    <xf numFmtId="0" fontId="2" fillId="0" borderId="0" xfId="1" applyNumberFormat="1" applyFont="1" applyFill="1" applyBorder="1" applyAlignment="1" applyProtection="1">
      <alignment horizontal="left" vertical="center"/>
    </xf>
    <xf numFmtId="166" fontId="2" fillId="0" borderId="0" xfId="1" applyNumberFormat="1" applyFont="1" applyFill="1" applyBorder="1" applyAlignment="1" applyProtection="1">
      <alignment horizontal="right" vertical="center"/>
    </xf>
    <xf numFmtId="3" fontId="2" fillId="0" borderId="0" xfId="1" applyNumberFormat="1" applyFont="1" applyFill="1" applyBorder="1" applyAlignment="1" applyProtection="1">
      <alignment horizontal="right" vertical="center"/>
    </xf>
    <xf numFmtId="0" fontId="3" fillId="0" borderId="1" xfId="1" applyNumberFormat="1" applyFont="1" applyFill="1" applyBorder="1" applyAlignment="1" applyProtection="1">
      <alignment horizontal="right" vertical="center"/>
    </xf>
    <xf numFmtId="166" fontId="0" fillId="0" borderId="0" xfId="0" applyNumberFormat="1"/>
    <xf numFmtId="0" fontId="2" fillId="0" borderId="1" xfId="1" applyNumberFormat="1" applyFont="1" applyFill="1" applyBorder="1" applyAlignment="1" applyProtection="1">
      <alignment horizontal="left" vertical="center"/>
    </xf>
    <xf numFmtId="166" fontId="2" fillId="0" borderId="1" xfId="1" applyNumberFormat="1" applyFont="1" applyFill="1" applyBorder="1" applyAlignment="1" applyProtection="1">
      <alignment horizontal="right" vertical="center"/>
    </xf>
    <xf numFmtId="16" fontId="0" fillId="0" borderId="0" xfId="0" quotePrefix="1" applyNumberFormat="1"/>
    <xf numFmtId="166" fontId="0" fillId="0" borderId="1" xfId="0" applyNumberFormat="1" applyBorder="1"/>
    <xf numFmtId="10" fontId="0" fillId="0" borderId="0" xfId="0" applyNumberFormat="1"/>
    <xf numFmtId="167" fontId="0" fillId="0" borderId="0" xfId="0" applyNumberFormat="1"/>
    <xf numFmtId="167" fontId="0" fillId="0" borderId="1" xfId="0" applyNumberFormat="1" applyBorder="1"/>
    <xf numFmtId="0" fontId="0" fillId="0" borderId="0" xfId="0" applyAlignment="1">
      <alignment horizontal="center"/>
    </xf>
    <xf numFmtId="168" fontId="0" fillId="0" borderId="0" xfId="0" applyNumberFormat="1"/>
    <xf numFmtId="0" fontId="4" fillId="0" borderId="0" xfId="7"/>
  </cellXfs>
  <cellStyles count="8">
    <cellStyle name="Comma [0] 2" xfId="6" xr:uid="{6B5881C9-9ACE-4BDF-9BB2-8272691A0155}"/>
    <cellStyle name="Comma 2" xfId="5" xr:uid="{BF4829FB-E8E4-413E-9608-4FFD6FC96CB1}"/>
    <cellStyle name="Currency [0] 2" xfId="4" xr:uid="{588817CB-B311-4A00-94B3-5EC5C5BDF693}"/>
    <cellStyle name="Currency 2" xfId="3" xr:uid="{3F47A754-FB25-43AD-A6E6-F6429815720E}"/>
    <cellStyle name="Hyperlink" xfId="7" builtinId="8"/>
    <cellStyle name="Normal" xfId="0" builtinId="0"/>
    <cellStyle name="Normal 2" xfId="1" xr:uid="{276E414D-F8B8-4B43-888C-ED5AE2DC3225}"/>
    <cellStyle name="Percent 2" xfId="2" xr:uid="{F64CDE67-7CF9-4260-BDE1-BFFAB22A266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statista.com/statistics/241488/population-of-the-us-by-sex-and-ag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EBB13-7124-4A24-9A1F-BE76A3437B2E}">
  <dimension ref="A1:E22"/>
  <sheetViews>
    <sheetView workbookViewId="0">
      <selection activeCell="E4" sqref="E4"/>
    </sheetView>
  </sheetViews>
  <sheetFormatPr defaultRowHeight="15" x14ac:dyDescent="0.25"/>
  <cols>
    <col min="1" max="1" width="9.7109375" bestFit="1" customWidth="1"/>
  </cols>
  <sheetData>
    <row r="1" spans="1:5" x14ac:dyDescent="0.25">
      <c r="A1" s="1">
        <v>44197</v>
      </c>
    </row>
    <row r="2" spans="1:5" x14ac:dyDescent="0.25">
      <c r="A2" s="1">
        <v>44204</v>
      </c>
      <c r="B2">
        <v>1</v>
      </c>
      <c r="D2" t="s">
        <v>1</v>
      </c>
      <c r="E2" s="9">
        <v>0.52</v>
      </c>
    </row>
    <row r="3" spans="1:5" x14ac:dyDescent="0.25">
      <c r="A3" s="1">
        <v>44211</v>
      </c>
      <c r="B3">
        <v>2</v>
      </c>
      <c r="D3" t="s">
        <v>0</v>
      </c>
      <c r="E3">
        <v>0.5</v>
      </c>
    </row>
    <row r="4" spans="1:5" x14ac:dyDescent="0.25">
      <c r="A4" s="1">
        <v>44218</v>
      </c>
      <c r="B4">
        <v>3</v>
      </c>
      <c r="D4" t="s">
        <v>2</v>
      </c>
      <c r="E4">
        <f>-LN(1-E2)/E3</f>
        <v>1.4679383501604009</v>
      </c>
    </row>
    <row r="5" spans="1:5" x14ac:dyDescent="0.25">
      <c r="A5" s="1">
        <v>44225</v>
      </c>
      <c r="B5">
        <v>4</v>
      </c>
    </row>
    <row r="6" spans="1:5" x14ac:dyDescent="0.25">
      <c r="A6" s="1">
        <v>44232</v>
      </c>
      <c r="B6">
        <v>5</v>
      </c>
    </row>
    <row r="7" spans="1:5" x14ac:dyDescent="0.25">
      <c r="A7" s="1">
        <v>44239</v>
      </c>
      <c r="B7">
        <v>6</v>
      </c>
    </row>
    <row r="8" spans="1:5" x14ac:dyDescent="0.25">
      <c r="A8" s="1">
        <v>44246</v>
      </c>
      <c r="B8">
        <v>7</v>
      </c>
    </row>
    <row r="9" spans="1:5" x14ac:dyDescent="0.25">
      <c r="A9" s="1">
        <v>44253</v>
      </c>
      <c r="B9">
        <v>8</v>
      </c>
    </row>
    <row r="10" spans="1:5" x14ac:dyDescent="0.25">
      <c r="A10" s="1">
        <v>44260</v>
      </c>
      <c r="B10">
        <v>9</v>
      </c>
    </row>
    <row r="11" spans="1:5" x14ac:dyDescent="0.25">
      <c r="A11" s="1">
        <v>44267</v>
      </c>
      <c r="B11">
        <v>10</v>
      </c>
    </row>
    <row r="12" spans="1:5" x14ac:dyDescent="0.25">
      <c r="A12" s="1">
        <v>44274</v>
      </c>
      <c r="B12">
        <v>11</v>
      </c>
    </row>
    <row r="13" spans="1:5" x14ac:dyDescent="0.25">
      <c r="A13" s="1">
        <v>44281</v>
      </c>
      <c r="B13">
        <v>12</v>
      </c>
    </row>
    <row r="14" spans="1:5" x14ac:dyDescent="0.25">
      <c r="A14" s="1">
        <v>44288</v>
      </c>
      <c r="B14">
        <v>13</v>
      </c>
    </row>
    <row r="15" spans="1:5" x14ac:dyDescent="0.25">
      <c r="A15" s="1">
        <v>44295</v>
      </c>
      <c r="B15">
        <v>14</v>
      </c>
    </row>
    <row r="16" spans="1:5" x14ac:dyDescent="0.25">
      <c r="A16" s="1">
        <v>44302</v>
      </c>
      <c r="B16">
        <v>15</v>
      </c>
    </row>
    <row r="17" spans="1:2" x14ac:dyDescent="0.25">
      <c r="A17" s="1">
        <v>44309</v>
      </c>
      <c r="B17">
        <v>16</v>
      </c>
    </row>
    <row r="18" spans="1:2" x14ac:dyDescent="0.25">
      <c r="A18" s="1">
        <v>44316</v>
      </c>
      <c r="B18">
        <v>17</v>
      </c>
    </row>
    <row r="19" spans="1:2" x14ac:dyDescent="0.25">
      <c r="A19" s="1">
        <v>44323</v>
      </c>
      <c r="B19">
        <v>18</v>
      </c>
    </row>
    <row r="20" spans="1:2" x14ac:dyDescent="0.25">
      <c r="A20" s="1">
        <v>44330</v>
      </c>
      <c r="B20">
        <v>19</v>
      </c>
    </row>
    <row r="21" spans="1:2" x14ac:dyDescent="0.25">
      <c r="A21" s="1">
        <v>44337</v>
      </c>
      <c r="B21">
        <v>20</v>
      </c>
    </row>
    <row r="22" spans="1:2" x14ac:dyDescent="0.25">
      <c r="A22" s="1">
        <v>44344</v>
      </c>
      <c r="B22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6250-A646-4EDC-A1EB-7E5605B1B8BA}">
  <dimension ref="A1:D29"/>
  <sheetViews>
    <sheetView topLeftCell="A7" workbookViewId="0">
      <selection activeCell="F29" sqref="F29"/>
    </sheetView>
  </sheetViews>
  <sheetFormatPr defaultRowHeight="15" x14ac:dyDescent="0.25"/>
  <cols>
    <col min="1" max="1" width="17.5703125" bestFit="1" customWidth="1"/>
    <col min="7" max="7" width="11" bestFit="1" customWidth="1"/>
  </cols>
  <sheetData>
    <row r="1" spans="1:4" x14ac:dyDescent="0.25">
      <c r="C1" t="s">
        <v>0</v>
      </c>
      <c r="D1" t="s">
        <v>3</v>
      </c>
    </row>
    <row r="2" spans="1:4" x14ac:dyDescent="0.25">
      <c r="A2" s="2">
        <v>43891</v>
      </c>
      <c r="B2">
        <v>1</v>
      </c>
      <c r="C2">
        <f>(B2-1)/12</f>
        <v>0</v>
      </c>
      <c r="D2" s="7">
        <f>C2*52</f>
        <v>0</v>
      </c>
    </row>
    <row r="3" spans="1:4" x14ac:dyDescent="0.25">
      <c r="A3" s="2">
        <v>43922</v>
      </c>
      <c r="B3">
        <v>2</v>
      </c>
      <c r="C3">
        <f t="shared" ref="C3:C29" si="0">(B3-1)/12</f>
        <v>8.3333333333333329E-2</v>
      </c>
      <c r="D3" s="7">
        <f t="shared" ref="D3:D29" si="1">C3*52</f>
        <v>4.333333333333333</v>
      </c>
    </row>
    <row r="4" spans="1:4" x14ac:dyDescent="0.25">
      <c r="A4" s="2">
        <v>43952</v>
      </c>
      <c r="B4">
        <v>3</v>
      </c>
      <c r="C4">
        <f t="shared" si="0"/>
        <v>0.16666666666666666</v>
      </c>
      <c r="D4" s="7">
        <f t="shared" si="1"/>
        <v>8.6666666666666661</v>
      </c>
    </row>
    <row r="5" spans="1:4" x14ac:dyDescent="0.25">
      <c r="A5" s="2">
        <v>43983</v>
      </c>
      <c r="B5">
        <v>4</v>
      </c>
      <c r="C5">
        <f t="shared" si="0"/>
        <v>0.25</v>
      </c>
      <c r="D5" s="7">
        <f t="shared" si="1"/>
        <v>13</v>
      </c>
    </row>
    <row r="6" spans="1:4" x14ac:dyDescent="0.25">
      <c r="A6" s="2">
        <v>44013</v>
      </c>
      <c r="B6">
        <v>5</v>
      </c>
      <c r="C6">
        <f t="shared" si="0"/>
        <v>0.33333333333333331</v>
      </c>
      <c r="D6" s="7">
        <f t="shared" si="1"/>
        <v>17.333333333333332</v>
      </c>
    </row>
    <row r="7" spans="1:4" x14ac:dyDescent="0.25">
      <c r="A7" s="2">
        <v>44044</v>
      </c>
      <c r="B7">
        <v>6</v>
      </c>
      <c r="C7">
        <f t="shared" si="0"/>
        <v>0.41666666666666669</v>
      </c>
      <c r="D7" s="7">
        <f t="shared" si="1"/>
        <v>21.666666666666668</v>
      </c>
    </row>
    <row r="8" spans="1:4" x14ac:dyDescent="0.25">
      <c r="A8" s="2">
        <v>44075</v>
      </c>
      <c r="B8">
        <v>7</v>
      </c>
      <c r="C8">
        <f t="shared" si="0"/>
        <v>0.5</v>
      </c>
      <c r="D8" s="7">
        <f t="shared" si="1"/>
        <v>26</v>
      </c>
    </row>
    <row r="9" spans="1:4" x14ac:dyDescent="0.25">
      <c r="A9" s="2">
        <v>44105</v>
      </c>
      <c r="B9">
        <v>8</v>
      </c>
      <c r="C9">
        <f t="shared" si="0"/>
        <v>0.58333333333333337</v>
      </c>
      <c r="D9" s="7">
        <f t="shared" si="1"/>
        <v>30.333333333333336</v>
      </c>
    </row>
    <row r="10" spans="1:4" x14ac:dyDescent="0.25">
      <c r="A10" s="2">
        <v>44136</v>
      </c>
      <c r="B10">
        <v>9</v>
      </c>
      <c r="C10">
        <f t="shared" si="0"/>
        <v>0.66666666666666663</v>
      </c>
      <c r="D10" s="7">
        <f t="shared" si="1"/>
        <v>34.666666666666664</v>
      </c>
    </row>
    <row r="11" spans="1:4" x14ac:dyDescent="0.25">
      <c r="A11" s="2">
        <v>44166</v>
      </c>
      <c r="B11">
        <v>10</v>
      </c>
      <c r="C11">
        <f t="shared" si="0"/>
        <v>0.75</v>
      </c>
      <c r="D11" s="7">
        <f t="shared" si="1"/>
        <v>39</v>
      </c>
    </row>
    <row r="12" spans="1:4" x14ac:dyDescent="0.25">
      <c r="A12" s="2">
        <v>44197</v>
      </c>
      <c r="B12">
        <v>11</v>
      </c>
      <c r="C12">
        <f t="shared" si="0"/>
        <v>0.83333333333333337</v>
      </c>
      <c r="D12" s="7">
        <f t="shared" si="1"/>
        <v>43.333333333333336</v>
      </c>
    </row>
    <row r="13" spans="1:4" x14ac:dyDescent="0.25">
      <c r="A13" s="2">
        <v>44228</v>
      </c>
      <c r="B13">
        <v>12</v>
      </c>
      <c r="C13">
        <f t="shared" si="0"/>
        <v>0.91666666666666663</v>
      </c>
      <c r="D13" s="7">
        <f t="shared" si="1"/>
        <v>47.666666666666664</v>
      </c>
    </row>
    <row r="14" spans="1:4" x14ac:dyDescent="0.25">
      <c r="A14" s="2">
        <v>44256</v>
      </c>
      <c r="B14">
        <v>13</v>
      </c>
      <c r="C14">
        <f t="shared" si="0"/>
        <v>1</v>
      </c>
      <c r="D14" s="7">
        <f t="shared" si="1"/>
        <v>52</v>
      </c>
    </row>
    <row r="15" spans="1:4" x14ac:dyDescent="0.25">
      <c r="A15" s="2">
        <v>44287</v>
      </c>
      <c r="B15">
        <v>14</v>
      </c>
      <c r="C15">
        <f t="shared" si="0"/>
        <v>1.0833333333333333</v>
      </c>
      <c r="D15" s="7">
        <f t="shared" si="1"/>
        <v>56.333333333333329</v>
      </c>
    </row>
    <row r="16" spans="1:4" x14ac:dyDescent="0.25">
      <c r="A16" s="2">
        <v>44317</v>
      </c>
      <c r="B16">
        <v>15</v>
      </c>
      <c r="C16">
        <f t="shared" si="0"/>
        <v>1.1666666666666667</v>
      </c>
      <c r="D16" s="7">
        <f t="shared" si="1"/>
        <v>60.666666666666671</v>
      </c>
    </row>
    <row r="17" spans="1:4" x14ac:dyDescent="0.25">
      <c r="A17" s="2">
        <v>44348</v>
      </c>
      <c r="B17">
        <v>16</v>
      </c>
      <c r="C17">
        <f t="shared" si="0"/>
        <v>1.25</v>
      </c>
      <c r="D17" s="7">
        <f t="shared" si="1"/>
        <v>65</v>
      </c>
    </row>
    <row r="18" spans="1:4" x14ac:dyDescent="0.25">
      <c r="A18" s="2">
        <v>44378</v>
      </c>
      <c r="B18">
        <v>17</v>
      </c>
      <c r="C18">
        <f t="shared" si="0"/>
        <v>1.3333333333333333</v>
      </c>
      <c r="D18" s="7">
        <f t="shared" si="1"/>
        <v>69.333333333333329</v>
      </c>
    </row>
    <row r="19" spans="1:4" x14ac:dyDescent="0.25">
      <c r="A19" s="3">
        <v>44409</v>
      </c>
      <c r="B19" s="4">
        <v>18</v>
      </c>
      <c r="C19" s="4">
        <f t="shared" si="0"/>
        <v>1.4166666666666667</v>
      </c>
      <c r="D19" s="8">
        <f t="shared" si="1"/>
        <v>73.666666666666671</v>
      </c>
    </row>
    <row r="20" spans="1:4" x14ac:dyDescent="0.25">
      <c r="A20" s="2">
        <v>44440</v>
      </c>
      <c r="B20">
        <v>19</v>
      </c>
      <c r="C20">
        <f t="shared" si="0"/>
        <v>1.5</v>
      </c>
      <c r="D20" s="7">
        <f t="shared" si="1"/>
        <v>78</v>
      </c>
    </row>
    <row r="21" spans="1:4" x14ac:dyDescent="0.25">
      <c r="A21" s="5">
        <v>44470</v>
      </c>
      <c r="B21" s="6">
        <v>20</v>
      </c>
      <c r="C21" s="6">
        <f t="shared" si="0"/>
        <v>1.5833333333333333</v>
      </c>
      <c r="D21" s="7">
        <f t="shared" si="1"/>
        <v>82.333333333333329</v>
      </c>
    </row>
    <row r="22" spans="1:4" x14ac:dyDescent="0.25">
      <c r="A22" s="2">
        <v>44501</v>
      </c>
      <c r="B22">
        <v>21</v>
      </c>
      <c r="C22">
        <f t="shared" si="0"/>
        <v>1.6666666666666667</v>
      </c>
      <c r="D22" s="7">
        <f t="shared" si="1"/>
        <v>86.666666666666671</v>
      </c>
    </row>
    <row r="23" spans="1:4" x14ac:dyDescent="0.25">
      <c r="A23" s="2">
        <v>44531</v>
      </c>
      <c r="B23">
        <v>22</v>
      </c>
      <c r="C23">
        <f t="shared" si="0"/>
        <v>1.75</v>
      </c>
      <c r="D23" s="7">
        <f t="shared" si="1"/>
        <v>91</v>
      </c>
    </row>
    <row r="24" spans="1:4" x14ac:dyDescent="0.25">
      <c r="A24" s="2">
        <v>44562</v>
      </c>
      <c r="B24">
        <v>23</v>
      </c>
      <c r="C24">
        <f t="shared" si="0"/>
        <v>1.8333333333333333</v>
      </c>
      <c r="D24" s="7">
        <f t="shared" si="1"/>
        <v>95.333333333333329</v>
      </c>
    </row>
    <row r="25" spans="1:4" x14ac:dyDescent="0.25">
      <c r="A25" s="2">
        <v>44593</v>
      </c>
      <c r="B25">
        <v>24</v>
      </c>
      <c r="C25">
        <f t="shared" si="0"/>
        <v>1.9166666666666667</v>
      </c>
      <c r="D25" s="7">
        <f t="shared" si="1"/>
        <v>99.666666666666671</v>
      </c>
    </row>
    <row r="26" spans="1:4" x14ac:dyDescent="0.25">
      <c r="A26" s="2">
        <v>44621</v>
      </c>
      <c r="B26">
        <v>25</v>
      </c>
      <c r="C26">
        <f t="shared" si="0"/>
        <v>2</v>
      </c>
      <c r="D26" s="7">
        <f t="shared" si="1"/>
        <v>104</v>
      </c>
    </row>
    <row r="27" spans="1:4" x14ac:dyDescent="0.25">
      <c r="A27" s="2">
        <v>44652</v>
      </c>
      <c r="B27">
        <v>26</v>
      </c>
      <c r="C27">
        <f t="shared" si="0"/>
        <v>2.0833333333333335</v>
      </c>
      <c r="D27" s="7">
        <f t="shared" si="1"/>
        <v>108.33333333333334</v>
      </c>
    </row>
    <row r="28" spans="1:4" x14ac:dyDescent="0.25">
      <c r="A28" s="2">
        <v>44682</v>
      </c>
      <c r="B28">
        <v>27</v>
      </c>
      <c r="C28">
        <f t="shared" si="0"/>
        <v>2.1666666666666665</v>
      </c>
      <c r="D28" s="7">
        <f t="shared" si="1"/>
        <v>112.66666666666666</v>
      </c>
    </row>
    <row r="29" spans="1:4" x14ac:dyDescent="0.25">
      <c r="A29" s="2">
        <v>44713</v>
      </c>
      <c r="B29">
        <v>28</v>
      </c>
      <c r="C29">
        <f t="shared" si="0"/>
        <v>2.25</v>
      </c>
      <c r="D29" s="7">
        <f t="shared" si="1"/>
        <v>117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1339F-C828-49B2-BE16-FB5C751192D4}">
  <dimension ref="A1:M26"/>
  <sheetViews>
    <sheetView showGridLines="0" tabSelected="1" workbookViewId="0"/>
  </sheetViews>
  <sheetFormatPr defaultRowHeight="15" x14ac:dyDescent="0.25"/>
  <cols>
    <col min="1" max="1" width="28.28515625" customWidth="1"/>
  </cols>
  <sheetData>
    <row r="1" spans="1:13" x14ac:dyDescent="0.25">
      <c r="A1" s="26" t="s">
        <v>26</v>
      </c>
    </row>
    <row r="2" spans="1:13" x14ac:dyDescent="0.25">
      <c r="A2" s="11" t="s">
        <v>4</v>
      </c>
      <c r="B2" s="10"/>
      <c r="C2" s="10"/>
    </row>
    <row r="3" spans="1:13" x14ac:dyDescent="0.25">
      <c r="A3" s="12" t="s">
        <v>5</v>
      </c>
      <c r="B3" s="10"/>
      <c r="C3" s="10"/>
    </row>
    <row r="4" spans="1:13" x14ac:dyDescent="0.25">
      <c r="A4" s="12"/>
      <c r="B4" s="10"/>
      <c r="C4" s="10"/>
    </row>
    <row r="5" spans="1:13" x14ac:dyDescent="0.25">
      <c r="A5" s="12"/>
      <c r="B5" s="10"/>
      <c r="C5" s="10"/>
      <c r="K5" s="24" t="s">
        <v>27</v>
      </c>
      <c r="L5" s="24"/>
    </row>
    <row r="6" spans="1:13" x14ac:dyDescent="0.25">
      <c r="A6" s="10"/>
      <c r="B6" s="15" t="s">
        <v>6</v>
      </c>
      <c r="C6" s="15" t="s">
        <v>7</v>
      </c>
      <c r="G6" s="15" t="s">
        <v>6</v>
      </c>
      <c r="H6" s="15" t="s">
        <v>7</v>
      </c>
      <c r="I6" s="15" t="s">
        <v>35</v>
      </c>
      <c r="J6" s="15"/>
      <c r="K6" s="15" t="s">
        <v>6</v>
      </c>
      <c r="L6" s="15" t="s">
        <v>7</v>
      </c>
    </row>
    <row r="7" spans="1:13" x14ac:dyDescent="0.25">
      <c r="A7" s="12" t="s">
        <v>8</v>
      </c>
      <c r="B7" s="13">
        <v>10.01</v>
      </c>
      <c r="C7" s="13">
        <v>9.57</v>
      </c>
      <c r="E7" t="s">
        <v>29</v>
      </c>
      <c r="G7" s="16">
        <f>B7</f>
        <v>10.01</v>
      </c>
      <c r="H7" s="16">
        <f>C7</f>
        <v>9.57</v>
      </c>
      <c r="I7" s="22">
        <f>SUM(G7:H7)/$G$14</f>
        <v>5.9653291898973275E-2</v>
      </c>
      <c r="J7" s="21"/>
      <c r="K7" s="21">
        <f>G7/$G$14</f>
        <v>3.0496907656216675E-2</v>
      </c>
      <c r="L7" s="21">
        <f>H7/$G$14</f>
        <v>2.9156384242756603E-2</v>
      </c>
      <c r="M7" s="25">
        <f>I7</f>
        <v>5.9653291898973275E-2</v>
      </c>
    </row>
    <row r="8" spans="1:13" x14ac:dyDescent="0.25">
      <c r="A8" s="12" t="s">
        <v>9</v>
      </c>
      <c r="B8" s="13">
        <v>10.32</v>
      </c>
      <c r="C8" s="13">
        <v>9.8699999999999992</v>
      </c>
      <c r="E8" s="19" t="s">
        <v>32</v>
      </c>
      <c r="G8" s="16">
        <f>SUM(B8:B10)</f>
        <v>31.689999999999998</v>
      </c>
      <c r="H8" s="16">
        <f>SUM(C8:C10)</f>
        <v>30.36</v>
      </c>
      <c r="I8" s="22">
        <f t="shared" ref="I8:I12" si="0">SUM(G8:H8)/$G$14</f>
        <v>0.18904426773908539</v>
      </c>
      <c r="J8" s="21"/>
      <c r="K8" s="21">
        <f t="shared" ref="K8:K12" si="1">G8/$G$14</f>
        <v>9.6548152210340299E-2</v>
      </c>
      <c r="L8" s="21">
        <f t="shared" ref="L8:L12" si="2">H8/$G$14</f>
        <v>9.2496115528745079E-2</v>
      </c>
      <c r="M8" s="25">
        <f t="shared" ref="M8:M12" si="3">I8</f>
        <v>0.18904426773908539</v>
      </c>
    </row>
    <row r="9" spans="1:13" x14ac:dyDescent="0.25">
      <c r="A9" s="12" t="s">
        <v>10</v>
      </c>
      <c r="B9" s="13">
        <v>10.62</v>
      </c>
      <c r="C9" s="13">
        <v>10.18</v>
      </c>
      <c r="E9" t="s">
        <v>30</v>
      </c>
      <c r="G9" s="16">
        <f>SUM(B11:B16)</f>
        <v>65.290000000000006</v>
      </c>
      <c r="H9" s="16">
        <f>SUM(C11:C16)</f>
        <v>64.319999999999993</v>
      </c>
      <c r="I9" s="22">
        <f t="shared" si="0"/>
        <v>0.39487554458763674</v>
      </c>
      <c r="J9" s="21"/>
      <c r="K9" s="21">
        <f t="shared" si="1"/>
        <v>0.19891539469274594</v>
      </c>
      <c r="L9" s="21">
        <f t="shared" si="2"/>
        <v>0.19596014989489074</v>
      </c>
      <c r="M9" s="25">
        <f t="shared" si="3"/>
        <v>0.39487554458763674</v>
      </c>
    </row>
    <row r="10" spans="1:13" x14ac:dyDescent="0.25">
      <c r="A10" s="12" t="s">
        <v>11</v>
      </c>
      <c r="B10" s="13">
        <v>10.75</v>
      </c>
      <c r="C10" s="13">
        <v>10.31</v>
      </c>
      <c r="E10" t="s">
        <v>31</v>
      </c>
      <c r="G10" s="16">
        <f>SUM(B17:B19)</f>
        <v>30.59</v>
      </c>
      <c r="H10" s="16">
        <f>SUM(C17:C19)</f>
        <v>32.33</v>
      </c>
      <c r="I10" s="22">
        <f t="shared" si="0"/>
        <v>0.19169484812479054</v>
      </c>
      <c r="J10" s="21"/>
      <c r="K10" s="21">
        <f t="shared" si="1"/>
        <v>9.3196843676690122E-2</v>
      </c>
      <c r="L10" s="21">
        <f t="shared" si="2"/>
        <v>9.8498004448100404E-2</v>
      </c>
      <c r="M10" s="25">
        <f t="shared" si="3"/>
        <v>0.19169484812479054</v>
      </c>
    </row>
    <row r="11" spans="1:13" x14ac:dyDescent="0.25">
      <c r="A11" s="12" t="s">
        <v>12</v>
      </c>
      <c r="B11" s="13">
        <v>11.06</v>
      </c>
      <c r="C11" s="13">
        <v>10.57</v>
      </c>
      <c r="E11" t="s">
        <v>33</v>
      </c>
      <c r="G11" s="16">
        <f>SUM(B20:B22)</f>
        <v>19.02</v>
      </c>
      <c r="H11" s="16">
        <f>SUM(C20:C22)</f>
        <v>22.119999999999997</v>
      </c>
      <c r="I11" s="22">
        <f t="shared" si="0"/>
        <v>0.12533893915851688</v>
      </c>
      <c r="J11" s="21"/>
      <c r="K11" s="21">
        <f t="shared" si="1"/>
        <v>5.7947171190933185E-2</v>
      </c>
      <c r="L11" s="21">
        <f t="shared" si="2"/>
        <v>6.7391767967583699E-2</v>
      </c>
      <c r="M11" s="25">
        <f t="shared" si="3"/>
        <v>0.12533893915851688</v>
      </c>
    </row>
    <row r="12" spans="1:13" x14ac:dyDescent="0.25">
      <c r="A12" s="12" t="s">
        <v>13</v>
      </c>
      <c r="B12" s="14">
        <v>12</v>
      </c>
      <c r="C12" s="13">
        <v>11.5</v>
      </c>
      <c r="E12" s="4" t="s">
        <v>34</v>
      </c>
      <c r="F12" s="4"/>
      <c r="G12" s="20">
        <f>SUM(B23:B24)</f>
        <v>5.0600000000000005</v>
      </c>
      <c r="H12" s="20">
        <f>SUM(C23:C24)</f>
        <v>7.870000000000001</v>
      </c>
      <c r="I12" s="23">
        <f t="shared" si="0"/>
        <v>3.939310849099717E-2</v>
      </c>
      <c r="J12" s="21"/>
      <c r="K12" s="21">
        <f t="shared" si="1"/>
        <v>1.5416019254790848E-2</v>
      </c>
      <c r="L12" s="21">
        <f t="shared" si="2"/>
        <v>2.3977089236206322E-2</v>
      </c>
      <c r="M12" s="25">
        <f t="shared" si="3"/>
        <v>3.939310849099717E-2</v>
      </c>
    </row>
    <row r="13" spans="1:13" x14ac:dyDescent="0.25">
      <c r="A13" s="12" t="s">
        <v>14</v>
      </c>
      <c r="B13" s="13">
        <v>11.35</v>
      </c>
      <c r="C13" s="13">
        <v>11.08</v>
      </c>
      <c r="G13" s="16">
        <f>SUM(G7:G12)</f>
        <v>161.66000000000003</v>
      </c>
      <c r="H13" s="16">
        <f>SUM(H7:H12)</f>
        <v>166.57</v>
      </c>
      <c r="I13" s="16">
        <f>SUM(I7:I12)</f>
        <v>1</v>
      </c>
      <c r="J13" s="16"/>
    </row>
    <row r="14" spans="1:13" x14ac:dyDescent="0.25">
      <c r="A14" s="12" t="s">
        <v>15</v>
      </c>
      <c r="B14" s="13">
        <v>10.88</v>
      </c>
      <c r="C14" s="13">
        <v>10.85</v>
      </c>
      <c r="G14" s="16">
        <f>SUM(G13:H13)</f>
        <v>328.23</v>
      </c>
    </row>
    <row r="15" spans="1:13" x14ac:dyDescent="0.25">
      <c r="A15" s="12" t="s">
        <v>16</v>
      </c>
      <c r="B15" s="13">
        <v>9.91</v>
      </c>
      <c r="C15" s="13">
        <v>10.01</v>
      </c>
    </row>
    <row r="16" spans="1:13" x14ac:dyDescent="0.25">
      <c r="A16" s="12" t="s">
        <v>17</v>
      </c>
      <c r="B16" s="13">
        <v>10.09</v>
      </c>
      <c r="C16" s="13">
        <v>10.31</v>
      </c>
    </row>
    <row r="17" spans="1:3" x14ac:dyDescent="0.25">
      <c r="A17" s="12" t="s">
        <v>18</v>
      </c>
      <c r="B17" s="13">
        <v>10.09</v>
      </c>
      <c r="C17" s="13">
        <v>10.39</v>
      </c>
    </row>
    <row r="18" spans="1:3" x14ac:dyDescent="0.25">
      <c r="A18" s="12" t="s">
        <v>19</v>
      </c>
      <c r="B18" s="13">
        <v>10.64</v>
      </c>
      <c r="C18" s="13">
        <v>11.23</v>
      </c>
    </row>
    <row r="19" spans="1:3" x14ac:dyDescent="0.25">
      <c r="A19" s="12" t="s">
        <v>20</v>
      </c>
      <c r="B19" s="13">
        <v>9.86</v>
      </c>
      <c r="C19" s="13">
        <v>10.71</v>
      </c>
    </row>
    <row r="20" spans="1:3" x14ac:dyDescent="0.25">
      <c r="A20" s="12" t="s">
        <v>21</v>
      </c>
      <c r="B20" s="13">
        <v>8.1999999999999993</v>
      </c>
      <c r="C20" s="13">
        <v>9.26</v>
      </c>
    </row>
    <row r="21" spans="1:3" x14ac:dyDescent="0.25">
      <c r="A21" s="12" t="s">
        <v>22</v>
      </c>
      <c r="B21" s="13">
        <v>6.5</v>
      </c>
      <c r="C21" s="13">
        <v>7.53</v>
      </c>
    </row>
    <row r="22" spans="1:3" x14ac:dyDescent="0.25">
      <c r="A22" s="12" t="s">
        <v>23</v>
      </c>
      <c r="B22" s="13">
        <v>4.32</v>
      </c>
      <c r="C22" s="13">
        <v>5.33</v>
      </c>
    </row>
    <row r="23" spans="1:3" x14ac:dyDescent="0.25">
      <c r="A23" s="12" t="s">
        <v>24</v>
      </c>
      <c r="B23" s="13">
        <v>2.68</v>
      </c>
      <c r="C23" s="13">
        <v>3.64</v>
      </c>
    </row>
    <row r="24" spans="1:3" x14ac:dyDescent="0.25">
      <c r="A24" s="17" t="s">
        <v>25</v>
      </c>
      <c r="B24" s="18">
        <v>2.38</v>
      </c>
      <c r="C24" s="18">
        <v>4.2300000000000004</v>
      </c>
    </row>
    <row r="25" spans="1:3" x14ac:dyDescent="0.25">
      <c r="A25" s="12" t="s">
        <v>28</v>
      </c>
      <c r="B25" s="16">
        <f>SUM(B7:B24)</f>
        <v>161.65999999999997</v>
      </c>
      <c r="C25" s="16">
        <f>SUM(C7:C24)</f>
        <v>166.57</v>
      </c>
    </row>
    <row r="26" spans="1:3" x14ac:dyDescent="0.25">
      <c r="B26" s="16">
        <f>SUM(B25:C25)</f>
        <v>328.22999999999996</v>
      </c>
    </row>
  </sheetData>
  <mergeCells count="1">
    <mergeCell ref="K5:L5"/>
  </mergeCells>
  <hyperlinks>
    <hyperlink ref="A1" r:id="rId1" xr:uid="{855BCD17-8042-40C3-A9EB-B2AB6A11CFDB}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Vaccination</vt:lpstr>
      <vt:lpstr>Timing</vt:lpstr>
      <vt:lpstr>Age-distribution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2021-05-20T19:07:46Z</dcterms:created>
  <dcterms:modified xsi:type="dcterms:W3CDTF">2021-06-16T20:37:54Z</dcterms:modified>
</cp:coreProperties>
</file>