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3E5415CA-6E95-485E-99B8-BC43C85F84F4}" xr6:coauthVersionLast="46" xr6:coauthVersionMax="46" xr10:uidLastSave="{00000000-0000-0000-0000-000000000000}"/>
  <bookViews>
    <workbookView xWindow="-18945" yWindow="1635" windowWidth="18270" windowHeight="12465" activeTab="2" xr2:uid="{4B0E50F9-8FDA-4FAF-B2BA-C91A91AB3C5C}"/>
  </bookViews>
  <sheets>
    <sheet name="Vaccination" sheetId="1" r:id="rId1"/>
    <sheet name="Timing" sheetId="2" r:id="rId2"/>
    <sheet name="Age-distribu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3" l="1"/>
  <c r="L12" i="3"/>
  <c r="D24" i="3"/>
  <c r="D23" i="3"/>
  <c r="D22" i="3"/>
  <c r="M12" i="3" s="1"/>
  <c r="D21" i="3"/>
  <c r="M11" i="3" s="1"/>
  <c r="D20" i="3"/>
  <c r="D19" i="3"/>
  <c r="D18" i="3"/>
  <c r="D17" i="3"/>
  <c r="M10" i="3" s="1"/>
  <c r="D16" i="3"/>
  <c r="D15" i="3"/>
  <c r="D14" i="3"/>
  <c r="D13" i="3"/>
  <c r="D12" i="3"/>
  <c r="D11" i="3"/>
  <c r="M9" i="3" s="1"/>
  <c r="D10" i="3"/>
  <c r="D9" i="3"/>
  <c r="D8" i="3"/>
  <c r="D7" i="3"/>
  <c r="J7" i="3"/>
  <c r="L7" i="3" s="1"/>
  <c r="J8" i="3"/>
  <c r="J9" i="3"/>
  <c r="J10" i="3"/>
  <c r="L10" i="3" s="1"/>
  <c r="J11" i="3"/>
  <c r="J12" i="3"/>
  <c r="I12" i="3"/>
  <c r="I11" i="3"/>
  <c r="I10" i="3"/>
  <c r="I9" i="3"/>
  <c r="L9" i="3" s="1"/>
  <c r="I8" i="3"/>
  <c r="L8" i="3" s="1"/>
  <c r="I7" i="3"/>
  <c r="C25" i="3"/>
  <c r="B25" i="3"/>
  <c r="E4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2" i="2"/>
  <c r="C2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" i="2"/>
  <c r="M7" i="3" l="1"/>
  <c r="M8" i="3"/>
  <c r="D25" i="3"/>
  <c r="I14" i="3"/>
  <c r="J14" i="3"/>
  <c r="I15" i="3" s="1"/>
  <c r="O11" i="3" l="1"/>
  <c r="K11" i="3"/>
  <c r="K8" i="3"/>
  <c r="Q8" i="3" s="1"/>
  <c r="Q11" i="3"/>
  <c r="P11" i="3"/>
  <c r="K9" i="3"/>
  <c r="Q9" i="3" s="1"/>
  <c r="K7" i="3"/>
  <c r="K10" i="3"/>
  <c r="Q10" i="3" s="1"/>
  <c r="K12" i="3"/>
  <c r="Q12" i="3" s="1"/>
  <c r="P12" i="3"/>
  <c r="O7" i="3"/>
  <c r="O8" i="3"/>
  <c r="O9" i="3"/>
  <c r="O10" i="3"/>
  <c r="O12" i="3"/>
  <c r="P10" i="3"/>
  <c r="P9" i="3"/>
  <c r="P8" i="3"/>
  <c r="P7" i="3"/>
  <c r="Q7" i="3" l="1"/>
  <c r="K14" i="3"/>
</calcChain>
</file>

<file path=xl/sharedStrings.xml><?xml version="1.0" encoding="utf-8"?>
<sst xmlns="http://schemas.openxmlformats.org/spreadsheetml/2006/main" count="45" uniqueCount="38">
  <si>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</si>
  <si>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</si>
  <si>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</si>
  <si>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</si>
  <si>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</si>
  <si>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</si>
  <si>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</si>
  <si>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</si>
  <si>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</si>
  <si>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</si>
  <si>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</si>
  <si>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</si>
  <si>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</si>
  <si>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</si>
  <si>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</si>
  <si>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</si>
  <si>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</si>
  <si>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</si>
  <si>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</si>
  <si>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</si>
  <si>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</si>
  <si>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</si>
  <si>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</si>
  <si>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</si>
  <si>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</si>
  <si>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</si>
  <si>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https://www.statista.com/statistics/241488/population-of-the-us-by-sex-and-age/</t>
  </si>
  <si>
    <t>Percentage</t>
  </si>
  <si>
    <t>sum</t>
  </si>
  <si>
    <t>0-4</t>
  </si>
  <si>
    <t>20-49</t>
  </si>
  <si>
    <t>50-64</t>
  </si>
  <si>
    <t>5-19</t>
  </si>
  <si>
    <t>%</t>
  </si>
  <si>
    <t>65-74</t>
  </si>
  <si>
    <t>75+</t>
  </si>
  <si>
    <t>Risk</t>
  </si>
  <si>
    <t>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</si>
</sst>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71" formatCode="#,##0.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71" fontId="0" fillId="0" borderId="0" xfId="0" applyNumberFormat="1"/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tatista.com/statistics/241488/population-of-the-us-by-sex-and-ag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E22"/>
  <sheetViews>
    <sheetView workbookViewId="0">
      <selection activeCell="E4" sqref="E4"/>
    </sheetView>
  </sheetViews>
  <sheetFormatPr defaultRowHeight="15" x14ac:dyDescent="0.25"/>
  <cols>
    <col min="1" max="1" width="9.7109375" bestFit="1" customWidth="1"/>
  </cols>
  <sheetData>
    <row r="1" spans="1:5" x14ac:dyDescent="0.25">
      <c r="A1" s="1">
        <v>44197</v>
      </c>
    </row>
    <row r="2" spans="1:5" x14ac:dyDescent="0.25">
      <c r="A2" s="1">
        <v>44204</v>
      </c>
      <c r="B2">
        <v>1</v>
      </c>
      <c r="D2" t="s">
        <v>1</v>
      </c>
      <c r="E2" s="9">
        <v>0.52</v>
      </c>
    </row>
    <row r="3" spans="1:5" x14ac:dyDescent="0.25">
      <c r="A3" s="1">
        <v>44211</v>
      </c>
      <c r="B3">
        <v>2</v>
      </c>
      <c r="D3" t="s">
        <v>0</v>
      </c>
      <c r="E3">
        <v>0.5</v>
      </c>
    </row>
    <row r="4" spans="1:5" x14ac:dyDescent="0.25">
      <c r="A4" s="1">
        <v>44218</v>
      </c>
      <c r="B4">
        <v>3</v>
      </c>
      <c r="D4" t="s">
        <v>2</v>
      </c>
      <c r="E4">
        <f>-LN(1-E2)/E3</f>
        <v>1.4679383501604009</v>
      </c>
    </row>
    <row r="5" spans="1:5" x14ac:dyDescent="0.25">
      <c r="A5" s="1">
        <v>44225</v>
      </c>
      <c r="B5">
        <v>4</v>
      </c>
    </row>
    <row r="6" spans="1:5" x14ac:dyDescent="0.25">
      <c r="A6" s="1">
        <v>44232</v>
      </c>
      <c r="B6">
        <v>5</v>
      </c>
    </row>
    <row r="7" spans="1:5" x14ac:dyDescent="0.25">
      <c r="A7" s="1">
        <v>44239</v>
      </c>
      <c r="B7">
        <v>6</v>
      </c>
    </row>
    <row r="8" spans="1:5" x14ac:dyDescent="0.25">
      <c r="A8" s="1">
        <v>44246</v>
      </c>
      <c r="B8">
        <v>7</v>
      </c>
    </row>
    <row r="9" spans="1:5" x14ac:dyDescent="0.25">
      <c r="A9" s="1">
        <v>44253</v>
      </c>
      <c r="B9">
        <v>8</v>
      </c>
    </row>
    <row r="10" spans="1:5" x14ac:dyDescent="0.25">
      <c r="A10" s="1">
        <v>44260</v>
      </c>
      <c r="B10">
        <v>9</v>
      </c>
    </row>
    <row r="11" spans="1:5" x14ac:dyDescent="0.25">
      <c r="A11" s="1">
        <v>44267</v>
      </c>
      <c r="B11">
        <v>10</v>
      </c>
    </row>
    <row r="12" spans="1:5" x14ac:dyDescent="0.25">
      <c r="A12" s="1">
        <v>44274</v>
      </c>
      <c r="B12">
        <v>11</v>
      </c>
    </row>
    <row r="13" spans="1:5" x14ac:dyDescent="0.25">
      <c r="A13" s="1">
        <v>44281</v>
      </c>
      <c r="B13">
        <v>12</v>
      </c>
    </row>
    <row r="14" spans="1:5" x14ac:dyDescent="0.25">
      <c r="A14" s="1">
        <v>44288</v>
      </c>
      <c r="B14">
        <v>13</v>
      </c>
    </row>
    <row r="15" spans="1:5" x14ac:dyDescent="0.25">
      <c r="A15" s="1">
        <v>44295</v>
      </c>
      <c r="B15">
        <v>14</v>
      </c>
    </row>
    <row r="16" spans="1:5" x14ac:dyDescent="0.25">
      <c r="A16" s="1">
        <v>44302</v>
      </c>
      <c r="B16">
        <v>15</v>
      </c>
    </row>
    <row r="17" spans="1:2" x14ac:dyDescent="0.25">
      <c r="A17" s="1">
        <v>44309</v>
      </c>
      <c r="B17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1">
        <v>44337</v>
      </c>
      <c r="B21">
        <v>20</v>
      </c>
    </row>
    <row r="22" spans="1:2" x14ac:dyDescent="0.25">
      <c r="A22" s="1">
        <v>44344</v>
      </c>
      <c r="B22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D29"/>
  <sheetViews>
    <sheetView topLeftCell="A7" workbookViewId="0">
      <selection activeCell="F29" sqref="F29"/>
    </sheetView>
  </sheetViews>
  <sheetFormatPr defaultRowHeight="15" x14ac:dyDescent="0.25"/>
  <cols>
    <col min="1" max="1" width="17.5703125" bestFit="1" customWidth="1"/>
    <col min="7" max="7" width="11" bestFit="1" customWidth="1"/>
  </cols>
  <sheetData>
    <row r="1" spans="1:4" x14ac:dyDescent="0.25">
      <c r="C1" t="s">
        <v>0</v>
      </c>
      <c r="D1" t="s">
        <v>3</v>
      </c>
    </row>
    <row r="2" spans="1:4" x14ac:dyDescent="0.25">
      <c r="A2" s="2">
        <v>43891</v>
      </c>
      <c r="B2">
        <v>1</v>
      </c>
      <c r="C2">
        <f>(B2-1)/12</f>
        <v>0</v>
      </c>
      <c r="D2" s="7">
        <f>C2*52</f>
        <v>0</v>
      </c>
    </row>
    <row r="3" spans="1:4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</row>
    <row r="4" spans="1:4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</row>
    <row r="5" spans="1:4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</row>
    <row r="6" spans="1:4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</row>
    <row r="7" spans="1:4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</row>
    <row r="8" spans="1:4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</row>
    <row r="9" spans="1:4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</row>
    <row r="10" spans="1:4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</row>
    <row r="11" spans="1:4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</row>
    <row r="12" spans="1:4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</row>
    <row r="13" spans="1:4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</row>
    <row r="14" spans="1:4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</row>
    <row r="15" spans="1:4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</row>
    <row r="16" spans="1:4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</row>
    <row r="17" spans="1:4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</row>
    <row r="18" spans="1:4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</row>
    <row r="19" spans="1:4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</row>
    <row r="20" spans="1:4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</row>
    <row r="21" spans="1:4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</row>
    <row r="22" spans="1:4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</row>
    <row r="23" spans="1:4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</row>
    <row r="24" spans="1:4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</row>
    <row r="25" spans="1:4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</row>
    <row r="26" spans="1:4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</row>
    <row r="27" spans="1:4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</row>
    <row r="28" spans="1:4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</row>
    <row r="29" spans="1:4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Q26"/>
  <sheetViews>
    <sheetView showGridLines="0" tabSelected="1" workbookViewId="0">
      <selection activeCell="K14" sqref="K14"/>
    </sheetView>
  </sheetViews>
  <sheetFormatPr defaultRowHeight="15" x14ac:dyDescent="0.25"/>
  <cols>
    <col min="1" max="1" width="28.28515625" customWidth="1"/>
  </cols>
  <sheetData>
    <row r="1" spans="1:17" x14ac:dyDescent="0.25">
      <c r="A1" s="21" t="s">
        <v>26</v>
      </c>
    </row>
    <row r="2" spans="1:17" x14ac:dyDescent="0.25">
      <c r="A2" s="11" t="s">
        <v>4</v>
      </c>
      <c r="B2" s="10"/>
      <c r="C2" s="10"/>
      <c r="D2" s="10"/>
      <c r="E2" s="10"/>
    </row>
    <row r="3" spans="1:17" x14ac:dyDescent="0.25">
      <c r="A3" s="12" t="s">
        <v>5</v>
      </c>
      <c r="B3" s="10"/>
      <c r="C3" s="10"/>
      <c r="D3" s="10"/>
      <c r="E3" s="10"/>
    </row>
    <row r="4" spans="1:17" x14ac:dyDescent="0.25">
      <c r="A4" s="12"/>
      <c r="B4" s="10"/>
      <c r="C4" s="10"/>
      <c r="D4" s="10"/>
      <c r="E4" s="10"/>
    </row>
    <row r="5" spans="1:17" x14ac:dyDescent="0.25">
      <c r="A5" s="12"/>
      <c r="B5" s="10"/>
      <c r="C5" s="10"/>
      <c r="D5" s="10"/>
      <c r="E5" s="10"/>
      <c r="O5" s="31" t="s">
        <v>27</v>
      </c>
      <c r="P5" s="31"/>
    </row>
    <row r="6" spans="1:17" x14ac:dyDescent="0.25">
      <c r="A6" s="10"/>
      <c r="B6" s="27" t="s">
        <v>6</v>
      </c>
      <c r="C6" s="27" t="s">
        <v>7</v>
      </c>
      <c r="D6" s="27" t="s">
        <v>1</v>
      </c>
      <c r="E6" s="27" t="s">
        <v>36</v>
      </c>
      <c r="I6" s="13" t="s">
        <v>6</v>
      </c>
      <c r="J6" s="13" t="s">
        <v>7</v>
      </c>
      <c r="K6" s="13" t="s">
        <v>33</v>
      </c>
      <c r="L6" s="27" t="s">
        <v>37</v>
      </c>
      <c r="M6" s="27" t="s">
        <v>36</v>
      </c>
      <c r="N6" s="27"/>
      <c r="O6" s="13" t="s">
        <v>6</v>
      </c>
      <c r="P6" s="13" t="s">
        <v>7</v>
      </c>
    </row>
    <row r="7" spans="1:17" x14ac:dyDescent="0.25">
      <c r="A7" s="12" t="s">
        <v>8</v>
      </c>
      <c r="B7" s="25">
        <v>10.01</v>
      </c>
      <c r="C7" s="25">
        <v>9.57</v>
      </c>
      <c r="D7" s="25">
        <f>SUM(B7:C7)</f>
        <v>19.579999999999998</v>
      </c>
      <c r="E7" s="23">
        <v>2</v>
      </c>
      <c r="G7" t="s">
        <v>29</v>
      </c>
      <c r="I7" s="14">
        <f>B7</f>
        <v>10.01</v>
      </c>
      <c r="J7" s="14">
        <f>C7</f>
        <v>9.57</v>
      </c>
      <c r="K7" s="22">
        <f t="shared" ref="K7:K12" si="0">SUM(I7:J7)/$I$15</f>
        <v>5.9653291898973282E-2</v>
      </c>
      <c r="L7" s="29">
        <f>I7+J7</f>
        <v>19.579999999999998</v>
      </c>
      <c r="M7" s="30">
        <f>SUMPRODUCT(D7,E7)/L7</f>
        <v>2</v>
      </c>
      <c r="N7" s="29"/>
      <c r="O7" s="18">
        <f t="shared" ref="O7:P12" si="1">I7/$I$15</f>
        <v>3.0496907656216682E-2</v>
      </c>
      <c r="P7" s="18">
        <f t="shared" si="1"/>
        <v>2.9156384242756607E-2</v>
      </c>
      <c r="Q7" s="20">
        <f>K7</f>
        <v>5.9653291898973282E-2</v>
      </c>
    </row>
    <row r="8" spans="1:17" x14ac:dyDescent="0.25">
      <c r="A8" s="12" t="s">
        <v>9</v>
      </c>
      <c r="B8" s="25">
        <v>10.32</v>
      </c>
      <c r="C8" s="25">
        <v>9.8699999999999992</v>
      </c>
      <c r="D8" s="25">
        <f t="shared" ref="D8:D24" si="2">SUM(B8:C8)</f>
        <v>20.189999999999998</v>
      </c>
      <c r="E8" s="23">
        <v>1</v>
      </c>
      <c r="G8" s="16" t="s">
        <v>32</v>
      </c>
      <c r="I8" s="14">
        <f>SUM(B8:B10)</f>
        <v>31.689999999999998</v>
      </c>
      <c r="J8" s="14">
        <f>SUM(C8:C10)</f>
        <v>30.36</v>
      </c>
      <c r="K8" s="22">
        <f t="shared" si="0"/>
        <v>0.18904426773908542</v>
      </c>
      <c r="L8" s="29">
        <f t="shared" ref="L8:L12" si="3">I8+J8</f>
        <v>62.05</v>
      </c>
      <c r="M8" s="30">
        <f>SUMPRODUCT(D8:D10,E8:E10)/L8</f>
        <v>1</v>
      </c>
      <c r="N8" s="29"/>
      <c r="O8" s="18">
        <f t="shared" si="1"/>
        <v>9.6548152210340313E-2</v>
      </c>
      <c r="P8" s="18">
        <f t="shared" si="1"/>
        <v>9.2496115528745093E-2</v>
      </c>
      <c r="Q8" s="20">
        <f t="shared" ref="Q8:Q10" si="4">K8</f>
        <v>0.18904426773908542</v>
      </c>
    </row>
    <row r="9" spans="1:17" x14ac:dyDescent="0.25">
      <c r="A9" s="12" t="s">
        <v>10</v>
      </c>
      <c r="B9" s="25">
        <v>10.62</v>
      </c>
      <c r="C9" s="25">
        <v>10.18</v>
      </c>
      <c r="D9" s="25">
        <f t="shared" si="2"/>
        <v>20.799999999999997</v>
      </c>
      <c r="E9" s="23">
        <v>1</v>
      </c>
      <c r="G9" t="s">
        <v>30</v>
      </c>
      <c r="I9" s="14">
        <f>SUM(B11:B16)</f>
        <v>65.290000000000006</v>
      </c>
      <c r="J9" s="14">
        <f>SUM(C11:C16)</f>
        <v>64.319999999999993</v>
      </c>
      <c r="K9" s="22">
        <f t="shared" si="0"/>
        <v>0.3948755445876368</v>
      </c>
      <c r="L9" s="29">
        <f t="shared" si="3"/>
        <v>129.61000000000001</v>
      </c>
      <c r="M9" s="30">
        <f>SUMPRODUCT(D11:D16,E11:E16)/L9</f>
        <v>10.16264177146825</v>
      </c>
      <c r="N9" s="29"/>
      <c r="O9" s="18">
        <f t="shared" si="1"/>
        <v>0.19891539469274599</v>
      </c>
      <c r="P9" s="18">
        <f t="shared" si="1"/>
        <v>0.19596014989489077</v>
      </c>
      <c r="Q9" s="20">
        <f t="shared" si="4"/>
        <v>0.3948755445876368</v>
      </c>
    </row>
    <row r="10" spans="1:17" x14ac:dyDescent="0.25">
      <c r="A10" s="12" t="s">
        <v>11</v>
      </c>
      <c r="B10" s="25">
        <v>10.75</v>
      </c>
      <c r="C10" s="25">
        <v>10.31</v>
      </c>
      <c r="D10" s="25">
        <f t="shared" si="2"/>
        <v>21.060000000000002</v>
      </c>
      <c r="E10" s="23">
        <v>1</v>
      </c>
      <c r="G10" t="s">
        <v>31</v>
      </c>
      <c r="I10" s="14">
        <f>SUM(B17:B19)</f>
        <v>30.59</v>
      </c>
      <c r="J10" s="14">
        <f>SUM(C17:C19)</f>
        <v>32.33</v>
      </c>
      <c r="K10" s="22">
        <f t="shared" si="0"/>
        <v>0.19169484812479057</v>
      </c>
      <c r="L10" s="29">
        <f t="shared" si="3"/>
        <v>62.92</v>
      </c>
      <c r="M10" s="30">
        <f>SUMPRODUCT(D17:D19,E17:E19)/L10</f>
        <v>25</v>
      </c>
      <c r="N10" s="29"/>
      <c r="O10" s="18">
        <f t="shared" si="1"/>
        <v>9.3196843676690136E-2</v>
      </c>
      <c r="P10" s="18">
        <f t="shared" si="1"/>
        <v>9.8498004448100418E-2</v>
      </c>
      <c r="Q10" s="20">
        <f t="shared" si="4"/>
        <v>0.19169484812479057</v>
      </c>
    </row>
    <row r="11" spans="1:17" x14ac:dyDescent="0.25">
      <c r="A11" s="12" t="s">
        <v>12</v>
      </c>
      <c r="B11" s="25">
        <v>11.06</v>
      </c>
      <c r="C11" s="25">
        <v>10.57</v>
      </c>
      <c r="D11" s="25">
        <f t="shared" si="2"/>
        <v>21.630000000000003</v>
      </c>
      <c r="E11" s="23">
        <v>6</v>
      </c>
      <c r="G11" t="s">
        <v>34</v>
      </c>
      <c r="I11" s="14">
        <f>SUM(B20:B21)</f>
        <v>14.7</v>
      </c>
      <c r="J11" s="14">
        <f>SUM(C20:C21)</f>
        <v>16.79</v>
      </c>
      <c r="K11" s="22">
        <f t="shared" si="0"/>
        <v>9.5938823386040289E-2</v>
      </c>
      <c r="L11" s="29">
        <f t="shared" si="3"/>
        <v>31.49</v>
      </c>
      <c r="M11" s="30">
        <f>SUMPRODUCT(D20:D21,E20:E21)/L11</f>
        <v>40.000000000000007</v>
      </c>
      <c r="N11" s="29"/>
      <c r="O11" s="18">
        <f t="shared" si="1"/>
        <v>4.4785668586052464E-2</v>
      </c>
      <c r="P11" s="18">
        <f t="shared" si="1"/>
        <v>5.1153154799987818E-2</v>
      </c>
      <c r="Q11" s="20">
        <f t="shared" ref="Q11" si="5">K11</f>
        <v>9.5938823386040289E-2</v>
      </c>
    </row>
    <row r="12" spans="1:17" x14ac:dyDescent="0.25">
      <c r="A12" s="12" t="s">
        <v>13</v>
      </c>
      <c r="B12" s="23">
        <v>12</v>
      </c>
      <c r="C12" s="25">
        <v>11.5</v>
      </c>
      <c r="D12" s="25">
        <f t="shared" si="2"/>
        <v>23.5</v>
      </c>
      <c r="E12" s="23">
        <v>6</v>
      </c>
      <c r="G12" t="s">
        <v>35</v>
      </c>
      <c r="I12" s="14">
        <f>SUM(B22:B24)</f>
        <v>9.379999999999999</v>
      </c>
      <c r="J12" s="14">
        <f>SUM(C22:C24)</f>
        <v>13.200000000000001</v>
      </c>
      <c r="K12" s="22">
        <f t="shared" si="0"/>
        <v>6.8793224263473784E-2</v>
      </c>
      <c r="L12" s="29">
        <f t="shared" si="3"/>
        <v>22.58</v>
      </c>
      <c r="M12" s="30">
        <f>SUMPRODUCT(D22:D24,E22:E24)/L12</f>
        <v>73.7821080602303</v>
      </c>
      <c r="N12" s="29"/>
      <c r="O12" s="18">
        <f t="shared" si="1"/>
        <v>2.8577521859671572E-2</v>
      </c>
      <c r="P12" s="18">
        <f t="shared" si="1"/>
        <v>4.021570240380222E-2</v>
      </c>
      <c r="Q12" s="20">
        <f>K12</f>
        <v>6.8793224263473784E-2</v>
      </c>
    </row>
    <row r="13" spans="1:17" x14ac:dyDescent="0.25">
      <c r="A13" s="12" t="s">
        <v>14</v>
      </c>
      <c r="B13" s="25">
        <v>11.35</v>
      </c>
      <c r="C13" s="25">
        <v>11.08</v>
      </c>
      <c r="D13" s="25">
        <f t="shared" si="2"/>
        <v>22.43</v>
      </c>
      <c r="E13" s="23">
        <v>10</v>
      </c>
      <c r="G13" s="4"/>
      <c r="H13" s="4"/>
      <c r="I13" s="17"/>
      <c r="J13" s="17"/>
      <c r="K13" s="19"/>
      <c r="L13" s="18"/>
      <c r="M13" s="18"/>
      <c r="N13" s="18"/>
      <c r="O13" s="18"/>
      <c r="P13" s="18"/>
      <c r="Q13" s="20"/>
    </row>
    <row r="14" spans="1:17" x14ac:dyDescent="0.25">
      <c r="A14" s="12" t="s">
        <v>15</v>
      </c>
      <c r="B14" s="25">
        <v>10.88</v>
      </c>
      <c r="C14" s="25">
        <v>10.85</v>
      </c>
      <c r="D14" s="25">
        <f t="shared" si="2"/>
        <v>21.73</v>
      </c>
      <c r="E14" s="23">
        <v>10</v>
      </c>
      <c r="I14" s="14">
        <f>SUM(I7:I13)</f>
        <v>161.66</v>
      </c>
      <c r="J14" s="14">
        <f>SUM(J7:J13)</f>
        <v>166.56999999999996</v>
      </c>
      <c r="K14" s="32">
        <f>SUM(K7:K13)</f>
        <v>1</v>
      </c>
      <c r="L14" s="14"/>
      <c r="M14" s="14"/>
      <c r="N14" s="14"/>
    </row>
    <row r="15" spans="1:17" x14ac:dyDescent="0.25">
      <c r="A15" s="12" t="s">
        <v>16</v>
      </c>
      <c r="B15" s="25">
        <v>9.91</v>
      </c>
      <c r="C15" s="25">
        <v>10.01</v>
      </c>
      <c r="D15" s="25">
        <f t="shared" si="2"/>
        <v>19.920000000000002</v>
      </c>
      <c r="E15" s="23">
        <v>15</v>
      </c>
      <c r="I15" s="14">
        <f>SUM(I14:J14)</f>
        <v>328.22999999999996</v>
      </c>
    </row>
    <row r="16" spans="1:17" x14ac:dyDescent="0.25">
      <c r="A16" s="12" t="s">
        <v>17</v>
      </c>
      <c r="B16" s="25">
        <v>10.09</v>
      </c>
      <c r="C16" s="25">
        <v>10.31</v>
      </c>
      <c r="D16" s="25">
        <f t="shared" si="2"/>
        <v>20.399999999999999</v>
      </c>
      <c r="E16" s="23">
        <v>15</v>
      </c>
    </row>
    <row r="17" spans="1:5" x14ac:dyDescent="0.25">
      <c r="A17" s="12" t="s">
        <v>18</v>
      </c>
      <c r="B17" s="25">
        <v>10.09</v>
      </c>
      <c r="C17" s="25">
        <v>10.39</v>
      </c>
      <c r="D17" s="25">
        <f t="shared" si="2"/>
        <v>20.48</v>
      </c>
      <c r="E17" s="23">
        <v>25</v>
      </c>
    </row>
    <row r="18" spans="1:5" x14ac:dyDescent="0.25">
      <c r="A18" s="12" t="s">
        <v>19</v>
      </c>
      <c r="B18" s="25">
        <v>10.64</v>
      </c>
      <c r="C18" s="25">
        <v>11.23</v>
      </c>
      <c r="D18" s="25">
        <f t="shared" si="2"/>
        <v>21.87</v>
      </c>
      <c r="E18" s="23">
        <v>25</v>
      </c>
    </row>
    <row r="19" spans="1:5" x14ac:dyDescent="0.25">
      <c r="A19" s="12" t="s">
        <v>20</v>
      </c>
      <c r="B19" s="25">
        <v>9.86</v>
      </c>
      <c r="C19" s="25">
        <v>10.71</v>
      </c>
      <c r="D19" s="25">
        <f t="shared" si="2"/>
        <v>20.57</v>
      </c>
      <c r="E19" s="23">
        <v>25</v>
      </c>
    </row>
    <row r="20" spans="1:5" x14ac:dyDescent="0.25">
      <c r="A20" s="12" t="s">
        <v>21</v>
      </c>
      <c r="B20" s="25">
        <v>8.1999999999999993</v>
      </c>
      <c r="C20" s="25">
        <v>9.26</v>
      </c>
      <c r="D20" s="25">
        <f t="shared" si="2"/>
        <v>17.46</v>
      </c>
      <c r="E20" s="23">
        <v>40</v>
      </c>
    </row>
    <row r="21" spans="1:5" x14ac:dyDescent="0.25">
      <c r="A21" s="12" t="s">
        <v>22</v>
      </c>
      <c r="B21" s="25">
        <v>6.5</v>
      </c>
      <c r="C21" s="25">
        <v>7.53</v>
      </c>
      <c r="D21" s="25">
        <f t="shared" si="2"/>
        <v>14.030000000000001</v>
      </c>
      <c r="E21" s="23">
        <v>40</v>
      </c>
    </row>
    <row r="22" spans="1:5" x14ac:dyDescent="0.25">
      <c r="A22" s="12" t="s">
        <v>23</v>
      </c>
      <c r="B22" s="25">
        <v>4.32</v>
      </c>
      <c r="C22" s="25">
        <v>5.33</v>
      </c>
      <c r="D22" s="25">
        <f t="shared" si="2"/>
        <v>9.65</v>
      </c>
      <c r="E22" s="23">
        <v>65</v>
      </c>
    </row>
    <row r="23" spans="1:5" x14ac:dyDescent="0.25">
      <c r="A23" s="12" t="s">
        <v>24</v>
      </c>
      <c r="B23" s="25">
        <v>2.68</v>
      </c>
      <c r="C23" s="25">
        <v>3.64</v>
      </c>
      <c r="D23" s="25">
        <f t="shared" si="2"/>
        <v>6.32</v>
      </c>
      <c r="E23" s="23">
        <v>65</v>
      </c>
    </row>
    <row r="24" spans="1:5" x14ac:dyDescent="0.25">
      <c r="A24" s="15" t="s">
        <v>25</v>
      </c>
      <c r="B24" s="26">
        <v>2.38</v>
      </c>
      <c r="C24" s="26">
        <v>4.2300000000000004</v>
      </c>
      <c r="D24" s="26">
        <f t="shared" si="2"/>
        <v>6.61</v>
      </c>
      <c r="E24" s="24">
        <v>95</v>
      </c>
    </row>
    <row r="25" spans="1:5" x14ac:dyDescent="0.25">
      <c r="A25" s="12" t="s">
        <v>28</v>
      </c>
      <c r="B25" s="28">
        <f>SUM(B7:B24)</f>
        <v>161.65999999999997</v>
      </c>
      <c r="C25" s="28">
        <f>SUM(C7:C24)</f>
        <v>166.57</v>
      </c>
      <c r="D25" s="28">
        <f>SUM(D7:D24)</f>
        <v>328.22999999999996</v>
      </c>
      <c r="E25" s="14"/>
    </row>
    <row r="26" spans="1:5" x14ac:dyDescent="0.25">
      <c r="B26" s="14"/>
    </row>
  </sheetData>
  <mergeCells count="1">
    <mergeCell ref="O5:P5"/>
  </mergeCells>
  <hyperlinks>
    <hyperlink ref="A1" r:id="rId1" xr:uid="{855BCD17-8042-40C3-A9EB-B2AB6A11CFDB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Vaccination</vt:lpstr>
      <vt:lpstr>Timing</vt:lpstr>
      <vt:lpstr>Age-distribution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2021-06-23T20:53:23Z</dcterms:modified>
</cp:coreProperties>
</file>